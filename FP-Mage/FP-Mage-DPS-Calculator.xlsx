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Fire/Poison Arch Mage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Poison/DoT skills (Poison Breath, Poison Mist, Creeping Toxin, Ignite) and Burning Magic/Elemental Decrease assume the target is permanently afflicted at steady state, not an exact on/off timer.</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(Meditation, Magic Guard, Infinity, Nimble Feet) are modeled at steady-state duty-cycle average uptime, not as an exact moment-to-moment state machine.</t>
        </is>
      </c>
    </row>
    <row r="13">
      <c r="A13" s="2" t="inlineStr">
        <is>
          <t>Meteor Proc's trigger rate is the combined cast rate of every attack that can trigger it (including Basic Attack), averaged rather than simulated hit-by-hit.</t>
        </is>
      </c>
    </row>
    <row r="14">
      <c r="A14" s="2" t="inlineStr">
        <is>
          <t>Ifrit is a summon skill (own cooldown/duration/DoT-tick mechanism), not part of the game's separate Companion roster system — its damage is modeled as a real DPS source like any other skill.</t>
        </is>
      </c>
    </row>
    <row r="15">
      <c r="A15"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6">
      <c r="A16" s="2" t="inlineStr">
        <is>
          <t>Not modeled (out of scope): crowd control, Accuracy/Evasion/Defense reduction, movement speed, the character's own Defense stat, and Companion Summoning Time (the Companion roster system, unrelated to Ifrit).</t>
        </is>
      </c>
    </row>
    <row r="17">
      <c r="A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Fire/Poison Arch Mage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117</v>
      </c>
      <c r="N3" t="inlineStr">
        <is>
          <t>Pig's Ribbon</t>
        </is>
      </c>
    </row>
    <row r="4">
      <c r="A4" s="6" t="inlineStr">
        <is>
          <t>Content Type</t>
        </is>
      </c>
      <c r="B4" s="7" t="inlineStr">
        <is>
          <t>Breakthrough</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36</t>
        </is>
      </c>
      <c r="D5" s="7" t="inlineStr">
        <is>
          <t>36-6</t>
        </is>
      </c>
      <c r="E5" s="8" t="n"/>
      <c r="F5" s="7" t="inlineStr">
        <is>
          <t>112</t>
        </is>
      </c>
      <c r="G5" s="7" t="inlineStr">
        <is>
          <t>110</t>
        </is>
      </c>
      <c r="H5" s="7" t="inlineStr">
        <is>
          <t>112</t>
        </is>
      </c>
      <c r="I5" s="7" t="inlineStr">
        <is>
          <t>92</t>
        </is>
      </c>
      <c r="J5" s="7" t="inlineStr">
        <is>
          <t>111</t>
        </is>
      </c>
      <c r="K5" s="8" t="n"/>
      <c r="L5" s="7" t="inlineStr">
        <is>
          <t>36-5</t>
        </is>
      </c>
      <c r="N5" t="inlineStr">
        <is>
          <t>The Contract of Darkness</t>
        </is>
      </c>
    </row>
    <row r="6">
      <c r="A6" s="6" t="inlineStr">
        <is>
          <t>Flat ATTACK</t>
        </is>
      </c>
      <c r="B6" s="8">
        <f>INDEX($C$6:$L$6,MATCH($B$4,$C$2:$L$2,0))</f>
        <v/>
      </c>
      <c r="C6" s="7" t="n">
        <v>972067</v>
      </c>
      <c r="D6" s="7" t="n">
        <v>1030606</v>
      </c>
      <c r="E6" s="7" t="n">
        <v>972067</v>
      </c>
      <c r="F6" s="7" t="n">
        <v>1066466</v>
      </c>
      <c r="G6" s="7" t="n">
        <v>972067</v>
      </c>
      <c r="H6" s="7" t="n">
        <v>1018641</v>
      </c>
      <c r="I6" s="7" t="n">
        <v>972067</v>
      </c>
      <c r="J6" s="7" t="n">
        <v>972067</v>
      </c>
      <c r="K6" s="7" t="n">
        <v>1069391</v>
      </c>
      <c r="L6" s="7" t="n">
        <v>972067</v>
      </c>
      <c r="N6" t="inlineStr">
        <is>
          <t>Rainbow-colored Snail Shell</t>
        </is>
      </c>
    </row>
    <row r="7">
      <c r="A7" s="6" t="inlineStr">
        <is>
          <t>ATTACK %</t>
        </is>
      </c>
      <c r="B7" s="8">
        <f>INDEX($C$7:$L$7,MATCH($B$4,$C$2:$L$2,0))</f>
        <v/>
      </c>
      <c r="C7" s="7" t="n">
        <v>32236.6</v>
      </c>
      <c r="D7" s="7" t="n">
        <v>32663.8</v>
      </c>
      <c r="E7" s="7" t="n">
        <v>32236.6</v>
      </c>
      <c r="F7" s="7" t="n">
        <v>32236.6</v>
      </c>
      <c r="G7" s="7" t="n">
        <v>32236.6</v>
      </c>
      <c r="H7" s="7" t="n">
        <v>32236.6</v>
      </c>
      <c r="I7" s="7" t="n">
        <v>32236.6</v>
      </c>
      <c r="J7" s="7" t="n">
        <v>32236.6</v>
      </c>
      <c r="K7" s="7" t="n">
        <v>32236.6</v>
      </c>
      <c r="L7" s="7" t="n">
        <v>32236.6</v>
      </c>
      <c r="N7" t="inlineStr">
        <is>
          <t>Hexagon Necklace</t>
        </is>
      </c>
    </row>
    <row r="8">
      <c r="A8" s="6" t="inlineStr">
        <is>
          <t>Defense (your own DEF stat; PvP assumes the opponent has the same Defense as you)</t>
        </is>
      </c>
      <c r="B8" s="8">
        <f>INDEX($C$8:$L$8,MATCH($B$4,$C$2:$L$2,0))</f>
        <v/>
      </c>
      <c r="C8" s="7" t="n">
        <v>54763</v>
      </c>
      <c r="D8" s="7" t="n">
        <v>55812</v>
      </c>
      <c r="E8" s="7" t="n">
        <v>54763</v>
      </c>
      <c r="F8" s="7" t="n">
        <v>54763</v>
      </c>
      <c r="G8" s="7" t="n">
        <v>54763</v>
      </c>
      <c r="H8" s="7" t="n">
        <v>54763</v>
      </c>
      <c r="I8" s="7" t="n">
        <v>54763</v>
      </c>
      <c r="J8" s="7" t="n">
        <v>54763</v>
      </c>
      <c r="K8" s="7" t="n">
        <v>54763</v>
      </c>
      <c r="L8" s="7" t="n">
        <v>54763</v>
      </c>
      <c r="N8" t="inlineStr">
        <is>
          <t>Arwen's Glass Shoes</t>
        </is>
      </c>
    </row>
    <row r="9">
      <c r="A9" s="6" t="inlineStr">
        <is>
          <t>CRIT_RATE %</t>
        </is>
      </c>
      <c r="B9" s="8">
        <f>INDEX($C$9:$L$9,MATCH($B$4,$C$2:$L$2,0))</f>
        <v/>
      </c>
      <c r="C9" s="7" t="n">
        <v>172.8</v>
      </c>
      <c r="D9" s="7" t="n">
        <v>191.7</v>
      </c>
      <c r="E9" s="7" t="n">
        <v>172.8</v>
      </c>
      <c r="F9" s="7" t="n">
        <v>177.6</v>
      </c>
      <c r="G9" s="7" t="n">
        <v>172.8</v>
      </c>
      <c r="H9" s="7" t="n">
        <v>153.8</v>
      </c>
      <c r="I9" s="7" t="n">
        <v>172.8</v>
      </c>
      <c r="J9" s="7" t="n">
        <v>172.8</v>
      </c>
      <c r="K9" s="7" t="n">
        <v>146.8</v>
      </c>
      <c r="L9" s="7" t="n">
        <v>172.8</v>
      </c>
      <c r="N9" t="inlineStr">
        <is>
          <t>Mushmom's Cap</t>
        </is>
      </c>
    </row>
    <row r="10">
      <c r="A10" s="6" t="inlineStr">
        <is>
          <t>CRIT_DAMAGE %</t>
        </is>
      </c>
      <c r="B10" s="8">
        <f>INDEX($C$10:$L$10,MATCH($B$4,$C$2:$L$2,0))</f>
        <v/>
      </c>
      <c r="C10" s="7" t="n">
        <v>327.6</v>
      </c>
      <c r="D10" s="7" t="n">
        <v>346.9</v>
      </c>
      <c r="E10" s="7" t="n">
        <v>327.6</v>
      </c>
      <c r="F10" s="7" t="n">
        <v>322.9</v>
      </c>
      <c r="G10" s="7" t="n">
        <v>327.6</v>
      </c>
      <c r="H10" s="7" t="n">
        <v>351.3</v>
      </c>
      <c r="I10" s="7" t="n">
        <v>327.6</v>
      </c>
      <c r="J10" s="7" t="n">
        <v>327.6</v>
      </c>
      <c r="K10" s="7" t="n">
        <v>295.8</v>
      </c>
      <c r="L10" s="7" t="n">
        <v>327.6</v>
      </c>
      <c r="N10" t="inlineStr">
        <is>
          <t>Clear Spring Water</t>
        </is>
      </c>
    </row>
    <row r="11">
      <c r="A11" s="6" t="inlineStr">
        <is>
          <t>ATTACK_SPEED % (base, excludes Nimble Feet)</t>
        </is>
      </c>
      <c r="B11" s="8">
        <f>INDEX($C$11:$L$11,MATCH($B$4,$C$2:$L$2,0))</f>
        <v/>
      </c>
      <c r="C11" s="7" t="n">
        <v>70</v>
      </c>
      <c r="D11" s="7" t="n">
        <v>69.90000000000001</v>
      </c>
      <c r="E11" s="7" t="n">
        <v>70</v>
      </c>
      <c r="F11" s="7" t="n">
        <v>61.5</v>
      </c>
      <c r="G11" s="7" t="n">
        <v>70</v>
      </c>
      <c r="H11" s="7" t="n">
        <v>61.7</v>
      </c>
      <c r="I11" s="7" t="n">
        <v>70</v>
      </c>
      <c r="J11" s="7" t="n">
        <v>70</v>
      </c>
      <c r="K11" s="7" t="n">
        <v>71.90000000000001</v>
      </c>
      <c r="L11" s="7" t="n">
        <v>70</v>
      </c>
      <c r="N11" t="inlineStr">
        <is>
          <t>Athena Pierce's Old Gloves</t>
        </is>
      </c>
    </row>
    <row r="12">
      <c r="A12" s="6" t="inlineStr">
        <is>
          <t>Flat INT</t>
        </is>
      </c>
      <c r="B12" s="8">
        <f>INDEX($C$12:$L$12,MATCH($B$4,$C$2:$L$2,0))</f>
        <v/>
      </c>
      <c r="C12" s="7" t="n">
        <v>59700</v>
      </c>
      <c r="D12" s="7" t="n">
        <v>64664</v>
      </c>
      <c r="E12" s="7" t="n">
        <v>59700</v>
      </c>
      <c r="F12" s="7" t="n">
        <v>63549</v>
      </c>
      <c r="G12" s="7" t="n">
        <v>59700</v>
      </c>
      <c r="H12" s="7" t="n">
        <v>63549</v>
      </c>
      <c r="I12" s="7" t="n">
        <v>59700</v>
      </c>
      <c r="J12" s="7" t="n">
        <v>59700</v>
      </c>
      <c r="K12" s="7" t="n">
        <v>63234</v>
      </c>
      <c r="L12" s="7" t="n">
        <v>59700</v>
      </c>
      <c r="N12" t="inlineStr">
        <is>
          <t>Zakum's Stone Piece</t>
        </is>
      </c>
    </row>
    <row r="13">
      <c r="A13" s="6" t="inlineStr">
        <is>
          <t>INT %</t>
        </is>
      </c>
      <c r="B13" s="8">
        <f>INDEX($C$13:$L$13,MATCH($B$4,$C$2:$L$2,0))</f>
        <v/>
      </c>
      <c r="C13" s="7" t="n">
        <v>248.1</v>
      </c>
      <c r="D13" s="7" t="n">
        <v>253.7</v>
      </c>
      <c r="E13" s="7" t="n">
        <v>248.1</v>
      </c>
      <c r="F13" s="7" t="n">
        <v>243</v>
      </c>
      <c r="G13" s="7" t="n">
        <v>248.1</v>
      </c>
      <c r="H13" s="7" t="n">
        <v>262.3</v>
      </c>
      <c r="I13" s="7" t="n">
        <v>248.1</v>
      </c>
      <c r="J13" s="7" t="n">
        <v>248.1</v>
      </c>
      <c r="K13" s="7" t="n">
        <v>248.3</v>
      </c>
      <c r="L13" s="7" t="n">
        <v>248.1</v>
      </c>
      <c r="N13" t="inlineStr">
        <is>
          <t>Horntail's Scale</t>
        </is>
      </c>
    </row>
    <row r="14">
      <c r="A14" s="6" t="inlineStr">
        <is>
          <t>LUK</t>
        </is>
      </c>
      <c r="B14" s="8">
        <f>INDEX($C$14:$L$14,MATCH($B$4,$C$2:$L$2,0))</f>
        <v/>
      </c>
      <c r="C14" s="7" t="n">
        <v>944</v>
      </c>
      <c r="D14" s="7" t="n">
        <v>896</v>
      </c>
      <c r="E14" s="7" t="n">
        <v>944</v>
      </c>
      <c r="F14" s="7" t="n">
        <v>944</v>
      </c>
      <c r="G14" s="7" t="n">
        <v>944</v>
      </c>
      <c r="H14" s="7" t="n">
        <v>944</v>
      </c>
      <c r="I14" s="7" t="n">
        <v>944</v>
      </c>
      <c r="J14" s="7" t="n">
        <v>944</v>
      </c>
      <c r="K14" s="7" t="n">
        <v>944</v>
      </c>
      <c r="L14" s="7" t="n">
        <v>944</v>
      </c>
      <c r="N14" t="inlineStr">
        <is>
          <t>Pink Bean's Giant Rib</t>
        </is>
      </c>
    </row>
    <row r="15">
      <c r="A15" s="6" t="inlineStr">
        <is>
          <t>DAMAGE %</t>
        </is>
      </c>
      <c r="B15" s="8">
        <f>INDEX($C$15:$L$15,MATCH($B$4,$C$2:$L$2,0))</f>
        <v/>
      </c>
      <c r="C15" s="7" t="n">
        <v>957.7</v>
      </c>
      <c r="D15" s="7" t="n">
        <v>930.9</v>
      </c>
      <c r="E15" s="7" t="n">
        <v>957.7</v>
      </c>
      <c r="F15" s="7" t="n">
        <v>902</v>
      </c>
      <c r="G15" s="7" t="n">
        <v>957.7</v>
      </c>
      <c r="H15" s="7" t="n">
        <v>904.4</v>
      </c>
      <c r="I15" s="7" t="n">
        <v>957.7</v>
      </c>
      <c r="J15" s="7" t="n">
        <v>957.7</v>
      </c>
      <c r="K15" s="7" t="n">
        <v>912.2</v>
      </c>
      <c r="L15" s="7" t="n">
        <v>957.7</v>
      </c>
      <c r="N15" t="inlineStr">
        <is>
          <t>Chalice</t>
        </is>
      </c>
    </row>
    <row r="16">
      <c r="A16" s="6" t="inlineStr">
        <is>
          <t>DAMAGE_AMP %</t>
        </is>
      </c>
      <c r="B16" s="8">
        <f>INDEX($C$16:$L$16,MATCH($B$4,$C$2:$L$2,0))</f>
        <v/>
      </c>
      <c r="C16" s="7" t="n">
        <v>85.7</v>
      </c>
      <c r="D16" s="7" t="n">
        <v>87.59999999999999</v>
      </c>
      <c r="E16" s="7" t="n">
        <v>85.7</v>
      </c>
      <c r="F16" s="7" t="n">
        <v>85.7</v>
      </c>
      <c r="G16" s="7" t="n">
        <v>85.7</v>
      </c>
      <c r="H16" s="7" t="n">
        <v>85.7</v>
      </c>
      <c r="I16" s="7" t="n">
        <v>85.7</v>
      </c>
      <c r="J16" s="7" t="n">
        <v>85.7</v>
      </c>
      <c r="K16" s="7" t="n">
        <v>85.7</v>
      </c>
      <c r="L16" s="7" t="n">
        <v>85.7</v>
      </c>
      <c r="N16" t="inlineStr">
        <is>
          <t>Old Music Box</t>
        </is>
      </c>
    </row>
    <row r="17">
      <c r="A17" s="6" t="inlineStr">
        <is>
          <t>BASIC_ATTACK_DAMAGE %</t>
        </is>
      </c>
      <c r="B17" s="8">
        <f>INDEX($C$17:$L$17,MATCH($B$4,$C$2:$L$2,0))</f>
        <v/>
      </c>
      <c r="C17" s="7" t="n">
        <v>45.6</v>
      </c>
      <c r="D17" s="7" t="n">
        <v>34.6</v>
      </c>
      <c r="E17" s="7" t="n">
        <v>45.6</v>
      </c>
      <c r="F17" s="7" t="n">
        <v>33.6</v>
      </c>
      <c r="G17" s="7" t="n">
        <v>45.6</v>
      </c>
      <c r="H17" s="7" t="n">
        <v>33.6</v>
      </c>
      <c r="I17" s="7" t="n">
        <v>45.6</v>
      </c>
      <c r="J17" s="7" t="n">
        <v>45.6</v>
      </c>
      <c r="K17" s="7" t="n">
        <v>31.6</v>
      </c>
      <c r="L17" s="7" t="n">
        <v>45.6</v>
      </c>
      <c r="N17" t="inlineStr">
        <is>
          <t>Silver Pendant</t>
        </is>
      </c>
    </row>
    <row r="18">
      <c r="A18" s="6" t="inlineStr">
        <is>
          <t>SKILL_DAMAGE %</t>
        </is>
      </c>
      <c r="B18" s="8">
        <f>INDEX($C$18:$L$18,MATCH($B$4,$C$2:$L$2,0))</f>
        <v/>
      </c>
      <c r="C18" s="7" t="n">
        <v>105.4</v>
      </c>
      <c r="D18" s="7" t="n">
        <v>105.4</v>
      </c>
      <c r="E18" s="7" t="n">
        <v>105.4</v>
      </c>
      <c r="F18" s="7" t="n">
        <v>105.4</v>
      </c>
      <c r="G18" s="7" t="n">
        <v>105.4</v>
      </c>
      <c r="H18" s="7" t="n">
        <v>104.6</v>
      </c>
      <c r="I18" s="7" t="n">
        <v>105.4</v>
      </c>
      <c r="J18" s="7" t="n">
        <v>105.4</v>
      </c>
      <c r="K18" s="7" t="n">
        <v>104.6</v>
      </c>
      <c r="L18" s="7" t="n">
        <v>105.4</v>
      </c>
      <c r="N18" t="inlineStr">
        <is>
          <t>Star Rock</t>
        </is>
      </c>
    </row>
    <row r="19">
      <c r="A19" s="6" t="inlineStr">
        <is>
          <t>DEF_PEN %</t>
        </is>
      </c>
      <c r="B19" s="8">
        <f>INDEX($C$19:$L$19,MATCH($B$4,$C$2:$L$2,0))</f>
        <v/>
      </c>
      <c r="C19" s="7" t="n">
        <v>49.6</v>
      </c>
      <c r="D19" s="7" t="n">
        <v>44.8</v>
      </c>
      <c r="E19" s="7" t="n">
        <v>49.6</v>
      </c>
      <c r="F19" s="7" t="n">
        <v>45.1</v>
      </c>
      <c r="G19" s="7" t="n">
        <v>49.6</v>
      </c>
      <c r="H19" s="7" t="n">
        <v>41.1</v>
      </c>
      <c r="I19" s="7" t="n">
        <v>49.6</v>
      </c>
      <c r="J19" s="7" t="n">
        <v>49.6</v>
      </c>
      <c r="K19" s="7" t="n">
        <v>66.8</v>
      </c>
      <c r="L19" s="7" t="n">
        <v>49.6</v>
      </c>
      <c r="N19" t="inlineStr">
        <is>
          <t>Book of Ancient</t>
        </is>
      </c>
    </row>
    <row r="20">
      <c r="A20" s="6" t="inlineStr">
        <is>
          <t>BOSS_DAMAGE %</t>
        </is>
      </c>
      <c r="B20" s="8">
        <f>INDEX($C$20:$L$20,MATCH($B$4,$C$2:$L$2,0))</f>
        <v/>
      </c>
      <c r="C20" s="7" t="n">
        <v>192.1</v>
      </c>
      <c r="D20" s="7" t="n">
        <v>228.5</v>
      </c>
      <c r="E20" s="7" t="n">
        <v>192.1</v>
      </c>
      <c r="F20" s="7" t="n">
        <v>66</v>
      </c>
      <c r="G20" s="7" t="n">
        <v>192.1</v>
      </c>
      <c r="H20" s="7" t="n">
        <v>379.3</v>
      </c>
      <c r="I20" s="7" t="n">
        <v>192.1</v>
      </c>
      <c r="J20" s="7" t="n">
        <v>192.1</v>
      </c>
      <c r="K20" s="7" t="n">
        <v>248.5</v>
      </c>
      <c r="L20" s="7" t="n">
        <v>192.1</v>
      </c>
      <c r="N20" t="inlineStr">
        <is>
          <t>Lunar Dew</t>
        </is>
      </c>
    </row>
    <row r="21">
      <c r="A21" s="6" t="inlineStr">
        <is>
          <t>NORMAL_DAMAGE %</t>
        </is>
      </c>
      <c r="B21" s="8">
        <f>INDEX($C$21:$L$21,MATCH($B$4,$C$2:$L$2,0))</f>
        <v/>
      </c>
      <c r="C21" s="7" t="n">
        <v>223.8</v>
      </c>
      <c r="D21" s="7" t="n">
        <v>214.6</v>
      </c>
      <c r="E21" s="7" t="n">
        <v>223.8</v>
      </c>
      <c r="F21" s="7" t="n">
        <v>356.1</v>
      </c>
      <c r="G21" s="7" t="n">
        <v>223.8</v>
      </c>
      <c r="H21" s="7" t="n">
        <v>72</v>
      </c>
      <c r="I21" s="7" t="n">
        <v>223.8</v>
      </c>
      <c r="J21" s="7" t="n">
        <v>223.8</v>
      </c>
      <c r="K21" s="7" t="n">
        <v>52</v>
      </c>
      <c r="L21" s="7" t="n">
        <v>223.8</v>
      </c>
      <c r="N21" t="inlineStr">
        <is>
          <t>Fire Flower</t>
        </is>
      </c>
    </row>
    <row r="22">
      <c r="A22" s="6" t="inlineStr">
        <is>
          <t>MIN_DAMAGE %</t>
        </is>
      </c>
      <c r="B22" s="8">
        <f>INDEX($C$22:$L$22,MATCH($B$4,$C$2:$L$2,0))</f>
        <v/>
      </c>
      <c r="C22" s="7" t="n">
        <v>307.7</v>
      </c>
      <c r="D22" s="7" t="n">
        <v>309.5</v>
      </c>
      <c r="E22" s="7" t="n">
        <v>307.7</v>
      </c>
      <c r="F22" s="7" t="n">
        <v>285.8</v>
      </c>
      <c r="G22" s="7" t="n">
        <v>307.7</v>
      </c>
      <c r="H22" s="7" t="n">
        <v>245.9</v>
      </c>
      <c r="I22" s="7" t="n">
        <v>307.7</v>
      </c>
      <c r="J22" s="7" t="n">
        <v>307.7</v>
      </c>
      <c r="K22" s="7" t="n">
        <v>208.9</v>
      </c>
      <c r="L22" s="7" t="n">
        <v>307.7</v>
      </c>
      <c r="N22" t="inlineStr">
        <is>
          <t>Soul Contract</t>
        </is>
      </c>
    </row>
    <row r="23">
      <c r="A23" s="6" t="inlineStr">
        <is>
          <t>MAX_DAMAGE %</t>
        </is>
      </c>
      <c r="B23" s="8">
        <f>INDEX($C$23:$L$23,MATCH($B$4,$C$2:$L$2,0))</f>
        <v/>
      </c>
      <c r="C23" s="7" t="n">
        <v>313.5</v>
      </c>
      <c r="D23" s="7" t="n">
        <v>307.4</v>
      </c>
      <c r="E23" s="7" t="n">
        <v>313.5</v>
      </c>
      <c r="F23" s="7" t="n">
        <v>292.6</v>
      </c>
      <c r="G23" s="7" t="n">
        <v>313.5</v>
      </c>
      <c r="H23" s="7" t="n">
        <v>314.4</v>
      </c>
      <c r="I23" s="7" t="n">
        <v>313.5</v>
      </c>
      <c r="J23" s="7" t="n">
        <v>313.5</v>
      </c>
      <c r="K23" s="7" t="n">
        <v>268.4</v>
      </c>
      <c r="L23" s="7" t="n">
        <v>313.5</v>
      </c>
      <c r="N23" t="inlineStr">
        <is>
          <t>Lit Lamp</t>
        </is>
      </c>
    </row>
    <row r="24">
      <c r="A24" s="6" t="inlineStr">
        <is>
          <t>FINAL_DAMAGE % (base, excludes Infinity)</t>
        </is>
      </c>
      <c r="B24" s="8">
        <f>INDEX($C$24:$L$24,MATCH($B$4,$C$2:$L$2,0))</f>
        <v/>
      </c>
      <c r="C24" s="7" t="n">
        <v>91.40000000000001</v>
      </c>
      <c r="D24" s="7" t="n">
        <v>104.3</v>
      </c>
      <c r="E24" s="7" t="n">
        <v>91.40000000000001</v>
      </c>
      <c r="F24" s="7" t="n">
        <v>134.9</v>
      </c>
      <c r="G24" s="7" t="n">
        <v>91.40000000000001</v>
      </c>
      <c r="H24" s="7" t="n">
        <v>133.6</v>
      </c>
      <c r="I24" s="7" t="n">
        <v>91.40000000000001</v>
      </c>
      <c r="J24" s="7" t="n">
        <v>91.40000000000001</v>
      </c>
      <c r="K24" s="7" t="n">
        <v>97.90000000000001</v>
      </c>
      <c r="L24" s="7" t="n">
        <v>91.40000000000001</v>
      </c>
      <c r="N24" t="inlineStr">
        <is>
          <t>Soul Pouch</t>
        </is>
      </c>
    </row>
    <row r="25">
      <c r="A25" s="6" t="inlineStr">
        <is>
          <t>Skill Level Bonus — 1st Job</t>
        </is>
      </c>
      <c r="B25" s="8">
        <f>INDEX($C$25:$L$25,MATCH($B$4,$C$2:$L$2,0))</f>
        <v/>
      </c>
      <c r="C25" s="7" t="n">
        <v>0</v>
      </c>
      <c r="D25" s="7" t="n">
        <v>12</v>
      </c>
      <c r="E25" s="7" t="n">
        <v>0</v>
      </c>
      <c r="F25" s="7" t="n">
        <v>12</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19</v>
      </c>
      <c r="D26" s="7" t="n">
        <v>13</v>
      </c>
      <c r="E26" s="7" t="n">
        <v>19</v>
      </c>
      <c r="F26" s="7" t="n">
        <v>21</v>
      </c>
      <c r="G26" s="7" t="n">
        <v>19</v>
      </c>
      <c r="H26" s="7" t="n">
        <v>35</v>
      </c>
      <c r="I26" s="7" t="n">
        <v>19</v>
      </c>
      <c r="J26" s="7" t="n">
        <v>19</v>
      </c>
      <c r="K26" s="7" t="n">
        <v>35</v>
      </c>
      <c r="L26" s="7" t="n">
        <v>19</v>
      </c>
      <c r="N26" t="inlineStr">
        <is>
          <t>Icy Soul Rock</t>
        </is>
      </c>
    </row>
    <row r="27">
      <c r="A27" s="6" t="inlineStr">
        <is>
          <t>Skill Level Bonus — 3rd Job</t>
        </is>
      </c>
      <c r="B27" s="8">
        <f>INDEX($C$27:$L$27,MATCH($B$4,$C$2:$L$2,0))</f>
        <v/>
      </c>
      <c r="C27" s="7" t="n">
        <v>22</v>
      </c>
      <c r="D27" s="7" t="n">
        <v>9</v>
      </c>
      <c r="E27" s="7" t="n">
        <v>22</v>
      </c>
      <c r="F27" s="7" t="n">
        <v>23</v>
      </c>
      <c r="G27" s="7" t="n">
        <v>22</v>
      </c>
      <c r="H27" s="7" t="n">
        <v>9</v>
      </c>
      <c r="I27" s="7" t="n">
        <v>22</v>
      </c>
      <c r="J27" s="7" t="n">
        <v>22</v>
      </c>
      <c r="K27" s="7" t="n">
        <v>9</v>
      </c>
      <c r="L27" s="7" t="n">
        <v>22</v>
      </c>
      <c r="N27" t="inlineStr">
        <is>
          <t>Flaming Lava</t>
        </is>
      </c>
    </row>
    <row r="28">
      <c r="A28" s="6" t="inlineStr">
        <is>
          <t>Skill Level Bonus — 4th Job</t>
        </is>
      </c>
      <c r="B28" s="8">
        <f>INDEX($C$28:$L$28,MATCH($B$4,$C$2:$L$2,0))</f>
        <v/>
      </c>
      <c r="C28" s="7" t="n">
        <v>54</v>
      </c>
      <c r="D28" s="7" t="n">
        <v>45</v>
      </c>
      <c r="E28" s="7" t="n">
        <v>54</v>
      </c>
      <c r="F28" s="7" t="n">
        <v>46</v>
      </c>
      <c r="G28" s="7" t="n">
        <v>54</v>
      </c>
      <c r="H28" s="7" t="n">
        <v>63</v>
      </c>
      <c r="I28" s="7" t="n">
        <v>54</v>
      </c>
      <c r="J28" s="7" t="n">
        <v>54</v>
      </c>
      <c r="K28" s="7" t="n">
        <v>76</v>
      </c>
      <c r="L28" s="7" t="n">
        <v>54</v>
      </c>
      <c r="N28" t="inlineStr">
        <is>
          <t>Sayram's Necklace</t>
        </is>
      </c>
    </row>
    <row r="29">
      <c r="A29" s="6" t="inlineStr">
        <is>
          <t>Skill Level Bonus — All Skills</t>
        </is>
      </c>
      <c r="B29" s="8">
        <f>INDEX($C$29:$L$29,MATCH($B$4,$C$2:$L$2,0))</f>
        <v/>
      </c>
      <c r="C29" s="7" t="n">
        <v>55</v>
      </c>
      <c r="D29" s="7" t="n">
        <v>55</v>
      </c>
      <c r="E29" s="7" t="n">
        <v>55</v>
      </c>
      <c r="F29" s="7" t="n">
        <v>55</v>
      </c>
      <c r="G29" s="7" t="n">
        <v>55</v>
      </c>
      <c r="H29" s="7" t="n">
        <v>55</v>
      </c>
      <c r="I29" s="7" t="n">
        <v>55</v>
      </c>
      <c r="J29" s="7" t="n">
        <v>55</v>
      </c>
      <c r="K29" s="7" t="n">
        <v>55</v>
      </c>
      <c r="L29" s="7" t="n">
        <v>55</v>
      </c>
      <c r="N29" t="inlineStr">
        <is>
          <t>Bottle of Emotion</t>
        </is>
      </c>
    </row>
    <row r="30">
      <c r="N30" t="inlineStr">
        <is>
          <t>Peach Tree Herb Pouch</t>
        </is>
      </c>
    </row>
    <row r="31">
      <c r="A31" s="9" t="inlineStr">
        <is>
          <t>Additional Bonuses</t>
        </is>
      </c>
      <c r="N31" t="inlineStr">
        <is>
          <t>Candle</t>
        </is>
      </c>
    </row>
    <row r="32">
      <c r="A32" s="6" t="inlineStr">
        <is>
          <t>Skill Cooldown Decrease (seconds, only skills/buffs the character actively casts)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6</v>
      </c>
      <c r="D33" s="7" t="n">
        <v>6</v>
      </c>
      <c r="E33" s="7" t="n">
        <v>6</v>
      </c>
      <c r="F33" s="7" t="n">
        <v>6</v>
      </c>
      <c r="G33" s="7" t="n">
        <v>6</v>
      </c>
      <c r="H33" s="7" t="n">
        <v>6</v>
      </c>
      <c r="I33" s="7" t="n">
        <v>6</v>
      </c>
      <c r="J33" s="7" t="n">
        <v>6</v>
      </c>
      <c r="K33" s="7" t="n">
        <v>6</v>
      </c>
      <c r="L33" s="7" t="n">
        <v>6</v>
      </c>
      <c r="N33" t="inlineStr">
        <is>
          <t>Horn Flute</t>
        </is>
      </c>
    </row>
    <row r="34">
      <c r="A34" s="6" t="inlineStr">
        <is>
          <t>Buff Duration Increase %</t>
        </is>
      </c>
      <c r="B34" s="8">
        <f>INDEX($C$34:$L$34,MATCH($B$4,$C$2:$L$2,0))</f>
        <v/>
      </c>
      <c r="C34" s="7" t="n">
        <v>20</v>
      </c>
      <c r="D34" s="7" t="n">
        <v>34.5</v>
      </c>
      <c r="E34" s="7" t="n">
        <v>20</v>
      </c>
      <c r="F34" s="7" t="n">
        <v>20</v>
      </c>
      <c r="G34" s="7" t="n">
        <v>20</v>
      </c>
      <c r="H34" s="7" t="n">
        <v>20</v>
      </c>
      <c r="I34" s="7" t="n">
        <v>20</v>
      </c>
      <c r="J34" s="7" t="n">
        <v>20</v>
      </c>
      <c r="K34" s="7" t="n">
        <v>20</v>
      </c>
      <c r="L34" s="7" t="n">
        <v>20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Equal</t>
        </is>
      </c>
      <c r="E36" s="8" t="n"/>
      <c r="F36" s="8" t="n"/>
      <c r="G36" s="8" t="n"/>
      <c r="H36" s="8" t="n"/>
      <c r="I36" s="8" t="n"/>
      <c r="J36" s="7" t="inlineStr">
        <is>
          <t>Equal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Book of Ancient</t>
        </is>
      </c>
      <c r="D47" s="7" t="inlineStr">
        <is>
          <t>Book of Ancient</t>
        </is>
      </c>
      <c r="E47" s="7" t="inlineStr">
        <is>
          <t>Book of Ancient</t>
        </is>
      </c>
      <c r="F47" s="7" t="inlineStr">
        <is>
          <t>Book of Ancient</t>
        </is>
      </c>
      <c r="G47" s="7" t="inlineStr">
        <is>
          <t>Book of Ancient</t>
        </is>
      </c>
      <c r="H47" s="7" t="inlineStr">
        <is>
          <t>Book of Ancient</t>
        </is>
      </c>
      <c r="I47" s="7" t="inlineStr">
        <is>
          <t>Book of Ancient</t>
        </is>
      </c>
      <c r="J47" s="7" t="inlineStr">
        <is>
          <t>Book of Ancient</t>
        </is>
      </c>
      <c r="K47" s="7" t="inlineStr">
        <is>
          <t>Reindeer's Spear</t>
        </is>
      </c>
      <c r="L47" s="7" t="inlineStr">
        <is>
          <t>Book of Ancient</t>
        </is>
      </c>
    </row>
    <row r="48">
      <c r="A48" s="6" t="inlineStr">
        <is>
          <t>Slot 2</t>
        </is>
      </c>
      <c r="B48" s="8">
        <f>INDEX($C$48:$L$48,MATCH($B$4,$C$2:$L$2,0))</f>
        <v/>
      </c>
      <c r="C48" s="7" t="inlineStr">
        <is>
          <t>(none)</t>
        </is>
      </c>
      <c r="D48" s="7" t="inlineStr">
        <is>
          <t>Ring of Cycles</t>
        </is>
      </c>
      <c r="E48" s="7" t="inlineStr">
        <is>
          <t>(none)</t>
        </is>
      </c>
      <c r="F48" s="7" t="inlineStr">
        <is>
          <t>Ring of Cycles</t>
        </is>
      </c>
      <c r="G48" s="7" t="inlineStr">
        <is>
          <t>(none)</t>
        </is>
      </c>
      <c r="H48" s="7" t="inlineStr">
        <is>
          <t>Ring of Cycles</t>
        </is>
      </c>
      <c r="I48" s="7" t="inlineStr">
        <is>
          <t>(none)</t>
        </is>
      </c>
      <c r="J48" s="7" t="inlineStr">
        <is>
          <t>(none)</t>
        </is>
      </c>
      <c r="K48" s="7" t="inlineStr">
        <is>
          <t>Ring of Cycles</t>
        </is>
      </c>
      <c r="L48" s="7" t="inlineStr">
        <is>
          <t>(none)</t>
        </is>
      </c>
    </row>
    <row r="49">
      <c r="A49" s="6" t="inlineStr">
        <is>
          <t>Slot 3</t>
        </is>
      </c>
      <c r="B49" s="8">
        <f>INDEX($C$49:$L$49,MATCH($B$4,$C$2:$L$2,0))</f>
        <v/>
      </c>
      <c r="C49" s="7" t="inlineStr">
        <is>
          <t>(none)</t>
        </is>
      </c>
      <c r="D49" s="7" t="inlineStr">
        <is>
          <t>Hexagon Necklace</t>
        </is>
      </c>
      <c r="E49" s="7" t="inlineStr">
        <is>
          <t>(none)</t>
        </is>
      </c>
      <c r="F49" s="7" t="inlineStr">
        <is>
          <t>Clear Spring Water</t>
        </is>
      </c>
      <c r="G49" s="7" t="inlineStr">
        <is>
          <t>(none)</t>
        </is>
      </c>
      <c r="H49" s="7" t="inlineStr">
        <is>
          <t>Clear Spring Water</t>
        </is>
      </c>
      <c r="I49" s="7" t="inlineStr">
        <is>
          <t>(none)</t>
        </is>
      </c>
      <c r="J49" s="7" t="inlineStr">
        <is>
          <t>(none)</t>
        </is>
      </c>
      <c r="K49" s="7" t="inlineStr">
        <is>
          <t>Hexagon Necklace</t>
        </is>
      </c>
      <c r="L49" s="7" t="inlineStr">
        <is>
          <t>(none)</t>
        </is>
      </c>
    </row>
    <row r="50">
      <c r="A50" s="6" t="inlineStr">
        <is>
          <t>Slot 4</t>
        </is>
      </c>
      <c r="B50" s="8">
        <f>INDEX($C$50:$L$50,MATCH($B$4,$C$2:$L$2,0))</f>
        <v/>
      </c>
      <c r="C50" s="7" t="inlineStr">
        <is>
          <t>(none)</t>
        </is>
      </c>
      <c r="D50" s="7" t="inlineStr">
        <is>
          <t>Athena Pierce's Old Gloves</t>
        </is>
      </c>
      <c r="E50" s="7" t="inlineStr">
        <is>
          <t>(none)</t>
        </is>
      </c>
      <c r="F50" s="7" t="inlineStr">
        <is>
          <t>Secret Map</t>
        </is>
      </c>
      <c r="G50" s="7" t="inlineStr">
        <is>
          <t>(none)</t>
        </is>
      </c>
      <c r="H50" s="7" t="inlineStr">
        <is>
          <t>Hexagon Necklace</t>
        </is>
      </c>
      <c r="I50" s="7" t="inlineStr">
        <is>
          <t>(none)</t>
        </is>
      </c>
      <c r="J50" s="7" t="inlineStr">
        <is>
          <t>(none)</t>
        </is>
      </c>
      <c r="K50" s="7" t="inlineStr">
        <is>
          <t>Old Music Box</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8"/>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8" customWidth="1" min="3" max="3"/>
    <col width="8" customWidth="1" min="4" max="4"/>
    <col width="11" customWidth="1" min="5" max="5"/>
    <col width="15"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16" customWidth="1" min="18" max="18"/>
    <col width="15" customWidth="1" min="19" max="19"/>
    <col width="14" customWidth="1" min="20" max="20"/>
    <col width="22" customWidth="1" min="21" max="21"/>
    <col width="18" customWidth="1" min="22" max="22"/>
    <col width="20" customWidth="1" min="23" max="23"/>
    <col width="20" customWidth="1" min="24" max="24"/>
    <col width="20" customWidth="1" min="25" max="25"/>
    <col width="8" customWidth="1" min="26" max="26"/>
    <col width="60" customWidth="1" min="27" max="27"/>
  </cols>
  <sheetData>
    <row r="1">
      <c r="A1" s="5" t="inlineStr">
        <is>
          <t>Key</t>
        </is>
      </c>
      <c r="B1" s="5" t="inlineStr">
        <is>
          <t>Name</t>
        </is>
      </c>
      <c r="C1" s="5" t="inlineStr">
        <is>
          <t>JobStep</t>
        </is>
      </c>
      <c r="D1" s="5" t="inlineStr">
        <is>
          <t>Element</t>
        </is>
      </c>
      <c r="E1" s="5" t="inlineStr">
        <is>
          <t>Cooldown(s)</t>
        </is>
      </c>
      <c r="F1" s="5" t="inlineStr">
        <is>
          <t>CostsActionSlot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TriggersElementalDecrease</t>
        </is>
      </c>
      <c r="V1" s="5" t="inlineStr">
        <is>
          <t>TriggersMeteorProc</t>
        </is>
      </c>
      <c r="W1" s="5" t="inlineStr">
        <is>
          <t>MeteorProcTriggersPerCast</t>
        </is>
      </c>
      <c r="X1" s="5" t="inlineStr">
        <is>
          <t>MapleHeroBase(tenths%)</t>
        </is>
      </c>
      <c r="Y1" s="5" t="inlineStr">
        <is>
          <t>MapleHeroFactorIndex</t>
        </is>
      </c>
      <c r="Z1" s="5" t="inlineStr">
        <is>
          <t>Stacks</t>
        </is>
      </c>
      <c r="AA1" s="5" t="inlineStr">
        <is>
          <t>Note</t>
        </is>
      </c>
    </row>
    <row r="2">
      <c r="A2" t="inlineStr">
        <is>
          <t>BASIC_ATTACK</t>
        </is>
      </c>
      <c r="B2" t="inlineStr">
        <is>
          <t>Basic Attack</t>
        </is>
      </c>
      <c r="C2" t="n">
        <v>4</v>
      </c>
      <c r="D2" t="inlineStr">
        <is>
          <t>Fire</t>
        </is>
      </c>
      <c r="E2" t="inlineStr"/>
      <c r="F2" t="b">
        <v>0</v>
      </c>
      <c r="G2" t="n">
        <v>5</v>
      </c>
      <c r="H2" t="n">
        <v>0</v>
      </c>
      <c r="I2" t="n">
        <v>0</v>
      </c>
      <c r="J2" t="n">
        <v>100</v>
      </c>
      <c r="K2" t="n">
        <v>1</v>
      </c>
      <c r="L2" t="inlineStr"/>
      <c r="M2" t="inlineStr"/>
      <c r="N2" t="b">
        <v>1</v>
      </c>
      <c r="O2">
        <f>SUMPRODUCT((Inputs!$B$3&gt;={102,106,116,120,128,132})*{10,11,12,13,14,15})</f>
        <v/>
      </c>
      <c r="P2">
        <f>SUMPRODUCT((Inputs!$B$3&gt;={111,124})*{10,10})</f>
        <v/>
      </c>
      <c r="Q2" t="n">
        <v>0</v>
      </c>
      <c r="R2">
        <f>6+Inputs!$B$33+IF(Inputs!$B$3&gt;=136,1,0)</f>
        <v/>
      </c>
      <c r="S2" t="inlineStr"/>
      <c r="T2" t="n">
        <v>0</v>
      </c>
      <c r="U2" t="b">
        <v>0</v>
      </c>
      <c r="V2" t="b">
        <v>0</v>
      </c>
      <c r="W2" t="n">
        <v>1</v>
      </c>
      <c r="X2" t="inlineStr"/>
      <c r="Y2" t="inlineStr"/>
      <c r="Z2" t="inlineStr"/>
      <c r="AA2" t="inlineStr">
        <is>
          <t>5 lines of damage per attack cycle — 5 independent full-damage hits (HitsPerCast=5), each using the same expected-damage-per-hit; no cooldown, DPS uses Basic Attacks/sec from the action-economy block. Basic Attack Mastery (level-gated sum: +10@102, +11@106, +12@116, +13@120, +14@128, +15@132 — 75% total once every tier is unlocked) and Boss Mastery (level-gated sum: +10@111, +10@124 — 20% total) are just this row's SkillMasteryBonus%/MasteryBossDamage% — same mechanism as every other skill, no separate Inputs-sheet fields. Basic Attack's own cast rate (Summary!Basic Attacks Per Second) is always added into the Meteor Proc trigger rate directly, so it does not need TriggersMeteorProc=TRUE here. Hits 6+Basic Attack Target Increase targets vs normal monsters (confirmed by the user), +1 more once Flame Sweep Strike Count is unlocked at level 136.</t>
        </is>
      </c>
    </row>
    <row r="3">
      <c r="A3" t="inlineStr">
        <is>
          <t>IGNITE</t>
        </is>
      </c>
      <c r="B3" t="inlineStr">
        <is>
          <t>Ignite</t>
        </is>
      </c>
      <c r="C3" t="n">
        <v>2</v>
      </c>
      <c r="D3" t="inlineStr"/>
      <c r="E3" t="n">
        <v>1</v>
      </c>
      <c r="F3" t="b">
        <v>0</v>
      </c>
      <c r="G3" t="n">
        <v>3</v>
      </c>
      <c r="H3" t="n">
        <v>0</v>
      </c>
      <c r="I3" t="n">
        <v>0</v>
      </c>
      <c r="J3" t="n">
        <v>100</v>
      </c>
      <c r="K3" t="n">
        <v>1</v>
      </c>
      <c r="L3" t="n">
        <v>130</v>
      </c>
      <c r="M3" t="n">
        <v>21</v>
      </c>
      <c r="N3" t="b">
        <v>1</v>
      </c>
      <c r="O3" t="n">
        <v>100</v>
      </c>
      <c r="P3" t="n">
        <v>0</v>
      </c>
      <c r="Q3" t="n">
        <v>0</v>
      </c>
      <c r="R3" t="n">
        <v>3</v>
      </c>
      <c r="S3" t="inlineStr"/>
      <c r="T3" t="n">
        <v>0</v>
      </c>
      <c r="U3" t="b">
        <v>0</v>
      </c>
      <c r="V3" t="b">
        <v>0</v>
      </c>
      <c r="W3" t="n">
        <v>1</v>
      </c>
      <c r="X3" t="n">
        <v>500</v>
      </c>
      <c r="Y3" t="n">
        <v>23</v>
      </c>
      <c r="Z3" t="inlineStr"/>
      <c r="AA3" t="inlineStr">
        <is>
          <t>3 walls of fire assumed permanently maintained (max instances). +250% vs Normal Monster not modeled. Skill Mastery: +100% added directly to the coefficient%. Hits 3 targets vs normal monsters.</t>
        </is>
      </c>
    </row>
    <row r="4">
      <c r="A4" t="inlineStr">
        <is>
          <t>POISON_BREATH</t>
        </is>
      </c>
      <c r="B4" t="inlineStr">
        <is>
          <t>Poison Breath</t>
        </is>
      </c>
      <c r="C4" t="n">
        <v>2</v>
      </c>
      <c r="D4" t="inlineStr">
        <is>
          <t>Poison</t>
        </is>
      </c>
      <c r="E4" t="n">
        <v>18</v>
      </c>
      <c r="F4" t="b">
        <v>1</v>
      </c>
      <c r="G4" t="n">
        <v>3</v>
      </c>
      <c r="H4" t="n">
        <v>0</v>
      </c>
      <c r="I4" t="n">
        <v>0</v>
      </c>
      <c r="J4" t="n">
        <v>100</v>
      </c>
      <c r="K4" t="n">
        <v>1</v>
      </c>
      <c r="L4" t="n">
        <v>2000</v>
      </c>
      <c r="M4" t="n">
        <v>12</v>
      </c>
      <c r="N4" t="b">
        <v>1</v>
      </c>
      <c r="O4" t="n">
        <v>70</v>
      </c>
      <c r="P4" t="n">
        <v>0</v>
      </c>
      <c r="Q4" t="n">
        <v>0</v>
      </c>
      <c r="R4" t="n">
        <v>6</v>
      </c>
      <c r="S4" t="inlineStr"/>
      <c r="T4" t="n">
        <v>0</v>
      </c>
      <c r="U4" t="b">
        <v>1</v>
      </c>
      <c r="V4" t="b">
        <v>1</v>
      </c>
      <c r="W4" t="n">
        <v>1</v>
      </c>
      <c r="X4" t="n">
        <v>800</v>
      </c>
      <c r="Y4" t="n">
        <v>23</v>
      </c>
      <c r="Z4" t="inlineStr"/>
      <c r="AA4" t="inlineStr">
        <is>
          <t>Skill Mastery: +70% added directly to the coefficient%. Hits 6 targets vs normal monsters.</t>
        </is>
      </c>
    </row>
    <row r="5">
      <c r="A5" t="inlineStr">
        <is>
          <t>ELEMENTAL_DRAIN</t>
        </is>
      </c>
      <c r="B5" t="inlineStr">
        <is>
          <t>Elemental Drain</t>
        </is>
      </c>
      <c r="C5" t="n">
        <v>2</v>
      </c>
      <c r="D5" t="inlineStr"/>
      <c r="E5" t="n">
        <v>1</v>
      </c>
      <c r="F5" t="b">
        <v>0</v>
      </c>
      <c r="G5" t="n">
        <v>5</v>
      </c>
      <c r="H5" t="n">
        <v>0</v>
      </c>
      <c r="I5" t="n">
        <v>0</v>
      </c>
      <c r="J5" t="n">
        <v>100</v>
      </c>
      <c r="K5" t="n">
        <v>1</v>
      </c>
      <c r="L5" t="n">
        <v>120</v>
      </c>
      <c r="M5" t="n">
        <v>21</v>
      </c>
      <c r="N5" t="b">
        <v>1</v>
      </c>
      <c r="O5" t="n">
        <v>0</v>
      </c>
      <c r="P5" t="n">
        <v>0</v>
      </c>
      <c r="Q5" t="n">
        <v>0</v>
      </c>
      <c r="R5" t="n">
        <v>1</v>
      </c>
      <c r="S5" t="inlineStr"/>
      <c r="T5" t="n">
        <v>0</v>
      </c>
      <c r="U5" t="b">
        <v>0</v>
      </c>
      <c r="V5" t="b">
        <v>0</v>
      </c>
      <c r="W5" t="n">
        <v>1</v>
      </c>
      <c r="X5" t="n">
        <v>1500</v>
      </c>
      <c r="Y5" t="n">
        <v>23</v>
      </c>
      <c r="Z5" t="inlineStr"/>
      <c r="AA5" t="inlineStr">
        <is>
          <t>Poison assumed permanently at 5 stacks (max instances).</t>
        </is>
      </c>
    </row>
    <row r="6">
      <c r="A6" t="inlineStr">
        <is>
          <t>MEDITATION</t>
        </is>
      </c>
      <c r="B6" t="inlineStr">
        <is>
          <t>Meditation</t>
        </is>
      </c>
      <c r="C6" t="n">
        <v>2</v>
      </c>
      <c r="D6" t="inlineStr"/>
      <c r="E6" t="n">
        <v>30</v>
      </c>
      <c r="F6" t="b">
        <v>1</v>
      </c>
      <c r="G6" t="n">
        <v>1</v>
      </c>
      <c r="H6" t="n">
        <v>0</v>
      </c>
      <c r="I6" t="n">
        <v>0</v>
      </c>
      <c r="J6" t="n">
        <v>100</v>
      </c>
      <c r="K6" t="n">
        <v>1</v>
      </c>
      <c r="L6" t="n">
        <v>200</v>
      </c>
      <c r="M6" t="n">
        <v>22</v>
      </c>
      <c r="N6" t="b">
        <v>1</v>
      </c>
      <c r="O6" t="n">
        <v>0</v>
      </c>
      <c r="P6" t="n">
        <v>0</v>
      </c>
      <c r="Q6" t="n">
        <v>0</v>
      </c>
      <c r="R6" t="n">
        <v>1</v>
      </c>
      <c r="S6" t="inlineStr">
        <is>
          <t>ATTACK</t>
        </is>
      </c>
      <c r="T6" t="n">
        <v>19.5</v>
      </c>
      <c r="U6" t="b">
        <v>0</v>
      </c>
      <c r="V6" t="b">
        <v>0</v>
      </c>
      <c r="W6" t="n">
        <v>1</v>
      </c>
      <c r="X6" t="inlineStr"/>
      <c r="Y6" t="inlineStr"/>
      <c r="Z6" t="inlineStr"/>
      <c r="AA6" t="inlineStr">
        <is>
          <t>Buff — averaged Attack% = BaseDamage/10 * Factor/1000 * Duration/Cooldown.</t>
        </is>
      </c>
    </row>
    <row r="7">
      <c r="A7" t="inlineStr">
        <is>
          <t>POISON_MIST_BURST</t>
        </is>
      </c>
      <c r="B7" t="inlineStr">
        <is>
          <t>Poison Mist (burst)</t>
        </is>
      </c>
      <c r="C7" t="n">
        <v>3</v>
      </c>
      <c r="D7" t="inlineStr">
        <is>
          <t>Poison</t>
        </is>
      </c>
      <c r="E7" t="n">
        <v>24.5</v>
      </c>
      <c r="F7" t="b">
        <v>1</v>
      </c>
      <c r="G7" t="n">
        <v>3</v>
      </c>
      <c r="H7" t="n">
        <v>0</v>
      </c>
      <c r="I7" t="n">
        <v>0</v>
      </c>
      <c r="J7" t="n">
        <v>100</v>
      </c>
      <c r="K7" t="n">
        <v>1</v>
      </c>
      <c r="L7" t="n">
        <v>1600</v>
      </c>
      <c r="M7" t="n">
        <v>12</v>
      </c>
      <c r="N7" t="b">
        <v>1</v>
      </c>
      <c r="O7" t="n">
        <v>50</v>
      </c>
      <c r="P7" t="n">
        <v>0</v>
      </c>
      <c r="Q7" t="n">
        <v>0</v>
      </c>
      <c r="R7" t="n">
        <v>10</v>
      </c>
      <c r="S7" t="inlineStr"/>
      <c r="T7" t="n">
        <v>0</v>
      </c>
      <c r="U7" t="b">
        <v>1</v>
      </c>
      <c r="V7" t="b">
        <v>1</v>
      </c>
      <c r="W7" t="n">
        <v>1</v>
      </c>
      <c r="X7" t="n">
        <v>100</v>
      </c>
      <c r="Y7" t="n">
        <v>23</v>
      </c>
      <c r="Z7" t="inlineStr"/>
      <c r="AA7" t="inlineStr">
        <is>
          <t>Skill Mastery: +50% added directly to the coefficient%. (Does not apply to the fog DoT — see that row.) Hits 10 targets vs normal monsters.</t>
        </is>
      </c>
    </row>
    <row r="8">
      <c r="A8" t="inlineStr">
        <is>
          <t>POISON_MIST_DOT</t>
        </is>
      </c>
      <c r="B8" t="inlineStr">
        <is>
          <t>Poison Mist (fog DoT)</t>
        </is>
      </c>
      <c r="C8" t="n">
        <v>3</v>
      </c>
      <c r="D8" t="inlineStr">
        <is>
          <t>Poison</t>
        </is>
      </c>
      <c r="E8" t="n">
        <v>24.5</v>
      </c>
      <c r="F8" t="b">
        <v>0</v>
      </c>
      <c r="G8" t="n">
        <v>1</v>
      </c>
      <c r="H8">
        <f>IF(Inputs!$B$3&gt;=104,0.4,0.8)</f>
        <v/>
      </c>
      <c r="I8" t="n">
        <v>20</v>
      </c>
      <c r="J8" t="n">
        <v>100</v>
      </c>
      <c r="K8" t="n">
        <v>1</v>
      </c>
      <c r="L8" t="n">
        <v>700</v>
      </c>
      <c r="M8" t="n">
        <v>12</v>
      </c>
      <c r="N8" t="b">
        <v>1</v>
      </c>
      <c r="O8" t="n">
        <v>0</v>
      </c>
      <c r="P8" t="n">
        <v>0</v>
      </c>
      <c r="Q8" t="n">
        <v>0</v>
      </c>
      <c r="R8" t="n">
        <v>10</v>
      </c>
      <c r="S8" t="inlineStr"/>
      <c r="T8" t="n">
        <v>0</v>
      </c>
      <c r="U8" t="b">
        <v>0</v>
      </c>
      <c r="V8" t="b">
        <v>0</v>
      </c>
      <c r="W8" t="n">
        <v>1</v>
      </c>
      <c r="X8" t="n">
        <v>100</v>
      </c>
      <c r="Y8" t="n">
        <v>23</v>
      </c>
      <c r="Z8" t="inlineStr"/>
      <c r="AA8" t="inlineStr">
        <is>
          <t>EffectiveHits = 1 * (ActiveWindow/ICD) = duration/tick-interval ticks per cast. Skill Mastery's +50% damage bonus does NOT apply to the fog DoT, only the burst — SkillMasteryBonus% intentionally left at 0 here. Hits 10 targets vs normal monsters, same as the burst. Tick interval is 0.8s below level 104, 0.4s once the level-104 mastery is unlocked.</t>
        </is>
      </c>
    </row>
    <row r="9">
      <c r="A9" t="inlineStr">
        <is>
          <t>MIST_ERUPTION</t>
        </is>
      </c>
      <c r="B9" t="inlineStr">
        <is>
          <t>Mist Eruption</t>
        </is>
      </c>
      <c r="C9" t="n">
        <v>4</v>
      </c>
      <c r="D9" t="inlineStr"/>
      <c r="E9">
        <f>Skills!E7</f>
        <v/>
      </c>
      <c r="F9" t="b">
        <v>0</v>
      </c>
      <c r="G9">
        <f>IF(Inputs!$B$38="pvp",0,(1-Summary!$B$11)*(1)+Summary!$B$11*(IF(Inputs!$B$3&gt;=108,4,3)))</f>
        <v/>
      </c>
      <c r="H9" t="n">
        <v>0</v>
      </c>
      <c r="I9" t="n">
        <v>0</v>
      </c>
      <c r="J9" t="n">
        <v>100</v>
      </c>
      <c r="K9" t="n">
        <v>1</v>
      </c>
      <c r="L9" t="n">
        <v>30000</v>
      </c>
      <c r="M9" t="n">
        <v>12</v>
      </c>
      <c r="N9" t="b">
        <v>1</v>
      </c>
      <c r="O9">
        <f>IF(Inputs!$B$3&gt;=122,100,0)</f>
        <v/>
      </c>
      <c r="P9" t="n">
        <v>0</v>
      </c>
      <c r="Q9" t="n">
        <v>0</v>
      </c>
      <c r="R9" t="n">
        <v>10</v>
      </c>
      <c r="S9" t="inlineStr"/>
      <c r="T9" t="n">
        <v>0</v>
      </c>
      <c r="U9" t="b">
        <v>0</v>
      </c>
      <c r="V9" t="b">
        <v>0</v>
      </c>
      <c r="W9" t="n">
        <v>1</v>
      </c>
      <c r="X9" t="inlineStr"/>
      <c r="Y9" t="inlineStr"/>
      <c r="Z9" t="inlineStr"/>
      <c r="AA9" t="inlineStr">
        <is>
          <t>A skill of its own — only related to Poison Mist in that it's triggered while the fog is active, so it fires at the same rate as Poison Mist's own cast (Cooldown mirrors Skills!Poison Mist (burst) row's Cooldown live). Vs boss: 1 explosion per Poison Mist cast (when the fog expires, since bosses don't die mid-fog). Vs normal monster: 3 explosions per cast (base), +1 (4 total) once the level-108 mastery is unlocked, hitting 10 targets each. Vs Chapter Breakthrough: weighted average of the boss and normal counts by Inputs!normal_weight_frac. Vs PvP: 0 — it only triggers when the fog naturally expires at the end of its full duration, which never happens within the 15s PvP fight (confirmed by the user). Not affected by Poison Mist's Skill Mastery or Maple Hero bonus (confirmed by the user) — it's jobStep 4, using its own 4th-job skill level, same factorIndex 12. Its own SkillMasteryBonus% is the level-122 mastery (+100% damage), unrelated to Poison Mist's.</t>
        </is>
      </c>
    </row>
    <row r="10">
      <c r="A10" t="inlineStr">
        <is>
          <t>CREEPING_TOXIN</t>
        </is>
      </c>
      <c r="B10" t="inlineStr">
        <is>
          <t>Creeping Toxin</t>
        </is>
      </c>
      <c r="C10" t="n">
        <v>3</v>
      </c>
      <c r="D10" t="inlineStr">
        <is>
          <t>Poison</t>
        </is>
      </c>
      <c r="E10" t="n">
        <v>27</v>
      </c>
      <c r="F10" t="b">
        <v>1</v>
      </c>
      <c r="G10" t="n">
        <v>2</v>
      </c>
      <c r="H10" t="n">
        <v>2</v>
      </c>
      <c r="I10" t="n">
        <v>15</v>
      </c>
      <c r="J10" t="n">
        <v>100</v>
      </c>
      <c r="K10" t="n">
        <v>1</v>
      </c>
      <c r="L10" t="n">
        <v>1200</v>
      </c>
      <c r="M10" t="n">
        <v>12</v>
      </c>
      <c r="N10" t="b">
        <v>1</v>
      </c>
      <c r="O10" t="n">
        <v>50</v>
      </c>
      <c r="P10" t="n">
        <v>0</v>
      </c>
      <c r="Q10" t="n">
        <v>100</v>
      </c>
      <c r="R10" t="n">
        <v>1</v>
      </c>
      <c r="S10" t="inlineStr"/>
      <c r="T10" t="n">
        <v>0</v>
      </c>
      <c r="U10" t="b">
        <v>1</v>
      </c>
      <c r="V10" t="b">
        <v>0</v>
      </c>
      <c r="W10" t="n">
        <v>1</v>
      </c>
      <c r="X10" t="n">
        <v>100</v>
      </c>
      <c r="Y10" t="n">
        <v>23</v>
      </c>
      <c r="Z10" t="inlineStr"/>
      <c r="AA10" t="inlineStr">
        <is>
          <t>Assumes a qualifying Fire-element hit is always available within the 2s ICD window. Skill Mastery: +50% added directly to the coefficient%, plus +100% Normal Monster Damage mastery. Deliberately excluded from Meteor Proc's trigger set (confirmed by the user).</t>
        </is>
      </c>
    </row>
    <row r="11">
      <c r="A11" t="inlineStr">
        <is>
          <t>BURNING_MAGIC</t>
        </is>
      </c>
      <c r="B11" t="inlineStr">
        <is>
          <t>Burning Magic</t>
        </is>
      </c>
      <c r="C11" t="n">
        <v>3</v>
      </c>
      <c r="D11" t="inlineStr"/>
      <c r="E11" t="inlineStr"/>
      <c r="F11" t="b">
        <v>0</v>
      </c>
      <c r="G11" t="n">
        <v>1</v>
      </c>
      <c r="H11" t="n">
        <v>0</v>
      </c>
      <c r="I11" t="n">
        <v>0</v>
      </c>
      <c r="J11" t="n">
        <v>100</v>
      </c>
      <c r="K11" t="n">
        <v>1</v>
      </c>
      <c r="L11" t="n">
        <v>50</v>
      </c>
      <c r="M11" t="n">
        <v>0</v>
      </c>
      <c r="N11" t="b">
        <v>0</v>
      </c>
      <c r="O11" t="n">
        <v>0</v>
      </c>
      <c r="P11" t="n">
        <v>0</v>
      </c>
      <c r="Q11" t="n">
        <v>0</v>
      </c>
      <c r="R11" t="n">
        <v>1</v>
      </c>
      <c r="S11" t="inlineStr"/>
      <c r="T11" t="n">
        <v>0</v>
      </c>
      <c r="U11" t="b">
        <v>0</v>
      </c>
      <c r="V11" t="b">
        <v>0</v>
      </c>
      <c r="W11" t="n">
        <v>1</v>
      </c>
      <c r="X11" t="inlineStr"/>
      <c r="Y11" t="inlineStr"/>
      <c r="Z11" t="n">
        <v>5</v>
      </c>
      <c r="AA11" t="inlineStr">
        <is>
          <t>Global always-on multiplier: 1 + (BaseDamage/10 * Stacks)/100. Does not scale with level.</t>
        </is>
      </c>
    </row>
    <row r="12">
      <c r="A12" t="inlineStr">
        <is>
          <t>ELEMENTAL_DECREASE</t>
        </is>
      </c>
      <c r="B12" t="inlineStr">
        <is>
          <t>Elemental Decrease</t>
        </is>
      </c>
      <c r="C12" t="n">
        <v>3</v>
      </c>
      <c r="D12" t="inlineStr"/>
      <c r="E12" t="inlineStr"/>
      <c r="F12" t="b">
        <v>0</v>
      </c>
      <c r="G12" t="n">
        <v>1</v>
      </c>
      <c r="H12" t="n">
        <v>0</v>
      </c>
      <c r="I12" t="n">
        <v>0</v>
      </c>
      <c r="J12" t="n">
        <v>50</v>
      </c>
      <c r="K12" t="n">
        <v>1</v>
      </c>
      <c r="L12" t="n">
        <v>120</v>
      </c>
      <c r="M12" t="n">
        <v>22</v>
      </c>
      <c r="N12" t="b">
        <v>1</v>
      </c>
      <c r="O12" t="n">
        <v>0</v>
      </c>
      <c r="P12" t="n">
        <v>0</v>
      </c>
      <c r="Q12" t="n">
        <v>0</v>
      </c>
      <c r="R12" t="n">
        <v>1</v>
      </c>
      <c r="S12" t="inlineStr"/>
      <c r="T12" t="n">
        <v>7</v>
      </c>
      <c r="U12" t="b">
        <v>0</v>
      </c>
      <c r="V12" t="b">
        <v>0</v>
      </c>
      <c r="W12" t="n">
        <v>1</v>
      </c>
      <c r="X12" t="inlineStr"/>
      <c r="Y12" t="inlineStr"/>
      <c r="Z12" t="inlineStr"/>
      <c r="AA12" t="inlineStr">
        <is>
          <t>Modeled as always-on (flat multiplier, like Burning Magic): at 50% chance per qualifying hit and a 7s duration, it gets reapplied well before it expires, so uptime is treated as 100% (confirmed by the user). ProcChance%/BuffDuration(s) are the real skill values for reference only — they no longer feed the Summary-sheet formula.</t>
        </is>
      </c>
    </row>
    <row r="13">
      <c r="A13" t="inlineStr">
        <is>
          <t>METEOR_SHOWER_BURST</t>
        </is>
      </c>
      <c r="B13" t="inlineStr">
        <is>
          <t>Meteor Shower (burst)</t>
        </is>
      </c>
      <c r="C13" t="n">
        <v>4</v>
      </c>
      <c r="D13" t="inlineStr">
        <is>
          <t>Fire</t>
        </is>
      </c>
      <c r="E13" t="n">
        <v>33</v>
      </c>
      <c r="F13" t="b">
        <v>1</v>
      </c>
      <c r="G13" t="n">
        <v>9</v>
      </c>
      <c r="H13" t="n">
        <v>0</v>
      </c>
      <c r="I13" t="n">
        <v>0</v>
      </c>
      <c r="J13" t="n">
        <v>100</v>
      </c>
      <c r="K13" t="n">
        <v>1</v>
      </c>
      <c r="L13" t="n">
        <v>6000</v>
      </c>
      <c r="M13" t="n">
        <v>12</v>
      </c>
      <c r="N13" t="b">
        <v>1</v>
      </c>
      <c r="O13">
        <f>IF(Inputs!$B$3&gt;=134,50,0)</f>
        <v/>
      </c>
      <c r="P13" t="n">
        <v>0</v>
      </c>
      <c r="Q13" t="n">
        <v>0</v>
      </c>
      <c r="R13" t="n">
        <v>7</v>
      </c>
      <c r="S13" t="inlineStr"/>
      <c r="T13" t="n">
        <v>0</v>
      </c>
      <c r="U13" t="b">
        <v>1</v>
      </c>
      <c r="V13" t="b">
        <v>1</v>
      </c>
      <c r="W13" t="n">
        <v>3</v>
      </c>
      <c r="X13" t="inlineStr"/>
      <c r="Y13" t="inlineStr"/>
      <c r="Z13" t="inlineStr"/>
      <c r="AA13" t="inlineStr">
        <is>
          <t>3 meteorites x 3 hits collapsed into one 9-hit burst. Hits 7 targets vs normal monsters. MeteorProcTriggersPerCast=3 (not 1) — each of the 3 meteors is an independent Meteor Proc trigger opportunity even though all 3 land from a single cast (confirmed by the user). Skill Mastery: +50% damage once the level-134 mastery is unlocked.</t>
        </is>
      </c>
    </row>
    <row r="14">
      <c r="A14" t="inlineStr">
        <is>
          <t>METEOR_PROC</t>
        </is>
      </c>
      <c r="B14" t="inlineStr">
        <is>
          <t>Meteor Proc (30% on-hit, 1s ICD)</t>
        </is>
      </c>
      <c r="C14" t="n">
        <v>4</v>
      </c>
      <c r="D14" t="inlineStr">
        <is>
          <t>Fire</t>
        </is>
      </c>
      <c r="E14" t="inlineStr"/>
      <c r="F14" t="b">
        <v>0</v>
      </c>
      <c r="G14" t="n">
        <v>1</v>
      </c>
      <c r="H14" t="n">
        <v>1</v>
      </c>
      <c r="I14" t="n">
        <v>0</v>
      </c>
      <c r="J14" t="n">
        <v>30</v>
      </c>
      <c r="K14" t="n">
        <v>1</v>
      </c>
      <c r="L14" t="n">
        <v>9500</v>
      </c>
      <c r="M14" t="n">
        <v>21</v>
      </c>
      <c r="N14" t="b">
        <v>1</v>
      </c>
      <c r="O14" t="n">
        <v>0</v>
      </c>
      <c r="P14" t="n">
        <v>0</v>
      </c>
      <c r="Q14" t="n">
        <v>0</v>
      </c>
      <c r="R14" t="n">
        <v>1</v>
      </c>
      <c r="S14" t="inlineStr"/>
      <c r="T14" t="n">
        <v>0</v>
      </c>
      <c r="U14" t="b">
        <v>0</v>
      </c>
      <c r="V14" t="b">
        <v>0</v>
      </c>
      <c r="W14" t="n">
        <v>1</v>
      </c>
      <c r="X14" t="inlineStr"/>
      <c r="Y14" t="inlineStr"/>
      <c r="Z14" t="inlineStr"/>
      <c r="AA14" t="inlineStr">
        <is>
          <t>A skill of its own, NOT tied to Meteor Shower specifically — every cast of Basic Attack, Poison Breath, Poison Mist (burst), Meteor Shower, or Flame Haze (burst) has an independent 30% chance to trigger this meteor drop, gated by a 1s internal cooldown (ICD(s) column) after each trigger. Steady-state proc rate = (Chance% * R) / (1 + ICD * Chance% * R), where R is the combined cast rate of those qualifying attacks (Summary!B21) — NOT the simple EffectiveHits*ProcProbability/Cooldown pattern every other row uses, since this proc has no cooldown of its own to divide by. Creeping Toxin deliberately excluded from the trigger set. 4th job only.</t>
        </is>
      </c>
    </row>
    <row r="15">
      <c r="A15" t="inlineStr">
        <is>
          <t>FLAME_HAZE_BURST</t>
        </is>
      </c>
      <c r="B15" t="inlineStr">
        <is>
          <t>Flame Haze (burst)</t>
        </is>
      </c>
      <c r="C15" t="n">
        <v>4</v>
      </c>
      <c r="D15" t="inlineStr">
        <is>
          <t>Fire</t>
        </is>
      </c>
      <c r="E15" t="n">
        <v>25</v>
      </c>
      <c r="F15" t="b">
        <v>1</v>
      </c>
      <c r="G15" t="n">
        <v>3</v>
      </c>
      <c r="H15" t="n">
        <v>0</v>
      </c>
      <c r="I15" t="n">
        <v>0</v>
      </c>
      <c r="J15" t="n">
        <v>100</v>
      </c>
      <c r="K15" t="n">
        <v>1</v>
      </c>
      <c r="L15" t="n">
        <v>12000</v>
      </c>
      <c r="M15" t="n">
        <v>12</v>
      </c>
      <c r="N15" t="b">
        <v>1</v>
      </c>
      <c r="O15" t="n">
        <v>0</v>
      </c>
      <c r="P15" t="n">
        <v>0</v>
      </c>
      <c r="Q15" t="n">
        <v>0</v>
      </c>
      <c r="R15" t="n">
        <v>10</v>
      </c>
      <c r="S15" t="inlineStr"/>
      <c r="T15" t="n">
        <v>0</v>
      </c>
      <c r="U15" t="b">
        <v>1</v>
      </c>
      <c r="V15" t="b">
        <v>1</v>
      </c>
      <c r="W15" t="n">
        <v>1</v>
      </c>
      <c r="X15" t="inlineStr"/>
      <c r="Y15" t="inlineStr"/>
      <c r="Z15" t="inlineStr"/>
      <c r="AA15" t="inlineStr">
        <is>
          <t>Hits 10 targets vs normal monsters.</t>
        </is>
      </c>
    </row>
    <row r="16">
      <c r="A16" t="inlineStr">
        <is>
          <t>FLAME_HAZE_DOT</t>
        </is>
      </c>
      <c r="B16" t="inlineStr">
        <is>
          <t>Flame Haze (burn DoT)</t>
        </is>
      </c>
      <c r="C16" t="n">
        <v>4</v>
      </c>
      <c r="D16" t="inlineStr">
        <is>
          <t>Fire</t>
        </is>
      </c>
      <c r="E16" t="n">
        <v>25</v>
      </c>
      <c r="F16" t="b">
        <v>0</v>
      </c>
      <c r="G16" t="n">
        <v>1</v>
      </c>
      <c r="H16" t="n">
        <v>0.5</v>
      </c>
      <c r="I16">
        <f>IF(Inputs!$B$38="pvp",10,(1-Summary!$B$11)*(20)+Summary!$B$11*(10))</f>
        <v/>
      </c>
      <c r="J16" t="n">
        <v>100</v>
      </c>
      <c r="K16" t="n">
        <v>1</v>
      </c>
      <c r="L16" t="n">
        <v>1500</v>
      </c>
      <c r="M16" t="n">
        <v>12</v>
      </c>
      <c r="N16" t="b">
        <v>1</v>
      </c>
      <c r="O16" t="n">
        <v>0</v>
      </c>
      <c r="P16" t="n">
        <v>0</v>
      </c>
      <c r="Q16" t="n">
        <v>0</v>
      </c>
      <c r="R16" t="n">
        <v>10</v>
      </c>
      <c r="S16" t="inlineStr"/>
      <c r="T16" t="n">
        <v>0</v>
      </c>
      <c r="U16" t="b">
        <v>0</v>
      </c>
      <c r="V16" t="b">
        <v>0</v>
      </c>
      <c r="W16" t="n">
        <v>1</v>
      </c>
      <c r="X16" t="inlineStr"/>
      <c r="Y16" t="inlineStr"/>
      <c r="Z16" t="inlineStr"/>
      <c r="AA16" t="inlineStr">
        <is>
          <t>Burn duration is 20s vs boss, 10s vs normal monsters and PvP (confirmed by the user); Chapter Breakthrough blends the two by Inputs!normal_weight_frac. Hits 10 targets vs normal monsters, same as the burst.</t>
        </is>
      </c>
    </row>
    <row r="17">
      <c r="A17" t="inlineStr">
        <is>
          <t>MAGIC_GUARD</t>
        </is>
      </c>
      <c r="B17" t="inlineStr">
        <is>
          <t>Magic Guard</t>
        </is>
      </c>
      <c r="C17" t="n">
        <v>1</v>
      </c>
      <c r="D17" t="inlineStr"/>
      <c r="E17" t="n">
        <v>21</v>
      </c>
      <c r="F17" t="b">
        <v>1</v>
      </c>
      <c r="G17" t="n">
        <v>1</v>
      </c>
      <c r="H17" t="n">
        <v>0</v>
      </c>
      <c r="I17" t="n">
        <v>0</v>
      </c>
      <c r="J17" t="n">
        <v>100</v>
      </c>
      <c r="K17" t="n">
        <v>1</v>
      </c>
      <c r="L17" t="n">
        <v>120</v>
      </c>
      <c r="M17" t="n">
        <v>21</v>
      </c>
      <c r="N17" t="b">
        <v>1</v>
      </c>
      <c r="O17" t="n">
        <v>0</v>
      </c>
      <c r="P17" t="n">
        <v>0</v>
      </c>
      <c r="Q17" t="n">
        <v>0</v>
      </c>
      <c r="R17" t="n">
        <v>1</v>
      </c>
      <c r="S17" t="inlineStr">
        <is>
          <t>ATTACK</t>
        </is>
      </c>
      <c r="T17" t="n">
        <v>15</v>
      </c>
      <c r="U17" t="b">
        <v>0</v>
      </c>
      <c r="V17" t="b">
        <v>0</v>
      </c>
      <c r="W17" t="n">
        <v>1</v>
      </c>
      <c r="X17" t="inlineStr"/>
      <c r="Y17" t="inlineStr"/>
      <c r="Z17" t="inlineStr"/>
      <c r="AA17" t="inlineStr">
        <is>
          <t>Buff — only the Attack component is modeled (Defense component doesn't affect own damage).</t>
        </is>
      </c>
    </row>
    <row r="18">
      <c r="A18" t="inlineStr">
        <is>
          <t>NIMBLE_FEET</t>
        </is>
      </c>
      <c r="B18" t="inlineStr">
        <is>
          <t>Nimble Feet</t>
        </is>
      </c>
      <c r="C18" t="n">
        <v>1</v>
      </c>
      <c r="D18" t="inlineStr"/>
      <c r="E18" t="n">
        <v>60</v>
      </c>
      <c r="F18" t="b">
        <v>1</v>
      </c>
      <c r="G18" t="n">
        <v>1</v>
      </c>
      <c r="H18" t="n">
        <v>0</v>
      </c>
      <c r="I18" t="n">
        <v>0</v>
      </c>
      <c r="J18" t="n">
        <v>100</v>
      </c>
      <c r="K18" t="n">
        <v>1</v>
      </c>
      <c r="L18" t="n">
        <v>150</v>
      </c>
      <c r="M18" t="n">
        <v>0</v>
      </c>
      <c r="N18" t="b">
        <v>0</v>
      </c>
      <c r="O18" t="n">
        <v>0</v>
      </c>
      <c r="P18" t="n">
        <v>0</v>
      </c>
      <c r="Q18" t="n">
        <v>0</v>
      </c>
      <c r="R18" t="n">
        <v>1</v>
      </c>
      <c r="S18" t="inlineStr">
        <is>
          <t>ATTACK_SPEED</t>
        </is>
      </c>
      <c r="T18" t="n">
        <v>15</v>
      </c>
      <c r="U18" t="b">
        <v>0</v>
      </c>
      <c r="V18" t="b">
        <v>0</v>
      </c>
      <c r="W18" t="n">
        <v>1</v>
      </c>
      <c r="X18" t="inlineStr"/>
      <c r="Y18" t="inlineStr"/>
      <c r="Z18" t="inlineStr"/>
      <c r="AA18" t="inlineStr">
        <is>
          <t>Buff — flat +15% Attack Speed, does not scale with level (FactorIndex is an unused placeholder here, same as Burning Magic). Averaged into effective Attack Speed before the 150% cap.</t>
        </is>
      </c>
    </row>
    <row r="19">
      <c r="A19" t="inlineStr">
        <is>
          <t>INFINITY</t>
        </is>
      </c>
      <c r="B19" t="inlineStr">
        <is>
          <t>Infinity</t>
        </is>
      </c>
      <c r="C19" t="n">
        <v>4</v>
      </c>
      <c r="D19" t="inlineStr"/>
      <c r="E19" t="n">
        <v>30</v>
      </c>
      <c r="F19" t="b">
        <v>1</v>
      </c>
      <c r="G19" t="n">
        <v>1</v>
      </c>
      <c r="H19" t="n">
        <v>0</v>
      </c>
      <c r="I19" t="n">
        <v>0</v>
      </c>
      <c r="J19" t="n">
        <v>100</v>
      </c>
      <c r="K19" t="n">
        <v>1</v>
      </c>
      <c r="L19" t="n">
        <v>216.67</v>
      </c>
      <c r="M19" t="n">
        <v>21</v>
      </c>
      <c r="N19" t="b">
        <v>1</v>
      </c>
      <c r="O19" t="n">
        <v>0</v>
      </c>
      <c r="P19" t="n">
        <v>0</v>
      </c>
      <c r="Q19" t="n">
        <v>0</v>
      </c>
      <c r="R19" t="n">
        <v>1</v>
      </c>
      <c r="S19" t="inlineStr">
        <is>
          <t>FINAL_DAMAGE</t>
        </is>
      </c>
      <c r="T19" t="n">
        <v>15</v>
      </c>
      <c r="U19" t="b">
        <v>0</v>
      </c>
      <c r="V19" t="b">
        <v>0</v>
      </c>
      <c r="W19" t="n">
        <v>1</v>
      </c>
      <c r="X19" t="inlineStr"/>
      <c r="Y19" t="inlineStr"/>
      <c r="Z19" t="inlineStr"/>
      <c r="AA19" t="inlineStr">
        <is>
          <t>Ramps +15%-&gt;+25% Final Damage over 10s of its 15s duration; time-averaged while active = 21.6667% at factor 1000, now scaled by FactorTable[level][21]/1000 like Magic Guard/Meditation.</t>
        </is>
      </c>
    </row>
    <row r="20">
      <c r="A20" t="inlineStr">
        <is>
          <t>MAGIC_CRITICAL_RATE</t>
        </is>
      </c>
      <c r="B20" t="inlineStr">
        <is>
          <t>Magic Critical (Crit Rate)</t>
        </is>
      </c>
      <c r="C20" t="n">
        <v>3</v>
      </c>
      <c r="D20" t="inlineStr"/>
      <c r="E20" t="inlineStr"/>
      <c r="F20" t="b">
        <v>0</v>
      </c>
      <c r="G20" t="n">
        <v>1</v>
      </c>
      <c r="H20" t="n">
        <v>0</v>
      </c>
      <c r="I20" t="n">
        <v>0</v>
      </c>
      <c r="J20" t="n">
        <v>100</v>
      </c>
      <c r="K20" t="n">
        <v>1</v>
      </c>
      <c r="L20" t="n">
        <v>80</v>
      </c>
      <c r="M20" t="n">
        <v>22</v>
      </c>
      <c r="N20" t="b">
        <v>1</v>
      </c>
      <c r="O20" t="n">
        <v>0</v>
      </c>
      <c r="P20" t="n">
        <v>0</v>
      </c>
      <c r="Q20" t="n">
        <v>0</v>
      </c>
      <c r="R20" t="n">
        <v>1</v>
      </c>
      <c r="S20" t="inlineStr">
        <is>
          <t>CRIT_RATE</t>
        </is>
      </c>
      <c r="T20" t="n">
        <v>0</v>
      </c>
      <c r="U20" t="b">
        <v>0</v>
      </c>
      <c r="V20" t="b">
        <v>0</v>
      </c>
      <c r="W20" t="n">
        <v>1</v>
      </c>
      <c r="X20" t="inlineStr"/>
      <c r="Y20" t="inlineStr"/>
      <c r="Z20" t="inlineStr"/>
      <c r="AA20" t="inlineStr">
        <is>
          <t>Passive, always on (3rd job) — no cooldown/duration, not a damage row (Calc columns J-O stay blank/0). Its current contribution is already baked into Inputs!CRIT_RATE% by the user, so this row's own Calc!F value is NOT added to the baseline calculation — it's only used by the Sensitivity sheet to compute the marginal delta (this row's F at the swept level minus this row's F at the current level) when 'Skill Level Bonus — 3rd Job' is the stat being tested.</t>
        </is>
      </c>
    </row>
    <row r="21">
      <c r="A21" t="inlineStr">
        <is>
          <t>MAGIC_CRITICAL_DAMAGE</t>
        </is>
      </c>
      <c r="B21" t="inlineStr">
        <is>
          <t>Magic Critical (Crit Damage)</t>
        </is>
      </c>
      <c r="C21" t="n">
        <v>3</v>
      </c>
      <c r="D21" t="inlineStr"/>
      <c r="E21" t="inlineStr"/>
      <c r="F21" t="b">
        <v>0</v>
      </c>
      <c r="G21" t="n">
        <v>1</v>
      </c>
      <c r="H21" t="n">
        <v>0</v>
      </c>
      <c r="I21" t="n">
        <v>0</v>
      </c>
      <c r="J21" t="n">
        <v>100</v>
      </c>
      <c r="K21" t="n">
        <v>1</v>
      </c>
      <c r="L21" t="n">
        <v>120</v>
      </c>
      <c r="M21" t="n">
        <v>22</v>
      </c>
      <c r="N21" t="b">
        <v>1</v>
      </c>
      <c r="O21" t="n">
        <v>0</v>
      </c>
      <c r="P21" t="n">
        <v>0</v>
      </c>
      <c r="Q21" t="n">
        <v>0</v>
      </c>
      <c r="R21" t="n">
        <v>1</v>
      </c>
      <c r="S21" t="inlineStr">
        <is>
          <t>CRIT_DAMAGE</t>
        </is>
      </c>
      <c r="T21" t="n">
        <v>0</v>
      </c>
      <c r="U21" t="b">
        <v>0</v>
      </c>
      <c r="V21" t="b">
        <v>0</v>
      </c>
      <c r="W21" t="n">
        <v>1</v>
      </c>
      <c r="X21" t="inlineStr"/>
      <c r="Y21" t="inlineStr"/>
      <c r="Z21" t="inlineStr"/>
      <c r="AA21" t="inlineStr">
        <is>
          <t>Same mechanism as Magic Critical (Crit Rate) above, targeting CRIT_DAMAGE% instead.</t>
        </is>
      </c>
    </row>
    <row r="22">
      <c r="A22" t="inlineStr">
        <is>
          <t>SPELL_MASTERY</t>
        </is>
      </c>
      <c r="B22" t="inlineStr">
        <is>
          <t>Spell Mastery</t>
        </is>
      </c>
      <c r="C22" t="n">
        <v>2</v>
      </c>
      <c r="D22" t="inlineStr"/>
      <c r="E22" t="inlineStr"/>
      <c r="F22" t="b">
        <v>0</v>
      </c>
      <c r="G22" t="n">
        <v>1</v>
      </c>
      <c r="H22" t="n">
        <v>0</v>
      </c>
      <c r="I22" t="n">
        <v>0</v>
      </c>
      <c r="J22" t="n">
        <v>100</v>
      </c>
      <c r="K22" t="n">
        <v>1</v>
      </c>
      <c r="L22" t="n">
        <v>150</v>
      </c>
      <c r="M22" t="n">
        <v>22</v>
      </c>
      <c r="N22" t="b">
        <v>1</v>
      </c>
      <c r="O22" t="n">
        <v>0</v>
      </c>
      <c r="P22" t="n">
        <v>0</v>
      </c>
      <c r="Q22" t="n">
        <v>0</v>
      </c>
      <c r="R22" t="n">
        <v>1</v>
      </c>
      <c r="S22" t="inlineStr">
        <is>
          <t>MIN_DAMAGE</t>
        </is>
      </c>
      <c r="T22" t="n">
        <v>0</v>
      </c>
      <c r="U22" t="b">
        <v>0</v>
      </c>
      <c r="V22" t="b">
        <v>0</v>
      </c>
      <c r="W22" t="n">
        <v>1</v>
      </c>
      <c r="X22" t="inlineStr"/>
      <c r="Y22" t="inlineStr"/>
      <c r="Z22" t="inlineStr"/>
      <c r="AA22" t="inlineStr">
        <is>
          <t>Passive, always on (2nd job) — no cooldown/duration, not a damage row. Its current contribution is already baked into Inputs!MIN_DAMAGE% by the user; this row's Calc!F is only used by the Sensitivity sheet to compute the marginal delta when 'Skill Level Bonus — 2nd Job' is swept.</t>
        </is>
      </c>
    </row>
    <row r="23">
      <c r="A23" t="inlineStr">
        <is>
          <t>ELEMENT_AMPLIFICATION</t>
        </is>
      </c>
      <c r="B23" t="inlineStr">
        <is>
          <t>Element Amplification</t>
        </is>
      </c>
      <c r="C23" t="n">
        <v>4</v>
      </c>
      <c r="D23" t="inlineStr"/>
      <c r="E23" t="inlineStr"/>
      <c r="F23" t="b">
        <v>0</v>
      </c>
      <c r="G23" t="n">
        <v>1</v>
      </c>
      <c r="H23" t="n">
        <v>0</v>
      </c>
      <c r="I23" t="n">
        <v>0</v>
      </c>
      <c r="J23" t="n">
        <v>100</v>
      </c>
      <c r="K23" t="n">
        <v>1</v>
      </c>
      <c r="L23" t="n">
        <v>150</v>
      </c>
      <c r="M23" t="n">
        <v>22</v>
      </c>
      <c r="N23" t="b">
        <v>1</v>
      </c>
      <c r="O23" t="n">
        <v>0</v>
      </c>
      <c r="P23" t="n">
        <v>0</v>
      </c>
      <c r="Q23" t="n">
        <v>0</v>
      </c>
      <c r="R23" t="n">
        <v>1</v>
      </c>
      <c r="S23" t="inlineStr">
        <is>
          <t>FINAL_DAMAGE</t>
        </is>
      </c>
      <c r="T23" t="n">
        <v>0</v>
      </c>
      <c r="U23" t="b">
        <v>0</v>
      </c>
      <c r="V23" t="b">
        <v>0</v>
      </c>
      <c r="W23" t="n">
        <v>1</v>
      </c>
      <c r="X23" t="inlineStr"/>
      <c r="Y23" t="inlineStr"/>
      <c r="Z23" t="inlineStr"/>
      <c r="AA23" t="inlineStr">
        <is>
          <t>Passive, always on (4th job) — no cooldown/duration, not a damage row. Unlike the two rows above, this one is NOT reflected anywhere in Inputs, so its current-level value (Calc!F23) is added directly into every hit's Final Damage term in both the main Calc sheet and every Sensitivity block — combined MULTIPLICATIVELY with Inputs!FINAL_DAMAGE% (Final Damage sources always stack as (1+a/100)*(1+b/100), never as (1+(a+b)/100)).</t>
        </is>
      </c>
    </row>
    <row r="24">
      <c r="A24" t="inlineStr">
        <is>
          <t>IFRIT</t>
        </is>
      </c>
      <c r="B24" t="inlineStr">
        <is>
          <t>Ifrit</t>
        </is>
      </c>
      <c r="C24" t="n">
        <v>4</v>
      </c>
      <c r="D24" t="inlineStr">
        <is>
          <t>Fire</t>
        </is>
      </c>
      <c r="E24" t="n">
        <v>80</v>
      </c>
      <c r="F24" t="b">
        <v>1</v>
      </c>
      <c r="G24" t="n">
        <v>1</v>
      </c>
      <c r="H24" t="n">
        <v>4</v>
      </c>
      <c r="I24">
        <f>IF(Inputs!$B$3&gt;=138,40,30)</f>
        <v/>
      </c>
      <c r="J24" t="n">
        <v>100</v>
      </c>
      <c r="K24" t="n">
        <v>1</v>
      </c>
      <c r="L24" t="n">
        <v>35000</v>
      </c>
      <c r="M24" t="n">
        <v>12</v>
      </c>
      <c r="N24" t="b">
        <v>1</v>
      </c>
      <c r="O24" t="n">
        <v>0</v>
      </c>
      <c r="P24" t="n">
        <v>0</v>
      </c>
      <c r="Q24" t="n">
        <v>0</v>
      </c>
      <c r="R24">
        <f>IF(Inputs!$B$3&gt;=138,6,3)</f>
        <v/>
      </c>
      <c r="S24" t="inlineStr"/>
      <c r="T24" t="n">
        <v>0</v>
      </c>
      <c r="U24" t="b">
        <v>0</v>
      </c>
      <c r="V24" t="b">
        <v>0</v>
      </c>
      <c r="W24" t="n">
        <v>1</v>
      </c>
      <c r="X24" t="inlineStr"/>
      <c r="Y24" t="inlineStr"/>
      <c r="Z24" t="inlineStr"/>
      <c r="AA24" t="inlineStr">
        <is>
          <t>Summon, 80s cooldown. EffectiveHits = HitsPerCast*(ActiveWindow/ICD) — same mechanism as Poison Mist's fog DoT/Flame Haze's burn DoT, no new Calc-sheet machinery needed: attacks every 4s (ICD) for its 30s duration (ActiveWindow), hitting 3 targets vs normal monsters, for the whole 80s cast cycle (Cooldown/InvCooldown). Duration -&gt; 40s and targets -&gt; 6 once the level-138 mastery is unlocked. Deliberately excluded from Meteor Proc's trigger set (confirmed by the user) — it only counts as a trigger source for the level-126 Flame Haze burn-proc mastery (see build_calc_sheet) and for Fervent Drain (via DAMAGE_ROW_KEYS, same as every other non-Basic-Attack skill). Gains a level-130 mastery multiplier (1+20%*Flame Haze burn stacks) — see flame_haze_total_stacks_expr.</t>
        </is>
      </c>
    </row>
    <row r="25">
      <c r="A25" t="inlineStr">
        <is>
          <t>BUFF_MASTERY</t>
        </is>
      </c>
      <c r="B25" t="inlineStr">
        <is>
          <t>Buff Mastery</t>
        </is>
      </c>
      <c r="C25" t="n">
        <v>4</v>
      </c>
      <c r="D25" t="inlineStr"/>
      <c r="E25" t="inlineStr"/>
      <c r="F25" t="b">
        <v>0</v>
      </c>
      <c r="G25" t="n">
        <v>1</v>
      </c>
      <c r="H25" t="n">
        <v>0</v>
      </c>
      <c r="I25" t="n">
        <v>0</v>
      </c>
      <c r="J25" t="n">
        <v>100</v>
      </c>
      <c r="K25" t="n">
        <v>1</v>
      </c>
      <c r="L25" t="n">
        <v>100</v>
      </c>
      <c r="M25" t="n">
        <v>22</v>
      </c>
      <c r="N25" t="b">
        <v>1</v>
      </c>
      <c r="O25" t="n">
        <v>0</v>
      </c>
      <c r="P25" t="n">
        <v>0</v>
      </c>
      <c r="Q25" t="n">
        <v>0</v>
      </c>
      <c r="R25" t="n">
        <v>1</v>
      </c>
      <c r="S25" t="inlineStr"/>
      <c r="T25" t="n">
        <v>0</v>
      </c>
      <c r="U25" t="b">
        <v>0</v>
      </c>
      <c r="V25" t="b">
        <v>0</v>
      </c>
      <c r="W25" t="n">
        <v>1</v>
      </c>
      <c r="X25" t="inlineStr"/>
      <c r="Y25" t="inlineStr"/>
      <c r="Z25" t="inlineStr"/>
      <c r="AA25" t="inlineStr">
        <is>
          <t>Passive, always on (4th job, unlocked level 117) — no cooldown/duration, not a damage row. Not reflected anywhere in Inputs, so its current value (Calc!F) is added directly into every uptime_fraction_expr call's Buff Duration Increase % term, in both the main Calc sheet and every Sensitivity block (see bdi_with_buff_mastery_expr) — +10% base.</t>
        </is>
      </c>
    </row>
    <row r="26">
      <c r="A26" t="inlineStr">
        <is>
          <t>ARCANE_AIM</t>
        </is>
      </c>
      <c r="B26" t="inlineStr">
        <is>
          <t>Arcane Aim</t>
        </is>
      </c>
      <c r="C26" t="n">
        <v>4</v>
      </c>
      <c r="D26" t="inlineStr"/>
      <c r="E26" t="inlineStr"/>
      <c r="F26" t="b">
        <v>0</v>
      </c>
      <c r="G26" t="n">
        <v>1</v>
      </c>
      <c r="H26" t="n">
        <v>0</v>
      </c>
      <c r="I26" t="n">
        <v>0</v>
      </c>
      <c r="J26" t="n">
        <v>100</v>
      </c>
      <c r="K26" t="n">
        <v>1</v>
      </c>
      <c r="L26" t="n">
        <v>30</v>
      </c>
      <c r="M26" t="n">
        <v>22</v>
      </c>
      <c r="N26" t="b">
        <v>1</v>
      </c>
      <c r="O26" t="n">
        <v>0</v>
      </c>
      <c r="P26" t="n">
        <v>0</v>
      </c>
      <c r="Q26" t="n">
        <v>0</v>
      </c>
      <c r="R26" t="n">
        <v>1</v>
      </c>
      <c r="S26" t="inlineStr"/>
      <c r="T26" t="n">
        <v>0</v>
      </c>
      <c r="U26" t="b">
        <v>0</v>
      </c>
      <c r="V26" t="b">
        <v>0</v>
      </c>
      <c r="W26" t="n">
        <v>1</v>
      </c>
      <c r="X26" t="inlineStr"/>
      <c r="Y26" t="inlineStr"/>
      <c r="Z26" t="inlineStr"/>
      <c r="AA26" t="inlineStr">
        <is>
          <t>Passive, always on (4th job, unlocked level 120) — no cooldown/duration, not a damage row. 25% chance per attack for +3% Final Damage for 10s, stacking up to 5 times; modeled as always at max 5 stacks (confirmed by the user, same precedent as Burning Magic/Elemental Decrease always-on). Combined MULTIPLICATIVELY into the Final Damage chain as (1+Calc!F/100)^5, alongside Element Amplification — stacks are multiplicative with each other, not additive (1.03^5, not 1+5*0.03).</t>
        </is>
      </c>
    </row>
    <row r="27">
      <c r="A27" t="inlineStr">
        <is>
          <t>FERVENT_DRAIN</t>
        </is>
      </c>
      <c r="B27" t="inlineStr">
        <is>
          <t>Fervent Drain</t>
        </is>
      </c>
      <c r="C27" t="n">
        <v>4</v>
      </c>
      <c r="D27" t="inlineStr"/>
      <c r="E27" t="inlineStr"/>
      <c r="F27" t="b">
        <v>0</v>
      </c>
      <c r="G27" t="n">
        <v>1</v>
      </c>
      <c r="H27" t="n">
        <v>0</v>
      </c>
      <c r="I27" t="n">
        <v>0</v>
      </c>
      <c r="J27" t="n">
        <v>100</v>
      </c>
      <c r="K27" t="n">
        <v>1</v>
      </c>
      <c r="L27" t="n">
        <v>40</v>
      </c>
      <c r="M27" t="n">
        <v>22</v>
      </c>
      <c r="N27" t="b">
        <v>1</v>
      </c>
      <c r="O27" t="n">
        <v>0</v>
      </c>
      <c r="P27" t="n">
        <v>0</v>
      </c>
      <c r="Q27" t="n">
        <v>0</v>
      </c>
      <c r="R27" t="n">
        <v>1</v>
      </c>
      <c r="S27" t="inlineStr"/>
      <c r="T27" t="n">
        <v>0</v>
      </c>
      <c r="U27" t="b">
        <v>0</v>
      </c>
      <c r="V27" t="b">
        <v>0</v>
      </c>
      <c r="W27" t="n">
        <v>1</v>
      </c>
      <c r="X27" t="inlineStr"/>
      <c r="Y27" t="inlineStr"/>
      <c r="Z27" t="inlineStr"/>
      <c r="AA27" t="inlineStr">
        <is>
          <t>Passive, always on (4th job, unlocked level 125) — no cooldown/duration, not a damage row. +4% fire/poison skill damage per Poison stack on target; reuses Elemental Drain's permanently-5-stacks assumption, so its effective contribution is Calc!F*5. Added additively inside the skill_damage term of the hit-damage formula — confirmed by the user to boost skill damage only, NOT Basic Attack (Flame Sweep), even though it does cover both fire- and poison-element skills otherwise. Structurally excluded from Basic Attack's own term, not just numerically zero.</t>
        </is>
      </c>
    </row>
    <row r="28">
      <c r="A28" t="inlineStr">
        <is>
          <t>FLAME_HAZE_FOG</t>
        </is>
      </c>
      <c r="B28" t="inlineStr">
        <is>
          <t>Flame Haze (poison fog DoT)</t>
        </is>
      </c>
      <c r="C28" t="n">
        <v>4</v>
      </c>
      <c r="D28" t="inlineStr">
        <is>
          <t>Poison</t>
        </is>
      </c>
      <c r="E28">
        <f>Skills!E15</f>
        <v/>
      </c>
      <c r="F28" t="b">
        <v>0</v>
      </c>
      <c r="G28" t="n">
        <v>1</v>
      </c>
      <c r="H28">
        <f>IF(Inputs!$B$3&gt;=104,0.4,0.8)</f>
        <v/>
      </c>
      <c r="I28" t="n">
        <v>20</v>
      </c>
      <c r="J28" t="n">
        <v>100</v>
      </c>
      <c r="K28" t="n">
        <v>1</v>
      </c>
      <c r="L28" t="n">
        <v>700</v>
      </c>
      <c r="M28" t="n">
        <v>12</v>
      </c>
      <c r="N28" t="b">
        <v>1</v>
      </c>
      <c r="O28" t="n">
        <v>0</v>
      </c>
      <c r="P28" t="n">
        <v>0</v>
      </c>
      <c r="Q28" t="n">
        <v>0</v>
      </c>
      <c r="R28" t="n">
        <v>10</v>
      </c>
      <c r="S28" t="inlineStr"/>
      <c r="T28" t="n">
        <v>0</v>
      </c>
      <c r="U28" t="b">
        <v>0</v>
      </c>
      <c r="V28" t="b">
        <v>0</v>
      </c>
      <c r="W28" t="n">
        <v>1</v>
      </c>
      <c r="X28" t="inlineStr"/>
      <c r="Y28" t="inlineStr"/>
      <c r="Z28" t="inlineStr"/>
      <c r="AA28" t="inlineStr">
        <is>
          <t>Unlocked level 118: Flame Haze creates a second, fully independent poisonous fog that triggers Poison Mist's DoT mechanic too — same damage/duration/ICD-mastery-gate math as POISON_MIST_DOT, tied to Flame Haze (burst)'s own live Cooldown cell (same live-cross-reference pattern MIST_ERUPTION uses for POISON_MIST_BURST). Independent of the existing Poison Mist fog — both can be active at the same time (confirmed by the user). No Maple Hero bonus (MapleHeroBase blank), matching its jobStep-4 sibling FLAME_HAZE_DOT rather than the jobStep-3 POISON_MIST_DOT.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Fire/Poison Arch Mage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IF(AND(ArtifactsInput!$M$42,B4&lt;100),CHOOSE(ArtifactsInput!$N$42+1,30,36,42,48,54,60),0)</f>
        <v/>
      </c>
    </row>
    <row r="6">
      <c r="A6" t="inlineStr">
        <is>
          <t>Ring of Cycles — Skill Damage (if threshold &gt;= 100%)</t>
        </is>
      </c>
      <c r="B6">
        <f>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t="inlineStr">
        <is>
          <t>InvCooldown</t>
        </is>
      </c>
      <c r="R1" t="inlineStr">
        <is>
          <t>CastsInFight</t>
        </is>
      </c>
      <c r="S1" t="inlineStr">
        <is>
          <t>BossOnlyDPS</t>
        </is>
      </c>
      <c r="U1" t="inlineStr">
        <is>
          <t>NormalOnlyDPS</t>
        </is>
      </c>
      <c r="Z1" s="6" t="inlineStr">
        <is>
          <t>Maple Hero helper (jobStep4, factorIndex23)</t>
        </is>
      </c>
    </row>
    <row r="2">
      <c r="A2">
        <f>Skills!A2</f>
        <v/>
      </c>
      <c r="B2">
        <f>Skills!B2</f>
        <v/>
      </c>
      <c r="C2">
        <f>TRUE</f>
        <v/>
      </c>
      <c r="D2" t="inlineStr"/>
      <c r="E2" t="inlineStr"/>
      <c r="F2">
        <f>Summary!$B$10+Skills!O2</f>
        <v/>
      </c>
      <c r="G2">
        <f>Skills!G2*IF(Skills!H2&gt;0,Skills!I2/Skills!H2,1)</f>
        <v/>
      </c>
      <c r="H2">
        <f>1-(1-Skills!J2/100)^Skills!K2</f>
        <v/>
      </c>
      <c r="I2">
        <f>IF(Skills!X2&lt;&gt;"",1+(Skills!X2/10)*($Z$3/1000)/100,1)</f>
        <v/>
      </c>
      <c r="J2">
        <f>Summary!$B$6*(F2/100)</f>
        <v/>
      </c>
      <c r="K2">
        <f>J2*(1+Summary!$B$7/100)*(1+Inputs!$B$15/100)*(1+Inputs!$B$16/100)*(5000/(6000+Inputs!$B$42*(1-Inputs!$B$19/100)))*(1+Inputs!$B$24/100)*(1+Artifacts!$B$34/100)*(1+F23/100)*(1+IF(Inputs!$B$3&gt;=120,F26,0)/100)^5*(1+(IF(Skills!A2="BASIC_ATTACK",Inputs!$B$17+Artifacts!$B$40,Inputs!$B$18+Artifacts!$B$39+IF(Inputs!$B$3&gt;=125,F27*5,0)))/100)*(Summary!$B$13*Summary!$B$14*Summary!$B$15*(1+Artifacts!$B$38/100)*I2)</f>
        <v/>
      </c>
      <c r="L2">
        <f>K2*(MIN(Inputs!$B$22,Inputs!$B$23)/100+Inputs!$B$23/100)/2</f>
        <v/>
      </c>
      <c r="M2">
        <f>L2*(1+(Inputs!$B$10+Artifacts!$B$33)/100)</f>
        <v/>
      </c>
      <c r="N2">
        <f>L2*(1-MIN((Inputs!$B$9+Artifacts!$B$32),100)/100)+M2*(MIN((Inputs!$B$9+Artifacts!$B$32),100)/100)</f>
        <v/>
      </c>
      <c r="O2">
        <f>(1-Summary!$B$11)*S2+Summary!$B$11*U2</f>
        <v/>
      </c>
      <c r="P2">
        <f>IF(Summary!$B$3=0,0,O2/Summary!$B$3)</f>
        <v/>
      </c>
      <c r="Q2">
        <f>IFERROR(1/(IF(Inputs!$B$38="pvp",15,MAX(0.1,Skills!E2-IF(Skills!F2=TRUE,Inputs!$B$32,0)))*(1-IF(AND(ArtifactsInput!$M$27,Inputs!$B$4="Chapter Hunt"),CHOOSE(ArtifactsInput!$N$27+1,20,24,28,32,36,40),0)/100)),0)</f>
        <v/>
      </c>
      <c r="R2" t="n">
        <v>0</v>
      </c>
      <c r="S2">
        <f>(Skills!G2*N2*Summary!$B$19)*IF(Inputs!$B$38="pvp",1,1+(Inputs!$B$20+Skills!P2+Artifacts!$B$35)/100)*((((5000/(6000+Inputs!$B$42*(1-(100*(1-(1-Inputs!$B$19/100)*(1-Artifacts!$B$51/100)^IF(Inputs!$B$38="pvp",1,2)))/100)))/(5000/(6000+Inputs!$B$42*(1-Inputs!$B$19/100))))*((L2*(1-MIN(100,(Inputs!$B$9+Artifacts!$B$32)+Artifacts!$B$69)/100)+M2*(MIN(100,(Inputs!$B$9+Artifacts!$B$32)+Artifacts!$B$69)/100))/(L2*(1-MIN(100,(Inputs!$B$9+Artifacts!$B$32))/100)+M2*(MIN(100,(Inputs!$B$9+Artifacts!$B$32))/100)))*(1+Artifacts!$B$81/100)))</f>
        <v/>
      </c>
      <c r="U2">
        <f>(Skills!G2*N2*Summary!$B$19)*IF(Inputs!$B$38="pvp",1,(1+(Inputs!$B$21+Skills!Q2+Artifacts!$B$80)/100)*(MIN(Skills!R2,Inputs!$B$37)))*((1+Artifacts!$B$53/100))</f>
        <v/>
      </c>
      <c r="Z2">
        <f>MAX(0,(Inputs!$B$3-100)*3)+Inputs!$B$28+Inputs!$B$29</f>
        <v/>
      </c>
    </row>
    <row r="3">
      <c r="A3">
        <f>Skills!A3</f>
        <v/>
      </c>
      <c r="B3">
        <f>Skills!B3</f>
        <v/>
      </c>
      <c r="C3">
        <f>TRUE</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f>Skills!G3*IF(Skills!H3&gt;0,Skills!I3/Skills!H3,1)</f>
        <v/>
      </c>
      <c r="H3">
        <f>1-(1-Skills!J3/100)^Skills!K3</f>
        <v/>
      </c>
      <c r="I3">
        <f>IF(Skills!X3&lt;&gt;"",1+(Skills!X3/10)*($Z$3/1000)/100,1)</f>
        <v/>
      </c>
      <c r="J3">
        <f>Summary!$B$6*(F3/100)</f>
        <v/>
      </c>
      <c r="K3">
        <f>J3*(1+Summary!$B$7/100)*(1+Inputs!$B$15/100)*(1+Inputs!$B$16/100)*(5000/(6000+Inputs!$B$42*(1-Inputs!$B$19/100)))*(1+Inputs!$B$24/100)*(1+Artifacts!$B$34/100)*(1+F23/100)*(1+IF(Inputs!$B$3&gt;=120,F26,0)/100)^5*(1+(IF(Skills!A3="BASIC_ATTACK",Inputs!$B$17+Artifacts!$B$40,Inputs!$B$18+Artifacts!$B$39+IF(Inputs!$B$3&gt;=125,F27*5,0)))/100)*(Summary!$B$13*Summary!$B$14*Summary!$B$15*(1+Artifacts!$B$38/100)*I3)</f>
        <v/>
      </c>
      <c r="L3">
        <f>K3*(MIN(Inputs!$B$22,Inputs!$B$23)/100+Inputs!$B$23/100)/2</f>
        <v/>
      </c>
      <c r="M3">
        <f>L3*(1+(Inputs!$B$10+Artifacts!$B$33)/100)</f>
        <v/>
      </c>
      <c r="N3">
        <f>L3*(1-MIN((Inputs!$B$9+Artifacts!$B$32),100)/100)+M3*(MIN((Inputs!$B$9+Artifacts!$B$32),100)/100)</f>
        <v/>
      </c>
      <c r="O3">
        <f>(1-Summary!$B$11)*S3+Summary!$B$11*U3</f>
        <v/>
      </c>
      <c r="P3">
        <f>IF(Summary!$B$3=0,0,O3/Summary!$B$3)</f>
        <v/>
      </c>
      <c r="Q3">
        <f>IFERROR(1/(IF(Inputs!$B$38="pvp",15,MAX(0.1,Skills!E3-IF(Skills!F3=TRUE,Inputs!$B$32,0)))*(1-IF(AND(ArtifactsInput!$M$27,Inputs!$B$4="Chapter Hunt"),CHOOSE(ArtifactsInput!$N$27+1,20,24,28,32,36,40),0)/100)),0)</f>
        <v/>
      </c>
      <c r="R3">
        <f>IF(AND(Inputs!$B$38&lt;&gt;"pvp",Inputs!$B$43&gt;0),IF(MAX(0,Inputs!$B$43-Summary!$B$22)&lt;=0,0,(INT(MAX(0,Inputs!$B$43-Summary!$B$22)/(IF(Inputs!$B$38="pvp",15,MAX(0.1,Skills!E3-IF(Skills!F3=TRUE,Inputs!$B$32,0)))*(1-IF(AND(ArtifactsInput!$M$27,Inputs!$B$4="Chapter Hunt"),CHOOSE(ArtifactsInput!$N$27+1,20,24,28,32,36,40),0)/100)))+1)),0)</f>
        <v/>
      </c>
      <c r="S3">
        <f>IF(C3,(H3*N3*IF(AND(Inputs!$B$38&lt;&gt;"pvp",Inputs!$B$43&gt;0),((Skills!G3*((R3-1)*IF(Skills!H3&gt;0,Skills!I3/Skills!H3,1)+IF(Skills!H3&gt;0,MIN(Skills!I3,MAX(0,MAX(0,Inputs!$B$43-Summary!$B$22)-((R3-1)*(IF(Inputs!$B$38="pvp",15,MAX(0.1,Skills!E3-IF(Skills!F3=TRUE,Inputs!$B$32,0)))*(1-IF(AND(ArtifactsInput!$M$27,Inputs!$B$4="Chapter Hunt"),CHOOSE(ArtifactsInput!$N$27+1,20,24,28,32,36,40),0)/100)))))/Skills!H3,1)))/Inputs!$B$43),G3*Q3))*IF(Inputs!$B$38="pvp",1,1+(Inputs!$B$20+Skills!P3+Artifacts!$B$35)/100)*((((5000/(6000+Inputs!$B$42*(1-(100*(1-(1-Inputs!$B$19/100)*(1-Artifacts!$B$51/100)^IF(Inputs!$B$38="pvp",1,2)))/100)))/(5000/(6000+Inputs!$B$42*(1-Inputs!$B$19/100))))*((L3*(1-MIN(100,(Inputs!$B$9+Artifacts!$B$32)+Artifacts!$B$69)/100)+M3*(MIN(100,(Inputs!$B$9+Artifacts!$B$32)+Artifacts!$B$69)/100))/(L3*(1-MIN(100,(Inputs!$B$9+Artifacts!$B$32))/100)+M3*(MIN(100,(Inputs!$B$9+Artifacts!$B$32))/100)))*(1+Artifacts!$B$81/100))),0)</f>
        <v/>
      </c>
      <c r="U3">
        <f>IF(C3,(H3*N3*IF(AND(Inputs!$B$38&lt;&gt;"pvp",Inputs!$B$43&gt;0),((Skills!G3*((R3-1)*IF(Skills!H3&gt;0,Skills!I3/Skills!H3,1)+IF(Skills!H3&gt;0,MIN(Skills!I3,MAX(0,MAX(0,Inputs!$B$43-Summary!$B$22)-((R3-1)*(IF(Inputs!$B$38="pvp",15,MAX(0.1,Skills!E3-IF(Skills!F3=TRUE,Inputs!$B$32,0)))*(1-IF(AND(ArtifactsInput!$M$27,Inputs!$B$4="Chapter Hunt"),CHOOSE(ArtifactsInput!$N$27+1,20,24,28,32,36,40),0)/100)))))/Skills!H3,1)))/Inputs!$B$43),G3*Q3))*IF(Inputs!$B$38="pvp",1,(1+(Inputs!$B$21+Skills!Q3+Artifacts!$B$80)/100)*(MIN(Skills!R3,Inputs!$B$37)))*((1+Artifacts!$B$53/100)),0)</f>
        <v/>
      </c>
      <c r="Z3">
        <f>INDEX(FactorTable!$B$2:$Y$301, MATCH(ROUND(MIN(300,MAX(1,Z2)),0), FactorTable!$A$2:$A$301,0), 24)</f>
        <v/>
      </c>
    </row>
    <row r="4">
      <c r="A4">
        <f>Skills!A4</f>
        <v/>
      </c>
      <c r="B4">
        <f>Skills!B4</f>
        <v/>
      </c>
      <c r="C4">
        <f>TRUE</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f>Skills!G4*IF(Skills!H4&gt;0,Skills!I4/Skills!H4,1)</f>
        <v/>
      </c>
      <c r="H4">
        <f>1-(1-Skills!J4/100)^Skills!K4</f>
        <v/>
      </c>
      <c r="I4">
        <f>IF(Skills!X4&lt;&gt;"",1+(Skills!X4/10)*($Z$3/1000)/100,1)</f>
        <v/>
      </c>
      <c r="J4">
        <f>Summary!$B$6*(F4/100)</f>
        <v/>
      </c>
      <c r="K4">
        <f>J4*(1+Summary!$B$7/100)*(1+Inputs!$B$15/100)*(1+Inputs!$B$16/100)*(5000/(6000+Inputs!$B$42*(1-Inputs!$B$19/100)))*(1+Inputs!$B$24/100)*(1+Artifacts!$B$34/100)*(1+F23/100)*(1+IF(Inputs!$B$3&gt;=120,F26,0)/100)^5*(1+(IF(Skills!A4="BASIC_ATTACK",Inputs!$B$17+Artifacts!$B$40,Inputs!$B$18+Artifacts!$B$39+IF(Inputs!$B$3&gt;=125,F27*5,0)))/100)*(Summary!$B$13*Summary!$B$14*Summary!$B$15*(1+Artifacts!$B$38/100)*I4)</f>
        <v/>
      </c>
      <c r="L4">
        <f>K4*(MIN(Inputs!$B$22,Inputs!$B$23)/100+Inputs!$B$23/100)/2</f>
        <v/>
      </c>
      <c r="M4">
        <f>L4*(1+(Inputs!$B$10+Artifacts!$B$33)/100)</f>
        <v/>
      </c>
      <c r="N4">
        <f>L4*(1-MIN((Inputs!$B$9+Artifacts!$B$32),100)/100)+M4*(MIN((Inputs!$B$9+Artifacts!$B$32),100)/100)</f>
        <v/>
      </c>
      <c r="O4">
        <f>(1-Summary!$B$11)*S4+Summary!$B$11*U4</f>
        <v/>
      </c>
      <c r="P4">
        <f>IF(Summary!$B$3=0,0,O4/Summary!$B$3)</f>
        <v/>
      </c>
      <c r="Q4">
        <f>IFERROR(1/(IF(Inputs!$B$38="pvp",15,MAX(0.1,Skills!E4-IF(Skills!F4=TRUE,Inputs!$B$32,0)))*(1-IF(AND(ArtifactsInput!$M$27,Inputs!$B$4="Chapter Hunt"),CHOOSE(ArtifactsInput!$N$27+1,20,24,28,32,36,40),0)/100)),0)</f>
        <v/>
      </c>
      <c r="R4">
        <f>IF(AND(Inputs!$B$38&lt;&gt;"pvp",Inputs!$B$43&gt;0),IF(MAX(0,Inputs!$B$43-Summary!$B$22)&lt;=0,0,(INT(MAX(0,Inputs!$B$43-Summary!$B$22)/(IF(Inputs!$B$38="pvp",15,MAX(0.1,Skills!E4-IF(Skills!F4=TRUE,Inputs!$B$32,0)))*(1-IF(AND(ArtifactsInput!$M$27,Inputs!$B$4="Chapter Hunt"),CHOOSE(ArtifactsInput!$N$27+1,20,24,28,32,36,40),0)/100)))+1)),0)</f>
        <v/>
      </c>
      <c r="S4">
        <f>IF(C4,(H4*N4*IF(AND(Inputs!$B$38&lt;&gt;"pvp",Inputs!$B$43&gt;0),((Skills!G4*((R4-1)*IF(Skills!H4&gt;0,Skills!I4/Skills!H4,1)+IF(Skills!H4&gt;0,MIN(Skills!I4,MAX(0,MAX(0,Inputs!$B$43-Summary!$B$22)-((R4-1)*(IF(Inputs!$B$38="pvp",15,MAX(0.1,Skills!E4-IF(Skills!F4=TRUE,Inputs!$B$32,0)))*(1-IF(AND(ArtifactsInput!$M$27,Inputs!$B$4="Chapter Hunt"),CHOOSE(ArtifactsInput!$N$27+1,20,24,28,32,36,40),0)/100)))))/Skills!H4,1)))/Inputs!$B$43),G4*Q4))*IF(Inputs!$B$38="pvp",1,1+(Inputs!$B$20+Skills!P4+Artifacts!$B$35)/100)*((((5000/(6000+Inputs!$B$42*(1-(100*(1-(1-Inputs!$B$19/100)*(1-Artifacts!$B$51/100)^IF(Inputs!$B$38="pvp",1,2)))/100)))/(5000/(6000+Inputs!$B$42*(1-Inputs!$B$19/100))))*((L4*(1-MIN(100,(Inputs!$B$9+Artifacts!$B$32)+Artifacts!$B$69)/100)+M4*(MIN(100,(Inputs!$B$9+Artifacts!$B$32)+Artifacts!$B$69)/100))/(L4*(1-MIN(100,(Inputs!$B$9+Artifacts!$B$32))/100)+M4*(MIN(100,(Inputs!$B$9+Artifacts!$B$32))/100)))*(1+Artifacts!$B$81/100))),0)</f>
        <v/>
      </c>
      <c r="U4">
        <f>IF(C4,(H4*N4*IF(AND(Inputs!$B$38&lt;&gt;"pvp",Inputs!$B$43&gt;0),((Skills!G4*((R4-1)*IF(Skills!H4&gt;0,Skills!I4/Skills!H4,1)+IF(Skills!H4&gt;0,MIN(Skills!I4,MAX(0,MAX(0,Inputs!$B$43-Summary!$B$22)-((R4-1)*(IF(Inputs!$B$38="pvp",15,MAX(0.1,Skills!E4-IF(Skills!F4=TRUE,Inputs!$B$32,0)))*(1-IF(AND(ArtifactsInput!$M$27,Inputs!$B$4="Chapter Hunt"),CHOOSE(ArtifactsInput!$N$27+1,20,24,28,32,36,40),0)/100)))))/Skills!H4,1)))/Inputs!$B$43),G4*Q4))*IF(Inputs!$B$38="pvp",1,(1+(Inputs!$B$21+Skills!Q4+Artifacts!$B$80)/100)*(MIN(Skills!R4,Inputs!$B$37)))*((1+Artifacts!$B$53/100)),0)</f>
        <v/>
      </c>
    </row>
    <row r="5">
      <c r="A5">
        <f>Skills!A5</f>
        <v/>
      </c>
      <c r="B5">
        <f>Skills!B5</f>
        <v/>
      </c>
      <c r="C5">
        <f>TRUE</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Skills!G5*IF(Skills!H5&gt;0,Skills!I5/Skills!H5,1)</f>
        <v/>
      </c>
      <c r="H5">
        <f>1-(1-Skills!J5/100)^Skills!K5</f>
        <v/>
      </c>
      <c r="I5">
        <f>IF(Skills!X5&lt;&gt;"",1+(Skills!X5/10)*($Z$3/1000)/100,1)</f>
        <v/>
      </c>
      <c r="J5">
        <f>Summary!$B$6*(F5/100)</f>
        <v/>
      </c>
      <c r="K5">
        <f>J5*(1+Summary!$B$7/100)*(1+Inputs!$B$15/100)*(1+Inputs!$B$16/100)*(5000/(6000+Inputs!$B$42*(1-Inputs!$B$19/100)))*(1+Inputs!$B$24/100)*(1+Artifacts!$B$34/100)*(1+F23/100)*(1+IF(Inputs!$B$3&gt;=120,F26,0)/100)^5*(1+(IF(Skills!A5="BASIC_ATTACK",Inputs!$B$17+Artifacts!$B$40,Inputs!$B$18+Artifacts!$B$39+IF(Inputs!$B$3&gt;=125,F27*5,0)))/100)*(Summary!$B$13*Summary!$B$14*Summary!$B$15*(1+Artifacts!$B$38/100)*I5)</f>
        <v/>
      </c>
      <c r="L5">
        <f>K5*(MIN(Inputs!$B$22,Inputs!$B$23)/100+Inputs!$B$23/100)/2</f>
        <v/>
      </c>
      <c r="M5">
        <f>L5*(1+(Inputs!$B$10+Artifacts!$B$33)/100)</f>
        <v/>
      </c>
      <c r="N5">
        <f>L5*(1-MIN((Inputs!$B$9+Artifacts!$B$32),100)/100)+M5*(MIN((Inputs!$B$9+Artifacts!$B$32),100)/100)</f>
        <v/>
      </c>
      <c r="O5">
        <f>(1-Summary!$B$11)*S5+Summary!$B$11*U5</f>
        <v/>
      </c>
      <c r="P5">
        <f>IF(Summary!$B$3=0,0,O5/Summary!$B$3)</f>
        <v/>
      </c>
      <c r="Q5">
        <f>IFERROR(1/(IF(Inputs!$B$38="pvp",15,MAX(0.1,Skills!E5-IF(Skills!F5=TRUE,Inputs!$B$32,0)))*(1-IF(AND(ArtifactsInput!$M$27,Inputs!$B$4="Chapter Hunt"),CHOOSE(ArtifactsInput!$N$27+1,20,24,28,32,36,40),0)/100)),0)</f>
        <v/>
      </c>
      <c r="R5">
        <f>IF(AND(Inputs!$B$38&lt;&gt;"pvp",Inputs!$B$43&gt;0),IF(MAX(0,Inputs!$B$43-Summary!$B$22)&lt;=0,0,(INT(MAX(0,Inputs!$B$43-Summary!$B$22)/(IF(Inputs!$B$38="pvp",15,MAX(0.1,Skills!E5-IF(Skills!F5=TRUE,Inputs!$B$32,0)))*(1-IF(AND(ArtifactsInput!$M$27,Inputs!$B$4="Chapter Hunt"),CHOOSE(ArtifactsInput!$N$27+1,20,24,28,32,36,40),0)/100)))+1)),0)</f>
        <v/>
      </c>
      <c r="S5">
        <f>IF(C5,(H5*N5*IF(AND(Inputs!$B$38&lt;&gt;"pvp",Inputs!$B$43&gt;0),((Skills!G5*((R5-1)*IF(Skills!H5&gt;0,Skills!I5/Skills!H5,1)+IF(Skills!H5&gt;0,MIN(Skills!I5,MAX(0,MAX(0,Inputs!$B$43-Summary!$B$22)-((R5-1)*(IF(Inputs!$B$38="pvp",15,MAX(0.1,Skills!E5-IF(Skills!F5=TRUE,Inputs!$B$32,0)))*(1-IF(AND(ArtifactsInput!$M$27,Inputs!$B$4="Chapter Hunt"),CHOOSE(ArtifactsInput!$N$27+1,20,24,28,32,36,40),0)/100)))))/Skills!H5,1)))/Inputs!$B$43),G5*Q5))*IF(Inputs!$B$38="pvp",1,1+(Inputs!$B$20+Skills!P5+Artifacts!$B$35)/100)*((((5000/(6000+Inputs!$B$42*(1-(100*(1-(1-Inputs!$B$19/100)*(1-Artifacts!$B$51/100)^IF(Inputs!$B$38="pvp",1,2)))/100)))/(5000/(6000+Inputs!$B$42*(1-Inputs!$B$19/100))))*((L5*(1-MIN(100,(Inputs!$B$9+Artifacts!$B$32)+Artifacts!$B$69)/100)+M5*(MIN(100,(Inputs!$B$9+Artifacts!$B$32)+Artifacts!$B$69)/100))/(L5*(1-MIN(100,(Inputs!$B$9+Artifacts!$B$32))/100)+M5*(MIN(100,(Inputs!$B$9+Artifacts!$B$32))/100)))*(1+Artifacts!$B$81/100))),0)</f>
        <v/>
      </c>
      <c r="U5">
        <f>IF(C5,(H5*N5*IF(AND(Inputs!$B$38&lt;&gt;"pvp",Inputs!$B$43&gt;0),((Skills!G5*((R5-1)*IF(Skills!H5&gt;0,Skills!I5/Skills!H5,1)+IF(Skills!H5&gt;0,MIN(Skills!I5,MAX(0,MAX(0,Inputs!$B$43-Summary!$B$22)-((R5-1)*(IF(Inputs!$B$38="pvp",15,MAX(0.1,Skills!E5-IF(Skills!F5=TRUE,Inputs!$B$32,0)))*(1-IF(AND(ArtifactsInput!$M$27,Inputs!$B$4="Chapter Hunt"),CHOOSE(ArtifactsInput!$N$27+1,20,24,28,32,36,40),0)/100)))))/Skills!H5,1)))/Inputs!$B$43),G5*Q5))*IF(Inputs!$B$38="pvp",1,(1+(Inputs!$B$21+Skills!Q5+Artifacts!$B$80)/100)*(MIN(Skills!R5,Inputs!$B$37)))*((1+Artifacts!$B$53/100)),0)</f>
        <v/>
      </c>
    </row>
    <row r="6">
      <c r="A6">
        <f>Skills!A6</f>
        <v/>
      </c>
      <c r="B6">
        <f>Skills!B6</f>
        <v/>
      </c>
      <c r="C6">
        <f>TRUE</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Skills!G6*IF(Skills!H6&gt;0,Skills!I6/Skills!H6,1)</f>
        <v/>
      </c>
      <c r="H6">
        <f>1-(1-Skills!J6/100)^Skills!K6</f>
        <v/>
      </c>
      <c r="I6">
        <f>IF(Skills!X6&lt;&gt;"",1+(Skills!X6/10)*($Z$3/1000)/100,1)</f>
        <v/>
      </c>
      <c r="J6" t="inlineStr"/>
      <c r="K6" t="inlineStr"/>
      <c r="L6" t="inlineStr"/>
      <c r="M6" t="inlineStr"/>
      <c r="N6" t="inlineStr"/>
      <c r="O6">
        <f>(1-Summary!$B$11)*S6+Summary!$B$11*U6</f>
        <v/>
      </c>
      <c r="P6">
        <f>IF(Summary!$B$3=0,0,O6/Summary!$B$3)</f>
        <v/>
      </c>
      <c r="Q6">
        <f>IFERROR(1/(IF(Inputs!$B$38="pvp",15,MAX(0.1,Skills!E6-IF(Skills!F6=TRUE,Inputs!$B$32,0)))*(1-IF(AND(ArtifactsInput!$M$27,Inputs!$B$4="Chapter Hunt"),CHOOSE(ArtifactsInput!$N$27+1,20,24,28,32,36,40),0)/100)),0)</f>
        <v/>
      </c>
      <c r="R6">
        <f>IF(AND(Inputs!$B$38&lt;&gt;"pvp",Inputs!$B$43&gt;0),IF(Inputs!$B$43&lt;=0,0,(INT(Inputs!$B$43/(IF(Inputs!$B$38="pvp",15,MAX(0.1,Skills!E6-IF(Skills!F6=TRUE,Inputs!$B$32,0)))*(1-IF(AND(ArtifactsInput!$M$27,Inputs!$B$4="Chapter Hunt"),CHOOSE(ArtifactsInput!$N$27+1,20,24,28,32,36,40),0)/100)))+1)),0)</f>
        <v/>
      </c>
      <c r="S6" t="n">
        <v>0</v>
      </c>
      <c r="U6" t="n">
        <v>0</v>
      </c>
    </row>
    <row r="7">
      <c r="A7">
        <f>Skills!A7</f>
        <v/>
      </c>
      <c r="B7">
        <f>Skills!B7</f>
        <v/>
      </c>
      <c r="C7">
        <f>TRUE</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Skills!G7*IF(Skills!H7&gt;0,Skills!I7/Skills!H7,1)</f>
        <v/>
      </c>
      <c r="H7">
        <f>1-(1-Skills!J7/100)^Skills!K7</f>
        <v/>
      </c>
      <c r="I7">
        <f>IF(Skills!X7&lt;&gt;"",1+(Skills!X7/10)*($Z$3/1000)/100,1)</f>
        <v/>
      </c>
      <c r="J7">
        <f>Summary!$B$6*(F7/100)</f>
        <v/>
      </c>
      <c r="K7">
        <f>J7*(1+Summary!$B$7/100)*(1+Inputs!$B$15/100)*(1+Inputs!$B$16/100)*(5000/(6000+Inputs!$B$42*(1-Inputs!$B$19/100)))*(1+Inputs!$B$24/100)*(1+Artifacts!$B$34/100)*(1+F23/100)*(1+IF(Inputs!$B$3&gt;=120,F26,0)/100)^5*(1+(IF(Skills!A7="BASIC_ATTACK",Inputs!$B$17+Artifacts!$B$40,Inputs!$B$18+Artifacts!$B$39+IF(Inputs!$B$3&gt;=125,F27*5,0)))/100)*(Summary!$B$13*Summary!$B$14*Summary!$B$15*(1+Artifacts!$B$38/100)*I7)</f>
        <v/>
      </c>
      <c r="L7">
        <f>K7*(MIN(Inputs!$B$22,Inputs!$B$23)/100+Inputs!$B$23/100)/2</f>
        <v/>
      </c>
      <c r="M7">
        <f>L7*(1+(Inputs!$B$10+Artifacts!$B$33)/100)</f>
        <v/>
      </c>
      <c r="N7">
        <f>L7*(1-MIN((Inputs!$B$9+Artifacts!$B$32),100)/100)+M7*(MIN((Inputs!$B$9+Artifacts!$B$32),100)/100)</f>
        <v/>
      </c>
      <c r="O7">
        <f>(1-Summary!$B$11)*S7+Summary!$B$11*U7</f>
        <v/>
      </c>
      <c r="P7">
        <f>IF(Summary!$B$3=0,0,O7/Summary!$B$3)</f>
        <v/>
      </c>
      <c r="Q7">
        <f>IFERROR(1/(IF(Inputs!$B$38="pvp",15,MAX(0.1,Skills!E7-IF(Skills!F7=TRUE,Inputs!$B$32,0)))*(1-IF(AND(ArtifactsInput!$M$27,Inputs!$B$4="Chapter Hunt"),CHOOSE(ArtifactsInput!$N$27+1,20,24,28,32,36,40),0)/100)),0)</f>
        <v/>
      </c>
      <c r="R7">
        <f>IF(AND(Inputs!$B$38&lt;&gt;"pvp",Inputs!$B$43&gt;0),IF(MAX(0,Inputs!$B$43-Summary!$B$22)&lt;=0,0,(INT(MAX(0,Inputs!$B$43-Summary!$B$22)/(IF(Inputs!$B$38="pvp",15,MAX(0.1,Skills!E7-IF(Skills!F7=TRUE,Inputs!$B$32,0)))*(1-IF(AND(ArtifactsInput!$M$27,Inputs!$B$4="Chapter Hunt"),CHOOSE(ArtifactsInput!$N$27+1,20,24,28,32,36,40),0)/100)))+1)),0)</f>
        <v/>
      </c>
      <c r="S7">
        <f>IF(C7,(H7*N7*IF(AND(Inputs!$B$38&lt;&gt;"pvp",Inputs!$B$43&gt;0),((Skills!G7*((R7-1)*IF(Skills!H7&gt;0,Skills!I7/Skills!H7,1)+IF(Skills!H7&gt;0,MIN(Skills!I7,MAX(0,MAX(0,Inputs!$B$43-Summary!$B$22)-((R7-1)*(IF(Inputs!$B$38="pvp",15,MAX(0.1,Skills!E7-IF(Skills!F7=TRUE,Inputs!$B$32,0)))*(1-IF(AND(ArtifactsInput!$M$27,Inputs!$B$4="Chapter Hunt"),CHOOSE(ArtifactsInput!$N$27+1,20,24,28,32,36,40),0)/100)))))/Skills!H7,1)))/Inputs!$B$43),G7*Q7))*IF(Inputs!$B$38="pvp",1,1+(Inputs!$B$20+Skills!P7+Artifacts!$B$35)/100)*((((5000/(6000+Inputs!$B$42*(1-(100*(1-(1-Inputs!$B$19/100)*(1-Artifacts!$B$51/100)^IF(Inputs!$B$38="pvp",1,2)))/100)))/(5000/(6000+Inputs!$B$42*(1-Inputs!$B$19/100))))*((L7*(1-MIN(100,(Inputs!$B$9+Artifacts!$B$32)+Artifacts!$B$69)/100)+M7*(MIN(100,(Inputs!$B$9+Artifacts!$B$32)+Artifacts!$B$69)/100))/(L7*(1-MIN(100,(Inputs!$B$9+Artifacts!$B$32))/100)+M7*(MIN(100,(Inputs!$B$9+Artifacts!$B$32))/100)))*(1+Artifacts!$B$81/100))),0)</f>
        <v/>
      </c>
      <c r="U7">
        <f>IF(C7,(H7*N7*IF(AND(Inputs!$B$38&lt;&gt;"pvp",Inputs!$B$43&gt;0),((Skills!G7*((R7-1)*IF(Skills!H7&gt;0,Skills!I7/Skills!H7,1)+IF(Skills!H7&gt;0,MIN(Skills!I7,MAX(0,MAX(0,Inputs!$B$43-Summary!$B$22)-((R7-1)*(IF(Inputs!$B$38="pvp",15,MAX(0.1,Skills!E7-IF(Skills!F7=TRUE,Inputs!$B$32,0)))*(1-IF(AND(ArtifactsInput!$M$27,Inputs!$B$4="Chapter Hunt"),CHOOSE(ArtifactsInput!$N$27+1,20,24,28,32,36,40),0)/100)))))/Skills!H7,1)))/Inputs!$B$43),G7*Q7))*IF(Inputs!$B$38="pvp",1,(1+(Inputs!$B$21+Skills!Q7+Artifacts!$B$80)/100)*(MIN(Skills!R7,Inputs!$B$37)))*((1+Artifacts!$B$53/100)),0)</f>
        <v/>
      </c>
    </row>
    <row r="8">
      <c r="A8">
        <f>Skills!A8</f>
        <v/>
      </c>
      <c r="B8">
        <f>Skills!B8</f>
        <v/>
      </c>
      <c r="C8">
        <f>TRUE</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Skills!G8*IF(Skills!H8&gt;0,Skills!I8/Skills!H8,1)</f>
        <v/>
      </c>
      <c r="H8">
        <f>1-(1-Skills!J8/100)^Skills!K8</f>
        <v/>
      </c>
      <c r="I8">
        <f>IF(Skills!X8&lt;&gt;"",1+(Skills!X8/10)*($Z$3/1000)/100,1)</f>
        <v/>
      </c>
      <c r="J8">
        <f>Summary!$B$6*(F8/100)</f>
        <v/>
      </c>
      <c r="K8">
        <f>J8*(1+Summary!$B$7/100)*(1+Inputs!$B$15/100)*(1+Inputs!$B$16/100)*(5000/(6000+Inputs!$B$42*(1-Inputs!$B$19/100)))*(1+Inputs!$B$24/100)*(1+Artifacts!$B$34/100)*(1+F23/100)*(1+IF(Inputs!$B$3&gt;=120,F26,0)/100)^5*(1+(IF(Skills!A8="BASIC_ATTACK",Inputs!$B$17+Artifacts!$B$40,Inputs!$B$18+Artifacts!$B$39+IF(Inputs!$B$3&gt;=125,F27*5,0)))/100)*(Summary!$B$13*Summary!$B$14*Summary!$B$15*(1+Artifacts!$B$38/100)*I8)</f>
        <v/>
      </c>
      <c r="L8">
        <f>K8*(MIN(Inputs!$B$22,Inputs!$B$23)/100+Inputs!$B$23/100)/2</f>
        <v/>
      </c>
      <c r="M8">
        <f>L8*(1+(Inputs!$B$10+Artifacts!$B$33)/100)</f>
        <v/>
      </c>
      <c r="N8">
        <f>L8*(1-MIN((Inputs!$B$9+Artifacts!$B$32),100)/100)+M8*(MIN((Inputs!$B$9+Artifacts!$B$32),100)/100)</f>
        <v/>
      </c>
      <c r="O8">
        <f>(1-Summary!$B$11)*S8+Summary!$B$11*U8</f>
        <v/>
      </c>
      <c r="P8">
        <f>IF(Summary!$B$3=0,0,O8/Summary!$B$3)</f>
        <v/>
      </c>
      <c r="Q8">
        <f>IFERROR(1/(IF(Inputs!$B$38="pvp",15,MAX(0.1,Skills!E8-IF(Skills!F8=TRUE,Inputs!$B$32,0)))*(1-IF(AND(ArtifactsInput!$M$27,Inputs!$B$4="Chapter Hunt"),CHOOSE(ArtifactsInput!$N$27+1,20,24,28,32,36,40),0)/100)),0)</f>
        <v/>
      </c>
      <c r="R8">
        <f>IF(AND(Inputs!$B$38&lt;&gt;"pvp",Inputs!$B$43&gt;0),IF(MAX(0,Inputs!$B$43-Summary!$B$22)&lt;=0,0,(INT(MAX(0,Inputs!$B$43-Summary!$B$22)/(IF(Inputs!$B$38="pvp",15,MAX(0.1,Skills!E8-IF(Skills!F8=TRUE,Inputs!$B$32,0)))*(1-IF(AND(ArtifactsInput!$M$27,Inputs!$B$4="Chapter Hunt"),CHOOSE(ArtifactsInput!$N$27+1,20,24,28,32,36,40),0)/100)))+1)),0)</f>
        <v/>
      </c>
      <c r="S8">
        <f>IF(C8,(H8*N8*IF(AND(Inputs!$B$38&lt;&gt;"pvp",Inputs!$B$43&gt;0),((Skills!G8*((R8-1)*IF(Skills!H8&gt;0,Skills!I8/Skills!H8,1)+IF(Skills!H8&gt;0,MIN(Skills!I8,MAX(0,MAX(0,Inputs!$B$43-Summary!$B$22)-((R8-1)*(IF(Inputs!$B$38="pvp",15,MAX(0.1,Skills!E8-IF(Skills!F8=TRUE,Inputs!$B$32,0)))*(1-IF(AND(ArtifactsInput!$M$27,Inputs!$B$4="Chapter Hunt"),CHOOSE(ArtifactsInput!$N$27+1,20,24,28,32,36,40),0)/100)))))/Skills!H8,1)))/Inputs!$B$43),G8*Q8))*IF(Inputs!$B$38="pvp",1,1+(Inputs!$B$20+Skills!P8+Artifacts!$B$35)/100)*((((5000/(6000+Inputs!$B$42*(1-(100*(1-(1-Inputs!$B$19/100)*(1-Artifacts!$B$51/100)^IF(Inputs!$B$38="pvp",1,2)))/100)))/(5000/(6000+Inputs!$B$42*(1-Inputs!$B$19/100))))*((L8*(1-MIN(100,(Inputs!$B$9+Artifacts!$B$32)+Artifacts!$B$69)/100)+M8*(MIN(100,(Inputs!$B$9+Artifacts!$B$32)+Artifacts!$B$69)/100))/(L8*(1-MIN(100,(Inputs!$B$9+Artifacts!$B$32))/100)+M8*(MIN(100,(Inputs!$B$9+Artifacts!$B$32))/100)))*(1+Artifacts!$B$81/100))),0)</f>
        <v/>
      </c>
      <c r="U8">
        <f>IF(C8,(H8*N8*IF(AND(Inputs!$B$38&lt;&gt;"pvp",Inputs!$B$43&gt;0),((Skills!G8*((R8-1)*IF(Skills!H8&gt;0,Skills!I8/Skills!H8,1)+IF(Skills!H8&gt;0,MIN(Skills!I8,MAX(0,MAX(0,Inputs!$B$43-Summary!$B$22)-((R8-1)*(IF(Inputs!$B$38="pvp",15,MAX(0.1,Skills!E8-IF(Skills!F8=TRUE,Inputs!$B$32,0)))*(1-IF(AND(ArtifactsInput!$M$27,Inputs!$B$4="Chapter Hunt"),CHOOSE(ArtifactsInput!$N$27+1,20,24,28,32,36,40),0)/100)))))/Skills!H8,1)))/Inputs!$B$43),G8*Q8))*IF(Inputs!$B$38="pvp",1,(1+(Inputs!$B$21+Skills!Q8+Artifacts!$B$80)/100)*(MIN(Skills!R8,Inputs!$B$37)))*((1+Artifacts!$B$53/100)),0)</f>
        <v/>
      </c>
    </row>
    <row r="9">
      <c r="A9">
        <f>Skills!A9</f>
        <v/>
      </c>
      <c r="B9">
        <f>Skills!B9</f>
        <v/>
      </c>
      <c r="C9">
        <f>Inputs!$B$3&gt;=103</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Skills!G9*IF(Skills!H9&gt;0,Skills!I9/Skills!H9,1)</f>
        <v/>
      </c>
      <c r="H9">
        <f>1-(1-Skills!J9/100)^Skills!K9</f>
        <v/>
      </c>
      <c r="I9">
        <f>IF(Skills!X9&lt;&gt;"",1+(Skills!X9/10)*($Z$3/1000)/100,1)</f>
        <v/>
      </c>
      <c r="J9">
        <f>Summary!$B$6*(F9/100)</f>
        <v/>
      </c>
      <c r="K9">
        <f>J9*(1+Summary!$B$7/100)*(1+Inputs!$B$15/100)*(1+Inputs!$B$16/100)*(5000/(6000+Inputs!$B$42*(1-Inputs!$B$19/100)))*(1+Inputs!$B$24/100)*(1+Artifacts!$B$34/100)*(1+F23/100)*(1+IF(Inputs!$B$3&gt;=120,F26,0)/100)^5*(1+(IF(Skills!A9="BASIC_ATTACK",Inputs!$B$17+Artifacts!$B$40,Inputs!$B$18+Artifacts!$B$39+IF(Inputs!$B$3&gt;=125,F27*5,0)))/100)*(Summary!$B$13*Summary!$B$14*Summary!$B$15*(1+Artifacts!$B$38/100)*I9)</f>
        <v/>
      </c>
      <c r="L9">
        <f>K9*(MIN(Inputs!$B$22,Inputs!$B$23)/100+Inputs!$B$23/100)/2</f>
        <v/>
      </c>
      <c r="M9">
        <f>L9*(1+(Inputs!$B$10+Artifacts!$B$33)/100)</f>
        <v/>
      </c>
      <c r="N9">
        <f>L9*(1-MIN((Inputs!$B$9+Artifacts!$B$32),100)/100)+M9*(MIN((Inputs!$B$9+Artifacts!$B$32),100)/100)</f>
        <v/>
      </c>
      <c r="O9">
        <f>(1-Summary!$B$11)*S9+Summary!$B$11*U9</f>
        <v/>
      </c>
      <c r="P9">
        <f>IF(Summary!$B$3=0,0,O9/Summary!$B$3)</f>
        <v/>
      </c>
      <c r="Q9">
        <f>IFERROR(1/(IF(Inputs!$B$38="pvp",15,MAX(0.1,Skills!E9-IF(Skills!F7=TRUE,Inputs!$B$32,0)))*(1-IF(AND(ArtifactsInput!$M$27,Inputs!$B$4="Chapter Hunt"),CHOOSE(ArtifactsInput!$N$27+1,20,24,28,32,36,40),0)/100)),0)</f>
        <v/>
      </c>
      <c r="R9">
        <f>IF(AND(Inputs!$B$38&lt;&gt;"pvp",Inputs!$B$43&gt;0),IF(MAX(0,Inputs!$B$43-Summary!$B$22)&lt;=0,0,(INT(MAX(0,Inputs!$B$43-Summary!$B$22)/(IF(Inputs!$B$38="pvp",15,MAX(0.1,Skills!E9-IF(Skills!F7=TRUE,Inputs!$B$32,0)))*(1-IF(AND(ArtifactsInput!$M$27,Inputs!$B$4="Chapter Hunt"),CHOOSE(ArtifactsInput!$N$27+1,20,24,28,32,36,40),0)/100)))+1)),0)</f>
        <v/>
      </c>
      <c r="S9">
        <f>IF(C9,(H9*N9*IF(AND(Inputs!$B$38&lt;&gt;"pvp",Inputs!$B$43&gt;0),((Skills!G9*((R9-1)*IF(Skills!H9&gt;0,Skills!I9/Skills!H9,1)+IF(Skills!H9&gt;0,MIN(Skills!I9,MAX(0,MAX(0,Inputs!$B$43-Summary!$B$22)-((R9-1)*(IF(Inputs!$B$38="pvp",15,MAX(0.1,Skills!E9-IF(Skills!F7=TRUE,Inputs!$B$32,0)))*(1-IF(AND(ArtifactsInput!$M$27,Inputs!$B$4="Chapter Hunt"),CHOOSE(ArtifactsInput!$N$27+1,20,24,28,32,36,40),0)/100)))))/Skills!H9,1)))/Inputs!$B$43),G9*Q9))*IF(Inputs!$B$38="pvp",1,1+(Inputs!$B$20+Skills!P9+Artifacts!$B$35)/100)*((((5000/(6000+Inputs!$B$42*(1-(100*(1-(1-Inputs!$B$19/100)*(1-Artifacts!$B$51/100)^IF(Inputs!$B$38="pvp",1,2)))/100)))/(5000/(6000+Inputs!$B$42*(1-Inputs!$B$19/100))))*((L9*(1-MIN(100,(Inputs!$B$9+Artifacts!$B$32)+Artifacts!$B$69)/100)+M9*(MIN(100,(Inputs!$B$9+Artifacts!$B$32)+Artifacts!$B$69)/100))/(L9*(1-MIN(100,(Inputs!$B$9+Artifacts!$B$32))/100)+M9*(MIN(100,(Inputs!$B$9+Artifacts!$B$32))/100)))*(1+Artifacts!$B$81/100))),0)</f>
        <v/>
      </c>
      <c r="U9">
        <f>IF(C9,(H9*N9*IF(AND(Inputs!$B$38&lt;&gt;"pvp",Inputs!$B$43&gt;0),((Skills!G9*((R9-1)*IF(Skills!H9&gt;0,Skills!I9/Skills!H9,1)+IF(Skills!H9&gt;0,MIN(Skills!I9,MAX(0,MAX(0,Inputs!$B$43-Summary!$B$22)-((R9-1)*(IF(Inputs!$B$38="pvp",15,MAX(0.1,Skills!E9-IF(Skills!F7=TRUE,Inputs!$B$32,0)))*(1-IF(AND(ArtifactsInput!$M$27,Inputs!$B$4="Chapter Hunt"),CHOOSE(ArtifactsInput!$N$27+1,20,24,28,32,36,40),0)/100)))))/Skills!H9,1)))/Inputs!$B$43),G9*Q9))*IF(Inputs!$B$38="pvp",1,(1+(Inputs!$B$21+Skills!Q9+Artifacts!$B$80)/100)*(MIN(Skills!R9,Inputs!$B$37)))*((1+Artifacts!$B$53/100)),0)</f>
        <v/>
      </c>
    </row>
    <row r="10">
      <c r="A10">
        <f>Skills!A10</f>
        <v/>
      </c>
      <c r="B10">
        <f>Skills!B10</f>
        <v/>
      </c>
      <c r="C10">
        <f>TRUE</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Skills!G10*IF(Skills!H10&gt;0,Skills!I10/Skills!H10,1)</f>
        <v/>
      </c>
      <c r="H10">
        <f>1-(1-Skills!J10/100)^Skills!K10</f>
        <v/>
      </c>
      <c r="I10">
        <f>IF(Skills!X10&lt;&gt;"",1+(Skills!X10/10)*($Z$3/1000)/100,1)</f>
        <v/>
      </c>
      <c r="J10">
        <f>Summary!$B$6*(F10/100)</f>
        <v/>
      </c>
      <c r="K10">
        <f>J10*(1+Summary!$B$7/100)*(1+Inputs!$B$15/100)*(1+Inputs!$B$16/100)*(5000/(6000+Inputs!$B$42*(1-Inputs!$B$19/100)))*(1+Inputs!$B$24/100)*(1+Artifacts!$B$34/100)*(1+F23/100)*(1+IF(Inputs!$B$3&gt;=120,F26,0)/100)^5*(1+(IF(Skills!A10="BASIC_ATTACK",Inputs!$B$17+Artifacts!$B$40,Inputs!$B$18+Artifacts!$B$39+IF(Inputs!$B$3&gt;=125,F27*5,0)))/100)*(Summary!$B$13*Summary!$B$14*Summary!$B$15*(1+Artifacts!$B$38/100)*I10)</f>
        <v/>
      </c>
      <c r="L10">
        <f>K10*(MIN(Inputs!$B$22,Inputs!$B$23)/100+Inputs!$B$23/100)/2</f>
        <v/>
      </c>
      <c r="M10">
        <f>L10*(1+(Inputs!$B$10+Artifacts!$B$33)/100)</f>
        <v/>
      </c>
      <c r="N10">
        <f>L10*(1-MIN((Inputs!$B$9+Artifacts!$B$32),100)/100)+M10*(MIN((Inputs!$B$9+Artifacts!$B$32),100)/100)</f>
        <v/>
      </c>
      <c r="O10">
        <f>(1-Summary!$B$11)*S10+Summary!$B$11*U10</f>
        <v/>
      </c>
      <c r="P10">
        <f>IF(Summary!$B$3=0,0,O10/Summary!$B$3)</f>
        <v/>
      </c>
      <c r="Q10">
        <f>IFERROR(1/(IF(Inputs!$B$38="pvp",15,MAX(0.1,Skills!E10-IF(Skills!F10=TRUE,Inputs!$B$32,0)))*(1-IF(AND(ArtifactsInput!$M$27,Inputs!$B$4="Chapter Hunt"),CHOOSE(ArtifactsInput!$N$27+1,20,24,28,32,36,40),0)/100)),0)</f>
        <v/>
      </c>
      <c r="R10">
        <f>IF(AND(Inputs!$B$38&lt;&gt;"pvp",Inputs!$B$43&gt;0),IF(MAX(0,Inputs!$B$43-Summary!$B$22)&lt;=0,0,(INT(MAX(0,Inputs!$B$43-Summary!$B$22)/(IF(Inputs!$B$38="pvp",15,MAX(0.1,Skills!E10-IF(Skills!F10=TRUE,Inputs!$B$32,0)))*(1-IF(AND(ArtifactsInput!$M$27,Inputs!$B$4="Chapter Hunt"),CHOOSE(ArtifactsInput!$N$27+1,20,24,28,32,36,40),0)/100)))+1)),0)</f>
        <v/>
      </c>
      <c r="S10">
        <f>IF(C10,(H10*N10*IF(AND(Inputs!$B$38&lt;&gt;"pvp",Inputs!$B$43&gt;0),((Skills!G10*((R10-1)*IF(Skills!H10&gt;0,Skills!I10/Skills!H10,1)+IF(Skills!H10&gt;0,MIN(Skills!I10,MAX(0,MAX(0,Inputs!$B$43-Summary!$B$22)-((R10-1)*(IF(Inputs!$B$38="pvp",15,MAX(0.1,Skills!E10-IF(Skills!F10=TRUE,Inputs!$B$32,0)))*(1-IF(AND(ArtifactsInput!$M$27,Inputs!$B$4="Chapter Hunt"),CHOOSE(ArtifactsInput!$N$27+1,20,24,28,32,36,40),0)/100)))))/Skills!H10,1)))/Inputs!$B$43),G10*Q10))*IF(Inputs!$B$38="pvp",1,1+(Inputs!$B$20+Skills!P10+Artifacts!$B$35)/100)*((((5000/(6000+Inputs!$B$42*(1-(100*(1-(1-Inputs!$B$19/100)*(1-Artifacts!$B$51/100)^IF(Inputs!$B$38="pvp",1,2)))/100)))/(5000/(6000+Inputs!$B$42*(1-Inputs!$B$19/100))))*((L10*(1-MIN(100,(Inputs!$B$9+Artifacts!$B$32)+Artifacts!$B$69)/100)+M10*(MIN(100,(Inputs!$B$9+Artifacts!$B$32)+Artifacts!$B$69)/100))/(L10*(1-MIN(100,(Inputs!$B$9+Artifacts!$B$32))/100)+M10*(MIN(100,(Inputs!$B$9+Artifacts!$B$32))/100)))*(1+Artifacts!$B$81/100))),0)</f>
        <v/>
      </c>
      <c r="U10">
        <f>IF(C10,(H10*N10*IF(AND(Inputs!$B$38&lt;&gt;"pvp",Inputs!$B$43&gt;0),((Skills!G10*((R10-1)*IF(Skills!H10&gt;0,Skills!I10/Skills!H10,1)+IF(Skills!H10&gt;0,MIN(Skills!I10,MAX(0,MAX(0,Inputs!$B$43-Summary!$B$22)-((R10-1)*(IF(Inputs!$B$38="pvp",15,MAX(0.1,Skills!E10-IF(Skills!F10=TRUE,Inputs!$B$32,0)))*(1-IF(AND(ArtifactsInput!$M$27,Inputs!$B$4="Chapter Hunt"),CHOOSE(ArtifactsInput!$N$27+1,20,24,28,32,36,40),0)/100)))))/Skills!H10,1)))/Inputs!$B$43),G10*Q10))*IF(Inputs!$B$38="pvp",1,(1+(Inputs!$B$21+Skills!Q10+Artifacts!$B$80)/100)*(MIN(Skills!R10,Inputs!$B$37)))*((1+Artifacts!$B$53/100)),0)</f>
        <v/>
      </c>
    </row>
    <row r="11">
      <c r="A11">
        <f>Skills!A11</f>
        <v/>
      </c>
      <c r="B11">
        <f>Skills!B11</f>
        <v/>
      </c>
      <c r="C11">
        <f>TRUE</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Skills!G11*IF(Skills!H11&gt;0,Skills!I11/Skills!H11,1)</f>
        <v/>
      </c>
      <c r="H11">
        <f>1-(1-Skills!J11/100)^Skills!K11</f>
        <v/>
      </c>
      <c r="I11">
        <f>IF(Skills!X11&lt;&gt;"",1+(Skills!X11/10)*($Z$3/1000)/100,1)</f>
        <v/>
      </c>
      <c r="J11" t="inlineStr"/>
      <c r="K11" t="inlineStr"/>
      <c r="L11" t="inlineStr"/>
      <c r="M11" t="inlineStr"/>
      <c r="N11" t="inlineStr"/>
      <c r="O11">
        <f>(1-Summary!$B$11)*S11+Summary!$B$11*U11</f>
        <v/>
      </c>
      <c r="P11">
        <f>IF(Summary!$B$3=0,0,O11/Summary!$B$3)</f>
        <v/>
      </c>
      <c r="Q11">
        <f>IFERROR(1/(IF(Inputs!$B$38="pvp",15,MAX(0.1,Skills!E11-IF(Skills!F11=TRUE,Inputs!$B$32,0)))*(1-IF(AND(ArtifactsInput!$M$27,Inputs!$B$4="Chapter Hunt"),CHOOSE(ArtifactsInput!$N$27+1,20,24,28,32,36,40),0)/100)),0)</f>
        <v/>
      </c>
      <c r="R11" t="n">
        <v>0</v>
      </c>
      <c r="S11" t="n">
        <v>0</v>
      </c>
      <c r="U11" t="n">
        <v>0</v>
      </c>
    </row>
    <row r="12">
      <c r="A12">
        <f>Skills!A12</f>
        <v/>
      </c>
      <c r="B12">
        <f>Skills!B12</f>
        <v/>
      </c>
      <c r="C12">
        <f>TRUE</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f>Skills!G12*IF(Skills!H12&gt;0,Skills!I12/Skills!H12,1)</f>
        <v/>
      </c>
      <c r="H12">
        <f>1-(1-Skills!J12/100)^Skills!K12</f>
        <v/>
      </c>
      <c r="I12">
        <f>IF(Skills!X12&lt;&gt;"",1+(Skills!X12/10)*($Z$3/1000)/100,1)</f>
        <v/>
      </c>
      <c r="J12" t="inlineStr"/>
      <c r="K12" t="inlineStr"/>
      <c r="L12" t="inlineStr"/>
      <c r="M12" t="inlineStr"/>
      <c r="N12" t="inlineStr"/>
      <c r="O12">
        <f>(1-Summary!$B$11)*S12+Summary!$B$11*U12</f>
        <v/>
      </c>
      <c r="P12">
        <f>IF(Summary!$B$3=0,0,O12/Summary!$B$3)</f>
        <v/>
      </c>
      <c r="Q12">
        <f>IFERROR(1/(IF(Inputs!$B$38="pvp",15,MAX(0.1,Skills!E12-IF(Skills!F12=TRUE,Inputs!$B$32,0)))*(1-IF(AND(ArtifactsInput!$M$27,Inputs!$B$4="Chapter Hunt"),CHOOSE(ArtifactsInput!$N$27+1,20,24,28,32,36,40),0)/100)),0)</f>
        <v/>
      </c>
      <c r="R12" t="n">
        <v>0</v>
      </c>
      <c r="S12" t="n">
        <v>0</v>
      </c>
      <c r="U12" t="n">
        <v>0</v>
      </c>
    </row>
    <row r="13">
      <c r="A13">
        <f>Skills!A13</f>
        <v/>
      </c>
      <c r="B13">
        <f>Skills!B13</f>
        <v/>
      </c>
      <c r="C13">
        <f>Inputs!$B$3&gt;=105</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Skills!G13*IF(Skills!H13&gt;0,Skills!I13/Skills!H13,1)</f>
        <v/>
      </c>
      <c r="H13">
        <f>1-(1-Skills!J13/100)^Skills!K13</f>
        <v/>
      </c>
      <c r="I13">
        <f>IF(Skills!X13&lt;&gt;"",1+(Skills!X13/10)*($Z$3/1000)/100,1)</f>
        <v/>
      </c>
      <c r="J13">
        <f>Summary!$B$6*(F13/100)</f>
        <v/>
      </c>
      <c r="K13">
        <f>J13*(1+Summary!$B$7/100)*(1+Inputs!$B$15/100)*(1+Inputs!$B$16/100)*(5000/(6000+Inputs!$B$42*(1-Inputs!$B$19/100)))*(1+Inputs!$B$24/100)*(1+Artifacts!$B$34/100)*(1+F23/100)*(1+IF(Inputs!$B$3&gt;=120,F26,0)/100)^5*(1+(IF(Skills!A13="BASIC_ATTACK",Inputs!$B$17+Artifacts!$B$40,Inputs!$B$18+Artifacts!$B$39+IF(Inputs!$B$3&gt;=125,F27*5,0)))/100)*(Summary!$B$13*Summary!$B$14*Summary!$B$15*(1+Artifacts!$B$38/100)*I13)</f>
        <v/>
      </c>
      <c r="L13">
        <f>K13*(MIN(Inputs!$B$22,Inputs!$B$23)/100+Inputs!$B$23/100)/2</f>
        <v/>
      </c>
      <c r="M13">
        <f>L13*(1+(Inputs!$B$10+Artifacts!$B$33)/100)</f>
        <v/>
      </c>
      <c r="N13">
        <f>L13*(1-MIN((Inputs!$B$9+Artifacts!$B$32),100)/100)+M13*(MIN((Inputs!$B$9+Artifacts!$B$32),100)/100)</f>
        <v/>
      </c>
      <c r="O13">
        <f>(1-Summary!$B$11)*S13+Summary!$B$11*U13</f>
        <v/>
      </c>
      <c r="P13">
        <f>IF(Summary!$B$3=0,0,O13/Summary!$B$3)</f>
        <v/>
      </c>
      <c r="Q13">
        <f>IFERROR(1/(IF(Inputs!$B$38="pvp",15,MAX(0.1,Skills!E13-IF(Skills!F13=TRUE,Inputs!$B$32,0)))*(1-IF(AND(ArtifactsInput!$M$27,Inputs!$B$4="Chapter Hunt"),CHOOSE(ArtifactsInput!$N$27+1,20,24,28,32,36,40),0)/100)),0)</f>
        <v/>
      </c>
      <c r="R13">
        <f>IF(AND(Inputs!$B$38&lt;&gt;"pvp",Inputs!$B$43&gt;0),IF(MAX(0,Inputs!$B$43-Summary!$B$22)&lt;=0,0,(INT(MAX(0,Inputs!$B$43-Summary!$B$22)/(IF(Inputs!$B$38="pvp",15,MAX(0.1,Skills!E13-IF(Skills!F13=TRUE,Inputs!$B$32,0)))*(1-IF(AND(ArtifactsInput!$M$27,Inputs!$B$4="Chapter Hunt"),CHOOSE(ArtifactsInput!$N$27+1,20,24,28,32,36,40),0)/100)))+1)),0)</f>
        <v/>
      </c>
      <c r="S13">
        <f>IF(C13,(H13*N13*IF(AND(Inputs!$B$38&lt;&gt;"pvp",Inputs!$B$43&gt;0),((Skills!G13*((R13-1)*IF(Skills!H13&gt;0,Skills!I13/Skills!H13,1)+IF(Skills!H13&gt;0,MIN(Skills!I13,MAX(0,MAX(0,Inputs!$B$43-Summary!$B$22)-((R13-1)*(IF(Inputs!$B$38="pvp",15,MAX(0.1,Skills!E13-IF(Skills!F13=TRUE,Inputs!$B$32,0)))*(1-IF(AND(ArtifactsInput!$M$27,Inputs!$B$4="Chapter Hunt"),CHOOSE(ArtifactsInput!$N$27+1,20,24,28,32,36,40),0)/100)))))/Skills!H13,1)))/Inputs!$B$43),G13*Q13))*IF(Inputs!$B$38="pvp",1,1+(Inputs!$B$20+Skills!P13+Artifacts!$B$35)/100)*((((5000/(6000+Inputs!$B$42*(1-(100*(1-(1-Inputs!$B$19/100)*(1-Artifacts!$B$51/100)^IF(Inputs!$B$38="pvp",1,2)))/100)))/(5000/(6000+Inputs!$B$42*(1-Inputs!$B$19/100))))*((L13*(1-MIN(100,(Inputs!$B$9+Artifacts!$B$32)+Artifacts!$B$69)/100)+M13*(MIN(100,(Inputs!$B$9+Artifacts!$B$32)+Artifacts!$B$69)/100))/(L13*(1-MIN(100,(Inputs!$B$9+Artifacts!$B$32))/100)+M13*(MIN(100,(Inputs!$B$9+Artifacts!$B$32))/100)))*(1+Artifacts!$B$81/100))),0)</f>
        <v/>
      </c>
      <c r="U13">
        <f>IF(C13,(H13*N13*IF(AND(Inputs!$B$38&lt;&gt;"pvp",Inputs!$B$43&gt;0),((Skills!G13*((R13-1)*IF(Skills!H13&gt;0,Skills!I13/Skills!H13,1)+IF(Skills!H13&gt;0,MIN(Skills!I13,MAX(0,MAX(0,Inputs!$B$43-Summary!$B$22)-((R13-1)*(IF(Inputs!$B$38="pvp",15,MAX(0.1,Skills!E13-IF(Skills!F13=TRUE,Inputs!$B$32,0)))*(1-IF(AND(ArtifactsInput!$M$27,Inputs!$B$4="Chapter Hunt"),CHOOSE(ArtifactsInput!$N$27+1,20,24,28,32,36,40),0)/100)))))/Skills!H13,1)))/Inputs!$B$43),G13*Q13))*IF(Inputs!$B$38="pvp",1,(1+(Inputs!$B$21+Skills!Q13+Artifacts!$B$80)/100)*(MIN(Skills!R13,Inputs!$B$37)))*((1+Artifacts!$B$53/100)),0)</f>
        <v/>
      </c>
    </row>
    <row r="14">
      <c r="A14">
        <f>Skills!A14</f>
        <v/>
      </c>
      <c r="B14">
        <f>Skills!B14</f>
        <v/>
      </c>
      <c r="C14">
        <f>Inputs!$B$3&gt;=113</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Skills!G14*IF(Skills!H14&gt;0,Skills!I14/Skills!H14,1)</f>
        <v/>
      </c>
      <c r="H14">
        <f>1-(1-Skills!J14/100)^Skills!K14</f>
        <v/>
      </c>
      <c r="I14">
        <f>IF(Skills!X14&lt;&gt;"",1+(Skills!X14/10)*($Z$3/1000)/100,1)</f>
        <v/>
      </c>
      <c r="J14">
        <f>Summary!$B$6*(F14/100)</f>
        <v/>
      </c>
      <c r="K14">
        <f>J14*(1+Summary!$B$7/100)*(1+Inputs!$B$15/100)*(1+Inputs!$B$16/100)*(5000/(6000+Inputs!$B$42*(1-Inputs!$B$19/100)))*(1+Inputs!$B$24/100)*(1+Artifacts!$B$34/100)*(1+F23/100)*(1+IF(Inputs!$B$3&gt;=120,F26,0)/100)^5*(1+(IF(Skills!A14="BASIC_ATTACK",Inputs!$B$17+Artifacts!$B$40,Inputs!$B$18+Artifacts!$B$39+IF(Inputs!$B$3&gt;=125,F27*5,0)))/100)*(Summary!$B$13*Summary!$B$14*Summary!$B$15*(1+Artifacts!$B$38/100)*I14)</f>
        <v/>
      </c>
      <c r="L14">
        <f>K14*(MIN(Inputs!$B$22,Inputs!$B$23)/100+Inputs!$B$23/100)/2</f>
        <v/>
      </c>
      <c r="M14">
        <f>L14*(1+(Inputs!$B$10+Artifacts!$B$33)/100)</f>
        <v/>
      </c>
      <c r="N14">
        <f>L14*(1-MIN((Inputs!$B$9+Artifacts!$B$32),100)/100)+M14*(MIN((Inputs!$B$9+Artifacts!$B$32),100)/100)</f>
        <v/>
      </c>
      <c r="O14">
        <f>(1-Summary!$B$11)*S14+Summary!$B$11*U14</f>
        <v/>
      </c>
      <c r="P14">
        <f>IF(Summary!$B$3=0,0,O14/Summary!$B$3)</f>
        <v/>
      </c>
      <c r="Q14">
        <f>IFERROR(1/(IF(Inputs!$B$38="pvp",15,MAX(0.1,Skills!E14-IF(Skills!F14=TRUE,Inputs!$B$32,0)))*(1-IF(AND(ArtifactsInput!$M$27,Inputs!$B$4="Chapter Hunt"),CHOOSE(ArtifactsInput!$N$27+1,20,24,28,32,36,40),0)/100)),0)</f>
        <v/>
      </c>
      <c r="R14" t="n">
        <v>0</v>
      </c>
      <c r="S14">
        <f>IF(C14,((H14*Summary!$B$21)/(1+Skills!H14*H14*Summary!$B$21)*N14)*IF(Inputs!$B$38="pvp",1,1+(Inputs!$B$20+Skills!P14+Artifacts!$B$35)/100)*((((5000/(6000+Inputs!$B$42*(1-(100*(1-(1-Inputs!$B$19/100)*(1-Artifacts!$B$51/100)^IF(Inputs!$B$38="pvp",1,2)))/100)))/(5000/(6000+Inputs!$B$42*(1-Inputs!$B$19/100))))*((L14*(1-MIN(100,(Inputs!$B$9+Artifacts!$B$32)+Artifacts!$B$69)/100)+M14*(MIN(100,(Inputs!$B$9+Artifacts!$B$32)+Artifacts!$B$69)/100))/(L14*(1-MIN(100,(Inputs!$B$9+Artifacts!$B$32))/100)+M14*(MIN(100,(Inputs!$B$9+Artifacts!$B$32))/100)))*(1+Artifacts!$B$81/100))),0)</f>
        <v/>
      </c>
      <c r="U14">
        <f>IF(C14,((H14*Summary!$B$21)/(1+Skills!H14*H14*Summary!$B$21)*N14)*IF(Inputs!$B$38="pvp",1,(1+(Inputs!$B$21+Skills!Q14+Artifacts!$B$80)/100)*(MIN(Skills!R14,Inputs!$B$37)))*((1+Artifacts!$B$53/100)),0)</f>
        <v/>
      </c>
    </row>
    <row r="15">
      <c r="A15">
        <f>Skills!A15</f>
        <v/>
      </c>
      <c r="B15">
        <f>Skills!B15</f>
        <v/>
      </c>
      <c r="C15">
        <f>Inputs!$B$3&gt;=107</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Skills!G15*IF(Skills!H15&gt;0,Skills!I15/Skills!H15,1)</f>
        <v/>
      </c>
      <c r="H15">
        <f>1-(1-Skills!J15/100)^Skills!K15</f>
        <v/>
      </c>
      <c r="I15">
        <f>IF(Skills!X15&lt;&gt;"",1+(Skills!X15/10)*($Z$3/1000)/100,1)</f>
        <v/>
      </c>
      <c r="J15">
        <f>Summary!$B$6*(F15/100)</f>
        <v/>
      </c>
      <c r="K15">
        <f>J15*(1+Summary!$B$7/100)*(1+Inputs!$B$15/100)*(1+Inputs!$B$16/100)*(5000/(6000+Inputs!$B$42*(1-Inputs!$B$19/100)))*(1+Inputs!$B$24/100)*(1+Artifacts!$B$34/100)*(1+F23/100)*(1+IF(Inputs!$B$3&gt;=120,F26,0)/100)^5*(1+(IF(Skills!A15="BASIC_ATTACK",Inputs!$B$17+Artifacts!$B$40,Inputs!$B$18+Artifacts!$B$39+IF(Inputs!$B$3&gt;=125,F27*5,0)))/100)*(Summary!$B$13*Summary!$B$14*Summary!$B$15*(1+Artifacts!$B$38/100)*I15)</f>
        <v/>
      </c>
      <c r="L15">
        <f>K15*(MIN(Inputs!$B$22,Inputs!$B$23)/100+Inputs!$B$23/100)/2</f>
        <v/>
      </c>
      <c r="M15">
        <f>L15*(1+(Inputs!$B$10+Artifacts!$B$33)/100)</f>
        <v/>
      </c>
      <c r="N15">
        <f>L15*(1-MIN((Inputs!$B$9+Artifacts!$B$32),100)/100)+M15*(MIN((Inputs!$B$9+Artifacts!$B$32),100)/100)</f>
        <v/>
      </c>
      <c r="O15">
        <f>(1-Summary!$B$11)*S15+Summary!$B$11*U15</f>
        <v/>
      </c>
      <c r="P15">
        <f>IF(Summary!$B$3=0,0,O15/Summary!$B$3)</f>
        <v/>
      </c>
      <c r="Q15">
        <f>IFERROR(1/(IF(Inputs!$B$38="pvp",15,MAX(0.1,Skills!E15-IF(Skills!F15=TRUE,Inputs!$B$32,0)))*(1-IF(AND(ArtifactsInput!$M$27,Inputs!$B$4="Chapter Hunt"),CHOOSE(ArtifactsInput!$N$27+1,20,24,28,32,36,40),0)/100)),0)</f>
        <v/>
      </c>
      <c r="R15">
        <f>IF(AND(Inputs!$B$38&lt;&gt;"pvp",Inputs!$B$43&gt;0),IF(MAX(0,Inputs!$B$43-Summary!$B$22)&lt;=0,0,(INT(MAX(0,Inputs!$B$43-Summary!$B$22)/(IF(Inputs!$B$38="pvp",15,MAX(0.1,Skills!E15-IF(Skills!F15=TRUE,Inputs!$B$32,0)))*(1-IF(AND(ArtifactsInput!$M$27,Inputs!$B$4="Chapter Hunt"),CHOOSE(ArtifactsInput!$N$27+1,20,24,28,32,36,40),0)/100)))+1)),0)</f>
        <v/>
      </c>
      <c r="S15">
        <f>IF(C15,(H15*N15*IF(AND(Inputs!$B$38&lt;&gt;"pvp",Inputs!$B$43&gt;0),((Skills!G15*((R15-1)*IF(Skills!H15&gt;0,Skills!I15/Skills!H15,1)+IF(Skills!H15&gt;0,MIN(Skills!I15,MAX(0,MAX(0,Inputs!$B$43-Summary!$B$22)-((R15-1)*(IF(Inputs!$B$38="pvp",15,MAX(0.1,Skills!E15-IF(Skills!F15=TRUE,Inputs!$B$32,0)))*(1-IF(AND(ArtifactsInput!$M$27,Inputs!$B$4="Chapter Hunt"),CHOOSE(ArtifactsInput!$N$27+1,20,24,28,32,36,40),0)/100)))))/Skills!H15,1)))/Inputs!$B$43),G15*Q15))*IF(Inputs!$B$38="pvp",1,1+(Inputs!$B$20+Skills!P15+Artifacts!$B$35)/100)*((((5000/(6000+Inputs!$B$42*(1-(100*(1-(1-Inputs!$B$19/100)*(1-Artifacts!$B$51/100)^IF(Inputs!$B$38="pvp",1,2)))/100)))/(5000/(6000+Inputs!$B$42*(1-Inputs!$B$19/100))))*((L15*(1-MIN(100,(Inputs!$B$9+Artifacts!$B$32)+Artifacts!$B$69)/100)+M15*(MIN(100,(Inputs!$B$9+Artifacts!$B$32)+Artifacts!$B$69)/100))/(L15*(1-MIN(100,(Inputs!$B$9+Artifacts!$B$32))/100)+M15*(MIN(100,(Inputs!$B$9+Artifacts!$B$32))/100)))*(1+Artifacts!$B$81/100))),0)</f>
        <v/>
      </c>
      <c r="U15">
        <f>IF(C15,(H15*N15*IF(AND(Inputs!$B$38&lt;&gt;"pvp",Inputs!$B$43&gt;0),((Skills!G15*((R15-1)*IF(Skills!H15&gt;0,Skills!I15/Skills!H15,1)+IF(Skills!H15&gt;0,MIN(Skills!I15,MAX(0,MAX(0,Inputs!$B$43-Summary!$B$22)-((R15-1)*(IF(Inputs!$B$38="pvp",15,MAX(0.1,Skills!E15-IF(Skills!F15=TRUE,Inputs!$B$32,0)))*(1-IF(AND(ArtifactsInput!$M$27,Inputs!$B$4="Chapter Hunt"),CHOOSE(ArtifactsInput!$N$27+1,20,24,28,32,36,40),0)/100)))))/Skills!H15,1)))/Inputs!$B$43),G15*Q15))*IF(Inputs!$B$38="pvp",1,(1+(Inputs!$B$21+Skills!Q15+Artifacts!$B$80)/100)*(MIN(Skills!R15,Inputs!$B$37)))*((1+Artifacts!$B$53/100)),0)</f>
        <v/>
      </c>
    </row>
    <row r="16">
      <c r="A16">
        <f>Skills!A16</f>
        <v/>
      </c>
      <c r="B16">
        <f>Skills!B16</f>
        <v/>
      </c>
      <c r="C16">
        <f>Inputs!$B$3&gt;=107</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Skills!G16*IF(Skills!H16&gt;0,Skills!I16/Skills!H16,1)</f>
        <v/>
      </c>
      <c r="H16">
        <f>1-(1-Skills!J16/100)^Skills!K16</f>
        <v/>
      </c>
      <c r="I16">
        <f>IF(Skills!X16&lt;&gt;"",1+(Skills!X16/10)*($Z$3/1000)/100,1)</f>
        <v/>
      </c>
      <c r="J16">
        <f>Summary!$B$6*(F16/100)</f>
        <v/>
      </c>
      <c r="K16">
        <f>J16*(1+Summary!$B$7/100)*(1+Inputs!$B$15/100)*(1+Inputs!$B$16/100)*(5000/(6000+Inputs!$B$42*(1-Inputs!$B$19/100)))*(1+Inputs!$B$24/100)*(1+Artifacts!$B$34/100)*(1+F23/100)*(1+IF(Inputs!$B$3&gt;=120,F26,0)/100)^5*(1+(IF(Skills!A16="BASIC_ATTACK",Inputs!$B$17+Artifacts!$B$40,Inputs!$B$18+Artifacts!$B$39+IF(Inputs!$B$3&gt;=125,F27*5,0)))/100)*(Summary!$B$13*Summary!$B$14*Summary!$B$15*(1+Artifacts!$B$38/100)*I16)</f>
        <v/>
      </c>
      <c r="L16">
        <f>K16*(MIN(Inputs!$B$22,Inputs!$B$23)/100+Inputs!$B$23/100)/2</f>
        <v/>
      </c>
      <c r="M16">
        <f>L16*(1+(Inputs!$B$10+Artifacts!$B$33)/100)</f>
        <v/>
      </c>
      <c r="N16">
        <f>L16*(1-MIN((Inputs!$B$9+Artifacts!$B$32),100)/100)+M16*(MIN((Inputs!$B$9+Artifacts!$B$32),100)/100)</f>
        <v/>
      </c>
      <c r="O16">
        <f>(1-Summary!$B$11)*S16+Summary!$B$11*U16</f>
        <v/>
      </c>
      <c r="P16">
        <f>IF(Summary!$B$3=0,0,O16/Summary!$B$3)</f>
        <v/>
      </c>
      <c r="Q16">
        <f>IFERROR(1/(IF(Inputs!$B$38="pvp",15,MAX(0.1,Skills!E16-IF(Skills!F16=TRUE,Inputs!$B$32,0)))*(1-IF(AND(ArtifactsInput!$M$27,Inputs!$B$4="Chapter Hunt"),CHOOSE(ArtifactsInput!$N$27+1,20,24,28,32,36,40),0)/100)),0)</f>
        <v/>
      </c>
      <c r="R16">
        <f>IF(AND(Inputs!$B$38&lt;&gt;"pvp",Inputs!$B$43&gt;0),IF(MAX(0,Inputs!$B$43-Summary!$B$22)&lt;=0,0,(INT(MAX(0,Inputs!$B$43-Summary!$B$22)/(IF(Inputs!$B$38="pvp",15,MAX(0.1,Skills!E16-IF(Skills!F16=TRUE,Inputs!$B$32,0)))*(1-IF(AND(ArtifactsInput!$M$27,Inputs!$B$4="Chapter Hunt"),CHOOSE(ArtifactsInput!$N$27+1,20,24,28,32,36,40),0)/100)))+1)),0)</f>
        <v/>
      </c>
      <c r="S16">
        <f>IF(C16,(H16*N16*IF(AND(Inputs!$B$38&lt;&gt;"pvp",Inputs!$B$43&gt;0),((Skills!G16*((R16-1)*IF(Skills!H16&gt;0,Skills!I16/Skills!H16,1)+IF(Skills!H16&gt;0,MIN(Skills!I16,MAX(0,MAX(0,Inputs!$B$43-Summary!$B$22)-((R16-1)*(IF(Inputs!$B$38="pvp",15,MAX(0.1,Skills!E16-IF(Skills!F16=TRUE,Inputs!$B$32,0)))*(1-IF(AND(ArtifactsInput!$M$27,Inputs!$B$4="Chapter Hunt"),CHOOSE(ArtifactsInput!$N$27+1,20,24,28,32,36,40),0)/100)))))/Skills!H16,1)))/Inputs!$B$43),G16*Q16)*(1+IF(Inputs!$B$3&gt;=126,0.05*(Summary!$B$19+Q13+(H14*Summary!$B$21)/(1+Skills!H14*H14*Summary!$B$21)+Q24),0)*Skills!E15))*IF(Inputs!$B$38="pvp",1,1+(Inputs!$B$20+Skills!P16+Artifacts!$B$35)/100)*((((5000/(6000+Inputs!$B$42*(1-(100*(1-(1-Inputs!$B$19/100)*(1-Artifacts!$B$51/100)^IF(Inputs!$B$38="pvp",1,2)))/100)))/(5000/(6000+Inputs!$B$42*(1-Inputs!$B$19/100))))*((L16*(1-MIN(100,(Inputs!$B$9+Artifacts!$B$32)+Artifacts!$B$69)/100)+M16*(MIN(100,(Inputs!$B$9+Artifacts!$B$32)+Artifacts!$B$69)/100))/(L16*(1-MIN(100,(Inputs!$B$9+Artifacts!$B$32))/100)+M16*(MIN(100,(Inputs!$B$9+Artifacts!$B$32))/100)))*(1+Artifacts!$B$81/100))),0)</f>
        <v/>
      </c>
      <c r="U16">
        <f>IF(C16,(H16*N16*IF(AND(Inputs!$B$38&lt;&gt;"pvp",Inputs!$B$43&gt;0),((Skills!G16*((R16-1)*IF(Skills!H16&gt;0,Skills!I16/Skills!H16,1)+IF(Skills!H16&gt;0,MIN(Skills!I16,MAX(0,MAX(0,Inputs!$B$43-Summary!$B$22)-((R16-1)*(IF(Inputs!$B$38="pvp",15,MAX(0.1,Skills!E16-IF(Skills!F16=TRUE,Inputs!$B$32,0)))*(1-IF(AND(ArtifactsInput!$M$27,Inputs!$B$4="Chapter Hunt"),CHOOSE(ArtifactsInput!$N$27+1,20,24,28,32,36,40),0)/100)))))/Skills!H16,1)))/Inputs!$B$43),G16*Q16)*(1+IF(Inputs!$B$3&gt;=126,0.05*(Summary!$B$19+Q13+(H14*Summary!$B$21)/(1+Skills!H14*H14*Summary!$B$21)+Q24),0)*Skills!E15))*IF(Inputs!$B$38="pvp",1,(1+(Inputs!$B$21+Skills!Q16+Artifacts!$B$80)/100)*(MIN(Skills!R16,Inputs!$B$37)))*((1+Artifacts!$B$53/100)),0)</f>
        <v/>
      </c>
    </row>
    <row r="17">
      <c r="A17">
        <f>Skills!A17</f>
        <v/>
      </c>
      <c r="B17">
        <f>Skills!B17</f>
        <v/>
      </c>
      <c r="C17">
        <f>TRUE</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Skills!G17*IF(Skills!H17&gt;0,Skills!I17/Skills!H17,1)</f>
        <v/>
      </c>
      <c r="H17">
        <f>1-(1-Skills!J17/100)^Skills!K17</f>
        <v/>
      </c>
      <c r="I17">
        <f>IF(Skills!X17&lt;&gt;"",1+(Skills!X17/10)*($Z$3/1000)/100,1)</f>
        <v/>
      </c>
      <c r="J17" t="inlineStr"/>
      <c r="K17" t="inlineStr"/>
      <c r="L17" t="inlineStr"/>
      <c r="M17" t="inlineStr"/>
      <c r="N17" t="inlineStr"/>
      <c r="O17">
        <f>(1-Summary!$B$11)*S17+Summary!$B$11*U17</f>
        <v/>
      </c>
      <c r="P17">
        <f>IF(Summary!$B$3=0,0,O17/Summary!$B$3)</f>
        <v/>
      </c>
      <c r="Q17">
        <f>IFERROR(1/(IF(Inputs!$B$38="pvp",15,MAX(0.1,Skills!E17-IF(Skills!F17=TRUE,Inputs!$B$32,0)))*(1-IF(AND(ArtifactsInput!$M$27,Inputs!$B$4="Chapter Hunt"),CHOOSE(ArtifactsInput!$N$27+1,20,24,28,32,36,40),0)/100)),0)</f>
        <v/>
      </c>
      <c r="R17">
        <f>IF(AND(Inputs!$B$38&lt;&gt;"pvp",Inputs!$B$43&gt;0),IF(Inputs!$B$43&lt;=0,0,(INT(Inputs!$B$43/(IF(Inputs!$B$38="pvp",15,MAX(0.1,Skills!E17-IF(Skills!F17=TRUE,Inputs!$B$32,0)))*(1-IF(AND(ArtifactsInput!$M$27,Inputs!$B$4="Chapter Hunt"),CHOOSE(ArtifactsInput!$N$27+1,20,24,28,32,36,40),0)/100)))+1)),0)</f>
        <v/>
      </c>
      <c r="S17" t="n">
        <v>0</v>
      </c>
      <c r="U17" t="n">
        <v>0</v>
      </c>
    </row>
    <row r="18">
      <c r="A18">
        <f>Skills!A18</f>
        <v/>
      </c>
      <c r="B18">
        <f>Skills!B18</f>
        <v/>
      </c>
      <c r="C18">
        <f>TRUE</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Skills!G18*IF(Skills!H18&gt;0,Skills!I18/Skills!H18,1)</f>
        <v/>
      </c>
      <c r="H18">
        <f>1-(1-Skills!J18/100)^Skills!K18</f>
        <v/>
      </c>
      <c r="I18">
        <f>IF(Skills!X18&lt;&gt;"",1+(Skills!X18/10)*($Z$3/1000)/100,1)</f>
        <v/>
      </c>
      <c r="J18" t="inlineStr"/>
      <c r="K18" t="inlineStr"/>
      <c r="L18" t="inlineStr"/>
      <c r="M18" t="inlineStr"/>
      <c r="N18" t="inlineStr"/>
      <c r="O18">
        <f>(1-Summary!$B$11)*S18+Summary!$B$11*U18</f>
        <v/>
      </c>
      <c r="P18">
        <f>IF(Summary!$B$3=0,0,O18/Summary!$B$3)</f>
        <v/>
      </c>
      <c r="Q18">
        <f>IFERROR(1/(IF(Inputs!$B$38="pvp",15,MAX(0.1,Skills!E18-IF(Skills!F18=TRUE,Inputs!$B$32,0)))*(1-IF(AND(ArtifactsInput!$M$27,Inputs!$B$4="Chapter Hunt"),CHOOSE(ArtifactsInput!$N$27+1,20,24,28,32,36,40),0)/100)),0)</f>
        <v/>
      </c>
      <c r="R18">
        <f>IF(AND(Inputs!$B$38&lt;&gt;"pvp",Inputs!$B$43&gt;0),IF(Inputs!$B$43&lt;=0,0,(INT(Inputs!$B$43/(IF(Inputs!$B$38="pvp",15,MAX(0.1,Skills!E18-IF(Skills!F18=TRUE,Inputs!$B$32,0)))*(1-IF(AND(ArtifactsInput!$M$27,Inputs!$B$4="Chapter Hunt"),CHOOSE(ArtifactsInput!$N$27+1,20,24,28,32,36,40),0)/100)))+1)),0)</f>
        <v/>
      </c>
      <c r="S18" t="n">
        <v>0</v>
      </c>
      <c r="U18" t="n">
        <v>0</v>
      </c>
    </row>
    <row r="19">
      <c r="A19">
        <f>Skills!A19</f>
        <v/>
      </c>
      <c r="B19">
        <f>Skills!B19</f>
        <v/>
      </c>
      <c r="C19">
        <f>Inputs!$B$3&gt;=110</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Skills!G19*IF(Skills!H19&gt;0,Skills!I19/Skills!H19,1)</f>
        <v/>
      </c>
      <c r="H19">
        <f>1-(1-Skills!J19/100)^Skills!K19</f>
        <v/>
      </c>
      <c r="I19">
        <f>IF(Skills!X19&lt;&gt;"",1+(Skills!X19/10)*($Z$3/1000)/100,1)</f>
        <v/>
      </c>
      <c r="J19" t="inlineStr"/>
      <c r="K19" t="inlineStr"/>
      <c r="L19" t="inlineStr"/>
      <c r="M19" t="inlineStr"/>
      <c r="N19" t="inlineStr"/>
      <c r="O19">
        <f>(1-Summary!$B$11)*S19+Summary!$B$11*U19</f>
        <v/>
      </c>
      <c r="P19">
        <f>IF(Summary!$B$3=0,0,O19/Summary!$B$3)</f>
        <v/>
      </c>
      <c r="Q19">
        <f>IFERROR(1/(IF(Inputs!$B$38="pvp",15,MAX(0.1,Skills!E19-IF(Skills!F19=TRUE,Inputs!$B$32,0)))*(1-IF(AND(ArtifactsInput!$M$27,Inputs!$B$4="Chapter Hunt"),CHOOSE(ArtifactsInput!$N$27+1,20,24,28,32,36,40),0)/100)),0)</f>
        <v/>
      </c>
      <c r="R19">
        <f>IF(AND(Inputs!$B$38&lt;&gt;"pvp",Inputs!$B$43&gt;0),IF(Inputs!$B$43&lt;=0,0,(INT(Inputs!$B$43/(IF(Inputs!$B$38="pvp",15,MAX(0.1,Skills!E19-IF(Skills!F19=TRUE,Inputs!$B$32,0)))*(1-IF(AND(ArtifactsInput!$M$27,Inputs!$B$4="Chapter Hunt"),CHOOSE(ArtifactsInput!$N$27+1,20,24,28,32,36,40),0)/100)))+1)),0)</f>
        <v/>
      </c>
      <c r="S19" t="n">
        <v>0</v>
      </c>
      <c r="U19" t="n">
        <v>0</v>
      </c>
    </row>
    <row r="20">
      <c r="A20">
        <f>Skills!A20</f>
        <v/>
      </c>
      <c r="B20">
        <f>Skills!B20</f>
        <v/>
      </c>
      <c r="C20">
        <f>TRUE</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Skills!G20*IF(Skills!H20&gt;0,Skills!I20/Skills!H20,1)</f>
        <v/>
      </c>
      <c r="H20">
        <f>1-(1-Skills!J20/100)^Skills!K20</f>
        <v/>
      </c>
      <c r="I20">
        <f>IF(Skills!X20&lt;&gt;"",1+(Skills!X20/10)*($Z$3/1000)/100,1)</f>
        <v/>
      </c>
      <c r="J20" t="inlineStr"/>
      <c r="K20" t="inlineStr"/>
      <c r="L20" t="inlineStr"/>
      <c r="M20" t="inlineStr"/>
      <c r="N20" t="inlineStr"/>
      <c r="O20">
        <f>(1-Summary!$B$11)*S20+Summary!$B$11*U20</f>
        <v/>
      </c>
      <c r="P20">
        <f>IF(Summary!$B$3=0,0,O20/Summary!$B$3)</f>
        <v/>
      </c>
      <c r="Q20">
        <f>IFERROR(1/(IF(Inputs!$B$38="pvp",15,MAX(0.1,Skills!E20-IF(Skills!F20=TRUE,Inputs!$B$32,0)))*(1-IF(AND(ArtifactsInput!$M$27,Inputs!$B$4="Chapter Hunt"),CHOOSE(ArtifactsInput!$N$27+1,20,24,28,32,36,40),0)/100)),0)</f>
        <v/>
      </c>
      <c r="R20" t="n">
        <v>0</v>
      </c>
      <c r="S20" t="n">
        <v>0</v>
      </c>
      <c r="U20" t="n">
        <v>0</v>
      </c>
    </row>
    <row r="21">
      <c r="A21">
        <f>Skills!A21</f>
        <v/>
      </c>
      <c r="B21">
        <f>Skills!B21</f>
        <v/>
      </c>
      <c r="C21">
        <f>TRUE</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Skills!G21*IF(Skills!H21&gt;0,Skills!I21/Skills!H21,1)</f>
        <v/>
      </c>
      <c r="H21">
        <f>1-(1-Skills!J21/100)^Skills!K21</f>
        <v/>
      </c>
      <c r="I21">
        <f>IF(Skills!X21&lt;&gt;"",1+(Skills!X21/10)*($Z$3/1000)/100,1)</f>
        <v/>
      </c>
      <c r="J21" t="inlineStr"/>
      <c r="K21" t="inlineStr"/>
      <c r="L21" t="inlineStr"/>
      <c r="M21" t="inlineStr"/>
      <c r="N21" t="inlineStr"/>
      <c r="O21">
        <f>(1-Summary!$B$11)*S21+Summary!$B$11*U21</f>
        <v/>
      </c>
      <c r="P21">
        <f>IF(Summary!$B$3=0,0,O21/Summary!$B$3)</f>
        <v/>
      </c>
      <c r="Q21">
        <f>IFERROR(1/(IF(Inputs!$B$38="pvp",15,MAX(0.1,Skills!E21-IF(Skills!F21=TRUE,Inputs!$B$32,0)))*(1-IF(AND(ArtifactsInput!$M$27,Inputs!$B$4="Chapter Hunt"),CHOOSE(ArtifactsInput!$N$27+1,20,24,28,32,36,40),0)/100)),0)</f>
        <v/>
      </c>
      <c r="R21" t="n">
        <v>0</v>
      </c>
      <c r="S21" t="n">
        <v>0</v>
      </c>
      <c r="U21" t="n">
        <v>0</v>
      </c>
    </row>
    <row r="22">
      <c r="A22">
        <f>Skills!A22</f>
        <v/>
      </c>
      <c r="B22">
        <f>Skills!B22</f>
        <v/>
      </c>
      <c r="C22">
        <f>TRUE</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Skills!G22*IF(Skills!H22&gt;0,Skills!I22/Skills!H22,1)</f>
        <v/>
      </c>
      <c r="H22">
        <f>1-(1-Skills!J22/100)^Skills!K22</f>
        <v/>
      </c>
      <c r="I22">
        <f>IF(Skills!X22&lt;&gt;"",1+(Skills!X22/10)*($Z$3/1000)/100,1)</f>
        <v/>
      </c>
      <c r="J22" t="inlineStr"/>
      <c r="K22" t="inlineStr"/>
      <c r="L22" t="inlineStr"/>
      <c r="M22" t="inlineStr"/>
      <c r="N22" t="inlineStr"/>
      <c r="O22">
        <f>(1-Summary!$B$11)*S22+Summary!$B$11*U22</f>
        <v/>
      </c>
      <c r="P22">
        <f>IF(Summary!$B$3=0,0,O22/Summary!$B$3)</f>
        <v/>
      </c>
      <c r="Q22">
        <f>IFERROR(1/(IF(Inputs!$B$38="pvp",15,MAX(0.1,Skills!E22-IF(Skills!F22=TRUE,Inputs!$B$32,0)))*(1-IF(AND(ArtifactsInput!$M$27,Inputs!$B$4="Chapter Hunt"),CHOOSE(ArtifactsInput!$N$27+1,20,24,28,32,36,40),0)/100)),0)</f>
        <v/>
      </c>
      <c r="R22" t="n">
        <v>0</v>
      </c>
      <c r="S22" t="n">
        <v>0</v>
      </c>
      <c r="U22" t="n">
        <v>0</v>
      </c>
    </row>
    <row r="23">
      <c r="A23">
        <f>Skills!A23</f>
        <v/>
      </c>
      <c r="B23">
        <f>Skills!B23</f>
        <v/>
      </c>
      <c r="C23">
        <f>TRUE</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Skills!G23*IF(Skills!H23&gt;0,Skills!I23/Skills!H23,1)</f>
        <v/>
      </c>
      <c r="H23">
        <f>1-(1-Skills!J23/100)^Skills!K23</f>
        <v/>
      </c>
      <c r="I23">
        <f>IF(Skills!X23&lt;&gt;"",1+(Skills!X23/10)*($Z$3/1000)/100,1)</f>
        <v/>
      </c>
      <c r="J23" t="inlineStr"/>
      <c r="K23" t="inlineStr"/>
      <c r="L23" t="inlineStr"/>
      <c r="M23" t="inlineStr"/>
      <c r="N23" t="inlineStr"/>
      <c r="O23">
        <f>(1-Summary!$B$11)*S23+Summary!$B$11*U23</f>
        <v/>
      </c>
      <c r="P23">
        <f>IF(Summary!$B$3=0,0,O23/Summary!$B$3)</f>
        <v/>
      </c>
      <c r="Q23">
        <f>IFERROR(1/(IF(Inputs!$B$38="pvp",15,MAX(0.1,Skills!E23-IF(Skills!F23=TRUE,Inputs!$B$32,0)))*(1-IF(AND(ArtifactsInput!$M$27,Inputs!$B$4="Chapter Hunt"),CHOOSE(ArtifactsInput!$N$27+1,20,24,28,32,36,40),0)/100)),0)</f>
        <v/>
      </c>
      <c r="R23" t="n">
        <v>0</v>
      </c>
      <c r="S23" t="n">
        <v>0</v>
      </c>
      <c r="U23" t="n">
        <v>0</v>
      </c>
    </row>
    <row r="24">
      <c r="A24">
        <f>Skills!A24</f>
        <v/>
      </c>
      <c r="B24">
        <f>Skills!B24</f>
        <v/>
      </c>
      <c r="C24">
        <f>Inputs!$B$3&gt;=115</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Skills!G24*IF(Skills!H24&gt;0,Skills!I24/Skills!H24,1)</f>
        <v/>
      </c>
      <c r="H24">
        <f>1-(1-Skills!J24/100)^Skills!K24</f>
        <v/>
      </c>
      <c r="I24">
        <f>IF(Skills!X24&lt;&gt;"",1+(Skills!X24/10)*($Z$3/1000)/100,1)</f>
        <v/>
      </c>
      <c r="J24">
        <f>Summary!$B$6*(F24/100)</f>
        <v/>
      </c>
      <c r="K24">
        <f>J24*(1+Summary!$B$7/100)*(1+Inputs!$B$15/100)*(1+Inputs!$B$16/100)*(5000/(6000+Inputs!$B$42*(1-Inputs!$B$19/100)))*(1+Inputs!$B$24/100)*(1+Artifacts!$B$34/100)*(1+F23/100)*(1+IF(Inputs!$B$3&gt;=120,F26,0)/100)^5*(1+(IF(Skills!A24="BASIC_ATTACK",Inputs!$B$17+Artifacts!$B$40,Inputs!$B$18+Artifacts!$B$39+IF(Inputs!$B$3&gt;=125,F27*5,0)))/100)*(Summary!$B$13*Summary!$B$14*Summary!$B$15*(1+Artifacts!$B$38/100)*I24)</f>
        <v/>
      </c>
      <c r="L24">
        <f>K24*(MIN(Inputs!$B$22,Inputs!$B$23)/100+Inputs!$B$23/100)/2</f>
        <v/>
      </c>
      <c r="M24">
        <f>L24*(1+(Inputs!$B$10+Artifacts!$B$33)/100)</f>
        <v/>
      </c>
      <c r="N24">
        <f>L24*(1-MIN((Inputs!$B$9+Artifacts!$B$32),100)/100)+M24*(MIN((Inputs!$B$9+Artifacts!$B$32),100)/100)</f>
        <v/>
      </c>
      <c r="O24">
        <f>(1-Summary!$B$11)*S24+Summary!$B$11*U24</f>
        <v/>
      </c>
      <c r="P24">
        <f>IF(Summary!$B$3=0,0,O24/Summary!$B$3)</f>
        <v/>
      </c>
      <c r="Q24">
        <f>IFERROR(1/(IF(Inputs!$B$38="pvp",15,MAX(0.1,Skills!E24-IF(Skills!F24=TRUE,Inputs!$B$32,0)))*(1-IF(AND(ArtifactsInput!$M$27,Inputs!$B$4="Chapter Hunt"),CHOOSE(ArtifactsInput!$N$27+1,20,24,28,32,36,40),0)/100)),0)</f>
        <v/>
      </c>
      <c r="R24">
        <f>IF(AND(Inputs!$B$38&lt;&gt;"pvp",Inputs!$B$43&gt;0),IF(MAX(0,Inputs!$B$43-Summary!$B$22)&lt;=0,0,(INT(MAX(0,Inputs!$B$43-Summary!$B$22)/(IF(Inputs!$B$38="pvp",15,MAX(0.1,Skills!E24-IF(Skills!F24=TRUE,Inputs!$B$32,0)))*(1-IF(AND(ArtifactsInput!$M$27,Inputs!$B$4="Chapter Hunt"),CHOOSE(ArtifactsInput!$N$27+1,20,24,28,32,36,40),0)/100)))+1)),0)</f>
        <v/>
      </c>
      <c r="S24">
        <f>IF(C24,(H24*N24*IF(AND(Inputs!$B$38&lt;&gt;"pvp",Inputs!$B$43&gt;0),((Skills!G24*((R24-1)*IF(Skills!H24&gt;0,Skills!I24/Skills!H24,1)+IF(Skills!H24&gt;0,MIN(Skills!I24,MAX(0,MAX(0,Inputs!$B$43-Summary!$B$22)-((R24-1)*(IF(Inputs!$B$38="pvp",15,MAX(0.1,Skills!E24-IF(Skills!F24=TRUE,Inputs!$B$32,0)))*(1-IF(AND(ArtifactsInput!$M$27,Inputs!$B$4="Chapter Hunt"),CHOOSE(ArtifactsInput!$N$27+1,20,24,28,32,36,40),0)/100)))))/Skills!H24,1)))/Inputs!$B$43),G24*Q24)*(1+IF(Inputs!$B$3&gt;=130,0.2*(Skills!I16/Skills!E15+IF(Inputs!$B$3&gt;=126,0.05*(Summary!$B$19+Q13+(H14*Summary!$B$21)/(1+Skills!H14*H14*Summary!$B$21)+Q24),0)*Skills!I16),0)))*IF(Inputs!$B$38="pvp",1,1+(Inputs!$B$20+Skills!P24+Artifacts!$B$35)/100)*((((5000/(6000+Inputs!$B$42*(1-(100*(1-(1-Inputs!$B$19/100)*(1-Artifacts!$B$51/100)^IF(Inputs!$B$38="pvp",1,2)))/100)))/(5000/(6000+Inputs!$B$42*(1-Inputs!$B$19/100))))*((L24*(1-MIN(100,(Inputs!$B$9+Artifacts!$B$32)+Artifacts!$B$69)/100)+M24*(MIN(100,(Inputs!$B$9+Artifacts!$B$32)+Artifacts!$B$69)/100))/(L24*(1-MIN(100,(Inputs!$B$9+Artifacts!$B$32))/100)+M24*(MIN(100,(Inputs!$B$9+Artifacts!$B$32))/100)))*(1+Artifacts!$B$81/100))),0)</f>
        <v/>
      </c>
      <c r="U24">
        <f>IF(C24,(H24*N24*IF(AND(Inputs!$B$38&lt;&gt;"pvp",Inputs!$B$43&gt;0),((Skills!G24*((R24-1)*IF(Skills!H24&gt;0,Skills!I24/Skills!H24,1)+IF(Skills!H24&gt;0,MIN(Skills!I24,MAX(0,MAX(0,Inputs!$B$43-Summary!$B$22)-((R24-1)*(IF(Inputs!$B$38="pvp",15,MAX(0.1,Skills!E24-IF(Skills!F24=TRUE,Inputs!$B$32,0)))*(1-IF(AND(ArtifactsInput!$M$27,Inputs!$B$4="Chapter Hunt"),CHOOSE(ArtifactsInput!$N$27+1,20,24,28,32,36,40),0)/100)))))/Skills!H24,1)))/Inputs!$B$43),G24*Q24)*(1+IF(Inputs!$B$3&gt;=130,0.2*(Skills!I16/Skills!E15+IF(Inputs!$B$3&gt;=126,0.05*(Summary!$B$19+Q13+(H14*Summary!$B$21)/(1+Skills!H14*H14*Summary!$B$21)+Q24),0)*Skills!I16),0)))*IF(Inputs!$B$38="pvp",1,(1+(Inputs!$B$21+Skills!Q24+Artifacts!$B$80)/100)*(MIN(Skills!R24,Inputs!$B$37)))*((1+Artifacts!$B$53/100)),0)</f>
        <v/>
      </c>
    </row>
    <row r="25">
      <c r="A25">
        <f>Skills!A25</f>
        <v/>
      </c>
      <c r="B25">
        <f>Skills!B25</f>
        <v/>
      </c>
      <c r="C25">
        <f>Inputs!$B$3&gt;=117</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f>Skills!G25*IF(Skills!H25&gt;0,Skills!I25/Skills!H25,1)</f>
        <v/>
      </c>
      <c r="H25">
        <f>1-(1-Skills!J25/100)^Skills!K25</f>
        <v/>
      </c>
      <c r="I25">
        <f>IF(Skills!X25&lt;&gt;"",1+(Skills!X25/10)*($Z$3/1000)/100,1)</f>
        <v/>
      </c>
      <c r="J25" t="inlineStr"/>
      <c r="K25" t="inlineStr"/>
      <c r="L25" t="inlineStr"/>
      <c r="M25" t="inlineStr"/>
      <c r="N25" t="inlineStr"/>
      <c r="O25">
        <f>(1-Summary!$B$11)*S25+Summary!$B$11*U25</f>
        <v/>
      </c>
      <c r="P25">
        <f>IF(Summary!$B$3=0,0,O25/Summary!$B$3)</f>
        <v/>
      </c>
      <c r="Q25">
        <f>IFERROR(1/(IF(Inputs!$B$38="pvp",15,MAX(0.1,Skills!E25-IF(Skills!F25=TRUE,Inputs!$B$32,0)))*(1-IF(AND(ArtifactsInput!$M$27,Inputs!$B$4="Chapter Hunt"),CHOOSE(ArtifactsInput!$N$27+1,20,24,28,32,36,40),0)/100)),0)</f>
        <v/>
      </c>
      <c r="R25" t="n">
        <v>0</v>
      </c>
      <c r="S25" t="n">
        <v>0</v>
      </c>
      <c r="U25" t="n">
        <v>0</v>
      </c>
    </row>
    <row r="26">
      <c r="A26">
        <f>Skills!A26</f>
        <v/>
      </c>
      <c r="B26">
        <f>Skills!B26</f>
        <v/>
      </c>
      <c r="C26">
        <f>Inputs!$B$3&gt;=120</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f>Skills!G26*IF(Skills!H26&gt;0,Skills!I26/Skills!H26,1)</f>
        <v/>
      </c>
      <c r="H26">
        <f>1-(1-Skills!J26/100)^Skills!K26</f>
        <v/>
      </c>
      <c r="I26">
        <f>IF(Skills!X26&lt;&gt;"",1+(Skills!X26/10)*($Z$3/1000)/100,1)</f>
        <v/>
      </c>
      <c r="J26" t="inlineStr"/>
      <c r="K26" t="inlineStr"/>
      <c r="L26" t="inlineStr"/>
      <c r="M26" t="inlineStr"/>
      <c r="N26" t="inlineStr"/>
      <c r="O26">
        <f>(1-Summary!$B$11)*S26+Summary!$B$11*U26</f>
        <v/>
      </c>
      <c r="P26">
        <f>IF(Summary!$B$3=0,0,O26/Summary!$B$3)</f>
        <v/>
      </c>
      <c r="Q26">
        <f>IFERROR(1/(IF(Inputs!$B$38="pvp",15,MAX(0.1,Skills!E26-IF(Skills!F26=TRUE,Inputs!$B$32,0)))*(1-IF(AND(ArtifactsInput!$M$27,Inputs!$B$4="Chapter Hunt"),CHOOSE(ArtifactsInput!$N$27+1,20,24,28,32,36,40),0)/100)),0)</f>
        <v/>
      </c>
      <c r="R26" t="n">
        <v>0</v>
      </c>
      <c r="S26" t="n">
        <v>0</v>
      </c>
      <c r="U26" t="n">
        <v>0</v>
      </c>
    </row>
    <row r="27">
      <c r="A27">
        <f>Skills!A27</f>
        <v/>
      </c>
      <c r="B27">
        <f>Skills!B27</f>
        <v/>
      </c>
      <c r="C27">
        <f>Inputs!$B$3&gt;=125</f>
        <v/>
      </c>
      <c r="D27">
        <f>IF(Skills!C27=1,60+Inputs!$B$25+Inputs!$B$29,IF(Skills!C27=2,90+Inputs!$B$26+Inputs!$B$29,IF(Skills!C27=3,120+Inputs!$B$27+Inputs!$B$29,MAX(0,(Inputs!$B$3-100)*3)+Inputs!$B$28+Inputs!$B$29)))</f>
        <v/>
      </c>
      <c r="E27">
        <f>INDEX(FactorTable!$B$2:$Y$301, MATCH(ROUND(MIN(300,MAX(1,D27)),0), FactorTable!$A$2:$A$301,0), Skills!M27+1)</f>
        <v/>
      </c>
      <c r="F27">
        <f>IF(Skills!N27=TRUE,(Skills!L27/10)*(E27/1000),Skills!L27/10)+Skills!O27</f>
        <v/>
      </c>
      <c r="G27">
        <f>Skills!G27*IF(Skills!H27&gt;0,Skills!I27/Skills!H27,1)</f>
        <v/>
      </c>
      <c r="H27">
        <f>1-(1-Skills!J27/100)^Skills!K27</f>
        <v/>
      </c>
      <c r="I27">
        <f>IF(Skills!X27&lt;&gt;"",1+(Skills!X27/10)*($Z$3/1000)/100,1)</f>
        <v/>
      </c>
      <c r="J27" t="inlineStr"/>
      <c r="K27" t="inlineStr"/>
      <c r="L27" t="inlineStr"/>
      <c r="M27" t="inlineStr"/>
      <c r="N27" t="inlineStr"/>
      <c r="O27">
        <f>(1-Summary!$B$11)*S27+Summary!$B$11*U27</f>
        <v/>
      </c>
      <c r="P27">
        <f>IF(Summary!$B$3=0,0,O27/Summary!$B$3)</f>
        <v/>
      </c>
      <c r="Q27">
        <f>IFERROR(1/(IF(Inputs!$B$38="pvp",15,MAX(0.1,Skills!E27-IF(Skills!F27=TRUE,Inputs!$B$32,0)))*(1-IF(AND(ArtifactsInput!$M$27,Inputs!$B$4="Chapter Hunt"),CHOOSE(ArtifactsInput!$N$27+1,20,24,28,32,36,40),0)/100)),0)</f>
        <v/>
      </c>
      <c r="R27" t="n">
        <v>0</v>
      </c>
      <c r="S27" t="n">
        <v>0</v>
      </c>
      <c r="U27" t="n">
        <v>0</v>
      </c>
    </row>
    <row r="28">
      <c r="A28">
        <f>Skills!A28</f>
        <v/>
      </c>
      <c r="B28">
        <f>Skills!B28</f>
        <v/>
      </c>
      <c r="C28">
        <f>Inputs!$B$3&gt;=118</f>
        <v/>
      </c>
      <c r="D28">
        <f>IF(Skills!C28=1,60+Inputs!$B$25+Inputs!$B$29,IF(Skills!C28=2,90+Inputs!$B$26+Inputs!$B$29,IF(Skills!C28=3,120+Inputs!$B$27+Inputs!$B$29,MAX(0,(Inputs!$B$3-100)*3)+Inputs!$B$28+Inputs!$B$29)))</f>
        <v/>
      </c>
      <c r="E28">
        <f>INDEX(FactorTable!$B$2:$Y$301, MATCH(ROUND(MIN(300,MAX(1,D28)),0), FactorTable!$A$2:$A$301,0), Skills!M28+1)</f>
        <v/>
      </c>
      <c r="F28">
        <f>IF(Skills!N28=TRUE,(Skills!L28/10)*(E28/1000),Skills!L28/10)+Skills!O28</f>
        <v/>
      </c>
      <c r="G28">
        <f>Skills!G28*IF(Skills!H28&gt;0,Skills!I28/Skills!H28,1)</f>
        <v/>
      </c>
      <c r="H28">
        <f>1-(1-Skills!J28/100)^Skills!K28</f>
        <v/>
      </c>
      <c r="I28">
        <f>IF(Skills!X28&lt;&gt;"",1+(Skills!X28/10)*($Z$3/1000)/100,1)</f>
        <v/>
      </c>
      <c r="J28">
        <f>Summary!$B$6*(F28/100)</f>
        <v/>
      </c>
      <c r="K28">
        <f>J28*(1+Summary!$B$7/100)*(1+Inputs!$B$15/100)*(1+Inputs!$B$16/100)*(5000/(6000+Inputs!$B$42*(1-Inputs!$B$19/100)))*(1+Inputs!$B$24/100)*(1+Artifacts!$B$34/100)*(1+F23/100)*(1+IF(Inputs!$B$3&gt;=120,F26,0)/100)^5*(1+(IF(Skills!A28="BASIC_ATTACK",Inputs!$B$17+Artifacts!$B$40,Inputs!$B$18+Artifacts!$B$39+IF(Inputs!$B$3&gt;=125,F27*5,0)))/100)*(Summary!$B$13*Summary!$B$14*Summary!$B$15*(1+Artifacts!$B$38/100)*I28)</f>
        <v/>
      </c>
      <c r="L28">
        <f>K28*(MIN(Inputs!$B$22,Inputs!$B$23)/100+Inputs!$B$23/100)/2</f>
        <v/>
      </c>
      <c r="M28">
        <f>L28*(1+(Inputs!$B$10+Artifacts!$B$33)/100)</f>
        <v/>
      </c>
      <c r="N28">
        <f>L28*(1-MIN((Inputs!$B$9+Artifacts!$B$32),100)/100)+M28*(MIN((Inputs!$B$9+Artifacts!$B$32),100)/100)</f>
        <v/>
      </c>
      <c r="O28">
        <f>(1-Summary!$B$11)*S28+Summary!$B$11*U28</f>
        <v/>
      </c>
      <c r="P28">
        <f>IF(Summary!$B$3=0,0,O28/Summary!$B$3)</f>
        <v/>
      </c>
      <c r="Q28">
        <f>IFERROR(1/(IF(Inputs!$B$38="pvp",15,MAX(0.1,Skills!E28-IF(Skills!F28=TRUE,Inputs!$B$32,0)))*(1-IF(AND(ArtifactsInput!$M$27,Inputs!$B$4="Chapter Hunt"),CHOOSE(ArtifactsInput!$N$27+1,20,24,28,32,36,40),0)/100)),0)</f>
        <v/>
      </c>
      <c r="R28">
        <f>IF(AND(Inputs!$B$38&lt;&gt;"pvp",Inputs!$B$43&gt;0),IF(MAX(0,Inputs!$B$43-Summary!$B$22)&lt;=0,0,(INT(MAX(0,Inputs!$B$43-Summary!$B$22)/(IF(Inputs!$B$38="pvp",15,MAX(0.1,Skills!E28-IF(Skills!F28=TRUE,Inputs!$B$32,0)))*(1-IF(AND(ArtifactsInput!$M$27,Inputs!$B$4="Chapter Hunt"),CHOOSE(ArtifactsInput!$N$27+1,20,24,28,32,36,40),0)/100)))+1)),0)</f>
        <v/>
      </c>
      <c r="S28">
        <f>IF(C28,(H28*N28*IF(AND(Inputs!$B$38&lt;&gt;"pvp",Inputs!$B$43&gt;0),((Skills!G28*((R28-1)*IF(Skills!H28&gt;0,Skills!I28/Skills!H28,1)+IF(Skills!H28&gt;0,MIN(Skills!I28,MAX(0,MAX(0,Inputs!$B$43-Summary!$B$22)-((R28-1)*(IF(Inputs!$B$38="pvp",15,MAX(0.1,Skills!E28-IF(Skills!F28=TRUE,Inputs!$B$32,0)))*(1-IF(AND(ArtifactsInput!$M$27,Inputs!$B$4="Chapter Hunt"),CHOOSE(ArtifactsInput!$N$27+1,20,24,28,32,36,40),0)/100)))))/Skills!H28,1)))/Inputs!$B$43),G28*Q28))*IF(Inputs!$B$38="pvp",1,1+(Inputs!$B$20+Skills!P28+Artifacts!$B$35)/100)*((((5000/(6000+Inputs!$B$42*(1-(100*(1-(1-Inputs!$B$19/100)*(1-Artifacts!$B$51/100)^IF(Inputs!$B$38="pvp",1,2)))/100)))/(5000/(6000+Inputs!$B$42*(1-Inputs!$B$19/100))))*((L28*(1-MIN(100,(Inputs!$B$9+Artifacts!$B$32)+Artifacts!$B$69)/100)+M28*(MIN(100,(Inputs!$B$9+Artifacts!$B$32)+Artifacts!$B$69)/100))/(L28*(1-MIN(100,(Inputs!$B$9+Artifacts!$B$32))/100)+M28*(MIN(100,(Inputs!$B$9+Artifacts!$B$32))/100)))*(1+Artifacts!$B$81/100))),0)</f>
        <v/>
      </c>
      <c r="U28">
        <f>IF(C28,(H28*N28*IF(AND(Inputs!$B$38&lt;&gt;"pvp",Inputs!$B$43&gt;0),((Skills!G28*((R28-1)*IF(Skills!H28&gt;0,Skills!I28/Skills!H28,1)+IF(Skills!H28&gt;0,MIN(Skills!I28,MAX(0,MAX(0,Inputs!$B$43-Summary!$B$22)-((R28-1)*(IF(Inputs!$B$38="pvp",15,MAX(0.1,Skills!E28-IF(Skills!F28=TRUE,Inputs!$B$32,0)))*(1-IF(AND(ArtifactsInput!$M$27,Inputs!$B$4="Chapter Hunt"),CHOOSE(ArtifactsInput!$N$27+1,20,24,28,32,36,40),0)/100)))))/Skills!H28,1)))/Inputs!$B$43),G28*Q28))*IF(Inputs!$B$38="pvp",1,(1+(Inputs!$B$21+Skills!Q28+Artifacts!$B$80)/100)*(MIN(Skills!R28,Inputs!$B$37)))*((1+Artifacts!$B$53/100)),0)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cols>
    <col width="55" customWidth="1" min="1" max="1"/>
    <col width="16" customWidth="1" min="2" max="2"/>
    <col width="12" customWidth="1" min="3" max="3"/>
  </cols>
  <sheetData>
    <row r="1">
      <c r="A1" s="4" t="inlineStr">
        <is>
          <t>Fire/Poison Arch Mage — DPS Summary</t>
        </is>
      </c>
    </row>
    <row r="3">
      <c r="A3" s="10" t="inlineStr">
        <is>
          <t>TOTAL DPS</t>
        </is>
      </c>
      <c r="B3" s="10">
        <f>SUM(Calc!O2:O28)</f>
        <v/>
      </c>
    </row>
    <row r="5">
      <c r="A5" s="9" t="inlineStr">
        <is>
          <t>Derived Values (read-only, computed from Inputs)</t>
        </is>
      </c>
    </row>
    <row r="6">
      <c r="A6" t="inlineStr">
        <is>
          <t>ATTACK (= Flat ATTACK x (1+ATTACK%/100))</t>
        </is>
      </c>
      <c r="B6">
        <f>Inputs!$B$6*(1+Inputs!$B$7/100)</f>
        <v/>
      </c>
    </row>
    <row r="7">
      <c r="A7" t="inlineStr">
        <is>
          <t>STAT_DAMAGE % (= 1% of total INT + 0.25% of LUK)</t>
        </is>
      </c>
      <c r="B7">
        <f>(Inputs!$B$12*(1+Inputs!$B$13/100))*0.01+Inputs!$B$14*0.0025</f>
        <v/>
      </c>
    </row>
    <row r="8">
      <c r="A8" t="inlineStr">
        <is>
          <t>Basic Attack Input Level (4th job formula)</t>
        </is>
      </c>
      <c r="B8">
        <f>MAX(0,(Inputs!$B$3-100)*3)+Inputs!$B$28+Inputs!$B$29</f>
        <v/>
      </c>
    </row>
    <row r="9">
      <c r="A9" t="inlineStr">
        <is>
          <t>Basic Attack Factor (factorIndex 21)</t>
        </is>
      </c>
      <c r="B9">
        <f>INDEX(FactorTable!$B$2:$Y$301, MATCH(ROUND(MIN(300,MAX(1,Summary!$B$8)),0), FactorTable!$A$2:$A$301,0), 22)</f>
        <v/>
      </c>
    </row>
    <row r="10">
      <c r="A10" t="inlineStr">
        <is>
          <t>SKILL_COEFFICIENT — Basic Attack base coefficient % (before Skill Mastery)</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Burning Magic Multiplier</t>
        </is>
      </c>
      <c r="B13">
        <f>1+(Calc!F11*Skills!Z11)/100</f>
        <v/>
      </c>
    </row>
    <row r="14">
      <c r="A14" t="inlineStr">
        <is>
          <t>Elemental Decrease Multiplier (always-on) + Artifact Enemy Damage Taken Bonus</t>
        </is>
      </c>
      <c r="B14">
        <f>1+(Calc!F12+Artifacts!$B$36)/100</f>
        <v/>
      </c>
    </row>
    <row r="15">
      <c r="A15" t="inlineStr">
        <is>
          <t>Average Buff Multiplier (Magic Guard + Meditation + Artifact Attack%, summed; then Infinity)</t>
        </is>
      </c>
      <c r="B15">
        <f>(1+(Calc!F6*IF(AND(Inputs!$B$38&lt;&gt;"pvp",Inputs!$B$43&gt;0),(((Calc!R6-1)*(Skills!T6*(1+(Inputs!$B$34)/100))+MIN((Skills!T6*(1+(Inputs!$B$34)/100)),MAX(0,Inputs!$B$43-((Calc!R6-1)*Skills!E6))))/Inputs!$B$43),IF(Inputs!$B$38="pvp",MIN((Skills!T6*(1+(Inputs!$B$34)/100)),15)/15,(Skills!T6*(1+(Inputs!$B$34)/100))/Skills!E6))+Calc!F17*IF(AND(Inputs!$B$38&lt;&gt;"pvp",Inputs!$B$43&gt;0),(((Calc!R17-1)*(Skills!T17*(1+(Inputs!$B$34)/100))+MIN((Skills!T17*(1+(Inputs!$B$34)/100)),MAX(0,Inputs!$B$43-((Calc!R17-1)*Skills!E17))))/Inputs!$B$43),IF(Inputs!$B$38="pvp",MIN((Skills!T17*(1+(Inputs!$B$34)/100)),15)/15,(Skills!T17*(1+(Inputs!$B$34)/100))/Skills!E17))+Artifacts!$B$52)/100)*IF(Calc!C19=TRUE,(1+Calc!F19*IF(AND(Inputs!$B$38&lt;&gt;"pvp",Inputs!$B$43&gt;0),(((Calc!R19-1)*(Skills!T19*(1+(Inputs!$B$34)/100))+MIN((Skills!T19*(1+(Inputs!$B$34)/100)),MAX(0,Inputs!$B$43-((Calc!R19-1)*Skills!E19))))/Inputs!$B$43),IF(Inputs!$B$38="pvp",MIN((Skills!T19*(1+(Inputs!$B$34)/100)),15)/15,(Skills!T19*(1+(Inputs!$B$34)/100))/Skills!E19))/100),1)</f>
        <v/>
      </c>
    </row>
    <row r="16">
      <c r="A16" t="inlineStr">
        <is>
          <t>Attack Speed Buff Bonus % (Nimble Feet, averaged)</t>
        </is>
      </c>
      <c r="B16">
        <f>Calc!F18*IF(AND(Inputs!$B$38&lt;&gt;"pvp",Inputs!$B$43&gt;0),(((Calc!R18-1)*(Skills!T18*(1+(Inputs!$B$34)/100))+MIN((Skills!T18*(1+(Inputs!$B$34)/100)),MAX(0,Inputs!$B$43-((Calc!R18-1)*Skills!E18))))/Inputs!$B$43),IF(Inputs!$B$38="pvp",MIN((Skills!T18*(1+(Inputs!$B$34)/100)),15)/15,(Skills!T18*(1+(Inputs!$B$34)/100))/Skills!E18))</f>
        <v/>
      </c>
    </row>
    <row r="17">
      <c r="A17" t="inlineStr">
        <is>
          <t>Actions Per Second (Attack Speed combined via diminishing-returns stack, factor 150, then capped)</t>
        </is>
      </c>
      <c r="B17">
        <f>1+MIN(150,150*(1-(1-Inputs!$B$11/150)*(1-B16/150)))/100</f>
        <v/>
      </c>
    </row>
    <row r="18">
      <c r="A18" t="inlineStr">
        <is>
          <t>Skill + Buff Cast Rate (subtracted from Basic Attack, 1/s)</t>
        </is>
      </c>
      <c r="B18">
        <f>IF(AND(Inputs!$B$38&lt;&gt;"pvp",Inputs!$B$43&gt;0),SUMPRODUCT((Skills!F2:F28=TRUE)*(Calc!C2:C28=TRUE)*Calc!R2:R28)/Inputs!$B$43,SUMPRODUCT((Skills!F2:F28=TRUE)*(Calc!C2:C28=TRUE)*Calc!Q2:Q28))</f>
        <v/>
      </c>
    </row>
    <row r="19">
      <c r="A19" t="inlineStr">
        <is>
          <t>Basic Attacks Per Second</t>
        </is>
      </c>
      <c r="B19">
        <f>MAX(0,B17-B18)</f>
        <v/>
      </c>
    </row>
    <row r="20">
      <c r="A20" t="inlineStr">
        <is>
          <t>Basic Attack DPS</t>
        </is>
      </c>
      <c r="B20">
        <f>Calc!O2</f>
        <v/>
      </c>
    </row>
    <row r="21">
      <c r="A21" t="inlineStr">
        <is>
          <t>Meteor Proc — triggering attacks' combined cast rate, incl. Basic Attack (1/s)</t>
        </is>
      </c>
      <c r="B21">
        <f>IF(AND(Inputs!$B$38&lt;&gt;"pvp",Inputs!$B$43&gt;0),SUMPRODUCT((Skills!V2:V28=TRUE)*(Calc!C2:C28=TRUE)*Calc!R2:R28*Skills!W2:W28)/Inputs!$B$43,SUMPRODUCT((Skills!V2:V28=TRUE)*(Calc!C2:C28=TRUE)*Calc!Q2:Q28*Skills!W2:W28))+B19</f>
        <v/>
      </c>
    </row>
    <row r="22">
      <c r="A22" t="inlineStr">
        <is>
          <t>Buff-Casting Startup Delay (s, before first damage-skill cast; fixed-duration only)</t>
        </is>
      </c>
      <c r="B22">
        <f>IF(AND(Inputs!$B$38&lt;&gt;"pvp",Inputs!$B$43&gt;0),SUMPRODUCT((Skills!T2:T28&gt;0)*(Skills!F2:F28=TRUE)*(Calc!C2:C28=TRUE))/B17,0)</f>
        <v/>
      </c>
    </row>
    <row r="23">
      <c r="A23" t="inlineStr">
        <is>
          <t>Boss-Only Total DPS (Sensitivity baseline)</t>
        </is>
      </c>
      <c r="B23">
        <f>SUM(Calc!S2:S28)</f>
        <v/>
      </c>
    </row>
    <row r="24">
      <c r="A24" t="inlineStr">
        <is>
          <t>Normal-Only Total DPS (Sensitivity baseline)</t>
        </is>
      </c>
      <c r="B24">
        <f>SUM(Calc!U2:U28)</f>
        <v/>
      </c>
    </row>
    <row r="26">
      <c r="A26" s="9" t="inlineStr">
        <is>
          <t>Per-Skill DPS Breakdown</t>
        </is>
      </c>
    </row>
    <row r="27">
      <c r="A27" s="5" t="inlineStr">
        <is>
          <t>Skill</t>
        </is>
      </c>
      <c r="B27" s="5" t="inlineStr">
        <is>
          <t>DPS</t>
        </is>
      </c>
      <c r="C27" s="5" t="inlineStr">
        <is>
          <t>% of Total</t>
        </is>
      </c>
    </row>
    <row r="28">
      <c r="A28">
        <f>Calc!B2</f>
        <v/>
      </c>
      <c r="B28">
        <f>Calc!O2</f>
        <v/>
      </c>
      <c r="C28">
        <f>Calc!P2*100</f>
        <v/>
      </c>
    </row>
    <row r="29">
      <c r="A29">
        <f>Calc!B3</f>
        <v/>
      </c>
      <c r="B29">
        <f>Calc!O3</f>
        <v/>
      </c>
      <c r="C29">
        <f>Calc!P3*100</f>
        <v/>
      </c>
    </row>
    <row r="30">
      <c r="A30">
        <f>Calc!B4</f>
        <v/>
      </c>
      <c r="B30">
        <f>Calc!O4</f>
        <v/>
      </c>
      <c r="C30">
        <f>Calc!P4*100</f>
        <v/>
      </c>
    </row>
    <row r="31">
      <c r="A31">
        <f>Calc!B5</f>
        <v/>
      </c>
      <c r="B31">
        <f>Calc!O5</f>
        <v/>
      </c>
      <c r="C31">
        <f>Calc!P5*100</f>
        <v/>
      </c>
    </row>
    <row r="32">
      <c r="A32">
        <f>Calc!B7</f>
        <v/>
      </c>
      <c r="B32">
        <f>Calc!O7</f>
        <v/>
      </c>
      <c r="C32">
        <f>Calc!P7*100</f>
        <v/>
      </c>
    </row>
    <row r="33">
      <c r="A33">
        <f>Calc!B8</f>
        <v/>
      </c>
      <c r="B33">
        <f>Calc!O8</f>
        <v/>
      </c>
      <c r="C33">
        <f>Calc!P8*100</f>
        <v/>
      </c>
    </row>
    <row r="34">
      <c r="A34">
        <f>Calc!B9</f>
        <v/>
      </c>
      <c r="B34">
        <f>Calc!O9</f>
        <v/>
      </c>
      <c r="C34">
        <f>Calc!P9*100</f>
        <v/>
      </c>
    </row>
    <row r="35">
      <c r="A35">
        <f>Calc!B10</f>
        <v/>
      </c>
      <c r="B35">
        <f>Calc!O10</f>
        <v/>
      </c>
      <c r="C35">
        <f>Calc!P10*100</f>
        <v/>
      </c>
    </row>
    <row r="36">
      <c r="A36">
        <f>Calc!B13</f>
        <v/>
      </c>
      <c r="B36">
        <f>Calc!O13</f>
        <v/>
      </c>
      <c r="C36">
        <f>Calc!P13*100</f>
        <v/>
      </c>
    </row>
    <row r="37">
      <c r="A37">
        <f>Calc!B14</f>
        <v/>
      </c>
      <c r="B37">
        <f>Calc!O14</f>
        <v/>
      </c>
      <c r="C37">
        <f>Calc!P14*100</f>
        <v/>
      </c>
    </row>
    <row r="38">
      <c r="A38">
        <f>Calc!B15</f>
        <v/>
      </c>
      <c r="B38">
        <f>Calc!O15</f>
        <v/>
      </c>
      <c r="C38">
        <f>Calc!P15*100</f>
        <v/>
      </c>
    </row>
    <row r="39">
      <c r="A39">
        <f>Calc!B16</f>
        <v/>
      </c>
      <c r="B39">
        <f>Calc!O16</f>
        <v/>
      </c>
      <c r="C39">
        <f>Calc!P16*100</f>
        <v/>
      </c>
    </row>
    <row r="40">
      <c r="A40">
        <f>Calc!B24</f>
        <v/>
      </c>
      <c r="B40">
        <f>Calc!O24</f>
        <v/>
      </c>
      <c r="C40">
        <f>Calc!P24*100</f>
        <v/>
      </c>
    </row>
    <row r="41">
      <c r="A41">
        <f>Calc!B28</f>
        <v/>
      </c>
      <c r="B41">
        <f>Calc!O28</f>
        <v/>
      </c>
      <c r="C41">
        <f>Calc!P28*100</f>
        <v/>
      </c>
    </row>
    <row r="42">
      <c r="A42" s="9" t="inlineStr">
        <is>
          <t>Marginal DPS &amp; Stat Value (see Sensitivity for full detail)</t>
        </is>
      </c>
    </row>
    <row r="44">
      <c r="A44" s="5" t="inlineStr">
        <is>
          <t>Stat</t>
        </is>
      </c>
      <c r="B44" s="5" t="inlineStr">
        <is>
          <t>DPS per +1</t>
        </is>
      </c>
      <c r="C44" s="5" t="inlineStr">
        <is>
          <t>Units per +1% DPS</t>
        </is>
      </c>
    </row>
    <row r="45">
      <c r="A45">
        <f>Sensitivity!A5</f>
        <v/>
      </c>
      <c r="B45">
        <f>Sensitivity!H5</f>
        <v/>
      </c>
      <c r="C45">
        <f>Sensitivity!B5</f>
        <v/>
      </c>
    </row>
    <row r="46">
      <c r="A46">
        <f>Sensitivity!A6</f>
        <v/>
      </c>
      <c r="B46">
        <f>Sensitivity!H6</f>
        <v/>
      </c>
      <c r="C46">
        <f>Sensitivity!B6</f>
        <v/>
      </c>
    </row>
    <row r="47">
      <c r="A47">
        <f>Sensitivity!A7</f>
        <v/>
      </c>
      <c r="B47">
        <f>Sensitivity!H7</f>
        <v/>
      </c>
      <c r="C47">
        <f>Sensitivity!B7</f>
        <v/>
      </c>
    </row>
    <row r="48">
      <c r="A48">
        <f>Sensitivity!A8</f>
        <v/>
      </c>
      <c r="B48">
        <f>Sensitivity!H8</f>
        <v/>
      </c>
      <c r="C48">
        <f>Sensitivity!B8</f>
        <v/>
      </c>
    </row>
    <row r="49">
      <c r="A49">
        <f>Sensitivity!A9</f>
        <v/>
      </c>
      <c r="B49">
        <f>Sensitivity!H9</f>
        <v/>
      </c>
      <c r="C49">
        <f>Sensitivity!B9</f>
        <v/>
      </c>
    </row>
    <row r="50">
      <c r="A50">
        <f>Sensitivity!A10</f>
        <v/>
      </c>
      <c r="B50">
        <f>Sensitivity!H10</f>
        <v/>
      </c>
      <c r="C50">
        <f>Sensitivity!B10</f>
        <v/>
      </c>
    </row>
    <row r="51">
      <c r="A51">
        <f>Sensitivity!A11</f>
        <v/>
      </c>
      <c r="B51">
        <f>Sensitivity!H11</f>
        <v/>
      </c>
      <c r="C51">
        <f>Sensitivity!B11</f>
        <v/>
      </c>
    </row>
    <row r="52">
      <c r="A52">
        <f>Sensitivity!A12</f>
        <v/>
      </c>
      <c r="B52">
        <f>Sensitivity!H12</f>
        <v/>
      </c>
      <c r="C52">
        <f>Sensitivity!B12</f>
        <v/>
      </c>
    </row>
    <row r="53">
      <c r="A53">
        <f>Sensitivity!A13</f>
        <v/>
      </c>
      <c r="B53">
        <f>Sensitivity!H13</f>
        <v/>
      </c>
      <c r="C53">
        <f>Sensitivity!B13</f>
        <v/>
      </c>
    </row>
    <row r="54">
      <c r="A54">
        <f>Sensitivity!A14</f>
        <v/>
      </c>
      <c r="B54">
        <f>Sensitivity!H14</f>
        <v/>
      </c>
      <c r="C54">
        <f>Sensitivity!B14</f>
        <v/>
      </c>
    </row>
    <row r="55">
      <c r="A55">
        <f>Sensitivity!A15</f>
        <v/>
      </c>
      <c r="B55">
        <f>Sensitivity!H15</f>
        <v/>
      </c>
      <c r="C55">
        <f>Sensitivity!B15</f>
        <v/>
      </c>
    </row>
    <row r="56">
      <c r="A56">
        <f>Sensitivity!A16</f>
        <v/>
      </c>
      <c r="B56">
        <f>Sensitivity!H16</f>
        <v/>
      </c>
      <c r="C56">
        <f>Sensitivity!B16</f>
        <v/>
      </c>
    </row>
    <row r="57">
      <c r="A57">
        <f>Sensitivity!A17</f>
        <v/>
      </c>
      <c r="B57">
        <f>Sensitivity!H17</f>
        <v/>
      </c>
      <c r="C57">
        <f>Sensitivity!B17</f>
        <v/>
      </c>
    </row>
    <row r="58">
      <c r="A58">
        <f>Sensitivity!A18</f>
        <v/>
      </c>
      <c r="B58">
        <f>Sensitivity!H18</f>
        <v/>
      </c>
      <c r="C58">
        <f>Sensitivity!B18</f>
        <v/>
      </c>
    </row>
    <row r="59">
      <c r="A59">
        <f>Sensitivity!A19</f>
        <v/>
      </c>
      <c r="B59">
        <f>Sensitivity!H19</f>
        <v/>
      </c>
      <c r="C59">
        <f>Sensitivity!B19</f>
        <v/>
      </c>
    </row>
    <row r="60">
      <c r="A60">
        <f>Sensitivity!A20</f>
        <v/>
      </c>
      <c r="B60">
        <f>Sensitivity!H20</f>
        <v/>
      </c>
      <c r="C60">
        <f>Sensitivity!B20</f>
        <v/>
      </c>
    </row>
    <row r="61">
      <c r="A61">
        <f>Sensitivity!A21</f>
        <v/>
      </c>
      <c r="B61">
        <f>Sensitivity!H21</f>
        <v/>
      </c>
      <c r="C61">
        <f>Sensitivity!B21</f>
        <v/>
      </c>
    </row>
    <row r="62">
      <c r="A62">
        <f>Sensitivity!A22</f>
        <v/>
      </c>
      <c r="B62">
        <f>Sensitivity!H22</f>
        <v/>
      </c>
      <c r="C62">
        <f>Sensitivity!B22</f>
        <v/>
      </c>
    </row>
    <row r="63">
      <c r="A63">
        <f>Sensitivity!A23</f>
        <v/>
      </c>
      <c r="B63">
        <f>Sensitivity!H23</f>
        <v/>
      </c>
      <c r="C63">
        <f>Sensitivity!B23</f>
        <v/>
      </c>
    </row>
    <row r="64">
      <c r="A64">
        <f>Sensitivity!A24</f>
        <v/>
      </c>
      <c r="B64">
        <f>Sensitivity!H24</f>
        <v/>
      </c>
      <c r="C64">
        <f>Sensitivity!B24</f>
        <v/>
      </c>
    </row>
    <row r="65">
      <c r="A65">
        <f>Sensitivity!A25</f>
        <v/>
      </c>
      <c r="B65">
        <f>Sensitivity!H25</f>
        <v/>
      </c>
      <c r="C65">
        <f>Sensitivity!B25</f>
        <v/>
      </c>
    </row>
    <row r="66">
      <c r="A66">
        <f>Sensitivity!A26</f>
        <v/>
      </c>
      <c r="B66">
        <f>Sensitivity!H26</f>
        <v/>
      </c>
      <c r="C66">
        <f>Sensitivity!B26</f>
        <v/>
      </c>
    </row>
    <row r="67">
      <c r="A67">
        <f>Sensitivity!A27</f>
        <v/>
      </c>
      <c r="B67">
        <f>Sensitivity!H27</f>
        <v/>
      </c>
      <c r="C67">
        <f>Sensitivity!B27</f>
        <v/>
      </c>
    </row>
    <row r="68">
      <c r="A68">
        <f>Sensitivity!A28</f>
        <v/>
      </c>
      <c r="B68">
        <f>Sensitivity!H28</f>
        <v/>
      </c>
      <c r="C68">
        <f>Sensitivity!B28</f>
        <v/>
      </c>
    </row>
    <row r="69">
      <c r="A69">
        <f>Sensitivity!A29</f>
        <v/>
      </c>
      <c r="B69">
        <f>Sensitivity!H29</f>
        <v/>
      </c>
      <c r="C69">
        <f>Sensitivity!B29</f>
        <v/>
      </c>
    </row>
    <row r="70">
      <c r="A70" s="9" t="inlineStr">
        <is>
          <t>Artifact Equip-Toggle DPS Gain, best to worst (see Sensitivity for full detail)</t>
        </is>
      </c>
    </row>
    <row r="72">
      <c r="A72" s="5" t="inlineStr">
        <is>
          <t>Artifact</t>
        </is>
      </c>
      <c r="B72" s="5" t="inlineStr">
        <is>
          <t>DPS Gain</t>
        </is>
      </c>
      <c r="C72" s="5" t="inlineStr">
        <is>
          <t>% Gain</t>
        </is>
      </c>
    </row>
    <row r="73">
      <c r="A73">
        <f>Sensitivity!A32</f>
        <v/>
      </c>
      <c r="B73">
        <f>Sensitivity!B32</f>
        <v/>
      </c>
      <c r="C73">
        <f>Sensitivity!C32</f>
        <v/>
      </c>
    </row>
    <row r="74">
      <c r="A74">
        <f>Sensitivity!A33</f>
        <v/>
      </c>
      <c r="B74">
        <f>Sensitivity!B33</f>
        <v/>
      </c>
      <c r="C74">
        <f>Sensitivity!C33</f>
        <v/>
      </c>
    </row>
    <row r="75">
      <c r="A75">
        <f>Sensitivity!A34</f>
        <v/>
      </c>
      <c r="B75">
        <f>Sensitivity!B34</f>
        <v/>
      </c>
      <c r="C75">
        <f>Sensitivity!C34</f>
        <v/>
      </c>
    </row>
    <row r="76">
      <c r="A76">
        <f>Sensitivity!A35</f>
        <v/>
      </c>
      <c r="B76">
        <f>Sensitivity!B35</f>
        <v/>
      </c>
      <c r="C76">
        <f>Sensitivity!C35</f>
        <v/>
      </c>
    </row>
    <row r="77">
      <c r="A77">
        <f>Sensitivity!A36</f>
        <v/>
      </c>
      <c r="B77">
        <f>Sensitivity!B36</f>
        <v/>
      </c>
      <c r="C77">
        <f>Sensitivity!C36</f>
        <v/>
      </c>
    </row>
    <row r="78">
      <c r="A78">
        <f>Sensitivity!A37</f>
        <v/>
      </c>
      <c r="B78">
        <f>Sensitivity!B37</f>
        <v/>
      </c>
      <c r="C78">
        <f>Sensitivity!C37</f>
        <v/>
      </c>
    </row>
    <row r="79">
      <c r="A79">
        <f>Sensitivity!A38</f>
        <v/>
      </c>
      <c r="B79">
        <f>Sensitivity!B38</f>
        <v/>
      </c>
      <c r="C79">
        <f>Sensitivity!C38</f>
        <v/>
      </c>
    </row>
    <row r="80">
      <c r="A80">
        <f>Sensitivity!A39</f>
        <v/>
      </c>
      <c r="B80">
        <f>Sensitivity!B39</f>
        <v/>
      </c>
      <c r="C80">
        <f>Sensitivity!C39</f>
        <v/>
      </c>
    </row>
    <row r="81">
      <c r="A81">
        <f>Sensitivity!A40</f>
        <v/>
      </c>
      <c r="B81">
        <f>Sensitivity!B40</f>
        <v/>
      </c>
      <c r="C81">
        <f>Sensitivity!C40</f>
        <v/>
      </c>
    </row>
    <row r="82">
      <c r="A82">
        <f>Sensitivity!A41</f>
        <v/>
      </c>
      <c r="B82">
        <f>Sensitivity!B41</f>
        <v/>
      </c>
      <c r="C82">
        <f>Sensitivity!C41</f>
        <v/>
      </c>
    </row>
    <row r="83">
      <c r="A83">
        <f>Sensitivity!A42</f>
        <v/>
      </c>
      <c r="B83">
        <f>Sensitivity!B42</f>
        <v/>
      </c>
      <c r="C83">
        <f>Sensitivity!C42</f>
        <v/>
      </c>
    </row>
    <row r="84">
      <c r="A84">
        <f>Sensitivity!A43</f>
        <v/>
      </c>
      <c r="B84">
        <f>Sensitivity!B43</f>
        <v/>
      </c>
      <c r="C84">
        <f>Sensitivity!C43</f>
        <v/>
      </c>
    </row>
    <row r="85">
      <c r="A85">
        <f>Sensitivity!A44</f>
        <v/>
      </c>
      <c r="B85">
        <f>Sensitivity!B44</f>
        <v/>
      </c>
      <c r="C85">
        <f>Sensitivity!C44</f>
        <v/>
      </c>
    </row>
    <row r="86">
      <c r="A86">
        <f>Sensitivity!A45</f>
        <v/>
      </c>
      <c r="B86">
        <f>Sensitivity!B45</f>
        <v/>
      </c>
      <c r="C86">
        <f>Sensitivity!C45</f>
        <v/>
      </c>
    </row>
    <row r="87">
      <c r="A87">
        <f>Sensitivity!A46</f>
        <v/>
      </c>
      <c r="B87">
        <f>Sensitivity!B46</f>
        <v/>
      </c>
      <c r="C87">
        <f>Sensitivity!C46</f>
        <v/>
      </c>
    </row>
    <row r="88">
      <c r="A88">
        <f>Sensitivity!A47</f>
        <v/>
      </c>
      <c r="B88">
        <f>Sensitivity!B47</f>
        <v/>
      </c>
      <c r="C88">
        <f>Sensitivity!C47</f>
        <v/>
      </c>
    </row>
    <row r="89">
      <c r="A89">
        <f>Sensitivity!A48</f>
        <v/>
      </c>
      <c r="B89">
        <f>Sensitivity!B48</f>
        <v/>
      </c>
      <c r="C89">
        <f>Sensitivity!C48</f>
        <v/>
      </c>
    </row>
    <row r="90">
      <c r="A90">
        <f>Sensitivity!A49</f>
        <v/>
      </c>
      <c r="B90">
        <f>Sensitivity!B49</f>
        <v/>
      </c>
      <c r="C90">
        <f>Sensitivity!C49</f>
        <v/>
      </c>
    </row>
    <row r="91">
      <c r="A91">
        <f>Sensitivity!A50</f>
        <v/>
      </c>
      <c r="B91">
        <f>Sensitivity!B50</f>
        <v/>
      </c>
      <c r="C91">
        <f>Sensitivity!C50</f>
        <v/>
      </c>
    </row>
    <row r="92">
      <c r="A92">
        <f>Sensitivity!A51</f>
        <v/>
      </c>
      <c r="B92">
        <f>Sensitivity!B51</f>
        <v/>
      </c>
      <c r="C92">
        <f>Sensitivity!C51</f>
        <v/>
      </c>
    </row>
    <row r="93">
      <c r="A93">
        <f>Sensitivity!A52</f>
        <v/>
      </c>
      <c r="B93">
        <f>Sensitivity!B52</f>
        <v/>
      </c>
      <c r="C93">
        <f>Sensitivity!C52</f>
        <v/>
      </c>
    </row>
    <row r="94">
      <c r="A94">
        <f>Sensitivity!A53</f>
        <v/>
      </c>
      <c r="B94">
        <f>Sensitivity!B53</f>
        <v/>
      </c>
      <c r="C94">
        <f>Sensitivity!C53</f>
        <v/>
      </c>
    </row>
    <row r="95">
      <c r="A95">
        <f>Sensitivity!A54</f>
        <v/>
      </c>
      <c r="B95">
        <f>Sensitivity!B54</f>
        <v/>
      </c>
      <c r="C95">
        <f>Sensitivity!C54</f>
        <v/>
      </c>
    </row>
    <row r="96">
      <c r="A96">
        <f>Sensitivity!A55</f>
        <v/>
      </c>
      <c r="B96">
        <f>Sensitivity!B55</f>
        <v/>
      </c>
      <c r="C96">
        <f>Sensitivity!C55</f>
        <v/>
      </c>
    </row>
    <row r="97">
      <c r="A97">
        <f>Sensitivity!A56</f>
        <v/>
      </c>
      <c r="B97">
        <f>Sensitivity!B56</f>
        <v/>
      </c>
      <c r="C97">
        <f>Sensitivity!C56</f>
        <v/>
      </c>
    </row>
    <row r="98">
      <c r="A98">
        <f>Sensitivity!A57</f>
        <v/>
      </c>
      <c r="B98">
        <f>Sensitivity!B57</f>
        <v/>
      </c>
      <c r="C98">
        <f>Sensitivity!C57</f>
        <v/>
      </c>
    </row>
    <row r="99">
      <c r="A99">
        <f>Sensitivity!A58</f>
        <v/>
      </c>
      <c r="B99">
        <f>Sensitivity!B58</f>
        <v/>
      </c>
      <c r="C99">
        <f>Sensitivity!C58</f>
        <v/>
      </c>
    </row>
    <row r="100">
      <c r="A100">
        <f>Sensitivity!A59</f>
        <v/>
      </c>
      <c r="B100">
        <f>Sensitivity!B59</f>
        <v/>
      </c>
      <c r="C100">
        <f>Sensitivity!C59</f>
        <v/>
      </c>
    </row>
    <row r="101">
      <c r="A101">
        <f>Sensitivity!A60</f>
        <v/>
      </c>
      <c r="B101">
        <f>Sensitivity!B60</f>
        <v/>
      </c>
      <c r="C101">
        <f>Sensitivity!C60</f>
        <v/>
      </c>
    </row>
    <row r="102">
      <c r="A102">
        <f>Sensitivity!A61</f>
        <v/>
      </c>
      <c r="B102">
        <f>Sensitivity!B61</f>
        <v/>
      </c>
      <c r="C102">
        <f>Sensitivity!C61</f>
        <v/>
      </c>
    </row>
    <row r="103">
      <c r="A103">
        <f>Sensitivity!A62</f>
        <v/>
      </c>
      <c r="B103">
        <f>Sensitivity!B62</f>
        <v/>
      </c>
      <c r="C103">
        <f>Sensitivity!C62</f>
        <v/>
      </c>
    </row>
    <row r="104">
      <c r="A104">
        <f>Sensitivity!A63</f>
        <v/>
      </c>
      <c r="B104">
        <f>Sensitivity!B63</f>
        <v/>
      </c>
      <c r="C104">
        <f>Sensitivity!C63</f>
        <v/>
      </c>
    </row>
    <row r="105">
      <c r="A105">
        <f>Sensitivity!A64</f>
        <v/>
      </c>
      <c r="B105">
        <f>Sensitivity!B64</f>
        <v/>
      </c>
      <c r="C105">
        <f>Sensitivity!C64</f>
        <v/>
      </c>
    </row>
    <row r="106">
      <c r="A106">
        <f>Sensitivity!A65</f>
        <v/>
      </c>
      <c r="B106">
        <f>Sensitivity!B65</f>
        <v/>
      </c>
      <c r="C106">
        <f>Sensitivity!C65</f>
        <v/>
      </c>
    </row>
    <row r="107">
      <c r="A107">
        <f>Sensitivity!A66</f>
        <v/>
      </c>
      <c r="B107">
        <f>Sensitivity!B66</f>
        <v/>
      </c>
      <c r="C107">
        <f>Sensitivity!C66</f>
        <v/>
      </c>
    </row>
    <row r="108">
      <c r="A108">
        <f>Sensitivity!A67</f>
        <v/>
      </c>
      <c r="B108">
        <f>Sensitivity!B67</f>
        <v/>
      </c>
      <c r="C108">
        <f>Sensitivity!C67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205"/>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INT</t>
        </is>
      </c>
      <c r="B5">
        <f>IFERROR(1/(I5-100),"n/a")</f>
        <v/>
      </c>
      <c r="C5" t="inlineStr">
        <is>
          <t>flat</t>
        </is>
      </c>
      <c r="D5">
        <f>Inputs!$B$12</f>
        <v/>
      </c>
      <c r="E5">
        <f>(Inputs!$B$12+1)</f>
        <v/>
      </c>
      <c r="F5">
        <f>Summary!$B$3</f>
        <v/>
      </c>
      <c r="G5">
        <f>B111</f>
        <v/>
      </c>
      <c r="H5">
        <f>Summary!$B$3*(((1-Summary!$B$11)*IFERROR(B109/Summary!$B$23,1)+Summary!$B$11*IFERROR(B110/Summary!$B$24,1))-1)</f>
        <v/>
      </c>
      <c r="I5">
        <f>((1-Summary!$B$11)*IFERROR(B109/Summary!$B$23,1)+Summary!$B$11*IFERROR(B110/Summary!$B$24,1))*100</f>
        <v/>
      </c>
    </row>
    <row r="6">
      <c r="A6" t="inlineStr">
        <is>
          <t>INT %</t>
        </is>
      </c>
      <c r="B6">
        <f>IFERROR(1/(I6-100),"n/a")</f>
        <v/>
      </c>
      <c r="C6" t="inlineStr">
        <is>
          <t>pct</t>
        </is>
      </c>
      <c r="D6">
        <f>Inputs!$B$13</f>
        <v/>
      </c>
      <c r="E6">
        <f>(Inputs!$B$13+1)</f>
        <v/>
      </c>
      <c r="F6">
        <f>Summary!$B$3</f>
        <v/>
      </c>
      <c r="G6">
        <f>B155</f>
        <v/>
      </c>
      <c r="H6">
        <f>Summary!$B$3*(((1-Summary!$B$11)*IFERROR(B153/Summary!$B$23,1)+Summary!$B$11*IFERROR(B154/Summary!$B$24,1))-1)</f>
        <v/>
      </c>
      <c r="I6">
        <f>((1-Summary!$B$11)*IFERROR(B153/Summary!$B$23,1)+Summary!$B$11*IFERROR(B154/Summary!$B$24,1))*100</f>
        <v/>
      </c>
    </row>
    <row r="7">
      <c r="A7" t="inlineStr">
        <is>
          <t>DAMAGE %</t>
        </is>
      </c>
      <c r="B7">
        <f>IFERROR(1/(I7-100),"n/a")</f>
        <v/>
      </c>
      <c r="C7" t="inlineStr">
        <is>
          <t>pct</t>
        </is>
      </c>
      <c r="D7">
        <f>Inputs!$B$15</f>
        <v/>
      </c>
      <c r="E7">
        <f>(Inputs!$B$15+1)</f>
        <v/>
      </c>
      <c r="F7">
        <f>Summary!$B$3</f>
        <v/>
      </c>
      <c r="G7">
        <f>B199</f>
        <v/>
      </c>
      <c r="H7">
        <f>Summary!$B$3*(((1-Summary!$B$11)*IFERROR(B197/Summary!$B$23,1)+Summary!$B$11*IFERROR(B198/Summary!$B$24,1))-1)</f>
        <v/>
      </c>
      <c r="I7">
        <f>((1-Summary!$B$11)*IFERROR(B197/Summary!$B$23,1)+Summary!$B$11*IFERROR(B198/Summary!$B$24,1))*100</f>
        <v/>
      </c>
    </row>
    <row r="8">
      <c r="A8" t="inlineStr">
        <is>
          <t>DAMAGE_AMP %</t>
        </is>
      </c>
      <c r="B8">
        <f>IFERROR(1/(I8-100),"n/a")</f>
        <v/>
      </c>
      <c r="C8" t="inlineStr">
        <is>
          <t>pct</t>
        </is>
      </c>
      <c r="D8">
        <f>Inputs!$B$16</f>
        <v/>
      </c>
      <c r="E8">
        <f>(Inputs!$B$16+1)</f>
        <v/>
      </c>
      <c r="F8">
        <f>Summary!$B$3</f>
        <v/>
      </c>
      <c r="G8">
        <f>B243</f>
        <v/>
      </c>
      <c r="H8">
        <f>Summary!$B$3*(((1-Summary!$B$11)*IFERROR(B241/Summary!$B$23,1)+Summary!$B$11*IFERROR(B242/Summary!$B$24,1))-1)</f>
        <v/>
      </c>
      <c r="I8">
        <f>((1-Summary!$B$11)*IFERROR(B241/Summary!$B$23,1)+Summary!$B$11*IFERROR(B242/Summary!$B$24,1))*100</f>
        <v/>
      </c>
    </row>
    <row r="9">
      <c r="A9" t="inlineStr">
        <is>
          <t>BOSS_DAMAGE %</t>
        </is>
      </c>
      <c r="B9">
        <f>IFERROR(1/(I9-100),"n/a")</f>
        <v/>
      </c>
      <c r="C9" t="inlineStr">
        <is>
          <t>pct</t>
        </is>
      </c>
      <c r="D9">
        <f>Inputs!$B$20</f>
        <v/>
      </c>
      <c r="E9">
        <f>(Inputs!$B$20+1)</f>
        <v/>
      </c>
      <c r="F9">
        <f>Summary!$B$3</f>
        <v/>
      </c>
      <c r="G9">
        <f>B287</f>
        <v/>
      </c>
      <c r="H9">
        <f>Summary!$B$3*(((1-Summary!$B$11)*IFERROR(B285/Summary!$B$23,1)+Summary!$B$11*IFERROR(B286/Summary!$B$24,1))-1)</f>
        <v/>
      </c>
      <c r="I9">
        <f>((1-Summary!$B$11)*IFERROR(B285/Summary!$B$23,1)+Summary!$B$11*IFERROR(B286/Summary!$B$24,1))*100</f>
        <v/>
      </c>
    </row>
    <row r="10">
      <c r="A10" t="inlineStr">
        <is>
          <t>NORMAL_DAMAGE %</t>
        </is>
      </c>
      <c r="B10">
        <f>IFERROR(1/(I10-100),"n/a")</f>
        <v/>
      </c>
      <c r="C10" t="inlineStr">
        <is>
          <t>pct</t>
        </is>
      </c>
      <c r="D10">
        <f>Inputs!$B$21</f>
        <v/>
      </c>
      <c r="E10">
        <f>(Inputs!$B$21+1)</f>
        <v/>
      </c>
      <c r="F10">
        <f>Summary!$B$3</f>
        <v/>
      </c>
      <c r="G10">
        <f>B331</f>
        <v/>
      </c>
      <c r="H10">
        <f>Summary!$B$3*(((1-Summary!$B$11)*IFERROR(B329/Summary!$B$23,1)+Summary!$B$11*IFERROR(B330/Summary!$B$24,1))-1)</f>
        <v/>
      </c>
      <c r="I10">
        <f>((1-Summary!$B$11)*IFERROR(B329/Summary!$B$23,1)+Summary!$B$11*IFERROR(B330/Summary!$B$24,1))*100</f>
        <v/>
      </c>
    </row>
    <row r="11">
      <c r="A11" t="inlineStr">
        <is>
          <t>FINAL_DAMAGE % (multiplicative source)</t>
        </is>
      </c>
      <c r="B11">
        <f>IFERROR(1/(I11-100),"n/a")</f>
        <v/>
      </c>
      <c r="C11" t="inlineStr">
        <is>
          <t>mult</t>
        </is>
      </c>
      <c r="D11">
        <f>Inputs!$B$24</f>
        <v/>
      </c>
      <c r="E11">
        <f>((((1+Inputs!$B$24/100)*(1.01))-1)*100)</f>
        <v/>
      </c>
      <c r="F11">
        <f>Summary!$B$3</f>
        <v/>
      </c>
      <c r="G11">
        <f>B375</f>
        <v/>
      </c>
      <c r="H11">
        <f>Summary!$B$3*(((1-Summary!$B$11)*IFERROR(B373/Summary!$B$23,1)+Summary!$B$11*IFERROR(B374/Summary!$B$24,1))-1)</f>
        <v/>
      </c>
      <c r="I11">
        <f>((1-Summary!$B$11)*IFERROR(B373/Summary!$B$23,1)+Summary!$B$11*IFERROR(B374/Summary!$B$24,1))*100</f>
        <v/>
      </c>
    </row>
    <row r="12">
      <c r="A12" t="inlineStr">
        <is>
          <t>MIN_DAMAGE %</t>
        </is>
      </c>
      <c r="B12">
        <f>IFERROR(1/(I12-100),"n/a")</f>
        <v/>
      </c>
      <c r="C12" t="inlineStr">
        <is>
          <t>pct</t>
        </is>
      </c>
      <c r="D12">
        <f>Inputs!$B$22</f>
        <v/>
      </c>
      <c r="E12">
        <f>(Inputs!$B$22+1)</f>
        <v/>
      </c>
      <c r="F12">
        <f>Summary!$B$3</f>
        <v/>
      </c>
      <c r="G12">
        <f>B419</f>
        <v/>
      </c>
      <c r="H12">
        <f>Summary!$B$3*(((1-Summary!$B$11)*IFERROR(B417/Summary!$B$23,1)+Summary!$B$11*IFERROR(B418/Summary!$B$24,1))-1)</f>
        <v/>
      </c>
      <c r="I12">
        <f>((1-Summary!$B$11)*IFERROR(B417/Summary!$B$23,1)+Summary!$B$11*IFERROR(B418/Summary!$B$24,1))*100</f>
        <v/>
      </c>
    </row>
    <row r="13">
      <c r="A13" t="inlineStr">
        <is>
          <t>MAX_DAMAGE %</t>
        </is>
      </c>
      <c r="B13">
        <f>IFERROR(1/(I13-100),"n/a")</f>
        <v/>
      </c>
      <c r="C13" t="inlineStr">
        <is>
          <t>pct</t>
        </is>
      </c>
      <c r="D13">
        <f>Inputs!$B$23</f>
        <v/>
      </c>
      <c r="E13">
        <f>(Inputs!$B$23+1)</f>
        <v/>
      </c>
      <c r="F13">
        <f>Summary!$B$3</f>
        <v/>
      </c>
      <c r="G13">
        <f>B463</f>
        <v/>
      </c>
      <c r="H13">
        <f>Summary!$B$3*(((1-Summary!$B$11)*IFERROR(B461/Summary!$B$23,1)+Summary!$B$11*IFERROR(B462/Summary!$B$24,1))-1)</f>
        <v/>
      </c>
      <c r="I13">
        <f>((1-Summary!$B$11)*IFERROR(B461/Summary!$B$23,1)+Summary!$B$11*IFERROR(B462/Summary!$B$24,1))*100</f>
        <v/>
      </c>
    </row>
    <row r="14">
      <c r="A14" t="inlineStr">
        <is>
          <t>CRIT_RATE %</t>
        </is>
      </c>
      <c r="B14">
        <f>IFERROR(1/(I14-100),"n/a")</f>
        <v/>
      </c>
      <c r="C14" t="inlineStr">
        <is>
          <t>pct</t>
        </is>
      </c>
      <c r="D14">
        <f>Inputs!$B$9</f>
        <v/>
      </c>
      <c r="E14">
        <f>(Inputs!$B$9+1)</f>
        <v/>
      </c>
      <c r="F14">
        <f>Summary!$B$3</f>
        <v/>
      </c>
      <c r="G14">
        <f>B507</f>
        <v/>
      </c>
      <c r="H14">
        <f>Summary!$B$3*(((1-Summary!$B$11)*IFERROR(B505/Summary!$B$23,1)+Summary!$B$11*IFERROR(B506/Summary!$B$24,1))-1)</f>
        <v/>
      </c>
      <c r="I14">
        <f>((1-Summary!$B$11)*IFERROR(B505/Summary!$B$23,1)+Summary!$B$11*IFERROR(B506/Summary!$B$24,1))*100</f>
        <v/>
      </c>
    </row>
    <row r="15">
      <c r="A15" t="inlineStr">
        <is>
          <t>CRIT_DAMAGE %</t>
        </is>
      </c>
      <c r="B15">
        <f>IFERROR(1/(I15-100),"n/a")</f>
        <v/>
      </c>
      <c r="C15" t="inlineStr">
        <is>
          <t>pct</t>
        </is>
      </c>
      <c r="D15">
        <f>Inputs!$B$10</f>
        <v/>
      </c>
      <c r="E15">
        <f>(Inputs!$B$10+1)</f>
        <v/>
      </c>
      <c r="F15">
        <f>Summary!$B$3</f>
        <v/>
      </c>
      <c r="G15">
        <f>B551</f>
        <v/>
      </c>
      <c r="H15">
        <f>Summary!$B$3*(((1-Summary!$B$11)*IFERROR(B549/Summary!$B$23,1)+Summary!$B$11*IFERROR(B550/Summary!$B$24,1))-1)</f>
        <v/>
      </c>
      <c r="I15">
        <f>((1-Summary!$B$11)*IFERROR(B549/Summary!$B$23,1)+Summary!$B$11*IFERROR(B550/Summary!$B$24,1))*100</f>
        <v/>
      </c>
    </row>
    <row r="16">
      <c r="A16" t="inlineStr">
        <is>
          <t>ATTACK_SPEED % (diminishing returns, factor 150)</t>
        </is>
      </c>
      <c r="B16">
        <f>IFERROR(1/(I16-100),"n/a")</f>
        <v/>
      </c>
      <c r="C16" t="inlineStr">
        <is>
          <t>dr150</t>
        </is>
      </c>
      <c r="D16">
        <f>Inputs!$B$11</f>
        <v/>
      </c>
      <c r="E16">
        <f>((1-(1-Inputs!$B$11/150)*(1-1/150))*150)</f>
        <v/>
      </c>
      <c r="F16">
        <f>Summary!$B$3</f>
        <v/>
      </c>
      <c r="G16">
        <f>B595</f>
        <v/>
      </c>
      <c r="H16">
        <f>Summary!$B$3*(((1-Summary!$B$11)*IFERROR(B593/Summary!$B$23,1)+Summary!$B$11*IFERROR(B594/Summary!$B$24,1))-1)</f>
        <v/>
      </c>
      <c r="I16">
        <f>((1-Summary!$B$11)*IFERROR(B593/Summary!$B$23,1)+Summary!$B$11*IFERROR(B594/Summary!$B$24,1))*100</f>
        <v/>
      </c>
    </row>
    <row r="17">
      <c r="A17" t="inlineStr">
        <is>
          <t>DEF_PEN % (diminishing returns, factor 100)</t>
        </is>
      </c>
      <c r="B17">
        <f>IFERROR(1/(I17-100),"n/a")</f>
        <v/>
      </c>
      <c r="C17" t="inlineStr">
        <is>
          <t>dr100</t>
        </is>
      </c>
      <c r="D17">
        <f>Inputs!$B$19</f>
        <v/>
      </c>
      <c r="E17">
        <f>((1-(1-Inputs!$B$19/100)*(1-1/100))*100)</f>
        <v/>
      </c>
      <c r="F17">
        <f>Summary!$B$3</f>
        <v/>
      </c>
      <c r="G17">
        <f>B639</f>
        <v/>
      </c>
      <c r="H17">
        <f>Summary!$B$3*(((1-Summary!$B$11)*IFERROR(B637/Summary!$B$23,1)+Summary!$B$11*IFERROR(B638/Summary!$B$24,1))-1)</f>
        <v/>
      </c>
      <c r="I17">
        <f>((1-Summary!$B$11)*IFERROR(B637/Summary!$B$23,1)+Summary!$B$11*IFERROR(B638/Summary!$B$24,1))*100</f>
        <v/>
      </c>
    </row>
    <row r="18">
      <c r="A18" t="inlineStr">
        <is>
          <t>BASIC_ATTACK_DAMAGE %</t>
        </is>
      </c>
      <c r="B18">
        <f>IFERROR(1/(I18-100),"n/a")</f>
        <v/>
      </c>
      <c r="C18" t="inlineStr">
        <is>
          <t>pct</t>
        </is>
      </c>
      <c r="D18">
        <f>Inputs!$B$17</f>
        <v/>
      </c>
      <c r="E18">
        <f>(Inputs!$B$17+1)</f>
        <v/>
      </c>
      <c r="F18">
        <f>Summary!$B$3</f>
        <v/>
      </c>
      <c r="G18">
        <f>B683</f>
        <v/>
      </c>
      <c r="H18">
        <f>Summary!$B$3*(((1-Summary!$B$11)*IFERROR(B681/Summary!$B$23,1)+Summary!$B$11*IFERROR(B682/Summary!$B$24,1))-1)</f>
        <v/>
      </c>
      <c r="I18">
        <f>((1-Summary!$B$11)*IFERROR(B681/Summary!$B$23,1)+Summary!$B$11*IFERROR(B682/Summary!$B$24,1))*100</f>
        <v/>
      </c>
    </row>
    <row r="19">
      <c r="A19" t="inlineStr">
        <is>
          <t>SKILL_DAMAGE %</t>
        </is>
      </c>
      <c r="B19">
        <f>IFERROR(1/(I19-100),"n/a")</f>
        <v/>
      </c>
      <c r="C19" t="inlineStr">
        <is>
          <t>pct</t>
        </is>
      </c>
      <c r="D19">
        <f>Inputs!$B$18</f>
        <v/>
      </c>
      <c r="E19">
        <f>(Inputs!$B$18+1)</f>
        <v/>
      </c>
      <c r="F19">
        <f>Summary!$B$3</f>
        <v/>
      </c>
      <c r="G19">
        <f>B727</f>
        <v/>
      </c>
      <c r="H19">
        <f>Summary!$B$3*(((1-Summary!$B$11)*IFERROR(B725/Summary!$B$23,1)+Summary!$B$11*IFERROR(B726/Summary!$B$24,1))-1)</f>
        <v/>
      </c>
      <c r="I19">
        <f>((1-Summary!$B$11)*IFERROR(B725/Summary!$B$23,1)+Summary!$B$11*IFERROR(B726/Summary!$B$24,1))*100</f>
        <v/>
      </c>
    </row>
    <row r="20">
      <c r="A20" t="inlineStr">
        <is>
          <t>Skill Level Bonus — 1st Job</t>
        </is>
      </c>
      <c r="B20">
        <f>IFERROR(1/(I20-100),"n/a")</f>
        <v/>
      </c>
      <c r="C20" t="inlineStr">
        <is>
          <t>level</t>
        </is>
      </c>
      <c r="D20">
        <f>Inputs!$B$25</f>
        <v/>
      </c>
      <c r="E20">
        <f>(Inputs!$B$25+1)</f>
        <v/>
      </c>
      <c r="F20">
        <f>Summary!$B$3</f>
        <v/>
      </c>
      <c r="G20">
        <f>B771</f>
        <v/>
      </c>
      <c r="H20">
        <f>Summary!$B$3*(((1-Summary!$B$11)*IFERROR(B769/Summary!$B$23,1)+Summary!$B$11*IFERROR(B770/Summary!$B$24,1))-1)</f>
        <v/>
      </c>
      <c r="I20">
        <f>((1-Summary!$B$11)*IFERROR(B769/Summary!$B$23,1)+Summary!$B$11*IFERROR(B770/Summary!$B$24,1))*100</f>
        <v/>
      </c>
    </row>
    <row r="21">
      <c r="A21" t="inlineStr">
        <is>
          <t>Skill Level Bonus — 2nd Job</t>
        </is>
      </c>
      <c r="B21">
        <f>IFERROR(1/(I21-100),"n/a")</f>
        <v/>
      </c>
      <c r="C21" t="inlineStr">
        <is>
          <t>level</t>
        </is>
      </c>
      <c r="D21">
        <f>Inputs!$B$26</f>
        <v/>
      </c>
      <c r="E21">
        <f>(Inputs!$B$26+1)</f>
        <v/>
      </c>
      <c r="F21">
        <f>Summary!$B$3</f>
        <v/>
      </c>
      <c r="G21">
        <f>B815</f>
        <v/>
      </c>
      <c r="H21">
        <f>Summary!$B$3*(((1-Summary!$B$11)*IFERROR(B813/Summary!$B$23,1)+Summary!$B$11*IFERROR(B814/Summary!$B$24,1))-1)</f>
        <v/>
      </c>
      <c r="I21">
        <f>((1-Summary!$B$11)*IFERROR(B813/Summary!$B$23,1)+Summary!$B$11*IFERROR(B814/Summary!$B$24,1))*100</f>
        <v/>
      </c>
    </row>
    <row r="22">
      <c r="A22" t="inlineStr">
        <is>
          <t>Skill Level Bonus — 3rd Job</t>
        </is>
      </c>
      <c r="B22">
        <f>IFERROR(1/(I22-100),"n/a")</f>
        <v/>
      </c>
      <c r="C22" t="inlineStr">
        <is>
          <t>level</t>
        </is>
      </c>
      <c r="D22">
        <f>Inputs!$B$27</f>
        <v/>
      </c>
      <c r="E22">
        <f>(Inputs!$B$27+1)</f>
        <v/>
      </c>
      <c r="F22">
        <f>Summary!$B$3</f>
        <v/>
      </c>
      <c r="G22">
        <f>B859</f>
        <v/>
      </c>
      <c r="H22">
        <f>Summary!$B$3*(((1-Summary!$B$11)*IFERROR(B857/Summary!$B$23,1)+Summary!$B$11*IFERROR(B858/Summary!$B$24,1))-1)</f>
        <v/>
      </c>
      <c r="I22">
        <f>((1-Summary!$B$11)*IFERROR(B857/Summary!$B$23,1)+Summary!$B$11*IFERROR(B858/Summary!$B$24,1))*100</f>
        <v/>
      </c>
    </row>
    <row r="23">
      <c r="A23" t="inlineStr">
        <is>
          <t>Skill Level Bonus — 4th Job</t>
        </is>
      </c>
      <c r="B23">
        <f>IFERROR(1/(I23-100),"n/a")</f>
        <v/>
      </c>
      <c r="C23" t="inlineStr">
        <is>
          <t>level</t>
        </is>
      </c>
      <c r="D23">
        <f>Inputs!$B$28</f>
        <v/>
      </c>
      <c r="E23">
        <f>(Inputs!$B$28+1)</f>
        <v/>
      </c>
      <c r="F23">
        <f>Summary!$B$3</f>
        <v/>
      </c>
      <c r="G23">
        <f>B903</f>
        <v/>
      </c>
      <c r="H23">
        <f>Summary!$B$3*(((1-Summary!$B$11)*IFERROR(B901/Summary!$B$23,1)+Summary!$B$11*IFERROR(B902/Summary!$B$24,1))-1)</f>
        <v/>
      </c>
      <c r="I23">
        <f>((1-Summary!$B$11)*IFERROR(B901/Summary!$B$23,1)+Summary!$B$11*IFERROR(B902/Summary!$B$24,1))*100</f>
        <v/>
      </c>
    </row>
    <row r="24">
      <c r="A24" t="inlineStr">
        <is>
          <t>Skill Level Bonus — All Skills</t>
        </is>
      </c>
      <c r="B24">
        <f>IFERROR(1/(I24-100),"n/a")</f>
        <v/>
      </c>
      <c r="C24" t="inlineStr">
        <is>
          <t>level</t>
        </is>
      </c>
      <c r="D24">
        <f>Inputs!$B$29</f>
        <v/>
      </c>
      <c r="E24">
        <f>(Inputs!$B$29+1)</f>
        <v/>
      </c>
      <c r="F24">
        <f>Summary!$B$3</f>
        <v/>
      </c>
      <c r="G24">
        <f>B947</f>
        <v/>
      </c>
      <c r="H24">
        <f>Summary!$B$3*(((1-Summary!$B$11)*IFERROR(B945/Summary!$B$23,1)+Summary!$B$11*IFERROR(B946/Summary!$B$24,1))-1)</f>
        <v/>
      </c>
      <c r="I24">
        <f>((1-Summary!$B$11)*IFERROR(B945/Summary!$B$23,1)+Summary!$B$11*IFERROR(B946/Summary!$B$24,1))*100</f>
        <v/>
      </c>
    </row>
    <row r="25">
      <c r="A25" t="inlineStr">
        <is>
          <t>Flat ATTACK</t>
        </is>
      </c>
      <c r="B25">
        <f>IFERROR(1/(I25-100),"n/a")</f>
        <v/>
      </c>
      <c r="C25" t="inlineStr">
        <is>
          <t>flat</t>
        </is>
      </c>
      <c r="D25">
        <f>Inputs!$B$6</f>
        <v/>
      </c>
      <c r="E25">
        <f>(Inputs!$B$6+1)</f>
        <v/>
      </c>
      <c r="F25">
        <f>Summary!$B$3</f>
        <v/>
      </c>
      <c r="G25">
        <f>B991</f>
        <v/>
      </c>
      <c r="H25">
        <f>Summary!$B$3*(((1-Summary!$B$11)*IFERROR(B989/Summary!$B$23,1)+Summary!$B$11*IFERROR(B990/Summary!$B$24,1))-1)</f>
        <v/>
      </c>
      <c r="I25">
        <f>((1-Summary!$B$11)*IFERROR(B989/Summary!$B$23,1)+Summary!$B$11*IFERROR(B990/Summary!$B$24,1))*100</f>
        <v/>
      </c>
    </row>
    <row r="26">
      <c r="A26" t="inlineStr">
        <is>
          <t>ATTACK %</t>
        </is>
      </c>
      <c r="B26">
        <f>IFERROR(1/(I26-100),"n/a")</f>
        <v/>
      </c>
      <c r="C26" t="inlineStr">
        <is>
          <t>pct</t>
        </is>
      </c>
      <c r="D26">
        <f>Inputs!$B$7</f>
        <v/>
      </c>
      <c r="E26">
        <f>(Inputs!$B$7+1)</f>
        <v/>
      </c>
      <c r="F26">
        <f>Summary!$B$3</f>
        <v/>
      </c>
      <c r="G26">
        <f>B1035</f>
        <v/>
      </c>
      <c r="H26">
        <f>Summary!$B$3*(((1-Summary!$B$11)*IFERROR(B1033/Summary!$B$23,1)+Summary!$B$11*IFERROR(B1034/Summary!$B$24,1))-1)</f>
        <v/>
      </c>
      <c r="I26">
        <f>((1-Summary!$B$11)*IFERROR(B1033/Summary!$B$23,1)+Summary!$B$11*IFERROR(B1034/Summary!$B$24,1))*100</f>
        <v/>
      </c>
    </row>
    <row r="27">
      <c r="A27" t="inlineStr">
        <is>
          <t>Skill Cooldown Decrease (seconds)</t>
        </is>
      </c>
      <c r="B27">
        <f>IFERROR(1/(I27-100),"n/a")</f>
        <v/>
      </c>
      <c r="C27" t="inlineStr">
        <is>
          <t>flat</t>
        </is>
      </c>
      <c r="D27">
        <f>Inputs!$B$32</f>
        <v/>
      </c>
      <c r="E27">
        <f>(Inputs!$B$32+1)</f>
        <v/>
      </c>
      <c r="F27">
        <f>Summary!$B$3</f>
        <v/>
      </c>
      <c r="G27">
        <f>B1079</f>
        <v/>
      </c>
      <c r="H27">
        <f>Summary!$B$3*(((1-Summary!$B$11)*IFERROR(B1077/Summary!$B$23,1)+Summary!$B$11*IFERROR(B1078/Summary!$B$24,1))-1)</f>
        <v/>
      </c>
      <c r="I27">
        <f>((1-Summary!$B$11)*IFERROR(B1077/Summary!$B$23,1)+Summary!$B$11*IFERROR(B1078/Summary!$B$24,1))*100</f>
        <v/>
      </c>
    </row>
    <row r="28">
      <c r="A28" t="inlineStr">
        <is>
          <t>Basic Attack Target Increase (flat)</t>
        </is>
      </c>
      <c r="B28">
        <f>IFERROR(1/(I28-100),"n/a")</f>
        <v/>
      </c>
      <c r="C28" t="inlineStr">
        <is>
          <t>flat</t>
        </is>
      </c>
      <c r="D28">
        <f>Inputs!$B$33</f>
        <v/>
      </c>
      <c r="E28">
        <f>(Inputs!$B$33+1)</f>
        <v/>
      </c>
      <c r="F28">
        <f>Summary!$B$3</f>
        <v/>
      </c>
      <c r="G28">
        <f>B1123</f>
        <v/>
      </c>
      <c r="H28">
        <f>Summary!$B$3*(((1-Summary!$B$11)*IFERROR(B1121/Summary!$B$23,1)+Summary!$B$11*IFERROR(B1122/Summary!$B$24,1))-1)</f>
        <v/>
      </c>
      <c r="I28">
        <f>((1-Summary!$B$11)*IFERROR(B1121/Summary!$B$23,1)+Summary!$B$11*IFERROR(B1122/Summary!$B$24,1))*100</f>
        <v/>
      </c>
    </row>
    <row r="29">
      <c r="A29" t="inlineStr">
        <is>
          <t>Buff Duration Increase %</t>
        </is>
      </c>
      <c r="B29">
        <f>IFERROR(1/(I29-100),"n/a")</f>
        <v/>
      </c>
      <c r="C29" t="inlineStr">
        <is>
          <t>pct</t>
        </is>
      </c>
      <c r="D29">
        <f>Inputs!$B$34</f>
        <v/>
      </c>
      <c r="E29">
        <f>(Inputs!$B$34+1)</f>
        <v/>
      </c>
      <c r="F29">
        <f>Summary!$B$3</f>
        <v/>
      </c>
      <c r="G29">
        <f>B1167</f>
        <v/>
      </c>
      <c r="H29">
        <f>Summary!$B$3*(((1-Summary!$B$11)*IFERROR(B1165/Summary!$B$23,1)+Summary!$B$11*IFERROR(B1166/Summary!$B$24,1))-1)</f>
        <v/>
      </c>
      <c r="I29">
        <f>((1-Summary!$B$11)*IFERROR(B1165/Summary!$B$23,1)+Summary!$B$11*IFERROR(B1166/Summary!$B$24,1))*100</f>
        <v/>
      </c>
    </row>
    <row r="30">
      <c r="A30" s="9" t="inlineStr">
        <is>
          <t>Artifact Equip-Toggle DPS Gain</t>
        </is>
      </c>
    </row>
    <row r="31">
      <c r="A31" s="5" t="inlineStr">
        <is>
          <t>Artifact</t>
        </is>
      </c>
      <c r="B31" s="5" t="inlineStr">
        <is>
          <t>DPS Gain</t>
        </is>
      </c>
      <c r="C31" s="5" t="inlineStr">
        <is>
          <t>% Gain</t>
        </is>
      </c>
    </row>
    <row r="32">
      <c r="A32">
        <f>IF(1&gt;COUNTIF($AD$32:$AD$67,TRUE),"",INDEX($AA$32:$AA$67,MATCH(1,$AE$32:$AE$67,0)))</f>
        <v/>
      </c>
      <c r="B32">
        <f>IF(1&gt;COUNTIF($AD$32:$AD$67,TRUE),"",INDEX($AB$32:$AB$67,MATCH(1,$AE$32:$AE$67,0)))</f>
        <v/>
      </c>
      <c r="C32">
        <f>IF(1&gt;COUNTIF($AD$32:$AD$67,TRUE),"",INDEX($AC$32:$AC$67,MATCH(1,$AE$32:$AE$67,0)))</f>
        <v/>
      </c>
      <c r="AA32" t="inlineStr">
        <is>
          <t>Charm of the Undead (Equip)</t>
        </is>
      </c>
      <c r="AB32">
        <f>(IF(ArtifactsInput!$M$5,-1,1)*Summary!$B$3*(((1-Summary!$B$11)*IFERROR(B1209/Summary!$B$23,1)+Summary!$B$11*IFERROR(B1210/Summary!$B$24,1))-1)+ArtifactsInput!$L$5)</f>
        <v/>
      </c>
      <c r="AC32">
        <f>IF(ArtifactsInput!$M$5,Summary!$B$3/(Summary!$B$3-(IF(ArtifactsInput!$M$5,-1,1)*Summary!$B$3*(((1-Summary!$B$11)*IFERROR(B1209/Summary!$B$23,1)+Summary!$B$11*IFERROR(B1210/Summary!$B$24,1))-1)+ArtifactsInput!$L$5))*100,(Summary!$B$3+(IF(ArtifactsInput!$M$5,-1,1)*Summary!$B$3*(((1-Summary!$B$11)*IFERROR(B1209/Summary!$B$23,1)+Summary!$B$11*IFERROR(B1210/Summary!$B$24,1))-1)+ArtifactsInput!$L$5))/Summary!$B$3*100)</f>
        <v/>
      </c>
      <c r="AD32">
        <f>ArtifactsInput!$B$5&lt;&gt;"Not Unlocked"</f>
        <v/>
      </c>
      <c r="AE32">
        <f>IF(AD32,SUMPRODUCT(($AD$32:$AD$67)*($AC$32:$AC$67&gt;AC32))+COUNTIFS($AD$32:AD32,TRUE,$AC$32:AC32,AC32),"")</f>
        <v/>
      </c>
    </row>
    <row r="33">
      <c r="A33">
        <f>IF(2&gt;COUNTIF($AD$32:$AD$67,TRUE),"",INDEX($AA$32:$AA$67,MATCH(2,$AE$32:$AE$67,0)))</f>
        <v/>
      </c>
      <c r="B33">
        <f>IF(2&gt;COUNTIF($AD$32:$AD$67,TRUE),"",INDEX($AB$32:$AB$67,MATCH(2,$AE$32:$AE$67,0)))</f>
        <v/>
      </c>
      <c r="C33">
        <f>IF(2&gt;COUNTIF($AD$32:$AD$67,TRUE),"",INDEX($AC$32:$AC$67,MATCH(2,$AE$32:$AE$67,0)))</f>
        <v/>
      </c>
      <c r="AA33" t="inlineStr">
        <is>
          <t>Pig's Ribbon (Equip)</t>
        </is>
      </c>
      <c r="AB33">
        <f>(IF(ArtifactsInput!$M$6,-1,1)*Summary!$B$3*(((1-Summary!$B$11)*IFERROR(B1253/Summary!$B$23,1)+Summary!$B$11*IFERROR(B1254/Summary!$B$24,1))-1)+ArtifactsInput!$L$6)</f>
        <v/>
      </c>
      <c r="AC33">
        <f>IF(ArtifactsInput!$M$6,Summary!$B$3/(Summary!$B$3-(IF(ArtifactsInput!$M$6,-1,1)*Summary!$B$3*(((1-Summary!$B$11)*IFERROR(B1253/Summary!$B$23,1)+Summary!$B$11*IFERROR(B1254/Summary!$B$24,1))-1)+ArtifactsInput!$L$6))*100,(Summary!$B$3+(IF(ArtifactsInput!$M$6,-1,1)*Summary!$B$3*(((1-Summary!$B$11)*IFERROR(B1253/Summary!$B$23,1)+Summary!$B$11*IFERROR(B1254/Summary!$B$24,1))-1)+ArtifactsInput!$L$6))/Summary!$B$3*100)</f>
        <v/>
      </c>
      <c r="AD33">
        <f>ArtifactsInput!$B$6&lt;&gt;"Not Unlocked"</f>
        <v/>
      </c>
      <c r="AE33">
        <f>IF(AD33,SUMPRODUCT(($AD$32:$AD$67)*($AC$32:$AC$67&gt;AC33))+COUNTIFS($AD$32:AD33,TRUE,$AC$32:AC33,AC33),"")</f>
        <v/>
      </c>
    </row>
    <row r="34">
      <c r="A34">
        <f>IF(3&gt;COUNTIF($AD$32:$AD$67,TRUE),"",INDEX($AA$32:$AA$67,MATCH(3,$AE$32:$AE$67,0)))</f>
        <v/>
      </c>
      <c r="B34">
        <f>IF(3&gt;COUNTIF($AD$32:$AD$67,TRUE),"",INDEX($AB$32:$AB$67,MATCH(3,$AE$32:$AE$67,0)))</f>
        <v/>
      </c>
      <c r="C34">
        <f>IF(3&gt;COUNTIF($AD$32:$AD$67,TRUE),"",INDEX($AC$32:$AC$67,MATCH(3,$AE$32:$AE$67,0)))</f>
        <v/>
      </c>
      <c r="AA34" t="inlineStr">
        <is>
          <t>Shamaness Marble (Equip)</t>
        </is>
      </c>
      <c r="AB34">
        <f>(IF(ArtifactsInput!$M$7,-1,1)*Summary!$B$3*(((1-Summary!$B$11)*IFERROR(B1297/Summary!$B$23,1)+Summary!$B$11*IFERROR(B1298/Summary!$B$24,1))-1)+ArtifactsInput!$L$7)</f>
        <v/>
      </c>
      <c r="AC34">
        <f>IF(ArtifactsInput!$M$7,Summary!$B$3/(Summary!$B$3-(IF(ArtifactsInput!$M$7,-1,1)*Summary!$B$3*(((1-Summary!$B$11)*IFERROR(B1297/Summary!$B$23,1)+Summary!$B$11*IFERROR(B1298/Summary!$B$24,1))-1)+ArtifactsInput!$L$7))*100,(Summary!$B$3+(IF(ArtifactsInput!$M$7,-1,1)*Summary!$B$3*(((1-Summary!$B$11)*IFERROR(B1297/Summary!$B$23,1)+Summary!$B$11*IFERROR(B1298/Summary!$B$24,1))-1)+ArtifactsInput!$L$7))/Summary!$B$3*100)</f>
        <v/>
      </c>
      <c r="AD34">
        <f>ArtifactsInput!$B$7&lt;&gt;"Not Unlocked"</f>
        <v/>
      </c>
      <c r="AE34">
        <f>IF(AD34,SUMPRODUCT(($AD$32:$AD$67)*($AC$32:$AC$67&gt;AC34))+COUNTIFS($AD$32:AD34,TRUE,$AC$32:AC34,AC34),"")</f>
        <v/>
      </c>
    </row>
    <row r="35">
      <c r="A35">
        <f>IF(4&gt;COUNTIF($AD$32:$AD$67,TRUE),"",INDEX($AA$32:$AA$67,MATCH(4,$AE$32:$AE$67,0)))</f>
        <v/>
      </c>
      <c r="B35">
        <f>IF(4&gt;COUNTIF($AD$32:$AD$67,TRUE),"",INDEX($AB$32:$AB$67,MATCH(4,$AE$32:$AE$67,0)))</f>
        <v/>
      </c>
      <c r="C35">
        <f>IF(4&gt;COUNTIF($AD$32:$AD$67,TRUE),"",INDEX($AC$32:$AC$67,MATCH(4,$AE$32:$AE$67,0)))</f>
        <v/>
      </c>
      <c r="AA35" t="inlineStr">
        <is>
          <t>The Contract of Darkness (Equip)</t>
        </is>
      </c>
      <c r="AB35">
        <f>(IF(ArtifactsInput!$M$8,-1,1)*Summary!$B$3*(((1-Summary!$B$11)*IFERROR(B1341/Summary!$B$23,1)+Summary!$B$11*IFERROR(B1342/Summary!$B$24,1))-1)+ArtifactsInput!$L$8)</f>
        <v/>
      </c>
      <c r="AC35">
        <f>IF(ArtifactsInput!$M$8,Summary!$B$3/(Summary!$B$3-(IF(ArtifactsInput!$M$8,-1,1)*Summary!$B$3*(((1-Summary!$B$11)*IFERROR(B1341/Summary!$B$23,1)+Summary!$B$11*IFERROR(B1342/Summary!$B$24,1))-1)+ArtifactsInput!$L$8))*100,(Summary!$B$3+(IF(ArtifactsInput!$M$8,-1,1)*Summary!$B$3*(((1-Summary!$B$11)*IFERROR(B1341/Summary!$B$23,1)+Summary!$B$11*IFERROR(B1342/Summary!$B$24,1))-1)+ArtifactsInput!$L$8))/Summary!$B$3*100)</f>
        <v/>
      </c>
      <c r="AD35">
        <f>ArtifactsInput!$B$8&lt;&gt;"Not Unlocked"</f>
        <v/>
      </c>
      <c r="AE35">
        <f>IF(AD35,SUMPRODUCT(($AD$32:$AD$67)*($AC$32:$AC$67&gt;AC35))+COUNTIFS($AD$32:AD35,TRUE,$AC$32:AC35,AC35),"")</f>
        <v/>
      </c>
    </row>
    <row r="36">
      <c r="A36">
        <f>IF(5&gt;COUNTIF($AD$32:$AD$67,TRUE),"",INDEX($AA$32:$AA$67,MATCH(5,$AE$32:$AE$67,0)))</f>
        <v/>
      </c>
      <c r="B36">
        <f>IF(5&gt;COUNTIF($AD$32:$AD$67,TRUE),"",INDEX($AB$32:$AB$67,MATCH(5,$AE$32:$AE$67,0)))</f>
        <v/>
      </c>
      <c r="C36">
        <f>IF(5&gt;COUNTIF($AD$32:$AD$67,TRUE),"",INDEX($AC$32:$AC$67,MATCH(5,$AE$32:$AE$67,0)))</f>
        <v/>
      </c>
      <c r="AA36" t="inlineStr">
        <is>
          <t>Rainbow-colored Snail Shell (Equip)</t>
        </is>
      </c>
      <c r="AB36">
        <f>(IF(ArtifactsInput!$M$10,-1,1)*Summary!$B$3*(((1-Summary!$B$11)*IFERROR(B1385/Summary!$B$23,1)+Summary!$B$11*IFERROR(B1386/Summary!$B$24,1))-1)+ArtifactsInput!$L$10)</f>
        <v/>
      </c>
      <c r="AC36">
        <f>IF(ArtifactsInput!$M$10,Summary!$B$3/(Summary!$B$3-(IF(ArtifactsInput!$M$10,-1,1)*Summary!$B$3*(((1-Summary!$B$11)*IFERROR(B1385/Summary!$B$23,1)+Summary!$B$11*IFERROR(B1386/Summary!$B$24,1))-1)+ArtifactsInput!$L$10))*100,(Summary!$B$3+(IF(ArtifactsInput!$M$10,-1,1)*Summary!$B$3*(((1-Summary!$B$11)*IFERROR(B1385/Summary!$B$23,1)+Summary!$B$11*IFERROR(B1386/Summary!$B$24,1))-1)+ArtifactsInput!$L$10))/Summary!$B$3*100)</f>
        <v/>
      </c>
      <c r="AD36">
        <f>ArtifactsInput!$B$10&lt;&gt;"Not Unlocked"</f>
        <v/>
      </c>
      <c r="AE36">
        <f>IF(AD36,SUMPRODUCT(($AD$32:$AD$67)*($AC$32:$AC$67&gt;AC36))+COUNTIFS($AD$32:AD36,TRUE,$AC$32:AC36,AC36),"")</f>
        <v/>
      </c>
    </row>
    <row r="37">
      <c r="A37">
        <f>IF(6&gt;COUNTIF($AD$32:$AD$67,TRUE),"",INDEX($AA$32:$AA$67,MATCH(6,$AE$32:$AE$67,0)))</f>
        <v/>
      </c>
      <c r="B37">
        <f>IF(6&gt;COUNTIF($AD$32:$AD$67,TRUE),"",INDEX($AB$32:$AB$67,MATCH(6,$AE$32:$AE$67,0)))</f>
        <v/>
      </c>
      <c r="C37">
        <f>IF(6&gt;COUNTIF($AD$32:$AD$67,TRUE),"",INDEX($AC$32:$AC$67,MATCH(6,$AE$32:$AE$67,0)))</f>
        <v/>
      </c>
      <c r="AA37" t="inlineStr">
        <is>
          <t>Hexagon Necklace (Equip)</t>
        </is>
      </c>
      <c r="AB37">
        <f>(IF(ArtifactsInput!$M$11,-1,1)*Summary!$B$3*(((1-Summary!$B$11)*IFERROR(B1429/Summary!$B$23,1)+Summary!$B$11*IFERROR(B1430/Summary!$B$24,1))-1)+ArtifactsInput!$L$11)</f>
        <v/>
      </c>
      <c r="AC37">
        <f>IF(ArtifactsInput!$M$11,Summary!$B$3/(Summary!$B$3-(IF(ArtifactsInput!$M$11,-1,1)*Summary!$B$3*(((1-Summary!$B$11)*IFERROR(B1429/Summary!$B$23,1)+Summary!$B$11*IFERROR(B1430/Summary!$B$24,1))-1)+ArtifactsInput!$L$11))*100,(Summary!$B$3+(IF(ArtifactsInput!$M$11,-1,1)*Summary!$B$3*(((1-Summary!$B$11)*IFERROR(B1429/Summary!$B$23,1)+Summary!$B$11*IFERROR(B1430/Summary!$B$24,1))-1)+ArtifactsInput!$L$11))/Summary!$B$3*100)</f>
        <v/>
      </c>
      <c r="AD37">
        <f>ArtifactsInput!$B$11&lt;&gt;"Not Unlocked"</f>
        <v/>
      </c>
      <c r="AE37">
        <f>IF(AD37,SUMPRODUCT(($AD$32:$AD$67)*($AC$32:$AC$67&gt;AC37))+COUNTIFS($AD$32:AD37,TRUE,$AC$32:AC37,AC37),"")</f>
        <v/>
      </c>
    </row>
    <row r="38">
      <c r="A38">
        <f>IF(7&gt;COUNTIF($AD$32:$AD$67,TRUE),"",INDEX($AA$32:$AA$67,MATCH(7,$AE$32:$AE$67,0)))</f>
        <v/>
      </c>
      <c r="B38">
        <f>IF(7&gt;COUNTIF($AD$32:$AD$67,TRUE),"",INDEX($AB$32:$AB$67,MATCH(7,$AE$32:$AE$67,0)))</f>
        <v/>
      </c>
      <c r="C38">
        <f>IF(7&gt;COUNTIF($AD$32:$AD$67,TRUE),"",INDEX($AC$32:$AC$67,MATCH(7,$AE$32:$AE$67,0)))</f>
        <v/>
      </c>
      <c r="AA38" t="inlineStr">
        <is>
          <t>Arwen's Glass Shoes (Equip)</t>
        </is>
      </c>
      <c r="AB38">
        <f>(IF(ArtifactsInput!$M$12,-1,1)*Summary!$B$3*(((1-Summary!$B$11)*IFERROR(B1473/Summary!$B$23,1)+Summary!$B$11*IFERROR(B1474/Summary!$B$24,1))-1)+ArtifactsInput!$L$12)</f>
        <v/>
      </c>
      <c r="AC38">
        <f>IF(ArtifactsInput!$M$12,Summary!$B$3/(Summary!$B$3-(IF(ArtifactsInput!$M$12,-1,1)*Summary!$B$3*(((1-Summary!$B$11)*IFERROR(B1473/Summary!$B$23,1)+Summary!$B$11*IFERROR(B1474/Summary!$B$24,1))-1)+ArtifactsInput!$L$12))*100,(Summary!$B$3+(IF(ArtifactsInput!$M$12,-1,1)*Summary!$B$3*(((1-Summary!$B$11)*IFERROR(B1473/Summary!$B$23,1)+Summary!$B$11*IFERROR(B1474/Summary!$B$24,1))-1)+ArtifactsInput!$L$12))/Summary!$B$3*100)</f>
        <v/>
      </c>
      <c r="AD38">
        <f>ArtifactsInput!$B$12&lt;&gt;"Not Unlocked"</f>
        <v/>
      </c>
      <c r="AE38">
        <f>IF(AD38,SUMPRODUCT(($AD$32:$AD$67)*($AC$32:$AC$67&gt;AC38))+COUNTIFS($AD$32:AD38,TRUE,$AC$32:AC38,AC38),"")</f>
        <v/>
      </c>
    </row>
    <row r="39">
      <c r="A39">
        <f>IF(8&gt;COUNTIF($AD$32:$AD$67,TRUE),"",INDEX($AA$32:$AA$67,MATCH(8,$AE$32:$AE$67,0)))</f>
        <v/>
      </c>
      <c r="B39">
        <f>IF(8&gt;COUNTIF($AD$32:$AD$67,TRUE),"",INDEX($AB$32:$AB$67,MATCH(8,$AE$32:$AE$67,0)))</f>
        <v/>
      </c>
      <c r="C39">
        <f>IF(8&gt;COUNTIF($AD$32:$AD$67,TRUE),"",INDEX($AC$32:$AC$67,MATCH(8,$AE$32:$AE$67,0)))</f>
        <v/>
      </c>
      <c r="AA39" t="inlineStr">
        <is>
          <t>Mushmom's Cap (Equip)</t>
        </is>
      </c>
      <c r="AB39">
        <f>(IF(ArtifactsInput!$M$13,-1,1)*Summary!$B$3*(((1-Summary!$B$11)*IFERROR(B1517/Summary!$B$23,1)+Summary!$B$11*IFERROR(B1518/Summary!$B$24,1))-1)+ArtifactsInput!$L$13)</f>
        <v/>
      </c>
      <c r="AC39">
        <f>IF(ArtifactsInput!$M$13,Summary!$B$3/(Summary!$B$3-(IF(ArtifactsInput!$M$13,-1,1)*Summary!$B$3*(((1-Summary!$B$11)*IFERROR(B1517/Summary!$B$23,1)+Summary!$B$11*IFERROR(B1518/Summary!$B$24,1))-1)+ArtifactsInput!$L$13))*100,(Summary!$B$3+(IF(ArtifactsInput!$M$13,-1,1)*Summary!$B$3*(((1-Summary!$B$11)*IFERROR(B1517/Summary!$B$23,1)+Summary!$B$11*IFERROR(B1518/Summary!$B$24,1))-1)+ArtifactsInput!$L$13))/Summary!$B$3*100)</f>
        <v/>
      </c>
      <c r="AD39">
        <f>ArtifactsInput!$B$13&lt;&gt;"Not Unlocked"</f>
        <v/>
      </c>
      <c r="AE39">
        <f>IF(AD39,SUMPRODUCT(($AD$32:$AD$67)*($AC$32:$AC$67&gt;AC39))+COUNTIFS($AD$32:AD39,TRUE,$AC$32:AC39,AC39),"")</f>
        <v/>
      </c>
    </row>
    <row r="40">
      <c r="A40">
        <f>IF(9&gt;COUNTIF($AD$32:$AD$67,TRUE),"",INDEX($AA$32:$AA$67,MATCH(9,$AE$32:$AE$67,0)))</f>
        <v/>
      </c>
      <c r="B40">
        <f>IF(9&gt;COUNTIF($AD$32:$AD$67,TRUE),"",INDEX($AB$32:$AB$67,MATCH(9,$AE$32:$AE$67,0)))</f>
        <v/>
      </c>
      <c r="C40">
        <f>IF(9&gt;COUNTIF($AD$32:$AD$67,TRUE),"",INDEX($AC$32:$AC$67,MATCH(9,$AE$32:$AE$67,0)))</f>
        <v/>
      </c>
      <c r="AA40" t="inlineStr">
        <is>
          <t>Clear Spring Water (Equip)</t>
        </is>
      </c>
      <c r="AB40">
        <f>(IF(ArtifactsInput!$M$14,-1,1)*Summary!$B$3*(((1-Summary!$B$11)*IFERROR(B1561/Summary!$B$23,1)+Summary!$B$11*IFERROR(B1562/Summary!$B$24,1))-1)+ArtifactsInput!$L$14)</f>
        <v/>
      </c>
      <c r="AC40">
        <f>IF(ArtifactsInput!$M$14,Summary!$B$3/(Summary!$B$3-(IF(ArtifactsInput!$M$14,-1,1)*Summary!$B$3*(((1-Summary!$B$11)*IFERROR(B1561/Summary!$B$23,1)+Summary!$B$11*IFERROR(B1562/Summary!$B$24,1))-1)+ArtifactsInput!$L$14))*100,(Summary!$B$3+(IF(ArtifactsInput!$M$14,-1,1)*Summary!$B$3*(((1-Summary!$B$11)*IFERROR(B1561/Summary!$B$23,1)+Summary!$B$11*IFERROR(B1562/Summary!$B$24,1))-1)+ArtifactsInput!$L$14))/Summary!$B$3*100)</f>
        <v/>
      </c>
      <c r="AD40">
        <f>ArtifactsInput!$B$14&lt;&gt;"Not Unlocked"</f>
        <v/>
      </c>
      <c r="AE40">
        <f>IF(AD40,SUMPRODUCT(($AD$32:$AD$67)*($AC$32:$AC$67&gt;AC40))+COUNTIFS($AD$32:AD40,TRUE,$AC$32:AC40,AC40),"")</f>
        <v/>
      </c>
    </row>
    <row r="41">
      <c r="A41">
        <f>IF(10&gt;COUNTIF($AD$32:$AD$67,TRUE),"",INDEX($AA$32:$AA$67,MATCH(10,$AE$32:$AE$67,0)))</f>
        <v/>
      </c>
      <c r="B41">
        <f>IF(10&gt;COUNTIF($AD$32:$AD$67,TRUE),"",INDEX($AB$32:$AB$67,MATCH(10,$AE$32:$AE$67,0)))</f>
        <v/>
      </c>
      <c r="C41">
        <f>IF(10&gt;COUNTIF($AD$32:$AD$67,TRUE),"",INDEX($AC$32:$AC$67,MATCH(10,$AE$32:$AE$67,0)))</f>
        <v/>
      </c>
      <c r="AA41" t="inlineStr">
        <is>
          <t>Athena Pierce's Old Gloves (Equip)</t>
        </is>
      </c>
      <c r="AB41">
        <f>(IF(ArtifactsInput!$M$15,-1,1)*Summary!$B$3*(((1-Summary!$B$11)*IFERROR(B1605/Summary!$B$23,1)+Summary!$B$11*IFERROR(B1606/Summary!$B$24,1))-1)+ArtifactsInput!$L$15)</f>
        <v/>
      </c>
      <c r="AC41">
        <f>IF(ArtifactsInput!$M$15,Summary!$B$3/(Summary!$B$3-(IF(ArtifactsInput!$M$15,-1,1)*Summary!$B$3*(((1-Summary!$B$11)*IFERROR(B1605/Summary!$B$23,1)+Summary!$B$11*IFERROR(B1606/Summary!$B$24,1))-1)+ArtifactsInput!$L$15))*100,(Summary!$B$3+(IF(ArtifactsInput!$M$15,-1,1)*Summary!$B$3*(((1-Summary!$B$11)*IFERROR(B1605/Summary!$B$23,1)+Summary!$B$11*IFERROR(B1606/Summary!$B$24,1))-1)+ArtifactsInput!$L$15))/Summary!$B$3*100)</f>
        <v/>
      </c>
      <c r="AD41">
        <f>ArtifactsInput!$B$15&lt;&gt;"Not Unlocked"</f>
        <v/>
      </c>
      <c r="AE41">
        <f>IF(AD41,SUMPRODUCT(($AD$32:$AD$67)*($AC$32:$AC$67&gt;AC41))+COUNTIFS($AD$32:AD41,TRUE,$AC$32:AC41,AC41),"")</f>
        <v/>
      </c>
    </row>
    <row r="42">
      <c r="A42">
        <f>IF(11&gt;COUNTIF($AD$32:$AD$67,TRUE),"",INDEX($AA$32:$AA$67,MATCH(11,$AE$32:$AE$67,0)))</f>
        <v/>
      </c>
      <c r="B42">
        <f>IF(11&gt;COUNTIF($AD$32:$AD$67,TRUE),"",INDEX($AB$32:$AB$67,MATCH(11,$AE$32:$AE$67,0)))</f>
        <v/>
      </c>
      <c r="C42">
        <f>IF(11&gt;COUNTIF($AD$32:$AD$67,TRUE),"",INDEX($AC$32:$AC$67,MATCH(11,$AE$32:$AE$67,0)))</f>
        <v/>
      </c>
      <c r="AA42" t="inlineStr">
        <is>
          <t>Zakum's Stone Piece (Equip)</t>
        </is>
      </c>
      <c r="AB42">
        <f>(IF(ArtifactsInput!$M$16,-1,1)*Summary!$B$3*(((1-Summary!$B$11)*IFERROR(B1649/Summary!$B$23,1)+Summary!$B$11*IFERROR(B1650/Summary!$B$24,1))-1)+ArtifactsInput!$L$16)</f>
        <v/>
      </c>
      <c r="AC42">
        <f>IF(ArtifactsInput!$M$16,Summary!$B$3/(Summary!$B$3-(IF(ArtifactsInput!$M$16,-1,1)*Summary!$B$3*(((1-Summary!$B$11)*IFERROR(B1649/Summary!$B$23,1)+Summary!$B$11*IFERROR(B1650/Summary!$B$24,1))-1)+ArtifactsInput!$L$16))*100,(Summary!$B$3+(IF(ArtifactsInput!$M$16,-1,1)*Summary!$B$3*(((1-Summary!$B$11)*IFERROR(B1649/Summary!$B$23,1)+Summary!$B$11*IFERROR(B1650/Summary!$B$24,1))-1)+ArtifactsInput!$L$16))/Summary!$B$3*100)</f>
        <v/>
      </c>
      <c r="AD42">
        <f>ArtifactsInput!$B$16&lt;&gt;"Not Unlocked"</f>
        <v/>
      </c>
      <c r="AE42">
        <f>IF(AD42,SUMPRODUCT(($AD$32:$AD$67)*($AC$32:$AC$67&gt;AC42))+COUNTIFS($AD$32:AD42,TRUE,$AC$32:AC42,AC42),"")</f>
        <v/>
      </c>
    </row>
    <row r="43">
      <c r="A43">
        <f>IF(12&gt;COUNTIF($AD$32:$AD$67,TRUE),"",INDEX($AA$32:$AA$67,MATCH(12,$AE$32:$AE$67,0)))</f>
        <v/>
      </c>
      <c r="B43">
        <f>IF(12&gt;COUNTIF($AD$32:$AD$67,TRUE),"",INDEX($AB$32:$AB$67,MATCH(12,$AE$32:$AE$67,0)))</f>
        <v/>
      </c>
      <c r="C43">
        <f>IF(12&gt;COUNTIF($AD$32:$AD$67,TRUE),"",INDEX($AC$32:$AC$67,MATCH(12,$AE$32:$AE$67,0)))</f>
        <v/>
      </c>
      <c r="AA43" t="inlineStr">
        <is>
          <t>Horntail's Scale (Equip)</t>
        </is>
      </c>
      <c r="AB43">
        <f>(IF(ArtifactsInput!$M$17,-1,1)*Summary!$B$3*(((1-Summary!$B$11)*IFERROR(B1693/Summary!$B$23,1)+Summary!$B$11*IFERROR(B1694/Summary!$B$24,1))-1)+ArtifactsInput!$L$17)</f>
        <v/>
      </c>
      <c r="AC43">
        <f>IF(ArtifactsInput!$M$17,Summary!$B$3/(Summary!$B$3-(IF(ArtifactsInput!$M$17,-1,1)*Summary!$B$3*(((1-Summary!$B$11)*IFERROR(B1693/Summary!$B$23,1)+Summary!$B$11*IFERROR(B1694/Summary!$B$24,1))-1)+ArtifactsInput!$L$17))*100,(Summary!$B$3+(IF(ArtifactsInput!$M$17,-1,1)*Summary!$B$3*(((1-Summary!$B$11)*IFERROR(B1693/Summary!$B$23,1)+Summary!$B$11*IFERROR(B1694/Summary!$B$24,1))-1)+ArtifactsInput!$L$17))/Summary!$B$3*100)</f>
        <v/>
      </c>
      <c r="AD43">
        <f>ArtifactsInput!$B$17&lt;&gt;"Not Unlocked"</f>
        <v/>
      </c>
      <c r="AE43">
        <f>IF(AD43,SUMPRODUCT(($AD$32:$AD$67)*($AC$32:$AC$67&gt;AC43))+COUNTIFS($AD$32:AD43,TRUE,$AC$32:AC43,AC43),"")</f>
        <v/>
      </c>
    </row>
    <row r="44">
      <c r="A44">
        <f>IF(13&gt;COUNTIF($AD$32:$AD$67,TRUE),"",INDEX($AA$32:$AA$67,MATCH(13,$AE$32:$AE$67,0)))</f>
        <v/>
      </c>
      <c r="B44">
        <f>IF(13&gt;COUNTIF($AD$32:$AD$67,TRUE),"",INDEX($AB$32:$AB$67,MATCH(13,$AE$32:$AE$67,0)))</f>
        <v/>
      </c>
      <c r="C44">
        <f>IF(13&gt;COUNTIF($AD$32:$AD$67,TRUE),"",INDEX($AC$32:$AC$67,MATCH(13,$AE$32:$AE$67,0)))</f>
        <v/>
      </c>
      <c r="AA44" t="inlineStr">
        <is>
          <t>Pink Bean's Giant Rib (Equip)</t>
        </is>
      </c>
      <c r="AB44">
        <f>(IF(ArtifactsInput!$M$18,-1,1)*Summary!$B$3*(((1-Summary!$B$11)*IFERROR(B1737/Summary!$B$23,1)+Summary!$B$11*IFERROR(B1738/Summary!$B$24,1))-1)+ArtifactsInput!$L$18)</f>
        <v/>
      </c>
      <c r="AC44">
        <f>IF(ArtifactsInput!$M$18,Summary!$B$3/(Summary!$B$3-(IF(ArtifactsInput!$M$18,-1,1)*Summary!$B$3*(((1-Summary!$B$11)*IFERROR(B1737/Summary!$B$23,1)+Summary!$B$11*IFERROR(B1738/Summary!$B$24,1))-1)+ArtifactsInput!$L$18))*100,(Summary!$B$3+(IF(ArtifactsInput!$M$18,-1,1)*Summary!$B$3*(((1-Summary!$B$11)*IFERROR(B1737/Summary!$B$23,1)+Summary!$B$11*IFERROR(B1738/Summary!$B$24,1))-1)+ArtifactsInput!$L$18))/Summary!$B$3*100)</f>
        <v/>
      </c>
      <c r="AD44">
        <f>ArtifactsInput!$B$18&lt;&gt;"Not Unlocked"</f>
        <v/>
      </c>
      <c r="AE44">
        <f>IF(AD44,SUMPRODUCT(($AD$32:$AD$67)*($AC$32:$AC$67&gt;AC44))+COUNTIFS($AD$32:AD44,TRUE,$AC$32:AC44,AC44),"")</f>
        <v/>
      </c>
    </row>
    <row r="45">
      <c r="A45">
        <f>IF(14&gt;COUNTIF($AD$32:$AD$67,TRUE),"",INDEX($AA$32:$AA$67,MATCH(14,$AE$32:$AE$67,0)))</f>
        <v/>
      </c>
      <c r="B45">
        <f>IF(14&gt;COUNTIF($AD$32:$AD$67,TRUE),"",INDEX($AB$32:$AB$67,MATCH(14,$AE$32:$AE$67,0)))</f>
        <v/>
      </c>
      <c r="C45">
        <f>IF(14&gt;COUNTIF($AD$32:$AD$67,TRUE),"",INDEX($AC$32:$AC$67,MATCH(14,$AE$32:$AE$67,0)))</f>
        <v/>
      </c>
      <c r="AA45" t="inlineStr">
        <is>
          <t>Chalice (Equip)</t>
        </is>
      </c>
      <c r="AB45">
        <f>(IF(ArtifactsInput!$M$20,-1,1)*Summary!$B$3*(((1-Summary!$B$11)*IFERROR(B1781/Summary!$B$23,1)+Summary!$B$11*IFERROR(B1782/Summary!$B$24,1))-1)+ArtifactsInput!$L$20)</f>
        <v/>
      </c>
      <c r="AC45">
        <f>IF(ArtifactsInput!$M$20,Summary!$B$3/(Summary!$B$3-(IF(ArtifactsInput!$M$20,-1,1)*Summary!$B$3*(((1-Summary!$B$11)*IFERROR(B1781/Summary!$B$23,1)+Summary!$B$11*IFERROR(B1782/Summary!$B$24,1))-1)+ArtifactsInput!$L$20))*100,(Summary!$B$3+(IF(ArtifactsInput!$M$20,-1,1)*Summary!$B$3*(((1-Summary!$B$11)*IFERROR(B1781/Summary!$B$23,1)+Summary!$B$11*IFERROR(B1782/Summary!$B$24,1))-1)+ArtifactsInput!$L$20))/Summary!$B$3*100)</f>
        <v/>
      </c>
      <c r="AD45">
        <f>ArtifactsInput!$B$20&lt;&gt;"Not Unlocked"</f>
        <v/>
      </c>
      <c r="AE45">
        <f>IF(AD45,SUMPRODUCT(($AD$32:$AD$67)*($AC$32:$AC$67&gt;AC45))+COUNTIFS($AD$32:AD45,TRUE,$AC$32:AC45,AC45),"")</f>
        <v/>
      </c>
    </row>
    <row r="46">
      <c r="A46">
        <f>IF(15&gt;COUNTIF($AD$32:$AD$67,TRUE),"",INDEX($AA$32:$AA$67,MATCH(15,$AE$32:$AE$67,0)))</f>
        <v/>
      </c>
      <c r="B46">
        <f>IF(15&gt;COUNTIF($AD$32:$AD$67,TRUE),"",INDEX($AB$32:$AB$67,MATCH(15,$AE$32:$AE$67,0)))</f>
        <v/>
      </c>
      <c r="C46">
        <f>IF(15&gt;COUNTIF($AD$32:$AD$67,TRUE),"",INDEX($AC$32:$AC$67,MATCH(15,$AE$32:$AE$67,0)))</f>
        <v/>
      </c>
      <c r="AA46" t="inlineStr">
        <is>
          <t>Old Music Box (Equip)</t>
        </is>
      </c>
      <c r="AB46">
        <f>(IF(ArtifactsInput!$M$21,-1,1)*Summary!$B$3*(((1-Summary!$B$11)*IFERROR(B1825/Summary!$B$23,1)+Summary!$B$11*IFERROR(B1826/Summary!$B$24,1))-1)+ArtifactsInput!$L$21)</f>
        <v/>
      </c>
      <c r="AC46">
        <f>IF(ArtifactsInput!$M$21,Summary!$B$3/(Summary!$B$3-(IF(ArtifactsInput!$M$21,-1,1)*Summary!$B$3*(((1-Summary!$B$11)*IFERROR(B1825/Summary!$B$23,1)+Summary!$B$11*IFERROR(B1826/Summary!$B$24,1))-1)+ArtifactsInput!$L$21))*100,(Summary!$B$3+(IF(ArtifactsInput!$M$21,-1,1)*Summary!$B$3*(((1-Summary!$B$11)*IFERROR(B1825/Summary!$B$23,1)+Summary!$B$11*IFERROR(B1826/Summary!$B$24,1))-1)+ArtifactsInput!$L$21))/Summary!$B$3*100)</f>
        <v/>
      </c>
      <c r="AD46">
        <f>ArtifactsInput!$B$21&lt;&gt;"Not Unlocked"</f>
        <v/>
      </c>
      <c r="AE46">
        <f>IF(AD46,SUMPRODUCT(($AD$32:$AD$67)*($AC$32:$AC$67&gt;AC46))+COUNTIFS($AD$32:AD46,TRUE,$AC$32:AC46,AC46),"")</f>
        <v/>
      </c>
    </row>
    <row r="47">
      <c r="A47">
        <f>IF(16&gt;COUNTIF($AD$32:$AD$67,TRUE),"",INDEX($AA$32:$AA$67,MATCH(16,$AE$32:$AE$67,0)))</f>
        <v/>
      </c>
      <c r="B47">
        <f>IF(16&gt;COUNTIF($AD$32:$AD$67,TRUE),"",INDEX($AB$32:$AB$67,MATCH(16,$AE$32:$AE$67,0)))</f>
        <v/>
      </c>
      <c r="C47">
        <f>IF(16&gt;COUNTIF($AD$32:$AD$67,TRUE),"",INDEX($AC$32:$AC$67,MATCH(16,$AE$32:$AE$67,0)))</f>
        <v/>
      </c>
      <c r="AA47" t="inlineStr">
        <is>
          <t>Silver Pendant (Equip)</t>
        </is>
      </c>
      <c r="AB47">
        <f>(IF(ArtifactsInput!$M$22,-1,1)*Summary!$B$3*(((1-Summary!$B$11)*IFERROR(B1869/Summary!$B$23,1)+Summary!$B$11*IFERROR(B1870/Summary!$B$24,1))-1)+ArtifactsInput!$L$22)</f>
        <v/>
      </c>
      <c r="AC47">
        <f>IF(ArtifactsInput!$M$22,Summary!$B$3/(Summary!$B$3-(IF(ArtifactsInput!$M$22,-1,1)*Summary!$B$3*(((1-Summary!$B$11)*IFERROR(B1869/Summary!$B$23,1)+Summary!$B$11*IFERROR(B1870/Summary!$B$24,1))-1)+ArtifactsInput!$L$22))*100,(Summary!$B$3+(IF(ArtifactsInput!$M$22,-1,1)*Summary!$B$3*(((1-Summary!$B$11)*IFERROR(B1869/Summary!$B$23,1)+Summary!$B$11*IFERROR(B1870/Summary!$B$24,1))-1)+ArtifactsInput!$L$22))/Summary!$B$3*100)</f>
        <v/>
      </c>
      <c r="AD47">
        <f>ArtifactsInput!$B$22&lt;&gt;"Not Unlocked"</f>
        <v/>
      </c>
      <c r="AE47">
        <f>IF(AD47,SUMPRODUCT(($AD$32:$AD$67)*($AC$32:$AC$67&gt;AC47))+COUNTIFS($AD$32:AD47,TRUE,$AC$32:AC47,AC47),"")</f>
        <v/>
      </c>
    </row>
    <row r="48">
      <c r="A48">
        <f>IF(17&gt;COUNTIF($AD$32:$AD$67,TRUE),"",INDEX($AA$32:$AA$67,MATCH(17,$AE$32:$AE$67,0)))</f>
        <v/>
      </c>
      <c r="B48">
        <f>IF(17&gt;COUNTIF($AD$32:$AD$67,TRUE),"",INDEX($AB$32:$AB$67,MATCH(17,$AE$32:$AE$67,0)))</f>
        <v/>
      </c>
      <c r="C48">
        <f>IF(17&gt;COUNTIF($AD$32:$AD$67,TRUE),"",INDEX($AC$32:$AC$67,MATCH(17,$AE$32:$AE$67,0)))</f>
        <v/>
      </c>
      <c r="AA48" t="inlineStr">
        <is>
          <t>Star Rock (Equip)</t>
        </is>
      </c>
      <c r="AB48">
        <f>(IF(ArtifactsInput!$M$23,-1,1)*Summary!$B$3*(((1-Summary!$B$11)*IFERROR(B1913/Summary!$B$23,1)+Summary!$B$11*IFERROR(B1914/Summary!$B$24,1))-1)+ArtifactsInput!$L$23)</f>
        <v/>
      </c>
      <c r="AC48">
        <f>IF(ArtifactsInput!$M$23,Summary!$B$3/(Summary!$B$3-(IF(ArtifactsInput!$M$23,-1,1)*Summary!$B$3*(((1-Summary!$B$11)*IFERROR(B1913/Summary!$B$23,1)+Summary!$B$11*IFERROR(B1914/Summary!$B$24,1))-1)+ArtifactsInput!$L$23))*100,(Summary!$B$3+(IF(ArtifactsInput!$M$23,-1,1)*Summary!$B$3*(((1-Summary!$B$11)*IFERROR(B1913/Summary!$B$23,1)+Summary!$B$11*IFERROR(B1914/Summary!$B$24,1))-1)+ArtifactsInput!$L$23))/Summary!$B$3*100)</f>
        <v/>
      </c>
      <c r="AD48">
        <f>ArtifactsInput!$B$23&lt;&gt;"Not Unlocked"</f>
        <v/>
      </c>
      <c r="AE48">
        <f>IF(AD48,SUMPRODUCT(($AD$32:$AD$67)*($AC$32:$AC$67&gt;AC48))+COUNTIFS($AD$32:AD48,TRUE,$AC$32:AC48,AC48),"")</f>
        <v/>
      </c>
    </row>
    <row r="49">
      <c r="A49">
        <f>IF(18&gt;COUNTIF($AD$32:$AD$67,TRUE),"",INDEX($AA$32:$AA$67,MATCH(18,$AE$32:$AE$67,0)))</f>
        <v/>
      </c>
      <c r="B49">
        <f>IF(18&gt;COUNTIF($AD$32:$AD$67,TRUE),"",INDEX($AB$32:$AB$67,MATCH(18,$AE$32:$AE$67,0)))</f>
        <v/>
      </c>
      <c r="C49">
        <f>IF(18&gt;COUNTIF($AD$32:$AD$67,TRUE),"",INDEX($AC$32:$AC$67,MATCH(18,$AE$32:$AE$67,0)))</f>
        <v/>
      </c>
      <c r="AA49" t="inlineStr">
        <is>
          <t>Book of Ancient (Equip)</t>
        </is>
      </c>
      <c r="AB49">
        <f>(IF(ArtifactsInput!$M$24,-1,1)*Summary!$B$3*(((1-Summary!$B$11)*IFERROR(B1957/Summary!$B$23,1)+Summary!$B$11*IFERROR(B1958/Summary!$B$24,1))-1)+ArtifactsInput!$L$24)</f>
        <v/>
      </c>
      <c r="AC49">
        <f>IF(ArtifactsInput!$M$24,Summary!$B$3/(Summary!$B$3-(IF(ArtifactsInput!$M$24,-1,1)*Summary!$B$3*(((1-Summary!$B$11)*IFERROR(B1957/Summary!$B$23,1)+Summary!$B$11*IFERROR(B1958/Summary!$B$24,1))-1)+ArtifactsInput!$L$24))*100,(Summary!$B$3+(IF(ArtifactsInput!$M$24,-1,1)*Summary!$B$3*(((1-Summary!$B$11)*IFERROR(B1957/Summary!$B$23,1)+Summary!$B$11*IFERROR(B1958/Summary!$B$24,1))-1)+ArtifactsInput!$L$24))/Summary!$B$3*100)</f>
        <v/>
      </c>
      <c r="AD49">
        <f>ArtifactsInput!$B$24&lt;&gt;"Not Unlocked"</f>
        <v/>
      </c>
      <c r="AE49">
        <f>IF(AD49,SUMPRODUCT(($AD$32:$AD$67)*($AC$32:$AC$67&gt;AC49))+COUNTIFS($AD$32:AD49,TRUE,$AC$32:AC49,AC49),"")</f>
        <v/>
      </c>
    </row>
    <row r="50">
      <c r="A50">
        <f>IF(19&gt;COUNTIF($AD$32:$AD$67,TRUE),"",INDEX($AA$32:$AA$67,MATCH(19,$AE$32:$AE$67,0)))</f>
        <v/>
      </c>
      <c r="B50">
        <f>IF(19&gt;COUNTIF($AD$32:$AD$67,TRUE),"",INDEX($AB$32:$AB$67,MATCH(19,$AE$32:$AE$67,0)))</f>
        <v/>
      </c>
      <c r="C50">
        <f>IF(19&gt;COUNTIF($AD$32:$AD$67,TRUE),"",INDEX($AC$32:$AC$67,MATCH(19,$AE$32:$AE$67,0)))</f>
        <v/>
      </c>
      <c r="AA50" t="inlineStr">
        <is>
          <t>Lunar Dew (Equip)</t>
        </is>
      </c>
      <c r="AB50">
        <f>(IF(ArtifactsInput!$M$25,-1,1)*Summary!$B$3*(((1-Summary!$B$11)*IFERROR(B2001/Summary!$B$23,1)+Summary!$B$11*IFERROR(B2002/Summary!$B$24,1))-1)+ArtifactsInput!$L$25)</f>
        <v/>
      </c>
      <c r="AC50">
        <f>IF(ArtifactsInput!$M$25,Summary!$B$3/(Summary!$B$3-(IF(ArtifactsInput!$M$25,-1,1)*Summary!$B$3*(((1-Summary!$B$11)*IFERROR(B2001/Summary!$B$23,1)+Summary!$B$11*IFERROR(B2002/Summary!$B$24,1))-1)+ArtifactsInput!$L$25))*100,(Summary!$B$3+(IF(ArtifactsInput!$M$25,-1,1)*Summary!$B$3*(((1-Summary!$B$11)*IFERROR(B2001/Summary!$B$23,1)+Summary!$B$11*IFERROR(B2002/Summary!$B$24,1))-1)+ArtifactsInput!$L$25))/Summary!$B$3*100)</f>
        <v/>
      </c>
      <c r="AD50">
        <f>ArtifactsInput!$B$25&lt;&gt;"Not Unlocked"</f>
        <v/>
      </c>
      <c r="AE50">
        <f>IF(AD50,SUMPRODUCT(($AD$32:$AD$67)*($AC$32:$AC$67&gt;AC50))+COUNTIFS($AD$32:AD50,TRUE,$AC$32:AC50,AC50),"")</f>
        <v/>
      </c>
    </row>
    <row r="51">
      <c r="A51">
        <f>IF(20&gt;COUNTIF($AD$32:$AD$67,TRUE),"",INDEX($AA$32:$AA$67,MATCH(20,$AE$32:$AE$67,0)))</f>
        <v/>
      </c>
      <c r="B51">
        <f>IF(20&gt;COUNTIF($AD$32:$AD$67,TRUE),"",INDEX($AB$32:$AB$67,MATCH(20,$AE$32:$AE$67,0)))</f>
        <v/>
      </c>
      <c r="C51">
        <f>IF(20&gt;COUNTIF($AD$32:$AD$67,TRUE),"",INDEX($AC$32:$AC$67,MATCH(20,$AE$32:$AE$67,0)))</f>
        <v/>
      </c>
      <c r="AA51" t="inlineStr">
        <is>
          <t>Fire Flower (Equip)</t>
        </is>
      </c>
      <c r="AB51">
        <f>(IF(ArtifactsInput!$M$26,-1,1)*Summary!$B$3*(((1-Summary!$B$11)*IFERROR(B2045/Summary!$B$23,1)+Summary!$B$11*IFERROR(B2046/Summary!$B$24,1))-1)+ArtifactsInput!$L$26)</f>
        <v/>
      </c>
      <c r="AC51">
        <f>IF(ArtifactsInput!$M$26,Summary!$B$3/(Summary!$B$3-(IF(ArtifactsInput!$M$26,-1,1)*Summary!$B$3*(((1-Summary!$B$11)*IFERROR(B2045/Summary!$B$23,1)+Summary!$B$11*IFERROR(B2046/Summary!$B$24,1))-1)+ArtifactsInput!$L$26))*100,(Summary!$B$3+(IF(ArtifactsInput!$M$26,-1,1)*Summary!$B$3*(((1-Summary!$B$11)*IFERROR(B2045/Summary!$B$23,1)+Summary!$B$11*IFERROR(B2046/Summary!$B$24,1))-1)+ArtifactsInput!$L$26))/Summary!$B$3*100)</f>
        <v/>
      </c>
      <c r="AD51">
        <f>ArtifactsInput!$B$26&lt;&gt;"Not Unlocked"</f>
        <v/>
      </c>
      <c r="AE51">
        <f>IF(AD51,SUMPRODUCT(($AD$32:$AD$67)*($AC$32:$AC$67&gt;AC51))+COUNTIFS($AD$32:AD51,TRUE,$AC$32:AC51,AC51),"")</f>
        <v/>
      </c>
    </row>
    <row r="52">
      <c r="A52">
        <f>IF(21&gt;COUNTIF($AD$32:$AD$67,TRUE),"",INDEX($AA$32:$AA$67,MATCH(21,$AE$32:$AE$67,0)))</f>
        <v/>
      </c>
      <c r="B52">
        <f>IF(21&gt;COUNTIF($AD$32:$AD$67,TRUE),"",INDEX($AB$32:$AB$67,MATCH(21,$AE$32:$AE$67,0)))</f>
        <v/>
      </c>
      <c r="C52">
        <f>IF(21&gt;COUNTIF($AD$32:$AD$67,TRUE),"",INDEX($AC$32:$AC$67,MATCH(21,$AE$32:$AE$67,0)))</f>
        <v/>
      </c>
      <c r="AA52" t="inlineStr">
        <is>
          <t>Soul Contract (Equip)</t>
        </is>
      </c>
      <c r="AB52">
        <f>(IF(ArtifactsInput!$M$27,-1,1)*Summary!$B$3*(((1-Summary!$B$11)*IFERROR(B2089/Summary!$B$23,1)+Summary!$B$11*IFERROR(B2090/Summary!$B$24,1))-1)+ArtifactsInput!$L$27)</f>
        <v/>
      </c>
      <c r="AC52">
        <f>IF(ArtifactsInput!$M$27,Summary!$B$3/(Summary!$B$3-(IF(ArtifactsInput!$M$27,-1,1)*Summary!$B$3*(((1-Summary!$B$11)*IFERROR(B2089/Summary!$B$23,1)+Summary!$B$11*IFERROR(B2090/Summary!$B$24,1))-1)+ArtifactsInput!$L$27))*100,(Summary!$B$3+(IF(ArtifactsInput!$M$27,-1,1)*Summary!$B$3*(((1-Summary!$B$11)*IFERROR(B2089/Summary!$B$23,1)+Summary!$B$11*IFERROR(B2090/Summary!$B$24,1))-1)+ArtifactsInput!$L$27))/Summary!$B$3*100)</f>
        <v/>
      </c>
      <c r="AD52">
        <f>ArtifactsInput!$B$27&lt;&gt;"Not Unlocked"</f>
        <v/>
      </c>
      <c r="AE52">
        <f>IF(AD52,SUMPRODUCT(($AD$32:$AD$67)*($AC$32:$AC$67&gt;AC52))+COUNTIFS($AD$32:AD52,TRUE,$AC$32:AC52,AC52),"")</f>
        <v/>
      </c>
    </row>
    <row r="53">
      <c r="A53">
        <f>IF(22&gt;COUNTIF($AD$32:$AD$67,TRUE),"",INDEX($AA$32:$AA$67,MATCH(22,$AE$32:$AE$67,0)))</f>
        <v/>
      </c>
      <c r="B53">
        <f>IF(22&gt;COUNTIF($AD$32:$AD$67,TRUE),"",INDEX($AB$32:$AB$67,MATCH(22,$AE$32:$AE$67,0)))</f>
        <v/>
      </c>
      <c r="C53">
        <f>IF(22&gt;COUNTIF($AD$32:$AD$67,TRUE),"",INDEX($AC$32:$AC$67,MATCH(22,$AE$32:$AE$67,0)))</f>
        <v/>
      </c>
      <c r="AA53" t="inlineStr">
        <is>
          <t>Lit Lamp (Equip)</t>
        </is>
      </c>
      <c r="AB53">
        <f>(IF(ArtifactsInput!$M$28,-1,1)*Summary!$B$3*(((1-Summary!$B$11)*IFERROR(B2133/Summary!$B$23,1)+Summary!$B$11*IFERROR(B2134/Summary!$B$24,1))-1)+ArtifactsInput!$L$28)</f>
        <v/>
      </c>
      <c r="AC53">
        <f>IF(ArtifactsInput!$M$28,Summary!$B$3/(Summary!$B$3-(IF(ArtifactsInput!$M$28,-1,1)*Summary!$B$3*(((1-Summary!$B$11)*IFERROR(B2133/Summary!$B$23,1)+Summary!$B$11*IFERROR(B2134/Summary!$B$24,1))-1)+ArtifactsInput!$L$28))*100,(Summary!$B$3+(IF(ArtifactsInput!$M$28,-1,1)*Summary!$B$3*(((1-Summary!$B$11)*IFERROR(B2133/Summary!$B$23,1)+Summary!$B$11*IFERROR(B2134/Summary!$B$24,1))-1)+ArtifactsInput!$L$28))/Summary!$B$3*100)</f>
        <v/>
      </c>
      <c r="AD53">
        <f>ArtifactsInput!$B$28&lt;&gt;"Not Unlocked"</f>
        <v/>
      </c>
      <c r="AE53">
        <f>IF(AD53,SUMPRODUCT(($AD$32:$AD$67)*($AC$32:$AC$67&gt;AC53))+COUNTIFS($AD$32:AD53,TRUE,$AC$32:AC53,AC53),"")</f>
        <v/>
      </c>
    </row>
    <row r="54">
      <c r="A54">
        <f>IF(23&gt;COUNTIF($AD$32:$AD$67,TRUE),"",INDEX($AA$32:$AA$67,MATCH(23,$AE$32:$AE$67,0)))</f>
        <v/>
      </c>
      <c r="B54">
        <f>IF(23&gt;COUNTIF($AD$32:$AD$67,TRUE),"",INDEX($AB$32:$AB$67,MATCH(23,$AE$32:$AE$67,0)))</f>
        <v/>
      </c>
      <c r="C54">
        <f>IF(23&gt;COUNTIF($AD$32:$AD$67,TRUE),"",INDEX($AC$32:$AC$67,MATCH(23,$AE$32:$AE$67,0)))</f>
        <v/>
      </c>
      <c r="AA54" t="inlineStr">
        <is>
          <t>Soul Pouch (Equip)</t>
        </is>
      </c>
      <c r="AB54">
        <f>(IF(ArtifactsInput!$M$29,-1,1)*Summary!$B$3*(((1-Summary!$B$11)*IFERROR(B2177/Summary!$B$23,1)+Summary!$B$11*IFERROR(B2178/Summary!$B$24,1))-1)+ArtifactsInput!$L$29)</f>
        <v/>
      </c>
      <c r="AC54">
        <f>IF(ArtifactsInput!$M$29,Summary!$B$3/(Summary!$B$3-(IF(ArtifactsInput!$M$29,-1,1)*Summary!$B$3*(((1-Summary!$B$11)*IFERROR(B2177/Summary!$B$23,1)+Summary!$B$11*IFERROR(B2178/Summary!$B$24,1))-1)+ArtifactsInput!$L$29))*100,(Summary!$B$3+(IF(ArtifactsInput!$M$29,-1,1)*Summary!$B$3*(((1-Summary!$B$11)*IFERROR(B2177/Summary!$B$23,1)+Summary!$B$11*IFERROR(B2178/Summary!$B$24,1))-1)+ArtifactsInput!$L$29))/Summary!$B$3*100)</f>
        <v/>
      </c>
      <c r="AD54">
        <f>ArtifactsInput!$B$29&lt;&gt;"Not Unlocked"</f>
        <v/>
      </c>
      <c r="AE54">
        <f>IF(AD54,SUMPRODUCT(($AD$32:$AD$67)*($AC$32:$AC$67&gt;AC54))+COUNTIFS($AD$32:AD54,TRUE,$AC$32:AC54,AC54),"")</f>
        <v/>
      </c>
    </row>
    <row r="55">
      <c r="A55">
        <f>IF(24&gt;COUNTIF($AD$32:$AD$67,TRUE),"",INDEX($AA$32:$AA$67,MATCH(24,$AE$32:$AE$67,0)))</f>
        <v/>
      </c>
      <c r="B55">
        <f>IF(24&gt;COUNTIF($AD$32:$AD$67,TRUE),"",INDEX($AB$32:$AB$67,MATCH(24,$AE$32:$AE$67,0)))</f>
        <v/>
      </c>
      <c r="C55">
        <f>IF(24&gt;COUNTIF($AD$32:$AD$67,TRUE),"",INDEX($AC$32:$AC$67,MATCH(24,$AE$32:$AE$67,0)))</f>
        <v/>
      </c>
      <c r="AA55" t="inlineStr">
        <is>
          <t>Ancient Text Piece (Equip)</t>
        </is>
      </c>
      <c r="AB55">
        <f>(IF(ArtifactsInput!$M$30,-1,1)*Summary!$B$3*(((1-Summary!$B$11)*IFERROR(B2221/Summary!$B$23,1)+Summary!$B$11*IFERROR(B2222/Summary!$B$24,1))-1)+ArtifactsInput!$L$30)</f>
        <v/>
      </c>
      <c r="AC55">
        <f>IF(ArtifactsInput!$M$30,Summary!$B$3/(Summary!$B$3-(IF(ArtifactsInput!$M$30,-1,1)*Summary!$B$3*(((1-Summary!$B$11)*IFERROR(B2221/Summary!$B$23,1)+Summary!$B$11*IFERROR(B2222/Summary!$B$24,1))-1)+ArtifactsInput!$L$30))*100,(Summary!$B$3+(IF(ArtifactsInput!$M$30,-1,1)*Summary!$B$3*(((1-Summary!$B$11)*IFERROR(B2221/Summary!$B$23,1)+Summary!$B$11*IFERROR(B2222/Summary!$B$24,1))-1)+ArtifactsInput!$L$30))/Summary!$B$3*100)</f>
        <v/>
      </c>
      <c r="AD55">
        <f>ArtifactsInput!$B$30&lt;&gt;"Not Unlocked"</f>
        <v/>
      </c>
      <c r="AE55">
        <f>IF(AD55,SUMPRODUCT(($AD$32:$AD$67)*($AC$32:$AC$67&gt;AC55))+COUNTIFS($AD$32:AD55,TRUE,$AC$32:AC55,AC55),"")</f>
        <v/>
      </c>
    </row>
    <row r="56">
      <c r="A56">
        <f>IF(25&gt;COUNTIF($AD$32:$AD$67,TRUE),"",INDEX($AA$32:$AA$67,MATCH(25,$AE$32:$AE$67,0)))</f>
        <v/>
      </c>
      <c r="B56">
        <f>IF(25&gt;COUNTIF($AD$32:$AD$67,TRUE),"",INDEX($AB$32:$AB$67,MATCH(25,$AE$32:$AE$67,0)))</f>
        <v/>
      </c>
      <c r="C56">
        <f>IF(25&gt;COUNTIF($AD$32:$AD$67,TRUE),"",INDEX($AC$32:$AC$67,MATCH(25,$AE$32:$AE$67,0)))</f>
        <v/>
      </c>
      <c r="AA56" t="inlineStr">
        <is>
          <t>Icy Soul Rock (Equip)</t>
        </is>
      </c>
      <c r="AB56">
        <f>(IF(ArtifactsInput!$M$31,-1,1)*Summary!$B$3*(((1-Summary!$B$11)*IFERROR(B2265/Summary!$B$23,1)+Summary!$B$11*IFERROR(B2266/Summary!$B$24,1))-1)+ArtifactsInput!$L$31)</f>
        <v/>
      </c>
      <c r="AC56">
        <f>IF(ArtifactsInput!$M$31,Summary!$B$3/(Summary!$B$3-(IF(ArtifactsInput!$M$31,-1,1)*Summary!$B$3*(((1-Summary!$B$11)*IFERROR(B2265/Summary!$B$23,1)+Summary!$B$11*IFERROR(B2266/Summary!$B$24,1))-1)+ArtifactsInput!$L$31))*100,(Summary!$B$3+(IF(ArtifactsInput!$M$31,-1,1)*Summary!$B$3*(((1-Summary!$B$11)*IFERROR(B2265/Summary!$B$23,1)+Summary!$B$11*IFERROR(B2266/Summary!$B$24,1))-1)+ArtifactsInput!$L$31))/Summary!$B$3*100)</f>
        <v/>
      </c>
      <c r="AD56">
        <f>ArtifactsInput!$B$31&lt;&gt;"Not Unlocked"</f>
        <v/>
      </c>
      <c r="AE56">
        <f>IF(AD56,SUMPRODUCT(($AD$32:$AD$67)*($AC$32:$AC$67&gt;AC56))+COUNTIFS($AD$32:AD56,TRUE,$AC$32:AC56,AC56),"")</f>
        <v/>
      </c>
    </row>
    <row r="57">
      <c r="A57">
        <f>IF(26&gt;COUNTIF($AD$32:$AD$67,TRUE),"",INDEX($AA$32:$AA$67,MATCH(26,$AE$32:$AE$67,0)))</f>
        <v/>
      </c>
      <c r="B57">
        <f>IF(26&gt;COUNTIF($AD$32:$AD$67,TRUE),"",INDEX($AB$32:$AB$67,MATCH(26,$AE$32:$AE$67,0)))</f>
        <v/>
      </c>
      <c r="C57">
        <f>IF(26&gt;COUNTIF($AD$32:$AD$67,TRUE),"",INDEX($AC$32:$AC$67,MATCH(26,$AE$32:$AE$67,0)))</f>
        <v/>
      </c>
      <c r="AA57" t="inlineStr">
        <is>
          <t>Flaming Lava (Equip)</t>
        </is>
      </c>
      <c r="AB57">
        <f>(IF(ArtifactsInput!$M$32,-1,1)*Summary!$B$3*(((1-Summary!$B$11)*IFERROR(B2309/Summary!$B$23,1)+Summary!$B$11*IFERROR(B2310/Summary!$B$24,1))-1)+ArtifactsInput!$L$32)</f>
        <v/>
      </c>
      <c r="AC57">
        <f>IF(ArtifactsInput!$M$32,Summary!$B$3/(Summary!$B$3-(IF(ArtifactsInput!$M$32,-1,1)*Summary!$B$3*(((1-Summary!$B$11)*IFERROR(B2309/Summary!$B$23,1)+Summary!$B$11*IFERROR(B2310/Summary!$B$24,1))-1)+ArtifactsInput!$L$32))*100,(Summary!$B$3+(IF(ArtifactsInput!$M$32,-1,1)*Summary!$B$3*(((1-Summary!$B$11)*IFERROR(B2309/Summary!$B$23,1)+Summary!$B$11*IFERROR(B2310/Summary!$B$24,1))-1)+ArtifactsInput!$L$32))/Summary!$B$3*100)</f>
        <v/>
      </c>
      <c r="AD57">
        <f>ArtifactsInput!$B$32&lt;&gt;"Not Unlocked"</f>
        <v/>
      </c>
      <c r="AE57">
        <f>IF(AD57,SUMPRODUCT(($AD$32:$AD$67)*($AC$32:$AC$67&gt;AC57))+COUNTIFS($AD$32:AD57,TRUE,$AC$32:AC57,AC57),"")</f>
        <v/>
      </c>
    </row>
    <row r="58">
      <c r="A58">
        <f>IF(27&gt;COUNTIF($AD$32:$AD$67,TRUE),"",INDEX($AA$32:$AA$67,MATCH(27,$AE$32:$AE$67,0)))</f>
        <v/>
      </c>
      <c r="B58">
        <f>IF(27&gt;COUNTIF($AD$32:$AD$67,TRUE),"",INDEX($AB$32:$AB$67,MATCH(27,$AE$32:$AE$67,0)))</f>
        <v/>
      </c>
      <c r="C58">
        <f>IF(27&gt;COUNTIF($AD$32:$AD$67,TRUE),"",INDEX($AC$32:$AC$67,MATCH(27,$AE$32:$AE$67,0)))</f>
        <v/>
      </c>
      <c r="AA58" t="inlineStr">
        <is>
          <t>Sayram's Necklace (Equip)</t>
        </is>
      </c>
      <c r="AB58">
        <f>(IF(ArtifactsInput!$M$33,-1,1)*Summary!$B$3*(((1-Summary!$B$11)*IFERROR(B2353/Summary!$B$23,1)+Summary!$B$11*IFERROR(B2354/Summary!$B$24,1))-1)+ArtifactsInput!$L$33)</f>
        <v/>
      </c>
      <c r="AC58">
        <f>IF(ArtifactsInput!$M$33,Summary!$B$3/(Summary!$B$3-(IF(ArtifactsInput!$M$33,-1,1)*Summary!$B$3*(((1-Summary!$B$11)*IFERROR(B2353/Summary!$B$23,1)+Summary!$B$11*IFERROR(B2354/Summary!$B$24,1))-1)+ArtifactsInput!$L$33))*100,(Summary!$B$3+(IF(ArtifactsInput!$M$33,-1,1)*Summary!$B$3*(((1-Summary!$B$11)*IFERROR(B2353/Summary!$B$23,1)+Summary!$B$11*IFERROR(B2354/Summary!$B$24,1))-1)+ArtifactsInput!$L$33))/Summary!$B$3*100)</f>
        <v/>
      </c>
      <c r="AD58">
        <f>ArtifactsInput!$B$33&lt;&gt;"Not Unlocked"</f>
        <v/>
      </c>
      <c r="AE58">
        <f>IF(AD58,SUMPRODUCT(($AD$32:$AD$67)*($AC$32:$AC$67&gt;AC58))+COUNTIFS($AD$32:AD58,TRUE,$AC$32:AC58,AC58),"")</f>
        <v/>
      </c>
    </row>
    <row r="59">
      <c r="A59">
        <f>IF(28&gt;COUNTIF($AD$32:$AD$67,TRUE),"",INDEX($AA$32:$AA$67,MATCH(28,$AE$32:$AE$67,0)))</f>
        <v/>
      </c>
      <c r="B59">
        <f>IF(28&gt;COUNTIF($AD$32:$AD$67,TRUE),"",INDEX($AB$32:$AB$67,MATCH(28,$AE$32:$AE$67,0)))</f>
        <v/>
      </c>
      <c r="C59">
        <f>IF(28&gt;COUNTIF($AD$32:$AD$67,TRUE),"",INDEX($AC$32:$AC$67,MATCH(28,$AE$32:$AE$67,0)))</f>
        <v/>
      </c>
      <c r="AA59" t="inlineStr">
        <is>
          <t>Bottle of Emotion (Equip)</t>
        </is>
      </c>
      <c r="AB59">
        <f>(IF(ArtifactsInput!$M$34,-1,1)*Summary!$B$3*(((1-Summary!$B$11)*IFERROR(B2397/Summary!$B$23,1)+Summary!$B$11*IFERROR(B2398/Summary!$B$24,1))-1)+ArtifactsInput!$L$34)</f>
        <v/>
      </c>
      <c r="AC59">
        <f>IF(ArtifactsInput!$M$34,Summary!$B$3/(Summary!$B$3-(IF(ArtifactsInput!$M$34,-1,1)*Summary!$B$3*(((1-Summary!$B$11)*IFERROR(B2397/Summary!$B$23,1)+Summary!$B$11*IFERROR(B2398/Summary!$B$24,1))-1)+ArtifactsInput!$L$34))*100,(Summary!$B$3+(IF(ArtifactsInput!$M$34,-1,1)*Summary!$B$3*(((1-Summary!$B$11)*IFERROR(B2397/Summary!$B$23,1)+Summary!$B$11*IFERROR(B2398/Summary!$B$24,1))-1)+ArtifactsInput!$L$34))/Summary!$B$3*100)</f>
        <v/>
      </c>
      <c r="AD59">
        <f>ArtifactsInput!$B$34&lt;&gt;"Not Unlocked"</f>
        <v/>
      </c>
      <c r="AE59">
        <f>IF(AD59,SUMPRODUCT(($AD$32:$AD$67)*($AC$32:$AC$67&gt;AC59))+COUNTIFS($AD$32:AD59,TRUE,$AC$32:AC59,AC59),"")</f>
        <v/>
      </c>
    </row>
    <row r="60">
      <c r="A60">
        <f>IF(29&gt;COUNTIF($AD$32:$AD$67,TRUE),"",INDEX($AA$32:$AA$67,MATCH(29,$AE$32:$AE$67,0)))</f>
        <v/>
      </c>
      <c r="B60">
        <f>IF(29&gt;COUNTIF($AD$32:$AD$67,TRUE),"",INDEX($AB$32:$AB$67,MATCH(29,$AE$32:$AE$67,0)))</f>
        <v/>
      </c>
      <c r="C60">
        <f>IF(29&gt;COUNTIF($AD$32:$AD$67,TRUE),"",INDEX($AC$32:$AC$67,MATCH(29,$AE$32:$AE$67,0)))</f>
        <v/>
      </c>
      <c r="AA60" t="inlineStr">
        <is>
          <t>Peach Tree Herb Pouch (Equip)</t>
        </is>
      </c>
      <c r="AB60">
        <f>(IF(ArtifactsInput!$M$35,-1,1)*Summary!$B$3*(((1-Summary!$B$11)*IFERROR(B2441/Summary!$B$23,1)+Summary!$B$11*IFERROR(B2442/Summary!$B$24,1))-1)+ArtifactsInput!$L$35)</f>
        <v/>
      </c>
      <c r="AC60">
        <f>IF(ArtifactsInput!$M$35,Summary!$B$3/(Summary!$B$3-(IF(ArtifactsInput!$M$35,-1,1)*Summary!$B$3*(((1-Summary!$B$11)*IFERROR(B2441/Summary!$B$23,1)+Summary!$B$11*IFERROR(B2442/Summary!$B$24,1))-1)+ArtifactsInput!$L$35))*100,(Summary!$B$3+(IF(ArtifactsInput!$M$35,-1,1)*Summary!$B$3*(((1-Summary!$B$11)*IFERROR(B2441/Summary!$B$23,1)+Summary!$B$11*IFERROR(B2442/Summary!$B$24,1))-1)+ArtifactsInput!$L$35))/Summary!$B$3*100)</f>
        <v/>
      </c>
      <c r="AD60">
        <f>ArtifactsInput!$B$35&lt;&gt;"Not Unlocked"</f>
        <v/>
      </c>
      <c r="AE60">
        <f>IF(AD60,SUMPRODUCT(($AD$32:$AD$67)*($AC$32:$AC$67&gt;AC60))+COUNTIFS($AD$32:AD60,TRUE,$AC$32:AC60,AC60),"")</f>
        <v/>
      </c>
    </row>
    <row r="61">
      <c r="A61">
        <f>IF(30&gt;COUNTIF($AD$32:$AD$67,TRUE),"",INDEX($AA$32:$AA$67,MATCH(30,$AE$32:$AE$67,0)))</f>
        <v/>
      </c>
      <c r="B61">
        <f>IF(30&gt;COUNTIF($AD$32:$AD$67,TRUE),"",INDEX($AB$32:$AB$67,MATCH(30,$AE$32:$AE$67,0)))</f>
        <v/>
      </c>
      <c r="C61">
        <f>IF(30&gt;COUNTIF($AD$32:$AD$67,TRUE),"",INDEX($AC$32:$AC$67,MATCH(30,$AE$32:$AE$67,0)))</f>
        <v/>
      </c>
      <c r="AA61" t="inlineStr">
        <is>
          <t>Candle (Equip)</t>
        </is>
      </c>
      <c r="AB61">
        <f>(IF(ArtifactsInput!$M$36,-1,1)*Summary!$B$3*(((1-Summary!$B$11)*IFERROR(B2485/Summary!$B$23,1)+Summary!$B$11*IFERROR(B2486/Summary!$B$24,1))-1)+ArtifactsInput!$L$36)</f>
        <v/>
      </c>
      <c r="AC61">
        <f>IF(ArtifactsInput!$M$36,Summary!$B$3/(Summary!$B$3-(IF(ArtifactsInput!$M$36,-1,1)*Summary!$B$3*(((1-Summary!$B$11)*IFERROR(B2485/Summary!$B$23,1)+Summary!$B$11*IFERROR(B2486/Summary!$B$24,1))-1)+ArtifactsInput!$L$36))*100,(Summary!$B$3+(IF(ArtifactsInput!$M$36,-1,1)*Summary!$B$3*(((1-Summary!$B$11)*IFERROR(B2485/Summary!$B$23,1)+Summary!$B$11*IFERROR(B2486/Summary!$B$24,1))-1)+ArtifactsInput!$L$36))/Summary!$B$3*100)</f>
        <v/>
      </c>
      <c r="AD61">
        <f>ArtifactsInput!$B$36&lt;&gt;"Not Unlocked"</f>
        <v/>
      </c>
      <c r="AE61">
        <f>IF(AD61,SUMPRODUCT(($AD$32:$AD$67)*($AC$32:$AC$67&gt;AC61))+COUNTIFS($AD$32:AD61,TRUE,$AC$32:AC61,AC61),"")</f>
        <v/>
      </c>
    </row>
    <row r="62">
      <c r="A62">
        <f>IF(31&gt;COUNTIF($AD$32:$AD$67,TRUE),"",INDEX($AA$32:$AA$67,MATCH(31,$AE$32:$AE$67,0)))</f>
        <v/>
      </c>
      <c r="B62">
        <f>IF(31&gt;COUNTIF($AD$32:$AD$67,TRUE),"",INDEX($AB$32:$AB$67,MATCH(31,$AE$32:$AE$67,0)))</f>
        <v/>
      </c>
      <c r="C62">
        <f>IF(31&gt;COUNTIF($AD$32:$AD$67,TRUE),"",INDEX($AC$32:$AC$67,MATCH(31,$AE$32:$AE$67,0)))</f>
        <v/>
      </c>
      <c r="AA62" t="inlineStr">
        <is>
          <t>Alliance Badge (Equip)</t>
        </is>
      </c>
      <c r="AB62">
        <f>(IF(ArtifactsInput!$M$37,-1,1)*Summary!$B$3*(((1-Summary!$B$11)*IFERROR(B2529/Summary!$B$23,1)+Summary!$B$11*IFERROR(B2530/Summary!$B$24,1))-1)+ArtifactsInput!$L$37)</f>
        <v/>
      </c>
      <c r="AC62">
        <f>IF(ArtifactsInput!$M$37,Summary!$B$3/(Summary!$B$3-(IF(ArtifactsInput!$M$37,-1,1)*Summary!$B$3*(((1-Summary!$B$11)*IFERROR(B2529/Summary!$B$23,1)+Summary!$B$11*IFERROR(B2530/Summary!$B$24,1))-1)+ArtifactsInput!$L$37))*100,(Summary!$B$3+(IF(ArtifactsInput!$M$37,-1,1)*Summary!$B$3*(((1-Summary!$B$11)*IFERROR(B2529/Summary!$B$23,1)+Summary!$B$11*IFERROR(B2530/Summary!$B$24,1))-1)+ArtifactsInput!$L$37))/Summary!$B$3*100)</f>
        <v/>
      </c>
      <c r="AD62">
        <f>ArtifactsInput!$B$37&lt;&gt;"Not Unlocked"</f>
        <v/>
      </c>
      <c r="AE62">
        <f>IF(AD62,SUMPRODUCT(($AD$32:$AD$67)*($AC$32:$AC$67&gt;AC62))+COUNTIFS($AD$32:AD62,TRUE,$AC$32:AC62,AC62),"")</f>
        <v/>
      </c>
    </row>
    <row r="63">
      <c r="A63">
        <f>IF(32&gt;COUNTIF($AD$32:$AD$67,TRUE),"",INDEX($AA$32:$AA$67,MATCH(32,$AE$32:$AE$67,0)))</f>
        <v/>
      </c>
      <c r="B63">
        <f>IF(32&gt;COUNTIF($AD$32:$AD$67,TRUE),"",INDEX($AB$32:$AB$67,MATCH(32,$AE$32:$AE$67,0)))</f>
        <v/>
      </c>
      <c r="C63">
        <f>IF(32&gt;COUNTIF($AD$32:$AD$67,TRUE),"",INDEX($AC$32:$AC$67,MATCH(32,$AE$32:$AE$67,0)))</f>
        <v/>
      </c>
      <c r="AA63" t="inlineStr">
        <is>
          <t>Horn Flute (Equip)</t>
        </is>
      </c>
      <c r="AB63">
        <f>(IF(ArtifactsInput!$M$38,-1,1)*Summary!$B$3*(((1-Summary!$B$11)*IFERROR(B2573/Summary!$B$23,1)+Summary!$B$11*IFERROR(B2574/Summary!$B$24,1))-1)+ArtifactsInput!$L$38)</f>
        <v/>
      </c>
      <c r="AC63">
        <f>IF(ArtifactsInput!$M$38,Summary!$B$3/(Summary!$B$3-(IF(ArtifactsInput!$M$38,-1,1)*Summary!$B$3*(((1-Summary!$B$11)*IFERROR(B2573/Summary!$B$23,1)+Summary!$B$11*IFERROR(B2574/Summary!$B$24,1))-1)+ArtifactsInput!$L$38))*100,(Summary!$B$3+(IF(ArtifactsInput!$M$38,-1,1)*Summary!$B$3*(((1-Summary!$B$11)*IFERROR(B2573/Summary!$B$23,1)+Summary!$B$11*IFERROR(B2574/Summary!$B$24,1))-1)+ArtifactsInput!$L$38))/Summary!$B$3*100)</f>
        <v/>
      </c>
      <c r="AD63">
        <f>ArtifactsInput!$B$38&lt;&gt;"Not Unlocked"</f>
        <v/>
      </c>
      <c r="AE63">
        <f>IF(AD63,SUMPRODUCT(($AD$32:$AD$67)*($AC$32:$AC$67&gt;AC63))+COUNTIFS($AD$32:AD63,TRUE,$AC$32:AC63,AC63),"")</f>
        <v/>
      </c>
    </row>
    <row r="64">
      <c r="A64">
        <f>IF(33&gt;COUNTIF($AD$32:$AD$67,TRUE),"",INDEX($AA$32:$AA$67,MATCH(33,$AE$32:$AE$67,0)))</f>
        <v/>
      </c>
      <c r="B64">
        <f>IF(33&gt;COUNTIF($AD$32:$AD$67,TRUE),"",INDEX($AB$32:$AB$67,MATCH(33,$AE$32:$AE$67,0)))</f>
        <v/>
      </c>
      <c r="C64">
        <f>IF(33&gt;COUNTIF($AD$32:$AD$67,TRUE),"",INDEX($AC$32:$AC$67,MATCH(33,$AE$32:$AE$67,0)))</f>
        <v/>
      </c>
      <c r="AA64" t="inlineStr">
        <is>
          <t>Cursed Doll (Equip)</t>
        </is>
      </c>
      <c r="AB64">
        <f>(IF(ArtifactsInput!$M$39,-1,1)*Summary!$B$3*(((1-Summary!$B$11)*IFERROR(B2617/Summary!$B$23,1)+Summary!$B$11*IFERROR(B2618/Summary!$B$24,1))-1)+ArtifactsInput!$L$39)</f>
        <v/>
      </c>
      <c r="AC64">
        <f>IF(ArtifactsInput!$M$39,Summary!$B$3/(Summary!$B$3-(IF(ArtifactsInput!$M$39,-1,1)*Summary!$B$3*(((1-Summary!$B$11)*IFERROR(B2617/Summary!$B$23,1)+Summary!$B$11*IFERROR(B2618/Summary!$B$24,1))-1)+ArtifactsInput!$L$39))*100,(Summary!$B$3+(IF(ArtifactsInput!$M$39,-1,1)*Summary!$B$3*(((1-Summary!$B$11)*IFERROR(B2617/Summary!$B$23,1)+Summary!$B$11*IFERROR(B2618/Summary!$B$24,1))-1)+ArtifactsInput!$L$39))/Summary!$B$3*100)</f>
        <v/>
      </c>
      <c r="AD64">
        <f>ArtifactsInput!$B$39&lt;&gt;"Not Unlocked"</f>
        <v/>
      </c>
      <c r="AE64">
        <f>IF(AD64,SUMPRODUCT(($AD$32:$AD$67)*($AC$32:$AC$67&gt;AC64))+COUNTIFS($AD$32:AD64,TRUE,$AC$32:AC64,AC64),"")</f>
        <v/>
      </c>
    </row>
    <row r="65">
      <c r="A65">
        <f>IF(34&gt;COUNTIF($AD$32:$AD$67,TRUE),"",INDEX($AA$32:$AA$67,MATCH(34,$AE$32:$AE$67,0)))</f>
        <v/>
      </c>
      <c r="B65">
        <f>IF(34&gt;COUNTIF($AD$32:$AD$67,TRUE),"",INDEX($AB$32:$AB$67,MATCH(34,$AE$32:$AE$67,0)))</f>
        <v/>
      </c>
      <c r="C65">
        <f>IF(34&gt;COUNTIF($AD$32:$AD$67,TRUE),"",INDEX($AC$32:$AC$67,MATCH(34,$AE$32:$AE$67,0)))</f>
        <v/>
      </c>
      <c r="AA65" t="inlineStr">
        <is>
          <t>Reindeer's Spear (Equip)</t>
        </is>
      </c>
      <c r="AB65">
        <f>(IF(ArtifactsInput!$M$40,-1,1)*Summary!$B$3*(((1-Summary!$B$11)*IFERROR(B2661/Summary!$B$23,1)+Summary!$B$11*IFERROR(B2662/Summary!$B$24,1))-1)+ArtifactsInput!$L$40)</f>
        <v/>
      </c>
      <c r="AC65">
        <f>IF(ArtifactsInput!$M$40,Summary!$B$3/(Summary!$B$3-(IF(ArtifactsInput!$M$40,-1,1)*Summary!$B$3*(((1-Summary!$B$11)*IFERROR(B2661/Summary!$B$23,1)+Summary!$B$11*IFERROR(B2662/Summary!$B$24,1))-1)+ArtifactsInput!$L$40))*100,(Summary!$B$3+(IF(ArtifactsInput!$M$40,-1,1)*Summary!$B$3*(((1-Summary!$B$11)*IFERROR(B2661/Summary!$B$23,1)+Summary!$B$11*IFERROR(B2662/Summary!$B$24,1))-1)+ArtifactsInput!$L$40))/Summary!$B$3*100)</f>
        <v/>
      </c>
      <c r="AD65">
        <f>ArtifactsInput!$B$40&lt;&gt;"Not Unlocked"</f>
        <v/>
      </c>
      <c r="AE65">
        <f>IF(AD65,SUMPRODUCT(($AD$32:$AD$67)*($AC$32:$AC$67&gt;AC65))+COUNTIFS($AD$32:AD65,TRUE,$AC$32:AC65,AC65),"")</f>
        <v/>
      </c>
    </row>
    <row r="66">
      <c r="A66">
        <f>IF(35&gt;COUNTIF($AD$32:$AD$67,TRUE),"",INDEX($AA$32:$AA$67,MATCH(35,$AE$32:$AE$67,0)))</f>
        <v/>
      </c>
      <c r="B66">
        <f>IF(35&gt;COUNTIF($AD$32:$AD$67,TRUE),"",INDEX($AB$32:$AB$67,MATCH(35,$AE$32:$AE$67,0)))</f>
        <v/>
      </c>
      <c r="C66">
        <f>IF(35&gt;COUNTIF($AD$32:$AD$67,TRUE),"",INDEX($AC$32:$AC$67,MATCH(35,$AE$32:$AE$67,0)))</f>
        <v/>
      </c>
      <c r="AA66" t="inlineStr">
        <is>
          <t>Secret Map (Equip)</t>
        </is>
      </c>
      <c r="AB66">
        <f>(IF(ArtifactsInput!$M$41,-1,1)*Summary!$B$3*(((1-Summary!$B$11)*IFERROR(B2705/Summary!$B$23,1)+Summary!$B$11*IFERROR(B2706/Summary!$B$24,1))-1)+ArtifactsInput!$L$41)</f>
        <v/>
      </c>
      <c r="AC66">
        <f>IF(ArtifactsInput!$M$41,Summary!$B$3/(Summary!$B$3-(IF(ArtifactsInput!$M$41,-1,1)*Summary!$B$3*(((1-Summary!$B$11)*IFERROR(B2705/Summary!$B$23,1)+Summary!$B$11*IFERROR(B2706/Summary!$B$24,1))-1)+ArtifactsInput!$L$41))*100,(Summary!$B$3+(IF(ArtifactsInput!$M$41,-1,1)*Summary!$B$3*(((1-Summary!$B$11)*IFERROR(B2705/Summary!$B$23,1)+Summary!$B$11*IFERROR(B2706/Summary!$B$24,1))-1)+ArtifactsInput!$L$41))/Summary!$B$3*100)</f>
        <v/>
      </c>
      <c r="AD66">
        <f>ArtifactsInput!$B$41&lt;&gt;"Not Unlocked"</f>
        <v/>
      </c>
      <c r="AE66">
        <f>IF(AD66,SUMPRODUCT(($AD$32:$AD$67)*($AC$32:$AC$67&gt;AC66))+COUNTIFS($AD$32:AD66,TRUE,$AC$32:AC66,AC66),"")</f>
        <v/>
      </c>
    </row>
    <row r="67">
      <c r="A67">
        <f>IF(36&gt;COUNTIF($AD$32:$AD$67,TRUE),"",INDEX($AA$32:$AA$67,MATCH(36,$AE$32:$AE$67,0)))</f>
        <v/>
      </c>
      <c r="B67">
        <f>IF(36&gt;COUNTIF($AD$32:$AD$67,TRUE),"",INDEX($AB$32:$AB$67,MATCH(36,$AE$32:$AE$67,0)))</f>
        <v/>
      </c>
      <c r="C67">
        <f>IF(36&gt;COUNTIF($AD$32:$AD$67,TRUE),"",INDEX($AC$32:$AC$67,MATCH(36,$AE$32:$AE$67,0)))</f>
        <v/>
      </c>
      <c r="AA67" t="inlineStr">
        <is>
          <t>Ring of Cycles (Equip)</t>
        </is>
      </c>
      <c r="AB67">
        <f>(IF(ArtifactsInput!$M$42,-1,1)*Summary!$B$3*(((1-Summary!$B$11)*IFERROR(B2749/Summary!$B$23,1)+Summary!$B$11*IFERROR(B2750/Summary!$B$24,1))-1)+ArtifactsInput!$L$42)</f>
        <v/>
      </c>
      <c r="AC67">
        <f>IF(ArtifactsInput!$M$42,Summary!$B$3/(Summary!$B$3-(IF(ArtifactsInput!$M$42,-1,1)*Summary!$B$3*(((1-Summary!$B$11)*IFERROR(B2749/Summary!$B$23,1)+Summary!$B$11*IFERROR(B2750/Summary!$B$24,1))-1)+ArtifactsInput!$L$42))*100,(Summary!$B$3+(IF(ArtifactsInput!$M$42,-1,1)*Summary!$B$3*(((1-Summary!$B$11)*IFERROR(B2749/Summary!$B$23,1)+Summary!$B$11*IFERROR(B2750/Summary!$B$24,1))-1)+ArtifactsInput!$L$42))/Summary!$B$3*100)</f>
        <v/>
      </c>
      <c r="AD67">
        <f>ArtifactsInput!$B$42&lt;&gt;"Not Unlocked"</f>
        <v/>
      </c>
      <c r="AE67">
        <f>IF(AD67,SUMPRODUCT(($AD$32:$AD$67)*($AC$32:$AC$67&gt;AC67))+COUNTIFS($AD$32:AD67,TRUE,$AC$32:AC67,AC67),"")</f>
        <v/>
      </c>
    </row>
    <row r="70">
      <c r="A70" s="6" t="inlineStr">
        <is>
          <t>Stat: Flat INT</t>
        </is>
      </c>
    </row>
    <row r="71">
      <c r="A71" s="5" t="inlineStr">
        <is>
          <t>Key</t>
        </is>
      </c>
      <c r="B71" s="5" t="inlineStr">
        <is>
          <t>Name</t>
        </is>
      </c>
      <c r="C71" s="5" t="inlineStr">
        <is>
          <t>Unlocked</t>
        </is>
      </c>
      <c r="D71" s="5" t="inlineStr">
        <is>
          <t>InputLevel</t>
        </is>
      </c>
      <c r="E71" s="5" t="inlineStr">
        <is>
          <t>Factor</t>
        </is>
      </c>
      <c r="F71" s="5" t="inlineStr">
        <is>
          <t>CoefficientPercent</t>
        </is>
      </c>
      <c r="G71" s="5" t="inlineStr">
        <is>
          <t>EffectiveHits</t>
        </is>
      </c>
      <c r="H71" s="5" t="inlineStr">
        <is>
          <t>ProcProbability</t>
        </is>
      </c>
      <c r="I71" s="5" t="inlineStr">
        <is>
          <t>MapleHeroMultiplier</t>
        </is>
      </c>
      <c r="J71" s="5" t="inlineStr">
        <is>
          <t>BaseDamage</t>
        </is>
      </c>
      <c r="K71" s="5" t="inlineStr">
        <is>
          <t>BaseHitDamage</t>
        </is>
      </c>
      <c r="L71" s="5" t="inlineStr">
        <is>
          <t>NonCritAvg</t>
        </is>
      </c>
      <c r="M71" s="5" t="inlineStr">
        <is>
          <t>CritAvg</t>
        </is>
      </c>
      <c r="N71" s="5" t="inlineStr">
        <is>
          <t>ExpectedDamage(perHit)</t>
        </is>
      </c>
      <c r="O71" s="5" t="inlineStr">
        <is>
          <t>DPS</t>
        </is>
      </c>
      <c r="P71" s="5" t="inlineStr">
        <is>
          <t>% of Total</t>
        </is>
      </c>
      <c r="R71" t="inlineStr">
        <is>
          <t>helpers</t>
        </is>
      </c>
    </row>
    <row r="72">
      <c r="A72">
        <f>Skills!A2</f>
        <v/>
      </c>
      <c r="B72">
        <f>Skills!B2</f>
        <v/>
      </c>
      <c r="C72">
        <f>TRUE</f>
        <v/>
      </c>
      <c r="D72" t="inlineStr"/>
      <c r="E72" t="inlineStr"/>
      <c r="F72">
        <f>T74+Skills!O2</f>
        <v/>
      </c>
      <c r="G72">
        <f>Calc!G2</f>
        <v/>
      </c>
      <c r="H72">
        <f>Calc!H2</f>
        <v/>
      </c>
      <c r="I72">
        <f>IF(Skills!X2&lt;&gt;"",1+(Skills!X2/10)*(Z73/1000)/100,1)</f>
        <v/>
      </c>
      <c r="J72">
        <f>((Inputs!$B$6*(1+Inputs!$B$7/100))+((((Inputs!$B$12+1)*(1+Inputs!$B$13/100))-(Inputs!$B$12*(1+Inputs!$B$13/100)))+0.25*(Inputs!$B$14-Inputs!$B$14))*(1+Inputs!$B$7/100))*(F72/100)</f>
        <v/>
      </c>
      <c r="K72">
        <f>J72*(1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f>
        <v/>
      </c>
      <c r="L72">
        <f>K72*(MIN(Inputs!$B$22+(F92-Calc!F22),(Inputs!$B$23+(IF(ArtifactsInput!$M$15,CHOOSE(ArtifactsInput!$N$15+1,25,30,35,40,45,50)/100*(Inputs!$B$11-Inputs!$B$11),0))))/100+(Inputs!$B$23+(IF(ArtifactsInput!$M$15,CHOOSE(ArtifactsInput!$N$15+1,25,30,35,40,45,50)/100*(Inputs!$B$11-Inputs!$B$11),0)))/100)/2</f>
        <v/>
      </c>
      <c r="M72">
        <f>L72*(1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
        <f>L72*(1-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
        <f>(1-Summary!$B$11)*S72+Summary!$B$11*U72</f>
        <v/>
      </c>
      <c r="P72">
        <f>IF(B111=0,0,O72/B111)</f>
        <v/>
      </c>
      <c r="Q72">
        <f>IFERROR(1/(IF(Inputs!$B$38="pvp",15,MAX(0.1,Skills!E2-IF(Skills!F2=TRUE,Inputs!$B$32,0)))*(1-IF(AND(ArtifactsInput!$M$27,Inputs!$B$4="Chapter Hunt"),CHOOSE(ArtifactsInput!$N$27+1,20,24,28,32,36,40),0)/100)),0)</f>
        <v/>
      </c>
      <c r="R72" t="n">
        <v>0</v>
      </c>
      <c r="S72">
        <f>(Skills!G2*N72*B106)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72*(1-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72">
        <f>MAX(0,(Inputs!$B$3-100)*3)+Inputs!$B$28+Inputs!$B$29</f>
        <v/>
      </c>
      <c r="U72">
        <f>(Skills!G2*N72*B106)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72">
        <f>MAX(0,(Inputs!$B$3-100)*3)+Inputs!$B$28+Inputs!$B$29</f>
        <v/>
      </c>
    </row>
    <row r="73">
      <c r="A73">
        <f>Skills!A3</f>
        <v/>
      </c>
      <c r="B73">
        <f>Skills!B3</f>
        <v/>
      </c>
      <c r="C73">
        <f>TRUE</f>
        <v/>
      </c>
      <c r="D73">
        <f>IF(Skills!C3=1,60+Inputs!$B$25+Inputs!$B$29,IF(Skills!C3=2,90+Inputs!$B$26+Inputs!$B$29,IF(Skills!C3=3,120+Inputs!$B$27+Inputs!$B$29,MAX(0,(Inputs!$B$3-100)*3)+Inputs!$B$28+Inputs!$B$29)))</f>
        <v/>
      </c>
      <c r="E73">
        <f>INDEX(FactorTable!$B$2:$Y$301, MATCH(ROUND(MIN(300,MAX(1,D73)),0), FactorTable!$A$2:$A$301,0), Skills!M3+1)</f>
        <v/>
      </c>
      <c r="F73">
        <f>IF(Skills!N3=TRUE,(Skills!L3/10)*(E73/1000),Skills!L3/10)+Skills!O3</f>
        <v/>
      </c>
      <c r="G73">
        <f>Calc!G3</f>
        <v/>
      </c>
      <c r="H73">
        <f>Calc!H3</f>
        <v/>
      </c>
      <c r="I73">
        <f>IF(Skills!X3&lt;&gt;"",1+(Skills!X3/10)*(Z73/1000)/100,1)</f>
        <v/>
      </c>
      <c r="J73">
        <f>((Inputs!$B$6*(1+Inputs!$B$7/100))+((((Inputs!$B$12+1)*(1+Inputs!$B$13/100))-(Inputs!$B$12*(1+Inputs!$B$13/100)))+0.25*(Inputs!$B$14-Inputs!$B$14))*(1+Inputs!$B$7/100))*(F73/100)</f>
        <v/>
      </c>
      <c r="K73">
        <f>J73*(1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f>
        <v/>
      </c>
      <c r="L73">
        <f>K73*(MIN(Inputs!$B$22+(F92-Calc!F22),(Inputs!$B$23+(IF(ArtifactsInput!$M$15,CHOOSE(ArtifactsInput!$N$15+1,25,30,35,40,45,50)/100*(Inputs!$B$11-Inputs!$B$11),0))))/100+(Inputs!$B$23+(IF(ArtifactsInput!$M$15,CHOOSE(ArtifactsInput!$N$15+1,25,30,35,40,45,50)/100*(Inputs!$B$11-Inputs!$B$11),0)))/100)/2</f>
        <v/>
      </c>
      <c r="M73">
        <f>L73*(1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
        <f>L73*(1-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
        <f>(1-Summary!$B$11)*S73+Summary!$B$11*U73</f>
        <v/>
      </c>
      <c r="P73">
        <f>IF(B111=0,0,O73/B111)</f>
        <v/>
      </c>
      <c r="Q73">
        <f>IFERROR(1/(IF(Inputs!$B$38="pvp",15,MAX(0.1,Skills!E3-IF(Skills!F3=TRUE,Inputs!$B$32,0)))*(1-IF(AND(ArtifactsInput!$M$27,Inputs!$B$4="Chapter Hunt"),CHOOSE(ArtifactsInput!$N$27+1,20,24,28,32,36,40),0)/100)),0)</f>
        <v/>
      </c>
      <c r="R73">
        <f>IF(AND(Inputs!$B$38&lt;&gt;"pvp",Inputs!$B$43&gt;0),IF(MAX(0,Inputs!$B$43-B108)&lt;=0,0,(INT(MAX(0,Inputs!$B$43-B108)/(IF(Inputs!$B$38="pvp",15,MAX(0.1,Skills!E3-IF(Skills!F3=TRUE,Inputs!$B$32,0)))*(1-IF(AND(ArtifactsInput!$M$27,Inputs!$B$4="Chapter Hunt"),CHOOSE(ArtifactsInput!$N$27+1,20,24,28,32,36,40),0)/100)))+1)),0)</f>
        <v/>
      </c>
      <c r="S73">
        <f>IF(C73,(H73*N73*IF(AND(Inputs!$B$38&lt;&gt;"pvp",Inputs!$B$43&gt;0),((Skills!G3*((R73-1)*IF(Skills!H3&gt;0,Skills!I3/Skills!H3,1)+IF(Skills!H3&gt;0,MIN(Skills!I3,MAX(0,MAX(0,Inputs!$B$43-B108)-((R73-1)*(IF(Inputs!$B$38="pvp",15,MAX(0.1,Skills!E3-IF(Skills!F3=TRUE,Inputs!$B$32,0)))*(1-IF(AND(ArtifactsInput!$M$27,Inputs!$B$4="Chapter Hunt"),CHOOSE(ArtifactsInput!$N$27+1,20,24,28,32,36,40),0)/100)))))/Skills!H3,1)))/Inputs!$B$43),G73*Q73)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3">
        <f>INDEX(FactorTable!$B$2:$Y$301, MATCH(ROUND(MIN(300,MAX(1,T72)),0), FactorTable!$A$2:$A$301,0), 22)</f>
        <v/>
      </c>
      <c r="U73">
        <f>IF(C73,(H73*N73*IF(AND(Inputs!$B$38&lt;&gt;"pvp",Inputs!$B$43&gt;0),((Skills!G3*((R73-1)*IF(Skills!H3&gt;0,Skills!I3/Skills!H3,1)+IF(Skills!H3&gt;0,MIN(Skills!I3,MAX(0,MAX(0,Inputs!$B$43-B108)-((R73-1)*(IF(Inputs!$B$38="pvp",15,MAX(0.1,Skills!E3-IF(Skills!F3=TRUE,Inputs!$B$32,0)))*(1-IF(AND(ArtifactsInput!$M$27,Inputs!$B$4="Chapter Hunt"),CHOOSE(ArtifactsInput!$N$27+1,20,24,28,32,36,40),0)/100)))))/Skills!H3,1)))/Inputs!$B$43),G73*Q73)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73">
        <f>INDEX(FactorTable!$B$2:$Y$301, MATCH(ROUND(MIN(300,MAX(1,Z72)),0), FactorTable!$A$2:$A$301,0), 24)</f>
        <v/>
      </c>
    </row>
    <row r="74">
      <c r="A74">
        <f>Skills!A4</f>
        <v/>
      </c>
      <c r="B74">
        <f>Skills!B4</f>
        <v/>
      </c>
      <c r="C74">
        <f>TRUE</f>
        <v/>
      </c>
      <c r="D74">
        <f>IF(Skills!C4=1,60+Inputs!$B$25+Inputs!$B$29,IF(Skills!C4=2,90+Inputs!$B$26+Inputs!$B$29,IF(Skills!C4=3,120+Inputs!$B$27+Inputs!$B$29,MAX(0,(Inputs!$B$3-100)*3)+Inputs!$B$28+Inputs!$B$29)))</f>
        <v/>
      </c>
      <c r="E74">
        <f>INDEX(FactorTable!$B$2:$Y$301, MATCH(ROUND(MIN(300,MAX(1,D74)),0), FactorTable!$A$2:$A$301,0), Skills!M4+1)</f>
        <v/>
      </c>
      <c r="F74">
        <f>IF(Skills!N4=TRUE,(Skills!L4/10)*(E74/1000),Skills!L4/10)+Skills!O4</f>
        <v/>
      </c>
      <c r="G74">
        <f>Calc!G4</f>
        <v/>
      </c>
      <c r="H74">
        <f>Calc!H4</f>
        <v/>
      </c>
      <c r="I74">
        <f>IF(Skills!X4&lt;&gt;"",1+(Skills!X4/10)*(Z73/1000)/100,1)</f>
        <v/>
      </c>
      <c r="J74">
        <f>((Inputs!$B$6*(1+Inputs!$B$7/100))+((((Inputs!$B$12+1)*(1+Inputs!$B$13/100))-(Inputs!$B$12*(1+Inputs!$B$13/100)))+0.25*(Inputs!$B$14-Inputs!$B$14))*(1+Inputs!$B$7/100))*(F74/100)</f>
        <v/>
      </c>
      <c r="K74">
        <f>J74*(1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f>
        <v/>
      </c>
      <c r="L74">
        <f>K74*(MIN(Inputs!$B$22+(F92-Calc!F22),(Inputs!$B$23+(IF(ArtifactsInput!$M$15,CHOOSE(ArtifactsInput!$N$15+1,25,30,35,40,45,50)/100*(Inputs!$B$11-Inputs!$B$11),0))))/100+(Inputs!$B$23+(IF(ArtifactsInput!$M$15,CHOOSE(ArtifactsInput!$N$15+1,25,30,35,40,45,50)/100*(Inputs!$B$11-Inputs!$B$11),0)))/100)/2</f>
        <v/>
      </c>
      <c r="M74">
        <f>L74*(1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
        <f>L74*(1-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
        <f>(1-Summary!$B$11)*S74+Summary!$B$11*U74</f>
        <v/>
      </c>
      <c r="P74">
        <f>IF(B111=0,0,O74/B111)</f>
        <v/>
      </c>
      <c r="Q74">
        <f>IFERROR(1/(IF(Inputs!$B$38="pvp",15,MAX(0.1,Skills!E4-IF(Skills!F4=TRUE,Inputs!$B$32,0)))*(1-IF(AND(ArtifactsInput!$M$27,Inputs!$B$4="Chapter Hunt"),CHOOSE(ArtifactsInput!$N$27+1,20,24,28,32,36,40),0)/100)),0)</f>
        <v/>
      </c>
      <c r="R74">
        <f>IF(AND(Inputs!$B$38&lt;&gt;"pvp",Inputs!$B$43&gt;0),IF(MAX(0,Inputs!$B$43-B108)&lt;=0,0,(INT(MAX(0,Inputs!$B$43-B108)/(IF(Inputs!$B$38="pvp",15,MAX(0.1,Skills!E4-IF(Skills!F4=TRUE,Inputs!$B$32,0)))*(1-IF(AND(ArtifactsInput!$M$27,Inputs!$B$4="Chapter Hunt"),CHOOSE(ArtifactsInput!$N$27+1,20,24,28,32,36,40),0)/100)))+1)),0)</f>
        <v/>
      </c>
      <c r="S74">
        <f>IF(C74,(H74*N74*IF(AND(Inputs!$B$38&lt;&gt;"pvp",Inputs!$B$43&gt;0),((Skills!G4*((R74-1)*IF(Skills!H4&gt;0,Skills!I4/Skills!H4,1)+IF(Skills!H4&gt;0,MIN(Skills!I4,MAX(0,MAX(0,Inputs!$B$43-B108)-((R74-1)*(IF(Inputs!$B$38="pvp",15,MAX(0.1,Skills!E4-IF(Skills!F4=TRUE,Inputs!$B$32,0)))*(1-IF(AND(ArtifactsInput!$M$27,Inputs!$B$4="Chapter Hunt"),CHOOSE(ArtifactsInput!$N$27+1,20,24,28,32,36,40),0)/100)))))/Skills!H4,1)))/Inputs!$B$43),G74*Q74)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74*(1-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4">
        <f>290*T73/1000</f>
        <v/>
      </c>
      <c r="U74">
        <f>IF(C74,(H74*N74*IF(AND(Inputs!$B$38&lt;&gt;"pvp",Inputs!$B$43&gt;0),((Skills!G4*((R74-1)*IF(Skills!H4&gt;0,Skills!I4/Skills!H4,1)+IF(Skills!H4&gt;0,MIN(Skills!I4,MAX(0,MAX(0,Inputs!$B$43-B108)-((R74-1)*(IF(Inputs!$B$38="pvp",15,MAX(0.1,Skills!E4-IF(Skills!F4=TRUE,Inputs!$B$32,0)))*(1-IF(AND(ArtifactsInput!$M$27,Inputs!$B$4="Chapter Hunt"),CHOOSE(ArtifactsInput!$N$27+1,20,24,28,32,36,40),0)/100)))))/Skills!H4,1)))/Inputs!$B$43),G74*Q74)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
      <c r="A75">
        <f>Skills!A5</f>
        <v/>
      </c>
      <c r="B75">
        <f>Skills!B5</f>
        <v/>
      </c>
      <c r="C75">
        <f>TRUE</f>
        <v/>
      </c>
      <c r="D75">
        <f>IF(Skills!C5=1,60+Inputs!$B$25+Inputs!$B$29,IF(Skills!C5=2,90+Inputs!$B$26+Inputs!$B$29,IF(Skills!C5=3,120+Inputs!$B$27+Inputs!$B$29,MAX(0,(Inputs!$B$3-100)*3)+Inputs!$B$28+Inputs!$B$29)))</f>
        <v/>
      </c>
      <c r="E75">
        <f>INDEX(FactorTable!$B$2:$Y$301, MATCH(ROUND(MIN(300,MAX(1,D75)),0), FactorTable!$A$2:$A$301,0), Skills!M5+1)</f>
        <v/>
      </c>
      <c r="F75">
        <f>IF(Skills!N5=TRUE,(Skills!L5/10)*(E75/1000),Skills!L5/10)+Skills!O5</f>
        <v/>
      </c>
      <c r="G75">
        <f>Calc!G5</f>
        <v/>
      </c>
      <c r="H75">
        <f>Calc!H5</f>
        <v/>
      </c>
      <c r="I75">
        <f>IF(Skills!X5&lt;&gt;"",1+(Skills!X5/10)*(Z73/1000)/100,1)</f>
        <v/>
      </c>
      <c r="J75">
        <f>((Inputs!$B$6*(1+Inputs!$B$7/100))+((((Inputs!$B$12+1)*(1+Inputs!$B$13/100))-(Inputs!$B$12*(1+Inputs!$B$13/100)))+0.25*(Inputs!$B$14-Inputs!$B$14))*(1+Inputs!$B$7/100))*(F75/100)</f>
        <v/>
      </c>
      <c r="K75">
        <f>J75*(1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f>
        <v/>
      </c>
      <c r="L75">
        <f>K75*(MIN(Inputs!$B$22+(F92-Calc!F22),(Inputs!$B$23+(IF(ArtifactsInput!$M$15,CHOOSE(ArtifactsInput!$N$15+1,25,30,35,40,45,50)/100*(Inputs!$B$11-Inputs!$B$11),0))))/100+(Inputs!$B$23+(IF(ArtifactsInput!$M$15,CHOOSE(ArtifactsInput!$N$15+1,25,30,35,40,45,50)/100*(Inputs!$B$11-Inputs!$B$11),0)))/100)/2</f>
        <v/>
      </c>
      <c r="M75">
        <f>L75*(1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
        <f>L75*(1-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
        <f>(1-Summary!$B$11)*S75+Summary!$B$11*U75</f>
        <v/>
      </c>
      <c r="P75">
        <f>IF(B111=0,0,O75/B111)</f>
        <v/>
      </c>
      <c r="Q75">
        <f>IFERROR(1/(IF(Inputs!$B$38="pvp",15,MAX(0.1,Skills!E5-IF(Skills!F5=TRUE,Inputs!$B$32,0)))*(1-IF(AND(ArtifactsInput!$M$27,Inputs!$B$4="Chapter Hunt"),CHOOSE(ArtifactsInput!$N$27+1,20,24,28,32,36,40),0)/100)),0)</f>
        <v/>
      </c>
      <c r="R75">
        <f>IF(AND(Inputs!$B$38&lt;&gt;"pvp",Inputs!$B$43&gt;0),IF(MAX(0,Inputs!$B$43-B108)&lt;=0,0,(INT(MAX(0,Inputs!$B$43-B108)/(IF(Inputs!$B$38="pvp",15,MAX(0.1,Skills!E5-IF(Skills!F5=TRUE,Inputs!$B$32,0)))*(1-IF(AND(ArtifactsInput!$M$27,Inputs!$B$4="Chapter Hunt"),CHOOSE(ArtifactsInput!$N$27+1,20,24,28,32,36,40),0)/100)))+1)),0)</f>
        <v/>
      </c>
      <c r="S75">
        <f>IF(C75,(H75*N75*IF(AND(Inputs!$B$38&lt;&gt;"pvp",Inputs!$B$43&gt;0),((Skills!G5*((R75-1)*IF(Skills!H5&gt;0,Skills!I5/Skills!H5,1)+IF(Skills!H5&gt;0,MIN(Skills!I5,MAX(0,MAX(0,Inputs!$B$43-B108)-((R75-1)*(IF(Inputs!$B$38="pvp",15,MAX(0.1,Skills!E5-IF(Skills!F5=TRUE,Inputs!$B$32,0)))*(1-IF(AND(ArtifactsInput!$M$27,Inputs!$B$4="Chapter Hunt"),CHOOSE(ArtifactsInput!$N$27+1,20,24,28,32,36,40),0)/100)))))/Skills!H5,1)))/Inputs!$B$43),G75*Q75)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75*(1-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
        <f>IF(C75,(H75*N75*IF(AND(Inputs!$B$38&lt;&gt;"pvp",Inputs!$B$43&gt;0),((Skills!G5*((R75-1)*IF(Skills!H5&gt;0,Skills!I5/Skills!H5,1)+IF(Skills!H5&gt;0,MIN(Skills!I5,MAX(0,MAX(0,Inputs!$B$43-B108)-((R75-1)*(IF(Inputs!$B$38="pvp",15,MAX(0.1,Skills!E5-IF(Skills!F5=TRUE,Inputs!$B$32,0)))*(1-IF(AND(ArtifactsInput!$M$27,Inputs!$B$4="Chapter Hunt"),CHOOSE(ArtifactsInput!$N$27+1,20,24,28,32,36,40),0)/100)))))/Skills!H5,1)))/Inputs!$B$43),G75*Q75)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
      <c r="A76">
        <f>Skills!A6</f>
        <v/>
      </c>
      <c r="B76">
        <f>Skills!B6</f>
        <v/>
      </c>
      <c r="C76">
        <f>TRUE</f>
        <v/>
      </c>
      <c r="D76">
        <f>IF(Skills!C6=1,60+Inputs!$B$25+Inputs!$B$29,IF(Skills!C6=2,90+Inputs!$B$26+Inputs!$B$29,IF(Skills!C6=3,120+Inputs!$B$27+Inputs!$B$29,MAX(0,(Inputs!$B$3-100)*3)+Inputs!$B$28+Inputs!$B$29)))</f>
        <v/>
      </c>
      <c r="E76">
        <f>INDEX(FactorTable!$B$2:$Y$301, MATCH(ROUND(MIN(300,MAX(1,D76)),0), FactorTable!$A$2:$A$301,0), Skills!M6+1)</f>
        <v/>
      </c>
      <c r="F76">
        <f>IF(Skills!N6=TRUE,(Skills!L6/10)*(E76/1000),Skills!L6/10)+Skills!O6</f>
        <v/>
      </c>
      <c r="G76">
        <f>Calc!G6</f>
        <v/>
      </c>
      <c r="H76">
        <f>Calc!H6</f>
        <v/>
      </c>
      <c r="I76">
        <f>IF(Skills!X6&lt;&gt;"",1+(Skills!X6/10)*(Z73/1000)/100,1)</f>
        <v/>
      </c>
      <c r="J76" t="inlineStr"/>
      <c r="K76" t="inlineStr"/>
      <c r="L76" t="inlineStr"/>
      <c r="M76" t="inlineStr"/>
      <c r="N76" t="inlineStr"/>
      <c r="O76">
        <f>(1-Summary!$B$11)*S76+Summary!$B$11*U76</f>
        <v/>
      </c>
      <c r="P76">
        <f>IF(B111=0,0,O76/B111)</f>
        <v/>
      </c>
      <c r="Q76">
        <f>IFERROR(1/(IF(Inputs!$B$38="pvp",15,MAX(0.1,Skills!E6-IF(Skills!F6=TRUE,Inputs!$B$32,0)))*(1-IF(AND(ArtifactsInput!$M$27,Inputs!$B$4="Chapter Hunt"),CHOOSE(ArtifactsInput!$N$27+1,20,24,28,32,36,40),0)/100)),0)</f>
        <v/>
      </c>
      <c r="R76">
        <f>IF(AND(Inputs!$B$38&lt;&gt;"pvp",Inputs!$B$43&gt;0),IF(Inputs!$B$43&lt;=0,0,(INT(Inputs!$B$43/(IF(Inputs!$B$38="pvp",15,MAX(0.1,Skills!E6-IF(Skills!F6=TRUE,Inputs!$B$32,0)))*(1-IF(AND(ArtifactsInput!$M$27,Inputs!$B$4="Chapter Hunt"),CHOOSE(ArtifactsInput!$N$27+1,20,24,28,32,36,40),0)/100)))+1)),0)</f>
        <v/>
      </c>
      <c r="S76" t="n">
        <v>0</v>
      </c>
      <c r="U76" t="n">
        <v>0</v>
      </c>
    </row>
    <row r="77">
      <c r="A77">
        <f>Skills!A7</f>
        <v/>
      </c>
      <c r="B77">
        <f>Skills!B7</f>
        <v/>
      </c>
      <c r="C77">
        <f>TRUE</f>
        <v/>
      </c>
      <c r="D77">
        <f>IF(Skills!C7=1,60+Inputs!$B$25+Inputs!$B$29,IF(Skills!C7=2,90+Inputs!$B$26+Inputs!$B$29,IF(Skills!C7=3,120+Inputs!$B$27+Inputs!$B$29,MAX(0,(Inputs!$B$3-100)*3)+Inputs!$B$28+Inputs!$B$29)))</f>
        <v/>
      </c>
      <c r="E77">
        <f>INDEX(FactorTable!$B$2:$Y$301, MATCH(ROUND(MIN(300,MAX(1,D77)),0), FactorTable!$A$2:$A$301,0), Skills!M7+1)</f>
        <v/>
      </c>
      <c r="F77">
        <f>IF(Skills!N7=TRUE,(Skills!L7/10)*(E77/1000),Skills!L7/10)+Skills!O7</f>
        <v/>
      </c>
      <c r="G77">
        <f>Calc!G7</f>
        <v/>
      </c>
      <c r="H77">
        <f>Calc!H7</f>
        <v/>
      </c>
      <c r="I77">
        <f>IF(Skills!X7&lt;&gt;"",1+(Skills!X7/10)*(Z73/1000)/100,1)</f>
        <v/>
      </c>
      <c r="J77">
        <f>((Inputs!$B$6*(1+Inputs!$B$7/100))+((((Inputs!$B$12+1)*(1+Inputs!$B$13/100))-(Inputs!$B$12*(1+Inputs!$B$13/100)))+0.25*(Inputs!$B$14-Inputs!$B$14))*(1+Inputs!$B$7/100))*(F77/100)</f>
        <v/>
      </c>
      <c r="K77">
        <f>J77*(1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f>
        <v/>
      </c>
      <c r="L77">
        <f>K77*(MIN(Inputs!$B$22+(F92-Calc!F22),(Inputs!$B$23+(IF(ArtifactsInput!$M$15,CHOOSE(ArtifactsInput!$N$15+1,25,30,35,40,45,50)/100*(Inputs!$B$11-Inputs!$B$11),0))))/100+(Inputs!$B$23+(IF(ArtifactsInput!$M$15,CHOOSE(ArtifactsInput!$N$15+1,25,30,35,40,45,50)/100*(Inputs!$B$11-Inputs!$B$11),0)))/100)/2</f>
        <v/>
      </c>
      <c r="M77">
        <f>L77*(1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(1-Summary!$B$11)*S77+Summary!$B$11*U77</f>
        <v/>
      </c>
      <c r="P77">
        <f>IF(B111=0,0,O77/B111)</f>
        <v/>
      </c>
      <c r="Q77">
        <f>IFERROR(1/(IF(Inputs!$B$38="pvp",15,MAX(0.1,Skills!E7-IF(Skills!F7=TRUE,Inputs!$B$32,0)))*(1-IF(AND(ArtifactsInput!$M$27,Inputs!$B$4="Chapter Hunt"),CHOOSE(ArtifactsInput!$N$27+1,20,24,28,32,36,40),0)/100)),0)</f>
        <v/>
      </c>
      <c r="R77">
        <f>IF(AND(Inputs!$B$38&lt;&gt;"pvp",Inputs!$B$43&gt;0),IF(MAX(0,Inputs!$B$43-B108)&lt;=0,0,(INT(MAX(0,Inputs!$B$43-B108)/(IF(Inputs!$B$38="pvp",15,MAX(0.1,Skills!E7-IF(Skills!F7=TRUE,Inputs!$B$32,0)))*(1-IF(AND(ArtifactsInput!$M$27,Inputs!$B$4="Chapter Hunt"),CHOOSE(ArtifactsInput!$N$27+1,20,24,28,32,36,40),0)/100)))+1)),0)</f>
        <v/>
      </c>
      <c r="S77">
        <f>IF(C77,(H77*N77*IF(AND(Inputs!$B$38&lt;&gt;"pvp",Inputs!$B$43&gt;0),((Skills!G7*((R77-1)*IF(Skills!H7&gt;0,Skills!I7/Skills!H7,1)+IF(Skills!H7&gt;0,MIN(Skills!I7,MAX(0,MAX(0,Inputs!$B$43-B108)-((R77-1)*(IF(Inputs!$B$38="pvp",15,MAX(0.1,Skills!E7-IF(Skills!F7=TRUE,Inputs!$B$32,0)))*(1-IF(AND(ArtifactsInput!$M$27,Inputs!$B$4="Chapter Hunt"),CHOOSE(ArtifactsInput!$N$27+1,20,24,28,32,36,40),0)/100)))))/Skills!H7,1)))/Inputs!$B$43),G77*Q77)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
        <f>IF(C77,(H77*N77*IF(AND(Inputs!$B$38&lt;&gt;"pvp",Inputs!$B$43&gt;0),((Skills!G7*((R77-1)*IF(Skills!H7&gt;0,Skills!I7/Skills!H7,1)+IF(Skills!H7&gt;0,MIN(Skills!I7,MAX(0,MAX(0,Inputs!$B$43-B108)-((R77-1)*(IF(Inputs!$B$38="pvp",15,MAX(0.1,Skills!E7-IF(Skills!F7=TRUE,Inputs!$B$32,0)))*(1-IF(AND(ArtifactsInput!$M$27,Inputs!$B$4="Chapter Hunt"),CHOOSE(ArtifactsInput!$N$27+1,20,24,28,32,36,40),0)/100)))))/Skills!H7,1)))/Inputs!$B$43),G77*Q77)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Skills!A8</f>
        <v/>
      </c>
      <c r="B78">
        <f>Skills!B8</f>
        <v/>
      </c>
      <c r="C78">
        <f>TRUE</f>
        <v/>
      </c>
      <c r="D78">
        <f>IF(Skills!C8=1,60+Inputs!$B$25+Inputs!$B$29,IF(Skills!C8=2,90+Inputs!$B$26+Inputs!$B$29,IF(Skills!C8=3,120+Inputs!$B$27+Inputs!$B$29,MAX(0,(Inputs!$B$3-100)*3)+Inputs!$B$28+Inputs!$B$29)))</f>
        <v/>
      </c>
      <c r="E78">
        <f>INDEX(FactorTable!$B$2:$Y$301, MATCH(ROUND(MIN(300,MAX(1,D78)),0), FactorTable!$A$2:$A$301,0), Skills!M8+1)</f>
        <v/>
      </c>
      <c r="F78">
        <f>IF(Skills!N8=TRUE,(Skills!L8/10)*(E78/1000),Skills!L8/10)+Skills!O8</f>
        <v/>
      </c>
      <c r="G78">
        <f>Calc!G8</f>
        <v/>
      </c>
      <c r="H78">
        <f>Calc!H8</f>
        <v/>
      </c>
      <c r="I78">
        <f>IF(Skills!X8&lt;&gt;"",1+(Skills!X8/10)*(Z73/1000)/100,1)</f>
        <v/>
      </c>
      <c r="J78">
        <f>((Inputs!$B$6*(1+Inputs!$B$7/100))+((((Inputs!$B$12+1)*(1+Inputs!$B$13/100))-(Inputs!$B$12*(1+Inputs!$B$13/100)))+0.25*(Inputs!$B$14-Inputs!$B$14))*(1+Inputs!$B$7/100))*(F78/100)</f>
        <v/>
      </c>
      <c r="K78">
        <f>J78*(1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f>
        <v/>
      </c>
      <c r="L78">
        <f>K78*(MIN(Inputs!$B$22+(F92-Calc!F22),(Inputs!$B$23+(IF(ArtifactsInput!$M$15,CHOOSE(ArtifactsInput!$N$15+1,25,30,35,40,45,50)/100*(Inputs!$B$11-Inputs!$B$11),0))))/100+(Inputs!$B$23+(IF(ArtifactsInput!$M$15,CHOOSE(ArtifactsInput!$N$15+1,25,30,35,40,45,50)/100*(Inputs!$B$11-Inputs!$B$11),0)))/100)/2</f>
        <v/>
      </c>
      <c r="M78">
        <f>L78*(1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
        <f>L78*(1-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
        <f>(1-Summary!$B$11)*S78+Summary!$B$11*U78</f>
        <v/>
      </c>
      <c r="P78">
        <f>IF(B111=0,0,O78/B111)</f>
        <v/>
      </c>
      <c r="Q78">
        <f>IFERROR(1/(IF(Inputs!$B$38="pvp",15,MAX(0.1,Skills!E8-IF(Skills!F8=TRUE,Inputs!$B$32,0)))*(1-IF(AND(ArtifactsInput!$M$27,Inputs!$B$4="Chapter Hunt"),CHOOSE(ArtifactsInput!$N$27+1,20,24,28,32,36,40),0)/100)),0)</f>
        <v/>
      </c>
      <c r="R78">
        <f>IF(AND(Inputs!$B$38&lt;&gt;"pvp",Inputs!$B$43&gt;0),IF(MAX(0,Inputs!$B$43-B108)&lt;=0,0,(INT(MAX(0,Inputs!$B$43-B108)/(IF(Inputs!$B$38="pvp",15,MAX(0.1,Skills!E8-IF(Skills!F8=TRUE,Inputs!$B$32,0)))*(1-IF(AND(ArtifactsInput!$M$27,Inputs!$B$4="Chapter Hunt"),CHOOSE(ArtifactsInput!$N$27+1,20,24,28,32,36,40),0)/100)))+1)),0)</f>
        <v/>
      </c>
      <c r="S78">
        <f>IF(C78,(H78*N78*IF(AND(Inputs!$B$38&lt;&gt;"pvp",Inputs!$B$43&gt;0),((Skills!G8*((R78-1)*IF(Skills!H8&gt;0,Skills!I8/Skills!H8,1)+IF(Skills!H8&gt;0,MIN(Skills!I8,MAX(0,MAX(0,Inputs!$B$43-B108)-((R78-1)*(IF(Inputs!$B$38="pvp",15,MAX(0.1,Skills!E8-IF(Skills!F8=TRUE,Inputs!$B$32,0)))*(1-IF(AND(ArtifactsInput!$M$27,Inputs!$B$4="Chapter Hunt"),CHOOSE(ArtifactsInput!$N$27+1,20,24,28,32,36,40),0)/100)))))/Skills!H8,1)))/Inputs!$B$43),G78*Q78)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
        <f>IF(C78,(H78*N78*IF(AND(Inputs!$B$38&lt;&gt;"pvp",Inputs!$B$43&gt;0),((Skills!G8*((R78-1)*IF(Skills!H8&gt;0,Skills!I8/Skills!H8,1)+IF(Skills!H8&gt;0,MIN(Skills!I8,MAX(0,MAX(0,Inputs!$B$43-B108)-((R78-1)*(IF(Inputs!$B$38="pvp",15,MAX(0.1,Skills!E8-IF(Skills!F8=TRUE,Inputs!$B$32,0)))*(1-IF(AND(ArtifactsInput!$M$27,Inputs!$B$4="Chapter Hunt"),CHOOSE(ArtifactsInput!$N$27+1,20,24,28,32,36,40),0)/100)))))/Skills!H8,1)))/Inputs!$B$43),G78*Q78)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
      <c r="A79">
        <f>Skills!A9</f>
        <v/>
      </c>
      <c r="B79">
        <f>Skills!B9</f>
        <v/>
      </c>
      <c r="C79">
        <f>Inputs!$B$3&gt;=103</f>
        <v/>
      </c>
      <c r="D79">
        <f>IF(Skills!C9=1,60+Inputs!$B$25+Inputs!$B$29,IF(Skills!C9=2,90+Inputs!$B$26+Inputs!$B$29,IF(Skills!C9=3,120+Inputs!$B$27+Inputs!$B$29,MAX(0,(Inputs!$B$3-100)*3)+Inputs!$B$28+Inputs!$B$29)))</f>
        <v/>
      </c>
      <c r="E79">
        <f>INDEX(FactorTable!$B$2:$Y$301, MATCH(ROUND(MIN(300,MAX(1,D79)),0), FactorTable!$A$2:$A$301,0), Skills!M9+1)</f>
        <v/>
      </c>
      <c r="F79">
        <f>IF(Skills!N9=TRUE,(Skills!L9/10)*(E79/1000),Skills!L9/10)+Skills!O9</f>
        <v/>
      </c>
      <c r="G79">
        <f>Calc!G9</f>
        <v/>
      </c>
      <c r="H79">
        <f>Calc!H9</f>
        <v/>
      </c>
      <c r="I79">
        <f>IF(Skills!X9&lt;&gt;"",1+(Skills!X9/10)*(Z73/1000)/100,1)</f>
        <v/>
      </c>
      <c r="J79">
        <f>((Inputs!$B$6*(1+Inputs!$B$7/100))+((((Inputs!$B$12+1)*(1+Inputs!$B$13/100))-(Inputs!$B$12*(1+Inputs!$B$13/100)))+0.25*(Inputs!$B$14-Inputs!$B$14))*(1+Inputs!$B$7/100))*(F79/100)</f>
        <v/>
      </c>
      <c r="K79">
        <f>J79*(1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f>
        <v/>
      </c>
      <c r="L79">
        <f>K79*(MIN(Inputs!$B$22+(F92-Calc!F22),(Inputs!$B$23+(IF(ArtifactsInput!$M$15,CHOOSE(ArtifactsInput!$N$15+1,25,30,35,40,45,50)/100*(Inputs!$B$11-Inputs!$B$11),0))))/100+(Inputs!$B$23+(IF(ArtifactsInput!$M$15,CHOOSE(ArtifactsInput!$N$15+1,25,30,35,40,45,50)/100*(Inputs!$B$11-Inputs!$B$11),0)))/100)/2</f>
        <v/>
      </c>
      <c r="M79">
        <f>L79*(1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
        <f>L79*(1-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
        <f>(1-Summary!$B$11)*S79+Summary!$B$11*U79</f>
        <v/>
      </c>
      <c r="P79">
        <f>IF(B111=0,0,O79/B111)</f>
        <v/>
      </c>
      <c r="Q79">
        <f>IFERROR(1/(IF(Inputs!$B$38="pvp",15,MAX(0.1,Skills!E9-IF(Skills!F7=TRUE,Inputs!$B$32,0)))*(1-IF(AND(ArtifactsInput!$M$27,Inputs!$B$4="Chapter Hunt"),CHOOSE(ArtifactsInput!$N$27+1,20,24,28,32,36,40),0)/100)),0)</f>
        <v/>
      </c>
      <c r="R79">
        <f>IF(AND(Inputs!$B$38&lt;&gt;"pvp",Inputs!$B$43&gt;0),IF(MAX(0,Inputs!$B$43-B108)&lt;=0,0,(INT(MAX(0,Inputs!$B$43-B108)/(IF(Inputs!$B$38="pvp",15,MAX(0.1,Skills!E9-IF(Skills!F7=TRUE,Inputs!$B$32,0)))*(1-IF(AND(ArtifactsInput!$M$27,Inputs!$B$4="Chapter Hunt"),CHOOSE(ArtifactsInput!$N$27+1,20,24,28,32,36,40),0)/100)))+1)),0)</f>
        <v/>
      </c>
      <c r="S79">
        <f>IF(C79,(H79*N79*IF(AND(Inputs!$B$38&lt;&gt;"pvp",Inputs!$B$43&gt;0),((Skills!G9*((R79-1)*IF(Skills!H9&gt;0,Skills!I9/Skills!H9,1)+IF(Skills!H9&gt;0,MIN(Skills!I9,MAX(0,MAX(0,Inputs!$B$43-B108)-((R79-1)*(IF(Inputs!$B$38="pvp",15,MAX(0.1,Skills!E9-IF(Skills!F7=TRUE,Inputs!$B$32,0)))*(1-IF(AND(ArtifactsInput!$M$27,Inputs!$B$4="Chapter Hunt"),CHOOSE(ArtifactsInput!$N$27+1,20,24,28,32,36,40),0)/100)))))/Skills!H9,1)))/Inputs!$B$43),G79*Q79)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79*(1-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
        <f>IF(C79,(H79*N79*IF(AND(Inputs!$B$38&lt;&gt;"pvp",Inputs!$B$43&gt;0),((Skills!G9*((R79-1)*IF(Skills!H9&gt;0,Skills!I9/Skills!H9,1)+IF(Skills!H9&gt;0,MIN(Skills!I9,MAX(0,MAX(0,Inputs!$B$43-B108)-((R79-1)*(IF(Inputs!$B$38="pvp",15,MAX(0.1,Skills!E9-IF(Skills!F7=TRUE,Inputs!$B$32,0)))*(1-IF(AND(ArtifactsInput!$M$27,Inputs!$B$4="Chapter Hunt"),CHOOSE(ArtifactsInput!$N$27+1,20,24,28,32,36,40),0)/100)))))/Skills!H9,1)))/Inputs!$B$43),G79*Q79)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
      <c r="A80">
        <f>Skills!A10</f>
        <v/>
      </c>
      <c r="B80">
        <f>Skills!B10</f>
        <v/>
      </c>
      <c r="C80">
        <f>TRUE</f>
        <v/>
      </c>
      <c r="D80">
        <f>IF(Skills!C10=1,60+Inputs!$B$25+Inputs!$B$29,IF(Skills!C10=2,90+Inputs!$B$26+Inputs!$B$29,IF(Skills!C10=3,120+Inputs!$B$27+Inputs!$B$29,MAX(0,(Inputs!$B$3-100)*3)+Inputs!$B$28+Inputs!$B$29)))</f>
        <v/>
      </c>
      <c r="E80">
        <f>INDEX(FactorTable!$B$2:$Y$301, MATCH(ROUND(MIN(300,MAX(1,D80)),0), FactorTable!$A$2:$A$301,0), Skills!M10+1)</f>
        <v/>
      </c>
      <c r="F80">
        <f>IF(Skills!N10=TRUE,(Skills!L10/10)*(E80/1000),Skills!L10/10)+Skills!O10</f>
        <v/>
      </c>
      <c r="G80">
        <f>Calc!G10</f>
        <v/>
      </c>
      <c r="H80">
        <f>Calc!H10</f>
        <v/>
      </c>
      <c r="I80">
        <f>IF(Skills!X10&lt;&gt;"",1+(Skills!X10/10)*(Z73/1000)/100,1)</f>
        <v/>
      </c>
      <c r="J80">
        <f>((Inputs!$B$6*(1+Inputs!$B$7/100))+((((Inputs!$B$12+1)*(1+Inputs!$B$13/100))-(Inputs!$B$12*(1+Inputs!$B$13/100)))+0.25*(Inputs!$B$14-Inputs!$B$14))*(1+Inputs!$B$7/100))*(F80/100)</f>
        <v/>
      </c>
      <c r="K80">
        <f>J80*(1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f>
        <v/>
      </c>
      <c r="L80">
        <f>K80*(MIN(Inputs!$B$22+(F92-Calc!F22),(Inputs!$B$23+(IF(ArtifactsInput!$M$15,CHOOSE(ArtifactsInput!$N$15+1,25,30,35,40,45,50)/100*(Inputs!$B$11-Inputs!$B$11),0))))/100+(Inputs!$B$23+(IF(ArtifactsInput!$M$15,CHOOSE(ArtifactsInput!$N$15+1,25,30,35,40,45,50)/100*(Inputs!$B$11-Inputs!$B$11),0)))/100)/2</f>
        <v/>
      </c>
      <c r="M80">
        <f>L80*(1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(1-Summary!$B$11)*S80+Summary!$B$11*U80</f>
        <v/>
      </c>
      <c r="P80">
        <f>IF(B111=0,0,O80/B111)</f>
        <v/>
      </c>
      <c r="Q80">
        <f>IFERROR(1/(IF(Inputs!$B$38="pvp",15,MAX(0.1,Skills!E10-IF(Skills!F10=TRUE,Inputs!$B$32,0)))*(1-IF(AND(ArtifactsInput!$M$27,Inputs!$B$4="Chapter Hunt"),CHOOSE(ArtifactsInput!$N$27+1,20,24,28,32,36,40),0)/100)),0)</f>
        <v/>
      </c>
      <c r="R80">
        <f>IF(AND(Inputs!$B$38&lt;&gt;"pvp",Inputs!$B$43&gt;0),IF(MAX(0,Inputs!$B$43-B108)&lt;=0,0,(INT(MAX(0,Inputs!$B$43-B108)/(IF(Inputs!$B$38="pvp",15,MAX(0.1,Skills!E10-IF(Skills!F10=TRUE,Inputs!$B$32,0)))*(1-IF(AND(ArtifactsInput!$M$27,Inputs!$B$4="Chapter Hunt"),CHOOSE(ArtifactsInput!$N$27+1,20,24,28,32,36,40),0)/100)))+1)),0)</f>
        <v/>
      </c>
      <c r="S80">
        <f>IF(C80,(H80*N80*IF(AND(Inputs!$B$38&lt;&gt;"pvp",Inputs!$B$43&gt;0),((Skills!G10*((R80-1)*IF(Skills!H10&gt;0,Skills!I10/Skills!H10,1)+IF(Skills!H10&gt;0,MIN(Skills!I10,MAX(0,MAX(0,Inputs!$B$43-B108)-((R80-1)*(IF(Inputs!$B$38="pvp",15,MAX(0.1,Skills!E10-IF(Skills!F10=TRUE,Inputs!$B$32,0)))*(1-IF(AND(ArtifactsInput!$M$27,Inputs!$B$4="Chapter Hunt"),CHOOSE(ArtifactsInput!$N$27+1,20,24,28,32,36,40),0)/100)))))/Skills!H10,1)))/Inputs!$B$43),G80*Q80)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80*(1-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0">
        <f>IF(C80,(H80*N80*IF(AND(Inputs!$B$38&lt;&gt;"pvp",Inputs!$B$43&gt;0),((Skills!G10*((R80-1)*IF(Skills!H10&gt;0,Skills!I10/Skills!H10,1)+IF(Skills!H10&gt;0,MIN(Skills!I10,MAX(0,MAX(0,Inputs!$B$43-B108)-((R80-1)*(IF(Inputs!$B$38="pvp",15,MAX(0.1,Skills!E10-IF(Skills!F10=TRUE,Inputs!$B$32,0)))*(1-IF(AND(ArtifactsInput!$M$27,Inputs!$B$4="Chapter Hunt"),CHOOSE(ArtifactsInput!$N$27+1,20,24,28,32,36,40),0)/100)))))/Skills!H10,1)))/Inputs!$B$43),G80*Q80)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Skills!A11</f>
        <v/>
      </c>
      <c r="B81">
        <f>Skills!B11</f>
        <v/>
      </c>
      <c r="C81">
        <f>TRUE</f>
        <v/>
      </c>
      <c r="D81">
        <f>IF(Skills!C11=1,60+Inputs!$B$25+Inputs!$B$29,IF(Skills!C11=2,90+Inputs!$B$26+Inputs!$B$29,IF(Skills!C11=3,120+Inputs!$B$27+Inputs!$B$29,MAX(0,(Inputs!$B$3-100)*3)+Inputs!$B$28+Inputs!$B$29)))</f>
        <v/>
      </c>
      <c r="E81">
        <f>INDEX(FactorTable!$B$2:$Y$301, MATCH(ROUND(MIN(300,MAX(1,D81)),0), FactorTable!$A$2:$A$301,0), Skills!M11+1)</f>
        <v/>
      </c>
      <c r="F81">
        <f>IF(Skills!N11=TRUE,(Skills!L11/10)*(E81/1000),Skills!L11/10)+Skills!O11</f>
        <v/>
      </c>
      <c r="G81">
        <f>Calc!G11</f>
        <v/>
      </c>
      <c r="H81">
        <f>Calc!H11</f>
        <v/>
      </c>
      <c r="I81">
        <f>IF(Skills!X11&lt;&gt;"",1+(Skills!X11/10)*(Z73/1000)/100,1)</f>
        <v/>
      </c>
      <c r="J81" t="inlineStr"/>
      <c r="K81" t="inlineStr"/>
      <c r="L81" t="inlineStr"/>
      <c r="M81" t="inlineStr"/>
      <c r="N81" t="inlineStr"/>
      <c r="O81">
        <f>(1-Summary!$B$11)*S81+Summary!$B$11*U81</f>
        <v/>
      </c>
      <c r="P81">
        <f>IF(B111=0,0,O81/B111)</f>
        <v/>
      </c>
      <c r="Q81">
        <f>IFERROR(1/(IF(Inputs!$B$38="pvp",15,MAX(0.1,Skills!E11-IF(Skills!F11=TRUE,Inputs!$B$32,0)))*(1-IF(AND(ArtifactsInput!$M$27,Inputs!$B$4="Chapter Hunt"),CHOOSE(ArtifactsInput!$N$27+1,20,24,28,32,36,40),0)/100)),0)</f>
        <v/>
      </c>
      <c r="R81" t="n">
        <v>0</v>
      </c>
      <c r="S81" t="n">
        <v>0</v>
      </c>
      <c r="U81" t="n">
        <v>0</v>
      </c>
    </row>
    <row r="82">
      <c r="A82">
        <f>Skills!A12</f>
        <v/>
      </c>
      <c r="B82">
        <f>Skills!B12</f>
        <v/>
      </c>
      <c r="C82">
        <f>TRUE</f>
        <v/>
      </c>
      <c r="D82">
        <f>IF(Skills!C12=1,60+Inputs!$B$25+Inputs!$B$29,IF(Skills!C12=2,90+Inputs!$B$26+Inputs!$B$29,IF(Skills!C12=3,120+Inputs!$B$27+Inputs!$B$29,MAX(0,(Inputs!$B$3-100)*3)+Inputs!$B$28+Inputs!$B$29)))</f>
        <v/>
      </c>
      <c r="E82">
        <f>INDEX(FactorTable!$B$2:$Y$301, MATCH(ROUND(MIN(300,MAX(1,D82)),0), FactorTable!$A$2:$A$301,0), Skills!M12+1)</f>
        <v/>
      </c>
      <c r="F82">
        <f>IF(Skills!N12=TRUE,(Skills!L12/10)*(E82/1000),Skills!L12/10)+Skills!O12</f>
        <v/>
      </c>
      <c r="G82">
        <f>Calc!G12</f>
        <v/>
      </c>
      <c r="H82">
        <f>Calc!H12</f>
        <v/>
      </c>
      <c r="I82">
        <f>IF(Skills!X12&lt;&gt;"",1+(Skills!X12/10)*(Z73/1000)/100,1)</f>
        <v/>
      </c>
      <c r="J82" t="inlineStr"/>
      <c r="K82" t="inlineStr"/>
      <c r="L82" t="inlineStr"/>
      <c r="M82" t="inlineStr"/>
      <c r="N82" t="inlineStr"/>
      <c r="O82">
        <f>(1-Summary!$B$11)*S82+Summary!$B$11*U82</f>
        <v/>
      </c>
      <c r="P82">
        <f>IF(B111=0,0,O82/B111)</f>
        <v/>
      </c>
      <c r="Q82">
        <f>IFERROR(1/(IF(Inputs!$B$38="pvp",15,MAX(0.1,Skills!E12-IF(Skills!F12=TRUE,Inputs!$B$32,0)))*(1-IF(AND(ArtifactsInput!$M$27,Inputs!$B$4="Chapter Hunt"),CHOOSE(ArtifactsInput!$N$27+1,20,24,28,32,36,40),0)/100)),0)</f>
        <v/>
      </c>
      <c r="R82" t="n">
        <v>0</v>
      </c>
      <c r="S82" t="n">
        <v>0</v>
      </c>
      <c r="U82" t="n">
        <v>0</v>
      </c>
    </row>
    <row r="83">
      <c r="A83">
        <f>Skills!A13</f>
        <v/>
      </c>
      <c r="B83">
        <f>Skills!B13</f>
        <v/>
      </c>
      <c r="C83">
        <f>Inputs!$B$3&gt;=105</f>
        <v/>
      </c>
      <c r="D83">
        <f>IF(Skills!C13=1,60+Inputs!$B$25+Inputs!$B$29,IF(Skills!C13=2,90+Inputs!$B$26+Inputs!$B$29,IF(Skills!C13=3,120+Inputs!$B$27+Inputs!$B$29,MAX(0,(Inputs!$B$3-100)*3)+Inputs!$B$28+Inputs!$B$29)))</f>
        <v/>
      </c>
      <c r="E83">
        <f>INDEX(FactorTable!$B$2:$Y$301, MATCH(ROUND(MIN(300,MAX(1,D83)),0), FactorTable!$A$2:$A$301,0), Skills!M13+1)</f>
        <v/>
      </c>
      <c r="F83">
        <f>IF(Skills!N13=TRUE,(Skills!L13/10)*(E83/1000),Skills!L13/10)+Skills!O13</f>
        <v/>
      </c>
      <c r="G83">
        <f>Calc!G13</f>
        <v/>
      </c>
      <c r="H83">
        <f>Calc!H13</f>
        <v/>
      </c>
      <c r="I83">
        <f>IF(Skills!X13&lt;&gt;"",1+(Skills!X13/10)*(Z73/1000)/100,1)</f>
        <v/>
      </c>
      <c r="J83">
        <f>((Inputs!$B$6*(1+Inputs!$B$7/100))+((((Inputs!$B$12+1)*(1+Inputs!$B$13/100))-(Inputs!$B$12*(1+Inputs!$B$13/100)))+0.25*(Inputs!$B$14-Inputs!$B$14))*(1+Inputs!$B$7/100))*(F83/100)</f>
        <v/>
      </c>
      <c r="K83">
        <f>J83*(1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f>
        <v/>
      </c>
      <c r="L83">
        <f>K83*(MIN(Inputs!$B$22+(F92-Calc!F22),(Inputs!$B$23+(IF(ArtifactsInput!$M$15,CHOOSE(ArtifactsInput!$N$15+1,25,30,35,40,45,50)/100*(Inputs!$B$11-Inputs!$B$11),0))))/100+(Inputs!$B$23+(IF(ArtifactsInput!$M$15,CHOOSE(ArtifactsInput!$N$15+1,25,30,35,40,45,50)/100*(Inputs!$B$11-Inputs!$B$11),0)))/100)/2</f>
        <v/>
      </c>
      <c r="M83">
        <f>L83*(1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
        <f>L83*(1-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
        <f>(1-Summary!$B$11)*S83+Summary!$B$11*U83</f>
        <v/>
      </c>
      <c r="P83">
        <f>IF(B111=0,0,O83/B111)</f>
        <v/>
      </c>
      <c r="Q83">
        <f>IFERROR(1/(IF(Inputs!$B$38="pvp",15,MAX(0.1,Skills!E13-IF(Skills!F13=TRUE,Inputs!$B$32,0)))*(1-IF(AND(ArtifactsInput!$M$27,Inputs!$B$4="Chapter Hunt"),CHOOSE(ArtifactsInput!$N$27+1,20,24,28,32,36,40),0)/100)),0)</f>
        <v/>
      </c>
      <c r="R83">
        <f>IF(AND(Inputs!$B$38&lt;&gt;"pvp",Inputs!$B$43&gt;0),IF(MAX(0,Inputs!$B$43-B108)&lt;=0,0,(INT(MAX(0,Inputs!$B$43-B108)/(IF(Inputs!$B$38="pvp",15,MAX(0.1,Skills!E13-IF(Skills!F13=TRUE,Inputs!$B$32,0)))*(1-IF(AND(ArtifactsInput!$M$27,Inputs!$B$4="Chapter Hunt"),CHOOSE(ArtifactsInput!$N$27+1,20,24,28,32,36,40),0)/100)))+1)),0)</f>
        <v/>
      </c>
      <c r="S83">
        <f>IF(C83,(H83*N83*IF(AND(Inputs!$B$38&lt;&gt;"pvp",Inputs!$B$43&gt;0),((Skills!G13*((R83-1)*IF(Skills!H13&gt;0,Skills!I13/Skills!H13,1)+IF(Skills!H13&gt;0,MIN(Skills!I13,MAX(0,MAX(0,Inputs!$B$43-B108)-((R83-1)*(IF(Inputs!$B$38="pvp",15,MAX(0.1,Skills!E13-IF(Skills!F13=TRUE,Inputs!$B$32,0)))*(1-IF(AND(ArtifactsInput!$M$27,Inputs!$B$4="Chapter Hunt"),CHOOSE(ArtifactsInput!$N$27+1,20,24,28,32,36,40),0)/100)))))/Skills!H13,1)))/Inputs!$B$43),G83*Q83)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83*(1-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
        <f>IF(C83,(H83*N83*IF(AND(Inputs!$B$38&lt;&gt;"pvp",Inputs!$B$43&gt;0),((Skills!G13*((R83-1)*IF(Skills!H13&gt;0,Skills!I13/Skills!H13,1)+IF(Skills!H13&gt;0,MIN(Skills!I13,MAX(0,MAX(0,Inputs!$B$43-B108)-((R83-1)*(IF(Inputs!$B$38="pvp",15,MAX(0.1,Skills!E13-IF(Skills!F13=TRUE,Inputs!$B$32,0)))*(1-IF(AND(ArtifactsInput!$M$27,Inputs!$B$4="Chapter Hunt"),CHOOSE(ArtifactsInput!$N$27+1,20,24,28,32,36,40),0)/100)))))/Skills!H13,1)))/Inputs!$B$43),G83*Q83)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
      <c r="A84">
        <f>Skills!A14</f>
        <v/>
      </c>
      <c r="B84">
        <f>Skills!B14</f>
        <v/>
      </c>
      <c r="C84">
        <f>Inputs!$B$3&gt;=113</f>
        <v/>
      </c>
      <c r="D84">
        <f>IF(Skills!C14=1,60+Inputs!$B$25+Inputs!$B$29,IF(Skills!C14=2,90+Inputs!$B$26+Inputs!$B$29,IF(Skills!C14=3,120+Inputs!$B$27+Inputs!$B$29,MAX(0,(Inputs!$B$3-100)*3)+Inputs!$B$28+Inputs!$B$29)))</f>
        <v/>
      </c>
      <c r="E84">
        <f>INDEX(FactorTable!$B$2:$Y$301, MATCH(ROUND(MIN(300,MAX(1,D84)),0), FactorTable!$A$2:$A$301,0), Skills!M14+1)</f>
        <v/>
      </c>
      <c r="F84">
        <f>IF(Skills!N14=TRUE,(Skills!L14/10)*(E84/1000),Skills!L14/10)+Skills!O14</f>
        <v/>
      </c>
      <c r="G84">
        <f>Calc!G14</f>
        <v/>
      </c>
      <c r="H84">
        <f>Calc!H14</f>
        <v/>
      </c>
      <c r="I84">
        <f>IF(Skills!X14&lt;&gt;"",1+(Skills!X14/10)*(Z73/1000)/100,1)</f>
        <v/>
      </c>
      <c r="J84">
        <f>((Inputs!$B$6*(1+Inputs!$B$7/100))+((((Inputs!$B$12+1)*(1+Inputs!$B$13/100))-(Inputs!$B$12*(1+Inputs!$B$13/100)))+0.25*(Inputs!$B$14-Inputs!$B$14))*(1+Inputs!$B$7/100))*(F84/100)</f>
        <v/>
      </c>
      <c r="K84">
        <f>J84*(1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f>
        <v/>
      </c>
      <c r="L84">
        <f>K84*(MIN(Inputs!$B$22+(F92-Calc!F22),(Inputs!$B$23+(IF(ArtifactsInput!$M$15,CHOOSE(ArtifactsInput!$N$15+1,25,30,35,40,45,50)/100*(Inputs!$B$11-Inputs!$B$11),0))))/100+(Inputs!$B$23+(IF(ArtifactsInput!$M$15,CHOOSE(ArtifactsInput!$N$15+1,25,30,35,40,45,50)/100*(Inputs!$B$11-Inputs!$B$11),0)))/100)/2</f>
        <v/>
      </c>
      <c r="M84">
        <f>L84*(1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
        <f>L84*(1-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
        <f>(1-Summary!$B$11)*S84+Summary!$B$11*U84</f>
        <v/>
      </c>
      <c r="P84">
        <f>IF(B111=0,0,O84/B111)</f>
        <v/>
      </c>
      <c r="Q84">
        <f>IFERROR(1/(IF(Inputs!$B$38="pvp",15,MAX(0.1,Skills!E14-IF(Skills!F14=TRUE,Inputs!$B$32,0)))*(1-IF(AND(ArtifactsInput!$M$27,Inputs!$B$4="Chapter Hunt"),CHOOSE(ArtifactsInput!$N$27+1,20,24,28,32,36,40),0)/100)),0)</f>
        <v/>
      </c>
      <c r="R84" t="n">
        <v>0</v>
      </c>
      <c r="S84">
        <f>IF(C84,((H84*B107)/(1+Skills!H14*H84*B107)*N84)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84*(1-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4">
        <f>IF(C84,((H84*B107)/(1+Skills!H14*H84*B107)*N84)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
      <c r="A85">
        <f>Skills!A15</f>
        <v/>
      </c>
      <c r="B85">
        <f>Skills!B15</f>
        <v/>
      </c>
      <c r="C85">
        <f>Inputs!$B$3&gt;=107</f>
        <v/>
      </c>
      <c r="D85">
        <f>IF(Skills!C15=1,60+Inputs!$B$25+Inputs!$B$29,IF(Skills!C15=2,90+Inputs!$B$26+Inputs!$B$29,IF(Skills!C15=3,120+Inputs!$B$27+Inputs!$B$29,MAX(0,(Inputs!$B$3-100)*3)+Inputs!$B$28+Inputs!$B$29)))</f>
        <v/>
      </c>
      <c r="E85">
        <f>INDEX(FactorTable!$B$2:$Y$301, MATCH(ROUND(MIN(300,MAX(1,D85)),0), FactorTable!$A$2:$A$301,0), Skills!M15+1)</f>
        <v/>
      </c>
      <c r="F85">
        <f>IF(Skills!N15=TRUE,(Skills!L15/10)*(E85/1000),Skills!L15/10)+Skills!O15</f>
        <v/>
      </c>
      <c r="G85">
        <f>Calc!G15</f>
        <v/>
      </c>
      <c r="H85">
        <f>Calc!H15</f>
        <v/>
      </c>
      <c r="I85">
        <f>IF(Skills!X15&lt;&gt;"",1+(Skills!X15/10)*(Z73/1000)/100,1)</f>
        <v/>
      </c>
      <c r="J85">
        <f>((Inputs!$B$6*(1+Inputs!$B$7/100))+((((Inputs!$B$12+1)*(1+Inputs!$B$13/100))-(Inputs!$B$12*(1+Inputs!$B$13/100)))+0.25*(Inputs!$B$14-Inputs!$B$14))*(1+Inputs!$B$7/100))*(F85/100)</f>
        <v/>
      </c>
      <c r="K85">
        <f>J85*(1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f>
        <v/>
      </c>
      <c r="L85">
        <f>K85*(MIN(Inputs!$B$22+(F92-Calc!F22),(Inputs!$B$23+(IF(ArtifactsInput!$M$15,CHOOSE(ArtifactsInput!$N$15+1,25,30,35,40,45,50)/100*(Inputs!$B$11-Inputs!$B$11),0))))/100+(Inputs!$B$23+(IF(ArtifactsInput!$M$15,CHOOSE(ArtifactsInput!$N$15+1,25,30,35,40,45,50)/100*(Inputs!$B$11-Inputs!$B$11),0)))/100)/2</f>
        <v/>
      </c>
      <c r="M85">
        <f>L85*(1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
        <f>L85*(1-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
        <f>(1-Summary!$B$11)*S85+Summary!$B$11*U85</f>
        <v/>
      </c>
      <c r="P85">
        <f>IF(B111=0,0,O85/B111)</f>
        <v/>
      </c>
      <c r="Q85">
        <f>IFERROR(1/(IF(Inputs!$B$38="pvp",15,MAX(0.1,Skills!E15-IF(Skills!F15=TRUE,Inputs!$B$32,0)))*(1-IF(AND(ArtifactsInput!$M$27,Inputs!$B$4="Chapter Hunt"),CHOOSE(ArtifactsInput!$N$27+1,20,24,28,32,36,40),0)/100)),0)</f>
        <v/>
      </c>
      <c r="R85">
        <f>IF(AND(Inputs!$B$38&lt;&gt;"pvp",Inputs!$B$43&gt;0),IF(MAX(0,Inputs!$B$43-B108)&lt;=0,0,(INT(MAX(0,Inputs!$B$43-B108)/(IF(Inputs!$B$38="pvp",15,MAX(0.1,Skills!E15-IF(Skills!F15=TRUE,Inputs!$B$32,0)))*(1-IF(AND(ArtifactsInput!$M$27,Inputs!$B$4="Chapter Hunt"),CHOOSE(ArtifactsInput!$N$27+1,20,24,28,32,36,40),0)/100)))+1)),0)</f>
        <v/>
      </c>
      <c r="S85">
        <f>IF(C85,(H85*N85*IF(AND(Inputs!$B$38&lt;&gt;"pvp",Inputs!$B$43&gt;0),((Skills!G15*((R85-1)*IF(Skills!H15&gt;0,Skills!I15/Skills!H15,1)+IF(Skills!H15&gt;0,MIN(Skills!I15,MAX(0,MAX(0,Inputs!$B$43-B108)-((R85-1)*(IF(Inputs!$B$38="pvp",15,MAX(0.1,Skills!E15-IF(Skills!F15=TRUE,Inputs!$B$32,0)))*(1-IF(AND(ArtifactsInput!$M$27,Inputs!$B$4="Chapter Hunt"),CHOOSE(ArtifactsInput!$N$27+1,20,24,28,32,36,40),0)/100)))))/Skills!H15,1)))/Inputs!$B$43),G85*Q85)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
        <f>IF(C85,(H85*N85*IF(AND(Inputs!$B$38&lt;&gt;"pvp",Inputs!$B$43&gt;0),((Skills!G15*((R85-1)*IF(Skills!H15&gt;0,Skills!I15/Skills!H15,1)+IF(Skills!H15&gt;0,MIN(Skills!I15,MAX(0,MAX(0,Inputs!$B$43-B108)-((R85-1)*(IF(Inputs!$B$38="pvp",15,MAX(0.1,Skills!E15-IF(Skills!F15=TRUE,Inputs!$B$32,0)))*(1-IF(AND(ArtifactsInput!$M$27,Inputs!$B$4="Chapter Hunt"),CHOOSE(ArtifactsInput!$N$27+1,20,24,28,32,36,40),0)/100)))))/Skills!H15,1)))/Inputs!$B$43),G85*Q85)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
      <c r="A86">
        <f>Skills!A16</f>
        <v/>
      </c>
      <c r="B86">
        <f>Skills!B16</f>
        <v/>
      </c>
      <c r="C86">
        <f>Inputs!$B$3&gt;=107</f>
        <v/>
      </c>
      <c r="D86">
        <f>IF(Skills!C16=1,60+Inputs!$B$25+Inputs!$B$29,IF(Skills!C16=2,90+Inputs!$B$26+Inputs!$B$29,IF(Skills!C16=3,120+Inputs!$B$27+Inputs!$B$29,MAX(0,(Inputs!$B$3-100)*3)+Inputs!$B$28+Inputs!$B$29)))</f>
        <v/>
      </c>
      <c r="E86">
        <f>INDEX(FactorTable!$B$2:$Y$301, MATCH(ROUND(MIN(300,MAX(1,D86)),0), FactorTable!$A$2:$A$301,0), Skills!M16+1)</f>
        <v/>
      </c>
      <c r="F86">
        <f>IF(Skills!N16=TRUE,(Skills!L16/10)*(E86/1000),Skills!L16/10)+Skills!O16</f>
        <v/>
      </c>
      <c r="G86">
        <f>Calc!G16</f>
        <v/>
      </c>
      <c r="H86">
        <f>Calc!H16</f>
        <v/>
      </c>
      <c r="I86">
        <f>IF(Skills!X16&lt;&gt;"",1+(Skills!X16/10)*(Z73/1000)/100,1)</f>
        <v/>
      </c>
      <c r="J86">
        <f>((Inputs!$B$6*(1+Inputs!$B$7/100))+((((Inputs!$B$12+1)*(1+Inputs!$B$13/100))-(Inputs!$B$12*(1+Inputs!$B$13/100)))+0.25*(Inputs!$B$14-Inputs!$B$14))*(1+Inputs!$B$7/100))*(F86/100)</f>
        <v/>
      </c>
      <c r="K86">
        <f>J86*(1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f>
        <v/>
      </c>
      <c r="L86">
        <f>K86*(MIN(Inputs!$B$22+(F92-Calc!F22),(Inputs!$B$23+(IF(ArtifactsInput!$M$15,CHOOSE(ArtifactsInput!$N$15+1,25,30,35,40,45,50)/100*(Inputs!$B$11-Inputs!$B$11),0))))/100+(Inputs!$B$23+(IF(ArtifactsInput!$M$15,CHOOSE(ArtifactsInput!$N$15+1,25,30,35,40,45,50)/100*(Inputs!$B$11-Inputs!$B$11),0)))/100)/2</f>
        <v/>
      </c>
      <c r="M86">
        <f>L86*(1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
        <f>L86*(1-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
        <f>(1-Summary!$B$11)*S86+Summary!$B$11*U86</f>
        <v/>
      </c>
      <c r="P86">
        <f>IF(B111=0,0,O86/B111)</f>
        <v/>
      </c>
      <c r="Q86">
        <f>IFERROR(1/(IF(Inputs!$B$38="pvp",15,MAX(0.1,Skills!E16-IF(Skills!F16=TRUE,Inputs!$B$32,0)))*(1-IF(AND(ArtifactsInput!$M$27,Inputs!$B$4="Chapter Hunt"),CHOOSE(ArtifactsInput!$N$27+1,20,24,28,32,36,40),0)/100)),0)</f>
        <v/>
      </c>
      <c r="R86">
        <f>IF(AND(Inputs!$B$38&lt;&gt;"pvp",Inputs!$B$43&gt;0),IF(MAX(0,Inputs!$B$43-B108)&lt;=0,0,(INT(MAX(0,Inputs!$B$43-B108)/(IF(Inputs!$B$38="pvp",15,MAX(0.1,Skills!E16-IF(Skills!F16=TRUE,Inputs!$B$32,0)))*(1-IF(AND(ArtifactsInput!$M$27,Inputs!$B$4="Chapter Hunt"),CHOOSE(ArtifactsInput!$N$27+1,20,24,28,32,36,40),0)/100)))+1)),0)</f>
        <v/>
      </c>
      <c r="S86">
        <f>IF(C86,(H86*N86*IF(AND(Inputs!$B$38&lt;&gt;"pvp",Inputs!$B$43&gt;0),((Skills!G16*((R86-1)*IF(Skills!H16&gt;0,Skills!I16/Skills!H16,1)+IF(Skills!H16&gt;0,MIN(Skills!I16,MAX(0,MAX(0,Inputs!$B$43-B108)-((R86-1)*(IF(Inputs!$B$38="pvp",15,MAX(0.1,Skills!E16-IF(Skills!F16=TRUE,Inputs!$B$32,0)))*(1-IF(AND(ArtifactsInput!$M$27,Inputs!$B$4="Chapter Hunt"),CHOOSE(ArtifactsInput!$N$27+1,20,24,28,32,36,40),0)/100)))))/Skills!H16,1)))/Inputs!$B$43),G86*Q86)*(1+IF(Inputs!$B$3&gt;=126,0.05*(B106+Q83+(H84*B107)/(1+Skills!H14*H84*B107)+Q94)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6">
        <f>IF(C86,(H86*N86*IF(AND(Inputs!$B$38&lt;&gt;"pvp",Inputs!$B$43&gt;0),((Skills!G16*((R86-1)*IF(Skills!H16&gt;0,Skills!I16/Skills!H16,1)+IF(Skills!H16&gt;0,MIN(Skills!I16,MAX(0,MAX(0,Inputs!$B$43-B108)-((R86-1)*(IF(Inputs!$B$38="pvp",15,MAX(0.1,Skills!E16-IF(Skills!F16=TRUE,Inputs!$B$32,0)))*(1-IF(AND(ArtifactsInput!$M$27,Inputs!$B$4="Chapter Hunt"),CHOOSE(ArtifactsInput!$N$27+1,20,24,28,32,36,40),0)/100)))))/Skills!H16,1)))/Inputs!$B$43),G86*Q86)*(1+IF(Inputs!$B$3&gt;=126,0.05*(B106+Q83+(H84*B107)/(1+Skills!H14*H84*B107)+Q94)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
      <c r="A87">
        <f>Skills!A17</f>
        <v/>
      </c>
      <c r="B87">
        <f>Skills!B17</f>
        <v/>
      </c>
      <c r="C87">
        <f>TRUE</f>
        <v/>
      </c>
      <c r="D87">
        <f>IF(Skills!C17=1,60+Inputs!$B$25+Inputs!$B$29,IF(Skills!C17=2,90+Inputs!$B$26+Inputs!$B$29,IF(Skills!C17=3,120+Inputs!$B$27+Inputs!$B$29,MAX(0,(Inputs!$B$3-100)*3)+Inputs!$B$28+Inputs!$B$29)))</f>
        <v/>
      </c>
      <c r="E87">
        <f>INDEX(FactorTable!$B$2:$Y$301, MATCH(ROUND(MIN(300,MAX(1,D87)),0), FactorTable!$A$2:$A$301,0), Skills!M17+1)</f>
        <v/>
      </c>
      <c r="F87">
        <f>IF(Skills!N17=TRUE,(Skills!L17/10)*(E87/1000),Skills!L17/10)+Skills!O17</f>
        <v/>
      </c>
      <c r="G87">
        <f>Calc!G17</f>
        <v/>
      </c>
      <c r="H87">
        <f>Calc!H17</f>
        <v/>
      </c>
      <c r="I87">
        <f>IF(Skills!X17&lt;&gt;"",1+(Skills!X17/10)*(Z73/1000)/100,1)</f>
        <v/>
      </c>
      <c r="J87" t="inlineStr"/>
      <c r="K87" t="inlineStr"/>
      <c r="L87" t="inlineStr"/>
      <c r="M87" t="inlineStr"/>
      <c r="N87" t="inlineStr"/>
      <c r="O87">
        <f>(1-Summary!$B$11)*S87+Summary!$B$11*U87</f>
        <v/>
      </c>
      <c r="P87">
        <f>IF(B111=0,0,O87/B111)</f>
        <v/>
      </c>
      <c r="Q87">
        <f>IFERROR(1/(IF(Inputs!$B$38="pvp",15,MAX(0.1,Skills!E17-IF(Skills!F17=TRUE,Inputs!$B$32,0)))*(1-IF(AND(ArtifactsInput!$M$27,Inputs!$B$4="Chapter Hunt"),CHOOSE(ArtifactsInput!$N$27+1,20,24,28,32,36,40),0)/100)),0)</f>
        <v/>
      </c>
      <c r="R87">
        <f>IF(AND(Inputs!$B$38&lt;&gt;"pvp",Inputs!$B$43&gt;0),IF(Inputs!$B$43&lt;=0,0,(INT(Inputs!$B$43/(IF(Inputs!$B$38="pvp",15,MAX(0.1,Skills!E17-IF(Skills!F17=TRUE,Inputs!$B$32,0)))*(1-IF(AND(ArtifactsInput!$M$27,Inputs!$B$4="Chapter Hunt"),CHOOSE(ArtifactsInput!$N$27+1,20,24,28,32,36,40),0)/100)))+1)),0)</f>
        <v/>
      </c>
      <c r="S87" t="n">
        <v>0</v>
      </c>
      <c r="U87" t="n">
        <v>0</v>
      </c>
    </row>
    <row r="88">
      <c r="A88">
        <f>Skills!A18</f>
        <v/>
      </c>
      <c r="B88">
        <f>Skills!B18</f>
        <v/>
      </c>
      <c r="C88">
        <f>TRUE</f>
        <v/>
      </c>
      <c r="D88">
        <f>IF(Skills!C18=1,60+Inputs!$B$25+Inputs!$B$29,IF(Skills!C18=2,90+Inputs!$B$26+Inputs!$B$29,IF(Skills!C18=3,120+Inputs!$B$27+Inputs!$B$29,MAX(0,(Inputs!$B$3-100)*3)+Inputs!$B$28+Inputs!$B$29)))</f>
        <v/>
      </c>
      <c r="E88">
        <f>INDEX(FactorTable!$B$2:$Y$301, MATCH(ROUND(MIN(300,MAX(1,D88)),0), FactorTable!$A$2:$A$301,0), Skills!M18+1)</f>
        <v/>
      </c>
      <c r="F88">
        <f>IF(Skills!N18=TRUE,(Skills!L18/10)*(E88/1000),Skills!L18/10)+Skills!O18</f>
        <v/>
      </c>
      <c r="G88">
        <f>Calc!G18</f>
        <v/>
      </c>
      <c r="H88">
        <f>Calc!H18</f>
        <v/>
      </c>
      <c r="I88">
        <f>IF(Skills!X18&lt;&gt;"",1+(Skills!X18/10)*(Z73/1000)/100,1)</f>
        <v/>
      </c>
      <c r="J88" t="inlineStr"/>
      <c r="K88" t="inlineStr"/>
      <c r="L88" t="inlineStr"/>
      <c r="M88" t="inlineStr"/>
      <c r="N88" t="inlineStr"/>
      <c r="O88">
        <f>(1-Summary!$B$11)*S88+Summary!$B$11*U88</f>
        <v/>
      </c>
      <c r="P88">
        <f>IF(B111=0,0,O88/B111)</f>
        <v/>
      </c>
      <c r="Q88">
        <f>IFERROR(1/(IF(Inputs!$B$38="pvp",15,MAX(0.1,Skills!E18-IF(Skills!F18=TRUE,Inputs!$B$32,0)))*(1-IF(AND(ArtifactsInput!$M$27,Inputs!$B$4="Chapter Hunt"),CHOOSE(ArtifactsInput!$N$27+1,20,24,28,32,36,40),0)/100)),0)</f>
        <v/>
      </c>
      <c r="R88">
        <f>IF(AND(Inputs!$B$38&lt;&gt;"pvp",Inputs!$B$43&gt;0),IF(Inputs!$B$43&lt;=0,0,(INT(Inputs!$B$43/(IF(Inputs!$B$38="pvp",15,MAX(0.1,Skills!E18-IF(Skills!F18=TRUE,Inputs!$B$32,0)))*(1-IF(AND(ArtifactsInput!$M$27,Inputs!$B$4="Chapter Hunt"),CHOOSE(ArtifactsInput!$N$27+1,20,24,28,32,36,40),0)/100)))+1)),0)</f>
        <v/>
      </c>
      <c r="S88" t="n">
        <v>0</v>
      </c>
      <c r="U88" t="n">
        <v>0</v>
      </c>
    </row>
    <row r="89">
      <c r="A89">
        <f>Skills!A19</f>
        <v/>
      </c>
      <c r="B89">
        <f>Skills!B19</f>
        <v/>
      </c>
      <c r="C89">
        <f>Inputs!$B$3&gt;=110</f>
        <v/>
      </c>
      <c r="D89">
        <f>IF(Skills!C19=1,60+Inputs!$B$25+Inputs!$B$29,IF(Skills!C19=2,90+Inputs!$B$26+Inputs!$B$29,IF(Skills!C19=3,120+Inputs!$B$27+Inputs!$B$29,MAX(0,(Inputs!$B$3-100)*3)+Inputs!$B$28+Inputs!$B$29)))</f>
        <v/>
      </c>
      <c r="E89">
        <f>INDEX(FactorTable!$B$2:$Y$301, MATCH(ROUND(MIN(300,MAX(1,D89)),0), FactorTable!$A$2:$A$301,0), Skills!M19+1)</f>
        <v/>
      </c>
      <c r="F89">
        <f>IF(Skills!N19=TRUE,(Skills!L19/10)*(E89/1000),Skills!L19/10)+Skills!O19</f>
        <v/>
      </c>
      <c r="G89">
        <f>Calc!G19</f>
        <v/>
      </c>
      <c r="H89">
        <f>Calc!H19</f>
        <v/>
      </c>
      <c r="I89">
        <f>IF(Skills!X19&lt;&gt;"",1+(Skills!X19/10)*(Z73/1000)/100,1)</f>
        <v/>
      </c>
      <c r="J89" t="inlineStr"/>
      <c r="K89" t="inlineStr"/>
      <c r="L89" t="inlineStr"/>
      <c r="M89" t="inlineStr"/>
      <c r="N89" t="inlineStr"/>
      <c r="O89">
        <f>(1-Summary!$B$11)*S89+Summary!$B$11*U89</f>
        <v/>
      </c>
      <c r="P89">
        <f>IF(B111=0,0,O89/B111)</f>
        <v/>
      </c>
      <c r="Q89">
        <f>IFERROR(1/(IF(Inputs!$B$38="pvp",15,MAX(0.1,Skills!E19-IF(Skills!F19=TRUE,Inputs!$B$32,0)))*(1-IF(AND(ArtifactsInput!$M$27,Inputs!$B$4="Chapter Hunt"),CHOOSE(ArtifactsInput!$N$27+1,20,24,28,32,36,40),0)/100)),0)</f>
        <v/>
      </c>
      <c r="R89">
        <f>IF(AND(Inputs!$B$38&lt;&gt;"pvp",Inputs!$B$43&gt;0),IF(Inputs!$B$43&lt;=0,0,(INT(Inputs!$B$43/(IF(Inputs!$B$38="pvp",15,MAX(0.1,Skills!E19-IF(Skills!F19=TRUE,Inputs!$B$32,0)))*(1-IF(AND(ArtifactsInput!$M$27,Inputs!$B$4="Chapter Hunt"),CHOOSE(ArtifactsInput!$N$27+1,20,24,28,32,36,40),0)/100)))+1)),0)</f>
        <v/>
      </c>
      <c r="S89" t="n">
        <v>0</v>
      </c>
      <c r="U89" t="n">
        <v>0</v>
      </c>
    </row>
    <row r="90">
      <c r="A90">
        <f>Skills!A20</f>
        <v/>
      </c>
      <c r="B90">
        <f>Skills!B20</f>
        <v/>
      </c>
      <c r="C90">
        <f>TRUE</f>
        <v/>
      </c>
      <c r="D90">
        <f>IF(Skills!C20=1,60+Inputs!$B$25+Inputs!$B$29,IF(Skills!C20=2,90+Inputs!$B$26+Inputs!$B$29,IF(Skills!C20=3,120+Inputs!$B$27+Inputs!$B$29,MAX(0,(Inputs!$B$3-100)*3)+Inputs!$B$28+Inputs!$B$29)))</f>
        <v/>
      </c>
      <c r="E90">
        <f>INDEX(FactorTable!$B$2:$Y$301, MATCH(ROUND(MIN(300,MAX(1,D90)),0), FactorTable!$A$2:$A$301,0), Skills!M20+1)</f>
        <v/>
      </c>
      <c r="F90">
        <f>IF(Skills!N20=TRUE,(Skills!L20/10)*(E90/1000),Skills!L20/10)+Skills!O20</f>
        <v/>
      </c>
      <c r="G90">
        <f>Calc!G20</f>
        <v/>
      </c>
      <c r="H90">
        <f>Calc!H20</f>
        <v/>
      </c>
      <c r="I90">
        <f>IF(Skills!X20&lt;&gt;"",1+(Skills!X20/10)*(Z73/1000)/100,1)</f>
        <v/>
      </c>
      <c r="J90" t="inlineStr"/>
      <c r="K90" t="inlineStr"/>
      <c r="L90" t="inlineStr"/>
      <c r="M90" t="inlineStr"/>
      <c r="N90" t="inlineStr"/>
      <c r="O90">
        <f>(1-Summary!$B$11)*S90+Summary!$B$11*U90</f>
        <v/>
      </c>
      <c r="P90">
        <f>IF(B111=0,0,O90/B111)</f>
        <v/>
      </c>
      <c r="Q90">
        <f>IFERROR(1/(IF(Inputs!$B$38="pvp",15,MAX(0.1,Skills!E20-IF(Skills!F20=TRUE,Inputs!$B$32,0)))*(1-IF(AND(ArtifactsInput!$M$27,Inputs!$B$4="Chapter Hunt"),CHOOSE(ArtifactsInput!$N$27+1,20,24,28,32,36,40),0)/100)),0)</f>
        <v/>
      </c>
      <c r="R90" t="n">
        <v>0</v>
      </c>
      <c r="S90" t="n">
        <v>0</v>
      </c>
      <c r="U90" t="n">
        <v>0</v>
      </c>
    </row>
    <row r="91">
      <c r="A91">
        <f>Skills!A21</f>
        <v/>
      </c>
      <c r="B91">
        <f>Skills!B21</f>
        <v/>
      </c>
      <c r="C91">
        <f>TRUE</f>
        <v/>
      </c>
      <c r="D91">
        <f>IF(Skills!C21=1,60+Inputs!$B$25+Inputs!$B$29,IF(Skills!C21=2,90+Inputs!$B$26+Inputs!$B$29,IF(Skills!C21=3,120+Inputs!$B$27+Inputs!$B$29,MAX(0,(Inputs!$B$3-100)*3)+Inputs!$B$28+Inputs!$B$29)))</f>
        <v/>
      </c>
      <c r="E91">
        <f>INDEX(FactorTable!$B$2:$Y$301, MATCH(ROUND(MIN(300,MAX(1,D91)),0), FactorTable!$A$2:$A$301,0), Skills!M21+1)</f>
        <v/>
      </c>
      <c r="F91">
        <f>IF(Skills!N21=TRUE,(Skills!L21/10)*(E91/1000),Skills!L21/10)+Skills!O21</f>
        <v/>
      </c>
      <c r="G91">
        <f>Calc!G21</f>
        <v/>
      </c>
      <c r="H91">
        <f>Calc!H21</f>
        <v/>
      </c>
      <c r="I91">
        <f>IF(Skills!X21&lt;&gt;"",1+(Skills!X21/10)*(Z73/1000)/100,1)</f>
        <v/>
      </c>
      <c r="J91" t="inlineStr"/>
      <c r="K91" t="inlineStr"/>
      <c r="L91" t="inlineStr"/>
      <c r="M91" t="inlineStr"/>
      <c r="N91" t="inlineStr"/>
      <c r="O91">
        <f>(1-Summary!$B$11)*S91+Summary!$B$11*U91</f>
        <v/>
      </c>
      <c r="P91">
        <f>IF(B111=0,0,O91/B111)</f>
        <v/>
      </c>
      <c r="Q91">
        <f>IFERROR(1/(IF(Inputs!$B$38="pvp",15,MAX(0.1,Skills!E21-IF(Skills!F21=TRUE,Inputs!$B$32,0)))*(1-IF(AND(ArtifactsInput!$M$27,Inputs!$B$4="Chapter Hunt"),CHOOSE(ArtifactsInput!$N$27+1,20,24,28,32,36,40),0)/100)),0)</f>
        <v/>
      </c>
      <c r="R91" t="n">
        <v>0</v>
      </c>
      <c r="S91" t="n">
        <v>0</v>
      </c>
      <c r="U91" t="n">
        <v>0</v>
      </c>
    </row>
    <row r="92">
      <c r="A92">
        <f>Skills!A22</f>
        <v/>
      </c>
      <c r="B92">
        <f>Skills!B22</f>
        <v/>
      </c>
      <c r="C92">
        <f>TRUE</f>
        <v/>
      </c>
      <c r="D92">
        <f>IF(Skills!C22=1,60+Inputs!$B$25+Inputs!$B$29,IF(Skills!C22=2,90+Inputs!$B$26+Inputs!$B$29,IF(Skills!C22=3,120+Inputs!$B$27+Inputs!$B$29,MAX(0,(Inputs!$B$3-100)*3)+Inputs!$B$28+Inputs!$B$29)))</f>
        <v/>
      </c>
      <c r="E92">
        <f>INDEX(FactorTable!$B$2:$Y$301, MATCH(ROUND(MIN(300,MAX(1,D92)),0), FactorTable!$A$2:$A$301,0), Skills!M22+1)</f>
        <v/>
      </c>
      <c r="F92">
        <f>IF(Skills!N22=TRUE,(Skills!L22/10)*(E92/1000),Skills!L22/10)+Skills!O22</f>
        <v/>
      </c>
      <c r="G92">
        <f>Calc!G22</f>
        <v/>
      </c>
      <c r="H92">
        <f>Calc!H22</f>
        <v/>
      </c>
      <c r="I92">
        <f>IF(Skills!X22&lt;&gt;"",1+(Skills!X22/10)*(Z73/1000)/100,1)</f>
        <v/>
      </c>
      <c r="J92" t="inlineStr"/>
      <c r="K92" t="inlineStr"/>
      <c r="L92" t="inlineStr"/>
      <c r="M92" t="inlineStr"/>
      <c r="N92" t="inlineStr"/>
      <c r="O92">
        <f>(1-Summary!$B$11)*S92+Summary!$B$11*U92</f>
        <v/>
      </c>
      <c r="P92">
        <f>IF(B111=0,0,O92/B111)</f>
        <v/>
      </c>
      <c r="Q92">
        <f>IFERROR(1/(IF(Inputs!$B$38="pvp",15,MAX(0.1,Skills!E22-IF(Skills!F22=TRUE,Inputs!$B$32,0)))*(1-IF(AND(ArtifactsInput!$M$27,Inputs!$B$4="Chapter Hunt"),CHOOSE(ArtifactsInput!$N$27+1,20,24,28,32,36,40),0)/100)),0)</f>
        <v/>
      </c>
      <c r="R92" t="n">
        <v>0</v>
      </c>
      <c r="S92" t="n">
        <v>0</v>
      </c>
      <c r="U92" t="n">
        <v>0</v>
      </c>
    </row>
    <row r="93">
      <c r="A93">
        <f>Skills!A23</f>
        <v/>
      </c>
      <c r="B93">
        <f>Skills!B23</f>
        <v/>
      </c>
      <c r="C93">
        <f>TRUE</f>
        <v/>
      </c>
      <c r="D93">
        <f>IF(Skills!C23=1,60+Inputs!$B$25+Inputs!$B$29,IF(Skills!C23=2,90+Inputs!$B$26+Inputs!$B$29,IF(Skills!C23=3,120+Inputs!$B$27+Inputs!$B$29,MAX(0,(Inputs!$B$3-100)*3)+Inputs!$B$28+Inputs!$B$29)))</f>
        <v/>
      </c>
      <c r="E93">
        <f>INDEX(FactorTable!$B$2:$Y$301, MATCH(ROUND(MIN(300,MAX(1,D93)),0), FactorTable!$A$2:$A$301,0), Skills!M23+1)</f>
        <v/>
      </c>
      <c r="F93">
        <f>IF(Skills!N23=TRUE,(Skills!L23/10)*(E93/1000),Skills!L23/10)+Skills!O23</f>
        <v/>
      </c>
      <c r="G93">
        <f>Calc!G23</f>
        <v/>
      </c>
      <c r="H93">
        <f>Calc!H23</f>
        <v/>
      </c>
      <c r="I93">
        <f>IF(Skills!X23&lt;&gt;"",1+(Skills!X23/10)*(Z73/1000)/100,1)</f>
        <v/>
      </c>
      <c r="J93" t="inlineStr"/>
      <c r="K93" t="inlineStr"/>
      <c r="L93" t="inlineStr"/>
      <c r="M93" t="inlineStr"/>
      <c r="N93" t="inlineStr"/>
      <c r="O93">
        <f>(1-Summary!$B$11)*S93+Summary!$B$11*U93</f>
        <v/>
      </c>
      <c r="P93">
        <f>IF(B111=0,0,O93/B111)</f>
        <v/>
      </c>
      <c r="Q93">
        <f>IFERROR(1/(IF(Inputs!$B$38="pvp",15,MAX(0.1,Skills!E23-IF(Skills!F23=TRUE,Inputs!$B$32,0)))*(1-IF(AND(ArtifactsInput!$M$27,Inputs!$B$4="Chapter Hunt"),CHOOSE(ArtifactsInput!$N$27+1,20,24,28,32,36,40),0)/100)),0)</f>
        <v/>
      </c>
      <c r="R93" t="n">
        <v>0</v>
      </c>
      <c r="S93" t="n">
        <v>0</v>
      </c>
      <c r="U93" t="n">
        <v>0</v>
      </c>
    </row>
    <row r="94">
      <c r="A94">
        <f>Skills!A24</f>
        <v/>
      </c>
      <c r="B94">
        <f>Skills!B24</f>
        <v/>
      </c>
      <c r="C94">
        <f>Inputs!$B$3&gt;=115</f>
        <v/>
      </c>
      <c r="D94">
        <f>IF(Skills!C24=1,60+Inputs!$B$25+Inputs!$B$29,IF(Skills!C24=2,90+Inputs!$B$26+Inputs!$B$29,IF(Skills!C24=3,120+Inputs!$B$27+Inputs!$B$29,MAX(0,(Inputs!$B$3-100)*3)+Inputs!$B$28+Inputs!$B$29)))</f>
        <v/>
      </c>
      <c r="E94">
        <f>INDEX(FactorTable!$B$2:$Y$301, MATCH(ROUND(MIN(300,MAX(1,D94)),0), FactorTable!$A$2:$A$301,0), Skills!M24+1)</f>
        <v/>
      </c>
      <c r="F94">
        <f>IF(Skills!N24=TRUE,(Skills!L24/10)*(E94/1000),Skills!L24/10)+Skills!O24</f>
        <v/>
      </c>
      <c r="G94">
        <f>Calc!G24</f>
        <v/>
      </c>
      <c r="H94">
        <f>Calc!H24</f>
        <v/>
      </c>
      <c r="I94">
        <f>IF(Skills!X24&lt;&gt;"",1+(Skills!X24/10)*(Z73/1000)/100,1)</f>
        <v/>
      </c>
      <c r="J94">
        <f>((Inputs!$B$6*(1+Inputs!$B$7/100))+((((Inputs!$B$12+1)*(1+Inputs!$B$13/100))-(Inputs!$B$12*(1+Inputs!$B$13/100)))+0.25*(Inputs!$B$14-Inputs!$B$14))*(1+Inputs!$B$7/100))*(F94/100)</f>
        <v/>
      </c>
      <c r="K94">
        <f>J94*(1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f>
        <v/>
      </c>
      <c r="L94">
        <f>K94*(MIN(Inputs!$B$22+(F92-Calc!F22),(Inputs!$B$23+(IF(ArtifactsInput!$M$15,CHOOSE(ArtifactsInput!$N$15+1,25,30,35,40,45,50)/100*(Inputs!$B$11-Inputs!$B$11),0))))/100+(Inputs!$B$23+(IF(ArtifactsInput!$M$15,CHOOSE(ArtifactsInput!$N$15+1,25,30,35,40,45,50)/100*(Inputs!$B$11-Inputs!$B$11),0)))/100)/2</f>
        <v/>
      </c>
      <c r="M94">
        <f>L94*(1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
        <f>L94*(1-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
        <f>(1-Summary!$B$11)*S94+Summary!$B$11*U94</f>
        <v/>
      </c>
      <c r="P94">
        <f>IF(B111=0,0,O94/B111)</f>
        <v/>
      </c>
      <c r="Q94">
        <f>IFERROR(1/(IF(Inputs!$B$38="pvp",15,MAX(0.1,Skills!E24-IF(Skills!F24=TRUE,Inputs!$B$32,0)))*(1-IF(AND(ArtifactsInput!$M$27,Inputs!$B$4="Chapter Hunt"),CHOOSE(ArtifactsInput!$N$27+1,20,24,28,32,36,40),0)/100)),0)</f>
        <v/>
      </c>
      <c r="R94">
        <f>IF(AND(Inputs!$B$38&lt;&gt;"pvp",Inputs!$B$43&gt;0),IF(MAX(0,Inputs!$B$43-B108)&lt;=0,0,(INT(MAX(0,Inputs!$B$43-B108)/(IF(Inputs!$B$38="pvp",15,MAX(0.1,Skills!E24-IF(Skills!F24=TRUE,Inputs!$B$32,0)))*(1-IF(AND(ArtifactsInput!$M$27,Inputs!$B$4="Chapter Hunt"),CHOOSE(ArtifactsInput!$N$27+1,20,24,28,32,36,40),0)/100)))+1)),0)</f>
        <v/>
      </c>
      <c r="S94">
        <f>IF(C94,(H94*N94*IF(AND(Inputs!$B$38&lt;&gt;"pvp",Inputs!$B$43&gt;0),((Skills!G24*((R94-1)*IF(Skills!H24&gt;0,Skills!I24/Skills!H24,1)+IF(Skills!H24&gt;0,MIN(Skills!I24,MAX(0,MAX(0,Inputs!$B$43-B108)-((R94-1)*(IF(Inputs!$B$38="pvp",15,MAX(0.1,Skills!E24-IF(Skills!F24=TRUE,Inputs!$B$32,0)))*(1-IF(AND(ArtifactsInput!$M$27,Inputs!$B$4="Chapter Hunt"),CHOOSE(ArtifactsInput!$N$27+1,20,24,28,32,36,40),0)/100)))))/Skills!H24,1)))/Inputs!$B$43),G94*Q94)*(1+IF(Inputs!$B$3&gt;=130,0.2*(Skills!I16/Skills!E15+IF(Inputs!$B$3&gt;=126,0.05*(B106+Q83+(H84*B107)/(1+Skills!H14*H84*B107)+Q94)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94*(1-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
        <f>IF(C94,(H94*N94*IF(AND(Inputs!$B$38&lt;&gt;"pvp",Inputs!$B$43&gt;0),((Skills!G24*((R94-1)*IF(Skills!H24&gt;0,Skills!I24/Skills!H24,1)+IF(Skills!H24&gt;0,MIN(Skills!I24,MAX(0,MAX(0,Inputs!$B$43-B108)-((R94-1)*(IF(Inputs!$B$38="pvp",15,MAX(0.1,Skills!E24-IF(Skills!F24=TRUE,Inputs!$B$32,0)))*(1-IF(AND(ArtifactsInput!$M$27,Inputs!$B$4="Chapter Hunt"),CHOOSE(ArtifactsInput!$N$27+1,20,24,28,32,36,40),0)/100)))))/Skills!H24,1)))/Inputs!$B$43),G94*Q94)*(1+IF(Inputs!$B$3&gt;=130,0.2*(Skills!I16/Skills!E15+IF(Inputs!$B$3&gt;=126,0.05*(B106+Q83+(H84*B107)/(1+Skills!H14*H84*B107)+Q94)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
      <c r="A95">
        <f>Skills!A25</f>
        <v/>
      </c>
      <c r="B95">
        <f>Skills!B25</f>
        <v/>
      </c>
      <c r="C95">
        <f>Inputs!$B$3&gt;=117</f>
        <v/>
      </c>
      <c r="D95">
        <f>IF(Skills!C25=1,60+Inputs!$B$25+Inputs!$B$29,IF(Skills!C25=2,90+Inputs!$B$26+Inputs!$B$29,IF(Skills!C25=3,120+Inputs!$B$27+Inputs!$B$29,MAX(0,(Inputs!$B$3-100)*3)+Inputs!$B$28+Inputs!$B$29)))</f>
        <v/>
      </c>
      <c r="E95">
        <f>INDEX(FactorTable!$B$2:$Y$301, MATCH(ROUND(MIN(300,MAX(1,D95)),0), FactorTable!$A$2:$A$301,0), Skills!M25+1)</f>
        <v/>
      </c>
      <c r="F95">
        <f>IF(Skills!N25=TRUE,(Skills!L25/10)*(E95/1000),Skills!L25/10)+Skills!O25</f>
        <v/>
      </c>
      <c r="G95">
        <f>Calc!G25</f>
        <v/>
      </c>
      <c r="H95">
        <f>Calc!H25</f>
        <v/>
      </c>
      <c r="I95">
        <f>IF(Skills!X25&lt;&gt;"",1+(Skills!X25/10)*(Z73/1000)/100,1)</f>
        <v/>
      </c>
      <c r="J95" t="inlineStr"/>
      <c r="K95" t="inlineStr"/>
      <c r="L95" t="inlineStr"/>
      <c r="M95" t="inlineStr"/>
      <c r="N95" t="inlineStr"/>
      <c r="O95">
        <f>(1-Summary!$B$11)*S95+Summary!$B$11*U95</f>
        <v/>
      </c>
      <c r="P95">
        <f>IF(B111=0,0,O95/B111)</f>
        <v/>
      </c>
      <c r="Q95">
        <f>IFERROR(1/(IF(Inputs!$B$38="pvp",15,MAX(0.1,Skills!E25-IF(Skills!F25=TRUE,Inputs!$B$32,0)))*(1-IF(AND(ArtifactsInput!$M$27,Inputs!$B$4="Chapter Hunt"),CHOOSE(ArtifactsInput!$N$27+1,20,24,28,32,36,40),0)/100)),0)</f>
        <v/>
      </c>
      <c r="R95" t="n">
        <v>0</v>
      </c>
      <c r="S95" t="n">
        <v>0</v>
      </c>
      <c r="U95" t="n">
        <v>0</v>
      </c>
    </row>
    <row r="96">
      <c r="A96">
        <f>Skills!A26</f>
        <v/>
      </c>
      <c r="B96">
        <f>Skills!B26</f>
        <v/>
      </c>
      <c r="C96">
        <f>Inputs!$B$3&gt;=120</f>
        <v/>
      </c>
      <c r="D96">
        <f>IF(Skills!C26=1,60+Inputs!$B$25+Inputs!$B$29,IF(Skills!C26=2,90+Inputs!$B$26+Inputs!$B$29,IF(Skills!C26=3,120+Inputs!$B$27+Inputs!$B$29,MAX(0,(Inputs!$B$3-100)*3)+Inputs!$B$28+Inputs!$B$29)))</f>
        <v/>
      </c>
      <c r="E96">
        <f>INDEX(FactorTable!$B$2:$Y$301, MATCH(ROUND(MIN(300,MAX(1,D96)),0), FactorTable!$A$2:$A$301,0), Skills!M26+1)</f>
        <v/>
      </c>
      <c r="F96">
        <f>IF(Skills!N26=TRUE,(Skills!L26/10)*(E96/1000),Skills!L26/10)+Skills!O26</f>
        <v/>
      </c>
      <c r="G96">
        <f>Calc!G26</f>
        <v/>
      </c>
      <c r="H96">
        <f>Calc!H26</f>
        <v/>
      </c>
      <c r="I96">
        <f>IF(Skills!X26&lt;&gt;"",1+(Skills!X26/10)*(Z73/1000)/100,1)</f>
        <v/>
      </c>
      <c r="J96" t="inlineStr"/>
      <c r="K96" t="inlineStr"/>
      <c r="L96" t="inlineStr"/>
      <c r="M96" t="inlineStr"/>
      <c r="N96" t="inlineStr"/>
      <c r="O96">
        <f>(1-Summary!$B$11)*S96+Summary!$B$11*U96</f>
        <v/>
      </c>
      <c r="P96">
        <f>IF(B111=0,0,O96/B111)</f>
        <v/>
      </c>
      <c r="Q96">
        <f>IFERROR(1/(IF(Inputs!$B$38="pvp",15,MAX(0.1,Skills!E26-IF(Skills!F26=TRUE,Inputs!$B$32,0)))*(1-IF(AND(ArtifactsInput!$M$27,Inputs!$B$4="Chapter Hunt"),CHOOSE(ArtifactsInput!$N$27+1,20,24,28,32,36,40),0)/100)),0)</f>
        <v/>
      </c>
      <c r="R96" t="n">
        <v>0</v>
      </c>
      <c r="S96" t="n">
        <v>0</v>
      </c>
      <c r="U96" t="n">
        <v>0</v>
      </c>
    </row>
    <row r="97">
      <c r="A97">
        <f>Skills!A27</f>
        <v/>
      </c>
      <c r="B97">
        <f>Skills!B27</f>
        <v/>
      </c>
      <c r="C97">
        <f>Inputs!$B$3&gt;=125</f>
        <v/>
      </c>
      <c r="D97">
        <f>IF(Skills!C27=1,60+Inputs!$B$25+Inputs!$B$29,IF(Skills!C27=2,90+Inputs!$B$26+Inputs!$B$29,IF(Skills!C27=3,120+Inputs!$B$27+Inputs!$B$29,MAX(0,(Inputs!$B$3-100)*3)+Inputs!$B$28+Inputs!$B$29)))</f>
        <v/>
      </c>
      <c r="E97">
        <f>INDEX(FactorTable!$B$2:$Y$301, MATCH(ROUND(MIN(300,MAX(1,D97)),0), FactorTable!$A$2:$A$301,0), Skills!M27+1)</f>
        <v/>
      </c>
      <c r="F97">
        <f>IF(Skills!N27=TRUE,(Skills!L27/10)*(E97/1000),Skills!L27/10)+Skills!O27</f>
        <v/>
      </c>
      <c r="G97">
        <f>Calc!G27</f>
        <v/>
      </c>
      <c r="H97">
        <f>Calc!H27</f>
        <v/>
      </c>
      <c r="I97">
        <f>IF(Skills!X27&lt;&gt;"",1+(Skills!X27/10)*(Z73/1000)/100,1)</f>
        <v/>
      </c>
      <c r="J97" t="inlineStr"/>
      <c r="K97" t="inlineStr"/>
      <c r="L97" t="inlineStr"/>
      <c r="M97" t="inlineStr"/>
      <c r="N97" t="inlineStr"/>
      <c r="O97">
        <f>(1-Summary!$B$11)*S97+Summary!$B$11*U97</f>
        <v/>
      </c>
      <c r="P97">
        <f>IF(B111=0,0,O97/B111)</f>
        <v/>
      </c>
      <c r="Q97">
        <f>IFERROR(1/(IF(Inputs!$B$38="pvp",15,MAX(0.1,Skills!E27-IF(Skills!F27=TRUE,Inputs!$B$32,0)))*(1-IF(AND(ArtifactsInput!$M$27,Inputs!$B$4="Chapter Hunt"),CHOOSE(ArtifactsInput!$N$27+1,20,24,28,32,36,40),0)/100)),0)</f>
        <v/>
      </c>
      <c r="R97" t="n">
        <v>0</v>
      </c>
      <c r="S97" t="n">
        <v>0</v>
      </c>
      <c r="U97" t="n">
        <v>0</v>
      </c>
    </row>
    <row r="98">
      <c r="A98">
        <f>Skills!A28</f>
        <v/>
      </c>
      <c r="B98">
        <f>Skills!B28</f>
        <v/>
      </c>
      <c r="C98">
        <f>Inputs!$B$3&gt;=118</f>
        <v/>
      </c>
      <c r="D98">
        <f>IF(Skills!C28=1,60+Inputs!$B$25+Inputs!$B$29,IF(Skills!C28=2,90+Inputs!$B$26+Inputs!$B$29,IF(Skills!C28=3,120+Inputs!$B$27+Inputs!$B$29,MAX(0,(Inputs!$B$3-100)*3)+Inputs!$B$28+Inputs!$B$29)))</f>
        <v/>
      </c>
      <c r="E98">
        <f>INDEX(FactorTable!$B$2:$Y$301, MATCH(ROUND(MIN(300,MAX(1,D98)),0), FactorTable!$A$2:$A$301,0), Skills!M28+1)</f>
        <v/>
      </c>
      <c r="F98">
        <f>IF(Skills!N28=TRUE,(Skills!L28/10)*(E98/1000),Skills!L28/10)+Skills!O28</f>
        <v/>
      </c>
      <c r="G98">
        <f>Calc!G28</f>
        <v/>
      </c>
      <c r="H98">
        <f>Calc!H28</f>
        <v/>
      </c>
      <c r="I98">
        <f>IF(Skills!X28&lt;&gt;"",1+(Skills!X28/10)*(Z73/1000)/100,1)</f>
        <v/>
      </c>
      <c r="J98">
        <f>((Inputs!$B$6*(1+Inputs!$B$7/100))+((((Inputs!$B$12+1)*(1+Inputs!$B$13/100))-(Inputs!$B$12*(1+Inputs!$B$13/100)))+0.25*(Inputs!$B$14-Inputs!$B$14))*(1+Inputs!$B$7/100))*(F98/100)</f>
        <v/>
      </c>
      <c r="K98">
        <f>J98*(1+(((Inputs!$B$12+1)*(1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93/100)*(1+IF(Inputs!$B$3&gt;=120,F96,0)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5,0)))/100)*(B100*B101*B102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f>
        <v/>
      </c>
      <c r="L98">
        <f>K98*(MIN(Inputs!$B$22+(F92-Calc!F22),(Inputs!$B$23+(IF(ArtifactsInput!$M$15,CHOOSE(ArtifactsInput!$N$15+1,25,30,35,40,45,50)/100*(Inputs!$B$11-Inputs!$B$11),0))))/100+(Inputs!$B$23+(IF(ArtifactsInput!$M$15,CHOOSE(ArtifactsInput!$N$15+1,25,30,35,40,45,50)/100*(Inputs!$B$11-Inputs!$B$11),0)))/100)/2</f>
        <v/>
      </c>
      <c r="M98">
        <f>L98*(1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
        <f>L98*(1-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MIN((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
        <f>(1-Summary!$B$11)*S98+Summary!$B$11*U98</f>
        <v/>
      </c>
      <c r="P98">
        <f>IF(B111=0,0,O98/B111)</f>
        <v/>
      </c>
      <c r="Q98">
        <f>IFERROR(1/(IF(Inputs!$B$38="pvp",15,MAX(0.1,Skills!E28-IF(Skills!F28=TRUE,Inputs!$B$32,0)))*(1-IF(AND(ArtifactsInput!$M$27,Inputs!$B$4="Chapter Hunt"),CHOOSE(ArtifactsInput!$N$27+1,20,24,28,32,36,40),0)/100)),0)</f>
        <v/>
      </c>
      <c r="R98">
        <f>IF(AND(Inputs!$B$38&lt;&gt;"pvp",Inputs!$B$43&gt;0),IF(MAX(0,Inputs!$B$43-B108)&lt;=0,0,(INT(MAX(0,Inputs!$B$43-B108)/(IF(Inputs!$B$38="pvp",15,MAX(0.1,Skills!E28-IF(Skills!F28=TRUE,Inputs!$B$32,0)))*(1-IF(AND(ArtifactsInput!$M$27,Inputs!$B$4="Chapter Hunt"),CHOOSE(ArtifactsInput!$N$27+1,20,24,28,32,36,40),0)/100)))+1)),0)</f>
        <v/>
      </c>
      <c r="S98">
        <f>IF(C98,(H98*N98*IF(AND(Inputs!$B$38&lt;&gt;"pvp",Inputs!$B$43&gt;0),((Skills!G28*((R98-1)*IF(Skills!H28&gt;0,Skills!I28/Skills!H28,1)+IF(Skills!H28&gt;0,MIN(Skills!I28,MAX(0,MAX(0,Inputs!$B$43-B108)-((R98-1)*(IF(Inputs!$B$38="pvp",15,MAX(0.1,Skills!E28-IF(Skills!F28=TRUE,Inputs!$B$32,0)))*(1-IF(AND(ArtifactsInput!$M$27,Inputs!$B$4="Chapter Hunt"),CHOOSE(ArtifactsInput!$N$27+1,20,24,28,32,36,40),0)/100)))))/Skills!H28,1)))/Inputs!$B$43),G98*Q98)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98*(1-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(1-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MIN(100,(Inputs!$B$9+(F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8">
        <f>IF(C98,(H98*N98*IF(AND(Inputs!$B$38&lt;&gt;"pvp",Inputs!$B$43&gt;0),((Skills!G28*((R98-1)*IF(Skills!H28&gt;0,Skills!I28/Skills!H28,1)+IF(Skills!H28&gt;0,MIN(Skills!I28,MAX(0,MAX(0,Inputs!$B$43-B108)-((R98-1)*(IF(Inputs!$B$38="pvp",15,MAX(0.1,Skills!E28-IF(Skills!F28=TRUE,Inputs!$B$32,0)))*(1-IF(AND(ArtifactsInput!$M$27,Inputs!$B$4="Chapter Hunt"),CHOOSE(ArtifactsInput!$N$27+1,20,24,28,32,36,40),0)/100)))))/Skills!H28,1)))/Inputs!$B$43),G98*Q98)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
      <c r="A100" t="inlineStr">
        <is>
          <t>Burning Magic Multiplier</t>
        </is>
      </c>
      <c r="B100">
        <f>1+(F81*Skills!Z11)/100</f>
        <v/>
      </c>
    </row>
    <row r="101">
      <c r="A101" t="inlineStr">
        <is>
          <t>Elemental Decrease Multiplier (always-on)</t>
        </is>
      </c>
      <c r="B101">
        <f>1+(F82+(IF(AND(ArtifactsInput!$M$35,Inputs!$B$4&lt;&gt;"Chapter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100</f>
        <v/>
      </c>
    </row>
    <row r="102">
      <c r="A102" t="inlineStr">
        <is>
          <t>Average Buff Multiplier (Magic Guard + Meditation + Artifact Attack%, summed; then Infinity)</t>
        </is>
      </c>
      <c r="B102">
        <f>(1+(F76*IF(AND(Inputs!$B$38&lt;&gt;"pvp",Inputs!$B$43&gt;0),(((R76-1)*(Skills!T6*(1+((Inputs!$B$34+(ArtifactsInput!$M$7-ArtifactsInput!$M$7)*CHOOSE(ArtifactsInput!$N$7+1,6,7.2,8.4,9.6,10.8,12)))/100))+MIN((Skills!T6*(1+((Inputs!$B$34+(ArtifactsInput!$M$7-ArtifactsInput!$M$7)*CHOOSE(ArtifactsInput!$N$7+1,6,7.2,8.4,9.6,10.8,12)))/100)),MAX(0,Inputs!$B$43-((R76-1)*Skills!E6))))/Inputs!$B$43),IF(Inputs!$B$38="pvp",MIN((Skills!T6*(1+((Inputs!$B$34+(ArtifactsInput!$M$7-ArtifactsInput!$M$7)*CHOOSE(ArtifactsInput!$N$7+1,6,7.2,8.4,9.6,10.8,12)))/100)),15)/15,(Skills!T6*(1+((Inputs!$B$34+(ArtifactsInput!$M$7-ArtifactsInput!$M$7)*CHOOSE(ArtifactsInput!$N$7+1,6,7.2,8.4,9.6,10.8,12)))/100))/Skills!E6))+F87*IF(AND(Inputs!$B$38&lt;&gt;"pvp",Inputs!$B$43&gt;0),(((R87-1)*(Skills!T17*(1+((Inputs!$B$34+(ArtifactsInput!$M$7-ArtifactsInput!$M$7)*CHOOSE(ArtifactsInput!$N$7+1,6,7.2,8.4,9.6,10.8,12)))/100))+MIN((Skills!T17*(1+((Inputs!$B$34+(ArtifactsInput!$M$7-ArtifactsInput!$M$7)*CHOOSE(ArtifactsInput!$N$7+1,6,7.2,8.4,9.6,10.8,12)))/100)),MAX(0,Inputs!$B$43-((R87-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89=TRUE,(1+F89*IF(AND(Inputs!$B$38&lt;&gt;"pvp",Inputs!$B$43&gt;0),(((R89-1)*(Skills!T19*(1+((Inputs!$B$34+(ArtifactsInput!$M$7-ArtifactsInput!$M$7)*CHOOSE(ArtifactsInput!$N$7+1,6,7.2,8.4,9.6,10.8,12)))/100))+MIN((Skills!T19*(1+((Inputs!$B$34+(ArtifactsInput!$M$7-ArtifactsInput!$M$7)*CHOOSE(ArtifactsInput!$N$7+1,6,7.2,8.4,9.6,10.8,12)))/100)),MAX(0,Inputs!$B$43-((R89-1)*Skills!E19))))/Inputs!$B$43),IF(Inputs!$B$38="pvp",MIN((Skills!T19*(1+((Inputs!$B$34+(ArtifactsInput!$M$7-ArtifactsInput!$M$7)*CHOOSE(ArtifactsInput!$N$7+1,6,7.2,8.4,9.6,10.8,12)))/100)),15)/15,(Skills!T19*(1+((Inputs!$B$34+(ArtifactsInput!$M$7-ArtifactsInput!$M$7)*CHOOSE(ArtifactsInput!$N$7+1,6,7.2,8.4,9.6,10.8,12)))/100))/Skills!E19))/100),1)</f>
        <v/>
      </c>
    </row>
    <row r="103">
      <c r="A103" t="inlineStr">
        <is>
          <t>Attack Speed Buff Bonus % (Nimble Feet, averaged)</t>
        </is>
      </c>
      <c r="B103">
        <f>F88*IF(AND(Inputs!$B$38&lt;&gt;"pvp",Inputs!$B$43&gt;0),(((R88-1)*(Skills!T18*(1+((Inputs!$B$34+(ArtifactsInput!$M$7-ArtifactsInput!$M$7)*CHOOSE(ArtifactsInput!$N$7+1,6,7.2,8.4,9.6,10.8,12)))/100))+MIN((Skills!T18*(1+((Inputs!$B$34+(ArtifactsInput!$M$7-ArtifactsInput!$M$7)*CHOOSE(ArtifactsInput!$N$7+1,6,7.2,8.4,9.6,10.8,12)))/100)),MAX(0,Inputs!$B$43-((R88-1)*Skills!E18))))/Inputs!$B$43),IF(Inputs!$B$38="pvp",MIN((Skills!T18*(1+((Inputs!$B$34+(ArtifactsInput!$M$7-ArtifactsInput!$M$7)*CHOOSE(ArtifactsInput!$N$7+1,6,7.2,8.4,9.6,10.8,12)))/100)),15)/15,(Skills!T18*(1+((Inputs!$B$34+(ArtifactsInput!$M$7-ArtifactsInput!$M$7)*CHOOSE(ArtifactsInput!$N$7+1,6,7.2,8.4,9.6,10.8,12)))/100))/Skills!E18))</f>
        <v/>
      </c>
    </row>
    <row r="104">
      <c r="A104" t="inlineStr">
        <is>
          <t>Actions Per Second</t>
        </is>
      </c>
      <c r="B104">
        <f>1+MIN(150,150*(1-(1-(Inputs!$B$11+(ArtifactsInput!$M$15-ArtifactsInput!$M$15)*CHOOSE(ArtifactsInput!$N$15+1,8,9.6,11.2,12.8,14.4,16))/150)*(1-B103/150)))/100</f>
        <v/>
      </c>
    </row>
    <row r="105">
      <c r="A105" t="inlineStr">
        <is>
          <t>Skill + Buff Cast Rate</t>
        </is>
      </c>
      <c r="B105">
        <f>IF(AND(Inputs!$B$38&lt;&gt;"pvp",Inputs!$B$43&gt;0),SUMPRODUCT((Skills!F2:F28=TRUE)*(C72:C98=TRUE)*R72:R98)/Inputs!$B$43,SUMPRODUCT((Skills!F2:F28=TRUE)*(C72:C98=TRUE)*Q72:Q98))</f>
        <v/>
      </c>
    </row>
    <row r="106">
      <c r="A106" t="inlineStr">
        <is>
          <t>Basic Attacks Per Second</t>
        </is>
      </c>
      <c r="B106">
        <f>MAX(0,B104-B105)</f>
        <v/>
      </c>
    </row>
    <row r="107">
      <c r="A107" t="inlineStr">
        <is>
          <t>Meteor Proc — combined trigger cast rate</t>
        </is>
      </c>
      <c r="B107">
        <f>IF(AND(Inputs!$B$38&lt;&gt;"pvp",Inputs!$B$43&gt;0),SUMPRODUCT((Skills!V2:V28=TRUE)*(C72:C98=TRUE)*R72:R98*Skills!W2:W28)/Inputs!$B$43,SUMPRODUCT((Skills!V2:V28=TRUE)*(C72:C98=TRUE)*Q72:Q98*Skills!W2:W28))+B106</f>
        <v/>
      </c>
    </row>
    <row r="108">
      <c r="A108" t="inlineStr">
        <is>
          <t>Buff-Casting Startup Delay (s, fixed-duration only)</t>
        </is>
      </c>
      <c r="B108">
        <f>IF(AND(Inputs!$B$38&lt;&gt;"pvp",Inputs!$B$43&gt;0),SUMPRODUCT((Skills!T2:T28&gt;0)*(Skills!F2:F28=TRUE)*(C72:C98=TRUE))/B104,0)</f>
        <v/>
      </c>
    </row>
    <row r="109">
      <c r="A109" t="inlineStr">
        <is>
          <t>Boss-Only Total DPS (this block's swept value)</t>
        </is>
      </c>
      <c r="B109">
        <f>SUM(S72:S98)</f>
        <v/>
      </c>
    </row>
    <row r="110">
      <c r="A110" t="inlineStr">
        <is>
          <t>Normal-Only Total DPS (this block's swept value)</t>
        </is>
      </c>
      <c r="B110">
        <f>SUM(U72:U98)</f>
        <v/>
      </c>
    </row>
    <row r="111">
      <c r="A111" s="6" t="inlineStr">
        <is>
          <t>TOTAL DPS</t>
        </is>
      </c>
      <c r="B111" s="6">
        <f>SUM(O72:O98)</f>
        <v/>
      </c>
    </row>
    <row r="114">
      <c r="A114" s="6" t="inlineStr">
        <is>
          <t>Stat: INT %</t>
        </is>
      </c>
    </row>
    <row r="115">
      <c r="A115" s="5" t="inlineStr">
        <is>
          <t>Key</t>
        </is>
      </c>
      <c r="B115" s="5" t="inlineStr">
        <is>
          <t>Name</t>
        </is>
      </c>
      <c r="C115" s="5" t="inlineStr">
        <is>
          <t>Unlocked</t>
        </is>
      </c>
      <c r="D115" s="5" t="inlineStr">
        <is>
          <t>InputLevel</t>
        </is>
      </c>
      <c r="E115" s="5" t="inlineStr">
        <is>
          <t>Factor</t>
        </is>
      </c>
      <c r="F115" s="5" t="inlineStr">
        <is>
          <t>CoefficientPercent</t>
        </is>
      </c>
      <c r="G115" s="5" t="inlineStr">
        <is>
          <t>EffectiveHits</t>
        </is>
      </c>
      <c r="H115" s="5" t="inlineStr">
        <is>
          <t>ProcProbability</t>
        </is>
      </c>
      <c r="I115" s="5" t="inlineStr">
        <is>
          <t>MapleHeroMultiplier</t>
        </is>
      </c>
      <c r="J115" s="5" t="inlineStr">
        <is>
          <t>BaseDamage</t>
        </is>
      </c>
      <c r="K115" s="5" t="inlineStr">
        <is>
          <t>BaseHitDamage</t>
        </is>
      </c>
      <c r="L115" s="5" t="inlineStr">
        <is>
          <t>NonCritAvg</t>
        </is>
      </c>
      <c r="M115" s="5" t="inlineStr">
        <is>
          <t>CritAvg</t>
        </is>
      </c>
      <c r="N115" s="5" t="inlineStr">
        <is>
          <t>ExpectedDamage(perHit)</t>
        </is>
      </c>
      <c r="O115" s="5" t="inlineStr">
        <is>
          <t>DPS</t>
        </is>
      </c>
      <c r="P115" s="5" t="inlineStr">
        <is>
          <t>% of Total</t>
        </is>
      </c>
      <c r="R115" t="inlineStr">
        <is>
          <t>helpers</t>
        </is>
      </c>
    </row>
    <row r="116">
      <c r="A116">
        <f>Skills!A2</f>
        <v/>
      </c>
      <c r="B116">
        <f>Skills!B2</f>
        <v/>
      </c>
      <c r="C116">
        <f>TRUE</f>
        <v/>
      </c>
      <c r="D116" t="inlineStr"/>
      <c r="E116" t="inlineStr"/>
      <c r="F116">
        <f>T118+Skills!O2</f>
        <v/>
      </c>
      <c r="G116">
        <f>Calc!G2</f>
        <v/>
      </c>
      <c r="H116">
        <f>Calc!H2</f>
        <v/>
      </c>
      <c r="I116">
        <f>IF(Skills!X2&lt;&gt;"",1+(Skills!X2/10)*(Z117/1000)/100,1)</f>
        <v/>
      </c>
      <c r="J116">
        <f>((Inputs!$B$6*(1+Inputs!$B$7/100))+(((Inputs!$B$12*(1+(Inputs!$B$13+1)/100))-(Inputs!$B$12*(1+Inputs!$B$13/100)))+0.25*(Inputs!$B$14-Inputs!$B$14))*(1+Inputs!$B$7/100))*(F116/100)</f>
        <v/>
      </c>
      <c r="K116">
        <f>J116*(1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f>
        <v/>
      </c>
      <c r="L116">
        <f>K116*(MIN(Inputs!$B$22+(F136-Calc!F22),(Inputs!$B$23+(IF(ArtifactsInput!$M$15,CHOOSE(ArtifactsInput!$N$15+1,25,30,35,40,45,50)/100*(Inputs!$B$11-Inputs!$B$11),0))))/100+(Inputs!$B$23+(IF(ArtifactsInput!$M$15,CHOOSE(ArtifactsInput!$N$15+1,25,30,35,40,45,50)/100*(Inputs!$B$11-Inputs!$B$11),0)))/100)/2</f>
        <v/>
      </c>
      <c r="M116">
        <f>L116*(1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
        <f>L116*(1-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
        <f>(1-Summary!$B$11)*S116+Summary!$B$11*U116</f>
        <v/>
      </c>
      <c r="P116">
        <f>IF(B155=0,0,O116/B155)</f>
        <v/>
      </c>
      <c r="Q116">
        <f>IFERROR(1/(IF(Inputs!$B$38="pvp",15,MAX(0.1,Skills!E2-IF(Skills!F2=TRUE,Inputs!$B$32,0)))*(1-IF(AND(ArtifactsInput!$M$27,Inputs!$B$4="Chapter Hunt"),CHOOSE(ArtifactsInput!$N$27+1,20,24,28,32,36,40),0)/100)),0)</f>
        <v/>
      </c>
      <c r="R116" t="n">
        <v>0</v>
      </c>
      <c r="S116">
        <f>(Skills!G2*N116*B150)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116*(1-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16">
        <f>MAX(0,(Inputs!$B$3-100)*3)+Inputs!$B$28+Inputs!$B$29</f>
        <v/>
      </c>
      <c r="U116">
        <f>(Skills!G2*N116*B150)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16">
        <f>MAX(0,(Inputs!$B$3-100)*3)+Inputs!$B$28+Inputs!$B$29</f>
        <v/>
      </c>
    </row>
    <row r="117">
      <c r="A117">
        <f>Skills!A3</f>
        <v/>
      </c>
      <c r="B117">
        <f>Skills!B3</f>
        <v/>
      </c>
      <c r="C117">
        <f>TRUE</f>
        <v/>
      </c>
      <c r="D117">
        <f>IF(Skills!C3=1,60+Inputs!$B$25+Inputs!$B$29,IF(Skills!C3=2,90+Inputs!$B$26+Inputs!$B$29,IF(Skills!C3=3,120+Inputs!$B$27+Inputs!$B$29,MAX(0,(Inputs!$B$3-100)*3)+Inputs!$B$28+Inputs!$B$29)))</f>
        <v/>
      </c>
      <c r="E117">
        <f>INDEX(FactorTable!$B$2:$Y$301, MATCH(ROUND(MIN(300,MAX(1,D117)),0), FactorTable!$A$2:$A$301,0), Skills!M3+1)</f>
        <v/>
      </c>
      <c r="F117">
        <f>IF(Skills!N3=TRUE,(Skills!L3/10)*(E117/1000),Skills!L3/10)+Skills!O3</f>
        <v/>
      </c>
      <c r="G117">
        <f>Calc!G3</f>
        <v/>
      </c>
      <c r="H117">
        <f>Calc!H3</f>
        <v/>
      </c>
      <c r="I117">
        <f>IF(Skills!X3&lt;&gt;"",1+(Skills!X3/10)*(Z117/1000)/100,1)</f>
        <v/>
      </c>
      <c r="J117">
        <f>((Inputs!$B$6*(1+Inputs!$B$7/100))+(((Inputs!$B$12*(1+(Inputs!$B$13+1)/100))-(Inputs!$B$12*(1+Inputs!$B$13/100)))+0.25*(Inputs!$B$14-Inputs!$B$14))*(1+Inputs!$B$7/100))*(F117/100)</f>
        <v/>
      </c>
      <c r="K117">
        <f>J117*(1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f>
        <v/>
      </c>
      <c r="L117">
        <f>K117*(MIN(Inputs!$B$22+(F136-Calc!F22),(Inputs!$B$23+(IF(ArtifactsInput!$M$15,CHOOSE(ArtifactsInput!$N$15+1,25,30,35,40,45,50)/100*(Inputs!$B$11-Inputs!$B$11),0))))/100+(Inputs!$B$23+(IF(ArtifactsInput!$M$15,CHOOSE(ArtifactsInput!$N$15+1,25,30,35,40,45,50)/100*(Inputs!$B$11-Inputs!$B$11),0)))/100)/2</f>
        <v/>
      </c>
      <c r="M117">
        <f>L117*(1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
        <f>L117*(1-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
        <f>(1-Summary!$B$11)*S117+Summary!$B$11*U117</f>
        <v/>
      </c>
      <c r="P117">
        <f>IF(B155=0,0,O117/B155)</f>
        <v/>
      </c>
      <c r="Q117">
        <f>IFERROR(1/(IF(Inputs!$B$38="pvp",15,MAX(0.1,Skills!E3-IF(Skills!F3=TRUE,Inputs!$B$32,0)))*(1-IF(AND(ArtifactsInput!$M$27,Inputs!$B$4="Chapter Hunt"),CHOOSE(ArtifactsInput!$N$27+1,20,24,28,32,36,40),0)/100)),0)</f>
        <v/>
      </c>
      <c r="R117">
        <f>IF(AND(Inputs!$B$38&lt;&gt;"pvp",Inputs!$B$43&gt;0),IF(MAX(0,Inputs!$B$43-B152)&lt;=0,0,(INT(MAX(0,Inputs!$B$43-B152)/(IF(Inputs!$B$38="pvp",15,MAX(0.1,Skills!E3-IF(Skills!F3=TRUE,Inputs!$B$32,0)))*(1-IF(AND(ArtifactsInput!$M$27,Inputs!$B$4="Chapter Hunt"),CHOOSE(ArtifactsInput!$N$27+1,20,24,28,32,36,40),0)/100)))+1)),0)</f>
        <v/>
      </c>
      <c r="S117">
        <f>IF(C117,(H117*N117*IF(AND(Inputs!$B$38&lt;&gt;"pvp",Inputs!$B$43&gt;0),((Skills!G3*((R117-1)*IF(Skills!H3&gt;0,Skills!I3/Skills!H3,1)+IF(Skills!H3&gt;0,MIN(Skills!I3,MAX(0,MAX(0,Inputs!$B$43-B152)-((R117-1)*(IF(Inputs!$B$38="pvp",15,MAX(0.1,Skills!E3-IF(Skills!F3=TRUE,Inputs!$B$32,0)))*(1-IF(AND(ArtifactsInput!$M$27,Inputs!$B$4="Chapter Hunt"),CHOOSE(ArtifactsInput!$N$27+1,20,24,28,32,36,40),0)/100)))))/Skills!H3,1)))/Inputs!$B$43),G117*Q117)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7">
        <f>INDEX(FactorTable!$B$2:$Y$301, MATCH(ROUND(MIN(300,MAX(1,T116)),0), FactorTable!$A$2:$A$301,0), 22)</f>
        <v/>
      </c>
      <c r="U117">
        <f>IF(C117,(H117*N117*IF(AND(Inputs!$B$38&lt;&gt;"pvp",Inputs!$B$43&gt;0),((Skills!G3*((R117-1)*IF(Skills!H3&gt;0,Skills!I3/Skills!H3,1)+IF(Skills!H3&gt;0,MIN(Skills!I3,MAX(0,MAX(0,Inputs!$B$43-B152)-((R117-1)*(IF(Inputs!$B$38="pvp",15,MAX(0.1,Skills!E3-IF(Skills!F3=TRUE,Inputs!$B$32,0)))*(1-IF(AND(ArtifactsInput!$M$27,Inputs!$B$4="Chapter Hunt"),CHOOSE(ArtifactsInput!$N$27+1,20,24,28,32,36,40),0)/100)))))/Skills!H3,1)))/Inputs!$B$43),G117*Q117)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17">
        <f>INDEX(FactorTable!$B$2:$Y$301, MATCH(ROUND(MIN(300,MAX(1,Z116)),0), FactorTable!$A$2:$A$301,0), 24)</f>
        <v/>
      </c>
    </row>
    <row r="118">
      <c r="A118">
        <f>Skills!A4</f>
        <v/>
      </c>
      <c r="B118">
        <f>Skills!B4</f>
        <v/>
      </c>
      <c r="C118">
        <f>TRUE</f>
        <v/>
      </c>
      <c r="D118">
        <f>IF(Skills!C4=1,60+Inputs!$B$25+Inputs!$B$29,IF(Skills!C4=2,90+Inputs!$B$26+Inputs!$B$29,IF(Skills!C4=3,120+Inputs!$B$27+Inputs!$B$29,MAX(0,(Inputs!$B$3-100)*3)+Inputs!$B$28+Inputs!$B$29)))</f>
        <v/>
      </c>
      <c r="E118">
        <f>INDEX(FactorTable!$B$2:$Y$301, MATCH(ROUND(MIN(300,MAX(1,D118)),0), FactorTable!$A$2:$A$301,0), Skills!M4+1)</f>
        <v/>
      </c>
      <c r="F118">
        <f>IF(Skills!N4=TRUE,(Skills!L4/10)*(E118/1000),Skills!L4/10)+Skills!O4</f>
        <v/>
      </c>
      <c r="G118">
        <f>Calc!G4</f>
        <v/>
      </c>
      <c r="H118">
        <f>Calc!H4</f>
        <v/>
      </c>
      <c r="I118">
        <f>IF(Skills!X4&lt;&gt;"",1+(Skills!X4/10)*(Z117/1000)/100,1)</f>
        <v/>
      </c>
      <c r="J118">
        <f>((Inputs!$B$6*(1+Inputs!$B$7/100))+(((Inputs!$B$12*(1+(Inputs!$B$13+1)/100))-(Inputs!$B$12*(1+Inputs!$B$13/100)))+0.25*(Inputs!$B$14-Inputs!$B$14))*(1+Inputs!$B$7/100))*(F118/100)</f>
        <v/>
      </c>
      <c r="K118">
        <f>J118*(1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f>
        <v/>
      </c>
      <c r="L118">
        <f>K118*(MIN(Inputs!$B$22+(F136-Calc!F22),(Inputs!$B$23+(IF(ArtifactsInput!$M$15,CHOOSE(ArtifactsInput!$N$15+1,25,30,35,40,45,50)/100*(Inputs!$B$11-Inputs!$B$11),0))))/100+(Inputs!$B$23+(IF(ArtifactsInput!$M$15,CHOOSE(ArtifactsInput!$N$15+1,25,30,35,40,45,50)/100*(Inputs!$B$11-Inputs!$B$11),0)))/100)/2</f>
        <v/>
      </c>
      <c r="M118">
        <f>L118*(1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
        <f>L118*(1-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
        <f>(1-Summary!$B$11)*S118+Summary!$B$11*U118</f>
        <v/>
      </c>
      <c r="P118">
        <f>IF(B155=0,0,O118/B155)</f>
        <v/>
      </c>
      <c r="Q118">
        <f>IFERROR(1/(IF(Inputs!$B$38="pvp",15,MAX(0.1,Skills!E4-IF(Skills!F4=TRUE,Inputs!$B$32,0)))*(1-IF(AND(ArtifactsInput!$M$27,Inputs!$B$4="Chapter Hunt"),CHOOSE(ArtifactsInput!$N$27+1,20,24,28,32,36,40),0)/100)),0)</f>
        <v/>
      </c>
      <c r="R118">
        <f>IF(AND(Inputs!$B$38&lt;&gt;"pvp",Inputs!$B$43&gt;0),IF(MAX(0,Inputs!$B$43-B152)&lt;=0,0,(INT(MAX(0,Inputs!$B$43-B152)/(IF(Inputs!$B$38="pvp",15,MAX(0.1,Skills!E4-IF(Skills!F4=TRUE,Inputs!$B$32,0)))*(1-IF(AND(ArtifactsInput!$M$27,Inputs!$B$4="Chapter Hunt"),CHOOSE(ArtifactsInput!$N$27+1,20,24,28,32,36,40),0)/100)))+1)),0)</f>
        <v/>
      </c>
      <c r="S118">
        <f>IF(C118,(H118*N118*IF(AND(Inputs!$B$38&lt;&gt;"pvp",Inputs!$B$43&gt;0),((Skills!G4*((R118-1)*IF(Skills!H4&gt;0,Skills!I4/Skills!H4,1)+IF(Skills!H4&gt;0,MIN(Skills!I4,MAX(0,MAX(0,Inputs!$B$43-B152)-((R118-1)*(IF(Inputs!$B$38="pvp",15,MAX(0.1,Skills!E4-IF(Skills!F4=TRUE,Inputs!$B$32,0)))*(1-IF(AND(ArtifactsInput!$M$27,Inputs!$B$4="Chapter Hunt"),CHOOSE(ArtifactsInput!$N$27+1,20,24,28,32,36,40),0)/100)))))/Skills!H4,1)))/Inputs!$B$43),G118*Q118)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8">
        <f>290*T117/1000</f>
        <v/>
      </c>
      <c r="U118">
        <f>IF(C118,(H118*N118*IF(AND(Inputs!$B$38&lt;&gt;"pvp",Inputs!$B$43&gt;0),((Skills!G4*((R118-1)*IF(Skills!H4&gt;0,Skills!I4/Skills!H4,1)+IF(Skills!H4&gt;0,MIN(Skills!I4,MAX(0,MAX(0,Inputs!$B$43-B152)-((R118-1)*(IF(Inputs!$B$38="pvp",15,MAX(0.1,Skills!E4-IF(Skills!F4=TRUE,Inputs!$B$32,0)))*(1-IF(AND(ArtifactsInput!$M$27,Inputs!$B$4="Chapter Hunt"),CHOOSE(ArtifactsInput!$N$27+1,20,24,28,32,36,40),0)/100)))))/Skills!H4,1)))/Inputs!$B$43),G118*Q118)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
      <c r="A119">
        <f>Skills!A5</f>
        <v/>
      </c>
      <c r="B119">
        <f>Skills!B5</f>
        <v/>
      </c>
      <c r="C119">
        <f>TRUE</f>
        <v/>
      </c>
      <c r="D119">
        <f>IF(Skills!C5=1,60+Inputs!$B$25+Inputs!$B$29,IF(Skills!C5=2,90+Inputs!$B$26+Inputs!$B$29,IF(Skills!C5=3,120+Inputs!$B$27+Inputs!$B$29,MAX(0,(Inputs!$B$3-100)*3)+Inputs!$B$28+Inputs!$B$29)))</f>
        <v/>
      </c>
      <c r="E119">
        <f>INDEX(FactorTable!$B$2:$Y$301, MATCH(ROUND(MIN(300,MAX(1,D119)),0), FactorTable!$A$2:$A$301,0), Skills!M5+1)</f>
        <v/>
      </c>
      <c r="F119">
        <f>IF(Skills!N5=TRUE,(Skills!L5/10)*(E119/1000),Skills!L5/10)+Skills!O5</f>
        <v/>
      </c>
      <c r="G119">
        <f>Calc!G5</f>
        <v/>
      </c>
      <c r="H119">
        <f>Calc!H5</f>
        <v/>
      </c>
      <c r="I119">
        <f>IF(Skills!X5&lt;&gt;"",1+(Skills!X5/10)*(Z117/1000)/100,1)</f>
        <v/>
      </c>
      <c r="J119">
        <f>((Inputs!$B$6*(1+Inputs!$B$7/100))+(((Inputs!$B$12*(1+(Inputs!$B$13+1)/100))-(Inputs!$B$12*(1+Inputs!$B$13/100)))+0.25*(Inputs!$B$14-Inputs!$B$14))*(1+Inputs!$B$7/100))*(F119/100)</f>
        <v/>
      </c>
      <c r="K119">
        <f>J119*(1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f>
        <v/>
      </c>
      <c r="L119">
        <f>K119*(MIN(Inputs!$B$22+(F136-Calc!F22),(Inputs!$B$23+(IF(ArtifactsInput!$M$15,CHOOSE(ArtifactsInput!$N$15+1,25,30,35,40,45,50)/100*(Inputs!$B$11-Inputs!$B$11),0))))/100+(Inputs!$B$23+(IF(ArtifactsInput!$M$15,CHOOSE(ArtifactsInput!$N$15+1,25,30,35,40,45,50)/100*(Inputs!$B$11-Inputs!$B$11),0)))/100)/2</f>
        <v/>
      </c>
      <c r="M119">
        <f>L119*(1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
        <f>L119*(1-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
        <f>(1-Summary!$B$11)*S119+Summary!$B$11*U119</f>
        <v/>
      </c>
      <c r="P119">
        <f>IF(B155=0,0,O119/B155)</f>
        <v/>
      </c>
      <c r="Q119">
        <f>IFERROR(1/(IF(Inputs!$B$38="pvp",15,MAX(0.1,Skills!E5-IF(Skills!F5=TRUE,Inputs!$B$32,0)))*(1-IF(AND(ArtifactsInput!$M$27,Inputs!$B$4="Chapter Hunt"),CHOOSE(ArtifactsInput!$N$27+1,20,24,28,32,36,40),0)/100)),0)</f>
        <v/>
      </c>
      <c r="R119">
        <f>IF(AND(Inputs!$B$38&lt;&gt;"pvp",Inputs!$B$43&gt;0),IF(MAX(0,Inputs!$B$43-B152)&lt;=0,0,(INT(MAX(0,Inputs!$B$43-B152)/(IF(Inputs!$B$38="pvp",15,MAX(0.1,Skills!E5-IF(Skills!F5=TRUE,Inputs!$B$32,0)))*(1-IF(AND(ArtifactsInput!$M$27,Inputs!$B$4="Chapter Hunt"),CHOOSE(ArtifactsInput!$N$27+1,20,24,28,32,36,40),0)/100)))+1)),0)</f>
        <v/>
      </c>
      <c r="S119">
        <f>IF(C119,(H119*N119*IF(AND(Inputs!$B$38&lt;&gt;"pvp",Inputs!$B$43&gt;0),((Skills!G5*((R119-1)*IF(Skills!H5&gt;0,Skills!I5/Skills!H5,1)+IF(Skills!H5&gt;0,MIN(Skills!I5,MAX(0,MAX(0,Inputs!$B$43-B152)-((R119-1)*(IF(Inputs!$B$38="pvp",15,MAX(0.1,Skills!E5-IF(Skills!F5=TRUE,Inputs!$B$32,0)))*(1-IF(AND(ArtifactsInput!$M$27,Inputs!$B$4="Chapter Hunt"),CHOOSE(ArtifactsInput!$N$27+1,20,24,28,32,36,40),0)/100)))))/Skills!H5,1)))/Inputs!$B$43),G119*Q119)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119*(1-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
        <f>IF(C119,(H119*N119*IF(AND(Inputs!$B$38&lt;&gt;"pvp",Inputs!$B$43&gt;0),((Skills!G5*((R119-1)*IF(Skills!H5&gt;0,Skills!I5/Skills!H5,1)+IF(Skills!H5&gt;0,MIN(Skills!I5,MAX(0,MAX(0,Inputs!$B$43-B152)-((R119-1)*(IF(Inputs!$B$38="pvp",15,MAX(0.1,Skills!E5-IF(Skills!F5=TRUE,Inputs!$B$32,0)))*(1-IF(AND(ArtifactsInput!$M$27,Inputs!$B$4="Chapter Hunt"),CHOOSE(ArtifactsInput!$N$27+1,20,24,28,32,36,40),0)/100)))))/Skills!H5,1)))/Inputs!$B$43),G119*Q119)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
      <c r="A120">
        <f>Skills!A6</f>
        <v/>
      </c>
      <c r="B120">
        <f>Skills!B6</f>
        <v/>
      </c>
      <c r="C120">
        <f>TRUE</f>
        <v/>
      </c>
      <c r="D120">
        <f>IF(Skills!C6=1,60+Inputs!$B$25+Inputs!$B$29,IF(Skills!C6=2,90+Inputs!$B$26+Inputs!$B$29,IF(Skills!C6=3,120+Inputs!$B$27+Inputs!$B$29,MAX(0,(Inputs!$B$3-100)*3)+Inputs!$B$28+Inputs!$B$29)))</f>
        <v/>
      </c>
      <c r="E120">
        <f>INDEX(FactorTable!$B$2:$Y$301, MATCH(ROUND(MIN(300,MAX(1,D120)),0), FactorTable!$A$2:$A$301,0), Skills!M6+1)</f>
        <v/>
      </c>
      <c r="F120">
        <f>IF(Skills!N6=TRUE,(Skills!L6/10)*(E120/1000),Skills!L6/10)+Skills!O6</f>
        <v/>
      </c>
      <c r="G120">
        <f>Calc!G6</f>
        <v/>
      </c>
      <c r="H120">
        <f>Calc!H6</f>
        <v/>
      </c>
      <c r="I120">
        <f>IF(Skills!X6&lt;&gt;"",1+(Skills!X6/10)*(Z117/1000)/100,1)</f>
        <v/>
      </c>
      <c r="J120" t="inlineStr"/>
      <c r="K120" t="inlineStr"/>
      <c r="L120" t="inlineStr"/>
      <c r="M120" t="inlineStr"/>
      <c r="N120" t="inlineStr"/>
      <c r="O120">
        <f>(1-Summary!$B$11)*S120+Summary!$B$11*U120</f>
        <v/>
      </c>
      <c r="P120">
        <f>IF(B155=0,0,O120/B155)</f>
        <v/>
      </c>
      <c r="Q120">
        <f>IFERROR(1/(IF(Inputs!$B$38="pvp",15,MAX(0.1,Skills!E6-IF(Skills!F6=TRUE,Inputs!$B$32,0)))*(1-IF(AND(ArtifactsInput!$M$27,Inputs!$B$4="Chapter Hunt"),CHOOSE(ArtifactsInput!$N$27+1,20,24,28,32,36,40),0)/100)),0)</f>
        <v/>
      </c>
      <c r="R120">
        <f>IF(AND(Inputs!$B$38&lt;&gt;"pvp",Inputs!$B$43&gt;0),IF(Inputs!$B$43&lt;=0,0,(INT(Inputs!$B$43/(IF(Inputs!$B$38="pvp",15,MAX(0.1,Skills!E6-IF(Skills!F6=TRUE,Inputs!$B$32,0)))*(1-IF(AND(ArtifactsInput!$M$27,Inputs!$B$4="Chapter Hunt"),CHOOSE(ArtifactsInput!$N$27+1,20,24,28,32,36,40),0)/100)))+1)),0)</f>
        <v/>
      </c>
      <c r="S120" t="n">
        <v>0</v>
      </c>
      <c r="U120" t="n">
        <v>0</v>
      </c>
    </row>
    <row r="121">
      <c r="A121">
        <f>Skills!A7</f>
        <v/>
      </c>
      <c r="B121">
        <f>Skills!B7</f>
        <v/>
      </c>
      <c r="C121">
        <f>TRUE</f>
        <v/>
      </c>
      <c r="D121">
        <f>IF(Skills!C7=1,60+Inputs!$B$25+Inputs!$B$29,IF(Skills!C7=2,90+Inputs!$B$26+Inputs!$B$29,IF(Skills!C7=3,120+Inputs!$B$27+Inputs!$B$29,MAX(0,(Inputs!$B$3-100)*3)+Inputs!$B$28+Inputs!$B$29)))</f>
        <v/>
      </c>
      <c r="E121">
        <f>INDEX(FactorTable!$B$2:$Y$301, MATCH(ROUND(MIN(300,MAX(1,D121)),0), FactorTable!$A$2:$A$301,0), Skills!M7+1)</f>
        <v/>
      </c>
      <c r="F121">
        <f>IF(Skills!N7=TRUE,(Skills!L7/10)*(E121/1000),Skills!L7/10)+Skills!O7</f>
        <v/>
      </c>
      <c r="G121">
        <f>Calc!G7</f>
        <v/>
      </c>
      <c r="H121">
        <f>Calc!H7</f>
        <v/>
      </c>
      <c r="I121">
        <f>IF(Skills!X7&lt;&gt;"",1+(Skills!X7/10)*(Z117/1000)/100,1)</f>
        <v/>
      </c>
      <c r="J121">
        <f>((Inputs!$B$6*(1+Inputs!$B$7/100))+(((Inputs!$B$12*(1+(Inputs!$B$13+1)/100))-(Inputs!$B$12*(1+Inputs!$B$13/100)))+0.25*(Inputs!$B$14-Inputs!$B$14))*(1+Inputs!$B$7/100))*(F121/100)</f>
        <v/>
      </c>
      <c r="K121">
        <f>J121*(1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f>
        <v/>
      </c>
      <c r="L121">
        <f>K121*(MIN(Inputs!$B$22+(F136-Calc!F22),(Inputs!$B$23+(IF(ArtifactsInput!$M$15,CHOOSE(ArtifactsInput!$N$15+1,25,30,35,40,45,50)/100*(Inputs!$B$11-Inputs!$B$11),0))))/100+(Inputs!$B$23+(IF(ArtifactsInput!$M$15,CHOOSE(ArtifactsInput!$N$15+1,25,30,35,40,45,50)/100*(Inputs!$B$11-Inputs!$B$11),0)))/100)/2</f>
        <v/>
      </c>
      <c r="M121">
        <f>L121*(1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
        <f>L121*(1-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
        <f>(1-Summary!$B$11)*S121+Summary!$B$11*U121</f>
        <v/>
      </c>
      <c r="P121">
        <f>IF(B155=0,0,O121/B155)</f>
        <v/>
      </c>
      <c r="Q121">
        <f>IFERROR(1/(IF(Inputs!$B$38="pvp",15,MAX(0.1,Skills!E7-IF(Skills!F7=TRUE,Inputs!$B$32,0)))*(1-IF(AND(ArtifactsInput!$M$27,Inputs!$B$4="Chapter Hunt"),CHOOSE(ArtifactsInput!$N$27+1,20,24,28,32,36,40),0)/100)),0)</f>
        <v/>
      </c>
      <c r="R121">
        <f>IF(AND(Inputs!$B$38&lt;&gt;"pvp",Inputs!$B$43&gt;0),IF(MAX(0,Inputs!$B$43-B152)&lt;=0,0,(INT(MAX(0,Inputs!$B$43-B152)/(IF(Inputs!$B$38="pvp",15,MAX(0.1,Skills!E7-IF(Skills!F7=TRUE,Inputs!$B$32,0)))*(1-IF(AND(ArtifactsInput!$M$27,Inputs!$B$4="Chapter Hunt"),CHOOSE(ArtifactsInput!$N$27+1,20,24,28,32,36,40),0)/100)))+1)),0)</f>
        <v/>
      </c>
      <c r="S121">
        <f>IF(C121,(H121*N121*IF(AND(Inputs!$B$38&lt;&gt;"pvp",Inputs!$B$43&gt;0),((Skills!G7*((R121-1)*IF(Skills!H7&gt;0,Skills!I7/Skills!H7,1)+IF(Skills!H7&gt;0,MIN(Skills!I7,MAX(0,MAX(0,Inputs!$B$43-B152)-((R121-1)*(IF(Inputs!$B$38="pvp",15,MAX(0.1,Skills!E7-IF(Skills!F7=TRUE,Inputs!$B$32,0)))*(1-IF(AND(ArtifactsInput!$M$27,Inputs!$B$4="Chapter Hunt"),CHOOSE(ArtifactsInput!$N$27+1,20,24,28,32,36,40),0)/100)))))/Skills!H7,1)))/Inputs!$B$43),G121*Q121)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121*(1-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1">
        <f>IF(C121,(H121*N121*IF(AND(Inputs!$B$38&lt;&gt;"pvp",Inputs!$B$43&gt;0),((Skills!G7*((R121-1)*IF(Skills!H7&gt;0,Skills!I7/Skills!H7,1)+IF(Skills!H7&gt;0,MIN(Skills!I7,MAX(0,MAX(0,Inputs!$B$43-B152)-((R121-1)*(IF(Inputs!$B$38="pvp",15,MAX(0.1,Skills!E7-IF(Skills!F7=TRUE,Inputs!$B$32,0)))*(1-IF(AND(ArtifactsInput!$M$27,Inputs!$B$4="Chapter Hunt"),CHOOSE(ArtifactsInput!$N$27+1,20,24,28,32,36,40),0)/100)))))/Skills!H7,1)))/Inputs!$B$43),G121*Q121)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
      <c r="A122">
        <f>Skills!A8</f>
        <v/>
      </c>
      <c r="B122">
        <f>Skills!B8</f>
        <v/>
      </c>
      <c r="C122">
        <f>TRUE</f>
        <v/>
      </c>
      <c r="D122">
        <f>IF(Skills!C8=1,60+Inputs!$B$25+Inputs!$B$29,IF(Skills!C8=2,90+Inputs!$B$26+Inputs!$B$29,IF(Skills!C8=3,120+Inputs!$B$27+Inputs!$B$29,MAX(0,(Inputs!$B$3-100)*3)+Inputs!$B$28+Inputs!$B$29)))</f>
        <v/>
      </c>
      <c r="E122">
        <f>INDEX(FactorTable!$B$2:$Y$301, MATCH(ROUND(MIN(300,MAX(1,D122)),0), FactorTable!$A$2:$A$301,0), Skills!M8+1)</f>
        <v/>
      </c>
      <c r="F122">
        <f>IF(Skills!N8=TRUE,(Skills!L8/10)*(E122/1000),Skills!L8/10)+Skills!O8</f>
        <v/>
      </c>
      <c r="G122">
        <f>Calc!G8</f>
        <v/>
      </c>
      <c r="H122">
        <f>Calc!H8</f>
        <v/>
      </c>
      <c r="I122">
        <f>IF(Skills!X8&lt;&gt;"",1+(Skills!X8/10)*(Z117/1000)/100,1)</f>
        <v/>
      </c>
      <c r="J122">
        <f>((Inputs!$B$6*(1+Inputs!$B$7/100))+(((Inputs!$B$12*(1+(Inputs!$B$13+1)/100))-(Inputs!$B$12*(1+Inputs!$B$13/100)))+0.25*(Inputs!$B$14-Inputs!$B$14))*(1+Inputs!$B$7/100))*(F122/100)</f>
        <v/>
      </c>
      <c r="K122">
        <f>J122*(1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f>
        <v/>
      </c>
      <c r="L122">
        <f>K122*(MIN(Inputs!$B$22+(F136-Calc!F22),(Inputs!$B$23+(IF(ArtifactsInput!$M$15,CHOOSE(ArtifactsInput!$N$15+1,25,30,35,40,45,50)/100*(Inputs!$B$11-Inputs!$B$11),0))))/100+(Inputs!$B$23+(IF(ArtifactsInput!$M$15,CHOOSE(ArtifactsInput!$N$15+1,25,30,35,40,45,50)/100*(Inputs!$B$11-Inputs!$B$11),0)))/100)/2</f>
        <v/>
      </c>
      <c r="M122">
        <f>L122*(1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
        <f>L122*(1-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
        <f>(1-Summary!$B$11)*S122+Summary!$B$11*U122</f>
        <v/>
      </c>
      <c r="P122">
        <f>IF(B155=0,0,O122/B155)</f>
        <v/>
      </c>
      <c r="Q122">
        <f>IFERROR(1/(IF(Inputs!$B$38="pvp",15,MAX(0.1,Skills!E8-IF(Skills!F8=TRUE,Inputs!$B$32,0)))*(1-IF(AND(ArtifactsInput!$M$27,Inputs!$B$4="Chapter Hunt"),CHOOSE(ArtifactsInput!$N$27+1,20,24,28,32,36,40),0)/100)),0)</f>
        <v/>
      </c>
      <c r="R122">
        <f>IF(AND(Inputs!$B$38&lt;&gt;"pvp",Inputs!$B$43&gt;0),IF(MAX(0,Inputs!$B$43-B152)&lt;=0,0,(INT(MAX(0,Inputs!$B$43-B152)/(IF(Inputs!$B$38="pvp",15,MAX(0.1,Skills!E8-IF(Skills!F8=TRUE,Inputs!$B$32,0)))*(1-IF(AND(ArtifactsInput!$M$27,Inputs!$B$4="Chapter Hunt"),CHOOSE(ArtifactsInput!$N$27+1,20,24,28,32,36,40),0)/100)))+1)),0)</f>
        <v/>
      </c>
      <c r="S122">
        <f>IF(C122,(H122*N122*IF(AND(Inputs!$B$38&lt;&gt;"pvp",Inputs!$B$43&gt;0),((Skills!G8*((R122-1)*IF(Skills!H8&gt;0,Skills!I8/Skills!H8,1)+IF(Skills!H8&gt;0,MIN(Skills!I8,MAX(0,MAX(0,Inputs!$B$43-B152)-((R122-1)*(IF(Inputs!$B$38="pvp",15,MAX(0.1,Skills!E8-IF(Skills!F8=TRUE,Inputs!$B$32,0)))*(1-IF(AND(ArtifactsInput!$M$27,Inputs!$B$4="Chapter Hunt"),CHOOSE(ArtifactsInput!$N$27+1,20,24,28,32,36,40),0)/100)))))/Skills!H8,1)))/Inputs!$B$43),G122*Q122)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
        <f>IF(C122,(H122*N122*IF(AND(Inputs!$B$38&lt;&gt;"pvp",Inputs!$B$43&gt;0),((Skills!G8*((R122-1)*IF(Skills!H8&gt;0,Skills!I8/Skills!H8,1)+IF(Skills!H8&gt;0,MIN(Skills!I8,MAX(0,MAX(0,Inputs!$B$43-B152)-((R122-1)*(IF(Inputs!$B$38="pvp",15,MAX(0.1,Skills!E8-IF(Skills!F8=TRUE,Inputs!$B$32,0)))*(1-IF(AND(ArtifactsInput!$M$27,Inputs!$B$4="Chapter Hunt"),CHOOSE(ArtifactsInput!$N$27+1,20,24,28,32,36,40),0)/100)))))/Skills!H8,1)))/Inputs!$B$43),G122*Q122)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
      <c r="A123">
        <f>Skills!A9</f>
        <v/>
      </c>
      <c r="B123">
        <f>Skills!B9</f>
        <v/>
      </c>
      <c r="C123">
        <f>Inputs!$B$3&gt;=103</f>
        <v/>
      </c>
      <c r="D123">
        <f>IF(Skills!C9=1,60+Inputs!$B$25+Inputs!$B$29,IF(Skills!C9=2,90+Inputs!$B$26+Inputs!$B$29,IF(Skills!C9=3,120+Inputs!$B$27+Inputs!$B$29,MAX(0,(Inputs!$B$3-100)*3)+Inputs!$B$28+Inputs!$B$29)))</f>
        <v/>
      </c>
      <c r="E123">
        <f>INDEX(FactorTable!$B$2:$Y$301, MATCH(ROUND(MIN(300,MAX(1,D123)),0), FactorTable!$A$2:$A$301,0), Skills!M9+1)</f>
        <v/>
      </c>
      <c r="F123">
        <f>IF(Skills!N9=TRUE,(Skills!L9/10)*(E123/1000),Skills!L9/10)+Skills!O9</f>
        <v/>
      </c>
      <c r="G123">
        <f>Calc!G9</f>
        <v/>
      </c>
      <c r="H123">
        <f>Calc!H9</f>
        <v/>
      </c>
      <c r="I123">
        <f>IF(Skills!X9&lt;&gt;"",1+(Skills!X9/10)*(Z117/1000)/100,1)</f>
        <v/>
      </c>
      <c r="J123">
        <f>((Inputs!$B$6*(1+Inputs!$B$7/100))+(((Inputs!$B$12*(1+(Inputs!$B$13+1)/100))-(Inputs!$B$12*(1+Inputs!$B$13/100)))+0.25*(Inputs!$B$14-Inputs!$B$14))*(1+Inputs!$B$7/100))*(F123/100)</f>
        <v/>
      </c>
      <c r="K123">
        <f>J123*(1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f>
        <v/>
      </c>
      <c r="L123">
        <f>K123*(MIN(Inputs!$B$22+(F136-Calc!F22),(Inputs!$B$23+(IF(ArtifactsInput!$M$15,CHOOSE(ArtifactsInput!$N$15+1,25,30,35,40,45,50)/100*(Inputs!$B$11-Inputs!$B$11),0))))/100+(Inputs!$B$23+(IF(ArtifactsInput!$M$15,CHOOSE(ArtifactsInput!$N$15+1,25,30,35,40,45,50)/100*(Inputs!$B$11-Inputs!$B$11),0)))/100)/2</f>
        <v/>
      </c>
      <c r="M123">
        <f>L123*(1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
        <f>L123*(1-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
        <f>(1-Summary!$B$11)*S123+Summary!$B$11*U123</f>
        <v/>
      </c>
      <c r="P123">
        <f>IF(B155=0,0,O123/B155)</f>
        <v/>
      </c>
      <c r="Q123">
        <f>IFERROR(1/(IF(Inputs!$B$38="pvp",15,MAX(0.1,Skills!E9-IF(Skills!F7=TRUE,Inputs!$B$32,0)))*(1-IF(AND(ArtifactsInput!$M$27,Inputs!$B$4="Chapter Hunt"),CHOOSE(ArtifactsInput!$N$27+1,20,24,28,32,36,40),0)/100)),0)</f>
        <v/>
      </c>
      <c r="R123">
        <f>IF(AND(Inputs!$B$38&lt;&gt;"pvp",Inputs!$B$43&gt;0),IF(MAX(0,Inputs!$B$43-B152)&lt;=0,0,(INT(MAX(0,Inputs!$B$43-B152)/(IF(Inputs!$B$38="pvp",15,MAX(0.1,Skills!E9-IF(Skills!F7=TRUE,Inputs!$B$32,0)))*(1-IF(AND(ArtifactsInput!$M$27,Inputs!$B$4="Chapter Hunt"),CHOOSE(ArtifactsInput!$N$27+1,20,24,28,32,36,40),0)/100)))+1)),0)</f>
        <v/>
      </c>
      <c r="S123">
        <f>IF(C123,(H123*N123*IF(AND(Inputs!$B$38&lt;&gt;"pvp",Inputs!$B$43&gt;0),((Skills!G9*((R123-1)*IF(Skills!H9&gt;0,Skills!I9/Skills!H9,1)+IF(Skills!H9&gt;0,MIN(Skills!I9,MAX(0,MAX(0,Inputs!$B$43-B152)-((R123-1)*(IF(Inputs!$B$38="pvp",15,MAX(0.1,Skills!E9-IF(Skills!F7=TRUE,Inputs!$B$32,0)))*(1-IF(AND(ArtifactsInput!$M$27,Inputs!$B$4="Chapter Hunt"),CHOOSE(ArtifactsInput!$N$27+1,20,24,28,32,36,40),0)/100)))))/Skills!H9,1)))/Inputs!$B$43),G123*Q123)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123*(1-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3">
        <f>IF(C123,(H123*N123*IF(AND(Inputs!$B$38&lt;&gt;"pvp",Inputs!$B$43&gt;0),((Skills!G9*((R123-1)*IF(Skills!H9&gt;0,Skills!I9/Skills!H9,1)+IF(Skills!H9&gt;0,MIN(Skills!I9,MAX(0,MAX(0,Inputs!$B$43-B152)-((R123-1)*(IF(Inputs!$B$38="pvp",15,MAX(0.1,Skills!E9-IF(Skills!F7=TRUE,Inputs!$B$32,0)))*(1-IF(AND(ArtifactsInput!$M$27,Inputs!$B$4="Chapter Hunt"),CHOOSE(ArtifactsInput!$N$27+1,20,24,28,32,36,40),0)/100)))))/Skills!H9,1)))/Inputs!$B$43),G123*Q123)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
      <c r="A124">
        <f>Skills!A10</f>
        <v/>
      </c>
      <c r="B124">
        <f>Skills!B10</f>
        <v/>
      </c>
      <c r="C124">
        <f>TRUE</f>
        <v/>
      </c>
      <c r="D124">
        <f>IF(Skills!C10=1,60+Inputs!$B$25+Inputs!$B$29,IF(Skills!C10=2,90+Inputs!$B$26+Inputs!$B$29,IF(Skills!C10=3,120+Inputs!$B$27+Inputs!$B$29,MAX(0,(Inputs!$B$3-100)*3)+Inputs!$B$28+Inputs!$B$29)))</f>
        <v/>
      </c>
      <c r="E124">
        <f>INDEX(FactorTable!$B$2:$Y$301, MATCH(ROUND(MIN(300,MAX(1,D124)),0), FactorTable!$A$2:$A$301,0), Skills!M10+1)</f>
        <v/>
      </c>
      <c r="F124">
        <f>IF(Skills!N10=TRUE,(Skills!L10/10)*(E124/1000),Skills!L10/10)+Skills!O10</f>
        <v/>
      </c>
      <c r="G124">
        <f>Calc!G10</f>
        <v/>
      </c>
      <c r="H124">
        <f>Calc!H10</f>
        <v/>
      </c>
      <c r="I124">
        <f>IF(Skills!X10&lt;&gt;"",1+(Skills!X10/10)*(Z117/1000)/100,1)</f>
        <v/>
      </c>
      <c r="J124">
        <f>((Inputs!$B$6*(1+Inputs!$B$7/100))+(((Inputs!$B$12*(1+(Inputs!$B$13+1)/100))-(Inputs!$B$12*(1+Inputs!$B$13/100)))+0.25*(Inputs!$B$14-Inputs!$B$14))*(1+Inputs!$B$7/100))*(F124/100)</f>
        <v/>
      </c>
      <c r="K124">
        <f>J124*(1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f>
        <v/>
      </c>
      <c r="L124">
        <f>K124*(MIN(Inputs!$B$22+(F136-Calc!F22),(Inputs!$B$23+(IF(ArtifactsInput!$M$15,CHOOSE(ArtifactsInput!$N$15+1,25,30,35,40,45,50)/100*(Inputs!$B$11-Inputs!$B$11),0))))/100+(Inputs!$B$23+(IF(ArtifactsInput!$M$15,CHOOSE(ArtifactsInput!$N$15+1,25,30,35,40,45,50)/100*(Inputs!$B$11-Inputs!$B$11),0)))/100)/2</f>
        <v/>
      </c>
      <c r="M124">
        <f>L124*(1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
        <f>L124*(1-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
        <f>(1-Summary!$B$11)*S124+Summary!$B$11*U124</f>
        <v/>
      </c>
      <c r="P124">
        <f>IF(B155=0,0,O124/B155)</f>
        <v/>
      </c>
      <c r="Q124">
        <f>IFERROR(1/(IF(Inputs!$B$38="pvp",15,MAX(0.1,Skills!E10-IF(Skills!F10=TRUE,Inputs!$B$32,0)))*(1-IF(AND(ArtifactsInput!$M$27,Inputs!$B$4="Chapter Hunt"),CHOOSE(ArtifactsInput!$N$27+1,20,24,28,32,36,40),0)/100)),0)</f>
        <v/>
      </c>
      <c r="R124">
        <f>IF(AND(Inputs!$B$38&lt;&gt;"pvp",Inputs!$B$43&gt;0),IF(MAX(0,Inputs!$B$43-B152)&lt;=0,0,(INT(MAX(0,Inputs!$B$43-B152)/(IF(Inputs!$B$38="pvp",15,MAX(0.1,Skills!E10-IF(Skills!F10=TRUE,Inputs!$B$32,0)))*(1-IF(AND(ArtifactsInput!$M$27,Inputs!$B$4="Chapter Hunt"),CHOOSE(ArtifactsInput!$N$27+1,20,24,28,32,36,40),0)/100)))+1)),0)</f>
        <v/>
      </c>
      <c r="S124">
        <f>IF(C124,(H124*N124*IF(AND(Inputs!$B$38&lt;&gt;"pvp",Inputs!$B$43&gt;0),((Skills!G10*((R124-1)*IF(Skills!H10&gt;0,Skills!I10/Skills!H10,1)+IF(Skills!H10&gt;0,MIN(Skills!I10,MAX(0,MAX(0,Inputs!$B$43-B152)-((R124-1)*(IF(Inputs!$B$38="pvp",15,MAX(0.1,Skills!E10-IF(Skills!F10=TRUE,Inputs!$B$32,0)))*(1-IF(AND(ArtifactsInput!$M$27,Inputs!$B$4="Chapter Hunt"),CHOOSE(ArtifactsInput!$N$27+1,20,24,28,32,36,40),0)/100)))))/Skills!H10,1)))/Inputs!$B$43),G124*Q124)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124*(1-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
        <f>IF(C124,(H124*N124*IF(AND(Inputs!$B$38&lt;&gt;"pvp",Inputs!$B$43&gt;0),((Skills!G10*((R124-1)*IF(Skills!H10&gt;0,Skills!I10/Skills!H10,1)+IF(Skills!H10&gt;0,MIN(Skills!I10,MAX(0,MAX(0,Inputs!$B$43-B152)-((R124-1)*(IF(Inputs!$B$38="pvp",15,MAX(0.1,Skills!E10-IF(Skills!F10=TRUE,Inputs!$B$32,0)))*(1-IF(AND(ArtifactsInput!$M$27,Inputs!$B$4="Chapter Hunt"),CHOOSE(ArtifactsInput!$N$27+1,20,24,28,32,36,40),0)/100)))))/Skills!H10,1)))/Inputs!$B$43),G124*Q124)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
      <c r="A125">
        <f>Skills!A11</f>
        <v/>
      </c>
      <c r="B125">
        <f>Skills!B11</f>
        <v/>
      </c>
      <c r="C125">
        <f>TRUE</f>
        <v/>
      </c>
      <c r="D125">
        <f>IF(Skills!C11=1,60+Inputs!$B$25+Inputs!$B$29,IF(Skills!C11=2,90+Inputs!$B$26+Inputs!$B$29,IF(Skills!C11=3,120+Inputs!$B$27+Inputs!$B$29,MAX(0,(Inputs!$B$3-100)*3)+Inputs!$B$28+Inputs!$B$29)))</f>
        <v/>
      </c>
      <c r="E125">
        <f>INDEX(FactorTable!$B$2:$Y$301, MATCH(ROUND(MIN(300,MAX(1,D125)),0), FactorTable!$A$2:$A$301,0), Skills!M11+1)</f>
        <v/>
      </c>
      <c r="F125">
        <f>IF(Skills!N11=TRUE,(Skills!L11/10)*(E125/1000),Skills!L11/10)+Skills!O11</f>
        <v/>
      </c>
      <c r="G125">
        <f>Calc!G11</f>
        <v/>
      </c>
      <c r="H125">
        <f>Calc!H11</f>
        <v/>
      </c>
      <c r="I125">
        <f>IF(Skills!X11&lt;&gt;"",1+(Skills!X11/10)*(Z117/1000)/100,1)</f>
        <v/>
      </c>
      <c r="J125" t="inlineStr"/>
      <c r="K125" t="inlineStr"/>
      <c r="L125" t="inlineStr"/>
      <c r="M125" t="inlineStr"/>
      <c r="N125" t="inlineStr"/>
      <c r="O125">
        <f>(1-Summary!$B$11)*S125+Summary!$B$11*U125</f>
        <v/>
      </c>
      <c r="P125">
        <f>IF(B155=0,0,O125/B155)</f>
        <v/>
      </c>
      <c r="Q125">
        <f>IFERROR(1/(IF(Inputs!$B$38="pvp",15,MAX(0.1,Skills!E11-IF(Skills!F11=TRUE,Inputs!$B$32,0)))*(1-IF(AND(ArtifactsInput!$M$27,Inputs!$B$4="Chapter Hunt"),CHOOSE(ArtifactsInput!$N$27+1,20,24,28,32,36,40),0)/100)),0)</f>
        <v/>
      </c>
      <c r="R125" t="n">
        <v>0</v>
      </c>
      <c r="S125" t="n">
        <v>0</v>
      </c>
      <c r="U125" t="n">
        <v>0</v>
      </c>
    </row>
    <row r="126">
      <c r="A126">
        <f>Skills!A12</f>
        <v/>
      </c>
      <c r="B126">
        <f>Skills!B12</f>
        <v/>
      </c>
      <c r="C126">
        <f>TRUE</f>
        <v/>
      </c>
      <c r="D126">
        <f>IF(Skills!C12=1,60+Inputs!$B$25+Inputs!$B$29,IF(Skills!C12=2,90+Inputs!$B$26+Inputs!$B$29,IF(Skills!C12=3,120+Inputs!$B$27+Inputs!$B$29,MAX(0,(Inputs!$B$3-100)*3)+Inputs!$B$28+Inputs!$B$29)))</f>
        <v/>
      </c>
      <c r="E126">
        <f>INDEX(FactorTable!$B$2:$Y$301, MATCH(ROUND(MIN(300,MAX(1,D126)),0), FactorTable!$A$2:$A$301,0), Skills!M12+1)</f>
        <v/>
      </c>
      <c r="F126">
        <f>IF(Skills!N12=TRUE,(Skills!L12/10)*(E126/1000),Skills!L12/10)+Skills!O12</f>
        <v/>
      </c>
      <c r="G126">
        <f>Calc!G12</f>
        <v/>
      </c>
      <c r="H126">
        <f>Calc!H12</f>
        <v/>
      </c>
      <c r="I126">
        <f>IF(Skills!X12&lt;&gt;"",1+(Skills!X12/10)*(Z117/1000)/100,1)</f>
        <v/>
      </c>
      <c r="J126" t="inlineStr"/>
      <c r="K126" t="inlineStr"/>
      <c r="L126" t="inlineStr"/>
      <c r="M126" t="inlineStr"/>
      <c r="N126" t="inlineStr"/>
      <c r="O126">
        <f>(1-Summary!$B$11)*S126+Summary!$B$11*U126</f>
        <v/>
      </c>
      <c r="P126">
        <f>IF(B155=0,0,O126/B155)</f>
        <v/>
      </c>
      <c r="Q126">
        <f>IFERROR(1/(IF(Inputs!$B$38="pvp",15,MAX(0.1,Skills!E12-IF(Skills!F12=TRUE,Inputs!$B$32,0)))*(1-IF(AND(ArtifactsInput!$M$27,Inputs!$B$4="Chapter Hunt"),CHOOSE(ArtifactsInput!$N$27+1,20,24,28,32,36,40),0)/100)),0)</f>
        <v/>
      </c>
      <c r="R126" t="n">
        <v>0</v>
      </c>
      <c r="S126" t="n">
        <v>0</v>
      </c>
      <c r="U126" t="n">
        <v>0</v>
      </c>
    </row>
    <row r="127">
      <c r="A127">
        <f>Skills!A13</f>
        <v/>
      </c>
      <c r="B127">
        <f>Skills!B13</f>
        <v/>
      </c>
      <c r="C127">
        <f>Inputs!$B$3&gt;=105</f>
        <v/>
      </c>
      <c r="D127">
        <f>IF(Skills!C13=1,60+Inputs!$B$25+Inputs!$B$29,IF(Skills!C13=2,90+Inputs!$B$26+Inputs!$B$29,IF(Skills!C13=3,120+Inputs!$B$27+Inputs!$B$29,MAX(0,(Inputs!$B$3-100)*3)+Inputs!$B$28+Inputs!$B$29)))</f>
        <v/>
      </c>
      <c r="E127">
        <f>INDEX(FactorTable!$B$2:$Y$301, MATCH(ROUND(MIN(300,MAX(1,D127)),0), FactorTable!$A$2:$A$301,0), Skills!M13+1)</f>
        <v/>
      </c>
      <c r="F127">
        <f>IF(Skills!N13=TRUE,(Skills!L13/10)*(E127/1000),Skills!L13/10)+Skills!O13</f>
        <v/>
      </c>
      <c r="G127">
        <f>Calc!G13</f>
        <v/>
      </c>
      <c r="H127">
        <f>Calc!H13</f>
        <v/>
      </c>
      <c r="I127">
        <f>IF(Skills!X13&lt;&gt;"",1+(Skills!X13/10)*(Z117/1000)/100,1)</f>
        <v/>
      </c>
      <c r="J127">
        <f>((Inputs!$B$6*(1+Inputs!$B$7/100))+(((Inputs!$B$12*(1+(Inputs!$B$13+1)/100))-(Inputs!$B$12*(1+Inputs!$B$13/100)))+0.25*(Inputs!$B$14-Inputs!$B$14))*(1+Inputs!$B$7/100))*(F127/100)</f>
        <v/>
      </c>
      <c r="K127">
        <f>J127*(1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f>
        <v/>
      </c>
      <c r="L127">
        <f>K127*(MIN(Inputs!$B$22+(F136-Calc!F22),(Inputs!$B$23+(IF(ArtifactsInput!$M$15,CHOOSE(ArtifactsInput!$N$15+1,25,30,35,40,45,50)/100*(Inputs!$B$11-Inputs!$B$11),0))))/100+(Inputs!$B$23+(IF(ArtifactsInput!$M$15,CHOOSE(ArtifactsInput!$N$15+1,25,30,35,40,45,50)/100*(Inputs!$B$11-Inputs!$B$11),0)))/100)/2</f>
        <v/>
      </c>
      <c r="M127">
        <f>L127*(1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
        <f>L127*(1-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
        <f>(1-Summary!$B$11)*S127+Summary!$B$11*U127</f>
        <v/>
      </c>
      <c r="P127">
        <f>IF(B155=0,0,O127/B155)</f>
        <v/>
      </c>
      <c r="Q127">
        <f>IFERROR(1/(IF(Inputs!$B$38="pvp",15,MAX(0.1,Skills!E13-IF(Skills!F13=TRUE,Inputs!$B$32,0)))*(1-IF(AND(ArtifactsInput!$M$27,Inputs!$B$4="Chapter Hunt"),CHOOSE(ArtifactsInput!$N$27+1,20,24,28,32,36,40),0)/100)),0)</f>
        <v/>
      </c>
      <c r="R127">
        <f>IF(AND(Inputs!$B$38&lt;&gt;"pvp",Inputs!$B$43&gt;0),IF(MAX(0,Inputs!$B$43-B152)&lt;=0,0,(INT(MAX(0,Inputs!$B$43-B152)/(IF(Inputs!$B$38="pvp",15,MAX(0.1,Skills!E13-IF(Skills!F13=TRUE,Inputs!$B$32,0)))*(1-IF(AND(ArtifactsInput!$M$27,Inputs!$B$4="Chapter Hunt"),CHOOSE(ArtifactsInput!$N$27+1,20,24,28,32,36,40),0)/100)))+1)),0)</f>
        <v/>
      </c>
      <c r="S127">
        <f>IF(C127,(H127*N127*IF(AND(Inputs!$B$38&lt;&gt;"pvp",Inputs!$B$43&gt;0),((Skills!G13*((R127-1)*IF(Skills!H13&gt;0,Skills!I13/Skills!H13,1)+IF(Skills!H13&gt;0,MIN(Skills!I13,MAX(0,MAX(0,Inputs!$B$43-B152)-((R127-1)*(IF(Inputs!$B$38="pvp",15,MAX(0.1,Skills!E13-IF(Skills!F13=TRUE,Inputs!$B$32,0)))*(1-IF(AND(ArtifactsInput!$M$27,Inputs!$B$4="Chapter Hunt"),CHOOSE(ArtifactsInput!$N$27+1,20,24,28,32,36,40),0)/100)))))/Skills!H13,1)))/Inputs!$B$43),G127*Q127)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127*(1-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
        <f>IF(C127,(H127*N127*IF(AND(Inputs!$B$38&lt;&gt;"pvp",Inputs!$B$43&gt;0),((Skills!G13*((R127-1)*IF(Skills!H13&gt;0,Skills!I13/Skills!H13,1)+IF(Skills!H13&gt;0,MIN(Skills!I13,MAX(0,MAX(0,Inputs!$B$43-B152)-((R127-1)*(IF(Inputs!$B$38="pvp",15,MAX(0.1,Skills!E13-IF(Skills!F13=TRUE,Inputs!$B$32,0)))*(1-IF(AND(ArtifactsInput!$M$27,Inputs!$B$4="Chapter Hunt"),CHOOSE(ArtifactsInput!$N$27+1,20,24,28,32,36,40),0)/100)))))/Skills!H13,1)))/Inputs!$B$43),G127*Q127)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
      <c r="A128">
        <f>Skills!A14</f>
        <v/>
      </c>
      <c r="B128">
        <f>Skills!B14</f>
        <v/>
      </c>
      <c r="C128">
        <f>Inputs!$B$3&gt;=113</f>
        <v/>
      </c>
      <c r="D128">
        <f>IF(Skills!C14=1,60+Inputs!$B$25+Inputs!$B$29,IF(Skills!C14=2,90+Inputs!$B$26+Inputs!$B$29,IF(Skills!C14=3,120+Inputs!$B$27+Inputs!$B$29,MAX(0,(Inputs!$B$3-100)*3)+Inputs!$B$28+Inputs!$B$29)))</f>
        <v/>
      </c>
      <c r="E128">
        <f>INDEX(FactorTable!$B$2:$Y$301, MATCH(ROUND(MIN(300,MAX(1,D128)),0), FactorTable!$A$2:$A$301,0), Skills!M14+1)</f>
        <v/>
      </c>
      <c r="F128">
        <f>IF(Skills!N14=TRUE,(Skills!L14/10)*(E128/1000),Skills!L14/10)+Skills!O14</f>
        <v/>
      </c>
      <c r="G128">
        <f>Calc!G14</f>
        <v/>
      </c>
      <c r="H128">
        <f>Calc!H14</f>
        <v/>
      </c>
      <c r="I128">
        <f>IF(Skills!X14&lt;&gt;"",1+(Skills!X14/10)*(Z117/1000)/100,1)</f>
        <v/>
      </c>
      <c r="J128">
        <f>((Inputs!$B$6*(1+Inputs!$B$7/100))+(((Inputs!$B$12*(1+(Inputs!$B$13+1)/100))-(Inputs!$B$12*(1+Inputs!$B$13/100)))+0.25*(Inputs!$B$14-Inputs!$B$14))*(1+Inputs!$B$7/100))*(F128/100)</f>
        <v/>
      </c>
      <c r="K128">
        <f>J128*(1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f>
        <v/>
      </c>
      <c r="L128">
        <f>K128*(MIN(Inputs!$B$22+(F136-Calc!F22),(Inputs!$B$23+(IF(ArtifactsInput!$M$15,CHOOSE(ArtifactsInput!$N$15+1,25,30,35,40,45,50)/100*(Inputs!$B$11-Inputs!$B$11),0))))/100+(Inputs!$B$23+(IF(ArtifactsInput!$M$15,CHOOSE(ArtifactsInput!$N$15+1,25,30,35,40,45,50)/100*(Inputs!$B$11-Inputs!$B$11),0)))/100)/2</f>
        <v/>
      </c>
      <c r="M128">
        <f>L128*(1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
        <f>L128*(1-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
        <f>(1-Summary!$B$11)*S128+Summary!$B$11*U128</f>
        <v/>
      </c>
      <c r="P128">
        <f>IF(B155=0,0,O128/B155)</f>
        <v/>
      </c>
      <c r="Q128">
        <f>IFERROR(1/(IF(Inputs!$B$38="pvp",15,MAX(0.1,Skills!E14-IF(Skills!F14=TRUE,Inputs!$B$32,0)))*(1-IF(AND(ArtifactsInput!$M$27,Inputs!$B$4="Chapter Hunt"),CHOOSE(ArtifactsInput!$N$27+1,20,24,28,32,36,40),0)/100)),0)</f>
        <v/>
      </c>
      <c r="R128" t="n">
        <v>0</v>
      </c>
      <c r="S128">
        <f>IF(C128,((H128*B151)/(1+Skills!H14*H128*B151)*N128)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128*(1-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8">
        <f>IF(C128,((H128*B151)/(1+Skills!H14*H128*B151)*N128)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
      <c r="A129">
        <f>Skills!A15</f>
        <v/>
      </c>
      <c r="B129">
        <f>Skills!B15</f>
        <v/>
      </c>
      <c r="C129">
        <f>Inputs!$B$3&gt;=107</f>
        <v/>
      </c>
      <c r="D129">
        <f>IF(Skills!C15=1,60+Inputs!$B$25+Inputs!$B$29,IF(Skills!C15=2,90+Inputs!$B$26+Inputs!$B$29,IF(Skills!C15=3,120+Inputs!$B$27+Inputs!$B$29,MAX(0,(Inputs!$B$3-100)*3)+Inputs!$B$28+Inputs!$B$29)))</f>
        <v/>
      </c>
      <c r="E129">
        <f>INDEX(FactorTable!$B$2:$Y$301, MATCH(ROUND(MIN(300,MAX(1,D129)),0), FactorTable!$A$2:$A$301,0), Skills!M15+1)</f>
        <v/>
      </c>
      <c r="F129">
        <f>IF(Skills!N15=TRUE,(Skills!L15/10)*(E129/1000),Skills!L15/10)+Skills!O15</f>
        <v/>
      </c>
      <c r="G129">
        <f>Calc!G15</f>
        <v/>
      </c>
      <c r="H129">
        <f>Calc!H15</f>
        <v/>
      </c>
      <c r="I129">
        <f>IF(Skills!X15&lt;&gt;"",1+(Skills!X15/10)*(Z117/1000)/100,1)</f>
        <v/>
      </c>
      <c r="J129">
        <f>((Inputs!$B$6*(1+Inputs!$B$7/100))+(((Inputs!$B$12*(1+(Inputs!$B$13+1)/100))-(Inputs!$B$12*(1+Inputs!$B$13/100)))+0.25*(Inputs!$B$14-Inputs!$B$14))*(1+Inputs!$B$7/100))*(F129/100)</f>
        <v/>
      </c>
      <c r="K129">
        <f>J129*(1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f>
        <v/>
      </c>
      <c r="L129">
        <f>K129*(MIN(Inputs!$B$22+(F136-Calc!F22),(Inputs!$B$23+(IF(ArtifactsInput!$M$15,CHOOSE(ArtifactsInput!$N$15+1,25,30,35,40,45,50)/100*(Inputs!$B$11-Inputs!$B$11),0))))/100+(Inputs!$B$23+(IF(ArtifactsInput!$M$15,CHOOSE(ArtifactsInput!$N$15+1,25,30,35,40,45,50)/100*(Inputs!$B$11-Inputs!$B$11),0)))/100)/2</f>
        <v/>
      </c>
      <c r="M129">
        <f>L129*(1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
        <f>L129*(1-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
        <f>(1-Summary!$B$11)*S129+Summary!$B$11*U129</f>
        <v/>
      </c>
      <c r="P129">
        <f>IF(B155=0,0,O129/B155)</f>
        <v/>
      </c>
      <c r="Q129">
        <f>IFERROR(1/(IF(Inputs!$B$38="pvp",15,MAX(0.1,Skills!E15-IF(Skills!F15=TRUE,Inputs!$B$32,0)))*(1-IF(AND(ArtifactsInput!$M$27,Inputs!$B$4="Chapter Hunt"),CHOOSE(ArtifactsInput!$N$27+1,20,24,28,32,36,40),0)/100)),0)</f>
        <v/>
      </c>
      <c r="R129">
        <f>IF(AND(Inputs!$B$38&lt;&gt;"pvp",Inputs!$B$43&gt;0),IF(MAX(0,Inputs!$B$43-B152)&lt;=0,0,(INT(MAX(0,Inputs!$B$43-B152)/(IF(Inputs!$B$38="pvp",15,MAX(0.1,Skills!E15-IF(Skills!F15=TRUE,Inputs!$B$32,0)))*(1-IF(AND(ArtifactsInput!$M$27,Inputs!$B$4="Chapter Hunt"),CHOOSE(ArtifactsInput!$N$27+1,20,24,28,32,36,40),0)/100)))+1)),0)</f>
        <v/>
      </c>
      <c r="S129">
        <f>IF(C129,(H129*N129*IF(AND(Inputs!$B$38&lt;&gt;"pvp",Inputs!$B$43&gt;0),((Skills!G15*((R129-1)*IF(Skills!H15&gt;0,Skills!I15/Skills!H15,1)+IF(Skills!H15&gt;0,MIN(Skills!I15,MAX(0,MAX(0,Inputs!$B$43-B152)-((R129-1)*(IF(Inputs!$B$38="pvp",15,MAX(0.1,Skills!E15-IF(Skills!F15=TRUE,Inputs!$B$32,0)))*(1-IF(AND(ArtifactsInput!$M$27,Inputs!$B$4="Chapter Hunt"),CHOOSE(ArtifactsInput!$N$27+1,20,24,28,32,36,40),0)/100)))))/Skills!H15,1)))/Inputs!$B$43),G129*Q129)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129*(1-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9">
        <f>IF(C129,(H129*N129*IF(AND(Inputs!$B$38&lt;&gt;"pvp",Inputs!$B$43&gt;0),((Skills!G15*((R129-1)*IF(Skills!H15&gt;0,Skills!I15/Skills!H15,1)+IF(Skills!H15&gt;0,MIN(Skills!I15,MAX(0,MAX(0,Inputs!$B$43-B152)-((R129-1)*(IF(Inputs!$B$38="pvp",15,MAX(0.1,Skills!E15-IF(Skills!F15=TRUE,Inputs!$B$32,0)))*(1-IF(AND(ArtifactsInput!$M$27,Inputs!$B$4="Chapter Hunt"),CHOOSE(ArtifactsInput!$N$27+1,20,24,28,32,36,40),0)/100)))))/Skills!H15,1)))/Inputs!$B$43),G129*Q129)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
      <c r="A130">
        <f>Skills!A16</f>
        <v/>
      </c>
      <c r="B130">
        <f>Skills!B16</f>
        <v/>
      </c>
      <c r="C130">
        <f>Inputs!$B$3&gt;=107</f>
        <v/>
      </c>
      <c r="D130">
        <f>IF(Skills!C16=1,60+Inputs!$B$25+Inputs!$B$29,IF(Skills!C16=2,90+Inputs!$B$26+Inputs!$B$29,IF(Skills!C16=3,120+Inputs!$B$27+Inputs!$B$29,MAX(0,(Inputs!$B$3-100)*3)+Inputs!$B$28+Inputs!$B$29)))</f>
        <v/>
      </c>
      <c r="E130">
        <f>INDEX(FactorTable!$B$2:$Y$301, MATCH(ROUND(MIN(300,MAX(1,D130)),0), FactorTable!$A$2:$A$301,0), Skills!M16+1)</f>
        <v/>
      </c>
      <c r="F130">
        <f>IF(Skills!N16=TRUE,(Skills!L16/10)*(E130/1000),Skills!L16/10)+Skills!O16</f>
        <v/>
      </c>
      <c r="G130">
        <f>Calc!G16</f>
        <v/>
      </c>
      <c r="H130">
        <f>Calc!H16</f>
        <v/>
      </c>
      <c r="I130">
        <f>IF(Skills!X16&lt;&gt;"",1+(Skills!X16/10)*(Z117/1000)/100,1)</f>
        <v/>
      </c>
      <c r="J130">
        <f>((Inputs!$B$6*(1+Inputs!$B$7/100))+(((Inputs!$B$12*(1+(Inputs!$B$13+1)/100))-(Inputs!$B$12*(1+Inputs!$B$13/100)))+0.25*(Inputs!$B$14-Inputs!$B$14))*(1+Inputs!$B$7/100))*(F130/100)</f>
        <v/>
      </c>
      <c r="K130">
        <f>J130*(1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f>
        <v/>
      </c>
      <c r="L130">
        <f>K130*(MIN(Inputs!$B$22+(F136-Calc!F22),(Inputs!$B$23+(IF(ArtifactsInput!$M$15,CHOOSE(ArtifactsInput!$N$15+1,25,30,35,40,45,50)/100*(Inputs!$B$11-Inputs!$B$11),0))))/100+(Inputs!$B$23+(IF(ArtifactsInput!$M$15,CHOOSE(ArtifactsInput!$N$15+1,25,30,35,40,45,50)/100*(Inputs!$B$11-Inputs!$B$11),0)))/100)/2</f>
        <v/>
      </c>
      <c r="M130">
        <f>L130*(1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
        <f>L130*(1-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
        <f>(1-Summary!$B$11)*S130+Summary!$B$11*U130</f>
        <v/>
      </c>
      <c r="P130">
        <f>IF(B155=0,0,O130/B155)</f>
        <v/>
      </c>
      <c r="Q130">
        <f>IFERROR(1/(IF(Inputs!$B$38="pvp",15,MAX(0.1,Skills!E16-IF(Skills!F16=TRUE,Inputs!$B$32,0)))*(1-IF(AND(ArtifactsInput!$M$27,Inputs!$B$4="Chapter Hunt"),CHOOSE(ArtifactsInput!$N$27+1,20,24,28,32,36,40),0)/100)),0)</f>
        <v/>
      </c>
      <c r="R130">
        <f>IF(AND(Inputs!$B$38&lt;&gt;"pvp",Inputs!$B$43&gt;0),IF(MAX(0,Inputs!$B$43-B152)&lt;=0,0,(INT(MAX(0,Inputs!$B$43-B152)/(IF(Inputs!$B$38="pvp",15,MAX(0.1,Skills!E16-IF(Skills!F16=TRUE,Inputs!$B$32,0)))*(1-IF(AND(ArtifactsInput!$M$27,Inputs!$B$4="Chapter Hunt"),CHOOSE(ArtifactsInput!$N$27+1,20,24,28,32,36,40),0)/100)))+1)),0)</f>
        <v/>
      </c>
      <c r="S130">
        <f>IF(C130,(H130*N130*IF(AND(Inputs!$B$38&lt;&gt;"pvp",Inputs!$B$43&gt;0),((Skills!G16*((R130-1)*IF(Skills!H16&gt;0,Skills!I16/Skills!H16,1)+IF(Skills!H16&gt;0,MIN(Skills!I16,MAX(0,MAX(0,Inputs!$B$43-B152)-((R130-1)*(IF(Inputs!$B$38="pvp",15,MAX(0.1,Skills!E16-IF(Skills!F16=TRUE,Inputs!$B$32,0)))*(1-IF(AND(ArtifactsInput!$M$27,Inputs!$B$4="Chapter Hunt"),CHOOSE(ArtifactsInput!$N$27+1,20,24,28,32,36,40),0)/100)))))/Skills!H16,1)))/Inputs!$B$43),G130*Q130)*(1+IF(Inputs!$B$3&gt;=126,0.05*(B150+Q127+(H128*B151)/(1+Skills!H14*H128*B151)+Q138)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
        <f>IF(C130,(H130*N130*IF(AND(Inputs!$B$38&lt;&gt;"pvp",Inputs!$B$43&gt;0),((Skills!G16*((R130-1)*IF(Skills!H16&gt;0,Skills!I16/Skills!H16,1)+IF(Skills!H16&gt;0,MIN(Skills!I16,MAX(0,MAX(0,Inputs!$B$43-B152)-((R130-1)*(IF(Inputs!$B$38="pvp",15,MAX(0.1,Skills!E16-IF(Skills!F16=TRUE,Inputs!$B$32,0)))*(1-IF(AND(ArtifactsInput!$M$27,Inputs!$B$4="Chapter Hunt"),CHOOSE(ArtifactsInput!$N$27+1,20,24,28,32,36,40),0)/100)))))/Skills!H16,1)))/Inputs!$B$43),G130*Q130)*(1+IF(Inputs!$B$3&gt;=126,0.05*(B150+Q127+(H128*B151)/(1+Skills!H14*H128*B151)+Q138)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
      <c r="A131">
        <f>Skills!A17</f>
        <v/>
      </c>
      <c r="B131">
        <f>Skills!B17</f>
        <v/>
      </c>
      <c r="C131">
        <f>TRUE</f>
        <v/>
      </c>
      <c r="D131">
        <f>IF(Skills!C17=1,60+Inputs!$B$25+Inputs!$B$29,IF(Skills!C17=2,90+Inputs!$B$26+Inputs!$B$29,IF(Skills!C17=3,120+Inputs!$B$27+Inputs!$B$29,MAX(0,(Inputs!$B$3-100)*3)+Inputs!$B$28+Inputs!$B$29)))</f>
        <v/>
      </c>
      <c r="E131">
        <f>INDEX(FactorTable!$B$2:$Y$301, MATCH(ROUND(MIN(300,MAX(1,D131)),0), FactorTable!$A$2:$A$301,0), Skills!M17+1)</f>
        <v/>
      </c>
      <c r="F131">
        <f>IF(Skills!N17=TRUE,(Skills!L17/10)*(E131/1000),Skills!L17/10)+Skills!O17</f>
        <v/>
      </c>
      <c r="G131">
        <f>Calc!G17</f>
        <v/>
      </c>
      <c r="H131">
        <f>Calc!H17</f>
        <v/>
      </c>
      <c r="I131">
        <f>IF(Skills!X17&lt;&gt;"",1+(Skills!X17/10)*(Z117/1000)/100,1)</f>
        <v/>
      </c>
      <c r="J131" t="inlineStr"/>
      <c r="K131" t="inlineStr"/>
      <c r="L131" t="inlineStr"/>
      <c r="M131" t="inlineStr"/>
      <c r="N131" t="inlineStr"/>
      <c r="O131">
        <f>(1-Summary!$B$11)*S131+Summary!$B$11*U131</f>
        <v/>
      </c>
      <c r="P131">
        <f>IF(B155=0,0,O131/B155)</f>
        <v/>
      </c>
      <c r="Q131">
        <f>IFERROR(1/(IF(Inputs!$B$38="pvp",15,MAX(0.1,Skills!E17-IF(Skills!F17=TRUE,Inputs!$B$32,0)))*(1-IF(AND(ArtifactsInput!$M$27,Inputs!$B$4="Chapter Hunt"),CHOOSE(ArtifactsInput!$N$27+1,20,24,28,32,36,40),0)/100)),0)</f>
        <v/>
      </c>
      <c r="R131">
        <f>IF(AND(Inputs!$B$38&lt;&gt;"pvp",Inputs!$B$43&gt;0),IF(Inputs!$B$43&lt;=0,0,(INT(Inputs!$B$43/(IF(Inputs!$B$38="pvp",15,MAX(0.1,Skills!E17-IF(Skills!F17=TRUE,Inputs!$B$32,0)))*(1-IF(AND(ArtifactsInput!$M$27,Inputs!$B$4="Chapter Hunt"),CHOOSE(ArtifactsInput!$N$27+1,20,24,28,32,36,40),0)/100)))+1)),0)</f>
        <v/>
      </c>
      <c r="S131" t="n">
        <v>0</v>
      </c>
      <c r="U131" t="n">
        <v>0</v>
      </c>
    </row>
    <row r="132">
      <c r="A132">
        <f>Skills!A18</f>
        <v/>
      </c>
      <c r="B132">
        <f>Skills!B18</f>
        <v/>
      </c>
      <c r="C132">
        <f>TRUE</f>
        <v/>
      </c>
      <c r="D132">
        <f>IF(Skills!C18=1,60+Inputs!$B$25+Inputs!$B$29,IF(Skills!C18=2,90+Inputs!$B$26+Inputs!$B$29,IF(Skills!C18=3,120+Inputs!$B$27+Inputs!$B$29,MAX(0,(Inputs!$B$3-100)*3)+Inputs!$B$28+Inputs!$B$29)))</f>
        <v/>
      </c>
      <c r="E132">
        <f>INDEX(FactorTable!$B$2:$Y$301, MATCH(ROUND(MIN(300,MAX(1,D132)),0), FactorTable!$A$2:$A$301,0), Skills!M18+1)</f>
        <v/>
      </c>
      <c r="F132">
        <f>IF(Skills!N18=TRUE,(Skills!L18/10)*(E132/1000),Skills!L18/10)+Skills!O18</f>
        <v/>
      </c>
      <c r="G132">
        <f>Calc!G18</f>
        <v/>
      </c>
      <c r="H132">
        <f>Calc!H18</f>
        <v/>
      </c>
      <c r="I132">
        <f>IF(Skills!X18&lt;&gt;"",1+(Skills!X18/10)*(Z117/1000)/100,1)</f>
        <v/>
      </c>
      <c r="J132" t="inlineStr"/>
      <c r="K132" t="inlineStr"/>
      <c r="L132" t="inlineStr"/>
      <c r="M132" t="inlineStr"/>
      <c r="N132" t="inlineStr"/>
      <c r="O132">
        <f>(1-Summary!$B$11)*S132+Summary!$B$11*U132</f>
        <v/>
      </c>
      <c r="P132">
        <f>IF(B155=0,0,O132/B155)</f>
        <v/>
      </c>
      <c r="Q132">
        <f>IFERROR(1/(IF(Inputs!$B$38="pvp",15,MAX(0.1,Skills!E18-IF(Skills!F18=TRUE,Inputs!$B$32,0)))*(1-IF(AND(ArtifactsInput!$M$27,Inputs!$B$4="Chapter Hunt"),CHOOSE(ArtifactsInput!$N$27+1,20,24,28,32,36,40),0)/100)),0)</f>
        <v/>
      </c>
      <c r="R132">
        <f>IF(AND(Inputs!$B$38&lt;&gt;"pvp",Inputs!$B$43&gt;0),IF(Inputs!$B$43&lt;=0,0,(INT(Inputs!$B$43/(IF(Inputs!$B$38="pvp",15,MAX(0.1,Skills!E18-IF(Skills!F18=TRUE,Inputs!$B$32,0)))*(1-IF(AND(ArtifactsInput!$M$27,Inputs!$B$4="Chapter Hunt"),CHOOSE(ArtifactsInput!$N$27+1,20,24,28,32,36,40),0)/100)))+1)),0)</f>
        <v/>
      </c>
      <c r="S132" t="n">
        <v>0</v>
      </c>
      <c r="U132" t="n">
        <v>0</v>
      </c>
    </row>
    <row r="133">
      <c r="A133">
        <f>Skills!A19</f>
        <v/>
      </c>
      <c r="B133">
        <f>Skills!B19</f>
        <v/>
      </c>
      <c r="C133">
        <f>Inputs!$B$3&gt;=110</f>
        <v/>
      </c>
      <c r="D133">
        <f>IF(Skills!C19=1,60+Inputs!$B$25+Inputs!$B$29,IF(Skills!C19=2,90+Inputs!$B$26+Inputs!$B$29,IF(Skills!C19=3,120+Inputs!$B$27+Inputs!$B$29,MAX(0,(Inputs!$B$3-100)*3)+Inputs!$B$28+Inputs!$B$29)))</f>
        <v/>
      </c>
      <c r="E133">
        <f>INDEX(FactorTable!$B$2:$Y$301, MATCH(ROUND(MIN(300,MAX(1,D133)),0), FactorTable!$A$2:$A$301,0), Skills!M19+1)</f>
        <v/>
      </c>
      <c r="F133">
        <f>IF(Skills!N19=TRUE,(Skills!L19/10)*(E133/1000),Skills!L19/10)+Skills!O19</f>
        <v/>
      </c>
      <c r="G133">
        <f>Calc!G19</f>
        <v/>
      </c>
      <c r="H133">
        <f>Calc!H19</f>
        <v/>
      </c>
      <c r="I133">
        <f>IF(Skills!X19&lt;&gt;"",1+(Skills!X19/10)*(Z117/1000)/100,1)</f>
        <v/>
      </c>
      <c r="J133" t="inlineStr"/>
      <c r="K133" t="inlineStr"/>
      <c r="L133" t="inlineStr"/>
      <c r="M133" t="inlineStr"/>
      <c r="N133" t="inlineStr"/>
      <c r="O133">
        <f>(1-Summary!$B$11)*S133+Summary!$B$11*U133</f>
        <v/>
      </c>
      <c r="P133">
        <f>IF(B155=0,0,O133/B155)</f>
        <v/>
      </c>
      <c r="Q133">
        <f>IFERROR(1/(IF(Inputs!$B$38="pvp",15,MAX(0.1,Skills!E19-IF(Skills!F19=TRUE,Inputs!$B$32,0)))*(1-IF(AND(ArtifactsInput!$M$27,Inputs!$B$4="Chapter Hunt"),CHOOSE(ArtifactsInput!$N$27+1,20,24,28,32,36,40),0)/100)),0)</f>
        <v/>
      </c>
      <c r="R133">
        <f>IF(AND(Inputs!$B$38&lt;&gt;"pvp",Inputs!$B$43&gt;0),IF(Inputs!$B$43&lt;=0,0,(INT(Inputs!$B$43/(IF(Inputs!$B$38="pvp",15,MAX(0.1,Skills!E19-IF(Skills!F19=TRUE,Inputs!$B$32,0)))*(1-IF(AND(ArtifactsInput!$M$27,Inputs!$B$4="Chapter Hunt"),CHOOSE(ArtifactsInput!$N$27+1,20,24,28,32,36,40),0)/100)))+1)),0)</f>
        <v/>
      </c>
      <c r="S133" t="n">
        <v>0</v>
      </c>
      <c r="U133" t="n">
        <v>0</v>
      </c>
    </row>
    <row r="134">
      <c r="A134">
        <f>Skills!A20</f>
        <v/>
      </c>
      <c r="B134">
        <f>Skills!B20</f>
        <v/>
      </c>
      <c r="C134">
        <f>TRUE</f>
        <v/>
      </c>
      <c r="D134">
        <f>IF(Skills!C20=1,60+Inputs!$B$25+Inputs!$B$29,IF(Skills!C20=2,90+Inputs!$B$26+Inputs!$B$29,IF(Skills!C20=3,120+Inputs!$B$27+Inputs!$B$29,MAX(0,(Inputs!$B$3-100)*3)+Inputs!$B$28+Inputs!$B$29)))</f>
        <v/>
      </c>
      <c r="E134">
        <f>INDEX(FactorTable!$B$2:$Y$301, MATCH(ROUND(MIN(300,MAX(1,D134)),0), FactorTable!$A$2:$A$301,0), Skills!M20+1)</f>
        <v/>
      </c>
      <c r="F134">
        <f>IF(Skills!N20=TRUE,(Skills!L20/10)*(E134/1000),Skills!L20/10)+Skills!O20</f>
        <v/>
      </c>
      <c r="G134">
        <f>Calc!G20</f>
        <v/>
      </c>
      <c r="H134">
        <f>Calc!H20</f>
        <v/>
      </c>
      <c r="I134">
        <f>IF(Skills!X20&lt;&gt;"",1+(Skills!X20/10)*(Z117/1000)/100,1)</f>
        <v/>
      </c>
      <c r="J134" t="inlineStr"/>
      <c r="K134" t="inlineStr"/>
      <c r="L134" t="inlineStr"/>
      <c r="M134" t="inlineStr"/>
      <c r="N134" t="inlineStr"/>
      <c r="O134">
        <f>(1-Summary!$B$11)*S134+Summary!$B$11*U134</f>
        <v/>
      </c>
      <c r="P134">
        <f>IF(B155=0,0,O134/B155)</f>
        <v/>
      </c>
      <c r="Q134">
        <f>IFERROR(1/(IF(Inputs!$B$38="pvp",15,MAX(0.1,Skills!E20-IF(Skills!F20=TRUE,Inputs!$B$32,0)))*(1-IF(AND(ArtifactsInput!$M$27,Inputs!$B$4="Chapter Hunt"),CHOOSE(ArtifactsInput!$N$27+1,20,24,28,32,36,40),0)/100)),0)</f>
        <v/>
      </c>
      <c r="R134" t="n">
        <v>0</v>
      </c>
      <c r="S134" t="n">
        <v>0</v>
      </c>
      <c r="U134" t="n">
        <v>0</v>
      </c>
    </row>
    <row r="135">
      <c r="A135">
        <f>Skills!A21</f>
        <v/>
      </c>
      <c r="B135">
        <f>Skills!B21</f>
        <v/>
      </c>
      <c r="C135">
        <f>TRUE</f>
        <v/>
      </c>
      <c r="D135">
        <f>IF(Skills!C21=1,60+Inputs!$B$25+Inputs!$B$29,IF(Skills!C21=2,90+Inputs!$B$26+Inputs!$B$29,IF(Skills!C21=3,120+Inputs!$B$27+Inputs!$B$29,MAX(0,(Inputs!$B$3-100)*3)+Inputs!$B$28+Inputs!$B$29)))</f>
        <v/>
      </c>
      <c r="E135">
        <f>INDEX(FactorTable!$B$2:$Y$301, MATCH(ROUND(MIN(300,MAX(1,D135)),0), FactorTable!$A$2:$A$301,0), Skills!M21+1)</f>
        <v/>
      </c>
      <c r="F135">
        <f>IF(Skills!N21=TRUE,(Skills!L21/10)*(E135/1000),Skills!L21/10)+Skills!O21</f>
        <v/>
      </c>
      <c r="G135">
        <f>Calc!G21</f>
        <v/>
      </c>
      <c r="H135">
        <f>Calc!H21</f>
        <v/>
      </c>
      <c r="I135">
        <f>IF(Skills!X21&lt;&gt;"",1+(Skills!X21/10)*(Z117/1000)/100,1)</f>
        <v/>
      </c>
      <c r="J135" t="inlineStr"/>
      <c r="K135" t="inlineStr"/>
      <c r="L135" t="inlineStr"/>
      <c r="M135" t="inlineStr"/>
      <c r="N135" t="inlineStr"/>
      <c r="O135">
        <f>(1-Summary!$B$11)*S135+Summary!$B$11*U135</f>
        <v/>
      </c>
      <c r="P135">
        <f>IF(B155=0,0,O135/B155)</f>
        <v/>
      </c>
      <c r="Q135">
        <f>IFERROR(1/(IF(Inputs!$B$38="pvp",15,MAX(0.1,Skills!E21-IF(Skills!F21=TRUE,Inputs!$B$32,0)))*(1-IF(AND(ArtifactsInput!$M$27,Inputs!$B$4="Chapter Hunt"),CHOOSE(ArtifactsInput!$N$27+1,20,24,28,32,36,40),0)/100)),0)</f>
        <v/>
      </c>
      <c r="R135" t="n">
        <v>0</v>
      </c>
      <c r="S135" t="n">
        <v>0</v>
      </c>
      <c r="U135" t="n">
        <v>0</v>
      </c>
    </row>
    <row r="136">
      <c r="A136">
        <f>Skills!A22</f>
        <v/>
      </c>
      <c r="B136">
        <f>Skills!B22</f>
        <v/>
      </c>
      <c r="C136">
        <f>TRUE</f>
        <v/>
      </c>
      <c r="D136">
        <f>IF(Skills!C22=1,60+Inputs!$B$25+Inputs!$B$29,IF(Skills!C22=2,90+Inputs!$B$26+Inputs!$B$29,IF(Skills!C22=3,120+Inputs!$B$27+Inputs!$B$29,MAX(0,(Inputs!$B$3-100)*3)+Inputs!$B$28+Inputs!$B$29)))</f>
        <v/>
      </c>
      <c r="E136">
        <f>INDEX(FactorTable!$B$2:$Y$301, MATCH(ROUND(MIN(300,MAX(1,D136)),0), FactorTable!$A$2:$A$301,0), Skills!M22+1)</f>
        <v/>
      </c>
      <c r="F136">
        <f>IF(Skills!N22=TRUE,(Skills!L22/10)*(E136/1000),Skills!L22/10)+Skills!O22</f>
        <v/>
      </c>
      <c r="G136">
        <f>Calc!G22</f>
        <v/>
      </c>
      <c r="H136">
        <f>Calc!H22</f>
        <v/>
      </c>
      <c r="I136">
        <f>IF(Skills!X22&lt;&gt;"",1+(Skills!X22/10)*(Z117/1000)/100,1)</f>
        <v/>
      </c>
      <c r="J136" t="inlineStr"/>
      <c r="K136" t="inlineStr"/>
      <c r="L136" t="inlineStr"/>
      <c r="M136" t="inlineStr"/>
      <c r="N136" t="inlineStr"/>
      <c r="O136">
        <f>(1-Summary!$B$11)*S136+Summary!$B$11*U136</f>
        <v/>
      </c>
      <c r="P136">
        <f>IF(B155=0,0,O136/B155)</f>
        <v/>
      </c>
      <c r="Q136">
        <f>IFERROR(1/(IF(Inputs!$B$38="pvp",15,MAX(0.1,Skills!E22-IF(Skills!F22=TRUE,Inputs!$B$32,0)))*(1-IF(AND(ArtifactsInput!$M$27,Inputs!$B$4="Chapter Hunt"),CHOOSE(ArtifactsInput!$N$27+1,20,24,28,32,36,40),0)/100)),0)</f>
        <v/>
      </c>
      <c r="R136" t="n">
        <v>0</v>
      </c>
      <c r="S136" t="n">
        <v>0</v>
      </c>
      <c r="U136" t="n">
        <v>0</v>
      </c>
    </row>
    <row r="137">
      <c r="A137">
        <f>Skills!A23</f>
        <v/>
      </c>
      <c r="B137">
        <f>Skills!B23</f>
        <v/>
      </c>
      <c r="C137">
        <f>TRUE</f>
        <v/>
      </c>
      <c r="D137">
        <f>IF(Skills!C23=1,60+Inputs!$B$25+Inputs!$B$29,IF(Skills!C23=2,90+Inputs!$B$26+Inputs!$B$29,IF(Skills!C23=3,120+Inputs!$B$27+Inputs!$B$29,MAX(0,(Inputs!$B$3-100)*3)+Inputs!$B$28+Inputs!$B$29)))</f>
        <v/>
      </c>
      <c r="E137">
        <f>INDEX(FactorTable!$B$2:$Y$301, MATCH(ROUND(MIN(300,MAX(1,D137)),0), FactorTable!$A$2:$A$301,0), Skills!M23+1)</f>
        <v/>
      </c>
      <c r="F137">
        <f>IF(Skills!N23=TRUE,(Skills!L23/10)*(E137/1000),Skills!L23/10)+Skills!O23</f>
        <v/>
      </c>
      <c r="G137">
        <f>Calc!G23</f>
        <v/>
      </c>
      <c r="H137">
        <f>Calc!H23</f>
        <v/>
      </c>
      <c r="I137">
        <f>IF(Skills!X23&lt;&gt;"",1+(Skills!X23/10)*(Z117/1000)/100,1)</f>
        <v/>
      </c>
      <c r="J137" t="inlineStr"/>
      <c r="K137" t="inlineStr"/>
      <c r="L137" t="inlineStr"/>
      <c r="M137" t="inlineStr"/>
      <c r="N137" t="inlineStr"/>
      <c r="O137">
        <f>(1-Summary!$B$11)*S137+Summary!$B$11*U137</f>
        <v/>
      </c>
      <c r="P137">
        <f>IF(B155=0,0,O137/B155)</f>
        <v/>
      </c>
      <c r="Q137">
        <f>IFERROR(1/(IF(Inputs!$B$38="pvp",15,MAX(0.1,Skills!E23-IF(Skills!F23=TRUE,Inputs!$B$32,0)))*(1-IF(AND(ArtifactsInput!$M$27,Inputs!$B$4="Chapter Hunt"),CHOOSE(ArtifactsInput!$N$27+1,20,24,28,32,36,40),0)/100)),0)</f>
        <v/>
      </c>
      <c r="R137" t="n">
        <v>0</v>
      </c>
      <c r="S137" t="n">
        <v>0</v>
      </c>
      <c r="U137" t="n">
        <v>0</v>
      </c>
    </row>
    <row r="138">
      <c r="A138">
        <f>Skills!A24</f>
        <v/>
      </c>
      <c r="B138">
        <f>Skills!B24</f>
        <v/>
      </c>
      <c r="C138">
        <f>Inputs!$B$3&gt;=115</f>
        <v/>
      </c>
      <c r="D138">
        <f>IF(Skills!C24=1,60+Inputs!$B$25+Inputs!$B$29,IF(Skills!C24=2,90+Inputs!$B$26+Inputs!$B$29,IF(Skills!C24=3,120+Inputs!$B$27+Inputs!$B$29,MAX(0,(Inputs!$B$3-100)*3)+Inputs!$B$28+Inputs!$B$29)))</f>
        <v/>
      </c>
      <c r="E138">
        <f>INDEX(FactorTable!$B$2:$Y$301, MATCH(ROUND(MIN(300,MAX(1,D138)),0), FactorTable!$A$2:$A$301,0), Skills!M24+1)</f>
        <v/>
      </c>
      <c r="F138">
        <f>IF(Skills!N24=TRUE,(Skills!L24/10)*(E138/1000),Skills!L24/10)+Skills!O24</f>
        <v/>
      </c>
      <c r="G138">
        <f>Calc!G24</f>
        <v/>
      </c>
      <c r="H138">
        <f>Calc!H24</f>
        <v/>
      </c>
      <c r="I138">
        <f>IF(Skills!X24&lt;&gt;"",1+(Skills!X24/10)*(Z117/1000)/100,1)</f>
        <v/>
      </c>
      <c r="J138">
        <f>((Inputs!$B$6*(1+Inputs!$B$7/100))+(((Inputs!$B$12*(1+(Inputs!$B$13+1)/100))-(Inputs!$B$12*(1+Inputs!$B$13/100)))+0.25*(Inputs!$B$14-Inputs!$B$14))*(1+Inputs!$B$7/100))*(F138/100)</f>
        <v/>
      </c>
      <c r="K138">
        <f>J138*(1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f>
        <v/>
      </c>
      <c r="L138">
        <f>K138*(MIN(Inputs!$B$22+(F136-Calc!F22),(Inputs!$B$23+(IF(ArtifactsInput!$M$15,CHOOSE(ArtifactsInput!$N$15+1,25,30,35,40,45,50)/100*(Inputs!$B$11-Inputs!$B$11),0))))/100+(Inputs!$B$23+(IF(ArtifactsInput!$M$15,CHOOSE(ArtifactsInput!$N$15+1,25,30,35,40,45,50)/100*(Inputs!$B$11-Inputs!$B$11),0)))/100)/2</f>
        <v/>
      </c>
      <c r="M138">
        <f>L138*(1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
        <f>L138*(1-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
        <f>(1-Summary!$B$11)*S138+Summary!$B$11*U138</f>
        <v/>
      </c>
      <c r="P138">
        <f>IF(B155=0,0,O138/B155)</f>
        <v/>
      </c>
      <c r="Q138">
        <f>IFERROR(1/(IF(Inputs!$B$38="pvp",15,MAX(0.1,Skills!E24-IF(Skills!F24=TRUE,Inputs!$B$32,0)))*(1-IF(AND(ArtifactsInput!$M$27,Inputs!$B$4="Chapter Hunt"),CHOOSE(ArtifactsInput!$N$27+1,20,24,28,32,36,40),0)/100)),0)</f>
        <v/>
      </c>
      <c r="R138">
        <f>IF(AND(Inputs!$B$38&lt;&gt;"pvp",Inputs!$B$43&gt;0),IF(MAX(0,Inputs!$B$43-B152)&lt;=0,0,(INT(MAX(0,Inputs!$B$43-B152)/(IF(Inputs!$B$38="pvp",15,MAX(0.1,Skills!E24-IF(Skills!F24=TRUE,Inputs!$B$32,0)))*(1-IF(AND(ArtifactsInput!$M$27,Inputs!$B$4="Chapter Hunt"),CHOOSE(ArtifactsInput!$N$27+1,20,24,28,32,36,40),0)/100)))+1)),0)</f>
        <v/>
      </c>
      <c r="S138">
        <f>IF(C138,(H138*N138*IF(AND(Inputs!$B$38&lt;&gt;"pvp",Inputs!$B$43&gt;0),((Skills!G24*((R138-1)*IF(Skills!H24&gt;0,Skills!I24/Skills!H24,1)+IF(Skills!H24&gt;0,MIN(Skills!I24,MAX(0,MAX(0,Inputs!$B$43-B152)-((R138-1)*(IF(Inputs!$B$38="pvp",15,MAX(0.1,Skills!E24-IF(Skills!F24=TRUE,Inputs!$B$32,0)))*(1-IF(AND(ArtifactsInput!$M$27,Inputs!$B$4="Chapter Hunt"),CHOOSE(ArtifactsInput!$N$27+1,20,24,28,32,36,40),0)/100)))))/Skills!H24,1)))/Inputs!$B$43),G138*Q138)*(1+IF(Inputs!$B$3&gt;=130,0.2*(Skills!I16/Skills!E15+IF(Inputs!$B$3&gt;=126,0.05*(B150+Q127+(H128*B151)/(1+Skills!H14*H128*B151)+Q138)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138*(1-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8">
        <f>IF(C138,(H138*N138*IF(AND(Inputs!$B$38&lt;&gt;"pvp",Inputs!$B$43&gt;0),((Skills!G24*((R138-1)*IF(Skills!H24&gt;0,Skills!I24/Skills!H24,1)+IF(Skills!H24&gt;0,MIN(Skills!I24,MAX(0,MAX(0,Inputs!$B$43-B152)-((R138-1)*(IF(Inputs!$B$38="pvp",15,MAX(0.1,Skills!E24-IF(Skills!F24=TRUE,Inputs!$B$32,0)))*(1-IF(AND(ArtifactsInput!$M$27,Inputs!$B$4="Chapter Hunt"),CHOOSE(ArtifactsInput!$N$27+1,20,24,28,32,36,40),0)/100)))))/Skills!H24,1)))/Inputs!$B$43),G138*Q138)*(1+IF(Inputs!$B$3&gt;=130,0.2*(Skills!I16/Skills!E15+IF(Inputs!$B$3&gt;=126,0.05*(B150+Q127+(H128*B151)/(1+Skills!H14*H128*B151)+Q138)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
      <c r="A139">
        <f>Skills!A25</f>
        <v/>
      </c>
      <c r="B139">
        <f>Skills!B25</f>
        <v/>
      </c>
      <c r="C139">
        <f>Inputs!$B$3&gt;=117</f>
        <v/>
      </c>
      <c r="D139">
        <f>IF(Skills!C25=1,60+Inputs!$B$25+Inputs!$B$29,IF(Skills!C25=2,90+Inputs!$B$26+Inputs!$B$29,IF(Skills!C25=3,120+Inputs!$B$27+Inputs!$B$29,MAX(0,(Inputs!$B$3-100)*3)+Inputs!$B$28+Inputs!$B$29)))</f>
        <v/>
      </c>
      <c r="E139">
        <f>INDEX(FactorTable!$B$2:$Y$301, MATCH(ROUND(MIN(300,MAX(1,D139)),0), FactorTable!$A$2:$A$301,0), Skills!M25+1)</f>
        <v/>
      </c>
      <c r="F139">
        <f>IF(Skills!N25=TRUE,(Skills!L25/10)*(E139/1000),Skills!L25/10)+Skills!O25</f>
        <v/>
      </c>
      <c r="G139">
        <f>Calc!G25</f>
        <v/>
      </c>
      <c r="H139">
        <f>Calc!H25</f>
        <v/>
      </c>
      <c r="I139">
        <f>IF(Skills!X25&lt;&gt;"",1+(Skills!X25/10)*(Z117/1000)/100,1)</f>
        <v/>
      </c>
      <c r="J139" t="inlineStr"/>
      <c r="K139" t="inlineStr"/>
      <c r="L139" t="inlineStr"/>
      <c r="M139" t="inlineStr"/>
      <c r="N139" t="inlineStr"/>
      <c r="O139">
        <f>(1-Summary!$B$11)*S139+Summary!$B$11*U139</f>
        <v/>
      </c>
      <c r="P139">
        <f>IF(B155=0,0,O139/B155)</f>
        <v/>
      </c>
      <c r="Q139">
        <f>IFERROR(1/(IF(Inputs!$B$38="pvp",15,MAX(0.1,Skills!E25-IF(Skills!F25=TRUE,Inputs!$B$32,0)))*(1-IF(AND(ArtifactsInput!$M$27,Inputs!$B$4="Chapter Hunt"),CHOOSE(ArtifactsInput!$N$27+1,20,24,28,32,36,40),0)/100)),0)</f>
        <v/>
      </c>
      <c r="R139" t="n">
        <v>0</v>
      </c>
      <c r="S139" t="n">
        <v>0</v>
      </c>
      <c r="U139" t="n">
        <v>0</v>
      </c>
    </row>
    <row r="140">
      <c r="A140">
        <f>Skills!A26</f>
        <v/>
      </c>
      <c r="B140">
        <f>Skills!B26</f>
        <v/>
      </c>
      <c r="C140">
        <f>Inputs!$B$3&gt;=120</f>
        <v/>
      </c>
      <c r="D140">
        <f>IF(Skills!C26=1,60+Inputs!$B$25+Inputs!$B$29,IF(Skills!C26=2,90+Inputs!$B$26+Inputs!$B$29,IF(Skills!C26=3,120+Inputs!$B$27+Inputs!$B$29,MAX(0,(Inputs!$B$3-100)*3)+Inputs!$B$28+Inputs!$B$29)))</f>
        <v/>
      </c>
      <c r="E140">
        <f>INDEX(FactorTable!$B$2:$Y$301, MATCH(ROUND(MIN(300,MAX(1,D140)),0), FactorTable!$A$2:$A$301,0), Skills!M26+1)</f>
        <v/>
      </c>
      <c r="F140">
        <f>IF(Skills!N26=TRUE,(Skills!L26/10)*(E140/1000),Skills!L26/10)+Skills!O26</f>
        <v/>
      </c>
      <c r="G140">
        <f>Calc!G26</f>
        <v/>
      </c>
      <c r="H140">
        <f>Calc!H26</f>
        <v/>
      </c>
      <c r="I140">
        <f>IF(Skills!X26&lt;&gt;"",1+(Skills!X26/10)*(Z117/1000)/100,1)</f>
        <v/>
      </c>
      <c r="J140" t="inlineStr"/>
      <c r="K140" t="inlineStr"/>
      <c r="L140" t="inlineStr"/>
      <c r="M140" t="inlineStr"/>
      <c r="N140" t="inlineStr"/>
      <c r="O140">
        <f>(1-Summary!$B$11)*S140+Summary!$B$11*U140</f>
        <v/>
      </c>
      <c r="P140">
        <f>IF(B155=0,0,O140/B155)</f>
        <v/>
      </c>
      <c r="Q140">
        <f>IFERROR(1/(IF(Inputs!$B$38="pvp",15,MAX(0.1,Skills!E26-IF(Skills!F26=TRUE,Inputs!$B$32,0)))*(1-IF(AND(ArtifactsInput!$M$27,Inputs!$B$4="Chapter Hunt"),CHOOSE(ArtifactsInput!$N$27+1,20,24,28,32,36,40),0)/100)),0)</f>
        <v/>
      </c>
      <c r="R140" t="n">
        <v>0</v>
      </c>
      <c r="S140" t="n">
        <v>0</v>
      </c>
      <c r="U140" t="n">
        <v>0</v>
      </c>
    </row>
    <row r="141">
      <c r="A141">
        <f>Skills!A27</f>
        <v/>
      </c>
      <c r="B141">
        <f>Skills!B27</f>
        <v/>
      </c>
      <c r="C141">
        <f>Inputs!$B$3&gt;=125</f>
        <v/>
      </c>
      <c r="D141">
        <f>IF(Skills!C27=1,60+Inputs!$B$25+Inputs!$B$29,IF(Skills!C27=2,90+Inputs!$B$26+Inputs!$B$29,IF(Skills!C27=3,120+Inputs!$B$27+Inputs!$B$29,MAX(0,(Inputs!$B$3-100)*3)+Inputs!$B$28+Inputs!$B$29)))</f>
        <v/>
      </c>
      <c r="E141">
        <f>INDEX(FactorTable!$B$2:$Y$301, MATCH(ROUND(MIN(300,MAX(1,D141)),0), FactorTable!$A$2:$A$301,0), Skills!M27+1)</f>
        <v/>
      </c>
      <c r="F141">
        <f>IF(Skills!N27=TRUE,(Skills!L27/10)*(E141/1000),Skills!L27/10)+Skills!O27</f>
        <v/>
      </c>
      <c r="G141">
        <f>Calc!G27</f>
        <v/>
      </c>
      <c r="H141">
        <f>Calc!H27</f>
        <v/>
      </c>
      <c r="I141">
        <f>IF(Skills!X27&lt;&gt;"",1+(Skills!X27/10)*(Z117/1000)/100,1)</f>
        <v/>
      </c>
      <c r="J141" t="inlineStr"/>
      <c r="K141" t="inlineStr"/>
      <c r="L141" t="inlineStr"/>
      <c r="M141" t="inlineStr"/>
      <c r="N141" t="inlineStr"/>
      <c r="O141">
        <f>(1-Summary!$B$11)*S141+Summary!$B$11*U141</f>
        <v/>
      </c>
      <c r="P141">
        <f>IF(B155=0,0,O141/B155)</f>
        <v/>
      </c>
      <c r="Q141">
        <f>IFERROR(1/(IF(Inputs!$B$38="pvp",15,MAX(0.1,Skills!E27-IF(Skills!F27=TRUE,Inputs!$B$32,0)))*(1-IF(AND(ArtifactsInput!$M$27,Inputs!$B$4="Chapter Hunt"),CHOOSE(ArtifactsInput!$N$27+1,20,24,28,32,36,40),0)/100)),0)</f>
        <v/>
      </c>
      <c r="R141" t="n">
        <v>0</v>
      </c>
      <c r="S141" t="n">
        <v>0</v>
      </c>
      <c r="U141" t="n">
        <v>0</v>
      </c>
    </row>
    <row r="142">
      <c r="A142">
        <f>Skills!A28</f>
        <v/>
      </c>
      <c r="B142">
        <f>Skills!B28</f>
        <v/>
      </c>
      <c r="C142">
        <f>Inputs!$B$3&gt;=118</f>
        <v/>
      </c>
      <c r="D142">
        <f>IF(Skills!C28=1,60+Inputs!$B$25+Inputs!$B$29,IF(Skills!C28=2,90+Inputs!$B$26+Inputs!$B$29,IF(Skills!C28=3,120+Inputs!$B$27+Inputs!$B$29,MAX(0,(Inputs!$B$3-100)*3)+Inputs!$B$28+Inputs!$B$29)))</f>
        <v/>
      </c>
      <c r="E142">
        <f>INDEX(FactorTable!$B$2:$Y$301, MATCH(ROUND(MIN(300,MAX(1,D142)),0), FactorTable!$A$2:$A$301,0), Skills!M28+1)</f>
        <v/>
      </c>
      <c r="F142">
        <f>IF(Skills!N28=TRUE,(Skills!L28/10)*(E142/1000),Skills!L28/10)+Skills!O28</f>
        <v/>
      </c>
      <c r="G142">
        <f>Calc!G28</f>
        <v/>
      </c>
      <c r="H142">
        <f>Calc!H28</f>
        <v/>
      </c>
      <c r="I142">
        <f>IF(Skills!X28&lt;&gt;"",1+(Skills!X28/10)*(Z117/1000)/100,1)</f>
        <v/>
      </c>
      <c r="J142">
        <f>((Inputs!$B$6*(1+Inputs!$B$7/100))+(((Inputs!$B$12*(1+(Inputs!$B$13+1)/100))-(Inputs!$B$12*(1+Inputs!$B$13/100)))+0.25*(Inputs!$B$14-Inputs!$B$14))*(1+Inputs!$B$7/100))*(F142/100)</f>
        <v/>
      </c>
      <c r="K142">
        <f>J142*(1+((Inputs!$B$12*(1+(Inputs!$B$13+1)/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137/100)*(1+IF(Inputs!$B$3&gt;=120,F140,0)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5,0)))/100)*(B144*B145*B146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f>
        <v/>
      </c>
      <c r="L142">
        <f>K142*(MIN(Inputs!$B$22+(F136-Calc!F22),(Inputs!$B$23+(IF(ArtifactsInput!$M$15,CHOOSE(ArtifactsInput!$N$15+1,25,30,35,40,45,50)/100*(Inputs!$B$11-Inputs!$B$11),0))))/100+(Inputs!$B$23+(IF(ArtifactsInput!$M$15,CHOOSE(ArtifactsInput!$N$15+1,25,30,35,40,45,50)/100*(Inputs!$B$11-Inputs!$B$11),0)))/100)/2</f>
        <v/>
      </c>
      <c r="M142">
        <f>L142*(1+(Inputs!$B$10+(F135-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
        <f>L142*(1-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MIN((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
        <f>(1-Summary!$B$11)*S142+Summary!$B$11*U142</f>
        <v/>
      </c>
      <c r="P142">
        <f>IF(B155=0,0,O142/B155)</f>
        <v/>
      </c>
      <c r="Q142">
        <f>IFERROR(1/(IF(Inputs!$B$38="pvp",15,MAX(0.1,Skills!E28-IF(Skills!F28=TRUE,Inputs!$B$32,0)))*(1-IF(AND(ArtifactsInput!$M$27,Inputs!$B$4="Chapter Hunt"),CHOOSE(ArtifactsInput!$N$27+1,20,24,28,32,36,40),0)/100)),0)</f>
        <v/>
      </c>
      <c r="R142">
        <f>IF(AND(Inputs!$B$38&lt;&gt;"pvp",Inputs!$B$43&gt;0),IF(MAX(0,Inputs!$B$43-B152)&lt;=0,0,(INT(MAX(0,Inputs!$B$43-B152)/(IF(Inputs!$B$38="pvp",15,MAX(0.1,Skills!E28-IF(Skills!F28=TRUE,Inputs!$B$32,0)))*(1-IF(AND(ArtifactsInput!$M$27,Inputs!$B$4="Chapter Hunt"),CHOOSE(ArtifactsInput!$N$27+1,20,24,28,32,36,40),0)/100)))+1)),0)</f>
        <v/>
      </c>
      <c r="S142">
        <f>IF(C142,(H142*N142*IF(AND(Inputs!$B$38&lt;&gt;"pvp",Inputs!$B$43&gt;0),((Skills!G28*((R142-1)*IF(Skills!H28&gt;0,Skills!I28/Skills!H28,1)+IF(Skills!H28&gt;0,MIN(Skills!I28,MAX(0,MAX(0,Inputs!$B$43-B152)-((R142-1)*(IF(Inputs!$B$38="pvp",15,MAX(0.1,Skills!E28-IF(Skills!F28=TRUE,Inputs!$B$32,0)))*(1-IF(AND(ArtifactsInput!$M$27,Inputs!$B$4="Chapter Hunt"),CHOOSE(ArtifactsInput!$N$27+1,20,24,28,32,36,40),0)/100)))))/Skills!H28,1)))/Inputs!$B$43),G142*Q142)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142*(1-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(1-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MIN(100,(Inputs!$B$9+(F134-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2">
        <f>IF(C142,(H142*N142*IF(AND(Inputs!$B$38&lt;&gt;"pvp",Inputs!$B$43&gt;0),((Skills!G28*((R142-1)*IF(Skills!H28&gt;0,Skills!I28/Skills!H28,1)+IF(Skills!H28&gt;0,MIN(Skills!I28,MAX(0,MAX(0,Inputs!$B$43-B152)-((R142-1)*(IF(Inputs!$B$38="pvp",15,MAX(0.1,Skills!E28-IF(Skills!F28=TRUE,Inputs!$B$32,0)))*(1-IF(AND(ArtifactsInput!$M$27,Inputs!$B$4="Chapter Hunt"),CHOOSE(ArtifactsInput!$N$27+1,20,24,28,32,36,40),0)/100)))))/Skills!H28,1)))/Inputs!$B$43),G142*Q142)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
      <c r="A144" t="inlineStr">
        <is>
          <t>Burning Magic Multiplier</t>
        </is>
      </c>
      <c r="B144">
        <f>1+(F125*Skills!Z11)/100</f>
        <v/>
      </c>
    </row>
    <row r="145">
      <c r="A145" t="inlineStr">
        <is>
          <t>Elemental Decrease Multiplier (always-on)</t>
        </is>
      </c>
      <c r="B145">
        <f>1+(F126+(IF(AND(ArtifactsInput!$M$35,Inputs!$B$4&lt;&gt;"Chapter Hunt"),CHOOSE(ArtifactsInput!$N$35+1,15,18,21,24,27,30)*(1-EXP(-(0.2*B148)*5)),0)+IF(AND(ArtifactsInput!$M$22,Inputs!$B$4&lt;&gt;"Chapter Hunt"),CHOOSE(ArtifactsInput!$N$22+1,10,12,14,16,18,20)*((0*(((0.15*B148*5))^0/1)+1*(((0.15*B148*5))^1/1)+2*(((0.15*B148*5))^2/2)+3*(((0.15*B148*5))^3/6)+4*(((0.15*B148*5))^4/24)+5*(((0.15*B148*5))^5/120))/((((0.15*B148*5))^0/1)+(((0.15*B148*5))^1/1)+(((0.15*B148*5))^2/2)+(((0.15*B148*5))^3/6)+(((0.15*B148*5))^4/24)+(((0.15*B148*5))^5/120))),0)))/100</f>
        <v/>
      </c>
    </row>
    <row r="146">
      <c r="A146" t="inlineStr">
        <is>
          <t>Average Buff Multiplier (Magic Guard + Meditation + Artifact Attack%, summed; then Infinity)</t>
        </is>
      </c>
      <c r="B146">
        <f>(1+(F120*IF(AND(Inputs!$B$38&lt;&gt;"pvp",Inputs!$B$43&gt;0),(((R120-1)*(Skills!T6*(1+((Inputs!$B$34+(ArtifactsInput!$M$7-ArtifactsInput!$M$7)*CHOOSE(ArtifactsInput!$N$7+1,6,7.2,8.4,9.6,10.8,12)))/100))+MIN((Skills!T6*(1+((Inputs!$B$34+(ArtifactsInput!$M$7-ArtifactsInput!$M$7)*CHOOSE(ArtifactsInput!$N$7+1,6,7.2,8.4,9.6,10.8,12)))/100)),MAX(0,Inputs!$B$43-((R120-1)*Skills!E6))))/Inputs!$B$43),IF(Inputs!$B$38="pvp",MIN((Skills!T6*(1+((Inputs!$B$34+(ArtifactsInput!$M$7-ArtifactsInput!$M$7)*CHOOSE(ArtifactsInput!$N$7+1,6,7.2,8.4,9.6,10.8,12)))/100)),15)/15,(Skills!T6*(1+((Inputs!$B$34+(ArtifactsInput!$M$7-ArtifactsInput!$M$7)*CHOOSE(ArtifactsInput!$N$7+1,6,7.2,8.4,9.6,10.8,12)))/100))/Skills!E6))+F131*IF(AND(Inputs!$B$38&lt;&gt;"pvp",Inputs!$B$43&gt;0),(((R131-1)*(Skills!T17*(1+((Inputs!$B$34+(ArtifactsInput!$M$7-ArtifactsInput!$M$7)*CHOOSE(ArtifactsInput!$N$7+1,6,7.2,8.4,9.6,10.8,12)))/100))+MIN((Skills!T17*(1+((Inputs!$B$34+(ArtifactsInput!$M$7-ArtifactsInput!$M$7)*CHOOSE(ArtifactsInput!$N$7+1,6,7.2,8.4,9.6,10.8,12)))/100)),MAX(0,Inputs!$B$43-((R131-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133=TRUE,(1+F133*IF(AND(Inputs!$B$38&lt;&gt;"pvp",Inputs!$B$43&gt;0),(((R133-1)*(Skills!T19*(1+((Inputs!$B$34+(ArtifactsInput!$M$7-ArtifactsInput!$M$7)*CHOOSE(ArtifactsInput!$N$7+1,6,7.2,8.4,9.6,10.8,12)))/100))+MIN((Skills!T19*(1+((Inputs!$B$34+(ArtifactsInput!$M$7-ArtifactsInput!$M$7)*CHOOSE(ArtifactsInput!$N$7+1,6,7.2,8.4,9.6,10.8,12)))/100)),MAX(0,Inputs!$B$43-((R133-1)*Skills!E19))))/Inputs!$B$43),IF(Inputs!$B$38="pvp",MIN((Skills!T19*(1+((Inputs!$B$34+(ArtifactsInput!$M$7-ArtifactsInput!$M$7)*CHOOSE(ArtifactsInput!$N$7+1,6,7.2,8.4,9.6,10.8,12)))/100)),15)/15,(Skills!T19*(1+((Inputs!$B$34+(ArtifactsInput!$M$7-ArtifactsInput!$M$7)*CHOOSE(ArtifactsInput!$N$7+1,6,7.2,8.4,9.6,10.8,12)))/100))/Skills!E19))/100),1)</f>
        <v/>
      </c>
    </row>
    <row r="147">
      <c r="A147" t="inlineStr">
        <is>
          <t>Attack Speed Buff Bonus % (Nimble Feet, averaged)</t>
        </is>
      </c>
      <c r="B147">
        <f>F132*IF(AND(Inputs!$B$38&lt;&gt;"pvp",Inputs!$B$43&gt;0),(((R132-1)*(Skills!T18*(1+((Inputs!$B$34+(ArtifactsInput!$M$7-ArtifactsInput!$M$7)*CHOOSE(ArtifactsInput!$N$7+1,6,7.2,8.4,9.6,10.8,12)))/100))+MIN((Skills!T18*(1+((Inputs!$B$34+(ArtifactsInput!$M$7-ArtifactsInput!$M$7)*CHOOSE(ArtifactsInput!$N$7+1,6,7.2,8.4,9.6,10.8,12)))/100)),MAX(0,Inputs!$B$43-((R132-1)*Skills!E18))))/Inputs!$B$43),IF(Inputs!$B$38="pvp",MIN((Skills!T18*(1+((Inputs!$B$34+(ArtifactsInput!$M$7-ArtifactsInput!$M$7)*CHOOSE(ArtifactsInput!$N$7+1,6,7.2,8.4,9.6,10.8,12)))/100)),15)/15,(Skills!T18*(1+((Inputs!$B$34+(ArtifactsInput!$M$7-ArtifactsInput!$M$7)*CHOOSE(ArtifactsInput!$N$7+1,6,7.2,8.4,9.6,10.8,12)))/100))/Skills!E18))</f>
        <v/>
      </c>
    </row>
    <row r="148">
      <c r="A148" t="inlineStr">
        <is>
          <t>Actions Per Second</t>
        </is>
      </c>
      <c r="B148">
        <f>1+MIN(150,150*(1-(1-(Inputs!$B$11+(ArtifactsInput!$M$15-ArtifactsInput!$M$15)*CHOOSE(ArtifactsInput!$N$15+1,8,9.6,11.2,12.8,14.4,16))/150)*(1-B147/150)))/100</f>
        <v/>
      </c>
    </row>
    <row r="149">
      <c r="A149" t="inlineStr">
        <is>
          <t>Skill + Buff Cast Rate</t>
        </is>
      </c>
      <c r="B149">
        <f>IF(AND(Inputs!$B$38&lt;&gt;"pvp",Inputs!$B$43&gt;0),SUMPRODUCT((Skills!F2:F28=TRUE)*(C116:C142=TRUE)*R116:R142)/Inputs!$B$43,SUMPRODUCT((Skills!F2:F28=TRUE)*(C116:C142=TRUE)*Q116:Q142))</f>
        <v/>
      </c>
    </row>
    <row r="150">
      <c r="A150" t="inlineStr">
        <is>
          <t>Basic Attacks Per Second</t>
        </is>
      </c>
      <c r="B150">
        <f>MAX(0,B148-B149)</f>
        <v/>
      </c>
    </row>
    <row r="151">
      <c r="A151" t="inlineStr">
        <is>
          <t>Meteor Proc — combined trigger cast rate</t>
        </is>
      </c>
      <c r="B151">
        <f>IF(AND(Inputs!$B$38&lt;&gt;"pvp",Inputs!$B$43&gt;0),SUMPRODUCT((Skills!V2:V28=TRUE)*(C116:C142=TRUE)*R116:R142*Skills!W2:W28)/Inputs!$B$43,SUMPRODUCT((Skills!V2:V28=TRUE)*(C116:C142=TRUE)*Q116:Q142*Skills!W2:W28))+B150</f>
        <v/>
      </c>
    </row>
    <row r="152">
      <c r="A152" t="inlineStr">
        <is>
          <t>Buff-Casting Startup Delay (s, fixed-duration only)</t>
        </is>
      </c>
      <c r="B152">
        <f>IF(AND(Inputs!$B$38&lt;&gt;"pvp",Inputs!$B$43&gt;0),SUMPRODUCT((Skills!T2:T28&gt;0)*(Skills!F2:F28=TRUE)*(C116:C142=TRUE))/B148,0)</f>
        <v/>
      </c>
    </row>
    <row r="153">
      <c r="A153" t="inlineStr">
        <is>
          <t>Boss-Only Total DPS (this block's swept value)</t>
        </is>
      </c>
      <c r="B153">
        <f>SUM(S116:S142)</f>
        <v/>
      </c>
    </row>
    <row r="154">
      <c r="A154" t="inlineStr">
        <is>
          <t>Normal-Only Total DPS (this block's swept value)</t>
        </is>
      </c>
      <c r="B154">
        <f>SUM(U116:U142)</f>
        <v/>
      </c>
    </row>
    <row r="155">
      <c r="A155" s="6" t="inlineStr">
        <is>
          <t>TOTAL DPS</t>
        </is>
      </c>
      <c r="B155" s="6">
        <f>SUM(O116:O142)</f>
        <v/>
      </c>
    </row>
    <row r="158">
      <c r="A158" s="6" t="inlineStr">
        <is>
          <t>Stat: DAMAGE %</t>
        </is>
      </c>
    </row>
    <row r="159">
      <c r="A159" s="5" t="inlineStr">
        <is>
          <t>Key</t>
        </is>
      </c>
      <c r="B159" s="5" t="inlineStr">
        <is>
          <t>Name</t>
        </is>
      </c>
      <c r="C159" s="5" t="inlineStr">
        <is>
          <t>Unlocked</t>
        </is>
      </c>
      <c r="D159" s="5" t="inlineStr">
        <is>
          <t>InputLevel</t>
        </is>
      </c>
      <c r="E159" s="5" t="inlineStr">
        <is>
          <t>Factor</t>
        </is>
      </c>
      <c r="F159" s="5" t="inlineStr">
        <is>
          <t>CoefficientPercent</t>
        </is>
      </c>
      <c r="G159" s="5" t="inlineStr">
        <is>
          <t>EffectiveHits</t>
        </is>
      </c>
      <c r="H159" s="5" t="inlineStr">
        <is>
          <t>ProcProbability</t>
        </is>
      </c>
      <c r="I159" s="5" t="inlineStr">
        <is>
          <t>MapleHeroMultiplier</t>
        </is>
      </c>
      <c r="J159" s="5" t="inlineStr">
        <is>
          <t>BaseDamage</t>
        </is>
      </c>
      <c r="K159" s="5" t="inlineStr">
        <is>
          <t>BaseHitDamage</t>
        </is>
      </c>
      <c r="L159" s="5" t="inlineStr">
        <is>
          <t>NonCritAvg</t>
        </is>
      </c>
      <c r="M159" s="5" t="inlineStr">
        <is>
          <t>CritAvg</t>
        </is>
      </c>
      <c r="N159" s="5" t="inlineStr">
        <is>
          <t>ExpectedDamage(perHit)</t>
        </is>
      </c>
      <c r="O159" s="5" t="inlineStr">
        <is>
          <t>DPS</t>
        </is>
      </c>
      <c r="P159" s="5" t="inlineStr">
        <is>
          <t>% of Total</t>
        </is>
      </c>
      <c r="R159" t="inlineStr">
        <is>
          <t>helpers</t>
        </is>
      </c>
    </row>
    <row r="160">
      <c r="A160">
        <f>Skills!A2</f>
        <v/>
      </c>
      <c r="B160">
        <f>Skills!B2</f>
        <v/>
      </c>
      <c r="C160">
        <f>TRUE</f>
        <v/>
      </c>
      <c r="D160" t="inlineStr"/>
      <c r="E160" t="inlineStr"/>
      <c r="F160">
        <f>T162+Skills!O2</f>
        <v/>
      </c>
      <c r="G160">
        <f>Calc!G2</f>
        <v/>
      </c>
      <c r="H160">
        <f>Calc!H2</f>
        <v/>
      </c>
      <c r="I160">
        <f>IF(Skills!X2&lt;&gt;"",1+(Skills!X2/10)*(Z161/1000)/100,1)</f>
        <v/>
      </c>
      <c r="J160">
        <f>((Inputs!$B$6*(1+Inputs!$B$7/100))+(((Inputs!$B$12*(1+Inputs!$B$13/100))-(Inputs!$B$12*(1+Inputs!$B$13/100)))+0.25*(Inputs!$B$14-Inputs!$B$14))*(1+Inputs!$B$7/100))*(F160/100)</f>
        <v/>
      </c>
      <c r="K160">
        <f>J160*(1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f>
        <v/>
      </c>
      <c r="L160">
        <f>K160*(MIN(Inputs!$B$22+(F180-Calc!F22),(Inputs!$B$23+(IF(ArtifactsInput!$M$15,CHOOSE(ArtifactsInput!$N$15+1,25,30,35,40,45,50)/100*(Inputs!$B$11-Inputs!$B$11),0))))/100+(Inputs!$B$23+(IF(ArtifactsInput!$M$15,CHOOSE(ArtifactsInput!$N$15+1,25,30,35,40,45,50)/100*(Inputs!$B$11-Inputs!$B$11),0)))/100)/2</f>
        <v/>
      </c>
      <c r="M160">
        <f>L160*(1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
        <f>L160*(1-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
        <f>(1-Summary!$B$11)*S160+Summary!$B$11*U160</f>
        <v/>
      </c>
      <c r="P160">
        <f>IF(B199=0,0,O160/B199)</f>
        <v/>
      </c>
      <c r="Q160">
        <f>IFERROR(1/(IF(Inputs!$B$38="pvp",15,MAX(0.1,Skills!E2-IF(Skills!F2=TRUE,Inputs!$B$32,0)))*(1-IF(AND(ArtifactsInput!$M$27,Inputs!$B$4="Chapter Hunt"),CHOOSE(ArtifactsInput!$N$27+1,20,24,28,32,36,40),0)/100)),0)</f>
        <v/>
      </c>
      <c r="R160" t="n">
        <v>0</v>
      </c>
      <c r="S160">
        <f>(Skills!G2*N160*B194)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160*(1-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60">
        <f>MAX(0,(Inputs!$B$3-100)*3)+Inputs!$B$28+Inputs!$B$29</f>
        <v/>
      </c>
      <c r="U160">
        <f>(Skills!G2*N160*B194)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60">
        <f>MAX(0,(Inputs!$B$3-100)*3)+Inputs!$B$28+Inputs!$B$29</f>
        <v/>
      </c>
    </row>
    <row r="161">
      <c r="A161">
        <f>Skills!A3</f>
        <v/>
      </c>
      <c r="B161">
        <f>Skills!B3</f>
        <v/>
      </c>
      <c r="C161">
        <f>TRUE</f>
        <v/>
      </c>
      <c r="D161">
        <f>IF(Skills!C3=1,60+Inputs!$B$25+Inputs!$B$29,IF(Skills!C3=2,90+Inputs!$B$26+Inputs!$B$29,IF(Skills!C3=3,120+Inputs!$B$27+Inputs!$B$29,MAX(0,(Inputs!$B$3-100)*3)+Inputs!$B$28+Inputs!$B$29)))</f>
        <v/>
      </c>
      <c r="E161">
        <f>INDEX(FactorTable!$B$2:$Y$301, MATCH(ROUND(MIN(300,MAX(1,D161)),0), FactorTable!$A$2:$A$301,0), Skills!M3+1)</f>
        <v/>
      </c>
      <c r="F161">
        <f>IF(Skills!N3=TRUE,(Skills!L3/10)*(E161/1000),Skills!L3/10)+Skills!O3</f>
        <v/>
      </c>
      <c r="G161">
        <f>Calc!G3</f>
        <v/>
      </c>
      <c r="H161">
        <f>Calc!H3</f>
        <v/>
      </c>
      <c r="I161">
        <f>IF(Skills!X3&lt;&gt;"",1+(Skills!X3/10)*(Z161/1000)/100,1)</f>
        <v/>
      </c>
      <c r="J161">
        <f>((Inputs!$B$6*(1+Inputs!$B$7/100))+(((Inputs!$B$12*(1+Inputs!$B$13/100))-(Inputs!$B$12*(1+Inputs!$B$13/100)))+0.25*(Inputs!$B$14-Inputs!$B$14))*(1+Inputs!$B$7/100))*(F161/100)</f>
        <v/>
      </c>
      <c r="K161">
        <f>J161*(1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f>
        <v/>
      </c>
      <c r="L161">
        <f>K161*(MIN(Inputs!$B$22+(F180-Calc!F22),(Inputs!$B$23+(IF(ArtifactsInput!$M$15,CHOOSE(ArtifactsInput!$N$15+1,25,30,35,40,45,50)/100*(Inputs!$B$11-Inputs!$B$11),0))))/100+(Inputs!$B$23+(IF(ArtifactsInput!$M$15,CHOOSE(ArtifactsInput!$N$15+1,25,30,35,40,45,50)/100*(Inputs!$B$11-Inputs!$B$11),0)))/100)/2</f>
        <v/>
      </c>
      <c r="M161">
        <f>L161*(1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
        <f>L161*(1-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
        <f>(1-Summary!$B$11)*S161+Summary!$B$11*U161</f>
        <v/>
      </c>
      <c r="P161">
        <f>IF(B199=0,0,O161/B199)</f>
        <v/>
      </c>
      <c r="Q161">
        <f>IFERROR(1/(IF(Inputs!$B$38="pvp",15,MAX(0.1,Skills!E3-IF(Skills!F3=TRUE,Inputs!$B$32,0)))*(1-IF(AND(ArtifactsInput!$M$27,Inputs!$B$4="Chapter Hunt"),CHOOSE(ArtifactsInput!$N$27+1,20,24,28,32,36,40),0)/100)),0)</f>
        <v/>
      </c>
      <c r="R161">
        <f>IF(AND(Inputs!$B$38&lt;&gt;"pvp",Inputs!$B$43&gt;0),IF(MAX(0,Inputs!$B$43-B196)&lt;=0,0,(INT(MAX(0,Inputs!$B$43-B196)/(IF(Inputs!$B$38="pvp",15,MAX(0.1,Skills!E3-IF(Skills!F3=TRUE,Inputs!$B$32,0)))*(1-IF(AND(ArtifactsInput!$M$27,Inputs!$B$4="Chapter Hunt"),CHOOSE(ArtifactsInput!$N$27+1,20,24,28,32,36,40),0)/100)))+1)),0)</f>
        <v/>
      </c>
      <c r="S161">
        <f>IF(C161,(H161*N161*IF(AND(Inputs!$B$38&lt;&gt;"pvp",Inputs!$B$43&gt;0),((Skills!G3*((R161-1)*IF(Skills!H3&gt;0,Skills!I3/Skills!H3,1)+IF(Skills!H3&gt;0,MIN(Skills!I3,MAX(0,MAX(0,Inputs!$B$43-B196)-((R161-1)*(IF(Inputs!$B$38="pvp",15,MAX(0.1,Skills!E3-IF(Skills!F3=TRUE,Inputs!$B$32,0)))*(1-IF(AND(ArtifactsInput!$M$27,Inputs!$B$4="Chapter Hunt"),CHOOSE(ArtifactsInput!$N$27+1,20,24,28,32,36,40),0)/100)))))/Skills!H3,1)))/Inputs!$B$43),G161*Q161)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1">
        <f>INDEX(FactorTable!$B$2:$Y$301, MATCH(ROUND(MIN(300,MAX(1,T160)),0), FactorTable!$A$2:$A$301,0), 22)</f>
        <v/>
      </c>
      <c r="U161">
        <f>IF(C161,(H161*N161*IF(AND(Inputs!$B$38&lt;&gt;"pvp",Inputs!$B$43&gt;0),((Skills!G3*((R161-1)*IF(Skills!H3&gt;0,Skills!I3/Skills!H3,1)+IF(Skills!H3&gt;0,MIN(Skills!I3,MAX(0,MAX(0,Inputs!$B$43-B196)-((R161-1)*(IF(Inputs!$B$38="pvp",15,MAX(0.1,Skills!E3-IF(Skills!F3=TRUE,Inputs!$B$32,0)))*(1-IF(AND(ArtifactsInput!$M$27,Inputs!$B$4="Chapter Hunt"),CHOOSE(ArtifactsInput!$N$27+1,20,24,28,32,36,40),0)/100)))))/Skills!H3,1)))/Inputs!$B$43),G161*Q161)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61">
        <f>INDEX(FactorTable!$B$2:$Y$301, MATCH(ROUND(MIN(300,MAX(1,Z160)),0), FactorTable!$A$2:$A$301,0), 24)</f>
        <v/>
      </c>
    </row>
    <row r="162">
      <c r="A162">
        <f>Skills!A4</f>
        <v/>
      </c>
      <c r="B162">
        <f>Skills!B4</f>
        <v/>
      </c>
      <c r="C162">
        <f>TRUE</f>
        <v/>
      </c>
      <c r="D162">
        <f>IF(Skills!C4=1,60+Inputs!$B$25+Inputs!$B$29,IF(Skills!C4=2,90+Inputs!$B$26+Inputs!$B$29,IF(Skills!C4=3,120+Inputs!$B$27+Inputs!$B$29,MAX(0,(Inputs!$B$3-100)*3)+Inputs!$B$28+Inputs!$B$29)))</f>
        <v/>
      </c>
      <c r="E162">
        <f>INDEX(FactorTable!$B$2:$Y$301, MATCH(ROUND(MIN(300,MAX(1,D162)),0), FactorTable!$A$2:$A$301,0), Skills!M4+1)</f>
        <v/>
      </c>
      <c r="F162">
        <f>IF(Skills!N4=TRUE,(Skills!L4/10)*(E162/1000),Skills!L4/10)+Skills!O4</f>
        <v/>
      </c>
      <c r="G162">
        <f>Calc!G4</f>
        <v/>
      </c>
      <c r="H162">
        <f>Calc!H4</f>
        <v/>
      </c>
      <c r="I162">
        <f>IF(Skills!X4&lt;&gt;"",1+(Skills!X4/10)*(Z161/1000)/100,1)</f>
        <v/>
      </c>
      <c r="J162">
        <f>((Inputs!$B$6*(1+Inputs!$B$7/100))+(((Inputs!$B$12*(1+Inputs!$B$13/100))-(Inputs!$B$12*(1+Inputs!$B$13/100)))+0.25*(Inputs!$B$14-Inputs!$B$14))*(1+Inputs!$B$7/100))*(F162/100)</f>
        <v/>
      </c>
      <c r="K162">
        <f>J162*(1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f>
        <v/>
      </c>
      <c r="L162">
        <f>K162*(MIN(Inputs!$B$22+(F180-Calc!F22),(Inputs!$B$23+(IF(ArtifactsInput!$M$15,CHOOSE(ArtifactsInput!$N$15+1,25,30,35,40,45,50)/100*(Inputs!$B$11-Inputs!$B$11),0))))/100+(Inputs!$B$23+(IF(ArtifactsInput!$M$15,CHOOSE(ArtifactsInput!$N$15+1,25,30,35,40,45,50)/100*(Inputs!$B$11-Inputs!$B$11),0)))/100)/2</f>
        <v/>
      </c>
      <c r="M162">
        <f>L162*(1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
        <f>L162*(1-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
        <f>(1-Summary!$B$11)*S162+Summary!$B$11*U162</f>
        <v/>
      </c>
      <c r="P162">
        <f>IF(B199=0,0,O162/B199)</f>
        <v/>
      </c>
      <c r="Q162">
        <f>IFERROR(1/(IF(Inputs!$B$38="pvp",15,MAX(0.1,Skills!E4-IF(Skills!F4=TRUE,Inputs!$B$32,0)))*(1-IF(AND(ArtifactsInput!$M$27,Inputs!$B$4="Chapter Hunt"),CHOOSE(ArtifactsInput!$N$27+1,20,24,28,32,36,40),0)/100)),0)</f>
        <v/>
      </c>
      <c r="R162">
        <f>IF(AND(Inputs!$B$38&lt;&gt;"pvp",Inputs!$B$43&gt;0),IF(MAX(0,Inputs!$B$43-B196)&lt;=0,0,(INT(MAX(0,Inputs!$B$43-B196)/(IF(Inputs!$B$38="pvp",15,MAX(0.1,Skills!E4-IF(Skills!F4=TRUE,Inputs!$B$32,0)))*(1-IF(AND(ArtifactsInput!$M$27,Inputs!$B$4="Chapter Hunt"),CHOOSE(ArtifactsInput!$N$27+1,20,24,28,32,36,40),0)/100)))+1)),0)</f>
        <v/>
      </c>
      <c r="S162">
        <f>IF(C162,(H162*N162*IF(AND(Inputs!$B$38&lt;&gt;"pvp",Inputs!$B$43&gt;0),((Skills!G4*((R162-1)*IF(Skills!H4&gt;0,Skills!I4/Skills!H4,1)+IF(Skills!H4&gt;0,MIN(Skills!I4,MAX(0,MAX(0,Inputs!$B$43-B196)-((R162-1)*(IF(Inputs!$B$38="pvp",15,MAX(0.1,Skills!E4-IF(Skills!F4=TRUE,Inputs!$B$32,0)))*(1-IF(AND(ArtifactsInput!$M$27,Inputs!$B$4="Chapter Hunt"),CHOOSE(ArtifactsInput!$N$27+1,20,24,28,32,36,40),0)/100)))))/Skills!H4,1)))/Inputs!$B$43),G162*Q162)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162*(1-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2">
        <f>290*T161/1000</f>
        <v/>
      </c>
      <c r="U162">
        <f>IF(C162,(H162*N162*IF(AND(Inputs!$B$38&lt;&gt;"pvp",Inputs!$B$43&gt;0),((Skills!G4*((R162-1)*IF(Skills!H4&gt;0,Skills!I4/Skills!H4,1)+IF(Skills!H4&gt;0,MIN(Skills!I4,MAX(0,MAX(0,Inputs!$B$43-B196)-((R162-1)*(IF(Inputs!$B$38="pvp",15,MAX(0.1,Skills!E4-IF(Skills!F4=TRUE,Inputs!$B$32,0)))*(1-IF(AND(ArtifactsInput!$M$27,Inputs!$B$4="Chapter Hunt"),CHOOSE(ArtifactsInput!$N$27+1,20,24,28,32,36,40),0)/100)))))/Skills!H4,1)))/Inputs!$B$43),G162*Q162)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
      <c r="A163">
        <f>Skills!A5</f>
        <v/>
      </c>
      <c r="B163">
        <f>Skills!B5</f>
        <v/>
      </c>
      <c r="C163">
        <f>TRUE</f>
        <v/>
      </c>
      <c r="D163">
        <f>IF(Skills!C5=1,60+Inputs!$B$25+Inputs!$B$29,IF(Skills!C5=2,90+Inputs!$B$26+Inputs!$B$29,IF(Skills!C5=3,120+Inputs!$B$27+Inputs!$B$29,MAX(0,(Inputs!$B$3-100)*3)+Inputs!$B$28+Inputs!$B$29)))</f>
        <v/>
      </c>
      <c r="E163">
        <f>INDEX(FactorTable!$B$2:$Y$301, MATCH(ROUND(MIN(300,MAX(1,D163)),0), FactorTable!$A$2:$A$301,0), Skills!M5+1)</f>
        <v/>
      </c>
      <c r="F163">
        <f>IF(Skills!N5=TRUE,(Skills!L5/10)*(E163/1000),Skills!L5/10)+Skills!O5</f>
        <v/>
      </c>
      <c r="G163">
        <f>Calc!G5</f>
        <v/>
      </c>
      <c r="H163">
        <f>Calc!H5</f>
        <v/>
      </c>
      <c r="I163">
        <f>IF(Skills!X5&lt;&gt;"",1+(Skills!X5/10)*(Z161/1000)/100,1)</f>
        <v/>
      </c>
      <c r="J163">
        <f>((Inputs!$B$6*(1+Inputs!$B$7/100))+(((Inputs!$B$12*(1+Inputs!$B$13/100))-(Inputs!$B$12*(1+Inputs!$B$13/100)))+0.25*(Inputs!$B$14-Inputs!$B$14))*(1+Inputs!$B$7/100))*(F163/100)</f>
        <v/>
      </c>
      <c r="K163">
        <f>J163*(1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f>
        <v/>
      </c>
      <c r="L163">
        <f>K163*(MIN(Inputs!$B$22+(F180-Calc!F22),(Inputs!$B$23+(IF(ArtifactsInput!$M$15,CHOOSE(ArtifactsInput!$N$15+1,25,30,35,40,45,50)/100*(Inputs!$B$11-Inputs!$B$11),0))))/100+(Inputs!$B$23+(IF(ArtifactsInput!$M$15,CHOOSE(ArtifactsInput!$N$15+1,25,30,35,40,45,50)/100*(Inputs!$B$11-Inputs!$B$11),0)))/100)/2</f>
        <v/>
      </c>
      <c r="M163">
        <f>L163*(1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
        <f>L163*(1-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
        <f>(1-Summary!$B$11)*S163+Summary!$B$11*U163</f>
        <v/>
      </c>
      <c r="P163">
        <f>IF(B199=0,0,O163/B199)</f>
        <v/>
      </c>
      <c r="Q163">
        <f>IFERROR(1/(IF(Inputs!$B$38="pvp",15,MAX(0.1,Skills!E5-IF(Skills!F5=TRUE,Inputs!$B$32,0)))*(1-IF(AND(ArtifactsInput!$M$27,Inputs!$B$4="Chapter Hunt"),CHOOSE(ArtifactsInput!$N$27+1,20,24,28,32,36,40),0)/100)),0)</f>
        <v/>
      </c>
      <c r="R163">
        <f>IF(AND(Inputs!$B$38&lt;&gt;"pvp",Inputs!$B$43&gt;0),IF(MAX(0,Inputs!$B$43-B196)&lt;=0,0,(INT(MAX(0,Inputs!$B$43-B196)/(IF(Inputs!$B$38="pvp",15,MAX(0.1,Skills!E5-IF(Skills!F5=TRUE,Inputs!$B$32,0)))*(1-IF(AND(ArtifactsInput!$M$27,Inputs!$B$4="Chapter Hunt"),CHOOSE(ArtifactsInput!$N$27+1,20,24,28,32,36,40),0)/100)))+1)),0)</f>
        <v/>
      </c>
      <c r="S163">
        <f>IF(C163,(H163*N163*IF(AND(Inputs!$B$38&lt;&gt;"pvp",Inputs!$B$43&gt;0),((Skills!G5*((R163-1)*IF(Skills!H5&gt;0,Skills!I5/Skills!H5,1)+IF(Skills!H5&gt;0,MIN(Skills!I5,MAX(0,MAX(0,Inputs!$B$43-B196)-((R163-1)*(IF(Inputs!$B$38="pvp",15,MAX(0.1,Skills!E5-IF(Skills!F5=TRUE,Inputs!$B$32,0)))*(1-IF(AND(ArtifactsInput!$M$27,Inputs!$B$4="Chapter Hunt"),CHOOSE(ArtifactsInput!$N$27+1,20,24,28,32,36,40),0)/100)))))/Skills!H5,1)))/Inputs!$B$43),G163*Q163)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
        <f>IF(C163,(H163*N163*IF(AND(Inputs!$B$38&lt;&gt;"pvp",Inputs!$B$43&gt;0),((Skills!G5*((R163-1)*IF(Skills!H5&gt;0,Skills!I5/Skills!H5,1)+IF(Skills!H5&gt;0,MIN(Skills!I5,MAX(0,MAX(0,Inputs!$B$43-B196)-((R163-1)*(IF(Inputs!$B$38="pvp",15,MAX(0.1,Skills!E5-IF(Skills!F5=TRUE,Inputs!$B$32,0)))*(1-IF(AND(ArtifactsInput!$M$27,Inputs!$B$4="Chapter Hunt"),CHOOSE(ArtifactsInput!$N$27+1,20,24,28,32,36,40),0)/100)))))/Skills!H5,1)))/Inputs!$B$43),G163*Q163)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
      <c r="A164">
        <f>Skills!A6</f>
        <v/>
      </c>
      <c r="B164">
        <f>Skills!B6</f>
        <v/>
      </c>
      <c r="C164">
        <f>TRUE</f>
        <v/>
      </c>
      <c r="D164">
        <f>IF(Skills!C6=1,60+Inputs!$B$25+Inputs!$B$29,IF(Skills!C6=2,90+Inputs!$B$26+Inputs!$B$29,IF(Skills!C6=3,120+Inputs!$B$27+Inputs!$B$29,MAX(0,(Inputs!$B$3-100)*3)+Inputs!$B$28+Inputs!$B$29)))</f>
        <v/>
      </c>
      <c r="E164">
        <f>INDEX(FactorTable!$B$2:$Y$301, MATCH(ROUND(MIN(300,MAX(1,D164)),0), FactorTable!$A$2:$A$301,0), Skills!M6+1)</f>
        <v/>
      </c>
      <c r="F164">
        <f>IF(Skills!N6=TRUE,(Skills!L6/10)*(E164/1000),Skills!L6/10)+Skills!O6</f>
        <v/>
      </c>
      <c r="G164">
        <f>Calc!G6</f>
        <v/>
      </c>
      <c r="H164">
        <f>Calc!H6</f>
        <v/>
      </c>
      <c r="I164">
        <f>IF(Skills!X6&lt;&gt;"",1+(Skills!X6/10)*(Z161/1000)/100,1)</f>
        <v/>
      </c>
      <c r="J164" t="inlineStr"/>
      <c r="K164" t="inlineStr"/>
      <c r="L164" t="inlineStr"/>
      <c r="M164" t="inlineStr"/>
      <c r="N164" t="inlineStr"/>
      <c r="O164">
        <f>(1-Summary!$B$11)*S164+Summary!$B$11*U164</f>
        <v/>
      </c>
      <c r="P164">
        <f>IF(B199=0,0,O164/B199)</f>
        <v/>
      </c>
      <c r="Q164">
        <f>IFERROR(1/(IF(Inputs!$B$38="pvp",15,MAX(0.1,Skills!E6-IF(Skills!F6=TRUE,Inputs!$B$32,0)))*(1-IF(AND(ArtifactsInput!$M$27,Inputs!$B$4="Chapter Hunt"),CHOOSE(ArtifactsInput!$N$27+1,20,24,28,32,36,40),0)/100)),0)</f>
        <v/>
      </c>
      <c r="R164">
        <f>IF(AND(Inputs!$B$38&lt;&gt;"pvp",Inputs!$B$43&gt;0),IF(Inputs!$B$43&lt;=0,0,(INT(Inputs!$B$43/(IF(Inputs!$B$38="pvp",15,MAX(0.1,Skills!E6-IF(Skills!F6=TRUE,Inputs!$B$32,0)))*(1-IF(AND(ArtifactsInput!$M$27,Inputs!$B$4="Chapter Hunt"),CHOOSE(ArtifactsInput!$N$27+1,20,24,28,32,36,40),0)/100)))+1)),0)</f>
        <v/>
      </c>
      <c r="S164" t="n">
        <v>0</v>
      </c>
      <c r="U164" t="n">
        <v>0</v>
      </c>
    </row>
    <row r="165">
      <c r="A165">
        <f>Skills!A7</f>
        <v/>
      </c>
      <c r="B165">
        <f>Skills!B7</f>
        <v/>
      </c>
      <c r="C165">
        <f>TRUE</f>
        <v/>
      </c>
      <c r="D165">
        <f>IF(Skills!C7=1,60+Inputs!$B$25+Inputs!$B$29,IF(Skills!C7=2,90+Inputs!$B$26+Inputs!$B$29,IF(Skills!C7=3,120+Inputs!$B$27+Inputs!$B$29,MAX(0,(Inputs!$B$3-100)*3)+Inputs!$B$28+Inputs!$B$29)))</f>
        <v/>
      </c>
      <c r="E165">
        <f>INDEX(FactorTable!$B$2:$Y$301, MATCH(ROUND(MIN(300,MAX(1,D165)),0), FactorTable!$A$2:$A$301,0), Skills!M7+1)</f>
        <v/>
      </c>
      <c r="F165">
        <f>IF(Skills!N7=TRUE,(Skills!L7/10)*(E165/1000),Skills!L7/10)+Skills!O7</f>
        <v/>
      </c>
      <c r="G165">
        <f>Calc!G7</f>
        <v/>
      </c>
      <c r="H165">
        <f>Calc!H7</f>
        <v/>
      </c>
      <c r="I165">
        <f>IF(Skills!X7&lt;&gt;"",1+(Skills!X7/10)*(Z161/1000)/100,1)</f>
        <v/>
      </c>
      <c r="J165">
        <f>((Inputs!$B$6*(1+Inputs!$B$7/100))+(((Inputs!$B$12*(1+Inputs!$B$13/100))-(Inputs!$B$12*(1+Inputs!$B$13/100)))+0.25*(Inputs!$B$14-Inputs!$B$14))*(1+Inputs!$B$7/100))*(F165/100)</f>
        <v/>
      </c>
      <c r="K165">
        <f>J165*(1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f>
        <v/>
      </c>
      <c r="L165">
        <f>K165*(MIN(Inputs!$B$22+(F180-Calc!F22),(Inputs!$B$23+(IF(ArtifactsInput!$M$15,CHOOSE(ArtifactsInput!$N$15+1,25,30,35,40,45,50)/100*(Inputs!$B$11-Inputs!$B$11),0))))/100+(Inputs!$B$23+(IF(ArtifactsInput!$M$15,CHOOSE(ArtifactsInput!$N$15+1,25,30,35,40,45,50)/100*(Inputs!$B$11-Inputs!$B$11),0)))/100)/2</f>
        <v/>
      </c>
      <c r="M165">
        <f>L165*(1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
        <f>L165*(1-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
        <f>(1-Summary!$B$11)*S165+Summary!$B$11*U165</f>
        <v/>
      </c>
      <c r="P165">
        <f>IF(B199=0,0,O165/B199)</f>
        <v/>
      </c>
      <c r="Q165">
        <f>IFERROR(1/(IF(Inputs!$B$38="pvp",15,MAX(0.1,Skills!E7-IF(Skills!F7=TRUE,Inputs!$B$32,0)))*(1-IF(AND(ArtifactsInput!$M$27,Inputs!$B$4="Chapter Hunt"),CHOOSE(ArtifactsInput!$N$27+1,20,24,28,32,36,40),0)/100)),0)</f>
        <v/>
      </c>
      <c r="R165">
        <f>IF(AND(Inputs!$B$38&lt;&gt;"pvp",Inputs!$B$43&gt;0),IF(MAX(0,Inputs!$B$43-B196)&lt;=0,0,(INT(MAX(0,Inputs!$B$43-B196)/(IF(Inputs!$B$38="pvp",15,MAX(0.1,Skills!E7-IF(Skills!F7=TRUE,Inputs!$B$32,0)))*(1-IF(AND(ArtifactsInput!$M$27,Inputs!$B$4="Chapter Hunt"),CHOOSE(ArtifactsInput!$N$27+1,20,24,28,32,36,40),0)/100)))+1)),0)</f>
        <v/>
      </c>
      <c r="S165">
        <f>IF(C165,(H165*N165*IF(AND(Inputs!$B$38&lt;&gt;"pvp",Inputs!$B$43&gt;0),((Skills!G7*((R165-1)*IF(Skills!H7&gt;0,Skills!I7/Skills!H7,1)+IF(Skills!H7&gt;0,MIN(Skills!I7,MAX(0,MAX(0,Inputs!$B$43-B196)-((R165-1)*(IF(Inputs!$B$38="pvp",15,MAX(0.1,Skills!E7-IF(Skills!F7=TRUE,Inputs!$B$32,0)))*(1-IF(AND(ArtifactsInput!$M$27,Inputs!$B$4="Chapter Hunt"),CHOOSE(ArtifactsInput!$N$27+1,20,24,28,32,36,40),0)/100)))))/Skills!H7,1)))/Inputs!$B$43),G165*Q165)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165*(1-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5">
        <f>IF(C165,(H165*N165*IF(AND(Inputs!$B$38&lt;&gt;"pvp",Inputs!$B$43&gt;0),((Skills!G7*((R165-1)*IF(Skills!H7&gt;0,Skills!I7/Skills!H7,1)+IF(Skills!H7&gt;0,MIN(Skills!I7,MAX(0,MAX(0,Inputs!$B$43-B196)-((R165-1)*(IF(Inputs!$B$38="pvp",15,MAX(0.1,Skills!E7-IF(Skills!F7=TRUE,Inputs!$B$32,0)))*(1-IF(AND(ArtifactsInput!$M$27,Inputs!$B$4="Chapter Hunt"),CHOOSE(ArtifactsInput!$N$27+1,20,24,28,32,36,40),0)/100)))))/Skills!H7,1)))/Inputs!$B$43),G165*Q165)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
      <c r="A166">
        <f>Skills!A8</f>
        <v/>
      </c>
      <c r="B166">
        <f>Skills!B8</f>
        <v/>
      </c>
      <c r="C166">
        <f>TRUE</f>
        <v/>
      </c>
      <c r="D166">
        <f>IF(Skills!C8=1,60+Inputs!$B$25+Inputs!$B$29,IF(Skills!C8=2,90+Inputs!$B$26+Inputs!$B$29,IF(Skills!C8=3,120+Inputs!$B$27+Inputs!$B$29,MAX(0,(Inputs!$B$3-100)*3)+Inputs!$B$28+Inputs!$B$29)))</f>
        <v/>
      </c>
      <c r="E166">
        <f>INDEX(FactorTable!$B$2:$Y$301, MATCH(ROUND(MIN(300,MAX(1,D166)),0), FactorTable!$A$2:$A$301,0), Skills!M8+1)</f>
        <v/>
      </c>
      <c r="F166">
        <f>IF(Skills!N8=TRUE,(Skills!L8/10)*(E166/1000),Skills!L8/10)+Skills!O8</f>
        <v/>
      </c>
      <c r="G166">
        <f>Calc!G8</f>
        <v/>
      </c>
      <c r="H166">
        <f>Calc!H8</f>
        <v/>
      </c>
      <c r="I166">
        <f>IF(Skills!X8&lt;&gt;"",1+(Skills!X8/10)*(Z161/1000)/100,1)</f>
        <v/>
      </c>
      <c r="J166">
        <f>((Inputs!$B$6*(1+Inputs!$B$7/100))+(((Inputs!$B$12*(1+Inputs!$B$13/100))-(Inputs!$B$12*(1+Inputs!$B$13/100)))+0.25*(Inputs!$B$14-Inputs!$B$14))*(1+Inputs!$B$7/100))*(F166/100)</f>
        <v/>
      </c>
      <c r="K166">
        <f>J166*(1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f>
        <v/>
      </c>
      <c r="L166">
        <f>K166*(MIN(Inputs!$B$22+(F180-Calc!F22),(Inputs!$B$23+(IF(ArtifactsInput!$M$15,CHOOSE(ArtifactsInput!$N$15+1,25,30,35,40,45,50)/100*(Inputs!$B$11-Inputs!$B$11),0))))/100+(Inputs!$B$23+(IF(ArtifactsInput!$M$15,CHOOSE(ArtifactsInput!$N$15+1,25,30,35,40,45,50)/100*(Inputs!$B$11-Inputs!$B$11),0)))/100)/2</f>
        <v/>
      </c>
      <c r="M166">
        <f>L166*(1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
        <f>L166*(1-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
        <f>(1-Summary!$B$11)*S166+Summary!$B$11*U166</f>
        <v/>
      </c>
      <c r="P166">
        <f>IF(B199=0,0,O166/B199)</f>
        <v/>
      </c>
      <c r="Q166">
        <f>IFERROR(1/(IF(Inputs!$B$38="pvp",15,MAX(0.1,Skills!E8-IF(Skills!F8=TRUE,Inputs!$B$32,0)))*(1-IF(AND(ArtifactsInput!$M$27,Inputs!$B$4="Chapter Hunt"),CHOOSE(ArtifactsInput!$N$27+1,20,24,28,32,36,40),0)/100)),0)</f>
        <v/>
      </c>
      <c r="R166">
        <f>IF(AND(Inputs!$B$38&lt;&gt;"pvp",Inputs!$B$43&gt;0),IF(MAX(0,Inputs!$B$43-B196)&lt;=0,0,(INT(MAX(0,Inputs!$B$43-B196)/(IF(Inputs!$B$38="pvp",15,MAX(0.1,Skills!E8-IF(Skills!F8=TRUE,Inputs!$B$32,0)))*(1-IF(AND(ArtifactsInput!$M$27,Inputs!$B$4="Chapter Hunt"),CHOOSE(ArtifactsInput!$N$27+1,20,24,28,32,36,40),0)/100)))+1)),0)</f>
        <v/>
      </c>
      <c r="S166">
        <f>IF(C166,(H166*N166*IF(AND(Inputs!$B$38&lt;&gt;"pvp",Inputs!$B$43&gt;0),((Skills!G8*((R166-1)*IF(Skills!H8&gt;0,Skills!I8/Skills!H8,1)+IF(Skills!H8&gt;0,MIN(Skills!I8,MAX(0,MAX(0,Inputs!$B$43-B196)-((R166-1)*(IF(Inputs!$B$38="pvp",15,MAX(0.1,Skills!E8-IF(Skills!F8=TRUE,Inputs!$B$32,0)))*(1-IF(AND(ArtifactsInput!$M$27,Inputs!$B$4="Chapter Hunt"),CHOOSE(ArtifactsInput!$N$27+1,20,24,28,32,36,40),0)/100)))))/Skills!H8,1)))/Inputs!$B$43),G166*Q166)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
        <f>IF(C166,(H166*N166*IF(AND(Inputs!$B$38&lt;&gt;"pvp",Inputs!$B$43&gt;0),((Skills!G8*((R166-1)*IF(Skills!H8&gt;0,Skills!I8/Skills!H8,1)+IF(Skills!H8&gt;0,MIN(Skills!I8,MAX(0,MAX(0,Inputs!$B$43-B196)-((R166-1)*(IF(Inputs!$B$38="pvp",15,MAX(0.1,Skills!E8-IF(Skills!F8=TRUE,Inputs!$B$32,0)))*(1-IF(AND(ArtifactsInput!$M$27,Inputs!$B$4="Chapter Hunt"),CHOOSE(ArtifactsInput!$N$27+1,20,24,28,32,36,40),0)/100)))))/Skills!H8,1)))/Inputs!$B$43),G166*Q166)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
      <c r="A167">
        <f>Skills!A9</f>
        <v/>
      </c>
      <c r="B167">
        <f>Skills!B9</f>
        <v/>
      </c>
      <c r="C167">
        <f>Inputs!$B$3&gt;=103</f>
        <v/>
      </c>
      <c r="D167">
        <f>IF(Skills!C9=1,60+Inputs!$B$25+Inputs!$B$29,IF(Skills!C9=2,90+Inputs!$B$26+Inputs!$B$29,IF(Skills!C9=3,120+Inputs!$B$27+Inputs!$B$29,MAX(0,(Inputs!$B$3-100)*3)+Inputs!$B$28+Inputs!$B$29)))</f>
        <v/>
      </c>
      <c r="E167">
        <f>INDEX(FactorTable!$B$2:$Y$301, MATCH(ROUND(MIN(300,MAX(1,D167)),0), FactorTable!$A$2:$A$301,0), Skills!M9+1)</f>
        <v/>
      </c>
      <c r="F167">
        <f>IF(Skills!N9=TRUE,(Skills!L9/10)*(E167/1000),Skills!L9/10)+Skills!O9</f>
        <v/>
      </c>
      <c r="G167">
        <f>Calc!G9</f>
        <v/>
      </c>
      <c r="H167">
        <f>Calc!H9</f>
        <v/>
      </c>
      <c r="I167">
        <f>IF(Skills!X9&lt;&gt;"",1+(Skills!X9/10)*(Z161/1000)/100,1)</f>
        <v/>
      </c>
      <c r="J167">
        <f>((Inputs!$B$6*(1+Inputs!$B$7/100))+(((Inputs!$B$12*(1+Inputs!$B$13/100))-(Inputs!$B$12*(1+Inputs!$B$13/100)))+0.25*(Inputs!$B$14-Inputs!$B$14))*(1+Inputs!$B$7/100))*(F167/100)</f>
        <v/>
      </c>
      <c r="K167">
        <f>J167*(1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f>
        <v/>
      </c>
      <c r="L167">
        <f>K167*(MIN(Inputs!$B$22+(F180-Calc!F22),(Inputs!$B$23+(IF(ArtifactsInput!$M$15,CHOOSE(ArtifactsInput!$N$15+1,25,30,35,40,45,50)/100*(Inputs!$B$11-Inputs!$B$11),0))))/100+(Inputs!$B$23+(IF(ArtifactsInput!$M$15,CHOOSE(ArtifactsInput!$N$15+1,25,30,35,40,45,50)/100*(Inputs!$B$11-Inputs!$B$11),0)))/100)/2</f>
        <v/>
      </c>
      <c r="M167">
        <f>L167*(1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
        <f>L167*(1-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
        <f>(1-Summary!$B$11)*S167+Summary!$B$11*U167</f>
        <v/>
      </c>
      <c r="P167">
        <f>IF(B199=0,0,O167/B199)</f>
        <v/>
      </c>
      <c r="Q167">
        <f>IFERROR(1/(IF(Inputs!$B$38="pvp",15,MAX(0.1,Skills!E9-IF(Skills!F7=TRUE,Inputs!$B$32,0)))*(1-IF(AND(ArtifactsInput!$M$27,Inputs!$B$4="Chapter Hunt"),CHOOSE(ArtifactsInput!$N$27+1,20,24,28,32,36,40),0)/100)),0)</f>
        <v/>
      </c>
      <c r="R167">
        <f>IF(AND(Inputs!$B$38&lt;&gt;"pvp",Inputs!$B$43&gt;0),IF(MAX(0,Inputs!$B$43-B196)&lt;=0,0,(INT(MAX(0,Inputs!$B$43-B196)/(IF(Inputs!$B$38="pvp",15,MAX(0.1,Skills!E9-IF(Skills!F7=TRUE,Inputs!$B$32,0)))*(1-IF(AND(ArtifactsInput!$M$27,Inputs!$B$4="Chapter Hunt"),CHOOSE(ArtifactsInput!$N$27+1,20,24,28,32,36,40),0)/100)))+1)),0)</f>
        <v/>
      </c>
      <c r="S167">
        <f>IF(C167,(H167*N167*IF(AND(Inputs!$B$38&lt;&gt;"pvp",Inputs!$B$43&gt;0),((Skills!G9*((R167-1)*IF(Skills!H9&gt;0,Skills!I9/Skills!H9,1)+IF(Skills!H9&gt;0,MIN(Skills!I9,MAX(0,MAX(0,Inputs!$B$43-B196)-((R167-1)*(IF(Inputs!$B$38="pvp",15,MAX(0.1,Skills!E9-IF(Skills!F7=TRUE,Inputs!$B$32,0)))*(1-IF(AND(ArtifactsInput!$M$27,Inputs!$B$4="Chapter Hunt"),CHOOSE(ArtifactsInput!$N$27+1,20,24,28,32,36,40),0)/100)))))/Skills!H9,1)))/Inputs!$B$43),G167*Q167)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
        <f>IF(C167,(H167*N167*IF(AND(Inputs!$B$38&lt;&gt;"pvp",Inputs!$B$43&gt;0),((Skills!G9*((R167-1)*IF(Skills!H9&gt;0,Skills!I9/Skills!H9,1)+IF(Skills!H9&gt;0,MIN(Skills!I9,MAX(0,MAX(0,Inputs!$B$43-B196)-((R167-1)*(IF(Inputs!$B$38="pvp",15,MAX(0.1,Skills!E9-IF(Skills!F7=TRUE,Inputs!$B$32,0)))*(1-IF(AND(ArtifactsInput!$M$27,Inputs!$B$4="Chapter Hunt"),CHOOSE(ArtifactsInput!$N$27+1,20,24,28,32,36,40),0)/100)))))/Skills!H9,1)))/Inputs!$B$43),G167*Q167)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
      <c r="A168">
        <f>Skills!A10</f>
        <v/>
      </c>
      <c r="B168">
        <f>Skills!B10</f>
        <v/>
      </c>
      <c r="C168">
        <f>TRUE</f>
        <v/>
      </c>
      <c r="D168">
        <f>IF(Skills!C10=1,60+Inputs!$B$25+Inputs!$B$29,IF(Skills!C10=2,90+Inputs!$B$26+Inputs!$B$29,IF(Skills!C10=3,120+Inputs!$B$27+Inputs!$B$29,MAX(0,(Inputs!$B$3-100)*3)+Inputs!$B$28+Inputs!$B$29)))</f>
        <v/>
      </c>
      <c r="E168">
        <f>INDEX(FactorTable!$B$2:$Y$301, MATCH(ROUND(MIN(300,MAX(1,D168)),0), FactorTable!$A$2:$A$301,0), Skills!M10+1)</f>
        <v/>
      </c>
      <c r="F168">
        <f>IF(Skills!N10=TRUE,(Skills!L10/10)*(E168/1000),Skills!L10/10)+Skills!O10</f>
        <v/>
      </c>
      <c r="G168">
        <f>Calc!G10</f>
        <v/>
      </c>
      <c r="H168">
        <f>Calc!H10</f>
        <v/>
      </c>
      <c r="I168">
        <f>IF(Skills!X10&lt;&gt;"",1+(Skills!X10/10)*(Z161/1000)/100,1)</f>
        <v/>
      </c>
      <c r="J168">
        <f>((Inputs!$B$6*(1+Inputs!$B$7/100))+(((Inputs!$B$12*(1+Inputs!$B$13/100))-(Inputs!$B$12*(1+Inputs!$B$13/100)))+0.25*(Inputs!$B$14-Inputs!$B$14))*(1+Inputs!$B$7/100))*(F168/100)</f>
        <v/>
      </c>
      <c r="K168">
        <f>J168*(1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f>
        <v/>
      </c>
      <c r="L168">
        <f>K168*(MIN(Inputs!$B$22+(F180-Calc!F22),(Inputs!$B$23+(IF(ArtifactsInput!$M$15,CHOOSE(ArtifactsInput!$N$15+1,25,30,35,40,45,50)/100*(Inputs!$B$11-Inputs!$B$11),0))))/100+(Inputs!$B$23+(IF(ArtifactsInput!$M$15,CHOOSE(ArtifactsInput!$N$15+1,25,30,35,40,45,50)/100*(Inputs!$B$11-Inputs!$B$11),0)))/100)/2</f>
        <v/>
      </c>
      <c r="M168">
        <f>L168*(1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
        <f>L168*(1-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
        <f>(1-Summary!$B$11)*S168+Summary!$B$11*U168</f>
        <v/>
      </c>
      <c r="P168">
        <f>IF(B199=0,0,O168/B199)</f>
        <v/>
      </c>
      <c r="Q168">
        <f>IFERROR(1/(IF(Inputs!$B$38="pvp",15,MAX(0.1,Skills!E10-IF(Skills!F10=TRUE,Inputs!$B$32,0)))*(1-IF(AND(ArtifactsInput!$M$27,Inputs!$B$4="Chapter Hunt"),CHOOSE(ArtifactsInput!$N$27+1,20,24,28,32,36,40),0)/100)),0)</f>
        <v/>
      </c>
      <c r="R168">
        <f>IF(AND(Inputs!$B$38&lt;&gt;"pvp",Inputs!$B$43&gt;0),IF(MAX(0,Inputs!$B$43-B196)&lt;=0,0,(INT(MAX(0,Inputs!$B$43-B196)/(IF(Inputs!$B$38="pvp",15,MAX(0.1,Skills!E10-IF(Skills!F10=TRUE,Inputs!$B$32,0)))*(1-IF(AND(ArtifactsInput!$M$27,Inputs!$B$4="Chapter Hunt"),CHOOSE(ArtifactsInput!$N$27+1,20,24,28,32,36,40),0)/100)))+1)),0)</f>
        <v/>
      </c>
      <c r="S168">
        <f>IF(C168,(H168*N168*IF(AND(Inputs!$B$38&lt;&gt;"pvp",Inputs!$B$43&gt;0),((Skills!G10*((R168-1)*IF(Skills!H10&gt;0,Skills!I10/Skills!H10,1)+IF(Skills!H10&gt;0,MIN(Skills!I10,MAX(0,MAX(0,Inputs!$B$43-B196)-((R168-1)*(IF(Inputs!$B$38="pvp",15,MAX(0.1,Skills!E10-IF(Skills!F10=TRUE,Inputs!$B$32,0)))*(1-IF(AND(ArtifactsInput!$M$27,Inputs!$B$4="Chapter Hunt"),CHOOSE(ArtifactsInput!$N$27+1,20,24,28,32,36,40),0)/100)))))/Skills!H10,1)))/Inputs!$B$43),G168*Q168)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168*(1-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
        <f>IF(C168,(H168*N168*IF(AND(Inputs!$B$38&lt;&gt;"pvp",Inputs!$B$43&gt;0),((Skills!G10*((R168-1)*IF(Skills!H10&gt;0,Skills!I10/Skills!H10,1)+IF(Skills!H10&gt;0,MIN(Skills!I10,MAX(0,MAX(0,Inputs!$B$43-B196)-((R168-1)*(IF(Inputs!$B$38="pvp",15,MAX(0.1,Skills!E10-IF(Skills!F10=TRUE,Inputs!$B$32,0)))*(1-IF(AND(ArtifactsInput!$M$27,Inputs!$B$4="Chapter Hunt"),CHOOSE(ArtifactsInput!$N$27+1,20,24,28,32,36,40),0)/100)))))/Skills!H10,1)))/Inputs!$B$43),G168*Q168)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
      <c r="A169">
        <f>Skills!A11</f>
        <v/>
      </c>
      <c r="B169">
        <f>Skills!B11</f>
        <v/>
      </c>
      <c r="C169">
        <f>TRUE</f>
        <v/>
      </c>
      <c r="D169">
        <f>IF(Skills!C11=1,60+Inputs!$B$25+Inputs!$B$29,IF(Skills!C11=2,90+Inputs!$B$26+Inputs!$B$29,IF(Skills!C11=3,120+Inputs!$B$27+Inputs!$B$29,MAX(0,(Inputs!$B$3-100)*3)+Inputs!$B$28+Inputs!$B$29)))</f>
        <v/>
      </c>
      <c r="E169">
        <f>INDEX(FactorTable!$B$2:$Y$301, MATCH(ROUND(MIN(300,MAX(1,D169)),0), FactorTable!$A$2:$A$301,0), Skills!M11+1)</f>
        <v/>
      </c>
      <c r="F169">
        <f>IF(Skills!N11=TRUE,(Skills!L11/10)*(E169/1000),Skills!L11/10)+Skills!O11</f>
        <v/>
      </c>
      <c r="G169">
        <f>Calc!G11</f>
        <v/>
      </c>
      <c r="H169">
        <f>Calc!H11</f>
        <v/>
      </c>
      <c r="I169">
        <f>IF(Skills!X11&lt;&gt;"",1+(Skills!X11/10)*(Z161/1000)/100,1)</f>
        <v/>
      </c>
      <c r="J169" t="inlineStr"/>
      <c r="K169" t="inlineStr"/>
      <c r="L169" t="inlineStr"/>
      <c r="M169" t="inlineStr"/>
      <c r="N169" t="inlineStr"/>
      <c r="O169">
        <f>(1-Summary!$B$11)*S169+Summary!$B$11*U169</f>
        <v/>
      </c>
      <c r="P169">
        <f>IF(B199=0,0,O169/B199)</f>
        <v/>
      </c>
      <c r="Q169">
        <f>IFERROR(1/(IF(Inputs!$B$38="pvp",15,MAX(0.1,Skills!E11-IF(Skills!F11=TRUE,Inputs!$B$32,0)))*(1-IF(AND(ArtifactsInput!$M$27,Inputs!$B$4="Chapter Hunt"),CHOOSE(ArtifactsInput!$N$27+1,20,24,28,32,36,40),0)/100)),0)</f>
        <v/>
      </c>
      <c r="R169" t="n">
        <v>0</v>
      </c>
      <c r="S169" t="n">
        <v>0</v>
      </c>
      <c r="U169" t="n">
        <v>0</v>
      </c>
    </row>
    <row r="170">
      <c r="A170">
        <f>Skills!A12</f>
        <v/>
      </c>
      <c r="B170">
        <f>Skills!B12</f>
        <v/>
      </c>
      <c r="C170">
        <f>TRUE</f>
        <v/>
      </c>
      <c r="D170">
        <f>IF(Skills!C12=1,60+Inputs!$B$25+Inputs!$B$29,IF(Skills!C12=2,90+Inputs!$B$26+Inputs!$B$29,IF(Skills!C12=3,120+Inputs!$B$27+Inputs!$B$29,MAX(0,(Inputs!$B$3-100)*3)+Inputs!$B$28+Inputs!$B$29)))</f>
        <v/>
      </c>
      <c r="E170">
        <f>INDEX(FactorTable!$B$2:$Y$301, MATCH(ROUND(MIN(300,MAX(1,D170)),0), FactorTable!$A$2:$A$301,0), Skills!M12+1)</f>
        <v/>
      </c>
      <c r="F170">
        <f>IF(Skills!N12=TRUE,(Skills!L12/10)*(E170/1000),Skills!L12/10)+Skills!O12</f>
        <v/>
      </c>
      <c r="G170">
        <f>Calc!G12</f>
        <v/>
      </c>
      <c r="H170">
        <f>Calc!H12</f>
        <v/>
      </c>
      <c r="I170">
        <f>IF(Skills!X12&lt;&gt;"",1+(Skills!X12/10)*(Z161/1000)/100,1)</f>
        <v/>
      </c>
      <c r="J170" t="inlineStr"/>
      <c r="K170" t="inlineStr"/>
      <c r="L170" t="inlineStr"/>
      <c r="M170" t="inlineStr"/>
      <c r="N170" t="inlineStr"/>
      <c r="O170">
        <f>(1-Summary!$B$11)*S170+Summary!$B$11*U170</f>
        <v/>
      </c>
      <c r="P170">
        <f>IF(B199=0,0,O170/B199)</f>
        <v/>
      </c>
      <c r="Q170">
        <f>IFERROR(1/(IF(Inputs!$B$38="pvp",15,MAX(0.1,Skills!E12-IF(Skills!F12=TRUE,Inputs!$B$32,0)))*(1-IF(AND(ArtifactsInput!$M$27,Inputs!$B$4="Chapter Hunt"),CHOOSE(ArtifactsInput!$N$27+1,20,24,28,32,36,40),0)/100)),0)</f>
        <v/>
      </c>
      <c r="R170" t="n">
        <v>0</v>
      </c>
      <c r="S170" t="n">
        <v>0</v>
      </c>
      <c r="U170" t="n">
        <v>0</v>
      </c>
    </row>
    <row r="171">
      <c r="A171">
        <f>Skills!A13</f>
        <v/>
      </c>
      <c r="B171">
        <f>Skills!B13</f>
        <v/>
      </c>
      <c r="C171">
        <f>Inputs!$B$3&gt;=105</f>
        <v/>
      </c>
      <c r="D171">
        <f>IF(Skills!C13=1,60+Inputs!$B$25+Inputs!$B$29,IF(Skills!C13=2,90+Inputs!$B$26+Inputs!$B$29,IF(Skills!C13=3,120+Inputs!$B$27+Inputs!$B$29,MAX(0,(Inputs!$B$3-100)*3)+Inputs!$B$28+Inputs!$B$29)))</f>
        <v/>
      </c>
      <c r="E171">
        <f>INDEX(FactorTable!$B$2:$Y$301, MATCH(ROUND(MIN(300,MAX(1,D171)),0), FactorTable!$A$2:$A$301,0), Skills!M13+1)</f>
        <v/>
      </c>
      <c r="F171">
        <f>IF(Skills!N13=TRUE,(Skills!L13/10)*(E171/1000),Skills!L13/10)+Skills!O13</f>
        <v/>
      </c>
      <c r="G171">
        <f>Calc!G13</f>
        <v/>
      </c>
      <c r="H171">
        <f>Calc!H13</f>
        <v/>
      </c>
      <c r="I171">
        <f>IF(Skills!X13&lt;&gt;"",1+(Skills!X13/10)*(Z161/1000)/100,1)</f>
        <v/>
      </c>
      <c r="J171">
        <f>((Inputs!$B$6*(1+Inputs!$B$7/100))+(((Inputs!$B$12*(1+Inputs!$B$13/100))-(Inputs!$B$12*(1+Inputs!$B$13/100)))+0.25*(Inputs!$B$14-Inputs!$B$14))*(1+Inputs!$B$7/100))*(F171/100)</f>
        <v/>
      </c>
      <c r="K171">
        <f>J171*(1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f>
        <v/>
      </c>
      <c r="L171">
        <f>K171*(MIN(Inputs!$B$22+(F180-Calc!F22),(Inputs!$B$23+(IF(ArtifactsInput!$M$15,CHOOSE(ArtifactsInput!$N$15+1,25,30,35,40,45,50)/100*(Inputs!$B$11-Inputs!$B$11),0))))/100+(Inputs!$B$23+(IF(ArtifactsInput!$M$15,CHOOSE(ArtifactsInput!$N$15+1,25,30,35,40,45,50)/100*(Inputs!$B$11-Inputs!$B$11),0)))/100)/2</f>
        <v/>
      </c>
      <c r="M171">
        <f>L171*(1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
        <f>L171*(1-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
        <f>(1-Summary!$B$11)*S171+Summary!$B$11*U171</f>
        <v/>
      </c>
      <c r="P171">
        <f>IF(B199=0,0,O171/B199)</f>
        <v/>
      </c>
      <c r="Q171">
        <f>IFERROR(1/(IF(Inputs!$B$38="pvp",15,MAX(0.1,Skills!E13-IF(Skills!F13=TRUE,Inputs!$B$32,0)))*(1-IF(AND(ArtifactsInput!$M$27,Inputs!$B$4="Chapter Hunt"),CHOOSE(ArtifactsInput!$N$27+1,20,24,28,32,36,40),0)/100)),0)</f>
        <v/>
      </c>
      <c r="R171">
        <f>IF(AND(Inputs!$B$38&lt;&gt;"pvp",Inputs!$B$43&gt;0),IF(MAX(0,Inputs!$B$43-B196)&lt;=0,0,(INT(MAX(0,Inputs!$B$43-B196)/(IF(Inputs!$B$38="pvp",15,MAX(0.1,Skills!E13-IF(Skills!F13=TRUE,Inputs!$B$32,0)))*(1-IF(AND(ArtifactsInput!$M$27,Inputs!$B$4="Chapter Hunt"),CHOOSE(ArtifactsInput!$N$27+1,20,24,28,32,36,40),0)/100)))+1)),0)</f>
        <v/>
      </c>
      <c r="S171">
        <f>IF(C171,(H171*N171*IF(AND(Inputs!$B$38&lt;&gt;"pvp",Inputs!$B$43&gt;0),((Skills!G13*((R171-1)*IF(Skills!H13&gt;0,Skills!I13/Skills!H13,1)+IF(Skills!H13&gt;0,MIN(Skills!I13,MAX(0,MAX(0,Inputs!$B$43-B196)-((R171-1)*(IF(Inputs!$B$38="pvp",15,MAX(0.1,Skills!E13-IF(Skills!F13=TRUE,Inputs!$B$32,0)))*(1-IF(AND(ArtifactsInput!$M$27,Inputs!$B$4="Chapter Hunt"),CHOOSE(ArtifactsInput!$N$27+1,20,24,28,32,36,40),0)/100)))))/Skills!H13,1)))/Inputs!$B$43),G171*Q171)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
        <f>IF(C171,(H171*N171*IF(AND(Inputs!$B$38&lt;&gt;"pvp",Inputs!$B$43&gt;0),((Skills!G13*((R171-1)*IF(Skills!H13&gt;0,Skills!I13/Skills!H13,1)+IF(Skills!H13&gt;0,MIN(Skills!I13,MAX(0,MAX(0,Inputs!$B$43-B196)-((R171-1)*(IF(Inputs!$B$38="pvp",15,MAX(0.1,Skills!E13-IF(Skills!F13=TRUE,Inputs!$B$32,0)))*(1-IF(AND(ArtifactsInput!$M$27,Inputs!$B$4="Chapter Hunt"),CHOOSE(ArtifactsInput!$N$27+1,20,24,28,32,36,40),0)/100)))))/Skills!H13,1)))/Inputs!$B$43),G171*Q171)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
      <c r="A172">
        <f>Skills!A14</f>
        <v/>
      </c>
      <c r="B172">
        <f>Skills!B14</f>
        <v/>
      </c>
      <c r="C172">
        <f>Inputs!$B$3&gt;=113</f>
        <v/>
      </c>
      <c r="D172">
        <f>IF(Skills!C14=1,60+Inputs!$B$25+Inputs!$B$29,IF(Skills!C14=2,90+Inputs!$B$26+Inputs!$B$29,IF(Skills!C14=3,120+Inputs!$B$27+Inputs!$B$29,MAX(0,(Inputs!$B$3-100)*3)+Inputs!$B$28+Inputs!$B$29)))</f>
        <v/>
      </c>
      <c r="E172">
        <f>INDEX(FactorTable!$B$2:$Y$301, MATCH(ROUND(MIN(300,MAX(1,D172)),0), FactorTable!$A$2:$A$301,0), Skills!M14+1)</f>
        <v/>
      </c>
      <c r="F172">
        <f>IF(Skills!N14=TRUE,(Skills!L14/10)*(E172/1000),Skills!L14/10)+Skills!O14</f>
        <v/>
      </c>
      <c r="G172">
        <f>Calc!G14</f>
        <v/>
      </c>
      <c r="H172">
        <f>Calc!H14</f>
        <v/>
      </c>
      <c r="I172">
        <f>IF(Skills!X14&lt;&gt;"",1+(Skills!X14/10)*(Z161/1000)/100,1)</f>
        <v/>
      </c>
      <c r="J172">
        <f>((Inputs!$B$6*(1+Inputs!$B$7/100))+(((Inputs!$B$12*(1+Inputs!$B$13/100))-(Inputs!$B$12*(1+Inputs!$B$13/100)))+0.25*(Inputs!$B$14-Inputs!$B$14))*(1+Inputs!$B$7/100))*(F172/100)</f>
        <v/>
      </c>
      <c r="K172">
        <f>J172*(1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f>
        <v/>
      </c>
      <c r="L172">
        <f>K172*(MIN(Inputs!$B$22+(F180-Calc!F22),(Inputs!$B$23+(IF(ArtifactsInput!$M$15,CHOOSE(ArtifactsInput!$N$15+1,25,30,35,40,45,50)/100*(Inputs!$B$11-Inputs!$B$11),0))))/100+(Inputs!$B$23+(IF(ArtifactsInput!$M$15,CHOOSE(ArtifactsInput!$N$15+1,25,30,35,40,45,50)/100*(Inputs!$B$11-Inputs!$B$11),0)))/100)/2</f>
        <v/>
      </c>
      <c r="M172">
        <f>L172*(1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
        <f>L172*(1-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
        <f>(1-Summary!$B$11)*S172+Summary!$B$11*U172</f>
        <v/>
      </c>
      <c r="P172">
        <f>IF(B199=0,0,O172/B199)</f>
        <v/>
      </c>
      <c r="Q172">
        <f>IFERROR(1/(IF(Inputs!$B$38="pvp",15,MAX(0.1,Skills!E14-IF(Skills!F14=TRUE,Inputs!$B$32,0)))*(1-IF(AND(ArtifactsInput!$M$27,Inputs!$B$4="Chapter Hunt"),CHOOSE(ArtifactsInput!$N$27+1,20,24,28,32,36,40),0)/100)),0)</f>
        <v/>
      </c>
      <c r="R172" t="n">
        <v>0</v>
      </c>
      <c r="S172">
        <f>IF(C172,((H172*B195)/(1+Skills!H14*H172*B195)*N172)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172*(1-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2">
        <f>IF(C172,((H172*B195)/(1+Skills!H14*H172*B195)*N172)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
      <c r="A173">
        <f>Skills!A15</f>
        <v/>
      </c>
      <c r="B173">
        <f>Skills!B15</f>
        <v/>
      </c>
      <c r="C173">
        <f>Inputs!$B$3&gt;=107</f>
        <v/>
      </c>
      <c r="D173">
        <f>IF(Skills!C15=1,60+Inputs!$B$25+Inputs!$B$29,IF(Skills!C15=2,90+Inputs!$B$26+Inputs!$B$29,IF(Skills!C15=3,120+Inputs!$B$27+Inputs!$B$29,MAX(0,(Inputs!$B$3-100)*3)+Inputs!$B$28+Inputs!$B$29)))</f>
        <v/>
      </c>
      <c r="E173">
        <f>INDEX(FactorTable!$B$2:$Y$301, MATCH(ROUND(MIN(300,MAX(1,D173)),0), FactorTable!$A$2:$A$301,0), Skills!M15+1)</f>
        <v/>
      </c>
      <c r="F173">
        <f>IF(Skills!N15=TRUE,(Skills!L15/10)*(E173/1000),Skills!L15/10)+Skills!O15</f>
        <v/>
      </c>
      <c r="G173">
        <f>Calc!G15</f>
        <v/>
      </c>
      <c r="H173">
        <f>Calc!H15</f>
        <v/>
      </c>
      <c r="I173">
        <f>IF(Skills!X15&lt;&gt;"",1+(Skills!X15/10)*(Z161/1000)/100,1)</f>
        <v/>
      </c>
      <c r="J173">
        <f>((Inputs!$B$6*(1+Inputs!$B$7/100))+(((Inputs!$B$12*(1+Inputs!$B$13/100))-(Inputs!$B$12*(1+Inputs!$B$13/100)))+0.25*(Inputs!$B$14-Inputs!$B$14))*(1+Inputs!$B$7/100))*(F173/100)</f>
        <v/>
      </c>
      <c r="K173">
        <f>J173*(1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f>
        <v/>
      </c>
      <c r="L173">
        <f>K173*(MIN(Inputs!$B$22+(F180-Calc!F22),(Inputs!$B$23+(IF(ArtifactsInput!$M$15,CHOOSE(ArtifactsInput!$N$15+1,25,30,35,40,45,50)/100*(Inputs!$B$11-Inputs!$B$11),0))))/100+(Inputs!$B$23+(IF(ArtifactsInput!$M$15,CHOOSE(ArtifactsInput!$N$15+1,25,30,35,40,45,50)/100*(Inputs!$B$11-Inputs!$B$11),0)))/100)/2</f>
        <v/>
      </c>
      <c r="M173">
        <f>L173*(1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
        <f>L173*(1-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
        <f>(1-Summary!$B$11)*S173+Summary!$B$11*U173</f>
        <v/>
      </c>
      <c r="P173">
        <f>IF(B199=0,0,O173/B199)</f>
        <v/>
      </c>
      <c r="Q173">
        <f>IFERROR(1/(IF(Inputs!$B$38="pvp",15,MAX(0.1,Skills!E15-IF(Skills!F15=TRUE,Inputs!$B$32,0)))*(1-IF(AND(ArtifactsInput!$M$27,Inputs!$B$4="Chapter Hunt"),CHOOSE(ArtifactsInput!$N$27+1,20,24,28,32,36,40),0)/100)),0)</f>
        <v/>
      </c>
      <c r="R173">
        <f>IF(AND(Inputs!$B$38&lt;&gt;"pvp",Inputs!$B$43&gt;0),IF(MAX(0,Inputs!$B$43-B196)&lt;=0,0,(INT(MAX(0,Inputs!$B$43-B196)/(IF(Inputs!$B$38="pvp",15,MAX(0.1,Skills!E15-IF(Skills!F15=TRUE,Inputs!$B$32,0)))*(1-IF(AND(ArtifactsInput!$M$27,Inputs!$B$4="Chapter Hunt"),CHOOSE(ArtifactsInput!$N$27+1,20,24,28,32,36,40),0)/100)))+1)),0)</f>
        <v/>
      </c>
      <c r="S173">
        <f>IF(C173,(H173*N173*IF(AND(Inputs!$B$38&lt;&gt;"pvp",Inputs!$B$43&gt;0),((Skills!G15*((R173-1)*IF(Skills!H15&gt;0,Skills!I15/Skills!H15,1)+IF(Skills!H15&gt;0,MIN(Skills!I15,MAX(0,MAX(0,Inputs!$B$43-B196)-((R173-1)*(IF(Inputs!$B$38="pvp",15,MAX(0.1,Skills!E15-IF(Skills!F15=TRUE,Inputs!$B$32,0)))*(1-IF(AND(ArtifactsInput!$M$27,Inputs!$B$4="Chapter Hunt"),CHOOSE(ArtifactsInput!$N$27+1,20,24,28,32,36,40),0)/100)))))/Skills!H15,1)))/Inputs!$B$43),G173*Q173)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173*(1-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3">
        <f>IF(C173,(H173*N173*IF(AND(Inputs!$B$38&lt;&gt;"pvp",Inputs!$B$43&gt;0),((Skills!G15*((R173-1)*IF(Skills!H15&gt;0,Skills!I15/Skills!H15,1)+IF(Skills!H15&gt;0,MIN(Skills!I15,MAX(0,MAX(0,Inputs!$B$43-B196)-((R173-1)*(IF(Inputs!$B$38="pvp",15,MAX(0.1,Skills!E15-IF(Skills!F15=TRUE,Inputs!$B$32,0)))*(1-IF(AND(ArtifactsInput!$M$27,Inputs!$B$4="Chapter Hunt"),CHOOSE(ArtifactsInput!$N$27+1,20,24,28,32,36,40),0)/100)))))/Skills!H15,1)))/Inputs!$B$43),G173*Q173)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
      <c r="A174">
        <f>Skills!A16</f>
        <v/>
      </c>
      <c r="B174">
        <f>Skills!B16</f>
        <v/>
      </c>
      <c r="C174">
        <f>Inputs!$B$3&gt;=107</f>
        <v/>
      </c>
      <c r="D174">
        <f>IF(Skills!C16=1,60+Inputs!$B$25+Inputs!$B$29,IF(Skills!C16=2,90+Inputs!$B$26+Inputs!$B$29,IF(Skills!C16=3,120+Inputs!$B$27+Inputs!$B$29,MAX(0,(Inputs!$B$3-100)*3)+Inputs!$B$28+Inputs!$B$29)))</f>
        <v/>
      </c>
      <c r="E174">
        <f>INDEX(FactorTable!$B$2:$Y$301, MATCH(ROUND(MIN(300,MAX(1,D174)),0), FactorTable!$A$2:$A$301,0), Skills!M16+1)</f>
        <v/>
      </c>
      <c r="F174">
        <f>IF(Skills!N16=TRUE,(Skills!L16/10)*(E174/1000),Skills!L16/10)+Skills!O16</f>
        <v/>
      </c>
      <c r="G174">
        <f>Calc!G16</f>
        <v/>
      </c>
      <c r="H174">
        <f>Calc!H16</f>
        <v/>
      </c>
      <c r="I174">
        <f>IF(Skills!X16&lt;&gt;"",1+(Skills!X16/10)*(Z161/1000)/100,1)</f>
        <v/>
      </c>
      <c r="J174">
        <f>((Inputs!$B$6*(1+Inputs!$B$7/100))+(((Inputs!$B$12*(1+Inputs!$B$13/100))-(Inputs!$B$12*(1+Inputs!$B$13/100)))+0.25*(Inputs!$B$14-Inputs!$B$14))*(1+Inputs!$B$7/100))*(F174/100)</f>
        <v/>
      </c>
      <c r="K174">
        <f>J174*(1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f>
        <v/>
      </c>
      <c r="L174">
        <f>K174*(MIN(Inputs!$B$22+(F180-Calc!F22),(Inputs!$B$23+(IF(ArtifactsInput!$M$15,CHOOSE(ArtifactsInput!$N$15+1,25,30,35,40,45,50)/100*(Inputs!$B$11-Inputs!$B$11),0))))/100+(Inputs!$B$23+(IF(ArtifactsInput!$M$15,CHOOSE(ArtifactsInput!$N$15+1,25,30,35,40,45,50)/100*(Inputs!$B$11-Inputs!$B$11),0)))/100)/2</f>
        <v/>
      </c>
      <c r="M174">
        <f>L174*(1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
        <f>L174*(1-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
        <f>(1-Summary!$B$11)*S174+Summary!$B$11*U174</f>
        <v/>
      </c>
      <c r="P174">
        <f>IF(B199=0,0,O174/B199)</f>
        <v/>
      </c>
      <c r="Q174">
        <f>IFERROR(1/(IF(Inputs!$B$38="pvp",15,MAX(0.1,Skills!E16-IF(Skills!F16=TRUE,Inputs!$B$32,0)))*(1-IF(AND(ArtifactsInput!$M$27,Inputs!$B$4="Chapter Hunt"),CHOOSE(ArtifactsInput!$N$27+1,20,24,28,32,36,40),0)/100)),0)</f>
        <v/>
      </c>
      <c r="R174">
        <f>IF(AND(Inputs!$B$38&lt;&gt;"pvp",Inputs!$B$43&gt;0),IF(MAX(0,Inputs!$B$43-B196)&lt;=0,0,(INT(MAX(0,Inputs!$B$43-B196)/(IF(Inputs!$B$38="pvp",15,MAX(0.1,Skills!E16-IF(Skills!F16=TRUE,Inputs!$B$32,0)))*(1-IF(AND(ArtifactsInput!$M$27,Inputs!$B$4="Chapter Hunt"),CHOOSE(ArtifactsInput!$N$27+1,20,24,28,32,36,40),0)/100)))+1)),0)</f>
        <v/>
      </c>
      <c r="S174">
        <f>IF(C174,(H174*N174*IF(AND(Inputs!$B$38&lt;&gt;"pvp",Inputs!$B$43&gt;0),((Skills!G16*((R174-1)*IF(Skills!H16&gt;0,Skills!I16/Skills!H16,1)+IF(Skills!H16&gt;0,MIN(Skills!I16,MAX(0,MAX(0,Inputs!$B$43-B196)-((R174-1)*(IF(Inputs!$B$38="pvp",15,MAX(0.1,Skills!E16-IF(Skills!F16=TRUE,Inputs!$B$32,0)))*(1-IF(AND(ArtifactsInput!$M$27,Inputs!$B$4="Chapter Hunt"),CHOOSE(ArtifactsInput!$N$27+1,20,24,28,32,36,40),0)/100)))))/Skills!H16,1)))/Inputs!$B$43),G174*Q174)*(1+IF(Inputs!$B$3&gt;=126,0.05*(B194+Q171+(H172*B195)/(1+Skills!H14*H172*B195)+Q182)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174*(1-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4">
        <f>IF(C174,(H174*N174*IF(AND(Inputs!$B$38&lt;&gt;"pvp",Inputs!$B$43&gt;0),((Skills!G16*((R174-1)*IF(Skills!H16&gt;0,Skills!I16/Skills!H16,1)+IF(Skills!H16&gt;0,MIN(Skills!I16,MAX(0,MAX(0,Inputs!$B$43-B196)-((R174-1)*(IF(Inputs!$B$38="pvp",15,MAX(0.1,Skills!E16-IF(Skills!F16=TRUE,Inputs!$B$32,0)))*(1-IF(AND(ArtifactsInput!$M$27,Inputs!$B$4="Chapter Hunt"),CHOOSE(ArtifactsInput!$N$27+1,20,24,28,32,36,40),0)/100)))))/Skills!H16,1)))/Inputs!$B$43),G174*Q174)*(1+IF(Inputs!$B$3&gt;=126,0.05*(B194+Q171+(H172*B195)/(1+Skills!H14*H172*B195)+Q182)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
      <c r="A175">
        <f>Skills!A17</f>
        <v/>
      </c>
      <c r="B175">
        <f>Skills!B17</f>
        <v/>
      </c>
      <c r="C175">
        <f>TRUE</f>
        <v/>
      </c>
      <c r="D175">
        <f>IF(Skills!C17=1,60+Inputs!$B$25+Inputs!$B$29,IF(Skills!C17=2,90+Inputs!$B$26+Inputs!$B$29,IF(Skills!C17=3,120+Inputs!$B$27+Inputs!$B$29,MAX(0,(Inputs!$B$3-100)*3)+Inputs!$B$28+Inputs!$B$29)))</f>
        <v/>
      </c>
      <c r="E175">
        <f>INDEX(FactorTable!$B$2:$Y$301, MATCH(ROUND(MIN(300,MAX(1,D175)),0), FactorTable!$A$2:$A$301,0), Skills!M17+1)</f>
        <v/>
      </c>
      <c r="F175">
        <f>IF(Skills!N17=TRUE,(Skills!L17/10)*(E175/1000),Skills!L17/10)+Skills!O17</f>
        <v/>
      </c>
      <c r="G175">
        <f>Calc!G17</f>
        <v/>
      </c>
      <c r="H175">
        <f>Calc!H17</f>
        <v/>
      </c>
      <c r="I175">
        <f>IF(Skills!X17&lt;&gt;"",1+(Skills!X17/10)*(Z161/1000)/100,1)</f>
        <v/>
      </c>
      <c r="J175" t="inlineStr"/>
      <c r="K175" t="inlineStr"/>
      <c r="L175" t="inlineStr"/>
      <c r="M175" t="inlineStr"/>
      <c r="N175" t="inlineStr"/>
      <c r="O175">
        <f>(1-Summary!$B$11)*S175+Summary!$B$11*U175</f>
        <v/>
      </c>
      <c r="P175">
        <f>IF(B199=0,0,O175/B199)</f>
        <v/>
      </c>
      <c r="Q175">
        <f>IFERROR(1/(IF(Inputs!$B$38="pvp",15,MAX(0.1,Skills!E17-IF(Skills!F17=TRUE,Inputs!$B$32,0)))*(1-IF(AND(ArtifactsInput!$M$27,Inputs!$B$4="Chapter Hunt"),CHOOSE(ArtifactsInput!$N$27+1,20,24,28,32,36,40),0)/100)),0)</f>
        <v/>
      </c>
      <c r="R175">
        <f>IF(AND(Inputs!$B$38&lt;&gt;"pvp",Inputs!$B$43&gt;0),IF(Inputs!$B$43&lt;=0,0,(INT(Inputs!$B$43/(IF(Inputs!$B$38="pvp",15,MAX(0.1,Skills!E17-IF(Skills!F17=TRUE,Inputs!$B$32,0)))*(1-IF(AND(ArtifactsInput!$M$27,Inputs!$B$4="Chapter Hunt"),CHOOSE(ArtifactsInput!$N$27+1,20,24,28,32,36,40),0)/100)))+1)),0)</f>
        <v/>
      </c>
      <c r="S175" t="n">
        <v>0</v>
      </c>
      <c r="U175" t="n">
        <v>0</v>
      </c>
    </row>
    <row r="176">
      <c r="A176">
        <f>Skills!A18</f>
        <v/>
      </c>
      <c r="B176">
        <f>Skills!B18</f>
        <v/>
      </c>
      <c r="C176">
        <f>TRUE</f>
        <v/>
      </c>
      <c r="D176">
        <f>IF(Skills!C18=1,60+Inputs!$B$25+Inputs!$B$29,IF(Skills!C18=2,90+Inputs!$B$26+Inputs!$B$29,IF(Skills!C18=3,120+Inputs!$B$27+Inputs!$B$29,MAX(0,(Inputs!$B$3-100)*3)+Inputs!$B$28+Inputs!$B$29)))</f>
        <v/>
      </c>
      <c r="E176">
        <f>INDEX(FactorTable!$B$2:$Y$301, MATCH(ROUND(MIN(300,MAX(1,D176)),0), FactorTable!$A$2:$A$301,0), Skills!M18+1)</f>
        <v/>
      </c>
      <c r="F176">
        <f>IF(Skills!N18=TRUE,(Skills!L18/10)*(E176/1000),Skills!L18/10)+Skills!O18</f>
        <v/>
      </c>
      <c r="G176">
        <f>Calc!G18</f>
        <v/>
      </c>
      <c r="H176">
        <f>Calc!H18</f>
        <v/>
      </c>
      <c r="I176">
        <f>IF(Skills!X18&lt;&gt;"",1+(Skills!X18/10)*(Z161/1000)/100,1)</f>
        <v/>
      </c>
      <c r="J176" t="inlineStr"/>
      <c r="K176" t="inlineStr"/>
      <c r="L176" t="inlineStr"/>
      <c r="M176" t="inlineStr"/>
      <c r="N176" t="inlineStr"/>
      <c r="O176">
        <f>(1-Summary!$B$11)*S176+Summary!$B$11*U176</f>
        <v/>
      </c>
      <c r="P176">
        <f>IF(B199=0,0,O176/B199)</f>
        <v/>
      </c>
      <c r="Q176">
        <f>IFERROR(1/(IF(Inputs!$B$38="pvp",15,MAX(0.1,Skills!E18-IF(Skills!F18=TRUE,Inputs!$B$32,0)))*(1-IF(AND(ArtifactsInput!$M$27,Inputs!$B$4="Chapter Hunt"),CHOOSE(ArtifactsInput!$N$27+1,20,24,28,32,36,40),0)/100)),0)</f>
        <v/>
      </c>
      <c r="R176">
        <f>IF(AND(Inputs!$B$38&lt;&gt;"pvp",Inputs!$B$43&gt;0),IF(Inputs!$B$43&lt;=0,0,(INT(Inputs!$B$43/(IF(Inputs!$B$38="pvp",15,MAX(0.1,Skills!E18-IF(Skills!F18=TRUE,Inputs!$B$32,0)))*(1-IF(AND(ArtifactsInput!$M$27,Inputs!$B$4="Chapter Hunt"),CHOOSE(ArtifactsInput!$N$27+1,20,24,28,32,36,40),0)/100)))+1)),0)</f>
        <v/>
      </c>
      <c r="S176" t="n">
        <v>0</v>
      </c>
      <c r="U176" t="n">
        <v>0</v>
      </c>
    </row>
    <row r="177">
      <c r="A177">
        <f>Skills!A19</f>
        <v/>
      </c>
      <c r="B177">
        <f>Skills!B19</f>
        <v/>
      </c>
      <c r="C177">
        <f>Inputs!$B$3&gt;=110</f>
        <v/>
      </c>
      <c r="D177">
        <f>IF(Skills!C19=1,60+Inputs!$B$25+Inputs!$B$29,IF(Skills!C19=2,90+Inputs!$B$26+Inputs!$B$29,IF(Skills!C19=3,120+Inputs!$B$27+Inputs!$B$29,MAX(0,(Inputs!$B$3-100)*3)+Inputs!$B$28+Inputs!$B$29)))</f>
        <v/>
      </c>
      <c r="E177">
        <f>INDEX(FactorTable!$B$2:$Y$301, MATCH(ROUND(MIN(300,MAX(1,D177)),0), FactorTable!$A$2:$A$301,0), Skills!M19+1)</f>
        <v/>
      </c>
      <c r="F177">
        <f>IF(Skills!N19=TRUE,(Skills!L19/10)*(E177/1000),Skills!L19/10)+Skills!O19</f>
        <v/>
      </c>
      <c r="G177">
        <f>Calc!G19</f>
        <v/>
      </c>
      <c r="H177">
        <f>Calc!H19</f>
        <v/>
      </c>
      <c r="I177">
        <f>IF(Skills!X19&lt;&gt;"",1+(Skills!X19/10)*(Z161/1000)/100,1)</f>
        <v/>
      </c>
      <c r="J177" t="inlineStr"/>
      <c r="K177" t="inlineStr"/>
      <c r="L177" t="inlineStr"/>
      <c r="M177" t="inlineStr"/>
      <c r="N177" t="inlineStr"/>
      <c r="O177">
        <f>(1-Summary!$B$11)*S177+Summary!$B$11*U177</f>
        <v/>
      </c>
      <c r="P177">
        <f>IF(B199=0,0,O177/B199)</f>
        <v/>
      </c>
      <c r="Q177">
        <f>IFERROR(1/(IF(Inputs!$B$38="pvp",15,MAX(0.1,Skills!E19-IF(Skills!F19=TRUE,Inputs!$B$32,0)))*(1-IF(AND(ArtifactsInput!$M$27,Inputs!$B$4="Chapter Hunt"),CHOOSE(ArtifactsInput!$N$27+1,20,24,28,32,36,40),0)/100)),0)</f>
        <v/>
      </c>
      <c r="R177">
        <f>IF(AND(Inputs!$B$38&lt;&gt;"pvp",Inputs!$B$43&gt;0),IF(Inputs!$B$43&lt;=0,0,(INT(Inputs!$B$43/(IF(Inputs!$B$38="pvp",15,MAX(0.1,Skills!E19-IF(Skills!F19=TRUE,Inputs!$B$32,0)))*(1-IF(AND(ArtifactsInput!$M$27,Inputs!$B$4="Chapter Hunt"),CHOOSE(ArtifactsInput!$N$27+1,20,24,28,32,36,40),0)/100)))+1)),0)</f>
        <v/>
      </c>
      <c r="S177" t="n">
        <v>0</v>
      </c>
      <c r="U177" t="n">
        <v>0</v>
      </c>
    </row>
    <row r="178">
      <c r="A178">
        <f>Skills!A20</f>
        <v/>
      </c>
      <c r="B178">
        <f>Skills!B20</f>
        <v/>
      </c>
      <c r="C178">
        <f>TRUE</f>
        <v/>
      </c>
      <c r="D178">
        <f>IF(Skills!C20=1,60+Inputs!$B$25+Inputs!$B$29,IF(Skills!C20=2,90+Inputs!$B$26+Inputs!$B$29,IF(Skills!C20=3,120+Inputs!$B$27+Inputs!$B$29,MAX(0,(Inputs!$B$3-100)*3)+Inputs!$B$28+Inputs!$B$29)))</f>
        <v/>
      </c>
      <c r="E178">
        <f>INDEX(FactorTable!$B$2:$Y$301, MATCH(ROUND(MIN(300,MAX(1,D178)),0), FactorTable!$A$2:$A$301,0), Skills!M20+1)</f>
        <v/>
      </c>
      <c r="F178">
        <f>IF(Skills!N20=TRUE,(Skills!L20/10)*(E178/1000),Skills!L20/10)+Skills!O20</f>
        <v/>
      </c>
      <c r="G178">
        <f>Calc!G20</f>
        <v/>
      </c>
      <c r="H178">
        <f>Calc!H20</f>
        <v/>
      </c>
      <c r="I178">
        <f>IF(Skills!X20&lt;&gt;"",1+(Skills!X20/10)*(Z161/1000)/100,1)</f>
        <v/>
      </c>
      <c r="J178" t="inlineStr"/>
      <c r="K178" t="inlineStr"/>
      <c r="L178" t="inlineStr"/>
      <c r="M178" t="inlineStr"/>
      <c r="N178" t="inlineStr"/>
      <c r="O178">
        <f>(1-Summary!$B$11)*S178+Summary!$B$11*U178</f>
        <v/>
      </c>
      <c r="P178">
        <f>IF(B199=0,0,O178/B199)</f>
        <v/>
      </c>
      <c r="Q178">
        <f>IFERROR(1/(IF(Inputs!$B$38="pvp",15,MAX(0.1,Skills!E20-IF(Skills!F20=TRUE,Inputs!$B$32,0)))*(1-IF(AND(ArtifactsInput!$M$27,Inputs!$B$4="Chapter Hunt"),CHOOSE(ArtifactsInput!$N$27+1,20,24,28,32,36,40),0)/100)),0)</f>
        <v/>
      </c>
      <c r="R178" t="n">
        <v>0</v>
      </c>
      <c r="S178" t="n">
        <v>0</v>
      </c>
      <c r="U178" t="n">
        <v>0</v>
      </c>
    </row>
    <row r="179">
      <c r="A179">
        <f>Skills!A21</f>
        <v/>
      </c>
      <c r="B179">
        <f>Skills!B21</f>
        <v/>
      </c>
      <c r="C179">
        <f>TRUE</f>
        <v/>
      </c>
      <c r="D179">
        <f>IF(Skills!C21=1,60+Inputs!$B$25+Inputs!$B$29,IF(Skills!C21=2,90+Inputs!$B$26+Inputs!$B$29,IF(Skills!C21=3,120+Inputs!$B$27+Inputs!$B$29,MAX(0,(Inputs!$B$3-100)*3)+Inputs!$B$28+Inputs!$B$29)))</f>
        <v/>
      </c>
      <c r="E179">
        <f>INDEX(FactorTable!$B$2:$Y$301, MATCH(ROUND(MIN(300,MAX(1,D179)),0), FactorTable!$A$2:$A$301,0), Skills!M21+1)</f>
        <v/>
      </c>
      <c r="F179">
        <f>IF(Skills!N21=TRUE,(Skills!L21/10)*(E179/1000),Skills!L21/10)+Skills!O21</f>
        <v/>
      </c>
      <c r="G179">
        <f>Calc!G21</f>
        <v/>
      </c>
      <c r="H179">
        <f>Calc!H21</f>
        <v/>
      </c>
      <c r="I179">
        <f>IF(Skills!X21&lt;&gt;"",1+(Skills!X21/10)*(Z161/1000)/100,1)</f>
        <v/>
      </c>
      <c r="J179" t="inlineStr"/>
      <c r="K179" t="inlineStr"/>
      <c r="L179" t="inlineStr"/>
      <c r="M179" t="inlineStr"/>
      <c r="N179" t="inlineStr"/>
      <c r="O179">
        <f>(1-Summary!$B$11)*S179+Summary!$B$11*U179</f>
        <v/>
      </c>
      <c r="P179">
        <f>IF(B199=0,0,O179/B199)</f>
        <v/>
      </c>
      <c r="Q179">
        <f>IFERROR(1/(IF(Inputs!$B$38="pvp",15,MAX(0.1,Skills!E21-IF(Skills!F21=TRUE,Inputs!$B$32,0)))*(1-IF(AND(ArtifactsInput!$M$27,Inputs!$B$4="Chapter Hunt"),CHOOSE(ArtifactsInput!$N$27+1,20,24,28,32,36,40),0)/100)),0)</f>
        <v/>
      </c>
      <c r="R179" t="n">
        <v>0</v>
      </c>
      <c r="S179" t="n">
        <v>0</v>
      </c>
      <c r="U179" t="n">
        <v>0</v>
      </c>
    </row>
    <row r="180">
      <c r="A180">
        <f>Skills!A22</f>
        <v/>
      </c>
      <c r="B180">
        <f>Skills!B22</f>
        <v/>
      </c>
      <c r="C180">
        <f>TRUE</f>
        <v/>
      </c>
      <c r="D180">
        <f>IF(Skills!C22=1,60+Inputs!$B$25+Inputs!$B$29,IF(Skills!C22=2,90+Inputs!$B$26+Inputs!$B$29,IF(Skills!C22=3,120+Inputs!$B$27+Inputs!$B$29,MAX(0,(Inputs!$B$3-100)*3)+Inputs!$B$28+Inputs!$B$29)))</f>
        <v/>
      </c>
      <c r="E180">
        <f>INDEX(FactorTable!$B$2:$Y$301, MATCH(ROUND(MIN(300,MAX(1,D180)),0), FactorTable!$A$2:$A$301,0), Skills!M22+1)</f>
        <v/>
      </c>
      <c r="F180">
        <f>IF(Skills!N22=TRUE,(Skills!L22/10)*(E180/1000),Skills!L22/10)+Skills!O22</f>
        <v/>
      </c>
      <c r="G180">
        <f>Calc!G22</f>
        <v/>
      </c>
      <c r="H180">
        <f>Calc!H22</f>
        <v/>
      </c>
      <c r="I180">
        <f>IF(Skills!X22&lt;&gt;"",1+(Skills!X22/10)*(Z161/1000)/100,1)</f>
        <v/>
      </c>
      <c r="J180" t="inlineStr"/>
      <c r="K180" t="inlineStr"/>
      <c r="L180" t="inlineStr"/>
      <c r="M180" t="inlineStr"/>
      <c r="N180" t="inlineStr"/>
      <c r="O180">
        <f>(1-Summary!$B$11)*S180+Summary!$B$11*U180</f>
        <v/>
      </c>
      <c r="P180">
        <f>IF(B199=0,0,O180/B199)</f>
        <v/>
      </c>
      <c r="Q180">
        <f>IFERROR(1/(IF(Inputs!$B$38="pvp",15,MAX(0.1,Skills!E22-IF(Skills!F22=TRUE,Inputs!$B$32,0)))*(1-IF(AND(ArtifactsInput!$M$27,Inputs!$B$4="Chapter Hunt"),CHOOSE(ArtifactsInput!$N$27+1,20,24,28,32,36,40),0)/100)),0)</f>
        <v/>
      </c>
      <c r="R180" t="n">
        <v>0</v>
      </c>
      <c r="S180" t="n">
        <v>0</v>
      </c>
      <c r="U180" t="n">
        <v>0</v>
      </c>
    </row>
    <row r="181">
      <c r="A181">
        <f>Skills!A23</f>
        <v/>
      </c>
      <c r="B181">
        <f>Skills!B23</f>
        <v/>
      </c>
      <c r="C181">
        <f>TRUE</f>
        <v/>
      </c>
      <c r="D181">
        <f>IF(Skills!C23=1,60+Inputs!$B$25+Inputs!$B$29,IF(Skills!C23=2,90+Inputs!$B$26+Inputs!$B$29,IF(Skills!C23=3,120+Inputs!$B$27+Inputs!$B$29,MAX(0,(Inputs!$B$3-100)*3)+Inputs!$B$28+Inputs!$B$29)))</f>
        <v/>
      </c>
      <c r="E181">
        <f>INDEX(FactorTable!$B$2:$Y$301, MATCH(ROUND(MIN(300,MAX(1,D181)),0), FactorTable!$A$2:$A$301,0), Skills!M23+1)</f>
        <v/>
      </c>
      <c r="F181">
        <f>IF(Skills!N23=TRUE,(Skills!L23/10)*(E181/1000),Skills!L23/10)+Skills!O23</f>
        <v/>
      </c>
      <c r="G181">
        <f>Calc!G23</f>
        <v/>
      </c>
      <c r="H181">
        <f>Calc!H23</f>
        <v/>
      </c>
      <c r="I181">
        <f>IF(Skills!X23&lt;&gt;"",1+(Skills!X23/10)*(Z161/1000)/100,1)</f>
        <v/>
      </c>
      <c r="J181" t="inlineStr"/>
      <c r="K181" t="inlineStr"/>
      <c r="L181" t="inlineStr"/>
      <c r="M181" t="inlineStr"/>
      <c r="N181" t="inlineStr"/>
      <c r="O181">
        <f>(1-Summary!$B$11)*S181+Summary!$B$11*U181</f>
        <v/>
      </c>
      <c r="P181">
        <f>IF(B199=0,0,O181/B199)</f>
        <v/>
      </c>
      <c r="Q181">
        <f>IFERROR(1/(IF(Inputs!$B$38="pvp",15,MAX(0.1,Skills!E23-IF(Skills!F23=TRUE,Inputs!$B$32,0)))*(1-IF(AND(ArtifactsInput!$M$27,Inputs!$B$4="Chapter Hunt"),CHOOSE(ArtifactsInput!$N$27+1,20,24,28,32,36,40),0)/100)),0)</f>
        <v/>
      </c>
      <c r="R181" t="n">
        <v>0</v>
      </c>
      <c r="S181" t="n">
        <v>0</v>
      </c>
      <c r="U181" t="n">
        <v>0</v>
      </c>
    </row>
    <row r="182">
      <c r="A182">
        <f>Skills!A24</f>
        <v/>
      </c>
      <c r="B182">
        <f>Skills!B24</f>
        <v/>
      </c>
      <c r="C182">
        <f>Inputs!$B$3&gt;=115</f>
        <v/>
      </c>
      <c r="D182">
        <f>IF(Skills!C24=1,60+Inputs!$B$25+Inputs!$B$29,IF(Skills!C24=2,90+Inputs!$B$26+Inputs!$B$29,IF(Skills!C24=3,120+Inputs!$B$27+Inputs!$B$29,MAX(0,(Inputs!$B$3-100)*3)+Inputs!$B$28+Inputs!$B$29)))</f>
        <v/>
      </c>
      <c r="E182">
        <f>INDEX(FactorTable!$B$2:$Y$301, MATCH(ROUND(MIN(300,MAX(1,D182)),0), FactorTable!$A$2:$A$301,0), Skills!M24+1)</f>
        <v/>
      </c>
      <c r="F182">
        <f>IF(Skills!N24=TRUE,(Skills!L24/10)*(E182/1000),Skills!L24/10)+Skills!O24</f>
        <v/>
      </c>
      <c r="G182">
        <f>Calc!G24</f>
        <v/>
      </c>
      <c r="H182">
        <f>Calc!H24</f>
        <v/>
      </c>
      <c r="I182">
        <f>IF(Skills!X24&lt;&gt;"",1+(Skills!X24/10)*(Z161/1000)/100,1)</f>
        <v/>
      </c>
      <c r="J182">
        <f>((Inputs!$B$6*(1+Inputs!$B$7/100))+(((Inputs!$B$12*(1+Inputs!$B$13/100))-(Inputs!$B$12*(1+Inputs!$B$13/100)))+0.25*(Inputs!$B$14-Inputs!$B$14))*(1+Inputs!$B$7/100))*(F182/100)</f>
        <v/>
      </c>
      <c r="K182">
        <f>J182*(1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f>
        <v/>
      </c>
      <c r="L182">
        <f>K182*(MIN(Inputs!$B$22+(F180-Calc!F22),(Inputs!$B$23+(IF(ArtifactsInput!$M$15,CHOOSE(ArtifactsInput!$N$15+1,25,30,35,40,45,50)/100*(Inputs!$B$11-Inputs!$B$11),0))))/100+(Inputs!$B$23+(IF(ArtifactsInput!$M$15,CHOOSE(ArtifactsInput!$N$15+1,25,30,35,40,45,50)/100*(Inputs!$B$11-Inputs!$B$11),0)))/100)/2</f>
        <v/>
      </c>
      <c r="M182">
        <f>L182*(1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
        <f>L182*(1-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
        <f>(1-Summary!$B$11)*S182+Summary!$B$11*U182</f>
        <v/>
      </c>
      <c r="P182">
        <f>IF(B199=0,0,O182/B199)</f>
        <v/>
      </c>
      <c r="Q182">
        <f>IFERROR(1/(IF(Inputs!$B$38="pvp",15,MAX(0.1,Skills!E24-IF(Skills!F24=TRUE,Inputs!$B$32,0)))*(1-IF(AND(ArtifactsInput!$M$27,Inputs!$B$4="Chapter Hunt"),CHOOSE(ArtifactsInput!$N$27+1,20,24,28,32,36,40),0)/100)),0)</f>
        <v/>
      </c>
      <c r="R182">
        <f>IF(AND(Inputs!$B$38&lt;&gt;"pvp",Inputs!$B$43&gt;0),IF(MAX(0,Inputs!$B$43-B196)&lt;=0,0,(INT(MAX(0,Inputs!$B$43-B196)/(IF(Inputs!$B$38="pvp",15,MAX(0.1,Skills!E24-IF(Skills!F24=TRUE,Inputs!$B$32,0)))*(1-IF(AND(ArtifactsInput!$M$27,Inputs!$B$4="Chapter Hunt"),CHOOSE(ArtifactsInput!$N$27+1,20,24,28,32,36,40),0)/100)))+1)),0)</f>
        <v/>
      </c>
      <c r="S182">
        <f>IF(C182,(H182*N182*IF(AND(Inputs!$B$38&lt;&gt;"pvp",Inputs!$B$43&gt;0),((Skills!G24*((R182-1)*IF(Skills!H24&gt;0,Skills!I24/Skills!H24,1)+IF(Skills!H24&gt;0,MIN(Skills!I24,MAX(0,MAX(0,Inputs!$B$43-B196)-((R182-1)*(IF(Inputs!$B$38="pvp",15,MAX(0.1,Skills!E24-IF(Skills!F24=TRUE,Inputs!$B$32,0)))*(1-IF(AND(ArtifactsInput!$M$27,Inputs!$B$4="Chapter Hunt"),CHOOSE(ArtifactsInput!$N$27+1,20,24,28,32,36,40),0)/100)))))/Skills!H24,1)))/Inputs!$B$43),G182*Q182)*(1+IF(Inputs!$B$3&gt;=130,0.2*(Skills!I16/Skills!E15+IF(Inputs!$B$3&gt;=126,0.05*(B194+Q171+(H172*B195)/(1+Skills!H14*H172*B195)+Q182)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182*(1-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2">
        <f>IF(C182,(H182*N182*IF(AND(Inputs!$B$38&lt;&gt;"pvp",Inputs!$B$43&gt;0),((Skills!G24*((R182-1)*IF(Skills!H24&gt;0,Skills!I24/Skills!H24,1)+IF(Skills!H24&gt;0,MIN(Skills!I24,MAX(0,MAX(0,Inputs!$B$43-B196)-((R182-1)*(IF(Inputs!$B$38="pvp",15,MAX(0.1,Skills!E24-IF(Skills!F24=TRUE,Inputs!$B$32,0)))*(1-IF(AND(ArtifactsInput!$M$27,Inputs!$B$4="Chapter Hunt"),CHOOSE(ArtifactsInput!$N$27+1,20,24,28,32,36,40),0)/100)))))/Skills!H24,1)))/Inputs!$B$43),G182*Q182)*(1+IF(Inputs!$B$3&gt;=130,0.2*(Skills!I16/Skills!E15+IF(Inputs!$B$3&gt;=126,0.05*(B194+Q171+(H172*B195)/(1+Skills!H14*H172*B195)+Q182)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
      <c r="A183">
        <f>Skills!A25</f>
        <v/>
      </c>
      <c r="B183">
        <f>Skills!B25</f>
        <v/>
      </c>
      <c r="C183">
        <f>Inputs!$B$3&gt;=117</f>
        <v/>
      </c>
      <c r="D183">
        <f>IF(Skills!C25=1,60+Inputs!$B$25+Inputs!$B$29,IF(Skills!C25=2,90+Inputs!$B$26+Inputs!$B$29,IF(Skills!C25=3,120+Inputs!$B$27+Inputs!$B$29,MAX(0,(Inputs!$B$3-100)*3)+Inputs!$B$28+Inputs!$B$29)))</f>
        <v/>
      </c>
      <c r="E183">
        <f>INDEX(FactorTable!$B$2:$Y$301, MATCH(ROUND(MIN(300,MAX(1,D183)),0), FactorTable!$A$2:$A$301,0), Skills!M25+1)</f>
        <v/>
      </c>
      <c r="F183">
        <f>IF(Skills!N25=TRUE,(Skills!L25/10)*(E183/1000),Skills!L25/10)+Skills!O25</f>
        <v/>
      </c>
      <c r="G183">
        <f>Calc!G25</f>
        <v/>
      </c>
      <c r="H183">
        <f>Calc!H25</f>
        <v/>
      </c>
      <c r="I183">
        <f>IF(Skills!X25&lt;&gt;"",1+(Skills!X25/10)*(Z161/1000)/100,1)</f>
        <v/>
      </c>
      <c r="J183" t="inlineStr"/>
      <c r="K183" t="inlineStr"/>
      <c r="L183" t="inlineStr"/>
      <c r="M183" t="inlineStr"/>
      <c r="N183" t="inlineStr"/>
      <c r="O183">
        <f>(1-Summary!$B$11)*S183+Summary!$B$11*U183</f>
        <v/>
      </c>
      <c r="P183">
        <f>IF(B199=0,0,O183/B199)</f>
        <v/>
      </c>
      <c r="Q183">
        <f>IFERROR(1/(IF(Inputs!$B$38="pvp",15,MAX(0.1,Skills!E25-IF(Skills!F25=TRUE,Inputs!$B$32,0)))*(1-IF(AND(ArtifactsInput!$M$27,Inputs!$B$4="Chapter Hunt"),CHOOSE(ArtifactsInput!$N$27+1,20,24,28,32,36,40),0)/100)),0)</f>
        <v/>
      </c>
      <c r="R183" t="n">
        <v>0</v>
      </c>
      <c r="S183" t="n">
        <v>0</v>
      </c>
      <c r="U183" t="n">
        <v>0</v>
      </c>
    </row>
    <row r="184">
      <c r="A184">
        <f>Skills!A26</f>
        <v/>
      </c>
      <c r="B184">
        <f>Skills!B26</f>
        <v/>
      </c>
      <c r="C184">
        <f>Inputs!$B$3&gt;=120</f>
        <v/>
      </c>
      <c r="D184">
        <f>IF(Skills!C26=1,60+Inputs!$B$25+Inputs!$B$29,IF(Skills!C26=2,90+Inputs!$B$26+Inputs!$B$29,IF(Skills!C26=3,120+Inputs!$B$27+Inputs!$B$29,MAX(0,(Inputs!$B$3-100)*3)+Inputs!$B$28+Inputs!$B$29)))</f>
        <v/>
      </c>
      <c r="E184">
        <f>INDEX(FactorTable!$B$2:$Y$301, MATCH(ROUND(MIN(300,MAX(1,D184)),0), FactorTable!$A$2:$A$301,0), Skills!M26+1)</f>
        <v/>
      </c>
      <c r="F184">
        <f>IF(Skills!N26=TRUE,(Skills!L26/10)*(E184/1000),Skills!L26/10)+Skills!O26</f>
        <v/>
      </c>
      <c r="G184">
        <f>Calc!G26</f>
        <v/>
      </c>
      <c r="H184">
        <f>Calc!H26</f>
        <v/>
      </c>
      <c r="I184">
        <f>IF(Skills!X26&lt;&gt;"",1+(Skills!X26/10)*(Z161/1000)/100,1)</f>
        <v/>
      </c>
      <c r="J184" t="inlineStr"/>
      <c r="K184" t="inlineStr"/>
      <c r="L184" t="inlineStr"/>
      <c r="M184" t="inlineStr"/>
      <c r="N184" t="inlineStr"/>
      <c r="O184">
        <f>(1-Summary!$B$11)*S184+Summary!$B$11*U184</f>
        <v/>
      </c>
      <c r="P184">
        <f>IF(B199=0,0,O184/B199)</f>
        <v/>
      </c>
      <c r="Q184">
        <f>IFERROR(1/(IF(Inputs!$B$38="pvp",15,MAX(0.1,Skills!E26-IF(Skills!F26=TRUE,Inputs!$B$32,0)))*(1-IF(AND(ArtifactsInput!$M$27,Inputs!$B$4="Chapter Hunt"),CHOOSE(ArtifactsInput!$N$27+1,20,24,28,32,36,40),0)/100)),0)</f>
        <v/>
      </c>
      <c r="R184" t="n">
        <v>0</v>
      </c>
      <c r="S184" t="n">
        <v>0</v>
      </c>
      <c r="U184" t="n">
        <v>0</v>
      </c>
    </row>
    <row r="185">
      <c r="A185">
        <f>Skills!A27</f>
        <v/>
      </c>
      <c r="B185">
        <f>Skills!B27</f>
        <v/>
      </c>
      <c r="C185">
        <f>Inputs!$B$3&gt;=125</f>
        <v/>
      </c>
      <c r="D185">
        <f>IF(Skills!C27=1,60+Inputs!$B$25+Inputs!$B$29,IF(Skills!C27=2,90+Inputs!$B$26+Inputs!$B$29,IF(Skills!C27=3,120+Inputs!$B$27+Inputs!$B$29,MAX(0,(Inputs!$B$3-100)*3)+Inputs!$B$28+Inputs!$B$29)))</f>
        <v/>
      </c>
      <c r="E185">
        <f>INDEX(FactorTable!$B$2:$Y$301, MATCH(ROUND(MIN(300,MAX(1,D185)),0), FactorTable!$A$2:$A$301,0), Skills!M27+1)</f>
        <v/>
      </c>
      <c r="F185">
        <f>IF(Skills!N27=TRUE,(Skills!L27/10)*(E185/1000),Skills!L27/10)+Skills!O27</f>
        <v/>
      </c>
      <c r="G185">
        <f>Calc!G27</f>
        <v/>
      </c>
      <c r="H185">
        <f>Calc!H27</f>
        <v/>
      </c>
      <c r="I185">
        <f>IF(Skills!X27&lt;&gt;"",1+(Skills!X27/10)*(Z161/1000)/100,1)</f>
        <v/>
      </c>
      <c r="J185" t="inlineStr"/>
      <c r="K185" t="inlineStr"/>
      <c r="L185" t="inlineStr"/>
      <c r="M185" t="inlineStr"/>
      <c r="N185" t="inlineStr"/>
      <c r="O185">
        <f>(1-Summary!$B$11)*S185+Summary!$B$11*U185</f>
        <v/>
      </c>
      <c r="P185">
        <f>IF(B199=0,0,O185/B199)</f>
        <v/>
      </c>
      <c r="Q185">
        <f>IFERROR(1/(IF(Inputs!$B$38="pvp",15,MAX(0.1,Skills!E27-IF(Skills!F27=TRUE,Inputs!$B$32,0)))*(1-IF(AND(ArtifactsInput!$M$27,Inputs!$B$4="Chapter Hunt"),CHOOSE(ArtifactsInput!$N$27+1,20,24,28,32,36,40),0)/100)),0)</f>
        <v/>
      </c>
      <c r="R185" t="n">
        <v>0</v>
      </c>
      <c r="S185" t="n">
        <v>0</v>
      </c>
      <c r="U185" t="n">
        <v>0</v>
      </c>
    </row>
    <row r="186">
      <c r="A186">
        <f>Skills!A28</f>
        <v/>
      </c>
      <c r="B186">
        <f>Skills!B28</f>
        <v/>
      </c>
      <c r="C186">
        <f>Inputs!$B$3&gt;=118</f>
        <v/>
      </c>
      <c r="D186">
        <f>IF(Skills!C28=1,60+Inputs!$B$25+Inputs!$B$29,IF(Skills!C28=2,90+Inputs!$B$26+Inputs!$B$29,IF(Skills!C28=3,120+Inputs!$B$27+Inputs!$B$29,MAX(0,(Inputs!$B$3-100)*3)+Inputs!$B$28+Inputs!$B$29)))</f>
        <v/>
      </c>
      <c r="E186">
        <f>INDEX(FactorTable!$B$2:$Y$301, MATCH(ROUND(MIN(300,MAX(1,D186)),0), FactorTable!$A$2:$A$301,0), Skills!M28+1)</f>
        <v/>
      </c>
      <c r="F186">
        <f>IF(Skills!N28=TRUE,(Skills!L28/10)*(E186/1000),Skills!L28/10)+Skills!O28</f>
        <v/>
      </c>
      <c r="G186">
        <f>Calc!G28</f>
        <v/>
      </c>
      <c r="H186">
        <f>Calc!H28</f>
        <v/>
      </c>
      <c r="I186">
        <f>IF(Skills!X28&lt;&gt;"",1+(Skills!X28/10)*(Z161/1000)/100,1)</f>
        <v/>
      </c>
      <c r="J186">
        <f>((Inputs!$B$6*(1+Inputs!$B$7/100))+(((Inputs!$B$12*(1+Inputs!$B$13/100))-(Inputs!$B$12*(1+Inputs!$B$13/100)))+0.25*(Inputs!$B$14-Inputs!$B$14))*(1+Inputs!$B$7/100))*(F186/100)</f>
        <v/>
      </c>
      <c r="K186">
        <f>J186*(1+((Inputs!$B$12*(1+Inputs!$B$13/100))*0.01+Inputs!$B$14*0.0025)/100)*(1+(Inputs!$B$15+1)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181/100)*(1+IF(Inputs!$B$3&gt;=120,F184,0)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5,0)))/100)*(B188*B189*B190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186)</f>
        <v/>
      </c>
      <c r="L186">
        <f>K186*(MIN(Inputs!$B$22+(F180-Calc!F22),(Inputs!$B$23+(IF(ArtifactsInput!$M$15,CHOOSE(ArtifactsInput!$N$15+1,25,30,35,40,45,50)/100*(Inputs!$B$11-Inputs!$B$11),0))))/100+(Inputs!$B$23+(IF(ArtifactsInput!$M$15,CHOOSE(ArtifactsInput!$N$15+1,25,30,35,40,45,50)/100*(Inputs!$B$11-Inputs!$B$11),0)))/100)/2</f>
        <v/>
      </c>
      <c r="M186">
        <f>L186*(1+(Inputs!$B$10+(F179-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6">
        <f>L186*(1-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186*(MIN((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6">
        <f>(1-Summary!$B$11)*S186+Summary!$B$11*U186</f>
        <v/>
      </c>
      <c r="P186">
        <f>IF(B199=0,0,O186/B199)</f>
        <v/>
      </c>
      <c r="Q186">
        <f>IFERROR(1/(IF(Inputs!$B$38="pvp",15,MAX(0.1,Skills!E28-IF(Skills!F28=TRUE,Inputs!$B$32,0)))*(1-IF(AND(ArtifactsInput!$M$27,Inputs!$B$4="Chapter Hunt"),CHOOSE(ArtifactsInput!$N$27+1,20,24,28,32,36,40),0)/100)),0)</f>
        <v/>
      </c>
      <c r="R186">
        <f>IF(AND(Inputs!$B$38&lt;&gt;"pvp",Inputs!$B$43&gt;0),IF(MAX(0,Inputs!$B$43-B196)&lt;=0,0,(INT(MAX(0,Inputs!$B$43-B196)/(IF(Inputs!$B$38="pvp",15,MAX(0.1,Skills!E28-IF(Skills!F28=TRUE,Inputs!$B$32,0)))*(1-IF(AND(ArtifactsInput!$M$27,Inputs!$B$4="Chapter Hunt"),CHOOSE(ArtifactsInput!$N$27+1,20,24,28,32,36,40),0)/100)))+1)),0)</f>
        <v/>
      </c>
      <c r="S186">
        <f>IF(C186,(H186*N186*IF(AND(Inputs!$B$38&lt;&gt;"pvp",Inputs!$B$43&gt;0),((Skills!G28*((R186-1)*IF(Skills!H28&gt;0,Skills!I28/Skills!H28,1)+IF(Skills!H28&gt;0,MIN(Skills!I28,MAX(0,MAX(0,Inputs!$B$43-B196)-((R186-1)*(IF(Inputs!$B$38="pvp",15,MAX(0.1,Skills!E28-IF(Skills!F28=TRUE,Inputs!$B$32,0)))*(1-IF(AND(ArtifactsInput!$M$27,Inputs!$B$4="Chapter Hunt"),CHOOSE(ArtifactsInput!$N$27+1,20,24,28,32,36,40),0)/100)))))/Skills!H28,1)))/Inputs!$B$43),G186*Q186)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186*(1-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186*(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186*(1-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186*(MIN(100,(Inputs!$B$9+(F178-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6">
        <f>IF(C186,(H186*N186*IF(AND(Inputs!$B$38&lt;&gt;"pvp",Inputs!$B$43&gt;0),((Skills!G28*((R186-1)*IF(Skills!H28&gt;0,Skills!I28/Skills!H28,1)+IF(Skills!H28&gt;0,MIN(Skills!I28,MAX(0,MAX(0,Inputs!$B$43-B196)-((R186-1)*(IF(Inputs!$B$38="pvp",15,MAX(0.1,Skills!E28-IF(Skills!F28=TRUE,Inputs!$B$32,0)))*(1-IF(AND(ArtifactsInput!$M$27,Inputs!$B$4="Chapter Hunt"),CHOOSE(ArtifactsInput!$N$27+1,20,24,28,32,36,40),0)/100)))))/Skills!H28,1)))/Inputs!$B$43),G186*Q186)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
      <c r="A188" t="inlineStr">
        <is>
          <t>Burning Magic Multiplier</t>
        </is>
      </c>
      <c r="B188">
        <f>1+(F169*Skills!Z11)/100</f>
        <v/>
      </c>
    </row>
    <row r="189">
      <c r="A189" t="inlineStr">
        <is>
          <t>Elemental Decrease Multiplier (always-on)</t>
        </is>
      </c>
      <c r="B189">
        <f>1+(F170+(IF(AND(ArtifactsInput!$M$35,Inputs!$B$4&lt;&gt;"Chapter Hunt"),CHOOSE(ArtifactsInput!$N$35+1,15,18,21,24,27,30)*(1-EXP(-(0.2*B192)*5)),0)+IF(AND(ArtifactsInput!$M$22,Inputs!$B$4&lt;&gt;"Chapter Hunt"),CHOOSE(ArtifactsInput!$N$22+1,10,12,14,16,18,20)*((0*(((0.15*B192*5))^0/1)+1*(((0.15*B192*5))^1/1)+2*(((0.15*B192*5))^2/2)+3*(((0.15*B192*5))^3/6)+4*(((0.15*B192*5))^4/24)+5*(((0.15*B192*5))^5/120))/((((0.15*B192*5))^0/1)+(((0.15*B192*5))^1/1)+(((0.15*B192*5))^2/2)+(((0.15*B192*5))^3/6)+(((0.15*B192*5))^4/24)+(((0.15*B192*5))^5/120))),0)))/100</f>
        <v/>
      </c>
    </row>
    <row r="190">
      <c r="A190" t="inlineStr">
        <is>
          <t>Average Buff Multiplier (Magic Guard + Meditation + Artifact Attack%, summed; then Infinity)</t>
        </is>
      </c>
      <c r="B190">
        <f>(1+(F164*IF(AND(Inputs!$B$38&lt;&gt;"pvp",Inputs!$B$43&gt;0),(((R164-1)*(Skills!T6*(1+((Inputs!$B$34+(ArtifactsInput!$M$7-ArtifactsInput!$M$7)*CHOOSE(ArtifactsInput!$N$7+1,6,7.2,8.4,9.6,10.8,12)))/100))+MIN((Skills!T6*(1+((Inputs!$B$34+(ArtifactsInput!$M$7-ArtifactsInput!$M$7)*CHOOSE(ArtifactsInput!$N$7+1,6,7.2,8.4,9.6,10.8,12)))/100)),MAX(0,Inputs!$B$43-((R164-1)*Skills!E6))))/Inputs!$B$43),IF(Inputs!$B$38="pvp",MIN((Skills!T6*(1+((Inputs!$B$34+(ArtifactsInput!$M$7-ArtifactsInput!$M$7)*CHOOSE(ArtifactsInput!$N$7+1,6,7.2,8.4,9.6,10.8,12)))/100)),15)/15,(Skills!T6*(1+((Inputs!$B$34+(ArtifactsInput!$M$7-ArtifactsInput!$M$7)*CHOOSE(ArtifactsInput!$N$7+1,6,7.2,8.4,9.6,10.8,12)))/100))/Skills!E6))+F175*IF(AND(Inputs!$B$38&lt;&gt;"pvp",Inputs!$B$43&gt;0),(((R175-1)*(Skills!T17*(1+((Inputs!$B$34+(ArtifactsInput!$M$7-ArtifactsInput!$M$7)*CHOOSE(ArtifactsInput!$N$7+1,6,7.2,8.4,9.6,10.8,12)))/100))+MIN((Skills!T17*(1+((Inputs!$B$34+(ArtifactsInput!$M$7-ArtifactsInput!$M$7)*CHOOSE(ArtifactsInput!$N$7+1,6,7.2,8.4,9.6,10.8,12)))/100)),MAX(0,Inputs!$B$43-((R175-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177=TRUE,(1+F177*IF(AND(Inputs!$B$38&lt;&gt;"pvp",Inputs!$B$43&gt;0),(((R177-1)*(Skills!T19*(1+((Inputs!$B$34+(ArtifactsInput!$M$7-ArtifactsInput!$M$7)*CHOOSE(ArtifactsInput!$N$7+1,6,7.2,8.4,9.6,10.8,12)))/100))+MIN((Skills!T19*(1+((Inputs!$B$34+(ArtifactsInput!$M$7-ArtifactsInput!$M$7)*CHOOSE(ArtifactsInput!$N$7+1,6,7.2,8.4,9.6,10.8,12)))/100)),MAX(0,Inputs!$B$43-((R177-1)*Skills!E19))))/Inputs!$B$43),IF(Inputs!$B$38="pvp",MIN((Skills!T19*(1+((Inputs!$B$34+(ArtifactsInput!$M$7-ArtifactsInput!$M$7)*CHOOSE(ArtifactsInput!$N$7+1,6,7.2,8.4,9.6,10.8,12)))/100)),15)/15,(Skills!T19*(1+((Inputs!$B$34+(ArtifactsInput!$M$7-ArtifactsInput!$M$7)*CHOOSE(ArtifactsInput!$N$7+1,6,7.2,8.4,9.6,10.8,12)))/100))/Skills!E19))/100),1)</f>
        <v/>
      </c>
    </row>
    <row r="191">
      <c r="A191" t="inlineStr">
        <is>
          <t>Attack Speed Buff Bonus % (Nimble Feet, averaged)</t>
        </is>
      </c>
      <c r="B191">
        <f>F176*IF(AND(Inputs!$B$38&lt;&gt;"pvp",Inputs!$B$43&gt;0),(((R176-1)*(Skills!T18*(1+((Inputs!$B$34+(ArtifactsInput!$M$7-ArtifactsInput!$M$7)*CHOOSE(ArtifactsInput!$N$7+1,6,7.2,8.4,9.6,10.8,12)))/100))+MIN((Skills!T18*(1+((Inputs!$B$34+(ArtifactsInput!$M$7-ArtifactsInput!$M$7)*CHOOSE(ArtifactsInput!$N$7+1,6,7.2,8.4,9.6,10.8,12)))/100)),MAX(0,Inputs!$B$43-((R176-1)*Skills!E18))))/Inputs!$B$43),IF(Inputs!$B$38="pvp",MIN((Skills!T18*(1+((Inputs!$B$34+(ArtifactsInput!$M$7-ArtifactsInput!$M$7)*CHOOSE(ArtifactsInput!$N$7+1,6,7.2,8.4,9.6,10.8,12)))/100)),15)/15,(Skills!T18*(1+((Inputs!$B$34+(ArtifactsInput!$M$7-ArtifactsInput!$M$7)*CHOOSE(ArtifactsInput!$N$7+1,6,7.2,8.4,9.6,10.8,12)))/100))/Skills!E18))</f>
        <v/>
      </c>
    </row>
    <row r="192">
      <c r="A192" t="inlineStr">
        <is>
          <t>Actions Per Second</t>
        </is>
      </c>
      <c r="B192">
        <f>1+MIN(150,150*(1-(1-(Inputs!$B$11+(ArtifactsInput!$M$15-ArtifactsInput!$M$15)*CHOOSE(ArtifactsInput!$N$15+1,8,9.6,11.2,12.8,14.4,16))/150)*(1-B191/150)))/100</f>
        <v/>
      </c>
    </row>
    <row r="193">
      <c r="A193" t="inlineStr">
        <is>
          <t>Skill + Buff Cast Rate</t>
        </is>
      </c>
      <c r="B193">
        <f>IF(AND(Inputs!$B$38&lt;&gt;"pvp",Inputs!$B$43&gt;0),SUMPRODUCT((Skills!F2:F28=TRUE)*(C160:C186=TRUE)*R160:R186)/Inputs!$B$43,SUMPRODUCT((Skills!F2:F28=TRUE)*(C160:C186=TRUE)*Q160:Q186))</f>
        <v/>
      </c>
    </row>
    <row r="194">
      <c r="A194" t="inlineStr">
        <is>
          <t>Basic Attacks Per Second</t>
        </is>
      </c>
      <c r="B194">
        <f>MAX(0,B192-B193)</f>
        <v/>
      </c>
    </row>
    <row r="195">
      <c r="A195" t="inlineStr">
        <is>
          <t>Meteor Proc — combined trigger cast rate</t>
        </is>
      </c>
      <c r="B195">
        <f>IF(AND(Inputs!$B$38&lt;&gt;"pvp",Inputs!$B$43&gt;0),SUMPRODUCT((Skills!V2:V28=TRUE)*(C160:C186=TRUE)*R160:R186*Skills!W2:W28)/Inputs!$B$43,SUMPRODUCT((Skills!V2:V28=TRUE)*(C160:C186=TRUE)*Q160:Q186*Skills!W2:W28))+B194</f>
        <v/>
      </c>
    </row>
    <row r="196">
      <c r="A196" t="inlineStr">
        <is>
          <t>Buff-Casting Startup Delay (s, fixed-duration only)</t>
        </is>
      </c>
      <c r="B196">
        <f>IF(AND(Inputs!$B$38&lt;&gt;"pvp",Inputs!$B$43&gt;0),SUMPRODUCT((Skills!T2:T28&gt;0)*(Skills!F2:F28=TRUE)*(C160:C186=TRUE))/B192,0)</f>
        <v/>
      </c>
    </row>
    <row r="197">
      <c r="A197" t="inlineStr">
        <is>
          <t>Boss-Only Total DPS (this block's swept value)</t>
        </is>
      </c>
      <c r="B197">
        <f>SUM(S160:S186)</f>
        <v/>
      </c>
    </row>
    <row r="198">
      <c r="A198" t="inlineStr">
        <is>
          <t>Normal-Only Total DPS (this block's swept value)</t>
        </is>
      </c>
      <c r="B198">
        <f>SUM(U160:U186)</f>
        <v/>
      </c>
    </row>
    <row r="199">
      <c r="A199" s="6" t="inlineStr">
        <is>
          <t>TOTAL DPS</t>
        </is>
      </c>
      <c r="B199" s="6">
        <f>SUM(O160:O186)</f>
        <v/>
      </c>
    </row>
    <row r="202">
      <c r="A202" s="6" t="inlineStr">
        <is>
          <t>Stat: DAMAGE_AMP %</t>
        </is>
      </c>
    </row>
    <row r="203">
      <c r="A203" s="5" t="inlineStr">
        <is>
          <t>Key</t>
        </is>
      </c>
      <c r="B203" s="5" t="inlineStr">
        <is>
          <t>Name</t>
        </is>
      </c>
      <c r="C203" s="5" t="inlineStr">
        <is>
          <t>Unlocked</t>
        </is>
      </c>
      <c r="D203" s="5" t="inlineStr">
        <is>
          <t>InputLevel</t>
        </is>
      </c>
      <c r="E203" s="5" t="inlineStr">
        <is>
          <t>Factor</t>
        </is>
      </c>
      <c r="F203" s="5" t="inlineStr">
        <is>
          <t>CoefficientPercent</t>
        </is>
      </c>
      <c r="G203" s="5" t="inlineStr">
        <is>
          <t>EffectiveHits</t>
        </is>
      </c>
      <c r="H203" s="5" t="inlineStr">
        <is>
          <t>ProcProbability</t>
        </is>
      </c>
      <c r="I203" s="5" t="inlineStr">
        <is>
          <t>MapleHeroMultiplier</t>
        </is>
      </c>
      <c r="J203" s="5" t="inlineStr">
        <is>
          <t>BaseDamage</t>
        </is>
      </c>
      <c r="K203" s="5" t="inlineStr">
        <is>
          <t>BaseHitDamage</t>
        </is>
      </c>
      <c r="L203" s="5" t="inlineStr">
        <is>
          <t>NonCritAvg</t>
        </is>
      </c>
      <c r="M203" s="5" t="inlineStr">
        <is>
          <t>CritAvg</t>
        </is>
      </c>
      <c r="N203" s="5" t="inlineStr">
        <is>
          <t>ExpectedDamage(perHit)</t>
        </is>
      </c>
      <c r="O203" s="5" t="inlineStr">
        <is>
          <t>DPS</t>
        </is>
      </c>
      <c r="P203" s="5" t="inlineStr">
        <is>
          <t>% of Total</t>
        </is>
      </c>
      <c r="R203" t="inlineStr">
        <is>
          <t>helpers</t>
        </is>
      </c>
    </row>
    <row r="204">
      <c r="A204">
        <f>Skills!A2</f>
        <v/>
      </c>
      <c r="B204">
        <f>Skills!B2</f>
        <v/>
      </c>
      <c r="C204">
        <f>TRUE</f>
        <v/>
      </c>
      <c r="D204" t="inlineStr"/>
      <c r="E204" t="inlineStr"/>
      <c r="F204">
        <f>T206+Skills!O2</f>
        <v/>
      </c>
      <c r="G204">
        <f>Calc!G2</f>
        <v/>
      </c>
      <c r="H204">
        <f>Calc!H2</f>
        <v/>
      </c>
      <c r="I204">
        <f>IF(Skills!X2&lt;&gt;"",1+(Skills!X2/10)*(Z205/1000)/100,1)</f>
        <v/>
      </c>
      <c r="J204">
        <f>((Inputs!$B$6*(1+Inputs!$B$7/100))+(((Inputs!$B$12*(1+Inputs!$B$13/100))-(Inputs!$B$12*(1+Inputs!$B$13/100)))+0.25*(Inputs!$B$14-Inputs!$B$14))*(1+Inputs!$B$7/100))*(F204/100)</f>
        <v/>
      </c>
      <c r="K204">
        <f>J204*(1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f>
        <v/>
      </c>
      <c r="L204">
        <f>K204*(MIN(Inputs!$B$22+(F224-Calc!F22),(Inputs!$B$23+(IF(ArtifactsInput!$M$15,CHOOSE(ArtifactsInput!$N$15+1,25,30,35,40,45,50)/100*(Inputs!$B$11-Inputs!$B$11),0))))/100+(Inputs!$B$23+(IF(ArtifactsInput!$M$15,CHOOSE(ArtifactsInput!$N$15+1,25,30,35,40,45,50)/100*(Inputs!$B$11-Inputs!$B$11),0)))/100)/2</f>
        <v/>
      </c>
      <c r="M204">
        <f>L204*(1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
        <f>L204*(1-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
        <f>(1-Summary!$B$11)*S204+Summary!$B$11*U204</f>
        <v/>
      </c>
      <c r="P204">
        <f>IF(B243=0,0,O204/B243)</f>
        <v/>
      </c>
      <c r="Q204">
        <f>IFERROR(1/(IF(Inputs!$B$38="pvp",15,MAX(0.1,Skills!E2-IF(Skills!F2=TRUE,Inputs!$B$32,0)))*(1-IF(AND(ArtifactsInput!$M$27,Inputs!$B$4="Chapter Hunt"),CHOOSE(ArtifactsInput!$N$27+1,20,24,28,32,36,40),0)/100)),0)</f>
        <v/>
      </c>
      <c r="R204" t="n">
        <v>0</v>
      </c>
      <c r="S204">
        <f>(Skills!G2*N204*B238)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04">
        <f>MAX(0,(Inputs!$B$3-100)*3)+Inputs!$B$28+Inputs!$B$29</f>
        <v/>
      </c>
      <c r="U204">
        <f>(Skills!G2*N204*B238)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04">
        <f>MAX(0,(Inputs!$B$3-100)*3)+Inputs!$B$28+Inputs!$B$29</f>
        <v/>
      </c>
    </row>
    <row r="205">
      <c r="A205">
        <f>Skills!A3</f>
        <v/>
      </c>
      <c r="B205">
        <f>Skills!B3</f>
        <v/>
      </c>
      <c r="C205">
        <f>TRUE</f>
        <v/>
      </c>
      <c r="D205">
        <f>IF(Skills!C3=1,60+Inputs!$B$25+Inputs!$B$29,IF(Skills!C3=2,90+Inputs!$B$26+Inputs!$B$29,IF(Skills!C3=3,120+Inputs!$B$27+Inputs!$B$29,MAX(0,(Inputs!$B$3-100)*3)+Inputs!$B$28+Inputs!$B$29)))</f>
        <v/>
      </c>
      <c r="E205">
        <f>INDEX(FactorTable!$B$2:$Y$301, MATCH(ROUND(MIN(300,MAX(1,D205)),0), FactorTable!$A$2:$A$301,0), Skills!M3+1)</f>
        <v/>
      </c>
      <c r="F205">
        <f>IF(Skills!N3=TRUE,(Skills!L3/10)*(E205/1000),Skills!L3/10)+Skills!O3</f>
        <v/>
      </c>
      <c r="G205">
        <f>Calc!G3</f>
        <v/>
      </c>
      <c r="H205">
        <f>Calc!H3</f>
        <v/>
      </c>
      <c r="I205">
        <f>IF(Skills!X3&lt;&gt;"",1+(Skills!X3/10)*(Z205/1000)/100,1)</f>
        <v/>
      </c>
      <c r="J205">
        <f>((Inputs!$B$6*(1+Inputs!$B$7/100))+(((Inputs!$B$12*(1+Inputs!$B$13/100))-(Inputs!$B$12*(1+Inputs!$B$13/100)))+0.25*(Inputs!$B$14-Inputs!$B$14))*(1+Inputs!$B$7/100))*(F205/100)</f>
        <v/>
      </c>
      <c r="K205">
        <f>J205*(1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f>
        <v/>
      </c>
      <c r="L205">
        <f>K205*(MIN(Inputs!$B$22+(F224-Calc!F22),(Inputs!$B$23+(IF(ArtifactsInput!$M$15,CHOOSE(ArtifactsInput!$N$15+1,25,30,35,40,45,50)/100*(Inputs!$B$11-Inputs!$B$11),0))))/100+(Inputs!$B$23+(IF(ArtifactsInput!$M$15,CHOOSE(ArtifactsInput!$N$15+1,25,30,35,40,45,50)/100*(Inputs!$B$11-Inputs!$B$11),0)))/100)/2</f>
        <v/>
      </c>
      <c r="M205">
        <f>L205*(1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
        <f>L205*(1-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
        <f>(1-Summary!$B$11)*S205+Summary!$B$11*U205</f>
        <v/>
      </c>
      <c r="P205">
        <f>IF(B243=0,0,O205/B243)</f>
        <v/>
      </c>
      <c r="Q205">
        <f>IFERROR(1/(IF(Inputs!$B$38="pvp",15,MAX(0.1,Skills!E3-IF(Skills!F3=TRUE,Inputs!$B$32,0)))*(1-IF(AND(ArtifactsInput!$M$27,Inputs!$B$4="Chapter Hunt"),CHOOSE(ArtifactsInput!$N$27+1,20,24,28,32,36,40),0)/100)),0)</f>
        <v/>
      </c>
      <c r="R205">
        <f>IF(AND(Inputs!$B$38&lt;&gt;"pvp",Inputs!$B$43&gt;0),IF(MAX(0,Inputs!$B$43-B240)&lt;=0,0,(INT(MAX(0,Inputs!$B$43-B240)/(IF(Inputs!$B$38="pvp",15,MAX(0.1,Skills!E3-IF(Skills!F3=TRUE,Inputs!$B$32,0)))*(1-IF(AND(ArtifactsInput!$M$27,Inputs!$B$4="Chapter Hunt"),CHOOSE(ArtifactsInput!$N$27+1,20,24,28,32,36,40),0)/100)))+1)),0)</f>
        <v/>
      </c>
      <c r="S205">
        <f>IF(C205,(H205*N205*IF(AND(Inputs!$B$38&lt;&gt;"pvp",Inputs!$B$43&gt;0),((Skills!G3*((R205-1)*IF(Skills!H3&gt;0,Skills!I3/Skills!H3,1)+IF(Skills!H3&gt;0,MIN(Skills!I3,MAX(0,MAX(0,Inputs!$B$43-B240)-((R205-1)*(IF(Inputs!$B$38="pvp",15,MAX(0.1,Skills!E3-IF(Skills!F3=TRUE,Inputs!$B$32,0)))*(1-IF(AND(ArtifactsInput!$M$27,Inputs!$B$4="Chapter Hunt"),CHOOSE(ArtifactsInput!$N$27+1,20,24,28,32,36,40),0)/100)))))/Skills!H3,1)))/Inputs!$B$43),G205*Q205)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5">
        <f>INDEX(FactorTable!$B$2:$Y$301, MATCH(ROUND(MIN(300,MAX(1,T204)),0), FactorTable!$A$2:$A$301,0), 22)</f>
        <v/>
      </c>
      <c r="U205">
        <f>IF(C205,(H205*N205*IF(AND(Inputs!$B$38&lt;&gt;"pvp",Inputs!$B$43&gt;0),((Skills!G3*((R205-1)*IF(Skills!H3&gt;0,Skills!I3/Skills!H3,1)+IF(Skills!H3&gt;0,MIN(Skills!I3,MAX(0,MAX(0,Inputs!$B$43-B240)-((R205-1)*(IF(Inputs!$B$38="pvp",15,MAX(0.1,Skills!E3-IF(Skills!F3=TRUE,Inputs!$B$32,0)))*(1-IF(AND(ArtifactsInput!$M$27,Inputs!$B$4="Chapter Hunt"),CHOOSE(ArtifactsInput!$N$27+1,20,24,28,32,36,40),0)/100)))))/Skills!H3,1)))/Inputs!$B$43),G205*Q205)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05">
        <f>INDEX(FactorTable!$B$2:$Y$301, MATCH(ROUND(MIN(300,MAX(1,Z204)),0), FactorTable!$A$2:$A$301,0), 24)</f>
        <v/>
      </c>
    </row>
    <row r="206">
      <c r="A206">
        <f>Skills!A4</f>
        <v/>
      </c>
      <c r="B206">
        <f>Skills!B4</f>
        <v/>
      </c>
      <c r="C206">
        <f>TRUE</f>
        <v/>
      </c>
      <c r="D206">
        <f>IF(Skills!C4=1,60+Inputs!$B$25+Inputs!$B$29,IF(Skills!C4=2,90+Inputs!$B$26+Inputs!$B$29,IF(Skills!C4=3,120+Inputs!$B$27+Inputs!$B$29,MAX(0,(Inputs!$B$3-100)*3)+Inputs!$B$28+Inputs!$B$29)))</f>
        <v/>
      </c>
      <c r="E206">
        <f>INDEX(FactorTable!$B$2:$Y$301, MATCH(ROUND(MIN(300,MAX(1,D206)),0), FactorTable!$A$2:$A$301,0), Skills!M4+1)</f>
        <v/>
      </c>
      <c r="F206">
        <f>IF(Skills!N4=TRUE,(Skills!L4/10)*(E206/1000),Skills!L4/10)+Skills!O4</f>
        <v/>
      </c>
      <c r="G206">
        <f>Calc!G4</f>
        <v/>
      </c>
      <c r="H206">
        <f>Calc!H4</f>
        <v/>
      </c>
      <c r="I206">
        <f>IF(Skills!X4&lt;&gt;"",1+(Skills!X4/10)*(Z205/1000)/100,1)</f>
        <v/>
      </c>
      <c r="J206">
        <f>((Inputs!$B$6*(1+Inputs!$B$7/100))+(((Inputs!$B$12*(1+Inputs!$B$13/100))-(Inputs!$B$12*(1+Inputs!$B$13/100)))+0.25*(Inputs!$B$14-Inputs!$B$14))*(1+Inputs!$B$7/100))*(F206/100)</f>
        <v/>
      </c>
      <c r="K206">
        <f>J206*(1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f>
        <v/>
      </c>
      <c r="L206">
        <f>K206*(MIN(Inputs!$B$22+(F224-Calc!F22),(Inputs!$B$23+(IF(ArtifactsInput!$M$15,CHOOSE(ArtifactsInput!$N$15+1,25,30,35,40,45,50)/100*(Inputs!$B$11-Inputs!$B$11),0))))/100+(Inputs!$B$23+(IF(ArtifactsInput!$M$15,CHOOSE(ArtifactsInput!$N$15+1,25,30,35,40,45,50)/100*(Inputs!$B$11-Inputs!$B$11),0)))/100)/2</f>
        <v/>
      </c>
      <c r="M206">
        <f>L206*(1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
        <f>L206*(1-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
        <f>(1-Summary!$B$11)*S206+Summary!$B$11*U206</f>
        <v/>
      </c>
      <c r="P206">
        <f>IF(B243=0,0,O206/B243)</f>
        <v/>
      </c>
      <c r="Q206">
        <f>IFERROR(1/(IF(Inputs!$B$38="pvp",15,MAX(0.1,Skills!E4-IF(Skills!F4=TRUE,Inputs!$B$32,0)))*(1-IF(AND(ArtifactsInput!$M$27,Inputs!$B$4="Chapter Hunt"),CHOOSE(ArtifactsInput!$N$27+1,20,24,28,32,36,40),0)/100)),0)</f>
        <v/>
      </c>
      <c r="R206">
        <f>IF(AND(Inputs!$B$38&lt;&gt;"pvp",Inputs!$B$43&gt;0),IF(MAX(0,Inputs!$B$43-B240)&lt;=0,0,(INT(MAX(0,Inputs!$B$43-B240)/(IF(Inputs!$B$38="pvp",15,MAX(0.1,Skills!E4-IF(Skills!F4=TRUE,Inputs!$B$32,0)))*(1-IF(AND(ArtifactsInput!$M$27,Inputs!$B$4="Chapter Hunt"),CHOOSE(ArtifactsInput!$N$27+1,20,24,28,32,36,40),0)/100)))+1)),0)</f>
        <v/>
      </c>
      <c r="S206">
        <f>IF(C206,(H206*N206*IF(AND(Inputs!$B$38&lt;&gt;"pvp",Inputs!$B$43&gt;0),((Skills!G4*((R206-1)*IF(Skills!H4&gt;0,Skills!I4/Skills!H4,1)+IF(Skills!H4&gt;0,MIN(Skills!I4,MAX(0,MAX(0,Inputs!$B$43-B240)-((R206-1)*(IF(Inputs!$B$38="pvp",15,MAX(0.1,Skills!E4-IF(Skills!F4=TRUE,Inputs!$B$32,0)))*(1-IF(AND(ArtifactsInput!$M$27,Inputs!$B$4="Chapter Hunt"),CHOOSE(ArtifactsInput!$N$27+1,20,24,28,32,36,40),0)/100)))))/Skills!H4,1)))/Inputs!$B$43),G206*Q206)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206*(1-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6">
        <f>290*T205/1000</f>
        <v/>
      </c>
      <c r="U206">
        <f>IF(C206,(H206*N206*IF(AND(Inputs!$B$38&lt;&gt;"pvp",Inputs!$B$43&gt;0),((Skills!G4*((R206-1)*IF(Skills!H4&gt;0,Skills!I4/Skills!H4,1)+IF(Skills!H4&gt;0,MIN(Skills!I4,MAX(0,MAX(0,Inputs!$B$43-B240)-((R206-1)*(IF(Inputs!$B$38="pvp",15,MAX(0.1,Skills!E4-IF(Skills!F4=TRUE,Inputs!$B$32,0)))*(1-IF(AND(ArtifactsInput!$M$27,Inputs!$B$4="Chapter Hunt"),CHOOSE(ArtifactsInput!$N$27+1,20,24,28,32,36,40),0)/100)))))/Skills!H4,1)))/Inputs!$B$43),G206*Q206)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
      <c r="A207">
        <f>Skills!A5</f>
        <v/>
      </c>
      <c r="B207">
        <f>Skills!B5</f>
        <v/>
      </c>
      <c r="C207">
        <f>TRUE</f>
        <v/>
      </c>
      <c r="D207">
        <f>IF(Skills!C5=1,60+Inputs!$B$25+Inputs!$B$29,IF(Skills!C5=2,90+Inputs!$B$26+Inputs!$B$29,IF(Skills!C5=3,120+Inputs!$B$27+Inputs!$B$29,MAX(0,(Inputs!$B$3-100)*3)+Inputs!$B$28+Inputs!$B$29)))</f>
        <v/>
      </c>
      <c r="E207">
        <f>INDEX(FactorTable!$B$2:$Y$301, MATCH(ROUND(MIN(300,MAX(1,D207)),0), FactorTable!$A$2:$A$301,0), Skills!M5+1)</f>
        <v/>
      </c>
      <c r="F207">
        <f>IF(Skills!N5=TRUE,(Skills!L5/10)*(E207/1000),Skills!L5/10)+Skills!O5</f>
        <v/>
      </c>
      <c r="G207">
        <f>Calc!G5</f>
        <v/>
      </c>
      <c r="H207">
        <f>Calc!H5</f>
        <v/>
      </c>
      <c r="I207">
        <f>IF(Skills!X5&lt;&gt;"",1+(Skills!X5/10)*(Z205/1000)/100,1)</f>
        <v/>
      </c>
      <c r="J207">
        <f>((Inputs!$B$6*(1+Inputs!$B$7/100))+(((Inputs!$B$12*(1+Inputs!$B$13/100))-(Inputs!$B$12*(1+Inputs!$B$13/100)))+0.25*(Inputs!$B$14-Inputs!$B$14))*(1+Inputs!$B$7/100))*(F207/100)</f>
        <v/>
      </c>
      <c r="K207">
        <f>J207*(1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f>
        <v/>
      </c>
      <c r="L207">
        <f>K207*(MIN(Inputs!$B$22+(F224-Calc!F22),(Inputs!$B$23+(IF(ArtifactsInput!$M$15,CHOOSE(ArtifactsInput!$N$15+1,25,30,35,40,45,50)/100*(Inputs!$B$11-Inputs!$B$11),0))))/100+(Inputs!$B$23+(IF(ArtifactsInput!$M$15,CHOOSE(ArtifactsInput!$N$15+1,25,30,35,40,45,50)/100*(Inputs!$B$11-Inputs!$B$11),0)))/100)/2</f>
        <v/>
      </c>
      <c r="M207">
        <f>L207*(1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7">
        <f>L207*(1-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
        <f>(1-Summary!$B$11)*S207+Summary!$B$11*U207</f>
        <v/>
      </c>
      <c r="P207">
        <f>IF(B243=0,0,O207/B243)</f>
        <v/>
      </c>
      <c r="Q207">
        <f>IFERROR(1/(IF(Inputs!$B$38="pvp",15,MAX(0.1,Skills!E5-IF(Skills!F5=TRUE,Inputs!$B$32,0)))*(1-IF(AND(ArtifactsInput!$M$27,Inputs!$B$4="Chapter Hunt"),CHOOSE(ArtifactsInput!$N$27+1,20,24,28,32,36,40),0)/100)),0)</f>
        <v/>
      </c>
      <c r="R207">
        <f>IF(AND(Inputs!$B$38&lt;&gt;"pvp",Inputs!$B$43&gt;0),IF(MAX(0,Inputs!$B$43-B240)&lt;=0,0,(INT(MAX(0,Inputs!$B$43-B240)/(IF(Inputs!$B$38="pvp",15,MAX(0.1,Skills!E5-IF(Skills!F5=TRUE,Inputs!$B$32,0)))*(1-IF(AND(ArtifactsInput!$M$27,Inputs!$B$4="Chapter Hunt"),CHOOSE(ArtifactsInput!$N$27+1,20,24,28,32,36,40),0)/100)))+1)),0)</f>
        <v/>
      </c>
      <c r="S207">
        <f>IF(C207,(H207*N207*IF(AND(Inputs!$B$38&lt;&gt;"pvp",Inputs!$B$43&gt;0),((Skills!G5*((R207-1)*IF(Skills!H5&gt;0,Skills!I5/Skills!H5,1)+IF(Skills!H5&gt;0,MIN(Skills!I5,MAX(0,MAX(0,Inputs!$B$43-B240)-((R207-1)*(IF(Inputs!$B$38="pvp",15,MAX(0.1,Skills!E5-IF(Skills!F5=TRUE,Inputs!$B$32,0)))*(1-IF(AND(ArtifactsInput!$M$27,Inputs!$B$4="Chapter Hunt"),CHOOSE(ArtifactsInput!$N$27+1,20,24,28,32,36,40),0)/100)))))/Skills!H5,1)))/Inputs!$B$43),G207*Q207)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207*(1-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7">
        <f>IF(C207,(H207*N207*IF(AND(Inputs!$B$38&lt;&gt;"pvp",Inputs!$B$43&gt;0),((Skills!G5*((R207-1)*IF(Skills!H5&gt;0,Skills!I5/Skills!H5,1)+IF(Skills!H5&gt;0,MIN(Skills!I5,MAX(0,MAX(0,Inputs!$B$43-B240)-((R207-1)*(IF(Inputs!$B$38="pvp",15,MAX(0.1,Skills!E5-IF(Skills!F5=TRUE,Inputs!$B$32,0)))*(1-IF(AND(ArtifactsInput!$M$27,Inputs!$B$4="Chapter Hunt"),CHOOSE(ArtifactsInput!$N$27+1,20,24,28,32,36,40),0)/100)))))/Skills!H5,1)))/Inputs!$B$43),G207*Q207)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
      <c r="A208">
        <f>Skills!A6</f>
        <v/>
      </c>
      <c r="B208">
        <f>Skills!B6</f>
        <v/>
      </c>
      <c r="C208">
        <f>TRUE</f>
        <v/>
      </c>
      <c r="D208">
        <f>IF(Skills!C6=1,60+Inputs!$B$25+Inputs!$B$29,IF(Skills!C6=2,90+Inputs!$B$26+Inputs!$B$29,IF(Skills!C6=3,120+Inputs!$B$27+Inputs!$B$29,MAX(0,(Inputs!$B$3-100)*3)+Inputs!$B$28+Inputs!$B$29)))</f>
        <v/>
      </c>
      <c r="E208">
        <f>INDEX(FactorTable!$B$2:$Y$301, MATCH(ROUND(MIN(300,MAX(1,D208)),0), FactorTable!$A$2:$A$301,0), Skills!M6+1)</f>
        <v/>
      </c>
      <c r="F208">
        <f>IF(Skills!N6=TRUE,(Skills!L6/10)*(E208/1000),Skills!L6/10)+Skills!O6</f>
        <v/>
      </c>
      <c r="G208">
        <f>Calc!G6</f>
        <v/>
      </c>
      <c r="H208">
        <f>Calc!H6</f>
        <v/>
      </c>
      <c r="I208">
        <f>IF(Skills!X6&lt;&gt;"",1+(Skills!X6/10)*(Z205/1000)/100,1)</f>
        <v/>
      </c>
      <c r="J208" t="inlineStr"/>
      <c r="K208" t="inlineStr"/>
      <c r="L208" t="inlineStr"/>
      <c r="M208" t="inlineStr"/>
      <c r="N208" t="inlineStr"/>
      <c r="O208">
        <f>(1-Summary!$B$11)*S208+Summary!$B$11*U208</f>
        <v/>
      </c>
      <c r="P208">
        <f>IF(B243=0,0,O208/B243)</f>
        <v/>
      </c>
      <c r="Q208">
        <f>IFERROR(1/(IF(Inputs!$B$38="pvp",15,MAX(0.1,Skills!E6-IF(Skills!F6=TRUE,Inputs!$B$32,0)))*(1-IF(AND(ArtifactsInput!$M$27,Inputs!$B$4="Chapter Hunt"),CHOOSE(ArtifactsInput!$N$27+1,20,24,28,32,36,40),0)/100)),0)</f>
        <v/>
      </c>
      <c r="R208">
        <f>IF(AND(Inputs!$B$38&lt;&gt;"pvp",Inputs!$B$43&gt;0),IF(Inputs!$B$43&lt;=0,0,(INT(Inputs!$B$43/(IF(Inputs!$B$38="pvp",15,MAX(0.1,Skills!E6-IF(Skills!F6=TRUE,Inputs!$B$32,0)))*(1-IF(AND(ArtifactsInput!$M$27,Inputs!$B$4="Chapter Hunt"),CHOOSE(ArtifactsInput!$N$27+1,20,24,28,32,36,40),0)/100)))+1)),0)</f>
        <v/>
      </c>
      <c r="S208" t="n">
        <v>0</v>
      </c>
      <c r="U208" t="n">
        <v>0</v>
      </c>
    </row>
    <row r="209">
      <c r="A209">
        <f>Skills!A7</f>
        <v/>
      </c>
      <c r="B209">
        <f>Skills!B7</f>
        <v/>
      </c>
      <c r="C209">
        <f>TRUE</f>
        <v/>
      </c>
      <c r="D209">
        <f>IF(Skills!C7=1,60+Inputs!$B$25+Inputs!$B$29,IF(Skills!C7=2,90+Inputs!$B$26+Inputs!$B$29,IF(Skills!C7=3,120+Inputs!$B$27+Inputs!$B$29,MAX(0,(Inputs!$B$3-100)*3)+Inputs!$B$28+Inputs!$B$29)))</f>
        <v/>
      </c>
      <c r="E209">
        <f>INDEX(FactorTable!$B$2:$Y$301, MATCH(ROUND(MIN(300,MAX(1,D209)),0), FactorTable!$A$2:$A$301,0), Skills!M7+1)</f>
        <v/>
      </c>
      <c r="F209">
        <f>IF(Skills!N7=TRUE,(Skills!L7/10)*(E209/1000),Skills!L7/10)+Skills!O7</f>
        <v/>
      </c>
      <c r="G209">
        <f>Calc!G7</f>
        <v/>
      </c>
      <c r="H209">
        <f>Calc!H7</f>
        <v/>
      </c>
      <c r="I209">
        <f>IF(Skills!X7&lt;&gt;"",1+(Skills!X7/10)*(Z205/1000)/100,1)</f>
        <v/>
      </c>
      <c r="J209">
        <f>((Inputs!$B$6*(1+Inputs!$B$7/100))+(((Inputs!$B$12*(1+Inputs!$B$13/100))-(Inputs!$B$12*(1+Inputs!$B$13/100)))+0.25*(Inputs!$B$14-Inputs!$B$14))*(1+Inputs!$B$7/100))*(F209/100)</f>
        <v/>
      </c>
      <c r="K209">
        <f>J209*(1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f>
        <v/>
      </c>
      <c r="L209">
        <f>K209*(MIN(Inputs!$B$22+(F224-Calc!F22),(Inputs!$B$23+(IF(ArtifactsInput!$M$15,CHOOSE(ArtifactsInput!$N$15+1,25,30,35,40,45,50)/100*(Inputs!$B$11-Inputs!$B$11),0))))/100+(Inputs!$B$23+(IF(ArtifactsInput!$M$15,CHOOSE(ArtifactsInput!$N$15+1,25,30,35,40,45,50)/100*(Inputs!$B$11-Inputs!$B$11),0)))/100)/2</f>
        <v/>
      </c>
      <c r="M209">
        <f>L209*(1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
        <f>L209*(1-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
        <f>(1-Summary!$B$11)*S209+Summary!$B$11*U209</f>
        <v/>
      </c>
      <c r="P209">
        <f>IF(B243=0,0,O209/B243)</f>
        <v/>
      </c>
      <c r="Q209">
        <f>IFERROR(1/(IF(Inputs!$B$38="pvp",15,MAX(0.1,Skills!E7-IF(Skills!F7=TRUE,Inputs!$B$32,0)))*(1-IF(AND(ArtifactsInput!$M$27,Inputs!$B$4="Chapter Hunt"),CHOOSE(ArtifactsInput!$N$27+1,20,24,28,32,36,40),0)/100)),0)</f>
        <v/>
      </c>
      <c r="R209">
        <f>IF(AND(Inputs!$B$38&lt;&gt;"pvp",Inputs!$B$43&gt;0),IF(MAX(0,Inputs!$B$43-B240)&lt;=0,0,(INT(MAX(0,Inputs!$B$43-B240)/(IF(Inputs!$B$38="pvp",15,MAX(0.1,Skills!E7-IF(Skills!F7=TRUE,Inputs!$B$32,0)))*(1-IF(AND(ArtifactsInput!$M$27,Inputs!$B$4="Chapter Hunt"),CHOOSE(ArtifactsInput!$N$27+1,20,24,28,32,36,40),0)/100)))+1)),0)</f>
        <v/>
      </c>
      <c r="S209">
        <f>IF(C209,(H209*N209*IF(AND(Inputs!$B$38&lt;&gt;"pvp",Inputs!$B$43&gt;0),((Skills!G7*((R209-1)*IF(Skills!H7&gt;0,Skills!I7/Skills!H7,1)+IF(Skills!H7&gt;0,MIN(Skills!I7,MAX(0,MAX(0,Inputs!$B$43-B240)-((R209-1)*(IF(Inputs!$B$38="pvp",15,MAX(0.1,Skills!E7-IF(Skills!F7=TRUE,Inputs!$B$32,0)))*(1-IF(AND(ArtifactsInput!$M$27,Inputs!$B$4="Chapter Hunt"),CHOOSE(ArtifactsInput!$N$27+1,20,24,28,32,36,40),0)/100)))))/Skills!H7,1)))/Inputs!$B$43),G209*Q209)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209*(1-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
        <f>IF(C209,(H209*N209*IF(AND(Inputs!$B$38&lt;&gt;"pvp",Inputs!$B$43&gt;0),((Skills!G7*((R209-1)*IF(Skills!H7&gt;0,Skills!I7/Skills!H7,1)+IF(Skills!H7&gt;0,MIN(Skills!I7,MAX(0,MAX(0,Inputs!$B$43-B240)-((R209-1)*(IF(Inputs!$B$38="pvp",15,MAX(0.1,Skills!E7-IF(Skills!F7=TRUE,Inputs!$B$32,0)))*(1-IF(AND(ArtifactsInput!$M$27,Inputs!$B$4="Chapter Hunt"),CHOOSE(ArtifactsInput!$N$27+1,20,24,28,32,36,40),0)/100)))))/Skills!H7,1)))/Inputs!$B$43),G209*Q209)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
      <c r="A210">
        <f>Skills!A8</f>
        <v/>
      </c>
      <c r="B210">
        <f>Skills!B8</f>
        <v/>
      </c>
      <c r="C210">
        <f>TRUE</f>
        <v/>
      </c>
      <c r="D210">
        <f>IF(Skills!C8=1,60+Inputs!$B$25+Inputs!$B$29,IF(Skills!C8=2,90+Inputs!$B$26+Inputs!$B$29,IF(Skills!C8=3,120+Inputs!$B$27+Inputs!$B$29,MAX(0,(Inputs!$B$3-100)*3)+Inputs!$B$28+Inputs!$B$29)))</f>
        <v/>
      </c>
      <c r="E210">
        <f>INDEX(FactorTable!$B$2:$Y$301, MATCH(ROUND(MIN(300,MAX(1,D210)),0), FactorTable!$A$2:$A$301,0), Skills!M8+1)</f>
        <v/>
      </c>
      <c r="F210">
        <f>IF(Skills!N8=TRUE,(Skills!L8/10)*(E210/1000),Skills!L8/10)+Skills!O8</f>
        <v/>
      </c>
      <c r="G210">
        <f>Calc!G8</f>
        <v/>
      </c>
      <c r="H210">
        <f>Calc!H8</f>
        <v/>
      </c>
      <c r="I210">
        <f>IF(Skills!X8&lt;&gt;"",1+(Skills!X8/10)*(Z205/1000)/100,1)</f>
        <v/>
      </c>
      <c r="J210">
        <f>((Inputs!$B$6*(1+Inputs!$B$7/100))+(((Inputs!$B$12*(1+Inputs!$B$13/100))-(Inputs!$B$12*(1+Inputs!$B$13/100)))+0.25*(Inputs!$B$14-Inputs!$B$14))*(1+Inputs!$B$7/100))*(F210/100)</f>
        <v/>
      </c>
      <c r="K210">
        <f>J210*(1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f>
        <v/>
      </c>
      <c r="L210">
        <f>K210*(MIN(Inputs!$B$22+(F224-Calc!F22),(Inputs!$B$23+(IF(ArtifactsInput!$M$15,CHOOSE(ArtifactsInput!$N$15+1,25,30,35,40,45,50)/100*(Inputs!$B$11-Inputs!$B$11),0))))/100+(Inputs!$B$23+(IF(ArtifactsInput!$M$15,CHOOSE(ArtifactsInput!$N$15+1,25,30,35,40,45,50)/100*(Inputs!$B$11-Inputs!$B$11),0)))/100)/2</f>
        <v/>
      </c>
      <c r="M210">
        <f>L210*(1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
        <f>L210*(1-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
        <f>(1-Summary!$B$11)*S210+Summary!$B$11*U210</f>
        <v/>
      </c>
      <c r="P210">
        <f>IF(B243=0,0,O210/B243)</f>
        <v/>
      </c>
      <c r="Q210">
        <f>IFERROR(1/(IF(Inputs!$B$38="pvp",15,MAX(0.1,Skills!E8-IF(Skills!F8=TRUE,Inputs!$B$32,0)))*(1-IF(AND(ArtifactsInput!$M$27,Inputs!$B$4="Chapter Hunt"),CHOOSE(ArtifactsInput!$N$27+1,20,24,28,32,36,40),0)/100)),0)</f>
        <v/>
      </c>
      <c r="R210">
        <f>IF(AND(Inputs!$B$38&lt;&gt;"pvp",Inputs!$B$43&gt;0),IF(MAX(0,Inputs!$B$43-B240)&lt;=0,0,(INT(MAX(0,Inputs!$B$43-B240)/(IF(Inputs!$B$38="pvp",15,MAX(0.1,Skills!E8-IF(Skills!F8=TRUE,Inputs!$B$32,0)))*(1-IF(AND(ArtifactsInput!$M$27,Inputs!$B$4="Chapter Hunt"),CHOOSE(ArtifactsInput!$N$27+1,20,24,28,32,36,40),0)/100)))+1)),0)</f>
        <v/>
      </c>
      <c r="S210">
        <f>IF(C210,(H210*N210*IF(AND(Inputs!$B$38&lt;&gt;"pvp",Inputs!$B$43&gt;0),((Skills!G8*((R210-1)*IF(Skills!H8&gt;0,Skills!I8/Skills!H8,1)+IF(Skills!H8&gt;0,MIN(Skills!I8,MAX(0,MAX(0,Inputs!$B$43-B240)-((R210-1)*(IF(Inputs!$B$38="pvp",15,MAX(0.1,Skills!E8-IF(Skills!F8=TRUE,Inputs!$B$32,0)))*(1-IF(AND(ArtifactsInput!$M$27,Inputs!$B$4="Chapter Hunt"),CHOOSE(ArtifactsInput!$N$27+1,20,24,28,32,36,40),0)/100)))))/Skills!H8,1)))/Inputs!$B$43),G210*Q210)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
        <f>IF(C210,(H210*N210*IF(AND(Inputs!$B$38&lt;&gt;"pvp",Inputs!$B$43&gt;0),((Skills!G8*((R210-1)*IF(Skills!H8&gt;0,Skills!I8/Skills!H8,1)+IF(Skills!H8&gt;0,MIN(Skills!I8,MAX(0,MAX(0,Inputs!$B$43-B240)-((R210-1)*(IF(Inputs!$B$38="pvp",15,MAX(0.1,Skills!E8-IF(Skills!F8=TRUE,Inputs!$B$32,0)))*(1-IF(AND(ArtifactsInput!$M$27,Inputs!$B$4="Chapter Hunt"),CHOOSE(ArtifactsInput!$N$27+1,20,24,28,32,36,40),0)/100)))))/Skills!H8,1)))/Inputs!$B$43),G210*Q210)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
      <c r="A211">
        <f>Skills!A9</f>
        <v/>
      </c>
      <c r="B211">
        <f>Skills!B9</f>
        <v/>
      </c>
      <c r="C211">
        <f>Inputs!$B$3&gt;=103</f>
        <v/>
      </c>
      <c r="D211">
        <f>IF(Skills!C9=1,60+Inputs!$B$25+Inputs!$B$29,IF(Skills!C9=2,90+Inputs!$B$26+Inputs!$B$29,IF(Skills!C9=3,120+Inputs!$B$27+Inputs!$B$29,MAX(0,(Inputs!$B$3-100)*3)+Inputs!$B$28+Inputs!$B$29)))</f>
        <v/>
      </c>
      <c r="E211">
        <f>INDEX(FactorTable!$B$2:$Y$301, MATCH(ROUND(MIN(300,MAX(1,D211)),0), FactorTable!$A$2:$A$301,0), Skills!M9+1)</f>
        <v/>
      </c>
      <c r="F211">
        <f>IF(Skills!N9=TRUE,(Skills!L9/10)*(E211/1000),Skills!L9/10)+Skills!O9</f>
        <v/>
      </c>
      <c r="G211">
        <f>Calc!G9</f>
        <v/>
      </c>
      <c r="H211">
        <f>Calc!H9</f>
        <v/>
      </c>
      <c r="I211">
        <f>IF(Skills!X9&lt;&gt;"",1+(Skills!X9/10)*(Z205/1000)/100,1)</f>
        <v/>
      </c>
      <c r="J211">
        <f>((Inputs!$B$6*(1+Inputs!$B$7/100))+(((Inputs!$B$12*(1+Inputs!$B$13/100))-(Inputs!$B$12*(1+Inputs!$B$13/100)))+0.25*(Inputs!$B$14-Inputs!$B$14))*(1+Inputs!$B$7/100))*(F211/100)</f>
        <v/>
      </c>
      <c r="K211">
        <f>J211*(1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f>
        <v/>
      </c>
      <c r="L211">
        <f>K211*(MIN(Inputs!$B$22+(F224-Calc!F22),(Inputs!$B$23+(IF(ArtifactsInput!$M$15,CHOOSE(ArtifactsInput!$N$15+1,25,30,35,40,45,50)/100*(Inputs!$B$11-Inputs!$B$11),0))))/100+(Inputs!$B$23+(IF(ArtifactsInput!$M$15,CHOOSE(ArtifactsInput!$N$15+1,25,30,35,40,45,50)/100*(Inputs!$B$11-Inputs!$B$11),0)))/100)/2</f>
        <v/>
      </c>
      <c r="M211">
        <f>L211*(1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
        <f>L211*(1-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
        <f>(1-Summary!$B$11)*S211+Summary!$B$11*U211</f>
        <v/>
      </c>
      <c r="P211">
        <f>IF(B243=0,0,O211/B243)</f>
        <v/>
      </c>
      <c r="Q211">
        <f>IFERROR(1/(IF(Inputs!$B$38="pvp",15,MAX(0.1,Skills!E9-IF(Skills!F7=TRUE,Inputs!$B$32,0)))*(1-IF(AND(ArtifactsInput!$M$27,Inputs!$B$4="Chapter Hunt"),CHOOSE(ArtifactsInput!$N$27+1,20,24,28,32,36,40),0)/100)),0)</f>
        <v/>
      </c>
      <c r="R211">
        <f>IF(AND(Inputs!$B$38&lt;&gt;"pvp",Inputs!$B$43&gt;0),IF(MAX(0,Inputs!$B$43-B240)&lt;=0,0,(INT(MAX(0,Inputs!$B$43-B240)/(IF(Inputs!$B$38="pvp",15,MAX(0.1,Skills!E9-IF(Skills!F7=TRUE,Inputs!$B$32,0)))*(1-IF(AND(ArtifactsInput!$M$27,Inputs!$B$4="Chapter Hunt"),CHOOSE(ArtifactsInput!$N$27+1,20,24,28,32,36,40),0)/100)))+1)),0)</f>
        <v/>
      </c>
      <c r="S211">
        <f>IF(C211,(H211*N211*IF(AND(Inputs!$B$38&lt;&gt;"pvp",Inputs!$B$43&gt;0),((Skills!G9*((R211-1)*IF(Skills!H9&gt;0,Skills!I9/Skills!H9,1)+IF(Skills!H9&gt;0,MIN(Skills!I9,MAX(0,MAX(0,Inputs!$B$43-B240)-((R211-1)*(IF(Inputs!$B$38="pvp",15,MAX(0.1,Skills!E9-IF(Skills!F7=TRUE,Inputs!$B$32,0)))*(1-IF(AND(ArtifactsInput!$M$27,Inputs!$B$4="Chapter Hunt"),CHOOSE(ArtifactsInput!$N$27+1,20,24,28,32,36,40),0)/100)))))/Skills!H9,1)))/Inputs!$B$43),G211*Q211)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211*(1-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1">
        <f>IF(C211,(H211*N211*IF(AND(Inputs!$B$38&lt;&gt;"pvp",Inputs!$B$43&gt;0),((Skills!G9*((R211-1)*IF(Skills!H9&gt;0,Skills!I9/Skills!H9,1)+IF(Skills!H9&gt;0,MIN(Skills!I9,MAX(0,MAX(0,Inputs!$B$43-B240)-((R211-1)*(IF(Inputs!$B$38="pvp",15,MAX(0.1,Skills!E9-IF(Skills!F7=TRUE,Inputs!$B$32,0)))*(1-IF(AND(ArtifactsInput!$M$27,Inputs!$B$4="Chapter Hunt"),CHOOSE(ArtifactsInput!$N$27+1,20,24,28,32,36,40),0)/100)))))/Skills!H9,1)))/Inputs!$B$43),G211*Q211)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
      <c r="A212">
        <f>Skills!A10</f>
        <v/>
      </c>
      <c r="B212">
        <f>Skills!B10</f>
        <v/>
      </c>
      <c r="C212">
        <f>TRUE</f>
        <v/>
      </c>
      <c r="D212">
        <f>IF(Skills!C10=1,60+Inputs!$B$25+Inputs!$B$29,IF(Skills!C10=2,90+Inputs!$B$26+Inputs!$B$29,IF(Skills!C10=3,120+Inputs!$B$27+Inputs!$B$29,MAX(0,(Inputs!$B$3-100)*3)+Inputs!$B$28+Inputs!$B$29)))</f>
        <v/>
      </c>
      <c r="E212">
        <f>INDEX(FactorTable!$B$2:$Y$301, MATCH(ROUND(MIN(300,MAX(1,D212)),0), FactorTable!$A$2:$A$301,0), Skills!M10+1)</f>
        <v/>
      </c>
      <c r="F212">
        <f>IF(Skills!N10=TRUE,(Skills!L10/10)*(E212/1000),Skills!L10/10)+Skills!O10</f>
        <v/>
      </c>
      <c r="G212">
        <f>Calc!G10</f>
        <v/>
      </c>
      <c r="H212">
        <f>Calc!H10</f>
        <v/>
      </c>
      <c r="I212">
        <f>IF(Skills!X10&lt;&gt;"",1+(Skills!X10/10)*(Z205/1000)/100,1)</f>
        <v/>
      </c>
      <c r="J212">
        <f>((Inputs!$B$6*(1+Inputs!$B$7/100))+(((Inputs!$B$12*(1+Inputs!$B$13/100))-(Inputs!$B$12*(1+Inputs!$B$13/100)))+0.25*(Inputs!$B$14-Inputs!$B$14))*(1+Inputs!$B$7/100))*(F212/100)</f>
        <v/>
      </c>
      <c r="K212">
        <f>J212*(1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f>
        <v/>
      </c>
      <c r="L212">
        <f>K212*(MIN(Inputs!$B$22+(F224-Calc!F22),(Inputs!$B$23+(IF(ArtifactsInput!$M$15,CHOOSE(ArtifactsInput!$N$15+1,25,30,35,40,45,50)/100*(Inputs!$B$11-Inputs!$B$11),0))))/100+(Inputs!$B$23+(IF(ArtifactsInput!$M$15,CHOOSE(ArtifactsInput!$N$15+1,25,30,35,40,45,50)/100*(Inputs!$B$11-Inputs!$B$11),0)))/100)/2</f>
        <v/>
      </c>
      <c r="M212">
        <f>L212*(1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
        <f>L212*(1-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
        <f>(1-Summary!$B$11)*S212+Summary!$B$11*U212</f>
        <v/>
      </c>
      <c r="P212">
        <f>IF(B243=0,0,O212/B243)</f>
        <v/>
      </c>
      <c r="Q212">
        <f>IFERROR(1/(IF(Inputs!$B$38="pvp",15,MAX(0.1,Skills!E10-IF(Skills!F10=TRUE,Inputs!$B$32,0)))*(1-IF(AND(ArtifactsInput!$M$27,Inputs!$B$4="Chapter Hunt"),CHOOSE(ArtifactsInput!$N$27+1,20,24,28,32,36,40),0)/100)),0)</f>
        <v/>
      </c>
      <c r="R212">
        <f>IF(AND(Inputs!$B$38&lt;&gt;"pvp",Inputs!$B$43&gt;0),IF(MAX(0,Inputs!$B$43-B240)&lt;=0,0,(INT(MAX(0,Inputs!$B$43-B240)/(IF(Inputs!$B$38="pvp",15,MAX(0.1,Skills!E10-IF(Skills!F10=TRUE,Inputs!$B$32,0)))*(1-IF(AND(ArtifactsInput!$M$27,Inputs!$B$4="Chapter Hunt"),CHOOSE(ArtifactsInput!$N$27+1,20,24,28,32,36,40),0)/100)))+1)),0)</f>
        <v/>
      </c>
      <c r="S212">
        <f>IF(C212,(H212*N212*IF(AND(Inputs!$B$38&lt;&gt;"pvp",Inputs!$B$43&gt;0),((Skills!G10*((R212-1)*IF(Skills!H10&gt;0,Skills!I10/Skills!H10,1)+IF(Skills!H10&gt;0,MIN(Skills!I10,MAX(0,MAX(0,Inputs!$B$43-B240)-((R212-1)*(IF(Inputs!$B$38="pvp",15,MAX(0.1,Skills!E10-IF(Skills!F10=TRUE,Inputs!$B$32,0)))*(1-IF(AND(ArtifactsInput!$M$27,Inputs!$B$4="Chapter Hunt"),CHOOSE(ArtifactsInput!$N$27+1,20,24,28,32,36,40),0)/100)))))/Skills!H10,1)))/Inputs!$B$43),G212*Q212)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
        <f>IF(C212,(H212*N212*IF(AND(Inputs!$B$38&lt;&gt;"pvp",Inputs!$B$43&gt;0),((Skills!G10*((R212-1)*IF(Skills!H10&gt;0,Skills!I10/Skills!H10,1)+IF(Skills!H10&gt;0,MIN(Skills!I10,MAX(0,MAX(0,Inputs!$B$43-B240)-((R212-1)*(IF(Inputs!$B$38="pvp",15,MAX(0.1,Skills!E10-IF(Skills!F10=TRUE,Inputs!$B$32,0)))*(1-IF(AND(ArtifactsInput!$M$27,Inputs!$B$4="Chapter Hunt"),CHOOSE(ArtifactsInput!$N$27+1,20,24,28,32,36,40),0)/100)))))/Skills!H10,1)))/Inputs!$B$43),G212*Q212)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
      <c r="A213">
        <f>Skills!A11</f>
        <v/>
      </c>
      <c r="B213">
        <f>Skills!B11</f>
        <v/>
      </c>
      <c r="C213">
        <f>TRUE</f>
        <v/>
      </c>
      <c r="D213">
        <f>IF(Skills!C11=1,60+Inputs!$B$25+Inputs!$B$29,IF(Skills!C11=2,90+Inputs!$B$26+Inputs!$B$29,IF(Skills!C11=3,120+Inputs!$B$27+Inputs!$B$29,MAX(0,(Inputs!$B$3-100)*3)+Inputs!$B$28+Inputs!$B$29)))</f>
        <v/>
      </c>
      <c r="E213">
        <f>INDEX(FactorTable!$B$2:$Y$301, MATCH(ROUND(MIN(300,MAX(1,D213)),0), FactorTable!$A$2:$A$301,0), Skills!M11+1)</f>
        <v/>
      </c>
      <c r="F213">
        <f>IF(Skills!N11=TRUE,(Skills!L11/10)*(E213/1000),Skills!L11/10)+Skills!O11</f>
        <v/>
      </c>
      <c r="G213">
        <f>Calc!G11</f>
        <v/>
      </c>
      <c r="H213">
        <f>Calc!H11</f>
        <v/>
      </c>
      <c r="I213">
        <f>IF(Skills!X11&lt;&gt;"",1+(Skills!X11/10)*(Z205/1000)/100,1)</f>
        <v/>
      </c>
      <c r="J213" t="inlineStr"/>
      <c r="K213" t="inlineStr"/>
      <c r="L213" t="inlineStr"/>
      <c r="M213" t="inlineStr"/>
      <c r="N213" t="inlineStr"/>
      <c r="O213">
        <f>(1-Summary!$B$11)*S213+Summary!$B$11*U213</f>
        <v/>
      </c>
      <c r="P213">
        <f>IF(B243=0,0,O213/B243)</f>
        <v/>
      </c>
      <c r="Q213">
        <f>IFERROR(1/(IF(Inputs!$B$38="pvp",15,MAX(0.1,Skills!E11-IF(Skills!F11=TRUE,Inputs!$B$32,0)))*(1-IF(AND(ArtifactsInput!$M$27,Inputs!$B$4="Chapter Hunt"),CHOOSE(ArtifactsInput!$N$27+1,20,24,28,32,36,40),0)/100)),0)</f>
        <v/>
      </c>
      <c r="R213" t="n">
        <v>0</v>
      </c>
      <c r="S213" t="n">
        <v>0</v>
      </c>
      <c r="U213" t="n">
        <v>0</v>
      </c>
    </row>
    <row r="214">
      <c r="A214">
        <f>Skills!A12</f>
        <v/>
      </c>
      <c r="B214">
        <f>Skills!B12</f>
        <v/>
      </c>
      <c r="C214">
        <f>TRUE</f>
        <v/>
      </c>
      <c r="D214">
        <f>IF(Skills!C12=1,60+Inputs!$B$25+Inputs!$B$29,IF(Skills!C12=2,90+Inputs!$B$26+Inputs!$B$29,IF(Skills!C12=3,120+Inputs!$B$27+Inputs!$B$29,MAX(0,(Inputs!$B$3-100)*3)+Inputs!$B$28+Inputs!$B$29)))</f>
        <v/>
      </c>
      <c r="E214">
        <f>INDEX(FactorTable!$B$2:$Y$301, MATCH(ROUND(MIN(300,MAX(1,D214)),0), FactorTable!$A$2:$A$301,0), Skills!M12+1)</f>
        <v/>
      </c>
      <c r="F214">
        <f>IF(Skills!N12=TRUE,(Skills!L12/10)*(E214/1000),Skills!L12/10)+Skills!O12</f>
        <v/>
      </c>
      <c r="G214">
        <f>Calc!G12</f>
        <v/>
      </c>
      <c r="H214">
        <f>Calc!H12</f>
        <v/>
      </c>
      <c r="I214">
        <f>IF(Skills!X12&lt;&gt;"",1+(Skills!X12/10)*(Z205/1000)/100,1)</f>
        <v/>
      </c>
      <c r="J214" t="inlineStr"/>
      <c r="K214" t="inlineStr"/>
      <c r="L214" t="inlineStr"/>
      <c r="M214" t="inlineStr"/>
      <c r="N214" t="inlineStr"/>
      <c r="O214">
        <f>(1-Summary!$B$11)*S214+Summary!$B$11*U214</f>
        <v/>
      </c>
      <c r="P214">
        <f>IF(B243=0,0,O214/B243)</f>
        <v/>
      </c>
      <c r="Q214">
        <f>IFERROR(1/(IF(Inputs!$B$38="pvp",15,MAX(0.1,Skills!E12-IF(Skills!F12=TRUE,Inputs!$B$32,0)))*(1-IF(AND(ArtifactsInput!$M$27,Inputs!$B$4="Chapter Hunt"),CHOOSE(ArtifactsInput!$N$27+1,20,24,28,32,36,40),0)/100)),0)</f>
        <v/>
      </c>
      <c r="R214" t="n">
        <v>0</v>
      </c>
      <c r="S214" t="n">
        <v>0</v>
      </c>
      <c r="U214" t="n">
        <v>0</v>
      </c>
    </row>
    <row r="215">
      <c r="A215">
        <f>Skills!A13</f>
        <v/>
      </c>
      <c r="B215">
        <f>Skills!B13</f>
        <v/>
      </c>
      <c r="C215">
        <f>Inputs!$B$3&gt;=105</f>
        <v/>
      </c>
      <c r="D215">
        <f>IF(Skills!C13=1,60+Inputs!$B$25+Inputs!$B$29,IF(Skills!C13=2,90+Inputs!$B$26+Inputs!$B$29,IF(Skills!C13=3,120+Inputs!$B$27+Inputs!$B$29,MAX(0,(Inputs!$B$3-100)*3)+Inputs!$B$28+Inputs!$B$29)))</f>
        <v/>
      </c>
      <c r="E215">
        <f>INDEX(FactorTable!$B$2:$Y$301, MATCH(ROUND(MIN(300,MAX(1,D215)),0), FactorTable!$A$2:$A$301,0), Skills!M13+1)</f>
        <v/>
      </c>
      <c r="F215">
        <f>IF(Skills!N13=TRUE,(Skills!L13/10)*(E215/1000),Skills!L13/10)+Skills!O13</f>
        <v/>
      </c>
      <c r="G215">
        <f>Calc!G13</f>
        <v/>
      </c>
      <c r="H215">
        <f>Calc!H13</f>
        <v/>
      </c>
      <c r="I215">
        <f>IF(Skills!X13&lt;&gt;"",1+(Skills!X13/10)*(Z205/1000)/100,1)</f>
        <v/>
      </c>
      <c r="J215">
        <f>((Inputs!$B$6*(1+Inputs!$B$7/100))+(((Inputs!$B$12*(1+Inputs!$B$13/100))-(Inputs!$B$12*(1+Inputs!$B$13/100)))+0.25*(Inputs!$B$14-Inputs!$B$14))*(1+Inputs!$B$7/100))*(F215/100)</f>
        <v/>
      </c>
      <c r="K215">
        <f>J215*(1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f>
        <v/>
      </c>
      <c r="L215">
        <f>K215*(MIN(Inputs!$B$22+(F224-Calc!F22),(Inputs!$B$23+(IF(ArtifactsInput!$M$15,CHOOSE(ArtifactsInput!$N$15+1,25,30,35,40,45,50)/100*(Inputs!$B$11-Inputs!$B$11),0))))/100+(Inputs!$B$23+(IF(ArtifactsInput!$M$15,CHOOSE(ArtifactsInput!$N$15+1,25,30,35,40,45,50)/100*(Inputs!$B$11-Inputs!$B$11),0)))/100)/2</f>
        <v/>
      </c>
      <c r="M215">
        <f>L215*(1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
        <f>L215*(1-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
        <f>(1-Summary!$B$11)*S215+Summary!$B$11*U215</f>
        <v/>
      </c>
      <c r="P215">
        <f>IF(B243=0,0,O215/B243)</f>
        <v/>
      </c>
      <c r="Q215">
        <f>IFERROR(1/(IF(Inputs!$B$38="pvp",15,MAX(0.1,Skills!E13-IF(Skills!F13=TRUE,Inputs!$B$32,0)))*(1-IF(AND(ArtifactsInput!$M$27,Inputs!$B$4="Chapter Hunt"),CHOOSE(ArtifactsInput!$N$27+1,20,24,28,32,36,40),0)/100)),0)</f>
        <v/>
      </c>
      <c r="R215">
        <f>IF(AND(Inputs!$B$38&lt;&gt;"pvp",Inputs!$B$43&gt;0),IF(MAX(0,Inputs!$B$43-B240)&lt;=0,0,(INT(MAX(0,Inputs!$B$43-B240)/(IF(Inputs!$B$38="pvp",15,MAX(0.1,Skills!E13-IF(Skills!F13=TRUE,Inputs!$B$32,0)))*(1-IF(AND(ArtifactsInput!$M$27,Inputs!$B$4="Chapter Hunt"),CHOOSE(ArtifactsInput!$N$27+1,20,24,28,32,36,40),0)/100)))+1)),0)</f>
        <v/>
      </c>
      <c r="S215">
        <f>IF(C215,(H215*N215*IF(AND(Inputs!$B$38&lt;&gt;"pvp",Inputs!$B$43&gt;0),((Skills!G13*((R215-1)*IF(Skills!H13&gt;0,Skills!I13/Skills!H13,1)+IF(Skills!H13&gt;0,MIN(Skills!I13,MAX(0,MAX(0,Inputs!$B$43-B240)-((R215-1)*(IF(Inputs!$B$38="pvp",15,MAX(0.1,Skills!E13-IF(Skills!F13=TRUE,Inputs!$B$32,0)))*(1-IF(AND(ArtifactsInput!$M$27,Inputs!$B$4="Chapter Hunt"),CHOOSE(ArtifactsInput!$N$27+1,20,24,28,32,36,40),0)/100)))))/Skills!H13,1)))/Inputs!$B$43),G215*Q215)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215*(1-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
        <f>IF(C215,(H215*N215*IF(AND(Inputs!$B$38&lt;&gt;"pvp",Inputs!$B$43&gt;0),((Skills!G13*((R215-1)*IF(Skills!H13&gt;0,Skills!I13/Skills!H13,1)+IF(Skills!H13&gt;0,MIN(Skills!I13,MAX(0,MAX(0,Inputs!$B$43-B240)-((R215-1)*(IF(Inputs!$B$38="pvp",15,MAX(0.1,Skills!E13-IF(Skills!F13=TRUE,Inputs!$B$32,0)))*(1-IF(AND(ArtifactsInput!$M$27,Inputs!$B$4="Chapter Hunt"),CHOOSE(ArtifactsInput!$N$27+1,20,24,28,32,36,40),0)/100)))))/Skills!H13,1)))/Inputs!$B$43),G215*Q215)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
      <c r="A216">
        <f>Skills!A14</f>
        <v/>
      </c>
      <c r="B216">
        <f>Skills!B14</f>
        <v/>
      </c>
      <c r="C216">
        <f>Inputs!$B$3&gt;=113</f>
        <v/>
      </c>
      <c r="D216">
        <f>IF(Skills!C14=1,60+Inputs!$B$25+Inputs!$B$29,IF(Skills!C14=2,90+Inputs!$B$26+Inputs!$B$29,IF(Skills!C14=3,120+Inputs!$B$27+Inputs!$B$29,MAX(0,(Inputs!$B$3-100)*3)+Inputs!$B$28+Inputs!$B$29)))</f>
        <v/>
      </c>
      <c r="E216">
        <f>INDEX(FactorTable!$B$2:$Y$301, MATCH(ROUND(MIN(300,MAX(1,D216)),0), FactorTable!$A$2:$A$301,0), Skills!M14+1)</f>
        <v/>
      </c>
      <c r="F216">
        <f>IF(Skills!N14=TRUE,(Skills!L14/10)*(E216/1000),Skills!L14/10)+Skills!O14</f>
        <v/>
      </c>
      <c r="G216">
        <f>Calc!G14</f>
        <v/>
      </c>
      <c r="H216">
        <f>Calc!H14</f>
        <v/>
      </c>
      <c r="I216">
        <f>IF(Skills!X14&lt;&gt;"",1+(Skills!X14/10)*(Z205/1000)/100,1)</f>
        <v/>
      </c>
      <c r="J216">
        <f>((Inputs!$B$6*(1+Inputs!$B$7/100))+(((Inputs!$B$12*(1+Inputs!$B$13/100))-(Inputs!$B$12*(1+Inputs!$B$13/100)))+0.25*(Inputs!$B$14-Inputs!$B$14))*(1+Inputs!$B$7/100))*(F216/100)</f>
        <v/>
      </c>
      <c r="K216">
        <f>J216*(1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f>
        <v/>
      </c>
      <c r="L216">
        <f>K216*(MIN(Inputs!$B$22+(F224-Calc!F22),(Inputs!$B$23+(IF(ArtifactsInput!$M$15,CHOOSE(ArtifactsInput!$N$15+1,25,30,35,40,45,50)/100*(Inputs!$B$11-Inputs!$B$11),0))))/100+(Inputs!$B$23+(IF(ArtifactsInput!$M$15,CHOOSE(ArtifactsInput!$N$15+1,25,30,35,40,45,50)/100*(Inputs!$B$11-Inputs!$B$11),0)))/100)/2</f>
        <v/>
      </c>
      <c r="M216">
        <f>L216*(1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
        <f>L216*(1-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
        <f>(1-Summary!$B$11)*S216+Summary!$B$11*U216</f>
        <v/>
      </c>
      <c r="P216">
        <f>IF(B243=0,0,O216/B243)</f>
        <v/>
      </c>
      <c r="Q216">
        <f>IFERROR(1/(IF(Inputs!$B$38="pvp",15,MAX(0.1,Skills!E14-IF(Skills!F14=TRUE,Inputs!$B$32,0)))*(1-IF(AND(ArtifactsInput!$M$27,Inputs!$B$4="Chapter Hunt"),CHOOSE(ArtifactsInput!$N$27+1,20,24,28,32,36,40),0)/100)),0)</f>
        <v/>
      </c>
      <c r="R216" t="n">
        <v>0</v>
      </c>
      <c r="S216">
        <f>IF(C216,((H216*B239)/(1+Skills!H14*H216*B239)*N216)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6">
        <f>IF(C216,((H216*B239)/(1+Skills!H14*H216*B239)*N216)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
      <c r="A217">
        <f>Skills!A15</f>
        <v/>
      </c>
      <c r="B217">
        <f>Skills!B15</f>
        <v/>
      </c>
      <c r="C217">
        <f>Inputs!$B$3&gt;=107</f>
        <v/>
      </c>
      <c r="D217">
        <f>IF(Skills!C15=1,60+Inputs!$B$25+Inputs!$B$29,IF(Skills!C15=2,90+Inputs!$B$26+Inputs!$B$29,IF(Skills!C15=3,120+Inputs!$B$27+Inputs!$B$29,MAX(0,(Inputs!$B$3-100)*3)+Inputs!$B$28+Inputs!$B$29)))</f>
        <v/>
      </c>
      <c r="E217">
        <f>INDEX(FactorTable!$B$2:$Y$301, MATCH(ROUND(MIN(300,MAX(1,D217)),0), FactorTable!$A$2:$A$301,0), Skills!M15+1)</f>
        <v/>
      </c>
      <c r="F217">
        <f>IF(Skills!N15=TRUE,(Skills!L15/10)*(E217/1000),Skills!L15/10)+Skills!O15</f>
        <v/>
      </c>
      <c r="G217">
        <f>Calc!G15</f>
        <v/>
      </c>
      <c r="H217">
        <f>Calc!H15</f>
        <v/>
      </c>
      <c r="I217">
        <f>IF(Skills!X15&lt;&gt;"",1+(Skills!X15/10)*(Z205/1000)/100,1)</f>
        <v/>
      </c>
      <c r="J217">
        <f>((Inputs!$B$6*(1+Inputs!$B$7/100))+(((Inputs!$B$12*(1+Inputs!$B$13/100))-(Inputs!$B$12*(1+Inputs!$B$13/100)))+0.25*(Inputs!$B$14-Inputs!$B$14))*(1+Inputs!$B$7/100))*(F217/100)</f>
        <v/>
      </c>
      <c r="K217">
        <f>J217*(1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f>
        <v/>
      </c>
      <c r="L217">
        <f>K217*(MIN(Inputs!$B$22+(F224-Calc!F22),(Inputs!$B$23+(IF(ArtifactsInput!$M$15,CHOOSE(ArtifactsInput!$N$15+1,25,30,35,40,45,50)/100*(Inputs!$B$11-Inputs!$B$11),0))))/100+(Inputs!$B$23+(IF(ArtifactsInput!$M$15,CHOOSE(ArtifactsInput!$N$15+1,25,30,35,40,45,50)/100*(Inputs!$B$11-Inputs!$B$11),0)))/100)/2</f>
        <v/>
      </c>
      <c r="M217">
        <f>L217*(1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
        <f>L217*(1-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
        <f>(1-Summary!$B$11)*S217+Summary!$B$11*U217</f>
        <v/>
      </c>
      <c r="P217">
        <f>IF(B243=0,0,O217/B243)</f>
        <v/>
      </c>
      <c r="Q217">
        <f>IFERROR(1/(IF(Inputs!$B$38="pvp",15,MAX(0.1,Skills!E15-IF(Skills!F15=TRUE,Inputs!$B$32,0)))*(1-IF(AND(ArtifactsInput!$M$27,Inputs!$B$4="Chapter Hunt"),CHOOSE(ArtifactsInput!$N$27+1,20,24,28,32,36,40),0)/100)),0)</f>
        <v/>
      </c>
      <c r="R217">
        <f>IF(AND(Inputs!$B$38&lt;&gt;"pvp",Inputs!$B$43&gt;0),IF(MAX(0,Inputs!$B$43-B240)&lt;=0,0,(INT(MAX(0,Inputs!$B$43-B240)/(IF(Inputs!$B$38="pvp",15,MAX(0.1,Skills!E15-IF(Skills!F15=TRUE,Inputs!$B$32,0)))*(1-IF(AND(ArtifactsInput!$M$27,Inputs!$B$4="Chapter Hunt"),CHOOSE(ArtifactsInput!$N$27+1,20,24,28,32,36,40),0)/100)))+1)),0)</f>
        <v/>
      </c>
      <c r="S217">
        <f>IF(C217,(H217*N217*IF(AND(Inputs!$B$38&lt;&gt;"pvp",Inputs!$B$43&gt;0),((Skills!G15*((R217-1)*IF(Skills!H15&gt;0,Skills!I15/Skills!H15,1)+IF(Skills!H15&gt;0,MIN(Skills!I15,MAX(0,MAX(0,Inputs!$B$43-B240)-((R217-1)*(IF(Inputs!$B$38="pvp",15,MAX(0.1,Skills!E15-IF(Skills!F15=TRUE,Inputs!$B$32,0)))*(1-IF(AND(ArtifactsInput!$M$27,Inputs!$B$4="Chapter Hunt"),CHOOSE(ArtifactsInput!$N$27+1,20,24,28,32,36,40),0)/100)))))/Skills!H15,1)))/Inputs!$B$43),G217*Q217)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217*(1-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7">
        <f>IF(C217,(H217*N217*IF(AND(Inputs!$B$38&lt;&gt;"pvp",Inputs!$B$43&gt;0),((Skills!G15*((R217-1)*IF(Skills!H15&gt;0,Skills!I15/Skills!H15,1)+IF(Skills!H15&gt;0,MIN(Skills!I15,MAX(0,MAX(0,Inputs!$B$43-B240)-((R217-1)*(IF(Inputs!$B$38="pvp",15,MAX(0.1,Skills!E15-IF(Skills!F15=TRUE,Inputs!$B$32,0)))*(1-IF(AND(ArtifactsInput!$M$27,Inputs!$B$4="Chapter Hunt"),CHOOSE(ArtifactsInput!$N$27+1,20,24,28,32,36,40),0)/100)))))/Skills!H15,1)))/Inputs!$B$43),G217*Q217)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
      <c r="A218">
        <f>Skills!A16</f>
        <v/>
      </c>
      <c r="B218">
        <f>Skills!B16</f>
        <v/>
      </c>
      <c r="C218">
        <f>Inputs!$B$3&gt;=107</f>
        <v/>
      </c>
      <c r="D218">
        <f>IF(Skills!C16=1,60+Inputs!$B$25+Inputs!$B$29,IF(Skills!C16=2,90+Inputs!$B$26+Inputs!$B$29,IF(Skills!C16=3,120+Inputs!$B$27+Inputs!$B$29,MAX(0,(Inputs!$B$3-100)*3)+Inputs!$B$28+Inputs!$B$29)))</f>
        <v/>
      </c>
      <c r="E218">
        <f>INDEX(FactorTable!$B$2:$Y$301, MATCH(ROUND(MIN(300,MAX(1,D218)),0), FactorTable!$A$2:$A$301,0), Skills!M16+1)</f>
        <v/>
      </c>
      <c r="F218">
        <f>IF(Skills!N16=TRUE,(Skills!L16/10)*(E218/1000),Skills!L16/10)+Skills!O16</f>
        <v/>
      </c>
      <c r="G218">
        <f>Calc!G16</f>
        <v/>
      </c>
      <c r="H218">
        <f>Calc!H16</f>
        <v/>
      </c>
      <c r="I218">
        <f>IF(Skills!X16&lt;&gt;"",1+(Skills!X16/10)*(Z205/1000)/100,1)</f>
        <v/>
      </c>
      <c r="J218">
        <f>((Inputs!$B$6*(1+Inputs!$B$7/100))+(((Inputs!$B$12*(1+Inputs!$B$13/100))-(Inputs!$B$12*(1+Inputs!$B$13/100)))+0.25*(Inputs!$B$14-Inputs!$B$14))*(1+Inputs!$B$7/100))*(F218/100)</f>
        <v/>
      </c>
      <c r="K218">
        <f>J218*(1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f>
        <v/>
      </c>
      <c r="L218">
        <f>K218*(MIN(Inputs!$B$22+(F224-Calc!F22),(Inputs!$B$23+(IF(ArtifactsInput!$M$15,CHOOSE(ArtifactsInput!$N$15+1,25,30,35,40,45,50)/100*(Inputs!$B$11-Inputs!$B$11),0))))/100+(Inputs!$B$23+(IF(ArtifactsInput!$M$15,CHOOSE(ArtifactsInput!$N$15+1,25,30,35,40,45,50)/100*(Inputs!$B$11-Inputs!$B$11),0)))/100)/2</f>
        <v/>
      </c>
      <c r="M218">
        <f>L218*(1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
        <f>L218*(1-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
        <f>(1-Summary!$B$11)*S218+Summary!$B$11*U218</f>
        <v/>
      </c>
      <c r="P218">
        <f>IF(B243=0,0,O218/B243)</f>
        <v/>
      </c>
      <c r="Q218">
        <f>IFERROR(1/(IF(Inputs!$B$38="pvp",15,MAX(0.1,Skills!E16-IF(Skills!F16=TRUE,Inputs!$B$32,0)))*(1-IF(AND(ArtifactsInput!$M$27,Inputs!$B$4="Chapter Hunt"),CHOOSE(ArtifactsInput!$N$27+1,20,24,28,32,36,40),0)/100)),0)</f>
        <v/>
      </c>
      <c r="R218">
        <f>IF(AND(Inputs!$B$38&lt;&gt;"pvp",Inputs!$B$43&gt;0),IF(MAX(0,Inputs!$B$43-B240)&lt;=0,0,(INT(MAX(0,Inputs!$B$43-B240)/(IF(Inputs!$B$38="pvp",15,MAX(0.1,Skills!E16-IF(Skills!F16=TRUE,Inputs!$B$32,0)))*(1-IF(AND(ArtifactsInput!$M$27,Inputs!$B$4="Chapter Hunt"),CHOOSE(ArtifactsInput!$N$27+1,20,24,28,32,36,40),0)/100)))+1)),0)</f>
        <v/>
      </c>
      <c r="S218">
        <f>IF(C218,(H218*N218*IF(AND(Inputs!$B$38&lt;&gt;"pvp",Inputs!$B$43&gt;0),((Skills!G16*((R218-1)*IF(Skills!H16&gt;0,Skills!I16/Skills!H16,1)+IF(Skills!H16&gt;0,MIN(Skills!I16,MAX(0,MAX(0,Inputs!$B$43-B240)-((R218-1)*(IF(Inputs!$B$38="pvp",15,MAX(0.1,Skills!E16-IF(Skills!F16=TRUE,Inputs!$B$32,0)))*(1-IF(AND(ArtifactsInput!$M$27,Inputs!$B$4="Chapter Hunt"),CHOOSE(ArtifactsInput!$N$27+1,20,24,28,32,36,40),0)/100)))))/Skills!H16,1)))/Inputs!$B$43),G218*Q218)*(1+IF(Inputs!$B$3&gt;=126,0.05*(B238+Q215+(H216*B239)/(1+Skills!H14*H216*B239)+Q226)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218*(1-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
        <f>IF(C218,(H218*N218*IF(AND(Inputs!$B$38&lt;&gt;"pvp",Inputs!$B$43&gt;0),((Skills!G16*((R218-1)*IF(Skills!H16&gt;0,Skills!I16/Skills!H16,1)+IF(Skills!H16&gt;0,MIN(Skills!I16,MAX(0,MAX(0,Inputs!$B$43-B240)-((R218-1)*(IF(Inputs!$B$38="pvp",15,MAX(0.1,Skills!E16-IF(Skills!F16=TRUE,Inputs!$B$32,0)))*(1-IF(AND(ArtifactsInput!$M$27,Inputs!$B$4="Chapter Hunt"),CHOOSE(ArtifactsInput!$N$27+1,20,24,28,32,36,40),0)/100)))))/Skills!H16,1)))/Inputs!$B$43),G218*Q218)*(1+IF(Inputs!$B$3&gt;=126,0.05*(B238+Q215+(H216*B239)/(1+Skills!H14*H216*B239)+Q226)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
      <c r="A219">
        <f>Skills!A17</f>
        <v/>
      </c>
      <c r="B219">
        <f>Skills!B17</f>
        <v/>
      </c>
      <c r="C219">
        <f>TRUE</f>
        <v/>
      </c>
      <c r="D219">
        <f>IF(Skills!C17=1,60+Inputs!$B$25+Inputs!$B$29,IF(Skills!C17=2,90+Inputs!$B$26+Inputs!$B$29,IF(Skills!C17=3,120+Inputs!$B$27+Inputs!$B$29,MAX(0,(Inputs!$B$3-100)*3)+Inputs!$B$28+Inputs!$B$29)))</f>
        <v/>
      </c>
      <c r="E219">
        <f>INDEX(FactorTable!$B$2:$Y$301, MATCH(ROUND(MIN(300,MAX(1,D219)),0), FactorTable!$A$2:$A$301,0), Skills!M17+1)</f>
        <v/>
      </c>
      <c r="F219">
        <f>IF(Skills!N17=TRUE,(Skills!L17/10)*(E219/1000),Skills!L17/10)+Skills!O17</f>
        <v/>
      </c>
      <c r="G219">
        <f>Calc!G17</f>
        <v/>
      </c>
      <c r="H219">
        <f>Calc!H17</f>
        <v/>
      </c>
      <c r="I219">
        <f>IF(Skills!X17&lt;&gt;"",1+(Skills!X17/10)*(Z205/1000)/100,1)</f>
        <v/>
      </c>
      <c r="J219" t="inlineStr"/>
      <c r="K219" t="inlineStr"/>
      <c r="L219" t="inlineStr"/>
      <c r="M219" t="inlineStr"/>
      <c r="N219" t="inlineStr"/>
      <c r="O219">
        <f>(1-Summary!$B$11)*S219+Summary!$B$11*U219</f>
        <v/>
      </c>
      <c r="P219">
        <f>IF(B243=0,0,O219/B243)</f>
        <v/>
      </c>
      <c r="Q219">
        <f>IFERROR(1/(IF(Inputs!$B$38="pvp",15,MAX(0.1,Skills!E17-IF(Skills!F17=TRUE,Inputs!$B$32,0)))*(1-IF(AND(ArtifactsInput!$M$27,Inputs!$B$4="Chapter Hunt"),CHOOSE(ArtifactsInput!$N$27+1,20,24,28,32,36,40),0)/100)),0)</f>
        <v/>
      </c>
      <c r="R219">
        <f>IF(AND(Inputs!$B$38&lt;&gt;"pvp",Inputs!$B$43&gt;0),IF(Inputs!$B$43&lt;=0,0,(INT(Inputs!$B$43/(IF(Inputs!$B$38="pvp",15,MAX(0.1,Skills!E17-IF(Skills!F17=TRUE,Inputs!$B$32,0)))*(1-IF(AND(ArtifactsInput!$M$27,Inputs!$B$4="Chapter Hunt"),CHOOSE(ArtifactsInput!$N$27+1,20,24,28,32,36,40),0)/100)))+1)),0)</f>
        <v/>
      </c>
      <c r="S219" t="n">
        <v>0</v>
      </c>
      <c r="U219" t="n">
        <v>0</v>
      </c>
    </row>
    <row r="220">
      <c r="A220">
        <f>Skills!A18</f>
        <v/>
      </c>
      <c r="B220">
        <f>Skills!B18</f>
        <v/>
      </c>
      <c r="C220">
        <f>TRUE</f>
        <v/>
      </c>
      <c r="D220">
        <f>IF(Skills!C18=1,60+Inputs!$B$25+Inputs!$B$29,IF(Skills!C18=2,90+Inputs!$B$26+Inputs!$B$29,IF(Skills!C18=3,120+Inputs!$B$27+Inputs!$B$29,MAX(0,(Inputs!$B$3-100)*3)+Inputs!$B$28+Inputs!$B$29)))</f>
        <v/>
      </c>
      <c r="E220">
        <f>INDEX(FactorTable!$B$2:$Y$301, MATCH(ROUND(MIN(300,MAX(1,D220)),0), FactorTable!$A$2:$A$301,0), Skills!M18+1)</f>
        <v/>
      </c>
      <c r="F220">
        <f>IF(Skills!N18=TRUE,(Skills!L18/10)*(E220/1000),Skills!L18/10)+Skills!O18</f>
        <v/>
      </c>
      <c r="G220">
        <f>Calc!G18</f>
        <v/>
      </c>
      <c r="H220">
        <f>Calc!H18</f>
        <v/>
      </c>
      <c r="I220">
        <f>IF(Skills!X18&lt;&gt;"",1+(Skills!X18/10)*(Z205/1000)/100,1)</f>
        <v/>
      </c>
      <c r="J220" t="inlineStr"/>
      <c r="K220" t="inlineStr"/>
      <c r="L220" t="inlineStr"/>
      <c r="M220" t="inlineStr"/>
      <c r="N220" t="inlineStr"/>
      <c r="O220">
        <f>(1-Summary!$B$11)*S220+Summary!$B$11*U220</f>
        <v/>
      </c>
      <c r="P220">
        <f>IF(B243=0,0,O220/B243)</f>
        <v/>
      </c>
      <c r="Q220">
        <f>IFERROR(1/(IF(Inputs!$B$38="pvp",15,MAX(0.1,Skills!E18-IF(Skills!F18=TRUE,Inputs!$B$32,0)))*(1-IF(AND(ArtifactsInput!$M$27,Inputs!$B$4="Chapter Hunt"),CHOOSE(ArtifactsInput!$N$27+1,20,24,28,32,36,40),0)/100)),0)</f>
        <v/>
      </c>
      <c r="R220">
        <f>IF(AND(Inputs!$B$38&lt;&gt;"pvp",Inputs!$B$43&gt;0),IF(Inputs!$B$43&lt;=0,0,(INT(Inputs!$B$43/(IF(Inputs!$B$38="pvp",15,MAX(0.1,Skills!E18-IF(Skills!F18=TRUE,Inputs!$B$32,0)))*(1-IF(AND(ArtifactsInput!$M$27,Inputs!$B$4="Chapter Hunt"),CHOOSE(ArtifactsInput!$N$27+1,20,24,28,32,36,40),0)/100)))+1)),0)</f>
        <v/>
      </c>
      <c r="S220" t="n">
        <v>0</v>
      </c>
      <c r="U220" t="n">
        <v>0</v>
      </c>
    </row>
    <row r="221">
      <c r="A221">
        <f>Skills!A19</f>
        <v/>
      </c>
      <c r="B221">
        <f>Skills!B19</f>
        <v/>
      </c>
      <c r="C221">
        <f>Inputs!$B$3&gt;=110</f>
        <v/>
      </c>
      <c r="D221">
        <f>IF(Skills!C19=1,60+Inputs!$B$25+Inputs!$B$29,IF(Skills!C19=2,90+Inputs!$B$26+Inputs!$B$29,IF(Skills!C19=3,120+Inputs!$B$27+Inputs!$B$29,MAX(0,(Inputs!$B$3-100)*3)+Inputs!$B$28+Inputs!$B$29)))</f>
        <v/>
      </c>
      <c r="E221">
        <f>INDEX(FactorTable!$B$2:$Y$301, MATCH(ROUND(MIN(300,MAX(1,D221)),0), FactorTable!$A$2:$A$301,0), Skills!M19+1)</f>
        <v/>
      </c>
      <c r="F221">
        <f>IF(Skills!N19=TRUE,(Skills!L19/10)*(E221/1000),Skills!L19/10)+Skills!O19</f>
        <v/>
      </c>
      <c r="G221">
        <f>Calc!G19</f>
        <v/>
      </c>
      <c r="H221">
        <f>Calc!H19</f>
        <v/>
      </c>
      <c r="I221">
        <f>IF(Skills!X19&lt;&gt;"",1+(Skills!X19/10)*(Z205/1000)/100,1)</f>
        <v/>
      </c>
      <c r="J221" t="inlineStr"/>
      <c r="K221" t="inlineStr"/>
      <c r="L221" t="inlineStr"/>
      <c r="M221" t="inlineStr"/>
      <c r="N221" t="inlineStr"/>
      <c r="O221">
        <f>(1-Summary!$B$11)*S221+Summary!$B$11*U221</f>
        <v/>
      </c>
      <c r="P221">
        <f>IF(B243=0,0,O221/B243)</f>
        <v/>
      </c>
      <c r="Q221">
        <f>IFERROR(1/(IF(Inputs!$B$38="pvp",15,MAX(0.1,Skills!E19-IF(Skills!F19=TRUE,Inputs!$B$32,0)))*(1-IF(AND(ArtifactsInput!$M$27,Inputs!$B$4="Chapter Hunt"),CHOOSE(ArtifactsInput!$N$27+1,20,24,28,32,36,40),0)/100)),0)</f>
        <v/>
      </c>
      <c r="R221">
        <f>IF(AND(Inputs!$B$38&lt;&gt;"pvp",Inputs!$B$43&gt;0),IF(Inputs!$B$43&lt;=0,0,(INT(Inputs!$B$43/(IF(Inputs!$B$38="pvp",15,MAX(0.1,Skills!E19-IF(Skills!F19=TRUE,Inputs!$B$32,0)))*(1-IF(AND(ArtifactsInput!$M$27,Inputs!$B$4="Chapter Hunt"),CHOOSE(ArtifactsInput!$N$27+1,20,24,28,32,36,40),0)/100)))+1)),0)</f>
        <v/>
      </c>
      <c r="S221" t="n">
        <v>0</v>
      </c>
      <c r="U221" t="n">
        <v>0</v>
      </c>
    </row>
    <row r="222">
      <c r="A222">
        <f>Skills!A20</f>
        <v/>
      </c>
      <c r="B222">
        <f>Skills!B20</f>
        <v/>
      </c>
      <c r="C222">
        <f>TRUE</f>
        <v/>
      </c>
      <c r="D222">
        <f>IF(Skills!C20=1,60+Inputs!$B$25+Inputs!$B$29,IF(Skills!C20=2,90+Inputs!$B$26+Inputs!$B$29,IF(Skills!C20=3,120+Inputs!$B$27+Inputs!$B$29,MAX(0,(Inputs!$B$3-100)*3)+Inputs!$B$28+Inputs!$B$29)))</f>
        <v/>
      </c>
      <c r="E222">
        <f>INDEX(FactorTable!$B$2:$Y$301, MATCH(ROUND(MIN(300,MAX(1,D222)),0), FactorTable!$A$2:$A$301,0), Skills!M20+1)</f>
        <v/>
      </c>
      <c r="F222">
        <f>IF(Skills!N20=TRUE,(Skills!L20/10)*(E222/1000),Skills!L20/10)+Skills!O20</f>
        <v/>
      </c>
      <c r="G222">
        <f>Calc!G20</f>
        <v/>
      </c>
      <c r="H222">
        <f>Calc!H20</f>
        <v/>
      </c>
      <c r="I222">
        <f>IF(Skills!X20&lt;&gt;"",1+(Skills!X20/10)*(Z205/1000)/100,1)</f>
        <v/>
      </c>
      <c r="J222" t="inlineStr"/>
      <c r="K222" t="inlineStr"/>
      <c r="L222" t="inlineStr"/>
      <c r="M222" t="inlineStr"/>
      <c r="N222" t="inlineStr"/>
      <c r="O222">
        <f>(1-Summary!$B$11)*S222+Summary!$B$11*U222</f>
        <v/>
      </c>
      <c r="P222">
        <f>IF(B243=0,0,O222/B243)</f>
        <v/>
      </c>
      <c r="Q222">
        <f>IFERROR(1/(IF(Inputs!$B$38="pvp",15,MAX(0.1,Skills!E20-IF(Skills!F20=TRUE,Inputs!$B$32,0)))*(1-IF(AND(ArtifactsInput!$M$27,Inputs!$B$4="Chapter Hunt"),CHOOSE(ArtifactsInput!$N$27+1,20,24,28,32,36,40),0)/100)),0)</f>
        <v/>
      </c>
      <c r="R222" t="n">
        <v>0</v>
      </c>
      <c r="S222" t="n">
        <v>0</v>
      </c>
      <c r="U222" t="n">
        <v>0</v>
      </c>
    </row>
    <row r="223">
      <c r="A223">
        <f>Skills!A21</f>
        <v/>
      </c>
      <c r="B223">
        <f>Skills!B21</f>
        <v/>
      </c>
      <c r="C223">
        <f>TRUE</f>
        <v/>
      </c>
      <c r="D223">
        <f>IF(Skills!C21=1,60+Inputs!$B$25+Inputs!$B$29,IF(Skills!C21=2,90+Inputs!$B$26+Inputs!$B$29,IF(Skills!C21=3,120+Inputs!$B$27+Inputs!$B$29,MAX(0,(Inputs!$B$3-100)*3)+Inputs!$B$28+Inputs!$B$29)))</f>
        <v/>
      </c>
      <c r="E223">
        <f>INDEX(FactorTable!$B$2:$Y$301, MATCH(ROUND(MIN(300,MAX(1,D223)),0), FactorTable!$A$2:$A$301,0), Skills!M21+1)</f>
        <v/>
      </c>
      <c r="F223">
        <f>IF(Skills!N21=TRUE,(Skills!L21/10)*(E223/1000),Skills!L21/10)+Skills!O21</f>
        <v/>
      </c>
      <c r="G223">
        <f>Calc!G21</f>
        <v/>
      </c>
      <c r="H223">
        <f>Calc!H21</f>
        <v/>
      </c>
      <c r="I223">
        <f>IF(Skills!X21&lt;&gt;"",1+(Skills!X21/10)*(Z205/1000)/100,1)</f>
        <v/>
      </c>
      <c r="J223" t="inlineStr"/>
      <c r="K223" t="inlineStr"/>
      <c r="L223" t="inlineStr"/>
      <c r="M223" t="inlineStr"/>
      <c r="N223" t="inlineStr"/>
      <c r="O223">
        <f>(1-Summary!$B$11)*S223+Summary!$B$11*U223</f>
        <v/>
      </c>
      <c r="P223">
        <f>IF(B243=0,0,O223/B243)</f>
        <v/>
      </c>
      <c r="Q223">
        <f>IFERROR(1/(IF(Inputs!$B$38="pvp",15,MAX(0.1,Skills!E21-IF(Skills!F21=TRUE,Inputs!$B$32,0)))*(1-IF(AND(ArtifactsInput!$M$27,Inputs!$B$4="Chapter Hunt"),CHOOSE(ArtifactsInput!$N$27+1,20,24,28,32,36,40),0)/100)),0)</f>
        <v/>
      </c>
      <c r="R223" t="n">
        <v>0</v>
      </c>
      <c r="S223" t="n">
        <v>0</v>
      </c>
      <c r="U223" t="n">
        <v>0</v>
      </c>
    </row>
    <row r="224">
      <c r="A224">
        <f>Skills!A22</f>
        <v/>
      </c>
      <c r="B224">
        <f>Skills!B22</f>
        <v/>
      </c>
      <c r="C224">
        <f>TRUE</f>
        <v/>
      </c>
      <c r="D224">
        <f>IF(Skills!C22=1,60+Inputs!$B$25+Inputs!$B$29,IF(Skills!C22=2,90+Inputs!$B$26+Inputs!$B$29,IF(Skills!C22=3,120+Inputs!$B$27+Inputs!$B$29,MAX(0,(Inputs!$B$3-100)*3)+Inputs!$B$28+Inputs!$B$29)))</f>
        <v/>
      </c>
      <c r="E224">
        <f>INDEX(FactorTable!$B$2:$Y$301, MATCH(ROUND(MIN(300,MAX(1,D224)),0), FactorTable!$A$2:$A$301,0), Skills!M22+1)</f>
        <v/>
      </c>
      <c r="F224">
        <f>IF(Skills!N22=TRUE,(Skills!L22/10)*(E224/1000),Skills!L22/10)+Skills!O22</f>
        <v/>
      </c>
      <c r="G224">
        <f>Calc!G22</f>
        <v/>
      </c>
      <c r="H224">
        <f>Calc!H22</f>
        <v/>
      </c>
      <c r="I224">
        <f>IF(Skills!X22&lt;&gt;"",1+(Skills!X22/10)*(Z205/1000)/100,1)</f>
        <v/>
      </c>
      <c r="J224" t="inlineStr"/>
      <c r="K224" t="inlineStr"/>
      <c r="L224" t="inlineStr"/>
      <c r="M224" t="inlineStr"/>
      <c r="N224" t="inlineStr"/>
      <c r="O224">
        <f>(1-Summary!$B$11)*S224+Summary!$B$11*U224</f>
        <v/>
      </c>
      <c r="P224">
        <f>IF(B243=0,0,O224/B243)</f>
        <v/>
      </c>
      <c r="Q224">
        <f>IFERROR(1/(IF(Inputs!$B$38="pvp",15,MAX(0.1,Skills!E22-IF(Skills!F22=TRUE,Inputs!$B$32,0)))*(1-IF(AND(ArtifactsInput!$M$27,Inputs!$B$4="Chapter Hunt"),CHOOSE(ArtifactsInput!$N$27+1,20,24,28,32,36,40),0)/100)),0)</f>
        <v/>
      </c>
      <c r="R224" t="n">
        <v>0</v>
      </c>
      <c r="S224" t="n">
        <v>0</v>
      </c>
      <c r="U224" t="n">
        <v>0</v>
      </c>
    </row>
    <row r="225">
      <c r="A225">
        <f>Skills!A23</f>
        <v/>
      </c>
      <c r="B225">
        <f>Skills!B23</f>
        <v/>
      </c>
      <c r="C225">
        <f>TRUE</f>
        <v/>
      </c>
      <c r="D225">
        <f>IF(Skills!C23=1,60+Inputs!$B$25+Inputs!$B$29,IF(Skills!C23=2,90+Inputs!$B$26+Inputs!$B$29,IF(Skills!C23=3,120+Inputs!$B$27+Inputs!$B$29,MAX(0,(Inputs!$B$3-100)*3)+Inputs!$B$28+Inputs!$B$29)))</f>
        <v/>
      </c>
      <c r="E225">
        <f>INDEX(FactorTable!$B$2:$Y$301, MATCH(ROUND(MIN(300,MAX(1,D225)),0), FactorTable!$A$2:$A$301,0), Skills!M23+1)</f>
        <v/>
      </c>
      <c r="F225">
        <f>IF(Skills!N23=TRUE,(Skills!L23/10)*(E225/1000),Skills!L23/10)+Skills!O23</f>
        <v/>
      </c>
      <c r="G225">
        <f>Calc!G23</f>
        <v/>
      </c>
      <c r="H225">
        <f>Calc!H23</f>
        <v/>
      </c>
      <c r="I225">
        <f>IF(Skills!X23&lt;&gt;"",1+(Skills!X23/10)*(Z205/1000)/100,1)</f>
        <v/>
      </c>
      <c r="J225" t="inlineStr"/>
      <c r="K225" t="inlineStr"/>
      <c r="L225" t="inlineStr"/>
      <c r="M225" t="inlineStr"/>
      <c r="N225" t="inlineStr"/>
      <c r="O225">
        <f>(1-Summary!$B$11)*S225+Summary!$B$11*U225</f>
        <v/>
      </c>
      <c r="P225">
        <f>IF(B243=0,0,O225/B243)</f>
        <v/>
      </c>
      <c r="Q225">
        <f>IFERROR(1/(IF(Inputs!$B$38="pvp",15,MAX(0.1,Skills!E23-IF(Skills!F23=TRUE,Inputs!$B$32,0)))*(1-IF(AND(ArtifactsInput!$M$27,Inputs!$B$4="Chapter Hunt"),CHOOSE(ArtifactsInput!$N$27+1,20,24,28,32,36,40),0)/100)),0)</f>
        <v/>
      </c>
      <c r="R225" t="n">
        <v>0</v>
      </c>
      <c r="S225" t="n">
        <v>0</v>
      </c>
      <c r="U225" t="n">
        <v>0</v>
      </c>
    </row>
    <row r="226">
      <c r="A226">
        <f>Skills!A24</f>
        <v/>
      </c>
      <c r="B226">
        <f>Skills!B24</f>
        <v/>
      </c>
      <c r="C226">
        <f>Inputs!$B$3&gt;=115</f>
        <v/>
      </c>
      <c r="D226">
        <f>IF(Skills!C24=1,60+Inputs!$B$25+Inputs!$B$29,IF(Skills!C24=2,90+Inputs!$B$26+Inputs!$B$29,IF(Skills!C24=3,120+Inputs!$B$27+Inputs!$B$29,MAX(0,(Inputs!$B$3-100)*3)+Inputs!$B$28+Inputs!$B$29)))</f>
        <v/>
      </c>
      <c r="E226">
        <f>INDEX(FactorTable!$B$2:$Y$301, MATCH(ROUND(MIN(300,MAX(1,D226)),0), FactorTable!$A$2:$A$301,0), Skills!M24+1)</f>
        <v/>
      </c>
      <c r="F226">
        <f>IF(Skills!N24=TRUE,(Skills!L24/10)*(E226/1000),Skills!L24/10)+Skills!O24</f>
        <v/>
      </c>
      <c r="G226">
        <f>Calc!G24</f>
        <v/>
      </c>
      <c r="H226">
        <f>Calc!H24</f>
        <v/>
      </c>
      <c r="I226">
        <f>IF(Skills!X24&lt;&gt;"",1+(Skills!X24/10)*(Z205/1000)/100,1)</f>
        <v/>
      </c>
      <c r="J226">
        <f>((Inputs!$B$6*(1+Inputs!$B$7/100))+(((Inputs!$B$12*(1+Inputs!$B$13/100))-(Inputs!$B$12*(1+Inputs!$B$13/100)))+0.25*(Inputs!$B$14-Inputs!$B$14))*(1+Inputs!$B$7/100))*(F226/100)</f>
        <v/>
      </c>
      <c r="K226">
        <f>J226*(1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226)</f>
        <v/>
      </c>
      <c r="L226">
        <f>K226*(MIN(Inputs!$B$22+(F224-Calc!F22),(Inputs!$B$23+(IF(ArtifactsInput!$M$15,CHOOSE(ArtifactsInput!$N$15+1,25,30,35,40,45,50)/100*(Inputs!$B$11-Inputs!$B$11),0))))/100+(Inputs!$B$23+(IF(ArtifactsInput!$M$15,CHOOSE(ArtifactsInput!$N$15+1,25,30,35,40,45,50)/100*(Inputs!$B$11-Inputs!$B$11),0)))/100)/2</f>
        <v/>
      </c>
      <c r="M226">
        <f>L226*(1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6">
        <f>L226*(1-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226*(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6">
        <f>(1-Summary!$B$11)*S226+Summary!$B$11*U226</f>
        <v/>
      </c>
      <c r="P226">
        <f>IF(B243=0,0,O226/B243)</f>
        <v/>
      </c>
      <c r="Q226">
        <f>IFERROR(1/(IF(Inputs!$B$38="pvp",15,MAX(0.1,Skills!E24-IF(Skills!F24=TRUE,Inputs!$B$32,0)))*(1-IF(AND(ArtifactsInput!$M$27,Inputs!$B$4="Chapter Hunt"),CHOOSE(ArtifactsInput!$N$27+1,20,24,28,32,36,40),0)/100)),0)</f>
        <v/>
      </c>
      <c r="R226">
        <f>IF(AND(Inputs!$B$38&lt;&gt;"pvp",Inputs!$B$43&gt;0),IF(MAX(0,Inputs!$B$43-B240)&lt;=0,0,(INT(MAX(0,Inputs!$B$43-B240)/(IF(Inputs!$B$38="pvp",15,MAX(0.1,Skills!E24-IF(Skills!F24=TRUE,Inputs!$B$32,0)))*(1-IF(AND(ArtifactsInput!$M$27,Inputs!$B$4="Chapter Hunt"),CHOOSE(ArtifactsInput!$N$27+1,20,24,28,32,36,40),0)/100)))+1)),0)</f>
        <v/>
      </c>
      <c r="S226">
        <f>IF(C226,(H226*N226*IF(AND(Inputs!$B$38&lt;&gt;"pvp",Inputs!$B$43&gt;0),((Skills!G24*((R226-1)*IF(Skills!H24&gt;0,Skills!I24/Skills!H24,1)+IF(Skills!H24&gt;0,MIN(Skills!I24,MAX(0,MAX(0,Inputs!$B$43-B240)-((R226-1)*(IF(Inputs!$B$38="pvp",15,MAX(0.1,Skills!E24-IF(Skills!F24=TRUE,Inputs!$B$32,0)))*(1-IF(AND(ArtifactsInput!$M$27,Inputs!$B$4="Chapter Hunt"),CHOOSE(ArtifactsInput!$N$27+1,20,24,28,32,36,40),0)/100)))))/Skills!H24,1)))/Inputs!$B$43),G226*Q226)*(1+IF(Inputs!$B$3&gt;=130,0.2*(Skills!I16/Skills!E15+IF(Inputs!$B$3&gt;=126,0.05*(B238+Q215+(H216*B239)/(1+Skills!H14*H216*B239)+Q226)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226*(1-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226*(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226*(1-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226*(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6">
        <f>IF(C226,(H226*N226*IF(AND(Inputs!$B$38&lt;&gt;"pvp",Inputs!$B$43&gt;0),((Skills!G24*((R226-1)*IF(Skills!H24&gt;0,Skills!I24/Skills!H24,1)+IF(Skills!H24&gt;0,MIN(Skills!I24,MAX(0,MAX(0,Inputs!$B$43-B240)-((R226-1)*(IF(Inputs!$B$38="pvp",15,MAX(0.1,Skills!E24-IF(Skills!F24=TRUE,Inputs!$B$32,0)))*(1-IF(AND(ArtifactsInput!$M$27,Inputs!$B$4="Chapter Hunt"),CHOOSE(ArtifactsInput!$N$27+1,20,24,28,32,36,40),0)/100)))))/Skills!H24,1)))/Inputs!$B$43),G226*Q226)*(1+IF(Inputs!$B$3&gt;=130,0.2*(Skills!I16/Skills!E15+IF(Inputs!$B$3&gt;=126,0.05*(B238+Q215+(H216*B239)/(1+Skills!H14*H216*B239)+Q226)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
      <c r="A227">
        <f>Skills!A25</f>
        <v/>
      </c>
      <c r="B227">
        <f>Skills!B25</f>
        <v/>
      </c>
      <c r="C227">
        <f>Inputs!$B$3&gt;=117</f>
        <v/>
      </c>
      <c r="D227">
        <f>IF(Skills!C25=1,60+Inputs!$B$25+Inputs!$B$29,IF(Skills!C25=2,90+Inputs!$B$26+Inputs!$B$29,IF(Skills!C25=3,120+Inputs!$B$27+Inputs!$B$29,MAX(0,(Inputs!$B$3-100)*3)+Inputs!$B$28+Inputs!$B$29)))</f>
        <v/>
      </c>
      <c r="E227">
        <f>INDEX(FactorTable!$B$2:$Y$301, MATCH(ROUND(MIN(300,MAX(1,D227)),0), FactorTable!$A$2:$A$301,0), Skills!M25+1)</f>
        <v/>
      </c>
      <c r="F227">
        <f>IF(Skills!N25=TRUE,(Skills!L25/10)*(E227/1000),Skills!L25/10)+Skills!O25</f>
        <v/>
      </c>
      <c r="G227">
        <f>Calc!G25</f>
        <v/>
      </c>
      <c r="H227">
        <f>Calc!H25</f>
        <v/>
      </c>
      <c r="I227">
        <f>IF(Skills!X25&lt;&gt;"",1+(Skills!X25/10)*(Z205/1000)/100,1)</f>
        <v/>
      </c>
      <c r="J227" t="inlineStr"/>
      <c r="K227" t="inlineStr"/>
      <c r="L227" t="inlineStr"/>
      <c r="M227" t="inlineStr"/>
      <c r="N227" t="inlineStr"/>
      <c r="O227">
        <f>(1-Summary!$B$11)*S227+Summary!$B$11*U227</f>
        <v/>
      </c>
      <c r="P227">
        <f>IF(B243=0,0,O227/B243)</f>
        <v/>
      </c>
      <c r="Q227">
        <f>IFERROR(1/(IF(Inputs!$B$38="pvp",15,MAX(0.1,Skills!E25-IF(Skills!F25=TRUE,Inputs!$B$32,0)))*(1-IF(AND(ArtifactsInput!$M$27,Inputs!$B$4="Chapter Hunt"),CHOOSE(ArtifactsInput!$N$27+1,20,24,28,32,36,40),0)/100)),0)</f>
        <v/>
      </c>
      <c r="R227" t="n">
        <v>0</v>
      </c>
      <c r="S227" t="n">
        <v>0</v>
      </c>
      <c r="U227" t="n">
        <v>0</v>
      </c>
    </row>
    <row r="228">
      <c r="A228">
        <f>Skills!A26</f>
        <v/>
      </c>
      <c r="B228">
        <f>Skills!B26</f>
        <v/>
      </c>
      <c r="C228">
        <f>Inputs!$B$3&gt;=120</f>
        <v/>
      </c>
      <c r="D228">
        <f>IF(Skills!C26=1,60+Inputs!$B$25+Inputs!$B$29,IF(Skills!C26=2,90+Inputs!$B$26+Inputs!$B$29,IF(Skills!C26=3,120+Inputs!$B$27+Inputs!$B$29,MAX(0,(Inputs!$B$3-100)*3)+Inputs!$B$28+Inputs!$B$29)))</f>
        <v/>
      </c>
      <c r="E228">
        <f>INDEX(FactorTable!$B$2:$Y$301, MATCH(ROUND(MIN(300,MAX(1,D228)),0), FactorTable!$A$2:$A$301,0), Skills!M26+1)</f>
        <v/>
      </c>
      <c r="F228">
        <f>IF(Skills!N26=TRUE,(Skills!L26/10)*(E228/1000),Skills!L26/10)+Skills!O26</f>
        <v/>
      </c>
      <c r="G228">
        <f>Calc!G26</f>
        <v/>
      </c>
      <c r="H228">
        <f>Calc!H26</f>
        <v/>
      </c>
      <c r="I228">
        <f>IF(Skills!X26&lt;&gt;"",1+(Skills!X26/10)*(Z205/1000)/100,1)</f>
        <v/>
      </c>
      <c r="J228" t="inlineStr"/>
      <c r="K228" t="inlineStr"/>
      <c r="L228" t="inlineStr"/>
      <c r="M228" t="inlineStr"/>
      <c r="N228" t="inlineStr"/>
      <c r="O228">
        <f>(1-Summary!$B$11)*S228+Summary!$B$11*U228</f>
        <v/>
      </c>
      <c r="P228">
        <f>IF(B243=0,0,O228/B243)</f>
        <v/>
      </c>
      <c r="Q228">
        <f>IFERROR(1/(IF(Inputs!$B$38="pvp",15,MAX(0.1,Skills!E26-IF(Skills!F26=TRUE,Inputs!$B$32,0)))*(1-IF(AND(ArtifactsInput!$M$27,Inputs!$B$4="Chapter Hunt"),CHOOSE(ArtifactsInput!$N$27+1,20,24,28,32,36,40),0)/100)),0)</f>
        <v/>
      </c>
      <c r="R228" t="n">
        <v>0</v>
      </c>
      <c r="S228" t="n">
        <v>0</v>
      </c>
      <c r="U228" t="n">
        <v>0</v>
      </c>
    </row>
    <row r="229">
      <c r="A229">
        <f>Skills!A27</f>
        <v/>
      </c>
      <c r="B229">
        <f>Skills!B27</f>
        <v/>
      </c>
      <c r="C229">
        <f>Inputs!$B$3&gt;=125</f>
        <v/>
      </c>
      <c r="D229">
        <f>IF(Skills!C27=1,60+Inputs!$B$25+Inputs!$B$29,IF(Skills!C27=2,90+Inputs!$B$26+Inputs!$B$29,IF(Skills!C27=3,120+Inputs!$B$27+Inputs!$B$29,MAX(0,(Inputs!$B$3-100)*3)+Inputs!$B$28+Inputs!$B$29)))</f>
        <v/>
      </c>
      <c r="E229">
        <f>INDEX(FactorTable!$B$2:$Y$301, MATCH(ROUND(MIN(300,MAX(1,D229)),0), FactorTable!$A$2:$A$301,0), Skills!M27+1)</f>
        <v/>
      </c>
      <c r="F229">
        <f>IF(Skills!N27=TRUE,(Skills!L27/10)*(E229/1000),Skills!L27/10)+Skills!O27</f>
        <v/>
      </c>
      <c r="G229">
        <f>Calc!G27</f>
        <v/>
      </c>
      <c r="H229">
        <f>Calc!H27</f>
        <v/>
      </c>
      <c r="I229">
        <f>IF(Skills!X27&lt;&gt;"",1+(Skills!X27/10)*(Z205/1000)/100,1)</f>
        <v/>
      </c>
      <c r="J229" t="inlineStr"/>
      <c r="K229" t="inlineStr"/>
      <c r="L229" t="inlineStr"/>
      <c r="M229" t="inlineStr"/>
      <c r="N229" t="inlineStr"/>
      <c r="O229">
        <f>(1-Summary!$B$11)*S229+Summary!$B$11*U229</f>
        <v/>
      </c>
      <c r="P229">
        <f>IF(B243=0,0,O229/B243)</f>
        <v/>
      </c>
      <c r="Q229">
        <f>IFERROR(1/(IF(Inputs!$B$38="pvp",15,MAX(0.1,Skills!E27-IF(Skills!F27=TRUE,Inputs!$B$32,0)))*(1-IF(AND(ArtifactsInput!$M$27,Inputs!$B$4="Chapter Hunt"),CHOOSE(ArtifactsInput!$N$27+1,20,24,28,32,36,40),0)/100)),0)</f>
        <v/>
      </c>
      <c r="R229" t="n">
        <v>0</v>
      </c>
      <c r="S229" t="n">
        <v>0</v>
      </c>
      <c r="U229" t="n">
        <v>0</v>
      </c>
    </row>
    <row r="230">
      <c r="A230">
        <f>Skills!A28</f>
        <v/>
      </c>
      <c r="B230">
        <f>Skills!B28</f>
        <v/>
      </c>
      <c r="C230">
        <f>Inputs!$B$3&gt;=118</f>
        <v/>
      </c>
      <c r="D230">
        <f>IF(Skills!C28=1,60+Inputs!$B$25+Inputs!$B$29,IF(Skills!C28=2,90+Inputs!$B$26+Inputs!$B$29,IF(Skills!C28=3,120+Inputs!$B$27+Inputs!$B$29,MAX(0,(Inputs!$B$3-100)*3)+Inputs!$B$28+Inputs!$B$29)))</f>
        <v/>
      </c>
      <c r="E230">
        <f>INDEX(FactorTable!$B$2:$Y$301, MATCH(ROUND(MIN(300,MAX(1,D230)),0), FactorTable!$A$2:$A$301,0), Skills!M28+1)</f>
        <v/>
      </c>
      <c r="F230">
        <f>IF(Skills!N28=TRUE,(Skills!L28/10)*(E230/1000),Skills!L28/10)+Skills!O28</f>
        <v/>
      </c>
      <c r="G230">
        <f>Calc!G28</f>
        <v/>
      </c>
      <c r="H230">
        <f>Calc!H28</f>
        <v/>
      </c>
      <c r="I230">
        <f>IF(Skills!X28&lt;&gt;"",1+(Skills!X28/10)*(Z205/1000)/100,1)</f>
        <v/>
      </c>
      <c r="J230">
        <f>((Inputs!$B$6*(1+Inputs!$B$7/100))+(((Inputs!$B$12*(1+Inputs!$B$13/100))-(Inputs!$B$12*(1+Inputs!$B$13/100)))+0.25*(Inputs!$B$14-Inputs!$B$14))*(1+Inputs!$B$7/100))*(F230/100)</f>
        <v/>
      </c>
      <c r="K230">
        <f>J230*(1+((Inputs!$B$12*(1+Inputs!$B$13/100))*0.01+Inputs!$B$14*0.0025)/100)*(1+Inputs!$B$15/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225/100)*(1+IF(Inputs!$B$3&gt;=120,F228,0)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5,0)))/100)*(B232*B233*B234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230)</f>
        <v/>
      </c>
      <c r="L230">
        <f>K230*(MIN(Inputs!$B$22+(F224-Calc!F22),(Inputs!$B$23+(IF(ArtifactsInput!$M$15,CHOOSE(ArtifactsInput!$N$15+1,25,30,35,40,45,50)/100*(Inputs!$B$11-Inputs!$B$11),0))))/100+(Inputs!$B$23+(IF(ArtifactsInput!$M$15,CHOOSE(ArtifactsInput!$N$15+1,25,30,35,40,45,50)/100*(Inputs!$B$11-Inputs!$B$11),0)))/100)/2</f>
        <v/>
      </c>
      <c r="M230">
        <f>L230*(1+(Inputs!$B$10+(F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0">
        <f>L230*(1-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230*(MIN((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0">
        <f>(1-Summary!$B$11)*S230+Summary!$B$11*U230</f>
        <v/>
      </c>
      <c r="P230">
        <f>IF(B243=0,0,O230/B243)</f>
        <v/>
      </c>
      <c r="Q230">
        <f>IFERROR(1/(IF(Inputs!$B$38="pvp",15,MAX(0.1,Skills!E28-IF(Skills!F28=TRUE,Inputs!$B$32,0)))*(1-IF(AND(ArtifactsInput!$M$27,Inputs!$B$4="Chapter Hunt"),CHOOSE(ArtifactsInput!$N$27+1,20,24,28,32,36,40),0)/100)),0)</f>
        <v/>
      </c>
      <c r="R230">
        <f>IF(AND(Inputs!$B$38&lt;&gt;"pvp",Inputs!$B$43&gt;0),IF(MAX(0,Inputs!$B$43-B240)&lt;=0,0,(INT(MAX(0,Inputs!$B$43-B240)/(IF(Inputs!$B$38="pvp",15,MAX(0.1,Skills!E28-IF(Skills!F28=TRUE,Inputs!$B$32,0)))*(1-IF(AND(ArtifactsInput!$M$27,Inputs!$B$4="Chapter Hunt"),CHOOSE(ArtifactsInput!$N$27+1,20,24,28,32,36,40),0)/100)))+1)),0)</f>
        <v/>
      </c>
      <c r="S230">
        <f>IF(C230,(H230*N230*IF(AND(Inputs!$B$38&lt;&gt;"pvp",Inputs!$B$43&gt;0),((Skills!G28*((R230-1)*IF(Skills!H28&gt;0,Skills!I28/Skills!H28,1)+IF(Skills!H28&gt;0,MIN(Skills!I28,MAX(0,MAX(0,Inputs!$B$43-B240)-((R230-1)*(IF(Inputs!$B$38="pvp",15,MAX(0.1,Skills!E28-IF(Skills!F28=TRUE,Inputs!$B$32,0)))*(1-IF(AND(ArtifactsInput!$M$27,Inputs!$B$4="Chapter Hunt"),CHOOSE(ArtifactsInput!$N$27+1,20,24,28,32,36,40),0)/100)))))/Skills!H28,1)))/Inputs!$B$43),G230*Q230)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230*(1-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230*(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230*(1-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230*(MIN(100,(Inputs!$B$9+(F222-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0">
        <f>IF(C230,(H230*N230*IF(AND(Inputs!$B$38&lt;&gt;"pvp",Inputs!$B$43&gt;0),((Skills!G28*((R230-1)*IF(Skills!H28&gt;0,Skills!I28/Skills!H28,1)+IF(Skills!H28&gt;0,MIN(Skills!I28,MAX(0,MAX(0,Inputs!$B$43-B240)-((R230-1)*(IF(Inputs!$B$38="pvp",15,MAX(0.1,Skills!E28-IF(Skills!F28=TRUE,Inputs!$B$32,0)))*(1-IF(AND(ArtifactsInput!$M$27,Inputs!$B$4="Chapter Hunt"),CHOOSE(ArtifactsInput!$N$27+1,20,24,28,32,36,40),0)/100)))))/Skills!H28,1)))/Inputs!$B$43),G230*Q230)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
      <c r="A232" t="inlineStr">
        <is>
          <t>Burning Magic Multiplier</t>
        </is>
      </c>
      <c r="B232">
        <f>1+(F213*Skills!Z11)/100</f>
        <v/>
      </c>
    </row>
    <row r="233">
      <c r="A233" t="inlineStr">
        <is>
          <t>Elemental Decrease Multiplier (always-on)</t>
        </is>
      </c>
      <c r="B233">
        <f>1+(F214+(IF(AND(ArtifactsInput!$M$35,Inputs!$B$4&lt;&gt;"Chapter Hunt"),CHOOSE(ArtifactsInput!$N$35+1,15,18,21,24,27,30)*(1-EXP(-(0.2*B236)*5)),0)+IF(AND(ArtifactsInput!$M$22,Inputs!$B$4&lt;&gt;"Chapter Hunt"),CHOOSE(ArtifactsInput!$N$22+1,10,12,14,16,18,20)*((0*(((0.15*B236*5))^0/1)+1*(((0.15*B236*5))^1/1)+2*(((0.15*B236*5))^2/2)+3*(((0.15*B236*5))^3/6)+4*(((0.15*B236*5))^4/24)+5*(((0.15*B236*5))^5/120))/((((0.15*B236*5))^0/1)+(((0.15*B236*5))^1/1)+(((0.15*B236*5))^2/2)+(((0.15*B236*5))^3/6)+(((0.15*B236*5))^4/24)+(((0.15*B236*5))^5/120))),0)))/100</f>
        <v/>
      </c>
    </row>
    <row r="234">
      <c r="A234" t="inlineStr">
        <is>
          <t>Average Buff Multiplier (Magic Guard + Meditation + Artifact Attack%, summed; then Infinity)</t>
        </is>
      </c>
      <c r="B234">
        <f>(1+(F208*IF(AND(Inputs!$B$38&lt;&gt;"pvp",Inputs!$B$43&gt;0),(((R208-1)*(Skills!T6*(1+((Inputs!$B$34+(ArtifactsInput!$M$7-ArtifactsInput!$M$7)*CHOOSE(ArtifactsInput!$N$7+1,6,7.2,8.4,9.6,10.8,12)))/100))+MIN((Skills!T6*(1+((Inputs!$B$34+(ArtifactsInput!$M$7-ArtifactsInput!$M$7)*CHOOSE(ArtifactsInput!$N$7+1,6,7.2,8.4,9.6,10.8,12)))/100)),MAX(0,Inputs!$B$43-((R208-1)*Skills!E6))))/Inputs!$B$43),IF(Inputs!$B$38="pvp",MIN((Skills!T6*(1+((Inputs!$B$34+(ArtifactsInput!$M$7-ArtifactsInput!$M$7)*CHOOSE(ArtifactsInput!$N$7+1,6,7.2,8.4,9.6,10.8,12)))/100)),15)/15,(Skills!T6*(1+((Inputs!$B$34+(ArtifactsInput!$M$7-ArtifactsInput!$M$7)*CHOOSE(ArtifactsInput!$N$7+1,6,7.2,8.4,9.6,10.8,12)))/100))/Skills!E6))+F219*IF(AND(Inputs!$B$38&lt;&gt;"pvp",Inputs!$B$43&gt;0),(((R219-1)*(Skills!T17*(1+((Inputs!$B$34+(ArtifactsInput!$M$7-ArtifactsInput!$M$7)*CHOOSE(ArtifactsInput!$N$7+1,6,7.2,8.4,9.6,10.8,12)))/100))+MIN((Skills!T17*(1+((Inputs!$B$34+(ArtifactsInput!$M$7-ArtifactsInput!$M$7)*CHOOSE(ArtifactsInput!$N$7+1,6,7.2,8.4,9.6,10.8,12)))/100)),MAX(0,Inputs!$B$43-((R219-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221=TRUE,(1+F221*IF(AND(Inputs!$B$38&lt;&gt;"pvp",Inputs!$B$43&gt;0),(((R221-1)*(Skills!T19*(1+((Inputs!$B$34+(ArtifactsInput!$M$7-ArtifactsInput!$M$7)*CHOOSE(ArtifactsInput!$N$7+1,6,7.2,8.4,9.6,10.8,12)))/100))+MIN((Skills!T19*(1+((Inputs!$B$34+(ArtifactsInput!$M$7-ArtifactsInput!$M$7)*CHOOSE(ArtifactsInput!$N$7+1,6,7.2,8.4,9.6,10.8,12)))/100)),MAX(0,Inputs!$B$43-((R221-1)*Skills!E19))))/Inputs!$B$43),IF(Inputs!$B$38="pvp",MIN((Skills!T19*(1+((Inputs!$B$34+(ArtifactsInput!$M$7-ArtifactsInput!$M$7)*CHOOSE(ArtifactsInput!$N$7+1,6,7.2,8.4,9.6,10.8,12)))/100)),15)/15,(Skills!T19*(1+((Inputs!$B$34+(ArtifactsInput!$M$7-ArtifactsInput!$M$7)*CHOOSE(ArtifactsInput!$N$7+1,6,7.2,8.4,9.6,10.8,12)))/100))/Skills!E19))/100),1)</f>
        <v/>
      </c>
    </row>
    <row r="235">
      <c r="A235" t="inlineStr">
        <is>
          <t>Attack Speed Buff Bonus % (Nimble Feet, averaged)</t>
        </is>
      </c>
      <c r="B235">
        <f>F220*IF(AND(Inputs!$B$38&lt;&gt;"pvp",Inputs!$B$43&gt;0),(((R220-1)*(Skills!T18*(1+((Inputs!$B$34+(ArtifactsInput!$M$7-ArtifactsInput!$M$7)*CHOOSE(ArtifactsInput!$N$7+1,6,7.2,8.4,9.6,10.8,12)))/100))+MIN((Skills!T18*(1+((Inputs!$B$34+(ArtifactsInput!$M$7-ArtifactsInput!$M$7)*CHOOSE(ArtifactsInput!$N$7+1,6,7.2,8.4,9.6,10.8,12)))/100)),MAX(0,Inputs!$B$43-((R220-1)*Skills!E18))))/Inputs!$B$43),IF(Inputs!$B$38="pvp",MIN((Skills!T18*(1+((Inputs!$B$34+(ArtifactsInput!$M$7-ArtifactsInput!$M$7)*CHOOSE(ArtifactsInput!$N$7+1,6,7.2,8.4,9.6,10.8,12)))/100)),15)/15,(Skills!T18*(1+((Inputs!$B$34+(ArtifactsInput!$M$7-ArtifactsInput!$M$7)*CHOOSE(ArtifactsInput!$N$7+1,6,7.2,8.4,9.6,10.8,12)))/100))/Skills!E18))</f>
        <v/>
      </c>
    </row>
    <row r="236">
      <c r="A236" t="inlineStr">
        <is>
          <t>Actions Per Second</t>
        </is>
      </c>
      <c r="B236">
        <f>1+MIN(150,150*(1-(1-(Inputs!$B$11+(ArtifactsInput!$M$15-ArtifactsInput!$M$15)*CHOOSE(ArtifactsInput!$N$15+1,8,9.6,11.2,12.8,14.4,16))/150)*(1-B235/150)))/100</f>
        <v/>
      </c>
    </row>
    <row r="237">
      <c r="A237" t="inlineStr">
        <is>
          <t>Skill + Buff Cast Rate</t>
        </is>
      </c>
      <c r="B237">
        <f>IF(AND(Inputs!$B$38&lt;&gt;"pvp",Inputs!$B$43&gt;0),SUMPRODUCT((Skills!F2:F28=TRUE)*(C204:C230=TRUE)*R204:R230)/Inputs!$B$43,SUMPRODUCT((Skills!F2:F28=TRUE)*(C204:C230=TRUE)*Q204:Q230))</f>
        <v/>
      </c>
    </row>
    <row r="238">
      <c r="A238" t="inlineStr">
        <is>
          <t>Basic Attacks Per Second</t>
        </is>
      </c>
      <c r="B238">
        <f>MAX(0,B236-B237)</f>
        <v/>
      </c>
    </row>
    <row r="239">
      <c r="A239" t="inlineStr">
        <is>
          <t>Meteor Proc — combined trigger cast rate</t>
        </is>
      </c>
      <c r="B239">
        <f>IF(AND(Inputs!$B$38&lt;&gt;"pvp",Inputs!$B$43&gt;0),SUMPRODUCT((Skills!V2:V28=TRUE)*(C204:C230=TRUE)*R204:R230*Skills!W2:W28)/Inputs!$B$43,SUMPRODUCT((Skills!V2:V28=TRUE)*(C204:C230=TRUE)*Q204:Q230*Skills!W2:W28))+B238</f>
        <v/>
      </c>
    </row>
    <row r="240">
      <c r="A240" t="inlineStr">
        <is>
          <t>Buff-Casting Startup Delay (s, fixed-duration only)</t>
        </is>
      </c>
      <c r="B240">
        <f>IF(AND(Inputs!$B$38&lt;&gt;"pvp",Inputs!$B$43&gt;0),SUMPRODUCT((Skills!T2:T28&gt;0)*(Skills!F2:F28=TRUE)*(C204:C230=TRUE))/B236,0)</f>
        <v/>
      </c>
    </row>
    <row r="241">
      <c r="A241" t="inlineStr">
        <is>
          <t>Boss-Only Total DPS (this block's swept value)</t>
        </is>
      </c>
      <c r="B241">
        <f>SUM(S204:S230)</f>
        <v/>
      </c>
    </row>
    <row r="242">
      <c r="A242" t="inlineStr">
        <is>
          <t>Normal-Only Total DPS (this block's swept value)</t>
        </is>
      </c>
      <c r="B242">
        <f>SUM(U204:U230)</f>
        <v/>
      </c>
    </row>
    <row r="243">
      <c r="A243" s="6" t="inlineStr">
        <is>
          <t>TOTAL DPS</t>
        </is>
      </c>
      <c r="B243" s="6">
        <f>SUM(O204:O230)</f>
        <v/>
      </c>
    </row>
    <row r="246">
      <c r="A246" s="6" t="inlineStr">
        <is>
          <t>Stat: BOSS_DAMAGE %</t>
        </is>
      </c>
    </row>
    <row r="247">
      <c r="A247" s="5" t="inlineStr">
        <is>
          <t>Key</t>
        </is>
      </c>
      <c r="B247" s="5" t="inlineStr">
        <is>
          <t>Name</t>
        </is>
      </c>
      <c r="C247" s="5" t="inlineStr">
        <is>
          <t>Unlocked</t>
        </is>
      </c>
      <c r="D247" s="5" t="inlineStr">
        <is>
          <t>InputLevel</t>
        </is>
      </c>
      <c r="E247" s="5" t="inlineStr">
        <is>
          <t>Factor</t>
        </is>
      </c>
      <c r="F247" s="5" t="inlineStr">
        <is>
          <t>CoefficientPercent</t>
        </is>
      </c>
      <c r="G247" s="5" t="inlineStr">
        <is>
          <t>EffectiveHits</t>
        </is>
      </c>
      <c r="H247" s="5" t="inlineStr">
        <is>
          <t>ProcProbability</t>
        </is>
      </c>
      <c r="I247" s="5" t="inlineStr">
        <is>
          <t>MapleHeroMultiplier</t>
        </is>
      </c>
      <c r="J247" s="5" t="inlineStr">
        <is>
          <t>BaseDamage</t>
        </is>
      </c>
      <c r="K247" s="5" t="inlineStr">
        <is>
          <t>BaseHitDamage</t>
        </is>
      </c>
      <c r="L247" s="5" t="inlineStr">
        <is>
          <t>NonCritAvg</t>
        </is>
      </c>
      <c r="M247" s="5" t="inlineStr">
        <is>
          <t>CritAvg</t>
        </is>
      </c>
      <c r="N247" s="5" t="inlineStr">
        <is>
          <t>ExpectedDamage(perHit)</t>
        </is>
      </c>
      <c r="O247" s="5" t="inlineStr">
        <is>
          <t>DPS</t>
        </is>
      </c>
      <c r="P247" s="5" t="inlineStr">
        <is>
          <t>% of Total</t>
        </is>
      </c>
      <c r="R247" t="inlineStr">
        <is>
          <t>helpers</t>
        </is>
      </c>
    </row>
    <row r="248">
      <c r="A248">
        <f>Skills!A2</f>
        <v/>
      </c>
      <c r="B248">
        <f>Skills!B2</f>
        <v/>
      </c>
      <c r="C248">
        <f>TRUE</f>
        <v/>
      </c>
      <c r="D248" t="inlineStr"/>
      <c r="E248" t="inlineStr"/>
      <c r="F248">
        <f>T250+Skills!O2</f>
        <v/>
      </c>
      <c r="G248">
        <f>Calc!G2</f>
        <v/>
      </c>
      <c r="H248">
        <f>Calc!H2</f>
        <v/>
      </c>
      <c r="I248">
        <f>IF(Skills!X2&lt;&gt;"",1+(Skills!X2/10)*(Z249/1000)/100,1)</f>
        <v/>
      </c>
      <c r="J248">
        <f>((Inputs!$B$6*(1+Inputs!$B$7/100))+(((Inputs!$B$12*(1+Inputs!$B$13/100))-(Inputs!$B$12*(1+Inputs!$B$13/100)))+0.25*(Inputs!$B$14-Inputs!$B$14))*(1+Inputs!$B$7/100))*(F248/100)</f>
        <v/>
      </c>
      <c r="K248">
        <f>J248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248)</f>
        <v/>
      </c>
      <c r="L248">
        <f>K248*(MIN(Inputs!$B$22+(F268-Calc!F22),(Inputs!$B$23+(IF(ArtifactsInput!$M$15,CHOOSE(ArtifactsInput!$N$15+1,25,30,35,40,45,50)/100*(Inputs!$B$11-Inputs!$B$11),0))))/100+(Inputs!$B$23+(IF(ArtifactsInput!$M$15,CHOOSE(ArtifactsInput!$N$15+1,25,30,35,40,45,50)/100*(Inputs!$B$11-Inputs!$B$11),0)))/100)/2</f>
        <v/>
      </c>
      <c r="M248">
        <f>L248*(1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8">
        <f>L248*(1-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248*(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8">
        <f>(1-Summary!$B$11)*S248+Summary!$B$11*U248</f>
        <v/>
      </c>
      <c r="P248">
        <f>IF(B287=0,0,O248/B287)</f>
        <v/>
      </c>
      <c r="Q248">
        <f>IFERROR(1/(IF(Inputs!$B$38="pvp",15,MAX(0.1,Skills!E2-IF(Skills!F2=TRUE,Inputs!$B$32,0)))*(1-IF(AND(ArtifactsInput!$M$27,Inputs!$B$4="Chapter Hunt"),CHOOSE(ArtifactsInput!$N$27+1,20,24,28,32,36,40),0)/100)),0)</f>
        <v/>
      </c>
      <c r="R248" t="n">
        <v>0</v>
      </c>
      <c r="S248">
        <f>(Skills!G2*N248*B282)*IF(Inputs!$B$38="pvp",1,1+((Inputs!$B$20+1)+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248*(1-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248*(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248*(1-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248*(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48">
        <f>MAX(0,(Inputs!$B$3-100)*3)+Inputs!$B$28+Inputs!$B$29</f>
        <v/>
      </c>
      <c r="U248">
        <f>(Skills!G2*N248*B282)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48">
        <f>MAX(0,(Inputs!$B$3-100)*3)+Inputs!$B$28+Inputs!$B$29</f>
        <v/>
      </c>
    </row>
    <row r="249">
      <c r="A249">
        <f>Skills!A3</f>
        <v/>
      </c>
      <c r="B249">
        <f>Skills!B3</f>
        <v/>
      </c>
      <c r="C249">
        <f>TRUE</f>
        <v/>
      </c>
      <c r="D249">
        <f>IF(Skills!C3=1,60+Inputs!$B$25+Inputs!$B$29,IF(Skills!C3=2,90+Inputs!$B$26+Inputs!$B$29,IF(Skills!C3=3,120+Inputs!$B$27+Inputs!$B$29,MAX(0,(Inputs!$B$3-100)*3)+Inputs!$B$28+Inputs!$B$29)))</f>
        <v/>
      </c>
      <c r="E249">
        <f>INDEX(FactorTable!$B$2:$Y$301, MATCH(ROUND(MIN(300,MAX(1,D249)),0), FactorTable!$A$2:$A$301,0), Skills!M3+1)</f>
        <v/>
      </c>
      <c r="F249">
        <f>IF(Skills!N3=TRUE,(Skills!L3/10)*(E249/1000),Skills!L3/10)+Skills!O3</f>
        <v/>
      </c>
      <c r="G249">
        <f>Calc!G3</f>
        <v/>
      </c>
      <c r="H249">
        <f>Calc!H3</f>
        <v/>
      </c>
      <c r="I249">
        <f>IF(Skills!X3&lt;&gt;"",1+(Skills!X3/10)*(Z249/1000)/100,1)</f>
        <v/>
      </c>
      <c r="J249">
        <f>((Inputs!$B$6*(1+Inputs!$B$7/100))+(((Inputs!$B$12*(1+Inputs!$B$13/100))-(Inputs!$B$12*(1+Inputs!$B$13/100)))+0.25*(Inputs!$B$14-Inputs!$B$14))*(1+Inputs!$B$7/100))*(F249/100)</f>
        <v/>
      </c>
      <c r="K249">
        <f>J249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f>
        <v/>
      </c>
      <c r="L249">
        <f>K249*(MIN(Inputs!$B$22+(F268-Calc!F22),(Inputs!$B$23+(IF(ArtifactsInput!$M$15,CHOOSE(ArtifactsInput!$N$15+1,25,30,35,40,45,50)/100*(Inputs!$B$11-Inputs!$B$11),0))))/100+(Inputs!$B$23+(IF(ArtifactsInput!$M$15,CHOOSE(ArtifactsInput!$N$15+1,25,30,35,40,45,50)/100*(Inputs!$B$11-Inputs!$B$11),0)))/100)/2</f>
        <v/>
      </c>
      <c r="M249">
        <f>L249*(1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
        <f>L249*(1-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
        <f>(1-Summary!$B$11)*S249+Summary!$B$11*U249</f>
        <v/>
      </c>
      <c r="P249">
        <f>IF(B287=0,0,O249/B287)</f>
        <v/>
      </c>
      <c r="Q249">
        <f>IFERROR(1/(IF(Inputs!$B$38="pvp",15,MAX(0.1,Skills!E3-IF(Skills!F3=TRUE,Inputs!$B$32,0)))*(1-IF(AND(ArtifactsInput!$M$27,Inputs!$B$4="Chapter Hunt"),CHOOSE(ArtifactsInput!$N$27+1,20,24,28,32,36,40),0)/100)),0)</f>
        <v/>
      </c>
      <c r="R249">
        <f>IF(AND(Inputs!$B$38&lt;&gt;"pvp",Inputs!$B$43&gt;0),IF(MAX(0,Inputs!$B$43-B284)&lt;=0,0,(INT(MAX(0,Inputs!$B$43-B284)/(IF(Inputs!$B$38="pvp",15,MAX(0.1,Skills!E3-IF(Skills!F3=TRUE,Inputs!$B$32,0)))*(1-IF(AND(ArtifactsInput!$M$27,Inputs!$B$4="Chapter Hunt"),CHOOSE(ArtifactsInput!$N$27+1,20,24,28,32,36,40),0)/100)))+1)),0)</f>
        <v/>
      </c>
      <c r="S249">
        <f>IF(C249,(H249*N249*IF(AND(Inputs!$B$38&lt;&gt;"pvp",Inputs!$B$43&gt;0),((Skills!G3*((R249-1)*IF(Skills!H3&gt;0,Skills!I3/Skills!H3,1)+IF(Skills!H3&gt;0,MIN(Skills!I3,MAX(0,MAX(0,Inputs!$B$43-B284)-((R249-1)*(IF(Inputs!$B$38="pvp",15,MAX(0.1,Skills!E3-IF(Skills!F3=TRUE,Inputs!$B$32,0)))*(1-IF(AND(ArtifactsInput!$M$27,Inputs!$B$4="Chapter Hunt"),CHOOSE(ArtifactsInput!$N$27+1,20,24,28,32,36,40),0)/100)))))/Skills!H3,1)))/Inputs!$B$43),G249*Q249))*IF(Inputs!$B$38="pvp",1,1+((Inputs!$B$20+1)+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9">
        <f>INDEX(FactorTable!$B$2:$Y$301, MATCH(ROUND(MIN(300,MAX(1,T248)),0), FactorTable!$A$2:$A$301,0), 22)</f>
        <v/>
      </c>
      <c r="U249">
        <f>IF(C249,(H249*N249*IF(AND(Inputs!$B$38&lt;&gt;"pvp",Inputs!$B$43&gt;0),((Skills!G3*((R249-1)*IF(Skills!H3&gt;0,Skills!I3/Skills!H3,1)+IF(Skills!H3&gt;0,MIN(Skills!I3,MAX(0,MAX(0,Inputs!$B$43-B284)-((R249-1)*(IF(Inputs!$B$38="pvp",15,MAX(0.1,Skills!E3-IF(Skills!F3=TRUE,Inputs!$B$32,0)))*(1-IF(AND(ArtifactsInput!$M$27,Inputs!$B$4="Chapter Hunt"),CHOOSE(ArtifactsInput!$N$27+1,20,24,28,32,36,40),0)/100)))))/Skills!H3,1)))/Inputs!$B$43),G249*Q249)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49">
        <f>INDEX(FactorTable!$B$2:$Y$301, MATCH(ROUND(MIN(300,MAX(1,Z248)),0), FactorTable!$A$2:$A$301,0), 24)</f>
        <v/>
      </c>
    </row>
    <row r="250">
      <c r="A250">
        <f>Skills!A4</f>
        <v/>
      </c>
      <c r="B250">
        <f>Skills!B4</f>
        <v/>
      </c>
      <c r="C250">
        <f>TRUE</f>
        <v/>
      </c>
      <c r="D250">
        <f>IF(Skills!C4=1,60+Inputs!$B$25+Inputs!$B$29,IF(Skills!C4=2,90+Inputs!$B$26+Inputs!$B$29,IF(Skills!C4=3,120+Inputs!$B$27+Inputs!$B$29,MAX(0,(Inputs!$B$3-100)*3)+Inputs!$B$28+Inputs!$B$29)))</f>
        <v/>
      </c>
      <c r="E250">
        <f>INDEX(FactorTable!$B$2:$Y$301, MATCH(ROUND(MIN(300,MAX(1,D250)),0), FactorTable!$A$2:$A$301,0), Skills!M4+1)</f>
        <v/>
      </c>
      <c r="F250">
        <f>IF(Skills!N4=TRUE,(Skills!L4/10)*(E250/1000),Skills!L4/10)+Skills!O4</f>
        <v/>
      </c>
      <c r="G250">
        <f>Calc!G4</f>
        <v/>
      </c>
      <c r="H250">
        <f>Calc!H4</f>
        <v/>
      </c>
      <c r="I250">
        <f>IF(Skills!X4&lt;&gt;"",1+(Skills!X4/10)*(Z249/1000)/100,1)</f>
        <v/>
      </c>
      <c r="J250">
        <f>((Inputs!$B$6*(1+Inputs!$B$7/100))+(((Inputs!$B$12*(1+Inputs!$B$13/100))-(Inputs!$B$12*(1+Inputs!$B$13/100)))+0.25*(Inputs!$B$14-Inputs!$B$14))*(1+Inputs!$B$7/100))*(F250/100)</f>
        <v/>
      </c>
      <c r="K250">
        <f>J250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f>
        <v/>
      </c>
      <c r="L250">
        <f>K250*(MIN(Inputs!$B$22+(F268-Calc!F22),(Inputs!$B$23+(IF(ArtifactsInput!$M$15,CHOOSE(ArtifactsInput!$N$15+1,25,30,35,40,45,50)/100*(Inputs!$B$11-Inputs!$B$11),0))))/100+(Inputs!$B$23+(IF(ArtifactsInput!$M$15,CHOOSE(ArtifactsInput!$N$15+1,25,30,35,40,45,50)/100*(Inputs!$B$11-Inputs!$B$11),0)))/100)/2</f>
        <v/>
      </c>
      <c r="M250">
        <f>L250*(1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
        <f>L250*(1-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
        <f>(1-Summary!$B$11)*S250+Summary!$B$11*U250</f>
        <v/>
      </c>
      <c r="P250">
        <f>IF(B287=0,0,O250/B287)</f>
        <v/>
      </c>
      <c r="Q250">
        <f>IFERROR(1/(IF(Inputs!$B$38="pvp",15,MAX(0.1,Skills!E4-IF(Skills!F4=TRUE,Inputs!$B$32,0)))*(1-IF(AND(ArtifactsInput!$M$27,Inputs!$B$4="Chapter Hunt"),CHOOSE(ArtifactsInput!$N$27+1,20,24,28,32,36,40),0)/100)),0)</f>
        <v/>
      </c>
      <c r="R250">
        <f>IF(AND(Inputs!$B$38&lt;&gt;"pvp",Inputs!$B$43&gt;0),IF(MAX(0,Inputs!$B$43-B284)&lt;=0,0,(INT(MAX(0,Inputs!$B$43-B284)/(IF(Inputs!$B$38="pvp",15,MAX(0.1,Skills!E4-IF(Skills!F4=TRUE,Inputs!$B$32,0)))*(1-IF(AND(ArtifactsInput!$M$27,Inputs!$B$4="Chapter Hunt"),CHOOSE(ArtifactsInput!$N$27+1,20,24,28,32,36,40),0)/100)))+1)),0)</f>
        <v/>
      </c>
      <c r="S250">
        <f>IF(C250,(H250*N250*IF(AND(Inputs!$B$38&lt;&gt;"pvp",Inputs!$B$43&gt;0),((Skills!G4*((R250-1)*IF(Skills!H4&gt;0,Skills!I4/Skills!H4,1)+IF(Skills!H4&gt;0,MIN(Skills!I4,MAX(0,MAX(0,Inputs!$B$43-B284)-((R250-1)*(IF(Inputs!$B$38="pvp",15,MAX(0.1,Skills!E4-IF(Skills!F4=TRUE,Inputs!$B$32,0)))*(1-IF(AND(ArtifactsInput!$M$27,Inputs!$B$4="Chapter Hunt"),CHOOSE(ArtifactsInput!$N$27+1,20,24,28,32,36,40),0)/100)))))/Skills!H4,1)))/Inputs!$B$43),G250*Q250))*IF(Inputs!$B$38="pvp",1,1+((Inputs!$B$20+1)+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50">
        <f>290*T249/1000</f>
        <v/>
      </c>
      <c r="U250">
        <f>IF(C250,(H250*N250*IF(AND(Inputs!$B$38&lt;&gt;"pvp",Inputs!$B$43&gt;0),((Skills!G4*((R250-1)*IF(Skills!H4&gt;0,Skills!I4/Skills!H4,1)+IF(Skills!H4&gt;0,MIN(Skills!I4,MAX(0,MAX(0,Inputs!$B$43-B284)-((R250-1)*(IF(Inputs!$B$38="pvp",15,MAX(0.1,Skills!E4-IF(Skills!F4=TRUE,Inputs!$B$32,0)))*(1-IF(AND(ArtifactsInput!$M$27,Inputs!$B$4="Chapter Hunt"),CHOOSE(ArtifactsInput!$N$27+1,20,24,28,32,36,40),0)/100)))))/Skills!H4,1)))/Inputs!$B$43),G250*Q250)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
      <c r="A251">
        <f>Skills!A5</f>
        <v/>
      </c>
      <c r="B251">
        <f>Skills!B5</f>
        <v/>
      </c>
      <c r="C251">
        <f>TRUE</f>
        <v/>
      </c>
      <c r="D251">
        <f>IF(Skills!C5=1,60+Inputs!$B$25+Inputs!$B$29,IF(Skills!C5=2,90+Inputs!$B$26+Inputs!$B$29,IF(Skills!C5=3,120+Inputs!$B$27+Inputs!$B$29,MAX(0,(Inputs!$B$3-100)*3)+Inputs!$B$28+Inputs!$B$29)))</f>
        <v/>
      </c>
      <c r="E251">
        <f>INDEX(FactorTable!$B$2:$Y$301, MATCH(ROUND(MIN(300,MAX(1,D251)),0), FactorTable!$A$2:$A$301,0), Skills!M5+1)</f>
        <v/>
      </c>
      <c r="F251">
        <f>IF(Skills!N5=TRUE,(Skills!L5/10)*(E251/1000),Skills!L5/10)+Skills!O5</f>
        <v/>
      </c>
      <c r="G251">
        <f>Calc!G5</f>
        <v/>
      </c>
      <c r="H251">
        <f>Calc!H5</f>
        <v/>
      </c>
      <c r="I251">
        <f>IF(Skills!X5&lt;&gt;"",1+(Skills!X5/10)*(Z249/1000)/100,1)</f>
        <v/>
      </c>
      <c r="J251">
        <f>((Inputs!$B$6*(1+Inputs!$B$7/100))+(((Inputs!$B$12*(1+Inputs!$B$13/100))-(Inputs!$B$12*(1+Inputs!$B$13/100)))+0.25*(Inputs!$B$14-Inputs!$B$14))*(1+Inputs!$B$7/100))*(F251/100)</f>
        <v/>
      </c>
      <c r="K251">
        <f>J251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f>
        <v/>
      </c>
      <c r="L251">
        <f>K251*(MIN(Inputs!$B$22+(F268-Calc!F22),(Inputs!$B$23+(IF(ArtifactsInput!$M$15,CHOOSE(ArtifactsInput!$N$15+1,25,30,35,40,45,50)/100*(Inputs!$B$11-Inputs!$B$11),0))))/100+(Inputs!$B$23+(IF(ArtifactsInput!$M$15,CHOOSE(ArtifactsInput!$N$15+1,25,30,35,40,45,50)/100*(Inputs!$B$11-Inputs!$B$11),0)))/100)/2</f>
        <v/>
      </c>
      <c r="M251">
        <f>L251*(1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
        <f>L251*(1-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
        <f>(1-Summary!$B$11)*S251+Summary!$B$11*U251</f>
        <v/>
      </c>
      <c r="P251">
        <f>IF(B287=0,0,O251/B287)</f>
        <v/>
      </c>
      <c r="Q251">
        <f>IFERROR(1/(IF(Inputs!$B$38="pvp",15,MAX(0.1,Skills!E5-IF(Skills!F5=TRUE,Inputs!$B$32,0)))*(1-IF(AND(ArtifactsInput!$M$27,Inputs!$B$4="Chapter Hunt"),CHOOSE(ArtifactsInput!$N$27+1,20,24,28,32,36,40),0)/100)),0)</f>
        <v/>
      </c>
      <c r="R251">
        <f>IF(AND(Inputs!$B$38&lt;&gt;"pvp",Inputs!$B$43&gt;0),IF(MAX(0,Inputs!$B$43-B284)&lt;=0,0,(INT(MAX(0,Inputs!$B$43-B284)/(IF(Inputs!$B$38="pvp",15,MAX(0.1,Skills!E5-IF(Skills!F5=TRUE,Inputs!$B$32,0)))*(1-IF(AND(ArtifactsInput!$M$27,Inputs!$B$4="Chapter Hunt"),CHOOSE(ArtifactsInput!$N$27+1,20,24,28,32,36,40),0)/100)))+1)),0)</f>
        <v/>
      </c>
      <c r="S251">
        <f>IF(C251,(H251*N251*IF(AND(Inputs!$B$38&lt;&gt;"pvp",Inputs!$B$43&gt;0),((Skills!G5*((R251-1)*IF(Skills!H5&gt;0,Skills!I5/Skills!H5,1)+IF(Skills!H5&gt;0,MIN(Skills!I5,MAX(0,MAX(0,Inputs!$B$43-B284)-((R251-1)*(IF(Inputs!$B$38="pvp",15,MAX(0.1,Skills!E5-IF(Skills!F5=TRUE,Inputs!$B$32,0)))*(1-IF(AND(ArtifactsInput!$M$27,Inputs!$B$4="Chapter Hunt"),CHOOSE(ArtifactsInput!$N$27+1,20,24,28,32,36,40),0)/100)))))/Skills!H5,1)))/Inputs!$B$43),G251*Q251))*IF(Inputs!$B$38="pvp",1,1+((Inputs!$B$20+1)+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251*(1-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
        <f>IF(C251,(H251*N251*IF(AND(Inputs!$B$38&lt;&gt;"pvp",Inputs!$B$43&gt;0),((Skills!G5*((R251-1)*IF(Skills!H5&gt;0,Skills!I5/Skills!H5,1)+IF(Skills!H5&gt;0,MIN(Skills!I5,MAX(0,MAX(0,Inputs!$B$43-B284)-((R251-1)*(IF(Inputs!$B$38="pvp",15,MAX(0.1,Skills!E5-IF(Skills!F5=TRUE,Inputs!$B$32,0)))*(1-IF(AND(ArtifactsInput!$M$27,Inputs!$B$4="Chapter Hunt"),CHOOSE(ArtifactsInput!$N$27+1,20,24,28,32,36,40),0)/100)))))/Skills!H5,1)))/Inputs!$B$43),G251*Q251)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
      <c r="A252">
        <f>Skills!A6</f>
        <v/>
      </c>
      <c r="B252">
        <f>Skills!B6</f>
        <v/>
      </c>
      <c r="C252">
        <f>TRUE</f>
        <v/>
      </c>
      <c r="D252">
        <f>IF(Skills!C6=1,60+Inputs!$B$25+Inputs!$B$29,IF(Skills!C6=2,90+Inputs!$B$26+Inputs!$B$29,IF(Skills!C6=3,120+Inputs!$B$27+Inputs!$B$29,MAX(0,(Inputs!$B$3-100)*3)+Inputs!$B$28+Inputs!$B$29)))</f>
        <v/>
      </c>
      <c r="E252">
        <f>INDEX(FactorTable!$B$2:$Y$301, MATCH(ROUND(MIN(300,MAX(1,D252)),0), FactorTable!$A$2:$A$301,0), Skills!M6+1)</f>
        <v/>
      </c>
      <c r="F252">
        <f>IF(Skills!N6=TRUE,(Skills!L6/10)*(E252/1000),Skills!L6/10)+Skills!O6</f>
        <v/>
      </c>
      <c r="G252">
        <f>Calc!G6</f>
        <v/>
      </c>
      <c r="H252">
        <f>Calc!H6</f>
        <v/>
      </c>
      <c r="I252">
        <f>IF(Skills!X6&lt;&gt;"",1+(Skills!X6/10)*(Z249/1000)/100,1)</f>
        <v/>
      </c>
      <c r="J252" t="inlineStr"/>
      <c r="K252" t="inlineStr"/>
      <c r="L252" t="inlineStr"/>
      <c r="M252" t="inlineStr"/>
      <c r="N252" t="inlineStr"/>
      <c r="O252">
        <f>(1-Summary!$B$11)*S252+Summary!$B$11*U252</f>
        <v/>
      </c>
      <c r="P252">
        <f>IF(B287=0,0,O252/B287)</f>
        <v/>
      </c>
      <c r="Q252">
        <f>IFERROR(1/(IF(Inputs!$B$38="pvp",15,MAX(0.1,Skills!E6-IF(Skills!F6=TRUE,Inputs!$B$32,0)))*(1-IF(AND(ArtifactsInput!$M$27,Inputs!$B$4="Chapter Hunt"),CHOOSE(ArtifactsInput!$N$27+1,20,24,28,32,36,40),0)/100)),0)</f>
        <v/>
      </c>
      <c r="R252">
        <f>IF(AND(Inputs!$B$38&lt;&gt;"pvp",Inputs!$B$43&gt;0),IF(Inputs!$B$43&lt;=0,0,(INT(Inputs!$B$43/(IF(Inputs!$B$38="pvp",15,MAX(0.1,Skills!E6-IF(Skills!F6=TRUE,Inputs!$B$32,0)))*(1-IF(AND(ArtifactsInput!$M$27,Inputs!$B$4="Chapter Hunt"),CHOOSE(ArtifactsInput!$N$27+1,20,24,28,32,36,40),0)/100)))+1)),0)</f>
        <v/>
      </c>
      <c r="S252" t="n">
        <v>0</v>
      </c>
      <c r="U252" t="n">
        <v>0</v>
      </c>
    </row>
    <row r="253">
      <c r="A253">
        <f>Skills!A7</f>
        <v/>
      </c>
      <c r="B253">
        <f>Skills!B7</f>
        <v/>
      </c>
      <c r="C253">
        <f>TRUE</f>
        <v/>
      </c>
      <c r="D253">
        <f>IF(Skills!C7=1,60+Inputs!$B$25+Inputs!$B$29,IF(Skills!C7=2,90+Inputs!$B$26+Inputs!$B$29,IF(Skills!C7=3,120+Inputs!$B$27+Inputs!$B$29,MAX(0,(Inputs!$B$3-100)*3)+Inputs!$B$28+Inputs!$B$29)))</f>
        <v/>
      </c>
      <c r="E253">
        <f>INDEX(FactorTable!$B$2:$Y$301, MATCH(ROUND(MIN(300,MAX(1,D253)),0), FactorTable!$A$2:$A$301,0), Skills!M7+1)</f>
        <v/>
      </c>
      <c r="F253">
        <f>IF(Skills!N7=TRUE,(Skills!L7/10)*(E253/1000),Skills!L7/10)+Skills!O7</f>
        <v/>
      </c>
      <c r="G253">
        <f>Calc!G7</f>
        <v/>
      </c>
      <c r="H253">
        <f>Calc!H7</f>
        <v/>
      </c>
      <c r="I253">
        <f>IF(Skills!X7&lt;&gt;"",1+(Skills!X7/10)*(Z249/1000)/100,1)</f>
        <v/>
      </c>
      <c r="J253">
        <f>((Inputs!$B$6*(1+Inputs!$B$7/100))+(((Inputs!$B$12*(1+Inputs!$B$13/100))-(Inputs!$B$12*(1+Inputs!$B$13/100)))+0.25*(Inputs!$B$14-Inputs!$B$14))*(1+Inputs!$B$7/100))*(F253/100)</f>
        <v/>
      </c>
      <c r="K253">
        <f>J253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f>
        <v/>
      </c>
      <c r="L253">
        <f>K253*(MIN(Inputs!$B$22+(F268-Calc!F22),(Inputs!$B$23+(IF(ArtifactsInput!$M$15,CHOOSE(ArtifactsInput!$N$15+1,25,30,35,40,45,50)/100*(Inputs!$B$11-Inputs!$B$11),0))))/100+(Inputs!$B$23+(IF(ArtifactsInput!$M$15,CHOOSE(ArtifactsInput!$N$15+1,25,30,35,40,45,50)/100*(Inputs!$B$11-Inputs!$B$11),0)))/100)/2</f>
        <v/>
      </c>
      <c r="M253">
        <f>L253*(1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
        <f>L253*(1-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
        <f>(1-Summary!$B$11)*S253+Summary!$B$11*U253</f>
        <v/>
      </c>
      <c r="P253">
        <f>IF(B287=0,0,O253/B287)</f>
        <v/>
      </c>
      <c r="Q253">
        <f>IFERROR(1/(IF(Inputs!$B$38="pvp",15,MAX(0.1,Skills!E7-IF(Skills!F7=TRUE,Inputs!$B$32,0)))*(1-IF(AND(ArtifactsInput!$M$27,Inputs!$B$4="Chapter Hunt"),CHOOSE(ArtifactsInput!$N$27+1,20,24,28,32,36,40),0)/100)),0)</f>
        <v/>
      </c>
      <c r="R253">
        <f>IF(AND(Inputs!$B$38&lt;&gt;"pvp",Inputs!$B$43&gt;0),IF(MAX(0,Inputs!$B$43-B284)&lt;=0,0,(INT(MAX(0,Inputs!$B$43-B284)/(IF(Inputs!$B$38="pvp",15,MAX(0.1,Skills!E7-IF(Skills!F7=TRUE,Inputs!$B$32,0)))*(1-IF(AND(ArtifactsInput!$M$27,Inputs!$B$4="Chapter Hunt"),CHOOSE(ArtifactsInput!$N$27+1,20,24,28,32,36,40),0)/100)))+1)),0)</f>
        <v/>
      </c>
      <c r="S253">
        <f>IF(C253,(H253*N253*IF(AND(Inputs!$B$38&lt;&gt;"pvp",Inputs!$B$43&gt;0),((Skills!G7*((R253-1)*IF(Skills!H7&gt;0,Skills!I7/Skills!H7,1)+IF(Skills!H7&gt;0,MIN(Skills!I7,MAX(0,MAX(0,Inputs!$B$43-B284)-((R253-1)*(IF(Inputs!$B$38="pvp",15,MAX(0.1,Skills!E7-IF(Skills!F7=TRUE,Inputs!$B$32,0)))*(1-IF(AND(ArtifactsInput!$M$27,Inputs!$B$4="Chapter Hunt"),CHOOSE(ArtifactsInput!$N$27+1,20,24,28,32,36,40),0)/100)))))/Skills!H7,1)))/Inputs!$B$43),G253*Q253))*IF(Inputs!$B$38="pvp",1,1+((Inputs!$B$20+1)+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
        <f>IF(C253,(H253*N253*IF(AND(Inputs!$B$38&lt;&gt;"pvp",Inputs!$B$43&gt;0),((Skills!G7*((R253-1)*IF(Skills!H7&gt;0,Skills!I7/Skills!H7,1)+IF(Skills!H7&gt;0,MIN(Skills!I7,MAX(0,MAX(0,Inputs!$B$43-B284)-((R253-1)*(IF(Inputs!$B$38="pvp",15,MAX(0.1,Skills!E7-IF(Skills!F7=TRUE,Inputs!$B$32,0)))*(1-IF(AND(ArtifactsInput!$M$27,Inputs!$B$4="Chapter Hunt"),CHOOSE(ArtifactsInput!$N$27+1,20,24,28,32,36,40),0)/100)))))/Skills!H7,1)))/Inputs!$B$43),G253*Q253)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
      <c r="A254">
        <f>Skills!A8</f>
        <v/>
      </c>
      <c r="B254">
        <f>Skills!B8</f>
        <v/>
      </c>
      <c r="C254">
        <f>TRUE</f>
        <v/>
      </c>
      <c r="D254">
        <f>IF(Skills!C8=1,60+Inputs!$B$25+Inputs!$B$29,IF(Skills!C8=2,90+Inputs!$B$26+Inputs!$B$29,IF(Skills!C8=3,120+Inputs!$B$27+Inputs!$B$29,MAX(0,(Inputs!$B$3-100)*3)+Inputs!$B$28+Inputs!$B$29)))</f>
        <v/>
      </c>
      <c r="E254">
        <f>INDEX(FactorTable!$B$2:$Y$301, MATCH(ROUND(MIN(300,MAX(1,D254)),0), FactorTable!$A$2:$A$301,0), Skills!M8+1)</f>
        <v/>
      </c>
      <c r="F254">
        <f>IF(Skills!N8=TRUE,(Skills!L8/10)*(E254/1000),Skills!L8/10)+Skills!O8</f>
        <v/>
      </c>
      <c r="G254">
        <f>Calc!G8</f>
        <v/>
      </c>
      <c r="H254">
        <f>Calc!H8</f>
        <v/>
      </c>
      <c r="I254">
        <f>IF(Skills!X8&lt;&gt;"",1+(Skills!X8/10)*(Z249/1000)/100,1)</f>
        <v/>
      </c>
      <c r="J254">
        <f>((Inputs!$B$6*(1+Inputs!$B$7/100))+(((Inputs!$B$12*(1+Inputs!$B$13/100))-(Inputs!$B$12*(1+Inputs!$B$13/100)))+0.25*(Inputs!$B$14-Inputs!$B$14))*(1+Inputs!$B$7/100))*(F254/100)</f>
        <v/>
      </c>
      <c r="K254">
        <f>J254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f>
        <v/>
      </c>
      <c r="L254">
        <f>K254*(MIN(Inputs!$B$22+(F268-Calc!F22),(Inputs!$B$23+(IF(ArtifactsInput!$M$15,CHOOSE(ArtifactsInput!$N$15+1,25,30,35,40,45,50)/100*(Inputs!$B$11-Inputs!$B$11),0))))/100+(Inputs!$B$23+(IF(ArtifactsInput!$M$15,CHOOSE(ArtifactsInput!$N$15+1,25,30,35,40,45,50)/100*(Inputs!$B$11-Inputs!$B$11),0)))/100)/2</f>
        <v/>
      </c>
      <c r="M254">
        <f>L254*(1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
        <f>L254*(1-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
        <f>(1-Summary!$B$11)*S254+Summary!$B$11*U254</f>
        <v/>
      </c>
      <c r="P254">
        <f>IF(B287=0,0,O254/B287)</f>
        <v/>
      </c>
      <c r="Q254">
        <f>IFERROR(1/(IF(Inputs!$B$38="pvp",15,MAX(0.1,Skills!E8-IF(Skills!F8=TRUE,Inputs!$B$32,0)))*(1-IF(AND(ArtifactsInput!$M$27,Inputs!$B$4="Chapter Hunt"),CHOOSE(ArtifactsInput!$N$27+1,20,24,28,32,36,40),0)/100)),0)</f>
        <v/>
      </c>
      <c r="R254">
        <f>IF(AND(Inputs!$B$38&lt;&gt;"pvp",Inputs!$B$43&gt;0),IF(MAX(0,Inputs!$B$43-B284)&lt;=0,0,(INT(MAX(0,Inputs!$B$43-B284)/(IF(Inputs!$B$38="pvp",15,MAX(0.1,Skills!E8-IF(Skills!F8=TRUE,Inputs!$B$32,0)))*(1-IF(AND(ArtifactsInput!$M$27,Inputs!$B$4="Chapter Hunt"),CHOOSE(ArtifactsInput!$N$27+1,20,24,28,32,36,40),0)/100)))+1)),0)</f>
        <v/>
      </c>
      <c r="S254">
        <f>IF(C254,(H254*N254*IF(AND(Inputs!$B$38&lt;&gt;"pvp",Inputs!$B$43&gt;0),((Skills!G8*((R254-1)*IF(Skills!H8&gt;0,Skills!I8/Skills!H8,1)+IF(Skills!H8&gt;0,MIN(Skills!I8,MAX(0,MAX(0,Inputs!$B$43-B284)-((R254-1)*(IF(Inputs!$B$38="pvp",15,MAX(0.1,Skills!E8-IF(Skills!F8=TRUE,Inputs!$B$32,0)))*(1-IF(AND(ArtifactsInput!$M$27,Inputs!$B$4="Chapter Hunt"),CHOOSE(ArtifactsInput!$N$27+1,20,24,28,32,36,40),0)/100)))))/Skills!H8,1)))/Inputs!$B$43),G254*Q254))*IF(Inputs!$B$38="pvp",1,1+((Inputs!$B$20+1)+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
        <f>IF(C254,(H254*N254*IF(AND(Inputs!$B$38&lt;&gt;"pvp",Inputs!$B$43&gt;0),((Skills!G8*((R254-1)*IF(Skills!H8&gt;0,Skills!I8/Skills!H8,1)+IF(Skills!H8&gt;0,MIN(Skills!I8,MAX(0,MAX(0,Inputs!$B$43-B284)-((R254-1)*(IF(Inputs!$B$38="pvp",15,MAX(0.1,Skills!E8-IF(Skills!F8=TRUE,Inputs!$B$32,0)))*(1-IF(AND(ArtifactsInput!$M$27,Inputs!$B$4="Chapter Hunt"),CHOOSE(ArtifactsInput!$N$27+1,20,24,28,32,36,40),0)/100)))))/Skills!H8,1)))/Inputs!$B$43),G254*Q254)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
      <c r="A255">
        <f>Skills!A9</f>
        <v/>
      </c>
      <c r="B255">
        <f>Skills!B9</f>
        <v/>
      </c>
      <c r="C255">
        <f>Inputs!$B$3&gt;=103</f>
        <v/>
      </c>
      <c r="D255">
        <f>IF(Skills!C9=1,60+Inputs!$B$25+Inputs!$B$29,IF(Skills!C9=2,90+Inputs!$B$26+Inputs!$B$29,IF(Skills!C9=3,120+Inputs!$B$27+Inputs!$B$29,MAX(0,(Inputs!$B$3-100)*3)+Inputs!$B$28+Inputs!$B$29)))</f>
        <v/>
      </c>
      <c r="E255">
        <f>INDEX(FactorTable!$B$2:$Y$301, MATCH(ROUND(MIN(300,MAX(1,D255)),0), FactorTable!$A$2:$A$301,0), Skills!M9+1)</f>
        <v/>
      </c>
      <c r="F255">
        <f>IF(Skills!N9=TRUE,(Skills!L9/10)*(E255/1000),Skills!L9/10)+Skills!O9</f>
        <v/>
      </c>
      <c r="G255">
        <f>Calc!G9</f>
        <v/>
      </c>
      <c r="H255">
        <f>Calc!H9</f>
        <v/>
      </c>
      <c r="I255">
        <f>IF(Skills!X9&lt;&gt;"",1+(Skills!X9/10)*(Z249/1000)/100,1)</f>
        <v/>
      </c>
      <c r="J255">
        <f>((Inputs!$B$6*(1+Inputs!$B$7/100))+(((Inputs!$B$12*(1+Inputs!$B$13/100))-(Inputs!$B$12*(1+Inputs!$B$13/100)))+0.25*(Inputs!$B$14-Inputs!$B$14))*(1+Inputs!$B$7/100))*(F255/100)</f>
        <v/>
      </c>
      <c r="K255">
        <f>J255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f>
        <v/>
      </c>
      <c r="L255">
        <f>K255*(MIN(Inputs!$B$22+(F268-Calc!F22),(Inputs!$B$23+(IF(ArtifactsInput!$M$15,CHOOSE(ArtifactsInput!$N$15+1,25,30,35,40,45,50)/100*(Inputs!$B$11-Inputs!$B$11),0))))/100+(Inputs!$B$23+(IF(ArtifactsInput!$M$15,CHOOSE(ArtifactsInput!$N$15+1,25,30,35,40,45,50)/100*(Inputs!$B$11-Inputs!$B$11),0)))/100)/2</f>
        <v/>
      </c>
      <c r="M255">
        <f>L255*(1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
        <f>L255*(1-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
        <f>(1-Summary!$B$11)*S255+Summary!$B$11*U255</f>
        <v/>
      </c>
      <c r="P255">
        <f>IF(B287=0,0,O255/B287)</f>
        <v/>
      </c>
      <c r="Q255">
        <f>IFERROR(1/(IF(Inputs!$B$38="pvp",15,MAX(0.1,Skills!E9-IF(Skills!F7=TRUE,Inputs!$B$32,0)))*(1-IF(AND(ArtifactsInput!$M$27,Inputs!$B$4="Chapter Hunt"),CHOOSE(ArtifactsInput!$N$27+1,20,24,28,32,36,40),0)/100)),0)</f>
        <v/>
      </c>
      <c r="R255">
        <f>IF(AND(Inputs!$B$38&lt;&gt;"pvp",Inputs!$B$43&gt;0),IF(MAX(0,Inputs!$B$43-B284)&lt;=0,0,(INT(MAX(0,Inputs!$B$43-B284)/(IF(Inputs!$B$38="pvp",15,MAX(0.1,Skills!E9-IF(Skills!F7=TRUE,Inputs!$B$32,0)))*(1-IF(AND(ArtifactsInput!$M$27,Inputs!$B$4="Chapter Hunt"),CHOOSE(ArtifactsInput!$N$27+1,20,24,28,32,36,40),0)/100)))+1)),0)</f>
        <v/>
      </c>
      <c r="S255">
        <f>IF(C255,(H255*N255*IF(AND(Inputs!$B$38&lt;&gt;"pvp",Inputs!$B$43&gt;0),((Skills!G9*((R255-1)*IF(Skills!H9&gt;0,Skills!I9/Skills!H9,1)+IF(Skills!H9&gt;0,MIN(Skills!I9,MAX(0,MAX(0,Inputs!$B$43-B284)-((R255-1)*(IF(Inputs!$B$38="pvp",15,MAX(0.1,Skills!E9-IF(Skills!F7=TRUE,Inputs!$B$32,0)))*(1-IF(AND(ArtifactsInput!$M$27,Inputs!$B$4="Chapter Hunt"),CHOOSE(ArtifactsInput!$N$27+1,20,24,28,32,36,40),0)/100)))))/Skills!H9,1)))/Inputs!$B$43),G255*Q255))*IF(Inputs!$B$38="pvp",1,1+((Inputs!$B$20+1)+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255*(1-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
        <f>IF(C255,(H255*N255*IF(AND(Inputs!$B$38&lt;&gt;"pvp",Inputs!$B$43&gt;0),((Skills!G9*((R255-1)*IF(Skills!H9&gt;0,Skills!I9/Skills!H9,1)+IF(Skills!H9&gt;0,MIN(Skills!I9,MAX(0,MAX(0,Inputs!$B$43-B284)-((R255-1)*(IF(Inputs!$B$38="pvp",15,MAX(0.1,Skills!E9-IF(Skills!F7=TRUE,Inputs!$B$32,0)))*(1-IF(AND(ArtifactsInput!$M$27,Inputs!$B$4="Chapter Hunt"),CHOOSE(ArtifactsInput!$N$27+1,20,24,28,32,36,40),0)/100)))))/Skills!H9,1)))/Inputs!$B$43),G255*Q255)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
      <c r="A256">
        <f>Skills!A10</f>
        <v/>
      </c>
      <c r="B256">
        <f>Skills!B10</f>
        <v/>
      </c>
      <c r="C256">
        <f>TRUE</f>
        <v/>
      </c>
      <c r="D256">
        <f>IF(Skills!C10=1,60+Inputs!$B$25+Inputs!$B$29,IF(Skills!C10=2,90+Inputs!$B$26+Inputs!$B$29,IF(Skills!C10=3,120+Inputs!$B$27+Inputs!$B$29,MAX(0,(Inputs!$B$3-100)*3)+Inputs!$B$28+Inputs!$B$29)))</f>
        <v/>
      </c>
      <c r="E256">
        <f>INDEX(FactorTable!$B$2:$Y$301, MATCH(ROUND(MIN(300,MAX(1,D256)),0), FactorTable!$A$2:$A$301,0), Skills!M10+1)</f>
        <v/>
      </c>
      <c r="F256">
        <f>IF(Skills!N10=TRUE,(Skills!L10/10)*(E256/1000),Skills!L10/10)+Skills!O10</f>
        <v/>
      </c>
      <c r="G256">
        <f>Calc!G10</f>
        <v/>
      </c>
      <c r="H256">
        <f>Calc!H10</f>
        <v/>
      </c>
      <c r="I256">
        <f>IF(Skills!X10&lt;&gt;"",1+(Skills!X10/10)*(Z249/1000)/100,1)</f>
        <v/>
      </c>
      <c r="J256">
        <f>((Inputs!$B$6*(1+Inputs!$B$7/100))+(((Inputs!$B$12*(1+Inputs!$B$13/100))-(Inputs!$B$12*(1+Inputs!$B$13/100)))+0.25*(Inputs!$B$14-Inputs!$B$14))*(1+Inputs!$B$7/100))*(F256/100)</f>
        <v/>
      </c>
      <c r="K256">
        <f>J256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f>
        <v/>
      </c>
      <c r="L256">
        <f>K256*(MIN(Inputs!$B$22+(F268-Calc!F22),(Inputs!$B$23+(IF(ArtifactsInput!$M$15,CHOOSE(ArtifactsInput!$N$15+1,25,30,35,40,45,50)/100*(Inputs!$B$11-Inputs!$B$11),0))))/100+(Inputs!$B$23+(IF(ArtifactsInput!$M$15,CHOOSE(ArtifactsInput!$N$15+1,25,30,35,40,45,50)/100*(Inputs!$B$11-Inputs!$B$11),0)))/100)/2</f>
        <v/>
      </c>
      <c r="M256">
        <f>L256*(1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
        <f>L256*(1-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
        <f>(1-Summary!$B$11)*S256+Summary!$B$11*U256</f>
        <v/>
      </c>
      <c r="P256">
        <f>IF(B287=0,0,O256/B287)</f>
        <v/>
      </c>
      <c r="Q256">
        <f>IFERROR(1/(IF(Inputs!$B$38="pvp",15,MAX(0.1,Skills!E10-IF(Skills!F10=TRUE,Inputs!$B$32,0)))*(1-IF(AND(ArtifactsInput!$M$27,Inputs!$B$4="Chapter Hunt"),CHOOSE(ArtifactsInput!$N$27+1,20,24,28,32,36,40),0)/100)),0)</f>
        <v/>
      </c>
      <c r="R256">
        <f>IF(AND(Inputs!$B$38&lt;&gt;"pvp",Inputs!$B$43&gt;0),IF(MAX(0,Inputs!$B$43-B284)&lt;=0,0,(INT(MAX(0,Inputs!$B$43-B284)/(IF(Inputs!$B$38="pvp",15,MAX(0.1,Skills!E10-IF(Skills!F10=TRUE,Inputs!$B$32,0)))*(1-IF(AND(ArtifactsInput!$M$27,Inputs!$B$4="Chapter Hunt"),CHOOSE(ArtifactsInput!$N$27+1,20,24,28,32,36,40),0)/100)))+1)),0)</f>
        <v/>
      </c>
      <c r="S256">
        <f>IF(C256,(H256*N256*IF(AND(Inputs!$B$38&lt;&gt;"pvp",Inputs!$B$43&gt;0),((Skills!G10*((R256-1)*IF(Skills!H10&gt;0,Skills!I10/Skills!H10,1)+IF(Skills!H10&gt;0,MIN(Skills!I10,MAX(0,MAX(0,Inputs!$B$43-B284)-((R256-1)*(IF(Inputs!$B$38="pvp",15,MAX(0.1,Skills!E10-IF(Skills!F10=TRUE,Inputs!$B$32,0)))*(1-IF(AND(ArtifactsInput!$M$27,Inputs!$B$4="Chapter Hunt"),CHOOSE(ArtifactsInput!$N$27+1,20,24,28,32,36,40),0)/100)))))/Skills!H10,1)))/Inputs!$B$43),G256*Q256))*IF(Inputs!$B$38="pvp",1,1+((Inputs!$B$20+1)+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256*(1-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6">
        <f>IF(C256,(H256*N256*IF(AND(Inputs!$B$38&lt;&gt;"pvp",Inputs!$B$43&gt;0),((Skills!G10*((R256-1)*IF(Skills!H10&gt;0,Skills!I10/Skills!H10,1)+IF(Skills!H10&gt;0,MIN(Skills!I10,MAX(0,MAX(0,Inputs!$B$43-B284)-((R256-1)*(IF(Inputs!$B$38="pvp",15,MAX(0.1,Skills!E10-IF(Skills!F10=TRUE,Inputs!$B$32,0)))*(1-IF(AND(ArtifactsInput!$M$27,Inputs!$B$4="Chapter Hunt"),CHOOSE(ArtifactsInput!$N$27+1,20,24,28,32,36,40),0)/100)))))/Skills!H10,1)))/Inputs!$B$43),G256*Q256)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
      <c r="A257">
        <f>Skills!A11</f>
        <v/>
      </c>
      <c r="B257">
        <f>Skills!B11</f>
        <v/>
      </c>
      <c r="C257">
        <f>TRUE</f>
        <v/>
      </c>
      <c r="D257">
        <f>IF(Skills!C11=1,60+Inputs!$B$25+Inputs!$B$29,IF(Skills!C11=2,90+Inputs!$B$26+Inputs!$B$29,IF(Skills!C11=3,120+Inputs!$B$27+Inputs!$B$29,MAX(0,(Inputs!$B$3-100)*3)+Inputs!$B$28+Inputs!$B$29)))</f>
        <v/>
      </c>
      <c r="E257">
        <f>INDEX(FactorTable!$B$2:$Y$301, MATCH(ROUND(MIN(300,MAX(1,D257)),0), FactorTable!$A$2:$A$301,0), Skills!M11+1)</f>
        <v/>
      </c>
      <c r="F257">
        <f>IF(Skills!N11=TRUE,(Skills!L11/10)*(E257/1000),Skills!L11/10)+Skills!O11</f>
        <v/>
      </c>
      <c r="G257">
        <f>Calc!G11</f>
        <v/>
      </c>
      <c r="H257">
        <f>Calc!H11</f>
        <v/>
      </c>
      <c r="I257">
        <f>IF(Skills!X11&lt;&gt;"",1+(Skills!X11/10)*(Z249/1000)/100,1)</f>
        <v/>
      </c>
      <c r="J257" t="inlineStr"/>
      <c r="K257" t="inlineStr"/>
      <c r="L257" t="inlineStr"/>
      <c r="M257" t="inlineStr"/>
      <c r="N257" t="inlineStr"/>
      <c r="O257">
        <f>(1-Summary!$B$11)*S257+Summary!$B$11*U257</f>
        <v/>
      </c>
      <c r="P257">
        <f>IF(B287=0,0,O257/B287)</f>
        <v/>
      </c>
      <c r="Q257">
        <f>IFERROR(1/(IF(Inputs!$B$38="pvp",15,MAX(0.1,Skills!E11-IF(Skills!F11=TRUE,Inputs!$B$32,0)))*(1-IF(AND(ArtifactsInput!$M$27,Inputs!$B$4="Chapter Hunt"),CHOOSE(ArtifactsInput!$N$27+1,20,24,28,32,36,40),0)/100)),0)</f>
        <v/>
      </c>
      <c r="R257" t="n">
        <v>0</v>
      </c>
      <c r="S257" t="n">
        <v>0</v>
      </c>
      <c r="U257" t="n">
        <v>0</v>
      </c>
    </row>
    <row r="258">
      <c r="A258">
        <f>Skills!A12</f>
        <v/>
      </c>
      <c r="B258">
        <f>Skills!B12</f>
        <v/>
      </c>
      <c r="C258">
        <f>TRUE</f>
        <v/>
      </c>
      <c r="D258">
        <f>IF(Skills!C12=1,60+Inputs!$B$25+Inputs!$B$29,IF(Skills!C12=2,90+Inputs!$B$26+Inputs!$B$29,IF(Skills!C12=3,120+Inputs!$B$27+Inputs!$B$29,MAX(0,(Inputs!$B$3-100)*3)+Inputs!$B$28+Inputs!$B$29)))</f>
        <v/>
      </c>
      <c r="E258">
        <f>INDEX(FactorTable!$B$2:$Y$301, MATCH(ROUND(MIN(300,MAX(1,D258)),0), FactorTable!$A$2:$A$301,0), Skills!M12+1)</f>
        <v/>
      </c>
      <c r="F258">
        <f>IF(Skills!N12=TRUE,(Skills!L12/10)*(E258/1000),Skills!L12/10)+Skills!O12</f>
        <v/>
      </c>
      <c r="G258">
        <f>Calc!G12</f>
        <v/>
      </c>
      <c r="H258">
        <f>Calc!H12</f>
        <v/>
      </c>
      <c r="I258">
        <f>IF(Skills!X12&lt;&gt;"",1+(Skills!X12/10)*(Z249/1000)/100,1)</f>
        <v/>
      </c>
      <c r="J258" t="inlineStr"/>
      <c r="K258" t="inlineStr"/>
      <c r="L258" t="inlineStr"/>
      <c r="M258" t="inlineStr"/>
      <c r="N258" t="inlineStr"/>
      <c r="O258">
        <f>(1-Summary!$B$11)*S258+Summary!$B$11*U258</f>
        <v/>
      </c>
      <c r="P258">
        <f>IF(B287=0,0,O258/B287)</f>
        <v/>
      </c>
      <c r="Q258">
        <f>IFERROR(1/(IF(Inputs!$B$38="pvp",15,MAX(0.1,Skills!E12-IF(Skills!F12=TRUE,Inputs!$B$32,0)))*(1-IF(AND(ArtifactsInput!$M$27,Inputs!$B$4="Chapter Hunt"),CHOOSE(ArtifactsInput!$N$27+1,20,24,28,32,36,40),0)/100)),0)</f>
        <v/>
      </c>
      <c r="R258" t="n">
        <v>0</v>
      </c>
      <c r="S258" t="n">
        <v>0</v>
      </c>
      <c r="U258" t="n">
        <v>0</v>
      </c>
    </row>
    <row r="259">
      <c r="A259">
        <f>Skills!A13</f>
        <v/>
      </c>
      <c r="B259">
        <f>Skills!B13</f>
        <v/>
      </c>
      <c r="C259">
        <f>Inputs!$B$3&gt;=105</f>
        <v/>
      </c>
      <c r="D259">
        <f>IF(Skills!C13=1,60+Inputs!$B$25+Inputs!$B$29,IF(Skills!C13=2,90+Inputs!$B$26+Inputs!$B$29,IF(Skills!C13=3,120+Inputs!$B$27+Inputs!$B$29,MAX(0,(Inputs!$B$3-100)*3)+Inputs!$B$28+Inputs!$B$29)))</f>
        <v/>
      </c>
      <c r="E259">
        <f>INDEX(FactorTable!$B$2:$Y$301, MATCH(ROUND(MIN(300,MAX(1,D259)),0), FactorTable!$A$2:$A$301,0), Skills!M13+1)</f>
        <v/>
      </c>
      <c r="F259">
        <f>IF(Skills!N13=TRUE,(Skills!L13/10)*(E259/1000),Skills!L13/10)+Skills!O13</f>
        <v/>
      </c>
      <c r="G259">
        <f>Calc!G13</f>
        <v/>
      </c>
      <c r="H259">
        <f>Calc!H13</f>
        <v/>
      </c>
      <c r="I259">
        <f>IF(Skills!X13&lt;&gt;"",1+(Skills!X13/10)*(Z249/1000)/100,1)</f>
        <v/>
      </c>
      <c r="J259">
        <f>((Inputs!$B$6*(1+Inputs!$B$7/100))+(((Inputs!$B$12*(1+Inputs!$B$13/100))-(Inputs!$B$12*(1+Inputs!$B$13/100)))+0.25*(Inputs!$B$14-Inputs!$B$14))*(1+Inputs!$B$7/100))*(F259/100)</f>
        <v/>
      </c>
      <c r="K259">
        <f>J259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f>
        <v/>
      </c>
      <c r="L259">
        <f>K259*(MIN(Inputs!$B$22+(F268-Calc!F22),(Inputs!$B$23+(IF(ArtifactsInput!$M$15,CHOOSE(ArtifactsInput!$N$15+1,25,30,35,40,45,50)/100*(Inputs!$B$11-Inputs!$B$11),0))))/100+(Inputs!$B$23+(IF(ArtifactsInput!$M$15,CHOOSE(ArtifactsInput!$N$15+1,25,30,35,40,45,50)/100*(Inputs!$B$11-Inputs!$B$11),0)))/100)/2</f>
        <v/>
      </c>
      <c r="M259">
        <f>L259*(1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
        <f>L259*(1-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
        <f>(1-Summary!$B$11)*S259+Summary!$B$11*U259</f>
        <v/>
      </c>
      <c r="P259">
        <f>IF(B287=0,0,O259/B287)</f>
        <v/>
      </c>
      <c r="Q259">
        <f>IFERROR(1/(IF(Inputs!$B$38="pvp",15,MAX(0.1,Skills!E13-IF(Skills!F13=TRUE,Inputs!$B$32,0)))*(1-IF(AND(ArtifactsInput!$M$27,Inputs!$B$4="Chapter Hunt"),CHOOSE(ArtifactsInput!$N$27+1,20,24,28,32,36,40),0)/100)),0)</f>
        <v/>
      </c>
      <c r="R259">
        <f>IF(AND(Inputs!$B$38&lt;&gt;"pvp",Inputs!$B$43&gt;0),IF(MAX(0,Inputs!$B$43-B284)&lt;=0,0,(INT(MAX(0,Inputs!$B$43-B284)/(IF(Inputs!$B$38="pvp",15,MAX(0.1,Skills!E13-IF(Skills!F13=TRUE,Inputs!$B$32,0)))*(1-IF(AND(ArtifactsInput!$M$27,Inputs!$B$4="Chapter Hunt"),CHOOSE(ArtifactsInput!$N$27+1,20,24,28,32,36,40),0)/100)))+1)),0)</f>
        <v/>
      </c>
      <c r="S259">
        <f>IF(C259,(H259*N259*IF(AND(Inputs!$B$38&lt;&gt;"pvp",Inputs!$B$43&gt;0),((Skills!G13*((R259-1)*IF(Skills!H13&gt;0,Skills!I13/Skills!H13,1)+IF(Skills!H13&gt;0,MIN(Skills!I13,MAX(0,MAX(0,Inputs!$B$43-B284)-((R259-1)*(IF(Inputs!$B$38="pvp",15,MAX(0.1,Skills!E13-IF(Skills!F13=TRUE,Inputs!$B$32,0)))*(1-IF(AND(ArtifactsInput!$M$27,Inputs!$B$4="Chapter Hunt"),CHOOSE(ArtifactsInput!$N$27+1,20,24,28,32,36,40),0)/100)))))/Skills!H13,1)))/Inputs!$B$43),G259*Q259))*IF(Inputs!$B$38="pvp",1,1+((Inputs!$B$20+1)+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
        <f>IF(C259,(H259*N259*IF(AND(Inputs!$B$38&lt;&gt;"pvp",Inputs!$B$43&gt;0),((Skills!G13*((R259-1)*IF(Skills!H13&gt;0,Skills!I13/Skills!H13,1)+IF(Skills!H13&gt;0,MIN(Skills!I13,MAX(0,MAX(0,Inputs!$B$43-B284)-((R259-1)*(IF(Inputs!$B$38="pvp",15,MAX(0.1,Skills!E13-IF(Skills!F13=TRUE,Inputs!$B$32,0)))*(1-IF(AND(ArtifactsInput!$M$27,Inputs!$B$4="Chapter Hunt"),CHOOSE(ArtifactsInput!$N$27+1,20,24,28,32,36,40),0)/100)))))/Skills!H13,1)))/Inputs!$B$43),G259*Q259)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
      <c r="A260">
        <f>Skills!A14</f>
        <v/>
      </c>
      <c r="B260">
        <f>Skills!B14</f>
        <v/>
      </c>
      <c r="C260">
        <f>Inputs!$B$3&gt;=113</f>
        <v/>
      </c>
      <c r="D260">
        <f>IF(Skills!C14=1,60+Inputs!$B$25+Inputs!$B$29,IF(Skills!C14=2,90+Inputs!$B$26+Inputs!$B$29,IF(Skills!C14=3,120+Inputs!$B$27+Inputs!$B$29,MAX(0,(Inputs!$B$3-100)*3)+Inputs!$B$28+Inputs!$B$29)))</f>
        <v/>
      </c>
      <c r="E260">
        <f>INDEX(FactorTable!$B$2:$Y$301, MATCH(ROUND(MIN(300,MAX(1,D260)),0), FactorTable!$A$2:$A$301,0), Skills!M14+1)</f>
        <v/>
      </c>
      <c r="F260">
        <f>IF(Skills!N14=TRUE,(Skills!L14/10)*(E260/1000),Skills!L14/10)+Skills!O14</f>
        <v/>
      </c>
      <c r="G260">
        <f>Calc!G14</f>
        <v/>
      </c>
      <c r="H260">
        <f>Calc!H14</f>
        <v/>
      </c>
      <c r="I260">
        <f>IF(Skills!X14&lt;&gt;"",1+(Skills!X14/10)*(Z249/1000)/100,1)</f>
        <v/>
      </c>
      <c r="J260">
        <f>((Inputs!$B$6*(1+Inputs!$B$7/100))+(((Inputs!$B$12*(1+Inputs!$B$13/100))-(Inputs!$B$12*(1+Inputs!$B$13/100)))+0.25*(Inputs!$B$14-Inputs!$B$14))*(1+Inputs!$B$7/100))*(F260/100)</f>
        <v/>
      </c>
      <c r="K260">
        <f>J260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f>
        <v/>
      </c>
      <c r="L260">
        <f>K260*(MIN(Inputs!$B$22+(F268-Calc!F22),(Inputs!$B$23+(IF(ArtifactsInput!$M$15,CHOOSE(ArtifactsInput!$N$15+1,25,30,35,40,45,50)/100*(Inputs!$B$11-Inputs!$B$11),0))))/100+(Inputs!$B$23+(IF(ArtifactsInput!$M$15,CHOOSE(ArtifactsInput!$N$15+1,25,30,35,40,45,50)/100*(Inputs!$B$11-Inputs!$B$11),0)))/100)/2</f>
        <v/>
      </c>
      <c r="M260">
        <f>L260*(1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
        <f>L260*(1-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
        <f>(1-Summary!$B$11)*S260+Summary!$B$11*U260</f>
        <v/>
      </c>
      <c r="P260">
        <f>IF(B287=0,0,O260/B287)</f>
        <v/>
      </c>
      <c r="Q260">
        <f>IFERROR(1/(IF(Inputs!$B$38="pvp",15,MAX(0.1,Skills!E14-IF(Skills!F14=TRUE,Inputs!$B$32,0)))*(1-IF(AND(ArtifactsInput!$M$27,Inputs!$B$4="Chapter Hunt"),CHOOSE(ArtifactsInput!$N$27+1,20,24,28,32,36,40),0)/100)),0)</f>
        <v/>
      </c>
      <c r="R260" t="n">
        <v>0</v>
      </c>
      <c r="S260">
        <f>IF(C260,((H260*B283)/(1+Skills!H14*H260*B283)*N260)*IF(Inputs!$B$38="pvp",1,1+((Inputs!$B$20+1)+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260*(1-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
        <f>IF(C260,((H260*B283)/(1+Skills!H14*H260*B283)*N260)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
      <c r="A261">
        <f>Skills!A15</f>
        <v/>
      </c>
      <c r="B261">
        <f>Skills!B15</f>
        <v/>
      </c>
      <c r="C261">
        <f>Inputs!$B$3&gt;=107</f>
        <v/>
      </c>
      <c r="D261">
        <f>IF(Skills!C15=1,60+Inputs!$B$25+Inputs!$B$29,IF(Skills!C15=2,90+Inputs!$B$26+Inputs!$B$29,IF(Skills!C15=3,120+Inputs!$B$27+Inputs!$B$29,MAX(0,(Inputs!$B$3-100)*3)+Inputs!$B$28+Inputs!$B$29)))</f>
        <v/>
      </c>
      <c r="E261">
        <f>INDEX(FactorTable!$B$2:$Y$301, MATCH(ROUND(MIN(300,MAX(1,D261)),0), FactorTable!$A$2:$A$301,0), Skills!M15+1)</f>
        <v/>
      </c>
      <c r="F261">
        <f>IF(Skills!N15=TRUE,(Skills!L15/10)*(E261/1000),Skills!L15/10)+Skills!O15</f>
        <v/>
      </c>
      <c r="G261">
        <f>Calc!G15</f>
        <v/>
      </c>
      <c r="H261">
        <f>Calc!H15</f>
        <v/>
      </c>
      <c r="I261">
        <f>IF(Skills!X15&lt;&gt;"",1+(Skills!X15/10)*(Z249/1000)/100,1)</f>
        <v/>
      </c>
      <c r="J261">
        <f>((Inputs!$B$6*(1+Inputs!$B$7/100))+(((Inputs!$B$12*(1+Inputs!$B$13/100))-(Inputs!$B$12*(1+Inputs!$B$13/100)))+0.25*(Inputs!$B$14-Inputs!$B$14))*(1+Inputs!$B$7/100))*(F261/100)</f>
        <v/>
      </c>
      <c r="K261">
        <f>J261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f>
        <v/>
      </c>
      <c r="L261">
        <f>K261*(MIN(Inputs!$B$22+(F268-Calc!F22),(Inputs!$B$23+(IF(ArtifactsInput!$M$15,CHOOSE(ArtifactsInput!$N$15+1,25,30,35,40,45,50)/100*(Inputs!$B$11-Inputs!$B$11),0))))/100+(Inputs!$B$23+(IF(ArtifactsInput!$M$15,CHOOSE(ArtifactsInput!$N$15+1,25,30,35,40,45,50)/100*(Inputs!$B$11-Inputs!$B$11),0)))/100)/2</f>
        <v/>
      </c>
      <c r="M261">
        <f>L261*(1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
        <f>L261*(1-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
        <f>(1-Summary!$B$11)*S261+Summary!$B$11*U261</f>
        <v/>
      </c>
      <c r="P261">
        <f>IF(B287=0,0,O261/B287)</f>
        <v/>
      </c>
      <c r="Q261">
        <f>IFERROR(1/(IF(Inputs!$B$38="pvp",15,MAX(0.1,Skills!E15-IF(Skills!F15=TRUE,Inputs!$B$32,0)))*(1-IF(AND(ArtifactsInput!$M$27,Inputs!$B$4="Chapter Hunt"),CHOOSE(ArtifactsInput!$N$27+1,20,24,28,32,36,40),0)/100)),0)</f>
        <v/>
      </c>
      <c r="R261">
        <f>IF(AND(Inputs!$B$38&lt;&gt;"pvp",Inputs!$B$43&gt;0),IF(MAX(0,Inputs!$B$43-B284)&lt;=0,0,(INT(MAX(0,Inputs!$B$43-B284)/(IF(Inputs!$B$38="pvp",15,MAX(0.1,Skills!E15-IF(Skills!F15=TRUE,Inputs!$B$32,0)))*(1-IF(AND(ArtifactsInput!$M$27,Inputs!$B$4="Chapter Hunt"),CHOOSE(ArtifactsInput!$N$27+1,20,24,28,32,36,40),0)/100)))+1)),0)</f>
        <v/>
      </c>
      <c r="S261">
        <f>IF(C261,(H261*N261*IF(AND(Inputs!$B$38&lt;&gt;"pvp",Inputs!$B$43&gt;0),((Skills!G15*((R261-1)*IF(Skills!H15&gt;0,Skills!I15/Skills!H15,1)+IF(Skills!H15&gt;0,MIN(Skills!I15,MAX(0,MAX(0,Inputs!$B$43-B284)-((R261-1)*(IF(Inputs!$B$38="pvp",15,MAX(0.1,Skills!E15-IF(Skills!F15=TRUE,Inputs!$B$32,0)))*(1-IF(AND(ArtifactsInput!$M$27,Inputs!$B$4="Chapter Hunt"),CHOOSE(ArtifactsInput!$N$27+1,20,24,28,32,36,40),0)/100)))))/Skills!H15,1)))/Inputs!$B$43),G261*Q261))*IF(Inputs!$B$38="pvp",1,1+((Inputs!$B$20+1)+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261*(1-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1">
        <f>IF(C261,(H261*N261*IF(AND(Inputs!$B$38&lt;&gt;"pvp",Inputs!$B$43&gt;0),((Skills!G15*((R261-1)*IF(Skills!H15&gt;0,Skills!I15/Skills!H15,1)+IF(Skills!H15&gt;0,MIN(Skills!I15,MAX(0,MAX(0,Inputs!$B$43-B284)-((R261-1)*(IF(Inputs!$B$38="pvp",15,MAX(0.1,Skills!E15-IF(Skills!F15=TRUE,Inputs!$B$32,0)))*(1-IF(AND(ArtifactsInput!$M$27,Inputs!$B$4="Chapter Hunt"),CHOOSE(ArtifactsInput!$N$27+1,20,24,28,32,36,40),0)/100)))))/Skills!H15,1)))/Inputs!$B$43),G261*Q261)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
      <c r="A262">
        <f>Skills!A16</f>
        <v/>
      </c>
      <c r="B262">
        <f>Skills!B16</f>
        <v/>
      </c>
      <c r="C262">
        <f>Inputs!$B$3&gt;=107</f>
        <v/>
      </c>
      <c r="D262">
        <f>IF(Skills!C16=1,60+Inputs!$B$25+Inputs!$B$29,IF(Skills!C16=2,90+Inputs!$B$26+Inputs!$B$29,IF(Skills!C16=3,120+Inputs!$B$27+Inputs!$B$29,MAX(0,(Inputs!$B$3-100)*3)+Inputs!$B$28+Inputs!$B$29)))</f>
        <v/>
      </c>
      <c r="E262">
        <f>INDEX(FactorTable!$B$2:$Y$301, MATCH(ROUND(MIN(300,MAX(1,D262)),0), FactorTable!$A$2:$A$301,0), Skills!M16+1)</f>
        <v/>
      </c>
      <c r="F262">
        <f>IF(Skills!N16=TRUE,(Skills!L16/10)*(E262/1000),Skills!L16/10)+Skills!O16</f>
        <v/>
      </c>
      <c r="G262">
        <f>Calc!G16</f>
        <v/>
      </c>
      <c r="H262">
        <f>Calc!H16</f>
        <v/>
      </c>
      <c r="I262">
        <f>IF(Skills!X16&lt;&gt;"",1+(Skills!X16/10)*(Z249/1000)/100,1)</f>
        <v/>
      </c>
      <c r="J262">
        <f>((Inputs!$B$6*(1+Inputs!$B$7/100))+(((Inputs!$B$12*(1+Inputs!$B$13/100))-(Inputs!$B$12*(1+Inputs!$B$13/100)))+0.25*(Inputs!$B$14-Inputs!$B$14))*(1+Inputs!$B$7/100))*(F262/100)</f>
        <v/>
      </c>
      <c r="K262">
        <f>J262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f>
        <v/>
      </c>
      <c r="L262">
        <f>K262*(MIN(Inputs!$B$22+(F268-Calc!F22),(Inputs!$B$23+(IF(ArtifactsInput!$M$15,CHOOSE(ArtifactsInput!$N$15+1,25,30,35,40,45,50)/100*(Inputs!$B$11-Inputs!$B$11),0))))/100+(Inputs!$B$23+(IF(ArtifactsInput!$M$15,CHOOSE(ArtifactsInput!$N$15+1,25,30,35,40,45,50)/100*(Inputs!$B$11-Inputs!$B$11),0)))/100)/2</f>
        <v/>
      </c>
      <c r="M262">
        <f>L262*(1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
        <f>L262*(1-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
        <f>(1-Summary!$B$11)*S262+Summary!$B$11*U262</f>
        <v/>
      </c>
      <c r="P262">
        <f>IF(B287=0,0,O262/B287)</f>
        <v/>
      </c>
      <c r="Q262">
        <f>IFERROR(1/(IF(Inputs!$B$38="pvp",15,MAX(0.1,Skills!E16-IF(Skills!F16=TRUE,Inputs!$B$32,0)))*(1-IF(AND(ArtifactsInput!$M$27,Inputs!$B$4="Chapter Hunt"),CHOOSE(ArtifactsInput!$N$27+1,20,24,28,32,36,40),0)/100)),0)</f>
        <v/>
      </c>
      <c r="R262">
        <f>IF(AND(Inputs!$B$38&lt;&gt;"pvp",Inputs!$B$43&gt;0),IF(MAX(0,Inputs!$B$43-B284)&lt;=0,0,(INT(MAX(0,Inputs!$B$43-B284)/(IF(Inputs!$B$38="pvp",15,MAX(0.1,Skills!E16-IF(Skills!F16=TRUE,Inputs!$B$32,0)))*(1-IF(AND(ArtifactsInput!$M$27,Inputs!$B$4="Chapter Hunt"),CHOOSE(ArtifactsInput!$N$27+1,20,24,28,32,36,40),0)/100)))+1)),0)</f>
        <v/>
      </c>
      <c r="S262">
        <f>IF(C262,(H262*N262*IF(AND(Inputs!$B$38&lt;&gt;"pvp",Inputs!$B$43&gt;0),((Skills!G16*((R262-1)*IF(Skills!H16&gt;0,Skills!I16/Skills!H16,1)+IF(Skills!H16&gt;0,MIN(Skills!I16,MAX(0,MAX(0,Inputs!$B$43-B284)-((R262-1)*(IF(Inputs!$B$38="pvp",15,MAX(0.1,Skills!E16-IF(Skills!F16=TRUE,Inputs!$B$32,0)))*(1-IF(AND(ArtifactsInput!$M$27,Inputs!$B$4="Chapter Hunt"),CHOOSE(ArtifactsInput!$N$27+1,20,24,28,32,36,40),0)/100)))))/Skills!H16,1)))/Inputs!$B$43),G262*Q262)*(1+IF(Inputs!$B$3&gt;=126,0.05*(B282+Q259+(H260*B283)/(1+Skills!H14*H260*B283)+Q270),0)*Skills!E15))*IF(Inputs!$B$38="pvp",1,1+((Inputs!$B$20+1)+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262*(1-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2">
        <f>IF(C262,(H262*N262*IF(AND(Inputs!$B$38&lt;&gt;"pvp",Inputs!$B$43&gt;0),((Skills!G16*((R262-1)*IF(Skills!H16&gt;0,Skills!I16/Skills!H16,1)+IF(Skills!H16&gt;0,MIN(Skills!I16,MAX(0,MAX(0,Inputs!$B$43-B284)-((R262-1)*(IF(Inputs!$B$38="pvp",15,MAX(0.1,Skills!E16-IF(Skills!F16=TRUE,Inputs!$B$32,0)))*(1-IF(AND(ArtifactsInput!$M$27,Inputs!$B$4="Chapter Hunt"),CHOOSE(ArtifactsInput!$N$27+1,20,24,28,32,36,40),0)/100)))))/Skills!H16,1)))/Inputs!$B$43),G262*Q262)*(1+IF(Inputs!$B$3&gt;=126,0.05*(B282+Q259+(H260*B283)/(1+Skills!H14*H260*B283)+Q270)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
      <c r="A263">
        <f>Skills!A17</f>
        <v/>
      </c>
      <c r="B263">
        <f>Skills!B17</f>
        <v/>
      </c>
      <c r="C263">
        <f>TRUE</f>
        <v/>
      </c>
      <c r="D263">
        <f>IF(Skills!C17=1,60+Inputs!$B$25+Inputs!$B$29,IF(Skills!C17=2,90+Inputs!$B$26+Inputs!$B$29,IF(Skills!C17=3,120+Inputs!$B$27+Inputs!$B$29,MAX(0,(Inputs!$B$3-100)*3)+Inputs!$B$28+Inputs!$B$29)))</f>
        <v/>
      </c>
      <c r="E263">
        <f>INDEX(FactorTable!$B$2:$Y$301, MATCH(ROUND(MIN(300,MAX(1,D263)),0), FactorTable!$A$2:$A$301,0), Skills!M17+1)</f>
        <v/>
      </c>
      <c r="F263">
        <f>IF(Skills!N17=TRUE,(Skills!L17/10)*(E263/1000),Skills!L17/10)+Skills!O17</f>
        <v/>
      </c>
      <c r="G263">
        <f>Calc!G17</f>
        <v/>
      </c>
      <c r="H263">
        <f>Calc!H17</f>
        <v/>
      </c>
      <c r="I263">
        <f>IF(Skills!X17&lt;&gt;"",1+(Skills!X17/10)*(Z249/1000)/100,1)</f>
        <v/>
      </c>
      <c r="J263" t="inlineStr"/>
      <c r="K263" t="inlineStr"/>
      <c r="L263" t="inlineStr"/>
      <c r="M263" t="inlineStr"/>
      <c r="N263" t="inlineStr"/>
      <c r="O263">
        <f>(1-Summary!$B$11)*S263+Summary!$B$11*U263</f>
        <v/>
      </c>
      <c r="P263">
        <f>IF(B287=0,0,O263/B287)</f>
        <v/>
      </c>
      <c r="Q263">
        <f>IFERROR(1/(IF(Inputs!$B$38="pvp",15,MAX(0.1,Skills!E17-IF(Skills!F17=TRUE,Inputs!$B$32,0)))*(1-IF(AND(ArtifactsInput!$M$27,Inputs!$B$4="Chapter Hunt"),CHOOSE(ArtifactsInput!$N$27+1,20,24,28,32,36,40),0)/100)),0)</f>
        <v/>
      </c>
      <c r="R263">
        <f>IF(AND(Inputs!$B$38&lt;&gt;"pvp",Inputs!$B$43&gt;0),IF(Inputs!$B$43&lt;=0,0,(INT(Inputs!$B$43/(IF(Inputs!$B$38="pvp",15,MAX(0.1,Skills!E17-IF(Skills!F17=TRUE,Inputs!$B$32,0)))*(1-IF(AND(ArtifactsInput!$M$27,Inputs!$B$4="Chapter Hunt"),CHOOSE(ArtifactsInput!$N$27+1,20,24,28,32,36,40),0)/100)))+1)),0)</f>
        <v/>
      </c>
      <c r="S263" t="n">
        <v>0</v>
      </c>
      <c r="U263" t="n">
        <v>0</v>
      </c>
    </row>
    <row r="264">
      <c r="A264">
        <f>Skills!A18</f>
        <v/>
      </c>
      <c r="B264">
        <f>Skills!B18</f>
        <v/>
      </c>
      <c r="C264">
        <f>TRUE</f>
        <v/>
      </c>
      <c r="D264">
        <f>IF(Skills!C18=1,60+Inputs!$B$25+Inputs!$B$29,IF(Skills!C18=2,90+Inputs!$B$26+Inputs!$B$29,IF(Skills!C18=3,120+Inputs!$B$27+Inputs!$B$29,MAX(0,(Inputs!$B$3-100)*3)+Inputs!$B$28+Inputs!$B$29)))</f>
        <v/>
      </c>
      <c r="E264">
        <f>INDEX(FactorTable!$B$2:$Y$301, MATCH(ROUND(MIN(300,MAX(1,D264)),0), FactorTable!$A$2:$A$301,0), Skills!M18+1)</f>
        <v/>
      </c>
      <c r="F264">
        <f>IF(Skills!N18=TRUE,(Skills!L18/10)*(E264/1000),Skills!L18/10)+Skills!O18</f>
        <v/>
      </c>
      <c r="G264">
        <f>Calc!G18</f>
        <v/>
      </c>
      <c r="H264">
        <f>Calc!H18</f>
        <v/>
      </c>
      <c r="I264">
        <f>IF(Skills!X18&lt;&gt;"",1+(Skills!X18/10)*(Z249/1000)/100,1)</f>
        <v/>
      </c>
      <c r="J264" t="inlineStr"/>
      <c r="K264" t="inlineStr"/>
      <c r="L264" t="inlineStr"/>
      <c r="M264" t="inlineStr"/>
      <c r="N264" t="inlineStr"/>
      <c r="O264">
        <f>(1-Summary!$B$11)*S264+Summary!$B$11*U264</f>
        <v/>
      </c>
      <c r="P264">
        <f>IF(B287=0,0,O264/B287)</f>
        <v/>
      </c>
      <c r="Q264">
        <f>IFERROR(1/(IF(Inputs!$B$38="pvp",15,MAX(0.1,Skills!E18-IF(Skills!F18=TRUE,Inputs!$B$32,0)))*(1-IF(AND(ArtifactsInput!$M$27,Inputs!$B$4="Chapter Hunt"),CHOOSE(ArtifactsInput!$N$27+1,20,24,28,32,36,40),0)/100)),0)</f>
        <v/>
      </c>
      <c r="R264">
        <f>IF(AND(Inputs!$B$38&lt;&gt;"pvp",Inputs!$B$43&gt;0),IF(Inputs!$B$43&lt;=0,0,(INT(Inputs!$B$43/(IF(Inputs!$B$38="pvp",15,MAX(0.1,Skills!E18-IF(Skills!F18=TRUE,Inputs!$B$32,0)))*(1-IF(AND(ArtifactsInput!$M$27,Inputs!$B$4="Chapter Hunt"),CHOOSE(ArtifactsInput!$N$27+1,20,24,28,32,36,40),0)/100)))+1)),0)</f>
        <v/>
      </c>
      <c r="S264" t="n">
        <v>0</v>
      </c>
      <c r="U264" t="n">
        <v>0</v>
      </c>
    </row>
    <row r="265">
      <c r="A265">
        <f>Skills!A19</f>
        <v/>
      </c>
      <c r="B265">
        <f>Skills!B19</f>
        <v/>
      </c>
      <c r="C265">
        <f>Inputs!$B$3&gt;=110</f>
        <v/>
      </c>
      <c r="D265">
        <f>IF(Skills!C19=1,60+Inputs!$B$25+Inputs!$B$29,IF(Skills!C19=2,90+Inputs!$B$26+Inputs!$B$29,IF(Skills!C19=3,120+Inputs!$B$27+Inputs!$B$29,MAX(0,(Inputs!$B$3-100)*3)+Inputs!$B$28+Inputs!$B$29)))</f>
        <v/>
      </c>
      <c r="E265">
        <f>INDEX(FactorTable!$B$2:$Y$301, MATCH(ROUND(MIN(300,MAX(1,D265)),0), FactorTable!$A$2:$A$301,0), Skills!M19+1)</f>
        <v/>
      </c>
      <c r="F265">
        <f>IF(Skills!N19=TRUE,(Skills!L19/10)*(E265/1000),Skills!L19/10)+Skills!O19</f>
        <v/>
      </c>
      <c r="G265">
        <f>Calc!G19</f>
        <v/>
      </c>
      <c r="H265">
        <f>Calc!H19</f>
        <v/>
      </c>
      <c r="I265">
        <f>IF(Skills!X19&lt;&gt;"",1+(Skills!X19/10)*(Z249/1000)/100,1)</f>
        <v/>
      </c>
      <c r="J265" t="inlineStr"/>
      <c r="K265" t="inlineStr"/>
      <c r="L265" t="inlineStr"/>
      <c r="M265" t="inlineStr"/>
      <c r="N265" t="inlineStr"/>
      <c r="O265">
        <f>(1-Summary!$B$11)*S265+Summary!$B$11*U265</f>
        <v/>
      </c>
      <c r="P265">
        <f>IF(B287=0,0,O265/B287)</f>
        <v/>
      </c>
      <c r="Q265">
        <f>IFERROR(1/(IF(Inputs!$B$38="pvp",15,MAX(0.1,Skills!E19-IF(Skills!F19=TRUE,Inputs!$B$32,0)))*(1-IF(AND(ArtifactsInput!$M$27,Inputs!$B$4="Chapter Hunt"),CHOOSE(ArtifactsInput!$N$27+1,20,24,28,32,36,40),0)/100)),0)</f>
        <v/>
      </c>
      <c r="R265">
        <f>IF(AND(Inputs!$B$38&lt;&gt;"pvp",Inputs!$B$43&gt;0),IF(Inputs!$B$43&lt;=0,0,(INT(Inputs!$B$43/(IF(Inputs!$B$38="pvp",15,MAX(0.1,Skills!E19-IF(Skills!F19=TRUE,Inputs!$B$32,0)))*(1-IF(AND(ArtifactsInput!$M$27,Inputs!$B$4="Chapter Hunt"),CHOOSE(ArtifactsInput!$N$27+1,20,24,28,32,36,40),0)/100)))+1)),0)</f>
        <v/>
      </c>
      <c r="S265" t="n">
        <v>0</v>
      </c>
      <c r="U265" t="n">
        <v>0</v>
      </c>
    </row>
    <row r="266">
      <c r="A266">
        <f>Skills!A20</f>
        <v/>
      </c>
      <c r="B266">
        <f>Skills!B20</f>
        <v/>
      </c>
      <c r="C266">
        <f>TRUE</f>
        <v/>
      </c>
      <c r="D266">
        <f>IF(Skills!C20=1,60+Inputs!$B$25+Inputs!$B$29,IF(Skills!C20=2,90+Inputs!$B$26+Inputs!$B$29,IF(Skills!C20=3,120+Inputs!$B$27+Inputs!$B$29,MAX(0,(Inputs!$B$3-100)*3)+Inputs!$B$28+Inputs!$B$29)))</f>
        <v/>
      </c>
      <c r="E266">
        <f>INDEX(FactorTable!$B$2:$Y$301, MATCH(ROUND(MIN(300,MAX(1,D266)),0), FactorTable!$A$2:$A$301,0), Skills!M20+1)</f>
        <v/>
      </c>
      <c r="F266">
        <f>IF(Skills!N20=TRUE,(Skills!L20/10)*(E266/1000),Skills!L20/10)+Skills!O20</f>
        <v/>
      </c>
      <c r="G266">
        <f>Calc!G20</f>
        <v/>
      </c>
      <c r="H266">
        <f>Calc!H20</f>
        <v/>
      </c>
      <c r="I266">
        <f>IF(Skills!X20&lt;&gt;"",1+(Skills!X20/10)*(Z249/1000)/100,1)</f>
        <v/>
      </c>
      <c r="J266" t="inlineStr"/>
      <c r="K266" t="inlineStr"/>
      <c r="L266" t="inlineStr"/>
      <c r="M266" t="inlineStr"/>
      <c r="N266" t="inlineStr"/>
      <c r="O266">
        <f>(1-Summary!$B$11)*S266+Summary!$B$11*U266</f>
        <v/>
      </c>
      <c r="P266">
        <f>IF(B287=0,0,O266/B287)</f>
        <v/>
      </c>
      <c r="Q266">
        <f>IFERROR(1/(IF(Inputs!$B$38="pvp",15,MAX(0.1,Skills!E20-IF(Skills!F20=TRUE,Inputs!$B$32,0)))*(1-IF(AND(ArtifactsInput!$M$27,Inputs!$B$4="Chapter Hunt"),CHOOSE(ArtifactsInput!$N$27+1,20,24,28,32,36,40),0)/100)),0)</f>
        <v/>
      </c>
      <c r="R266" t="n">
        <v>0</v>
      </c>
      <c r="S266" t="n">
        <v>0</v>
      </c>
      <c r="U266" t="n">
        <v>0</v>
      </c>
    </row>
    <row r="267">
      <c r="A267">
        <f>Skills!A21</f>
        <v/>
      </c>
      <c r="B267">
        <f>Skills!B21</f>
        <v/>
      </c>
      <c r="C267">
        <f>TRUE</f>
        <v/>
      </c>
      <c r="D267">
        <f>IF(Skills!C21=1,60+Inputs!$B$25+Inputs!$B$29,IF(Skills!C21=2,90+Inputs!$B$26+Inputs!$B$29,IF(Skills!C21=3,120+Inputs!$B$27+Inputs!$B$29,MAX(0,(Inputs!$B$3-100)*3)+Inputs!$B$28+Inputs!$B$29)))</f>
        <v/>
      </c>
      <c r="E267">
        <f>INDEX(FactorTable!$B$2:$Y$301, MATCH(ROUND(MIN(300,MAX(1,D267)),0), FactorTable!$A$2:$A$301,0), Skills!M21+1)</f>
        <v/>
      </c>
      <c r="F267">
        <f>IF(Skills!N21=TRUE,(Skills!L21/10)*(E267/1000),Skills!L21/10)+Skills!O21</f>
        <v/>
      </c>
      <c r="G267">
        <f>Calc!G21</f>
        <v/>
      </c>
      <c r="H267">
        <f>Calc!H21</f>
        <v/>
      </c>
      <c r="I267">
        <f>IF(Skills!X21&lt;&gt;"",1+(Skills!X21/10)*(Z249/1000)/100,1)</f>
        <v/>
      </c>
      <c r="J267" t="inlineStr"/>
      <c r="K267" t="inlineStr"/>
      <c r="L267" t="inlineStr"/>
      <c r="M267" t="inlineStr"/>
      <c r="N267" t="inlineStr"/>
      <c r="O267">
        <f>(1-Summary!$B$11)*S267+Summary!$B$11*U267</f>
        <v/>
      </c>
      <c r="P267">
        <f>IF(B287=0,0,O267/B287)</f>
        <v/>
      </c>
      <c r="Q267">
        <f>IFERROR(1/(IF(Inputs!$B$38="pvp",15,MAX(0.1,Skills!E21-IF(Skills!F21=TRUE,Inputs!$B$32,0)))*(1-IF(AND(ArtifactsInput!$M$27,Inputs!$B$4="Chapter Hunt"),CHOOSE(ArtifactsInput!$N$27+1,20,24,28,32,36,40),0)/100)),0)</f>
        <v/>
      </c>
      <c r="R267" t="n">
        <v>0</v>
      </c>
      <c r="S267" t="n">
        <v>0</v>
      </c>
      <c r="U267" t="n">
        <v>0</v>
      </c>
    </row>
    <row r="268">
      <c r="A268">
        <f>Skills!A22</f>
        <v/>
      </c>
      <c r="B268">
        <f>Skills!B22</f>
        <v/>
      </c>
      <c r="C268">
        <f>TRUE</f>
        <v/>
      </c>
      <c r="D268">
        <f>IF(Skills!C22=1,60+Inputs!$B$25+Inputs!$B$29,IF(Skills!C22=2,90+Inputs!$B$26+Inputs!$B$29,IF(Skills!C22=3,120+Inputs!$B$27+Inputs!$B$29,MAX(0,(Inputs!$B$3-100)*3)+Inputs!$B$28+Inputs!$B$29)))</f>
        <v/>
      </c>
      <c r="E268">
        <f>INDEX(FactorTable!$B$2:$Y$301, MATCH(ROUND(MIN(300,MAX(1,D268)),0), FactorTable!$A$2:$A$301,0), Skills!M22+1)</f>
        <v/>
      </c>
      <c r="F268">
        <f>IF(Skills!N22=TRUE,(Skills!L22/10)*(E268/1000),Skills!L22/10)+Skills!O22</f>
        <v/>
      </c>
      <c r="G268">
        <f>Calc!G22</f>
        <v/>
      </c>
      <c r="H268">
        <f>Calc!H22</f>
        <v/>
      </c>
      <c r="I268">
        <f>IF(Skills!X22&lt;&gt;"",1+(Skills!X22/10)*(Z249/1000)/100,1)</f>
        <v/>
      </c>
      <c r="J268" t="inlineStr"/>
      <c r="K268" t="inlineStr"/>
      <c r="L268" t="inlineStr"/>
      <c r="M268" t="inlineStr"/>
      <c r="N268" t="inlineStr"/>
      <c r="O268">
        <f>(1-Summary!$B$11)*S268+Summary!$B$11*U268</f>
        <v/>
      </c>
      <c r="P268">
        <f>IF(B287=0,0,O268/B287)</f>
        <v/>
      </c>
      <c r="Q268">
        <f>IFERROR(1/(IF(Inputs!$B$38="pvp",15,MAX(0.1,Skills!E22-IF(Skills!F22=TRUE,Inputs!$B$32,0)))*(1-IF(AND(ArtifactsInput!$M$27,Inputs!$B$4="Chapter Hunt"),CHOOSE(ArtifactsInput!$N$27+1,20,24,28,32,36,40),0)/100)),0)</f>
        <v/>
      </c>
      <c r="R268" t="n">
        <v>0</v>
      </c>
      <c r="S268" t="n">
        <v>0</v>
      </c>
      <c r="U268" t="n">
        <v>0</v>
      </c>
    </row>
    <row r="269">
      <c r="A269">
        <f>Skills!A23</f>
        <v/>
      </c>
      <c r="B269">
        <f>Skills!B23</f>
        <v/>
      </c>
      <c r="C269">
        <f>TRUE</f>
        <v/>
      </c>
      <c r="D269">
        <f>IF(Skills!C23=1,60+Inputs!$B$25+Inputs!$B$29,IF(Skills!C23=2,90+Inputs!$B$26+Inputs!$B$29,IF(Skills!C23=3,120+Inputs!$B$27+Inputs!$B$29,MAX(0,(Inputs!$B$3-100)*3)+Inputs!$B$28+Inputs!$B$29)))</f>
        <v/>
      </c>
      <c r="E269">
        <f>INDEX(FactorTable!$B$2:$Y$301, MATCH(ROUND(MIN(300,MAX(1,D269)),0), FactorTable!$A$2:$A$301,0), Skills!M23+1)</f>
        <v/>
      </c>
      <c r="F269">
        <f>IF(Skills!N23=TRUE,(Skills!L23/10)*(E269/1000),Skills!L23/10)+Skills!O23</f>
        <v/>
      </c>
      <c r="G269">
        <f>Calc!G23</f>
        <v/>
      </c>
      <c r="H269">
        <f>Calc!H23</f>
        <v/>
      </c>
      <c r="I269">
        <f>IF(Skills!X23&lt;&gt;"",1+(Skills!X23/10)*(Z249/1000)/100,1)</f>
        <v/>
      </c>
      <c r="J269" t="inlineStr"/>
      <c r="K269" t="inlineStr"/>
      <c r="L269" t="inlineStr"/>
      <c r="M269" t="inlineStr"/>
      <c r="N269" t="inlineStr"/>
      <c r="O269">
        <f>(1-Summary!$B$11)*S269+Summary!$B$11*U269</f>
        <v/>
      </c>
      <c r="P269">
        <f>IF(B287=0,0,O269/B287)</f>
        <v/>
      </c>
      <c r="Q269">
        <f>IFERROR(1/(IF(Inputs!$B$38="pvp",15,MAX(0.1,Skills!E23-IF(Skills!F23=TRUE,Inputs!$B$32,0)))*(1-IF(AND(ArtifactsInput!$M$27,Inputs!$B$4="Chapter Hunt"),CHOOSE(ArtifactsInput!$N$27+1,20,24,28,32,36,40),0)/100)),0)</f>
        <v/>
      </c>
      <c r="R269" t="n">
        <v>0</v>
      </c>
      <c r="S269" t="n">
        <v>0</v>
      </c>
      <c r="U269" t="n">
        <v>0</v>
      </c>
    </row>
    <row r="270">
      <c r="A270">
        <f>Skills!A24</f>
        <v/>
      </c>
      <c r="B270">
        <f>Skills!B24</f>
        <v/>
      </c>
      <c r="C270">
        <f>Inputs!$B$3&gt;=115</f>
        <v/>
      </c>
      <c r="D270">
        <f>IF(Skills!C24=1,60+Inputs!$B$25+Inputs!$B$29,IF(Skills!C24=2,90+Inputs!$B$26+Inputs!$B$29,IF(Skills!C24=3,120+Inputs!$B$27+Inputs!$B$29,MAX(0,(Inputs!$B$3-100)*3)+Inputs!$B$28+Inputs!$B$29)))</f>
        <v/>
      </c>
      <c r="E270">
        <f>INDEX(FactorTable!$B$2:$Y$301, MATCH(ROUND(MIN(300,MAX(1,D270)),0), FactorTable!$A$2:$A$301,0), Skills!M24+1)</f>
        <v/>
      </c>
      <c r="F270">
        <f>IF(Skills!N24=TRUE,(Skills!L24/10)*(E270/1000),Skills!L24/10)+Skills!O24</f>
        <v/>
      </c>
      <c r="G270">
        <f>Calc!G24</f>
        <v/>
      </c>
      <c r="H270">
        <f>Calc!H24</f>
        <v/>
      </c>
      <c r="I270">
        <f>IF(Skills!X24&lt;&gt;"",1+(Skills!X24/10)*(Z249/1000)/100,1)</f>
        <v/>
      </c>
      <c r="J270">
        <f>((Inputs!$B$6*(1+Inputs!$B$7/100))+(((Inputs!$B$12*(1+Inputs!$B$13/100))-(Inputs!$B$12*(1+Inputs!$B$13/100)))+0.25*(Inputs!$B$14-Inputs!$B$14))*(1+Inputs!$B$7/100))*(F270/100)</f>
        <v/>
      </c>
      <c r="K270">
        <f>J270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270)</f>
        <v/>
      </c>
      <c r="L270">
        <f>K270*(MIN(Inputs!$B$22+(F268-Calc!F22),(Inputs!$B$23+(IF(ArtifactsInput!$M$15,CHOOSE(ArtifactsInput!$N$15+1,25,30,35,40,45,50)/100*(Inputs!$B$11-Inputs!$B$11),0))))/100+(Inputs!$B$23+(IF(ArtifactsInput!$M$15,CHOOSE(ArtifactsInput!$N$15+1,25,30,35,40,45,50)/100*(Inputs!$B$11-Inputs!$B$11),0)))/100)/2</f>
        <v/>
      </c>
      <c r="M270">
        <f>L270*(1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0">
        <f>L270*(1-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270*(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0">
        <f>(1-Summary!$B$11)*S270+Summary!$B$11*U270</f>
        <v/>
      </c>
      <c r="P270">
        <f>IF(B287=0,0,O270/B287)</f>
        <v/>
      </c>
      <c r="Q270">
        <f>IFERROR(1/(IF(Inputs!$B$38="pvp",15,MAX(0.1,Skills!E24-IF(Skills!F24=TRUE,Inputs!$B$32,0)))*(1-IF(AND(ArtifactsInput!$M$27,Inputs!$B$4="Chapter Hunt"),CHOOSE(ArtifactsInput!$N$27+1,20,24,28,32,36,40),0)/100)),0)</f>
        <v/>
      </c>
      <c r="R270">
        <f>IF(AND(Inputs!$B$38&lt;&gt;"pvp",Inputs!$B$43&gt;0),IF(MAX(0,Inputs!$B$43-B284)&lt;=0,0,(INT(MAX(0,Inputs!$B$43-B284)/(IF(Inputs!$B$38="pvp",15,MAX(0.1,Skills!E24-IF(Skills!F24=TRUE,Inputs!$B$32,0)))*(1-IF(AND(ArtifactsInput!$M$27,Inputs!$B$4="Chapter Hunt"),CHOOSE(ArtifactsInput!$N$27+1,20,24,28,32,36,40),0)/100)))+1)),0)</f>
        <v/>
      </c>
      <c r="S270">
        <f>IF(C270,(H270*N270*IF(AND(Inputs!$B$38&lt;&gt;"pvp",Inputs!$B$43&gt;0),((Skills!G24*((R270-1)*IF(Skills!H24&gt;0,Skills!I24/Skills!H24,1)+IF(Skills!H24&gt;0,MIN(Skills!I24,MAX(0,MAX(0,Inputs!$B$43-B284)-((R270-1)*(IF(Inputs!$B$38="pvp",15,MAX(0.1,Skills!E24-IF(Skills!F24=TRUE,Inputs!$B$32,0)))*(1-IF(AND(ArtifactsInput!$M$27,Inputs!$B$4="Chapter Hunt"),CHOOSE(ArtifactsInput!$N$27+1,20,24,28,32,36,40),0)/100)))))/Skills!H24,1)))/Inputs!$B$43),G270*Q270)*(1+IF(Inputs!$B$3&gt;=130,0.2*(Skills!I16/Skills!E15+IF(Inputs!$B$3&gt;=126,0.05*(B282+Q259+(H260*B283)/(1+Skills!H14*H260*B283)+Q270),0)*Skills!I16),0)))*IF(Inputs!$B$38="pvp",1,1+((Inputs!$B$20+1)+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270*(1-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270*(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270*(1-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270*(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0">
        <f>IF(C270,(H270*N270*IF(AND(Inputs!$B$38&lt;&gt;"pvp",Inputs!$B$43&gt;0),((Skills!G24*((R270-1)*IF(Skills!H24&gt;0,Skills!I24/Skills!H24,1)+IF(Skills!H24&gt;0,MIN(Skills!I24,MAX(0,MAX(0,Inputs!$B$43-B284)-((R270-1)*(IF(Inputs!$B$38="pvp",15,MAX(0.1,Skills!E24-IF(Skills!F24=TRUE,Inputs!$B$32,0)))*(1-IF(AND(ArtifactsInput!$M$27,Inputs!$B$4="Chapter Hunt"),CHOOSE(ArtifactsInput!$N$27+1,20,24,28,32,36,40),0)/100)))))/Skills!H24,1)))/Inputs!$B$43),G270*Q270)*(1+IF(Inputs!$B$3&gt;=130,0.2*(Skills!I16/Skills!E15+IF(Inputs!$B$3&gt;=126,0.05*(B282+Q259+(H260*B283)/(1+Skills!H14*H260*B283)+Q270)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
      <c r="A271">
        <f>Skills!A25</f>
        <v/>
      </c>
      <c r="B271">
        <f>Skills!B25</f>
        <v/>
      </c>
      <c r="C271">
        <f>Inputs!$B$3&gt;=117</f>
        <v/>
      </c>
      <c r="D271">
        <f>IF(Skills!C25=1,60+Inputs!$B$25+Inputs!$B$29,IF(Skills!C25=2,90+Inputs!$B$26+Inputs!$B$29,IF(Skills!C25=3,120+Inputs!$B$27+Inputs!$B$29,MAX(0,(Inputs!$B$3-100)*3)+Inputs!$B$28+Inputs!$B$29)))</f>
        <v/>
      </c>
      <c r="E271">
        <f>INDEX(FactorTable!$B$2:$Y$301, MATCH(ROUND(MIN(300,MAX(1,D271)),0), FactorTable!$A$2:$A$301,0), Skills!M25+1)</f>
        <v/>
      </c>
      <c r="F271">
        <f>IF(Skills!N25=TRUE,(Skills!L25/10)*(E271/1000),Skills!L25/10)+Skills!O25</f>
        <v/>
      </c>
      <c r="G271">
        <f>Calc!G25</f>
        <v/>
      </c>
      <c r="H271">
        <f>Calc!H25</f>
        <v/>
      </c>
      <c r="I271">
        <f>IF(Skills!X25&lt;&gt;"",1+(Skills!X25/10)*(Z249/1000)/100,1)</f>
        <v/>
      </c>
      <c r="J271" t="inlineStr"/>
      <c r="K271" t="inlineStr"/>
      <c r="L271" t="inlineStr"/>
      <c r="M271" t="inlineStr"/>
      <c r="N271" t="inlineStr"/>
      <c r="O271">
        <f>(1-Summary!$B$11)*S271+Summary!$B$11*U271</f>
        <v/>
      </c>
      <c r="P271">
        <f>IF(B287=0,0,O271/B287)</f>
        <v/>
      </c>
      <c r="Q271">
        <f>IFERROR(1/(IF(Inputs!$B$38="pvp",15,MAX(0.1,Skills!E25-IF(Skills!F25=TRUE,Inputs!$B$32,0)))*(1-IF(AND(ArtifactsInput!$M$27,Inputs!$B$4="Chapter Hunt"),CHOOSE(ArtifactsInput!$N$27+1,20,24,28,32,36,40),0)/100)),0)</f>
        <v/>
      </c>
      <c r="R271" t="n">
        <v>0</v>
      </c>
      <c r="S271" t="n">
        <v>0</v>
      </c>
      <c r="U271" t="n">
        <v>0</v>
      </c>
    </row>
    <row r="272">
      <c r="A272">
        <f>Skills!A26</f>
        <v/>
      </c>
      <c r="B272">
        <f>Skills!B26</f>
        <v/>
      </c>
      <c r="C272">
        <f>Inputs!$B$3&gt;=120</f>
        <v/>
      </c>
      <c r="D272">
        <f>IF(Skills!C26=1,60+Inputs!$B$25+Inputs!$B$29,IF(Skills!C26=2,90+Inputs!$B$26+Inputs!$B$29,IF(Skills!C26=3,120+Inputs!$B$27+Inputs!$B$29,MAX(0,(Inputs!$B$3-100)*3)+Inputs!$B$28+Inputs!$B$29)))</f>
        <v/>
      </c>
      <c r="E272">
        <f>INDEX(FactorTable!$B$2:$Y$301, MATCH(ROUND(MIN(300,MAX(1,D272)),0), FactorTable!$A$2:$A$301,0), Skills!M26+1)</f>
        <v/>
      </c>
      <c r="F272">
        <f>IF(Skills!N26=TRUE,(Skills!L26/10)*(E272/1000),Skills!L26/10)+Skills!O26</f>
        <v/>
      </c>
      <c r="G272">
        <f>Calc!G26</f>
        <v/>
      </c>
      <c r="H272">
        <f>Calc!H26</f>
        <v/>
      </c>
      <c r="I272">
        <f>IF(Skills!X26&lt;&gt;"",1+(Skills!X26/10)*(Z249/1000)/100,1)</f>
        <v/>
      </c>
      <c r="J272" t="inlineStr"/>
      <c r="K272" t="inlineStr"/>
      <c r="L272" t="inlineStr"/>
      <c r="M272" t="inlineStr"/>
      <c r="N272" t="inlineStr"/>
      <c r="O272">
        <f>(1-Summary!$B$11)*S272+Summary!$B$11*U272</f>
        <v/>
      </c>
      <c r="P272">
        <f>IF(B287=0,0,O272/B287)</f>
        <v/>
      </c>
      <c r="Q272">
        <f>IFERROR(1/(IF(Inputs!$B$38="pvp",15,MAX(0.1,Skills!E26-IF(Skills!F26=TRUE,Inputs!$B$32,0)))*(1-IF(AND(ArtifactsInput!$M$27,Inputs!$B$4="Chapter Hunt"),CHOOSE(ArtifactsInput!$N$27+1,20,24,28,32,36,40),0)/100)),0)</f>
        <v/>
      </c>
      <c r="R272" t="n">
        <v>0</v>
      </c>
      <c r="S272" t="n">
        <v>0</v>
      </c>
      <c r="U272" t="n">
        <v>0</v>
      </c>
    </row>
    <row r="273">
      <c r="A273">
        <f>Skills!A27</f>
        <v/>
      </c>
      <c r="B273">
        <f>Skills!B27</f>
        <v/>
      </c>
      <c r="C273">
        <f>Inputs!$B$3&gt;=125</f>
        <v/>
      </c>
      <c r="D273">
        <f>IF(Skills!C27=1,60+Inputs!$B$25+Inputs!$B$29,IF(Skills!C27=2,90+Inputs!$B$26+Inputs!$B$29,IF(Skills!C27=3,120+Inputs!$B$27+Inputs!$B$29,MAX(0,(Inputs!$B$3-100)*3)+Inputs!$B$28+Inputs!$B$29)))</f>
        <v/>
      </c>
      <c r="E273">
        <f>INDEX(FactorTable!$B$2:$Y$301, MATCH(ROUND(MIN(300,MAX(1,D273)),0), FactorTable!$A$2:$A$301,0), Skills!M27+1)</f>
        <v/>
      </c>
      <c r="F273">
        <f>IF(Skills!N27=TRUE,(Skills!L27/10)*(E273/1000),Skills!L27/10)+Skills!O27</f>
        <v/>
      </c>
      <c r="G273">
        <f>Calc!G27</f>
        <v/>
      </c>
      <c r="H273">
        <f>Calc!H27</f>
        <v/>
      </c>
      <c r="I273">
        <f>IF(Skills!X27&lt;&gt;"",1+(Skills!X27/10)*(Z249/1000)/100,1)</f>
        <v/>
      </c>
      <c r="J273" t="inlineStr"/>
      <c r="K273" t="inlineStr"/>
      <c r="L273" t="inlineStr"/>
      <c r="M273" t="inlineStr"/>
      <c r="N273" t="inlineStr"/>
      <c r="O273">
        <f>(1-Summary!$B$11)*S273+Summary!$B$11*U273</f>
        <v/>
      </c>
      <c r="P273">
        <f>IF(B287=0,0,O273/B287)</f>
        <v/>
      </c>
      <c r="Q273">
        <f>IFERROR(1/(IF(Inputs!$B$38="pvp",15,MAX(0.1,Skills!E27-IF(Skills!F27=TRUE,Inputs!$B$32,0)))*(1-IF(AND(ArtifactsInput!$M$27,Inputs!$B$4="Chapter Hunt"),CHOOSE(ArtifactsInput!$N$27+1,20,24,28,32,36,40),0)/100)),0)</f>
        <v/>
      </c>
      <c r="R273" t="n">
        <v>0</v>
      </c>
      <c r="S273" t="n">
        <v>0</v>
      </c>
      <c r="U273" t="n">
        <v>0</v>
      </c>
    </row>
    <row r="274">
      <c r="A274">
        <f>Skills!A28</f>
        <v/>
      </c>
      <c r="B274">
        <f>Skills!B28</f>
        <v/>
      </c>
      <c r="C274">
        <f>Inputs!$B$3&gt;=118</f>
        <v/>
      </c>
      <c r="D274">
        <f>IF(Skills!C28=1,60+Inputs!$B$25+Inputs!$B$29,IF(Skills!C28=2,90+Inputs!$B$26+Inputs!$B$29,IF(Skills!C28=3,120+Inputs!$B$27+Inputs!$B$29,MAX(0,(Inputs!$B$3-100)*3)+Inputs!$B$28+Inputs!$B$29)))</f>
        <v/>
      </c>
      <c r="E274">
        <f>INDEX(FactorTable!$B$2:$Y$301, MATCH(ROUND(MIN(300,MAX(1,D274)),0), FactorTable!$A$2:$A$301,0), Skills!M28+1)</f>
        <v/>
      </c>
      <c r="F274">
        <f>IF(Skills!N28=TRUE,(Skills!L28/10)*(E274/1000),Skills!L28/10)+Skills!O28</f>
        <v/>
      </c>
      <c r="G274">
        <f>Calc!G28</f>
        <v/>
      </c>
      <c r="H274">
        <f>Calc!H28</f>
        <v/>
      </c>
      <c r="I274">
        <f>IF(Skills!X28&lt;&gt;"",1+(Skills!X28/10)*(Z249/1000)/100,1)</f>
        <v/>
      </c>
      <c r="J274">
        <f>((Inputs!$B$6*(1+Inputs!$B$7/100))+(((Inputs!$B$12*(1+Inputs!$B$13/100))-(Inputs!$B$12*(1+Inputs!$B$13/100)))+0.25*(Inputs!$B$14-Inputs!$B$14))*(1+Inputs!$B$7/100))*(F274/100)</f>
        <v/>
      </c>
      <c r="K274">
        <f>J274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269/100)*(1+IF(Inputs!$B$3&gt;=120,F272,0)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273*5,0)))/100)*(B276*B277*B278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274)</f>
        <v/>
      </c>
      <c r="L274">
        <f>K274*(MIN(Inputs!$B$22+(F268-Calc!F22),(Inputs!$B$23+(IF(ArtifactsInput!$M$15,CHOOSE(ArtifactsInput!$N$15+1,25,30,35,40,45,50)/100*(Inputs!$B$11-Inputs!$B$11),0))))/100+(Inputs!$B$23+(IF(ArtifactsInput!$M$15,CHOOSE(ArtifactsInput!$N$15+1,25,30,35,40,45,50)/100*(Inputs!$B$11-Inputs!$B$11),0)))/100)/2</f>
        <v/>
      </c>
      <c r="M274">
        <f>L274*(1+(Inputs!$B$10+(F267-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4">
        <f>L274*(1-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274*(MIN((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4">
        <f>(1-Summary!$B$11)*S274+Summary!$B$11*U274</f>
        <v/>
      </c>
      <c r="P274">
        <f>IF(B287=0,0,O274/B287)</f>
        <v/>
      </c>
      <c r="Q274">
        <f>IFERROR(1/(IF(Inputs!$B$38="pvp",15,MAX(0.1,Skills!E28-IF(Skills!F28=TRUE,Inputs!$B$32,0)))*(1-IF(AND(ArtifactsInput!$M$27,Inputs!$B$4="Chapter Hunt"),CHOOSE(ArtifactsInput!$N$27+1,20,24,28,32,36,40),0)/100)),0)</f>
        <v/>
      </c>
      <c r="R274">
        <f>IF(AND(Inputs!$B$38&lt;&gt;"pvp",Inputs!$B$43&gt;0),IF(MAX(0,Inputs!$B$43-B284)&lt;=0,0,(INT(MAX(0,Inputs!$B$43-B284)/(IF(Inputs!$B$38="pvp",15,MAX(0.1,Skills!E28-IF(Skills!F28=TRUE,Inputs!$B$32,0)))*(1-IF(AND(ArtifactsInput!$M$27,Inputs!$B$4="Chapter Hunt"),CHOOSE(ArtifactsInput!$N$27+1,20,24,28,32,36,40),0)/100)))+1)),0)</f>
        <v/>
      </c>
      <c r="S274">
        <f>IF(C274,(H274*N274*IF(AND(Inputs!$B$38&lt;&gt;"pvp",Inputs!$B$43&gt;0),((Skills!G28*((R274-1)*IF(Skills!H28&gt;0,Skills!I28/Skills!H28,1)+IF(Skills!H28&gt;0,MIN(Skills!I28,MAX(0,MAX(0,Inputs!$B$43-B284)-((R274-1)*(IF(Inputs!$B$38="pvp",15,MAX(0.1,Skills!E28-IF(Skills!F28=TRUE,Inputs!$B$32,0)))*(1-IF(AND(ArtifactsInput!$M$27,Inputs!$B$4="Chapter Hunt"),CHOOSE(ArtifactsInput!$N$27+1,20,24,28,32,36,40),0)/100)))))/Skills!H28,1)))/Inputs!$B$43),G274*Q274))*IF(Inputs!$B$38="pvp",1,1+((Inputs!$B$20+1)+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274*(1-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274*(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274*(1-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274*(MIN(100,(Inputs!$B$9+(F266-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4">
        <f>IF(C274,(H274*N274*IF(AND(Inputs!$B$38&lt;&gt;"pvp",Inputs!$B$43&gt;0),((Skills!G28*((R274-1)*IF(Skills!H28&gt;0,Skills!I28/Skills!H28,1)+IF(Skills!H28&gt;0,MIN(Skills!I28,MAX(0,MAX(0,Inputs!$B$43-B284)-((R274-1)*(IF(Inputs!$B$38="pvp",15,MAX(0.1,Skills!E28-IF(Skills!F28=TRUE,Inputs!$B$32,0)))*(1-IF(AND(ArtifactsInput!$M$27,Inputs!$B$4="Chapter Hunt"),CHOOSE(ArtifactsInput!$N$27+1,20,24,28,32,36,40),0)/100)))))/Skills!H28,1)))/Inputs!$B$43),G274*Q274)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
      <c r="A276" t="inlineStr">
        <is>
          <t>Burning Magic Multiplier</t>
        </is>
      </c>
      <c r="B276">
        <f>1+(F257*Skills!Z11)/100</f>
        <v/>
      </c>
    </row>
    <row r="277">
      <c r="A277" t="inlineStr">
        <is>
          <t>Elemental Decrease Multiplier (always-on)</t>
        </is>
      </c>
      <c r="B277">
        <f>1+(F258+(IF(AND(ArtifactsInput!$M$35,Inputs!$B$4&lt;&gt;"Chapter Hunt"),CHOOSE(ArtifactsInput!$N$35+1,15,18,21,24,27,30)*(1-EXP(-(0.2*B280)*5)),0)+IF(AND(ArtifactsInput!$M$22,Inputs!$B$4&lt;&gt;"Chapter Hunt"),CHOOSE(ArtifactsInput!$N$22+1,10,12,14,16,18,20)*((0*(((0.15*B280*5))^0/1)+1*(((0.15*B280*5))^1/1)+2*(((0.15*B280*5))^2/2)+3*(((0.15*B280*5))^3/6)+4*(((0.15*B280*5))^4/24)+5*(((0.15*B280*5))^5/120))/((((0.15*B280*5))^0/1)+(((0.15*B280*5))^1/1)+(((0.15*B280*5))^2/2)+(((0.15*B280*5))^3/6)+(((0.15*B280*5))^4/24)+(((0.15*B280*5))^5/120))),0)))/100</f>
        <v/>
      </c>
    </row>
    <row r="278">
      <c r="A278" t="inlineStr">
        <is>
          <t>Average Buff Multiplier (Magic Guard + Meditation + Artifact Attack%, summed; then Infinity)</t>
        </is>
      </c>
      <c r="B278">
        <f>(1+(F252*IF(AND(Inputs!$B$38&lt;&gt;"pvp",Inputs!$B$43&gt;0),(((R252-1)*(Skills!T6*(1+((Inputs!$B$34+(ArtifactsInput!$M$7-ArtifactsInput!$M$7)*CHOOSE(ArtifactsInput!$N$7+1,6,7.2,8.4,9.6,10.8,12)))/100))+MIN((Skills!T6*(1+((Inputs!$B$34+(ArtifactsInput!$M$7-ArtifactsInput!$M$7)*CHOOSE(ArtifactsInput!$N$7+1,6,7.2,8.4,9.6,10.8,12)))/100)),MAX(0,Inputs!$B$43-((R252-1)*Skills!E6))))/Inputs!$B$43),IF(Inputs!$B$38="pvp",MIN((Skills!T6*(1+((Inputs!$B$34+(ArtifactsInput!$M$7-ArtifactsInput!$M$7)*CHOOSE(ArtifactsInput!$N$7+1,6,7.2,8.4,9.6,10.8,12)))/100)),15)/15,(Skills!T6*(1+((Inputs!$B$34+(ArtifactsInput!$M$7-ArtifactsInput!$M$7)*CHOOSE(ArtifactsInput!$N$7+1,6,7.2,8.4,9.6,10.8,12)))/100))/Skills!E6))+F263*IF(AND(Inputs!$B$38&lt;&gt;"pvp",Inputs!$B$43&gt;0),(((R263-1)*(Skills!T17*(1+((Inputs!$B$34+(ArtifactsInput!$M$7-ArtifactsInput!$M$7)*CHOOSE(ArtifactsInput!$N$7+1,6,7.2,8.4,9.6,10.8,12)))/100))+MIN((Skills!T17*(1+((Inputs!$B$34+(ArtifactsInput!$M$7-ArtifactsInput!$M$7)*CHOOSE(ArtifactsInput!$N$7+1,6,7.2,8.4,9.6,10.8,12)))/100)),MAX(0,Inputs!$B$43-((R263-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265=TRUE,(1+F265*IF(AND(Inputs!$B$38&lt;&gt;"pvp",Inputs!$B$43&gt;0),(((R265-1)*(Skills!T19*(1+((Inputs!$B$34+(ArtifactsInput!$M$7-ArtifactsInput!$M$7)*CHOOSE(ArtifactsInput!$N$7+1,6,7.2,8.4,9.6,10.8,12)))/100))+MIN((Skills!T19*(1+((Inputs!$B$34+(ArtifactsInput!$M$7-ArtifactsInput!$M$7)*CHOOSE(ArtifactsInput!$N$7+1,6,7.2,8.4,9.6,10.8,12)))/100)),MAX(0,Inputs!$B$43-((R265-1)*Skills!E19))))/Inputs!$B$43),IF(Inputs!$B$38="pvp",MIN((Skills!T19*(1+((Inputs!$B$34+(ArtifactsInput!$M$7-ArtifactsInput!$M$7)*CHOOSE(ArtifactsInput!$N$7+1,6,7.2,8.4,9.6,10.8,12)))/100)),15)/15,(Skills!T19*(1+((Inputs!$B$34+(ArtifactsInput!$M$7-ArtifactsInput!$M$7)*CHOOSE(ArtifactsInput!$N$7+1,6,7.2,8.4,9.6,10.8,12)))/100))/Skills!E19))/100),1)</f>
        <v/>
      </c>
    </row>
    <row r="279">
      <c r="A279" t="inlineStr">
        <is>
          <t>Attack Speed Buff Bonus % (Nimble Feet, averaged)</t>
        </is>
      </c>
      <c r="B279">
        <f>F264*IF(AND(Inputs!$B$38&lt;&gt;"pvp",Inputs!$B$43&gt;0),(((R264-1)*(Skills!T18*(1+((Inputs!$B$34+(ArtifactsInput!$M$7-ArtifactsInput!$M$7)*CHOOSE(ArtifactsInput!$N$7+1,6,7.2,8.4,9.6,10.8,12)))/100))+MIN((Skills!T18*(1+((Inputs!$B$34+(ArtifactsInput!$M$7-ArtifactsInput!$M$7)*CHOOSE(ArtifactsInput!$N$7+1,6,7.2,8.4,9.6,10.8,12)))/100)),MAX(0,Inputs!$B$43-((R264-1)*Skills!E18))))/Inputs!$B$43),IF(Inputs!$B$38="pvp",MIN((Skills!T18*(1+((Inputs!$B$34+(ArtifactsInput!$M$7-ArtifactsInput!$M$7)*CHOOSE(ArtifactsInput!$N$7+1,6,7.2,8.4,9.6,10.8,12)))/100)),15)/15,(Skills!T18*(1+((Inputs!$B$34+(ArtifactsInput!$M$7-ArtifactsInput!$M$7)*CHOOSE(ArtifactsInput!$N$7+1,6,7.2,8.4,9.6,10.8,12)))/100))/Skills!E18))</f>
        <v/>
      </c>
    </row>
    <row r="280">
      <c r="A280" t="inlineStr">
        <is>
          <t>Actions Per Second</t>
        </is>
      </c>
      <c r="B280">
        <f>1+MIN(150,150*(1-(1-(Inputs!$B$11+(ArtifactsInput!$M$15-ArtifactsInput!$M$15)*CHOOSE(ArtifactsInput!$N$15+1,8,9.6,11.2,12.8,14.4,16))/150)*(1-B279/150)))/100</f>
        <v/>
      </c>
    </row>
    <row r="281">
      <c r="A281" t="inlineStr">
        <is>
          <t>Skill + Buff Cast Rate</t>
        </is>
      </c>
      <c r="B281">
        <f>IF(AND(Inputs!$B$38&lt;&gt;"pvp",Inputs!$B$43&gt;0),SUMPRODUCT((Skills!F2:F28=TRUE)*(C248:C274=TRUE)*R248:R274)/Inputs!$B$43,SUMPRODUCT((Skills!F2:F28=TRUE)*(C248:C274=TRUE)*Q248:Q274))</f>
        <v/>
      </c>
    </row>
    <row r="282">
      <c r="A282" t="inlineStr">
        <is>
          <t>Basic Attacks Per Second</t>
        </is>
      </c>
      <c r="B282">
        <f>MAX(0,B280-B281)</f>
        <v/>
      </c>
    </row>
    <row r="283">
      <c r="A283" t="inlineStr">
        <is>
          <t>Meteor Proc — combined trigger cast rate</t>
        </is>
      </c>
      <c r="B283">
        <f>IF(AND(Inputs!$B$38&lt;&gt;"pvp",Inputs!$B$43&gt;0),SUMPRODUCT((Skills!V2:V28=TRUE)*(C248:C274=TRUE)*R248:R274*Skills!W2:W28)/Inputs!$B$43,SUMPRODUCT((Skills!V2:V28=TRUE)*(C248:C274=TRUE)*Q248:Q274*Skills!W2:W28))+B282</f>
        <v/>
      </c>
    </row>
    <row r="284">
      <c r="A284" t="inlineStr">
        <is>
          <t>Buff-Casting Startup Delay (s, fixed-duration only)</t>
        </is>
      </c>
      <c r="B284">
        <f>IF(AND(Inputs!$B$38&lt;&gt;"pvp",Inputs!$B$43&gt;0),SUMPRODUCT((Skills!T2:T28&gt;0)*(Skills!F2:F28=TRUE)*(C248:C274=TRUE))/B280,0)</f>
        <v/>
      </c>
    </row>
    <row r="285">
      <c r="A285" t="inlineStr">
        <is>
          <t>Boss-Only Total DPS (this block's swept value)</t>
        </is>
      </c>
      <c r="B285">
        <f>SUM(S248:S274)</f>
        <v/>
      </c>
    </row>
    <row r="286">
      <c r="A286" t="inlineStr">
        <is>
          <t>Normal-Only Total DPS (this block's swept value)</t>
        </is>
      </c>
      <c r="B286">
        <f>SUM(U248:U274)</f>
        <v/>
      </c>
    </row>
    <row r="287">
      <c r="A287" s="6" t="inlineStr">
        <is>
          <t>TOTAL DPS</t>
        </is>
      </c>
      <c r="B287" s="6">
        <f>SUM(O248:O274)</f>
        <v/>
      </c>
    </row>
    <row r="290">
      <c r="A290" s="6" t="inlineStr">
        <is>
          <t>Stat: NORMAL_DAMAGE %</t>
        </is>
      </c>
    </row>
    <row r="291">
      <c r="A291" s="5" t="inlineStr">
        <is>
          <t>Key</t>
        </is>
      </c>
      <c r="B291" s="5" t="inlineStr">
        <is>
          <t>Name</t>
        </is>
      </c>
      <c r="C291" s="5" t="inlineStr">
        <is>
          <t>Unlocked</t>
        </is>
      </c>
      <c r="D291" s="5" t="inlineStr">
        <is>
          <t>InputLevel</t>
        </is>
      </c>
      <c r="E291" s="5" t="inlineStr">
        <is>
          <t>Factor</t>
        </is>
      </c>
      <c r="F291" s="5" t="inlineStr">
        <is>
          <t>CoefficientPercent</t>
        </is>
      </c>
      <c r="G291" s="5" t="inlineStr">
        <is>
          <t>EffectiveHits</t>
        </is>
      </c>
      <c r="H291" s="5" t="inlineStr">
        <is>
          <t>ProcProbability</t>
        </is>
      </c>
      <c r="I291" s="5" t="inlineStr">
        <is>
          <t>MapleHeroMultiplier</t>
        </is>
      </c>
      <c r="J291" s="5" t="inlineStr">
        <is>
          <t>BaseDamage</t>
        </is>
      </c>
      <c r="K291" s="5" t="inlineStr">
        <is>
          <t>BaseHitDamage</t>
        </is>
      </c>
      <c r="L291" s="5" t="inlineStr">
        <is>
          <t>NonCritAvg</t>
        </is>
      </c>
      <c r="M291" s="5" t="inlineStr">
        <is>
          <t>CritAvg</t>
        </is>
      </c>
      <c r="N291" s="5" t="inlineStr">
        <is>
          <t>ExpectedDamage(perHit)</t>
        </is>
      </c>
      <c r="O291" s="5" t="inlineStr">
        <is>
          <t>DPS</t>
        </is>
      </c>
      <c r="P291" s="5" t="inlineStr">
        <is>
          <t>% of Total</t>
        </is>
      </c>
      <c r="R291" t="inlineStr">
        <is>
          <t>helpers</t>
        </is>
      </c>
    </row>
    <row r="292">
      <c r="A292">
        <f>Skills!A2</f>
        <v/>
      </c>
      <c r="B292">
        <f>Skills!B2</f>
        <v/>
      </c>
      <c r="C292">
        <f>TRUE</f>
        <v/>
      </c>
      <c r="D292" t="inlineStr"/>
      <c r="E292" t="inlineStr"/>
      <c r="F292">
        <f>T294+Skills!O2</f>
        <v/>
      </c>
      <c r="G292">
        <f>Calc!G2</f>
        <v/>
      </c>
      <c r="H292">
        <f>Calc!H2</f>
        <v/>
      </c>
      <c r="I292">
        <f>IF(Skills!X2&lt;&gt;"",1+(Skills!X2/10)*(Z293/1000)/100,1)</f>
        <v/>
      </c>
      <c r="J292">
        <f>((Inputs!$B$6*(1+Inputs!$B$7/100))+(((Inputs!$B$12*(1+Inputs!$B$13/100))-(Inputs!$B$12*(1+Inputs!$B$13/100)))+0.25*(Inputs!$B$14-Inputs!$B$14))*(1+Inputs!$B$7/100))*(F292/100)</f>
        <v/>
      </c>
      <c r="K292">
        <f>J292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f>
        <v/>
      </c>
      <c r="L292">
        <f>K292*(MIN(Inputs!$B$22+(F312-Calc!F22),(Inputs!$B$23+(IF(ArtifactsInput!$M$15,CHOOSE(ArtifactsInput!$N$15+1,25,30,35,40,45,50)/100*(Inputs!$B$11-Inputs!$B$11),0))))/100+(Inputs!$B$23+(IF(ArtifactsInput!$M$15,CHOOSE(ArtifactsInput!$N$15+1,25,30,35,40,45,50)/100*(Inputs!$B$11-Inputs!$B$11),0)))/100)/2</f>
        <v/>
      </c>
      <c r="M292">
        <f>L292*(1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
        <f>L292*(1-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
        <f>(1-Summary!$B$11)*S292+Summary!$B$11*U292</f>
        <v/>
      </c>
      <c r="P292">
        <f>IF(B331=0,0,O292/B331)</f>
        <v/>
      </c>
      <c r="Q292">
        <f>IFERROR(1/(IF(Inputs!$B$38="pvp",15,MAX(0.1,Skills!E2-IF(Skills!F2=TRUE,Inputs!$B$32,0)))*(1-IF(AND(ArtifactsInput!$M$27,Inputs!$B$4="Chapter Hunt"),CHOOSE(ArtifactsInput!$N$27+1,20,24,28,32,36,40),0)/100)),0)</f>
        <v/>
      </c>
      <c r="R292" t="n">
        <v>0</v>
      </c>
      <c r="S292">
        <f>(Skills!G2*N292*B326)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92">
        <f>MAX(0,(Inputs!$B$3-100)*3)+Inputs!$B$28+Inputs!$B$29</f>
        <v/>
      </c>
      <c r="U292">
        <f>(Skills!G2*N292*B326)*IF(Inputs!$B$38="pvp",1,(1+((Inputs!$B$21+1)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92">
        <f>MAX(0,(Inputs!$B$3-100)*3)+Inputs!$B$28+Inputs!$B$29</f>
        <v/>
      </c>
    </row>
    <row r="293">
      <c r="A293">
        <f>Skills!A3</f>
        <v/>
      </c>
      <c r="B293">
        <f>Skills!B3</f>
        <v/>
      </c>
      <c r="C293">
        <f>TRUE</f>
        <v/>
      </c>
      <c r="D293">
        <f>IF(Skills!C3=1,60+Inputs!$B$25+Inputs!$B$29,IF(Skills!C3=2,90+Inputs!$B$26+Inputs!$B$29,IF(Skills!C3=3,120+Inputs!$B$27+Inputs!$B$29,MAX(0,(Inputs!$B$3-100)*3)+Inputs!$B$28+Inputs!$B$29)))</f>
        <v/>
      </c>
      <c r="E293">
        <f>INDEX(FactorTable!$B$2:$Y$301, MATCH(ROUND(MIN(300,MAX(1,D293)),0), FactorTable!$A$2:$A$301,0), Skills!M3+1)</f>
        <v/>
      </c>
      <c r="F293">
        <f>IF(Skills!N3=TRUE,(Skills!L3/10)*(E293/1000),Skills!L3/10)+Skills!O3</f>
        <v/>
      </c>
      <c r="G293">
        <f>Calc!G3</f>
        <v/>
      </c>
      <c r="H293">
        <f>Calc!H3</f>
        <v/>
      </c>
      <c r="I293">
        <f>IF(Skills!X3&lt;&gt;"",1+(Skills!X3/10)*(Z293/1000)/100,1)</f>
        <v/>
      </c>
      <c r="J293">
        <f>((Inputs!$B$6*(1+Inputs!$B$7/100))+(((Inputs!$B$12*(1+Inputs!$B$13/100))-(Inputs!$B$12*(1+Inputs!$B$13/100)))+0.25*(Inputs!$B$14-Inputs!$B$14))*(1+Inputs!$B$7/100))*(F293/100)</f>
        <v/>
      </c>
      <c r="K293">
        <f>J293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f>
        <v/>
      </c>
      <c r="L293">
        <f>K293*(MIN(Inputs!$B$22+(F312-Calc!F22),(Inputs!$B$23+(IF(ArtifactsInput!$M$15,CHOOSE(ArtifactsInput!$N$15+1,25,30,35,40,45,50)/100*(Inputs!$B$11-Inputs!$B$11),0))))/100+(Inputs!$B$23+(IF(ArtifactsInput!$M$15,CHOOSE(ArtifactsInput!$N$15+1,25,30,35,40,45,50)/100*(Inputs!$B$11-Inputs!$B$11),0)))/100)/2</f>
        <v/>
      </c>
      <c r="M293">
        <f>L293*(1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
        <f>L293*(1-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
        <f>(1-Summary!$B$11)*S293+Summary!$B$11*U293</f>
        <v/>
      </c>
      <c r="P293">
        <f>IF(B331=0,0,O293/B331)</f>
        <v/>
      </c>
      <c r="Q293">
        <f>IFERROR(1/(IF(Inputs!$B$38="pvp",15,MAX(0.1,Skills!E3-IF(Skills!F3=TRUE,Inputs!$B$32,0)))*(1-IF(AND(ArtifactsInput!$M$27,Inputs!$B$4="Chapter Hunt"),CHOOSE(ArtifactsInput!$N$27+1,20,24,28,32,36,40),0)/100)),0)</f>
        <v/>
      </c>
      <c r="R293">
        <f>IF(AND(Inputs!$B$38&lt;&gt;"pvp",Inputs!$B$43&gt;0),IF(MAX(0,Inputs!$B$43-B328)&lt;=0,0,(INT(MAX(0,Inputs!$B$43-B328)/(IF(Inputs!$B$38="pvp",15,MAX(0.1,Skills!E3-IF(Skills!F3=TRUE,Inputs!$B$32,0)))*(1-IF(AND(ArtifactsInput!$M$27,Inputs!$B$4="Chapter Hunt"),CHOOSE(ArtifactsInput!$N$27+1,20,24,28,32,36,40),0)/100)))+1)),0)</f>
        <v/>
      </c>
      <c r="S293">
        <f>IF(C293,(H293*N293*IF(AND(Inputs!$B$38&lt;&gt;"pvp",Inputs!$B$43&gt;0),((Skills!G3*((R293-1)*IF(Skills!H3&gt;0,Skills!I3/Skills!H3,1)+IF(Skills!H3&gt;0,MIN(Skills!I3,MAX(0,MAX(0,Inputs!$B$43-B328)-((R293-1)*(IF(Inputs!$B$38="pvp",15,MAX(0.1,Skills!E3-IF(Skills!F3=TRUE,Inputs!$B$32,0)))*(1-IF(AND(ArtifactsInput!$M$27,Inputs!$B$4="Chapter Hunt"),CHOOSE(ArtifactsInput!$N$27+1,20,24,28,32,36,40),0)/100)))))/Skills!H3,1)))/Inputs!$B$43),G293*Q293)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293*(1-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3">
        <f>INDEX(FactorTable!$B$2:$Y$301, MATCH(ROUND(MIN(300,MAX(1,T292)),0), FactorTable!$A$2:$A$301,0), 22)</f>
        <v/>
      </c>
      <c r="U293">
        <f>IF(C293,(H293*N293*IF(AND(Inputs!$B$38&lt;&gt;"pvp",Inputs!$B$43&gt;0),((Skills!G3*((R293-1)*IF(Skills!H3&gt;0,Skills!I3/Skills!H3,1)+IF(Skills!H3&gt;0,MIN(Skills!I3,MAX(0,MAX(0,Inputs!$B$43-B328)-((R293-1)*(IF(Inputs!$B$38="pvp",15,MAX(0.1,Skills!E3-IF(Skills!F3=TRUE,Inputs!$B$32,0)))*(1-IF(AND(ArtifactsInput!$M$27,Inputs!$B$4="Chapter Hunt"),CHOOSE(ArtifactsInput!$N$27+1,20,24,28,32,36,40),0)/100)))))/Skills!H3,1)))/Inputs!$B$43),G293*Q293))*IF(Inputs!$B$38="pvp",1,(1+((Inputs!$B$21+1)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93">
        <f>INDEX(FactorTable!$B$2:$Y$301, MATCH(ROUND(MIN(300,MAX(1,Z292)),0), FactorTable!$A$2:$A$301,0), 24)</f>
        <v/>
      </c>
    </row>
    <row r="294">
      <c r="A294">
        <f>Skills!A4</f>
        <v/>
      </c>
      <c r="B294">
        <f>Skills!B4</f>
        <v/>
      </c>
      <c r="C294">
        <f>TRUE</f>
        <v/>
      </c>
      <c r="D294">
        <f>IF(Skills!C4=1,60+Inputs!$B$25+Inputs!$B$29,IF(Skills!C4=2,90+Inputs!$B$26+Inputs!$B$29,IF(Skills!C4=3,120+Inputs!$B$27+Inputs!$B$29,MAX(0,(Inputs!$B$3-100)*3)+Inputs!$B$28+Inputs!$B$29)))</f>
        <v/>
      </c>
      <c r="E294">
        <f>INDEX(FactorTable!$B$2:$Y$301, MATCH(ROUND(MIN(300,MAX(1,D294)),0), FactorTable!$A$2:$A$301,0), Skills!M4+1)</f>
        <v/>
      </c>
      <c r="F294">
        <f>IF(Skills!N4=TRUE,(Skills!L4/10)*(E294/1000),Skills!L4/10)+Skills!O4</f>
        <v/>
      </c>
      <c r="G294">
        <f>Calc!G4</f>
        <v/>
      </c>
      <c r="H294">
        <f>Calc!H4</f>
        <v/>
      </c>
      <c r="I294">
        <f>IF(Skills!X4&lt;&gt;"",1+(Skills!X4/10)*(Z293/1000)/100,1)</f>
        <v/>
      </c>
      <c r="J294">
        <f>((Inputs!$B$6*(1+Inputs!$B$7/100))+(((Inputs!$B$12*(1+Inputs!$B$13/100))-(Inputs!$B$12*(1+Inputs!$B$13/100)))+0.25*(Inputs!$B$14-Inputs!$B$14))*(1+Inputs!$B$7/100))*(F294/100)</f>
        <v/>
      </c>
      <c r="K294">
        <f>J294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f>
        <v/>
      </c>
      <c r="L294">
        <f>K294*(MIN(Inputs!$B$22+(F312-Calc!F22),(Inputs!$B$23+(IF(ArtifactsInput!$M$15,CHOOSE(ArtifactsInput!$N$15+1,25,30,35,40,45,50)/100*(Inputs!$B$11-Inputs!$B$11),0))))/100+(Inputs!$B$23+(IF(ArtifactsInput!$M$15,CHOOSE(ArtifactsInput!$N$15+1,25,30,35,40,45,50)/100*(Inputs!$B$11-Inputs!$B$11),0)))/100)/2</f>
        <v/>
      </c>
      <c r="M294">
        <f>L294*(1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
        <f>L294*(1-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
        <f>(1-Summary!$B$11)*S294+Summary!$B$11*U294</f>
        <v/>
      </c>
      <c r="P294">
        <f>IF(B331=0,0,O294/B331)</f>
        <v/>
      </c>
      <c r="Q294">
        <f>IFERROR(1/(IF(Inputs!$B$38="pvp",15,MAX(0.1,Skills!E4-IF(Skills!F4=TRUE,Inputs!$B$32,0)))*(1-IF(AND(ArtifactsInput!$M$27,Inputs!$B$4="Chapter Hunt"),CHOOSE(ArtifactsInput!$N$27+1,20,24,28,32,36,40),0)/100)),0)</f>
        <v/>
      </c>
      <c r="R294">
        <f>IF(AND(Inputs!$B$38&lt;&gt;"pvp",Inputs!$B$43&gt;0),IF(MAX(0,Inputs!$B$43-B328)&lt;=0,0,(INT(MAX(0,Inputs!$B$43-B328)/(IF(Inputs!$B$38="pvp",15,MAX(0.1,Skills!E4-IF(Skills!F4=TRUE,Inputs!$B$32,0)))*(1-IF(AND(ArtifactsInput!$M$27,Inputs!$B$4="Chapter Hunt"),CHOOSE(ArtifactsInput!$N$27+1,20,24,28,32,36,40),0)/100)))+1)),0)</f>
        <v/>
      </c>
      <c r="S294">
        <f>IF(C294,(H294*N294*IF(AND(Inputs!$B$38&lt;&gt;"pvp",Inputs!$B$43&gt;0),((Skills!G4*((R294-1)*IF(Skills!H4&gt;0,Skills!I4/Skills!H4,1)+IF(Skills!H4&gt;0,MIN(Skills!I4,MAX(0,MAX(0,Inputs!$B$43-B328)-((R294-1)*(IF(Inputs!$B$38="pvp",15,MAX(0.1,Skills!E4-IF(Skills!F4=TRUE,Inputs!$B$32,0)))*(1-IF(AND(ArtifactsInput!$M$27,Inputs!$B$4="Chapter Hunt"),CHOOSE(ArtifactsInput!$N$27+1,20,24,28,32,36,40),0)/100)))))/Skills!H4,1)))/Inputs!$B$43),G294*Q294)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294*(1-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4">
        <f>290*T293/1000</f>
        <v/>
      </c>
      <c r="U294">
        <f>IF(C294,(H294*N294*IF(AND(Inputs!$B$38&lt;&gt;"pvp",Inputs!$B$43&gt;0),((Skills!G4*((R294-1)*IF(Skills!H4&gt;0,Skills!I4/Skills!H4,1)+IF(Skills!H4&gt;0,MIN(Skills!I4,MAX(0,MAX(0,Inputs!$B$43-B328)-((R294-1)*(IF(Inputs!$B$38="pvp",15,MAX(0.1,Skills!E4-IF(Skills!F4=TRUE,Inputs!$B$32,0)))*(1-IF(AND(ArtifactsInput!$M$27,Inputs!$B$4="Chapter Hunt"),CHOOSE(ArtifactsInput!$N$27+1,20,24,28,32,36,40),0)/100)))))/Skills!H4,1)))/Inputs!$B$43),G294*Q294))*IF(Inputs!$B$38="pvp",1,(1+((Inputs!$B$21+1)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
      <c r="A295">
        <f>Skills!A5</f>
        <v/>
      </c>
      <c r="B295">
        <f>Skills!B5</f>
        <v/>
      </c>
      <c r="C295">
        <f>TRUE</f>
        <v/>
      </c>
      <c r="D295">
        <f>IF(Skills!C5=1,60+Inputs!$B$25+Inputs!$B$29,IF(Skills!C5=2,90+Inputs!$B$26+Inputs!$B$29,IF(Skills!C5=3,120+Inputs!$B$27+Inputs!$B$29,MAX(0,(Inputs!$B$3-100)*3)+Inputs!$B$28+Inputs!$B$29)))</f>
        <v/>
      </c>
      <c r="E295">
        <f>INDEX(FactorTable!$B$2:$Y$301, MATCH(ROUND(MIN(300,MAX(1,D295)),0), FactorTable!$A$2:$A$301,0), Skills!M5+1)</f>
        <v/>
      </c>
      <c r="F295">
        <f>IF(Skills!N5=TRUE,(Skills!L5/10)*(E295/1000),Skills!L5/10)+Skills!O5</f>
        <v/>
      </c>
      <c r="G295">
        <f>Calc!G5</f>
        <v/>
      </c>
      <c r="H295">
        <f>Calc!H5</f>
        <v/>
      </c>
      <c r="I295">
        <f>IF(Skills!X5&lt;&gt;"",1+(Skills!X5/10)*(Z293/1000)/100,1)</f>
        <v/>
      </c>
      <c r="J295">
        <f>((Inputs!$B$6*(1+Inputs!$B$7/100))+(((Inputs!$B$12*(1+Inputs!$B$13/100))-(Inputs!$B$12*(1+Inputs!$B$13/100)))+0.25*(Inputs!$B$14-Inputs!$B$14))*(1+Inputs!$B$7/100))*(F295/100)</f>
        <v/>
      </c>
      <c r="K295">
        <f>J295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f>
        <v/>
      </c>
      <c r="L295">
        <f>K295*(MIN(Inputs!$B$22+(F312-Calc!F22),(Inputs!$B$23+(IF(ArtifactsInput!$M$15,CHOOSE(ArtifactsInput!$N$15+1,25,30,35,40,45,50)/100*(Inputs!$B$11-Inputs!$B$11),0))))/100+(Inputs!$B$23+(IF(ArtifactsInput!$M$15,CHOOSE(ArtifactsInput!$N$15+1,25,30,35,40,45,50)/100*(Inputs!$B$11-Inputs!$B$11),0)))/100)/2</f>
        <v/>
      </c>
      <c r="M295">
        <f>L295*(1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
        <f>L295*(1-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
        <f>(1-Summary!$B$11)*S295+Summary!$B$11*U295</f>
        <v/>
      </c>
      <c r="P295">
        <f>IF(B331=0,0,O295/B331)</f>
        <v/>
      </c>
      <c r="Q295">
        <f>IFERROR(1/(IF(Inputs!$B$38="pvp",15,MAX(0.1,Skills!E5-IF(Skills!F5=TRUE,Inputs!$B$32,0)))*(1-IF(AND(ArtifactsInput!$M$27,Inputs!$B$4="Chapter Hunt"),CHOOSE(ArtifactsInput!$N$27+1,20,24,28,32,36,40),0)/100)),0)</f>
        <v/>
      </c>
      <c r="R295">
        <f>IF(AND(Inputs!$B$38&lt;&gt;"pvp",Inputs!$B$43&gt;0),IF(MAX(0,Inputs!$B$43-B328)&lt;=0,0,(INT(MAX(0,Inputs!$B$43-B328)/(IF(Inputs!$B$38="pvp",15,MAX(0.1,Skills!E5-IF(Skills!F5=TRUE,Inputs!$B$32,0)))*(1-IF(AND(ArtifactsInput!$M$27,Inputs!$B$4="Chapter Hunt"),CHOOSE(ArtifactsInput!$N$27+1,20,24,28,32,36,40),0)/100)))+1)),0)</f>
        <v/>
      </c>
      <c r="S295">
        <f>IF(C295,(H295*N295*IF(AND(Inputs!$B$38&lt;&gt;"pvp",Inputs!$B$43&gt;0),((Skills!G5*((R295-1)*IF(Skills!H5&gt;0,Skills!I5/Skills!H5,1)+IF(Skills!H5&gt;0,MIN(Skills!I5,MAX(0,MAX(0,Inputs!$B$43-B328)-((R295-1)*(IF(Inputs!$B$38="pvp",15,MAX(0.1,Skills!E5-IF(Skills!F5=TRUE,Inputs!$B$32,0)))*(1-IF(AND(ArtifactsInput!$M$27,Inputs!$B$4="Chapter Hunt"),CHOOSE(ArtifactsInput!$N$27+1,20,24,28,32,36,40),0)/100)))))/Skills!H5,1)))/Inputs!$B$43),G295*Q295)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
        <f>IF(C295,(H295*N295*IF(AND(Inputs!$B$38&lt;&gt;"pvp",Inputs!$B$43&gt;0),((Skills!G5*((R295-1)*IF(Skills!H5&gt;0,Skills!I5/Skills!H5,1)+IF(Skills!H5&gt;0,MIN(Skills!I5,MAX(0,MAX(0,Inputs!$B$43-B328)-((R295-1)*(IF(Inputs!$B$38="pvp",15,MAX(0.1,Skills!E5-IF(Skills!F5=TRUE,Inputs!$B$32,0)))*(1-IF(AND(ArtifactsInput!$M$27,Inputs!$B$4="Chapter Hunt"),CHOOSE(ArtifactsInput!$N$27+1,20,24,28,32,36,40),0)/100)))))/Skills!H5,1)))/Inputs!$B$43),G295*Q295))*IF(Inputs!$B$38="pvp",1,(1+((Inputs!$B$21+1)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
      <c r="A296">
        <f>Skills!A6</f>
        <v/>
      </c>
      <c r="B296">
        <f>Skills!B6</f>
        <v/>
      </c>
      <c r="C296">
        <f>TRUE</f>
        <v/>
      </c>
      <c r="D296">
        <f>IF(Skills!C6=1,60+Inputs!$B$25+Inputs!$B$29,IF(Skills!C6=2,90+Inputs!$B$26+Inputs!$B$29,IF(Skills!C6=3,120+Inputs!$B$27+Inputs!$B$29,MAX(0,(Inputs!$B$3-100)*3)+Inputs!$B$28+Inputs!$B$29)))</f>
        <v/>
      </c>
      <c r="E296">
        <f>INDEX(FactorTable!$B$2:$Y$301, MATCH(ROUND(MIN(300,MAX(1,D296)),0), FactorTable!$A$2:$A$301,0), Skills!M6+1)</f>
        <v/>
      </c>
      <c r="F296">
        <f>IF(Skills!N6=TRUE,(Skills!L6/10)*(E296/1000),Skills!L6/10)+Skills!O6</f>
        <v/>
      </c>
      <c r="G296">
        <f>Calc!G6</f>
        <v/>
      </c>
      <c r="H296">
        <f>Calc!H6</f>
        <v/>
      </c>
      <c r="I296">
        <f>IF(Skills!X6&lt;&gt;"",1+(Skills!X6/10)*(Z293/1000)/100,1)</f>
        <v/>
      </c>
      <c r="J296" t="inlineStr"/>
      <c r="K296" t="inlineStr"/>
      <c r="L296" t="inlineStr"/>
      <c r="M296" t="inlineStr"/>
      <c r="N296" t="inlineStr"/>
      <c r="O296">
        <f>(1-Summary!$B$11)*S296+Summary!$B$11*U296</f>
        <v/>
      </c>
      <c r="P296">
        <f>IF(B331=0,0,O296/B331)</f>
        <v/>
      </c>
      <c r="Q296">
        <f>IFERROR(1/(IF(Inputs!$B$38="pvp",15,MAX(0.1,Skills!E6-IF(Skills!F6=TRUE,Inputs!$B$32,0)))*(1-IF(AND(ArtifactsInput!$M$27,Inputs!$B$4="Chapter Hunt"),CHOOSE(ArtifactsInput!$N$27+1,20,24,28,32,36,40),0)/100)),0)</f>
        <v/>
      </c>
      <c r="R296">
        <f>IF(AND(Inputs!$B$38&lt;&gt;"pvp",Inputs!$B$43&gt;0),IF(Inputs!$B$43&lt;=0,0,(INT(Inputs!$B$43/(IF(Inputs!$B$38="pvp",15,MAX(0.1,Skills!E6-IF(Skills!F6=TRUE,Inputs!$B$32,0)))*(1-IF(AND(ArtifactsInput!$M$27,Inputs!$B$4="Chapter Hunt"),CHOOSE(ArtifactsInput!$N$27+1,20,24,28,32,36,40),0)/100)))+1)),0)</f>
        <v/>
      </c>
      <c r="S296" t="n">
        <v>0</v>
      </c>
      <c r="U296" t="n">
        <v>0</v>
      </c>
    </row>
    <row r="297">
      <c r="A297">
        <f>Skills!A7</f>
        <v/>
      </c>
      <c r="B297">
        <f>Skills!B7</f>
        <v/>
      </c>
      <c r="C297">
        <f>TRUE</f>
        <v/>
      </c>
      <c r="D297">
        <f>IF(Skills!C7=1,60+Inputs!$B$25+Inputs!$B$29,IF(Skills!C7=2,90+Inputs!$B$26+Inputs!$B$29,IF(Skills!C7=3,120+Inputs!$B$27+Inputs!$B$29,MAX(0,(Inputs!$B$3-100)*3)+Inputs!$B$28+Inputs!$B$29)))</f>
        <v/>
      </c>
      <c r="E297">
        <f>INDEX(FactorTable!$B$2:$Y$301, MATCH(ROUND(MIN(300,MAX(1,D297)),0), FactorTable!$A$2:$A$301,0), Skills!M7+1)</f>
        <v/>
      </c>
      <c r="F297">
        <f>IF(Skills!N7=TRUE,(Skills!L7/10)*(E297/1000),Skills!L7/10)+Skills!O7</f>
        <v/>
      </c>
      <c r="G297">
        <f>Calc!G7</f>
        <v/>
      </c>
      <c r="H297">
        <f>Calc!H7</f>
        <v/>
      </c>
      <c r="I297">
        <f>IF(Skills!X7&lt;&gt;"",1+(Skills!X7/10)*(Z293/1000)/100,1)</f>
        <v/>
      </c>
      <c r="J297">
        <f>((Inputs!$B$6*(1+Inputs!$B$7/100))+(((Inputs!$B$12*(1+Inputs!$B$13/100))-(Inputs!$B$12*(1+Inputs!$B$13/100)))+0.25*(Inputs!$B$14-Inputs!$B$14))*(1+Inputs!$B$7/100))*(F297/100)</f>
        <v/>
      </c>
      <c r="K297">
        <f>J297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f>
        <v/>
      </c>
      <c r="L297">
        <f>K297*(MIN(Inputs!$B$22+(F312-Calc!F22),(Inputs!$B$23+(IF(ArtifactsInput!$M$15,CHOOSE(ArtifactsInput!$N$15+1,25,30,35,40,45,50)/100*(Inputs!$B$11-Inputs!$B$11),0))))/100+(Inputs!$B$23+(IF(ArtifactsInput!$M$15,CHOOSE(ArtifactsInput!$N$15+1,25,30,35,40,45,50)/100*(Inputs!$B$11-Inputs!$B$11),0)))/100)/2</f>
        <v/>
      </c>
      <c r="M297">
        <f>L297*(1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
        <f>L297*(1-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
        <f>(1-Summary!$B$11)*S297+Summary!$B$11*U297</f>
        <v/>
      </c>
      <c r="P297">
        <f>IF(B331=0,0,O297/B331)</f>
        <v/>
      </c>
      <c r="Q297">
        <f>IFERROR(1/(IF(Inputs!$B$38="pvp",15,MAX(0.1,Skills!E7-IF(Skills!F7=TRUE,Inputs!$B$32,0)))*(1-IF(AND(ArtifactsInput!$M$27,Inputs!$B$4="Chapter Hunt"),CHOOSE(ArtifactsInput!$N$27+1,20,24,28,32,36,40),0)/100)),0)</f>
        <v/>
      </c>
      <c r="R297">
        <f>IF(AND(Inputs!$B$38&lt;&gt;"pvp",Inputs!$B$43&gt;0),IF(MAX(0,Inputs!$B$43-B328)&lt;=0,0,(INT(MAX(0,Inputs!$B$43-B328)/(IF(Inputs!$B$38="pvp",15,MAX(0.1,Skills!E7-IF(Skills!F7=TRUE,Inputs!$B$32,0)))*(1-IF(AND(ArtifactsInput!$M$27,Inputs!$B$4="Chapter Hunt"),CHOOSE(ArtifactsInput!$N$27+1,20,24,28,32,36,40),0)/100)))+1)),0)</f>
        <v/>
      </c>
      <c r="S297">
        <f>IF(C297,(H297*N297*IF(AND(Inputs!$B$38&lt;&gt;"pvp",Inputs!$B$43&gt;0),((Skills!G7*((R297-1)*IF(Skills!H7&gt;0,Skills!I7/Skills!H7,1)+IF(Skills!H7&gt;0,MIN(Skills!I7,MAX(0,MAX(0,Inputs!$B$43-B328)-((R297-1)*(IF(Inputs!$B$38="pvp",15,MAX(0.1,Skills!E7-IF(Skills!F7=TRUE,Inputs!$B$32,0)))*(1-IF(AND(ArtifactsInput!$M$27,Inputs!$B$4="Chapter Hunt"),CHOOSE(ArtifactsInput!$N$27+1,20,24,28,32,36,40),0)/100)))))/Skills!H7,1)))/Inputs!$B$43),G297*Q297)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297*(1-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7">
        <f>IF(C297,(H297*N297*IF(AND(Inputs!$B$38&lt;&gt;"pvp",Inputs!$B$43&gt;0),((Skills!G7*((R297-1)*IF(Skills!H7&gt;0,Skills!I7/Skills!H7,1)+IF(Skills!H7&gt;0,MIN(Skills!I7,MAX(0,MAX(0,Inputs!$B$43-B328)-((R297-1)*(IF(Inputs!$B$38="pvp",15,MAX(0.1,Skills!E7-IF(Skills!F7=TRUE,Inputs!$B$32,0)))*(1-IF(AND(ArtifactsInput!$M$27,Inputs!$B$4="Chapter Hunt"),CHOOSE(ArtifactsInput!$N$27+1,20,24,28,32,36,40),0)/100)))))/Skills!H7,1)))/Inputs!$B$43),G297*Q297))*IF(Inputs!$B$38="pvp",1,(1+((Inputs!$B$21+1)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8">
      <c r="A298">
        <f>Skills!A8</f>
        <v/>
      </c>
      <c r="B298">
        <f>Skills!B8</f>
        <v/>
      </c>
      <c r="C298">
        <f>TRUE</f>
        <v/>
      </c>
      <c r="D298">
        <f>IF(Skills!C8=1,60+Inputs!$B$25+Inputs!$B$29,IF(Skills!C8=2,90+Inputs!$B$26+Inputs!$B$29,IF(Skills!C8=3,120+Inputs!$B$27+Inputs!$B$29,MAX(0,(Inputs!$B$3-100)*3)+Inputs!$B$28+Inputs!$B$29)))</f>
        <v/>
      </c>
      <c r="E298">
        <f>INDEX(FactorTable!$B$2:$Y$301, MATCH(ROUND(MIN(300,MAX(1,D298)),0), FactorTable!$A$2:$A$301,0), Skills!M8+1)</f>
        <v/>
      </c>
      <c r="F298">
        <f>IF(Skills!N8=TRUE,(Skills!L8/10)*(E298/1000),Skills!L8/10)+Skills!O8</f>
        <v/>
      </c>
      <c r="G298">
        <f>Calc!G8</f>
        <v/>
      </c>
      <c r="H298">
        <f>Calc!H8</f>
        <v/>
      </c>
      <c r="I298">
        <f>IF(Skills!X8&lt;&gt;"",1+(Skills!X8/10)*(Z293/1000)/100,1)</f>
        <v/>
      </c>
      <c r="J298">
        <f>((Inputs!$B$6*(1+Inputs!$B$7/100))+(((Inputs!$B$12*(1+Inputs!$B$13/100))-(Inputs!$B$12*(1+Inputs!$B$13/100)))+0.25*(Inputs!$B$14-Inputs!$B$14))*(1+Inputs!$B$7/100))*(F298/100)</f>
        <v/>
      </c>
      <c r="K298">
        <f>J298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f>
        <v/>
      </c>
      <c r="L298">
        <f>K298*(MIN(Inputs!$B$22+(F312-Calc!F22),(Inputs!$B$23+(IF(ArtifactsInput!$M$15,CHOOSE(ArtifactsInput!$N$15+1,25,30,35,40,45,50)/100*(Inputs!$B$11-Inputs!$B$11),0))))/100+(Inputs!$B$23+(IF(ArtifactsInput!$M$15,CHOOSE(ArtifactsInput!$N$15+1,25,30,35,40,45,50)/100*(Inputs!$B$11-Inputs!$B$11),0)))/100)/2</f>
        <v/>
      </c>
      <c r="M298">
        <f>L298*(1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
        <f>L298*(1-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
        <f>(1-Summary!$B$11)*S298+Summary!$B$11*U298</f>
        <v/>
      </c>
      <c r="P298">
        <f>IF(B331=0,0,O298/B331)</f>
        <v/>
      </c>
      <c r="Q298">
        <f>IFERROR(1/(IF(Inputs!$B$38="pvp",15,MAX(0.1,Skills!E8-IF(Skills!F8=TRUE,Inputs!$B$32,0)))*(1-IF(AND(ArtifactsInput!$M$27,Inputs!$B$4="Chapter Hunt"),CHOOSE(ArtifactsInput!$N$27+1,20,24,28,32,36,40),0)/100)),0)</f>
        <v/>
      </c>
      <c r="R298">
        <f>IF(AND(Inputs!$B$38&lt;&gt;"pvp",Inputs!$B$43&gt;0),IF(MAX(0,Inputs!$B$43-B328)&lt;=0,0,(INT(MAX(0,Inputs!$B$43-B328)/(IF(Inputs!$B$38="pvp",15,MAX(0.1,Skills!E8-IF(Skills!F8=TRUE,Inputs!$B$32,0)))*(1-IF(AND(ArtifactsInput!$M$27,Inputs!$B$4="Chapter Hunt"),CHOOSE(ArtifactsInput!$N$27+1,20,24,28,32,36,40),0)/100)))+1)),0)</f>
        <v/>
      </c>
      <c r="S298">
        <f>IF(C298,(H298*N298*IF(AND(Inputs!$B$38&lt;&gt;"pvp",Inputs!$B$43&gt;0),((Skills!G8*((R298-1)*IF(Skills!H8&gt;0,Skills!I8/Skills!H8,1)+IF(Skills!H8&gt;0,MIN(Skills!I8,MAX(0,MAX(0,Inputs!$B$43-B328)-((R298-1)*(IF(Inputs!$B$38="pvp",15,MAX(0.1,Skills!E8-IF(Skills!F8=TRUE,Inputs!$B$32,0)))*(1-IF(AND(ArtifactsInput!$M$27,Inputs!$B$4="Chapter Hunt"),CHOOSE(ArtifactsInput!$N$27+1,20,24,28,32,36,40),0)/100)))))/Skills!H8,1)))/Inputs!$B$43),G298*Q298)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298*(1-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8">
        <f>IF(C298,(H298*N298*IF(AND(Inputs!$B$38&lt;&gt;"pvp",Inputs!$B$43&gt;0),((Skills!G8*((R298-1)*IF(Skills!H8&gt;0,Skills!I8/Skills!H8,1)+IF(Skills!H8&gt;0,MIN(Skills!I8,MAX(0,MAX(0,Inputs!$B$43-B328)-((R298-1)*(IF(Inputs!$B$38="pvp",15,MAX(0.1,Skills!E8-IF(Skills!F8=TRUE,Inputs!$B$32,0)))*(1-IF(AND(ArtifactsInput!$M$27,Inputs!$B$4="Chapter Hunt"),CHOOSE(ArtifactsInput!$N$27+1,20,24,28,32,36,40),0)/100)))))/Skills!H8,1)))/Inputs!$B$43),G298*Q298))*IF(Inputs!$B$38="pvp",1,(1+((Inputs!$B$21+1)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
      <c r="A299">
        <f>Skills!A9</f>
        <v/>
      </c>
      <c r="B299">
        <f>Skills!B9</f>
        <v/>
      </c>
      <c r="C299">
        <f>Inputs!$B$3&gt;=103</f>
        <v/>
      </c>
      <c r="D299">
        <f>IF(Skills!C9=1,60+Inputs!$B$25+Inputs!$B$29,IF(Skills!C9=2,90+Inputs!$B$26+Inputs!$B$29,IF(Skills!C9=3,120+Inputs!$B$27+Inputs!$B$29,MAX(0,(Inputs!$B$3-100)*3)+Inputs!$B$28+Inputs!$B$29)))</f>
        <v/>
      </c>
      <c r="E299">
        <f>INDEX(FactorTable!$B$2:$Y$301, MATCH(ROUND(MIN(300,MAX(1,D299)),0), FactorTable!$A$2:$A$301,0), Skills!M9+1)</f>
        <v/>
      </c>
      <c r="F299">
        <f>IF(Skills!N9=TRUE,(Skills!L9/10)*(E299/1000),Skills!L9/10)+Skills!O9</f>
        <v/>
      </c>
      <c r="G299">
        <f>Calc!G9</f>
        <v/>
      </c>
      <c r="H299">
        <f>Calc!H9</f>
        <v/>
      </c>
      <c r="I299">
        <f>IF(Skills!X9&lt;&gt;"",1+(Skills!X9/10)*(Z293/1000)/100,1)</f>
        <v/>
      </c>
      <c r="J299">
        <f>((Inputs!$B$6*(1+Inputs!$B$7/100))+(((Inputs!$B$12*(1+Inputs!$B$13/100))-(Inputs!$B$12*(1+Inputs!$B$13/100)))+0.25*(Inputs!$B$14-Inputs!$B$14))*(1+Inputs!$B$7/100))*(F299/100)</f>
        <v/>
      </c>
      <c r="K299">
        <f>J299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f>
        <v/>
      </c>
      <c r="L299">
        <f>K299*(MIN(Inputs!$B$22+(F312-Calc!F22),(Inputs!$B$23+(IF(ArtifactsInput!$M$15,CHOOSE(ArtifactsInput!$N$15+1,25,30,35,40,45,50)/100*(Inputs!$B$11-Inputs!$B$11),0))))/100+(Inputs!$B$23+(IF(ArtifactsInput!$M$15,CHOOSE(ArtifactsInput!$N$15+1,25,30,35,40,45,50)/100*(Inputs!$B$11-Inputs!$B$11),0)))/100)/2</f>
        <v/>
      </c>
      <c r="M299">
        <f>L299*(1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
        <f>L299*(1-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
        <f>(1-Summary!$B$11)*S299+Summary!$B$11*U299</f>
        <v/>
      </c>
      <c r="P299">
        <f>IF(B331=0,0,O299/B331)</f>
        <v/>
      </c>
      <c r="Q299">
        <f>IFERROR(1/(IF(Inputs!$B$38="pvp",15,MAX(0.1,Skills!E9-IF(Skills!F7=TRUE,Inputs!$B$32,0)))*(1-IF(AND(ArtifactsInput!$M$27,Inputs!$B$4="Chapter Hunt"),CHOOSE(ArtifactsInput!$N$27+1,20,24,28,32,36,40),0)/100)),0)</f>
        <v/>
      </c>
      <c r="R299">
        <f>IF(AND(Inputs!$B$38&lt;&gt;"pvp",Inputs!$B$43&gt;0),IF(MAX(0,Inputs!$B$43-B328)&lt;=0,0,(INT(MAX(0,Inputs!$B$43-B328)/(IF(Inputs!$B$38="pvp",15,MAX(0.1,Skills!E9-IF(Skills!F7=TRUE,Inputs!$B$32,0)))*(1-IF(AND(ArtifactsInput!$M$27,Inputs!$B$4="Chapter Hunt"),CHOOSE(ArtifactsInput!$N$27+1,20,24,28,32,36,40),0)/100)))+1)),0)</f>
        <v/>
      </c>
      <c r="S299">
        <f>IF(C299,(H299*N299*IF(AND(Inputs!$B$38&lt;&gt;"pvp",Inputs!$B$43&gt;0),((Skills!G9*((R299-1)*IF(Skills!H9&gt;0,Skills!I9/Skills!H9,1)+IF(Skills!H9&gt;0,MIN(Skills!I9,MAX(0,MAX(0,Inputs!$B$43-B328)-((R299-1)*(IF(Inputs!$B$38="pvp",15,MAX(0.1,Skills!E9-IF(Skills!F7=TRUE,Inputs!$B$32,0)))*(1-IF(AND(ArtifactsInput!$M$27,Inputs!$B$4="Chapter Hunt"),CHOOSE(ArtifactsInput!$N$27+1,20,24,28,32,36,40),0)/100)))))/Skills!H9,1)))/Inputs!$B$43),G299*Q299)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9">
        <f>IF(C299,(H299*N299*IF(AND(Inputs!$B$38&lt;&gt;"pvp",Inputs!$B$43&gt;0),((Skills!G9*((R299-1)*IF(Skills!H9&gt;0,Skills!I9/Skills!H9,1)+IF(Skills!H9&gt;0,MIN(Skills!I9,MAX(0,MAX(0,Inputs!$B$43-B328)-((R299-1)*(IF(Inputs!$B$38="pvp",15,MAX(0.1,Skills!E9-IF(Skills!F7=TRUE,Inputs!$B$32,0)))*(1-IF(AND(ArtifactsInput!$M$27,Inputs!$B$4="Chapter Hunt"),CHOOSE(ArtifactsInput!$N$27+1,20,24,28,32,36,40),0)/100)))))/Skills!H9,1)))/Inputs!$B$43),G299*Q299))*IF(Inputs!$B$38="pvp",1,(1+((Inputs!$B$21+1)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
      <c r="A300">
        <f>Skills!A10</f>
        <v/>
      </c>
      <c r="B300">
        <f>Skills!B10</f>
        <v/>
      </c>
      <c r="C300">
        <f>TRUE</f>
        <v/>
      </c>
      <c r="D300">
        <f>IF(Skills!C10=1,60+Inputs!$B$25+Inputs!$B$29,IF(Skills!C10=2,90+Inputs!$B$26+Inputs!$B$29,IF(Skills!C10=3,120+Inputs!$B$27+Inputs!$B$29,MAX(0,(Inputs!$B$3-100)*3)+Inputs!$B$28+Inputs!$B$29)))</f>
        <v/>
      </c>
      <c r="E300">
        <f>INDEX(FactorTable!$B$2:$Y$301, MATCH(ROUND(MIN(300,MAX(1,D300)),0), FactorTable!$A$2:$A$301,0), Skills!M10+1)</f>
        <v/>
      </c>
      <c r="F300">
        <f>IF(Skills!N10=TRUE,(Skills!L10/10)*(E300/1000),Skills!L10/10)+Skills!O10</f>
        <v/>
      </c>
      <c r="G300">
        <f>Calc!G10</f>
        <v/>
      </c>
      <c r="H300">
        <f>Calc!H10</f>
        <v/>
      </c>
      <c r="I300">
        <f>IF(Skills!X10&lt;&gt;"",1+(Skills!X10/10)*(Z293/1000)/100,1)</f>
        <v/>
      </c>
      <c r="J300">
        <f>((Inputs!$B$6*(1+Inputs!$B$7/100))+(((Inputs!$B$12*(1+Inputs!$B$13/100))-(Inputs!$B$12*(1+Inputs!$B$13/100)))+0.25*(Inputs!$B$14-Inputs!$B$14))*(1+Inputs!$B$7/100))*(F300/100)</f>
        <v/>
      </c>
      <c r="K300">
        <f>J300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f>
        <v/>
      </c>
      <c r="L300">
        <f>K300*(MIN(Inputs!$B$22+(F312-Calc!F22),(Inputs!$B$23+(IF(ArtifactsInput!$M$15,CHOOSE(ArtifactsInput!$N$15+1,25,30,35,40,45,50)/100*(Inputs!$B$11-Inputs!$B$11),0))))/100+(Inputs!$B$23+(IF(ArtifactsInput!$M$15,CHOOSE(ArtifactsInput!$N$15+1,25,30,35,40,45,50)/100*(Inputs!$B$11-Inputs!$B$11),0)))/100)/2</f>
        <v/>
      </c>
      <c r="M300">
        <f>L300*(1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
        <f>L300*(1-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
        <f>(1-Summary!$B$11)*S300+Summary!$B$11*U300</f>
        <v/>
      </c>
      <c r="P300">
        <f>IF(B331=0,0,O300/B331)</f>
        <v/>
      </c>
      <c r="Q300">
        <f>IFERROR(1/(IF(Inputs!$B$38="pvp",15,MAX(0.1,Skills!E10-IF(Skills!F10=TRUE,Inputs!$B$32,0)))*(1-IF(AND(ArtifactsInput!$M$27,Inputs!$B$4="Chapter Hunt"),CHOOSE(ArtifactsInput!$N$27+1,20,24,28,32,36,40),0)/100)),0)</f>
        <v/>
      </c>
      <c r="R300">
        <f>IF(AND(Inputs!$B$38&lt;&gt;"pvp",Inputs!$B$43&gt;0),IF(MAX(0,Inputs!$B$43-B328)&lt;=0,0,(INT(MAX(0,Inputs!$B$43-B328)/(IF(Inputs!$B$38="pvp",15,MAX(0.1,Skills!E10-IF(Skills!F10=TRUE,Inputs!$B$32,0)))*(1-IF(AND(ArtifactsInput!$M$27,Inputs!$B$4="Chapter Hunt"),CHOOSE(ArtifactsInput!$N$27+1,20,24,28,32,36,40),0)/100)))+1)),0)</f>
        <v/>
      </c>
      <c r="S300">
        <f>IF(C300,(H300*N300*IF(AND(Inputs!$B$38&lt;&gt;"pvp",Inputs!$B$43&gt;0),((Skills!G10*((R300-1)*IF(Skills!H10&gt;0,Skills!I10/Skills!H10,1)+IF(Skills!H10&gt;0,MIN(Skills!I10,MAX(0,MAX(0,Inputs!$B$43-B328)-((R300-1)*(IF(Inputs!$B$38="pvp",15,MAX(0.1,Skills!E10-IF(Skills!F10=TRUE,Inputs!$B$32,0)))*(1-IF(AND(ArtifactsInput!$M$27,Inputs!$B$4="Chapter Hunt"),CHOOSE(ArtifactsInput!$N$27+1,20,24,28,32,36,40),0)/100)))))/Skills!H10,1)))/Inputs!$B$43),G300*Q300)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300*(1-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
        <f>IF(C300,(H300*N300*IF(AND(Inputs!$B$38&lt;&gt;"pvp",Inputs!$B$43&gt;0),((Skills!G10*((R300-1)*IF(Skills!H10&gt;0,Skills!I10/Skills!H10,1)+IF(Skills!H10&gt;0,MIN(Skills!I10,MAX(0,MAX(0,Inputs!$B$43-B328)-((R300-1)*(IF(Inputs!$B$38="pvp",15,MAX(0.1,Skills!E10-IF(Skills!F10=TRUE,Inputs!$B$32,0)))*(1-IF(AND(ArtifactsInput!$M$27,Inputs!$B$4="Chapter Hunt"),CHOOSE(ArtifactsInput!$N$27+1,20,24,28,32,36,40),0)/100)))))/Skills!H10,1)))/Inputs!$B$43),G300*Q300))*IF(Inputs!$B$38="pvp",1,(1+((Inputs!$B$21+1)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
      <c r="A301">
        <f>Skills!A11</f>
        <v/>
      </c>
      <c r="B301">
        <f>Skills!B11</f>
        <v/>
      </c>
      <c r="C301">
        <f>TRUE</f>
        <v/>
      </c>
      <c r="D301">
        <f>IF(Skills!C11=1,60+Inputs!$B$25+Inputs!$B$29,IF(Skills!C11=2,90+Inputs!$B$26+Inputs!$B$29,IF(Skills!C11=3,120+Inputs!$B$27+Inputs!$B$29,MAX(0,(Inputs!$B$3-100)*3)+Inputs!$B$28+Inputs!$B$29)))</f>
        <v/>
      </c>
      <c r="E301">
        <f>INDEX(FactorTable!$B$2:$Y$301, MATCH(ROUND(MIN(300,MAX(1,D301)),0), FactorTable!$A$2:$A$301,0), Skills!M11+1)</f>
        <v/>
      </c>
      <c r="F301">
        <f>IF(Skills!N11=TRUE,(Skills!L11/10)*(E301/1000),Skills!L11/10)+Skills!O11</f>
        <v/>
      </c>
      <c r="G301">
        <f>Calc!G11</f>
        <v/>
      </c>
      <c r="H301">
        <f>Calc!H11</f>
        <v/>
      </c>
      <c r="I301">
        <f>IF(Skills!X11&lt;&gt;"",1+(Skills!X11/10)*(Z293/1000)/100,1)</f>
        <v/>
      </c>
      <c r="J301" t="inlineStr"/>
      <c r="K301" t="inlineStr"/>
      <c r="L301" t="inlineStr"/>
      <c r="M301" t="inlineStr"/>
      <c r="N301" t="inlineStr"/>
      <c r="O301">
        <f>(1-Summary!$B$11)*S301+Summary!$B$11*U301</f>
        <v/>
      </c>
      <c r="P301">
        <f>IF(B331=0,0,O301/B331)</f>
        <v/>
      </c>
      <c r="Q301">
        <f>IFERROR(1/(IF(Inputs!$B$38="pvp",15,MAX(0.1,Skills!E11-IF(Skills!F11=TRUE,Inputs!$B$32,0)))*(1-IF(AND(ArtifactsInput!$M$27,Inputs!$B$4="Chapter Hunt"),CHOOSE(ArtifactsInput!$N$27+1,20,24,28,32,36,40),0)/100)),0)</f>
        <v/>
      </c>
      <c r="R301" t="n">
        <v>0</v>
      </c>
      <c r="S301" t="n">
        <v>0</v>
      </c>
      <c r="U301" t="n">
        <v>0</v>
      </c>
    </row>
    <row r="302">
      <c r="A302">
        <f>Skills!A12</f>
        <v/>
      </c>
      <c r="B302">
        <f>Skills!B12</f>
        <v/>
      </c>
      <c r="C302">
        <f>TRUE</f>
        <v/>
      </c>
      <c r="D302">
        <f>IF(Skills!C12=1,60+Inputs!$B$25+Inputs!$B$29,IF(Skills!C12=2,90+Inputs!$B$26+Inputs!$B$29,IF(Skills!C12=3,120+Inputs!$B$27+Inputs!$B$29,MAX(0,(Inputs!$B$3-100)*3)+Inputs!$B$28+Inputs!$B$29)))</f>
        <v/>
      </c>
      <c r="E302">
        <f>INDEX(FactorTable!$B$2:$Y$301, MATCH(ROUND(MIN(300,MAX(1,D302)),0), FactorTable!$A$2:$A$301,0), Skills!M12+1)</f>
        <v/>
      </c>
      <c r="F302">
        <f>IF(Skills!N12=TRUE,(Skills!L12/10)*(E302/1000),Skills!L12/10)+Skills!O12</f>
        <v/>
      </c>
      <c r="G302">
        <f>Calc!G12</f>
        <v/>
      </c>
      <c r="H302">
        <f>Calc!H12</f>
        <v/>
      </c>
      <c r="I302">
        <f>IF(Skills!X12&lt;&gt;"",1+(Skills!X12/10)*(Z293/1000)/100,1)</f>
        <v/>
      </c>
      <c r="J302" t="inlineStr"/>
      <c r="K302" t="inlineStr"/>
      <c r="L302" t="inlineStr"/>
      <c r="M302" t="inlineStr"/>
      <c r="N302" t="inlineStr"/>
      <c r="O302">
        <f>(1-Summary!$B$11)*S302+Summary!$B$11*U302</f>
        <v/>
      </c>
      <c r="P302">
        <f>IF(B331=0,0,O302/B331)</f>
        <v/>
      </c>
      <c r="Q302">
        <f>IFERROR(1/(IF(Inputs!$B$38="pvp",15,MAX(0.1,Skills!E12-IF(Skills!F12=TRUE,Inputs!$B$32,0)))*(1-IF(AND(ArtifactsInput!$M$27,Inputs!$B$4="Chapter Hunt"),CHOOSE(ArtifactsInput!$N$27+1,20,24,28,32,36,40),0)/100)),0)</f>
        <v/>
      </c>
      <c r="R302" t="n">
        <v>0</v>
      </c>
      <c r="S302" t="n">
        <v>0</v>
      </c>
      <c r="U302" t="n">
        <v>0</v>
      </c>
    </row>
    <row r="303">
      <c r="A303">
        <f>Skills!A13</f>
        <v/>
      </c>
      <c r="B303">
        <f>Skills!B13</f>
        <v/>
      </c>
      <c r="C303">
        <f>Inputs!$B$3&gt;=105</f>
        <v/>
      </c>
      <c r="D303">
        <f>IF(Skills!C13=1,60+Inputs!$B$25+Inputs!$B$29,IF(Skills!C13=2,90+Inputs!$B$26+Inputs!$B$29,IF(Skills!C13=3,120+Inputs!$B$27+Inputs!$B$29,MAX(0,(Inputs!$B$3-100)*3)+Inputs!$B$28+Inputs!$B$29)))</f>
        <v/>
      </c>
      <c r="E303">
        <f>INDEX(FactorTable!$B$2:$Y$301, MATCH(ROUND(MIN(300,MAX(1,D303)),0), FactorTable!$A$2:$A$301,0), Skills!M13+1)</f>
        <v/>
      </c>
      <c r="F303">
        <f>IF(Skills!N13=TRUE,(Skills!L13/10)*(E303/1000),Skills!L13/10)+Skills!O13</f>
        <v/>
      </c>
      <c r="G303">
        <f>Calc!G13</f>
        <v/>
      </c>
      <c r="H303">
        <f>Calc!H13</f>
        <v/>
      </c>
      <c r="I303">
        <f>IF(Skills!X13&lt;&gt;"",1+(Skills!X13/10)*(Z293/1000)/100,1)</f>
        <v/>
      </c>
      <c r="J303">
        <f>((Inputs!$B$6*(1+Inputs!$B$7/100))+(((Inputs!$B$12*(1+Inputs!$B$13/100))-(Inputs!$B$12*(1+Inputs!$B$13/100)))+0.25*(Inputs!$B$14-Inputs!$B$14))*(1+Inputs!$B$7/100))*(F303/100)</f>
        <v/>
      </c>
      <c r="K303">
        <f>J303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f>
        <v/>
      </c>
      <c r="L303">
        <f>K303*(MIN(Inputs!$B$22+(F312-Calc!F22),(Inputs!$B$23+(IF(ArtifactsInput!$M$15,CHOOSE(ArtifactsInput!$N$15+1,25,30,35,40,45,50)/100*(Inputs!$B$11-Inputs!$B$11),0))))/100+(Inputs!$B$23+(IF(ArtifactsInput!$M$15,CHOOSE(ArtifactsInput!$N$15+1,25,30,35,40,45,50)/100*(Inputs!$B$11-Inputs!$B$11),0)))/100)/2</f>
        <v/>
      </c>
      <c r="M303">
        <f>L303*(1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
        <f>L303*(1-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
        <f>(1-Summary!$B$11)*S303+Summary!$B$11*U303</f>
        <v/>
      </c>
      <c r="P303">
        <f>IF(B331=0,0,O303/B331)</f>
        <v/>
      </c>
      <c r="Q303">
        <f>IFERROR(1/(IF(Inputs!$B$38="pvp",15,MAX(0.1,Skills!E13-IF(Skills!F13=TRUE,Inputs!$B$32,0)))*(1-IF(AND(ArtifactsInput!$M$27,Inputs!$B$4="Chapter Hunt"),CHOOSE(ArtifactsInput!$N$27+1,20,24,28,32,36,40),0)/100)),0)</f>
        <v/>
      </c>
      <c r="R303">
        <f>IF(AND(Inputs!$B$38&lt;&gt;"pvp",Inputs!$B$43&gt;0),IF(MAX(0,Inputs!$B$43-B328)&lt;=0,0,(INT(MAX(0,Inputs!$B$43-B328)/(IF(Inputs!$B$38="pvp",15,MAX(0.1,Skills!E13-IF(Skills!F13=TRUE,Inputs!$B$32,0)))*(1-IF(AND(ArtifactsInput!$M$27,Inputs!$B$4="Chapter Hunt"),CHOOSE(ArtifactsInput!$N$27+1,20,24,28,32,36,40),0)/100)))+1)),0)</f>
        <v/>
      </c>
      <c r="S303">
        <f>IF(C303,(H303*N303*IF(AND(Inputs!$B$38&lt;&gt;"pvp",Inputs!$B$43&gt;0),((Skills!G13*((R303-1)*IF(Skills!H13&gt;0,Skills!I13/Skills!H13,1)+IF(Skills!H13&gt;0,MIN(Skills!I13,MAX(0,MAX(0,Inputs!$B$43-B328)-((R303-1)*(IF(Inputs!$B$38="pvp",15,MAX(0.1,Skills!E13-IF(Skills!F13=TRUE,Inputs!$B$32,0)))*(1-IF(AND(ArtifactsInput!$M$27,Inputs!$B$4="Chapter Hunt"),CHOOSE(ArtifactsInput!$N$27+1,20,24,28,32,36,40),0)/100)))))/Skills!H13,1)))/Inputs!$B$43),G303*Q303)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303*(1-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3">
        <f>IF(C303,(H303*N303*IF(AND(Inputs!$B$38&lt;&gt;"pvp",Inputs!$B$43&gt;0),((Skills!G13*((R303-1)*IF(Skills!H13&gt;0,Skills!I13/Skills!H13,1)+IF(Skills!H13&gt;0,MIN(Skills!I13,MAX(0,MAX(0,Inputs!$B$43-B328)-((R303-1)*(IF(Inputs!$B$38="pvp",15,MAX(0.1,Skills!E13-IF(Skills!F13=TRUE,Inputs!$B$32,0)))*(1-IF(AND(ArtifactsInput!$M$27,Inputs!$B$4="Chapter Hunt"),CHOOSE(ArtifactsInput!$N$27+1,20,24,28,32,36,40),0)/100)))))/Skills!H13,1)))/Inputs!$B$43),G303*Q303))*IF(Inputs!$B$38="pvp",1,(1+((Inputs!$B$21+1)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
      <c r="A304">
        <f>Skills!A14</f>
        <v/>
      </c>
      <c r="B304">
        <f>Skills!B14</f>
        <v/>
      </c>
      <c r="C304">
        <f>Inputs!$B$3&gt;=113</f>
        <v/>
      </c>
      <c r="D304">
        <f>IF(Skills!C14=1,60+Inputs!$B$25+Inputs!$B$29,IF(Skills!C14=2,90+Inputs!$B$26+Inputs!$B$29,IF(Skills!C14=3,120+Inputs!$B$27+Inputs!$B$29,MAX(0,(Inputs!$B$3-100)*3)+Inputs!$B$28+Inputs!$B$29)))</f>
        <v/>
      </c>
      <c r="E304">
        <f>INDEX(FactorTable!$B$2:$Y$301, MATCH(ROUND(MIN(300,MAX(1,D304)),0), FactorTable!$A$2:$A$301,0), Skills!M14+1)</f>
        <v/>
      </c>
      <c r="F304">
        <f>IF(Skills!N14=TRUE,(Skills!L14/10)*(E304/1000),Skills!L14/10)+Skills!O14</f>
        <v/>
      </c>
      <c r="G304">
        <f>Calc!G14</f>
        <v/>
      </c>
      <c r="H304">
        <f>Calc!H14</f>
        <v/>
      </c>
      <c r="I304">
        <f>IF(Skills!X14&lt;&gt;"",1+(Skills!X14/10)*(Z293/1000)/100,1)</f>
        <v/>
      </c>
      <c r="J304">
        <f>((Inputs!$B$6*(1+Inputs!$B$7/100))+(((Inputs!$B$12*(1+Inputs!$B$13/100))-(Inputs!$B$12*(1+Inputs!$B$13/100)))+0.25*(Inputs!$B$14-Inputs!$B$14))*(1+Inputs!$B$7/100))*(F304/100)</f>
        <v/>
      </c>
      <c r="K304">
        <f>J304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f>
        <v/>
      </c>
      <c r="L304">
        <f>K304*(MIN(Inputs!$B$22+(F312-Calc!F22),(Inputs!$B$23+(IF(ArtifactsInput!$M$15,CHOOSE(ArtifactsInput!$N$15+1,25,30,35,40,45,50)/100*(Inputs!$B$11-Inputs!$B$11),0))))/100+(Inputs!$B$23+(IF(ArtifactsInput!$M$15,CHOOSE(ArtifactsInput!$N$15+1,25,30,35,40,45,50)/100*(Inputs!$B$11-Inputs!$B$11),0)))/100)/2</f>
        <v/>
      </c>
      <c r="M304">
        <f>L304*(1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
        <f>L304*(1-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
        <f>(1-Summary!$B$11)*S304+Summary!$B$11*U304</f>
        <v/>
      </c>
      <c r="P304">
        <f>IF(B331=0,0,O304/B331)</f>
        <v/>
      </c>
      <c r="Q304">
        <f>IFERROR(1/(IF(Inputs!$B$38="pvp",15,MAX(0.1,Skills!E14-IF(Skills!F14=TRUE,Inputs!$B$32,0)))*(1-IF(AND(ArtifactsInput!$M$27,Inputs!$B$4="Chapter Hunt"),CHOOSE(ArtifactsInput!$N$27+1,20,24,28,32,36,40),0)/100)),0)</f>
        <v/>
      </c>
      <c r="R304" t="n">
        <v>0</v>
      </c>
      <c r="S304">
        <f>IF(C304,((H304*B327)/(1+Skills!H14*H304*B327)*N304)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
        <f>IF(C304,((H304*B327)/(1+Skills!H14*H304*B327)*N304)*IF(Inputs!$B$38="pvp",1,(1+((Inputs!$B$21+1)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
      <c r="A305">
        <f>Skills!A15</f>
        <v/>
      </c>
      <c r="B305">
        <f>Skills!B15</f>
        <v/>
      </c>
      <c r="C305">
        <f>Inputs!$B$3&gt;=107</f>
        <v/>
      </c>
      <c r="D305">
        <f>IF(Skills!C15=1,60+Inputs!$B$25+Inputs!$B$29,IF(Skills!C15=2,90+Inputs!$B$26+Inputs!$B$29,IF(Skills!C15=3,120+Inputs!$B$27+Inputs!$B$29,MAX(0,(Inputs!$B$3-100)*3)+Inputs!$B$28+Inputs!$B$29)))</f>
        <v/>
      </c>
      <c r="E305">
        <f>INDEX(FactorTable!$B$2:$Y$301, MATCH(ROUND(MIN(300,MAX(1,D305)),0), FactorTable!$A$2:$A$301,0), Skills!M15+1)</f>
        <v/>
      </c>
      <c r="F305">
        <f>IF(Skills!N15=TRUE,(Skills!L15/10)*(E305/1000),Skills!L15/10)+Skills!O15</f>
        <v/>
      </c>
      <c r="G305">
        <f>Calc!G15</f>
        <v/>
      </c>
      <c r="H305">
        <f>Calc!H15</f>
        <v/>
      </c>
      <c r="I305">
        <f>IF(Skills!X15&lt;&gt;"",1+(Skills!X15/10)*(Z293/1000)/100,1)</f>
        <v/>
      </c>
      <c r="J305">
        <f>((Inputs!$B$6*(1+Inputs!$B$7/100))+(((Inputs!$B$12*(1+Inputs!$B$13/100))-(Inputs!$B$12*(1+Inputs!$B$13/100)))+0.25*(Inputs!$B$14-Inputs!$B$14))*(1+Inputs!$B$7/100))*(F305/100)</f>
        <v/>
      </c>
      <c r="K305">
        <f>J305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f>
        <v/>
      </c>
      <c r="L305">
        <f>K305*(MIN(Inputs!$B$22+(F312-Calc!F22),(Inputs!$B$23+(IF(ArtifactsInput!$M$15,CHOOSE(ArtifactsInput!$N$15+1,25,30,35,40,45,50)/100*(Inputs!$B$11-Inputs!$B$11),0))))/100+(Inputs!$B$23+(IF(ArtifactsInput!$M$15,CHOOSE(ArtifactsInput!$N$15+1,25,30,35,40,45,50)/100*(Inputs!$B$11-Inputs!$B$11),0)))/100)/2</f>
        <v/>
      </c>
      <c r="M305">
        <f>L305*(1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
        <f>L305*(1-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
        <f>(1-Summary!$B$11)*S305+Summary!$B$11*U305</f>
        <v/>
      </c>
      <c r="P305">
        <f>IF(B331=0,0,O305/B331)</f>
        <v/>
      </c>
      <c r="Q305">
        <f>IFERROR(1/(IF(Inputs!$B$38="pvp",15,MAX(0.1,Skills!E15-IF(Skills!F15=TRUE,Inputs!$B$32,0)))*(1-IF(AND(ArtifactsInput!$M$27,Inputs!$B$4="Chapter Hunt"),CHOOSE(ArtifactsInput!$N$27+1,20,24,28,32,36,40),0)/100)),0)</f>
        <v/>
      </c>
      <c r="R305">
        <f>IF(AND(Inputs!$B$38&lt;&gt;"pvp",Inputs!$B$43&gt;0),IF(MAX(0,Inputs!$B$43-B328)&lt;=0,0,(INT(MAX(0,Inputs!$B$43-B328)/(IF(Inputs!$B$38="pvp",15,MAX(0.1,Skills!E15-IF(Skills!F15=TRUE,Inputs!$B$32,0)))*(1-IF(AND(ArtifactsInput!$M$27,Inputs!$B$4="Chapter Hunt"),CHOOSE(ArtifactsInput!$N$27+1,20,24,28,32,36,40),0)/100)))+1)),0)</f>
        <v/>
      </c>
      <c r="S305">
        <f>IF(C305,(H305*N305*IF(AND(Inputs!$B$38&lt;&gt;"pvp",Inputs!$B$43&gt;0),((Skills!G15*((R305-1)*IF(Skills!H15&gt;0,Skills!I15/Skills!H15,1)+IF(Skills!H15&gt;0,MIN(Skills!I15,MAX(0,MAX(0,Inputs!$B$43-B328)-((R305-1)*(IF(Inputs!$B$38="pvp",15,MAX(0.1,Skills!E15-IF(Skills!F15=TRUE,Inputs!$B$32,0)))*(1-IF(AND(ArtifactsInput!$M$27,Inputs!$B$4="Chapter Hunt"),CHOOSE(ArtifactsInput!$N$27+1,20,24,28,32,36,40),0)/100)))))/Skills!H15,1)))/Inputs!$B$43),G305*Q305)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305*(1-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5">
        <f>IF(C305,(H305*N305*IF(AND(Inputs!$B$38&lt;&gt;"pvp",Inputs!$B$43&gt;0),((Skills!G15*((R305-1)*IF(Skills!H15&gt;0,Skills!I15/Skills!H15,1)+IF(Skills!H15&gt;0,MIN(Skills!I15,MAX(0,MAX(0,Inputs!$B$43-B328)-((R305-1)*(IF(Inputs!$B$38="pvp",15,MAX(0.1,Skills!E15-IF(Skills!F15=TRUE,Inputs!$B$32,0)))*(1-IF(AND(ArtifactsInput!$M$27,Inputs!$B$4="Chapter Hunt"),CHOOSE(ArtifactsInput!$N$27+1,20,24,28,32,36,40),0)/100)))))/Skills!H15,1)))/Inputs!$B$43),G305*Q305))*IF(Inputs!$B$38="pvp",1,(1+((Inputs!$B$21+1)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
      <c r="A306">
        <f>Skills!A16</f>
        <v/>
      </c>
      <c r="B306">
        <f>Skills!B16</f>
        <v/>
      </c>
      <c r="C306">
        <f>Inputs!$B$3&gt;=107</f>
        <v/>
      </c>
      <c r="D306">
        <f>IF(Skills!C16=1,60+Inputs!$B$25+Inputs!$B$29,IF(Skills!C16=2,90+Inputs!$B$26+Inputs!$B$29,IF(Skills!C16=3,120+Inputs!$B$27+Inputs!$B$29,MAX(0,(Inputs!$B$3-100)*3)+Inputs!$B$28+Inputs!$B$29)))</f>
        <v/>
      </c>
      <c r="E306">
        <f>INDEX(FactorTable!$B$2:$Y$301, MATCH(ROUND(MIN(300,MAX(1,D306)),0), FactorTable!$A$2:$A$301,0), Skills!M16+1)</f>
        <v/>
      </c>
      <c r="F306">
        <f>IF(Skills!N16=TRUE,(Skills!L16/10)*(E306/1000),Skills!L16/10)+Skills!O16</f>
        <v/>
      </c>
      <c r="G306">
        <f>Calc!G16</f>
        <v/>
      </c>
      <c r="H306">
        <f>Calc!H16</f>
        <v/>
      </c>
      <c r="I306">
        <f>IF(Skills!X16&lt;&gt;"",1+(Skills!X16/10)*(Z293/1000)/100,1)</f>
        <v/>
      </c>
      <c r="J306">
        <f>((Inputs!$B$6*(1+Inputs!$B$7/100))+(((Inputs!$B$12*(1+Inputs!$B$13/100))-(Inputs!$B$12*(1+Inputs!$B$13/100)))+0.25*(Inputs!$B$14-Inputs!$B$14))*(1+Inputs!$B$7/100))*(F306/100)</f>
        <v/>
      </c>
      <c r="K306">
        <f>J306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f>
        <v/>
      </c>
      <c r="L306">
        <f>K306*(MIN(Inputs!$B$22+(F312-Calc!F22),(Inputs!$B$23+(IF(ArtifactsInput!$M$15,CHOOSE(ArtifactsInput!$N$15+1,25,30,35,40,45,50)/100*(Inputs!$B$11-Inputs!$B$11),0))))/100+(Inputs!$B$23+(IF(ArtifactsInput!$M$15,CHOOSE(ArtifactsInput!$N$15+1,25,30,35,40,45,50)/100*(Inputs!$B$11-Inputs!$B$11),0)))/100)/2</f>
        <v/>
      </c>
      <c r="M306">
        <f>L306*(1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
        <f>L306*(1-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
        <f>(1-Summary!$B$11)*S306+Summary!$B$11*U306</f>
        <v/>
      </c>
      <c r="P306">
        <f>IF(B331=0,0,O306/B331)</f>
        <v/>
      </c>
      <c r="Q306">
        <f>IFERROR(1/(IF(Inputs!$B$38="pvp",15,MAX(0.1,Skills!E16-IF(Skills!F16=TRUE,Inputs!$B$32,0)))*(1-IF(AND(ArtifactsInput!$M$27,Inputs!$B$4="Chapter Hunt"),CHOOSE(ArtifactsInput!$N$27+1,20,24,28,32,36,40),0)/100)),0)</f>
        <v/>
      </c>
      <c r="R306">
        <f>IF(AND(Inputs!$B$38&lt;&gt;"pvp",Inputs!$B$43&gt;0),IF(MAX(0,Inputs!$B$43-B328)&lt;=0,0,(INT(MAX(0,Inputs!$B$43-B328)/(IF(Inputs!$B$38="pvp",15,MAX(0.1,Skills!E16-IF(Skills!F16=TRUE,Inputs!$B$32,0)))*(1-IF(AND(ArtifactsInput!$M$27,Inputs!$B$4="Chapter Hunt"),CHOOSE(ArtifactsInput!$N$27+1,20,24,28,32,36,40),0)/100)))+1)),0)</f>
        <v/>
      </c>
      <c r="S306">
        <f>IF(C306,(H306*N306*IF(AND(Inputs!$B$38&lt;&gt;"pvp",Inputs!$B$43&gt;0),((Skills!G16*((R306-1)*IF(Skills!H16&gt;0,Skills!I16/Skills!H16,1)+IF(Skills!H16&gt;0,MIN(Skills!I16,MAX(0,MAX(0,Inputs!$B$43-B328)-((R306-1)*(IF(Inputs!$B$38="pvp",15,MAX(0.1,Skills!E16-IF(Skills!F16=TRUE,Inputs!$B$32,0)))*(1-IF(AND(ArtifactsInput!$M$27,Inputs!$B$4="Chapter Hunt"),CHOOSE(ArtifactsInput!$N$27+1,20,24,28,32,36,40),0)/100)))))/Skills!H16,1)))/Inputs!$B$43),G306*Q306)*(1+IF(Inputs!$B$3&gt;=126,0.05*(B326+Q303+(H304*B327)/(1+Skills!H14*H304*B327)+Q314)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306*(1-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6">
        <f>IF(C306,(H306*N306*IF(AND(Inputs!$B$38&lt;&gt;"pvp",Inputs!$B$43&gt;0),((Skills!G16*((R306-1)*IF(Skills!H16&gt;0,Skills!I16/Skills!H16,1)+IF(Skills!H16&gt;0,MIN(Skills!I16,MAX(0,MAX(0,Inputs!$B$43-B328)-((R306-1)*(IF(Inputs!$B$38="pvp",15,MAX(0.1,Skills!E16-IF(Skills!F16=TRUE,Inputs!$B$32,0)))*(1-IF(AND(ArtifactsInput!$M$27,Inputs!$B$4="Chapter Hunt"),CHOOSE(ArtifactsInput!$N$27+1,20,24,28,32,36,40),0)/100)))))/Skills!H16,1)))/Inputs!$B$43),G306*Q306)*(1+IF(Inputs!$B$3&gt;=126,0.05*(B326+Q303+(H304*B327)/(1+Skills!H14*H304*B327)+Q314),0)*Skills!E15))*IF(Inputs!$B$38="pvp",1,(1+((Inputs!$B$21+1)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
      <c r="A307">
        <f>Skills!A17</f>
        <v/>
      </c>
      <c r="B307">
        <f>Skills!B17</f>
        <v/>
      </c>
      <c r="C307">
        <f>TRUE</f>
        <v/>
      </c>
      <c r="D307">
        <f>IF(Skills!C17=1,60+Inputs!$B$25+Inputs!$B$29,IF(Skills!C17=2,90+Inputs!$B$26+Inputs!$B$29,IF(Skills!C17=3,120+Inputs!$B$27+Inputs!$B$29,MAX(0,(Inputs!$B$3-100)*3)+Inputs!$B$28+Inputs!$B$29)))</f>
        <v/>
      </c>
      <c r="E307">
        <f>INDEX(FactorTable!$B$2:$Y$301, MATCH(ROUND(MIN(300,MAX(1,D307)),0), FactorTable!$A$2:$A$301,0), Skills!M17+1)</f>
        <v/>
      </c>
      <c r="F307">
        <f>IF(Skills!N17=TRUE,(Skills!L17/10)*(E307/1000),Skills!L17/10)+Skills!O17</f>
        <v/>
      </c>
      <c r="G307">
        <f>Calc!G17</f>
        <v/>
      </c>
      <c r="H307">
        <f>Calc!H17</f>
        <v/>
      </c>
      <c r="I307">
        <f>IF(Skills!X17&lt;&gt;"",1+(Skills!X17/10)*(Z293/1000)/100,1)</f>
        <v/>
      </c>
      <c r="J307" t="inlineStr"/>
      <c r="K307" t="inlineStr"/>
      <c r="L307" t="inlineStr"/>
      <c r="M307" t="inlineStr"/>
      <c r="N307" t="inlineStr"/>
      <c r="O307">
        <f>(1-Summary!$B$11)*S307+Summary!$B$11*U307</f>
        <v/>
      </c>
      <c r="P307">
        <f>IF(B331=0,0,O307/B331)</f>
        <v/>
      </c>
      <c r="Q307">
        <f>IFERROR(1/(IF(Inputs!$B$38="pvp",15,MAX(0.1,Skills!E17-IF(Skills!F17=TRUE,Inputs!$B$32,0)))*(1-IF(AND(ArtifactsInput!$M$27,Inputs!$B$4="Chapter Hunt"),CHOOSE(ArtifactsInput!$N$27+1,20,24,28,32,36,40),0)/100)),0)</f>
        <v/>
      </c>
      <c r="R307">
        <f>IF(AND(Inputs!$B$38&lt;&gt;"pvp",Inputs!$B$43&gt;0),IF(Inputs!$B$43&lt;=0,0,(INT(Inputs!$B$43/(IF(Inputs!$B$38="pvp",15,MAX(0.1,Skills!E17-IF(Skills!F17=TRUE,Inputs!$B$32,0)))*(1-IF(AND(ArtifactsInput!$M$27,Inputs!$B$4="Chapter Hunt"),CHOOSE(ArtifactsInput!$N$27+1,20,24,28,32,36,40),0)/100)))+1)),0)</f>
        <v/>
      </c>
      <c r="S307" t="n">
        <v>0</v>
      </c>
      <c r="U307" t="n">
        <v>0</v>
      </c>
    </row>
    <row r="308">
      <c r="A308">
        <f>Skills!A18</f>
        <v/>
      </c>
      <c r="B308">
        <f>Skills!B18</f>
        <v/>
      </c>
      <c r="C308">
        <f>TRUE</f>
        <v/>
      </c>
      <c r="D308">
        <f>IF(Skills!C18=1,60+Inputs!$B$25+Inputs!$B$29,IF(Skills!C18=2,90+Inputs!$B$26+Inputs!$B$29,IF(Skills!C18=3,120+Inputs!$B$27+Inputs!$B$29,MAX(0,(Inputs!$B$3-100)*3)+Inputs!$B$28+Inputs!$B$29)))</f>
        <v/>
      </c>
      <c r="E308">
        <f>INDEX(FactorTable!$B$2:$Y$301, MATCH(ROUND(MIN(300,MAX(1,D308)),0), FactorTable!$A$2:$A$301,0), Skills!M18+1)</f>
        <v/>
      </c>
      <c r="F308">
        <f>IF(Skills!N18=TRUE,(Skills!L18/10)*(E308/1000),Skills!L18/10)+Skills!O18</f>
        <v/>
      </c>
      <c r="G308">
        <f>Calc!G18</f>
        <v/>
      </c>
      <c r="H308">
        <f>Calc!H18</f>
        <v/>
      </c>
      <c r="I308">
        <f>IF(Skills!X18&lt;&gt;"",1+(Skills!X18/10)*(Z293/1000)/100,1)</f>
        <v/>
      </c>
      <c r="J308" t="inlineStr"/>
      <c r="K308" t="inlineStr"/>
      <c r="L308" t="inlineStr"/>
      <c r="M308" t="inlineStr"/>
      <c r="N308" t="inlineStr"/>
      <c r="O308">
        <f>(1-Summary!$B$11)*S308+Summary!$B$11*U308</f>
        <v/>
      </c>
      <c r="P308">
        <f>IF(B331=0,0,O308/B331)</f>
        <v/>
      </c>
      <c r="Q308">
        <f>IFERROR(1/(IF(Inputs!$B$38="pvp",15,MAX(0.1,Skills!E18-IF(Skills!F18=TRUE,Inputs!$B$32,0)))*(1-IF(AND(ArtifactsInput!$M$27,Inputs!$B$4="Chapter Hunt"),CHOOSE(ArtifactsInput!$N$27+1,20,24,28,32,36,40),0)/100)),0)</f>
        <v/>
      </c>
      <c r="R308">
        <f>IF(AND(Inputs!$B$38&lt;&gt;"pvp",Inputs!$B$43&gt;0),IF(Inputs!$B$43&lt;=0,0,(INT(Inputs!$B$43/(IF(Inputs!$B$38="pvp",15,MAX(0.1,Skills!E18-IF(Skills!F18=TRUE,Inputs!$B$32,0)))*(1-IF(AND(ArtifactsInput!$M$27,Inputs!$B$4="Chapter Hunt"),CHOOSE(ArtifactsInput!$N$27+1,20,24,28,32,36,40),0)/100)))+1)),0)</f>
        <v/>
      </c>
      <c r="S308" t="n">
        <v>0</v>
      </c>
      <c r="U308" t="n">
        <v>0</v>
      </c>
    </row>
    <row r="309">
      <c r="A309">
        <f>Skills!A19</f>
        <v/>
      </c>
      <c r="B309">
        <f>Skills!B19</f>
        <v/>
      </c>
      <c r="C309">
        <f>Inputs!$B$3&gt;=110</f>
        <v/>
      </c>
      <c r="D309">
        <f>IF(Skills!C19=1,60+Inputs!$B$25+Inputs!$B$29,IF(Skills!C19=2,90+Inputs!$B$26+Inputs!$B$29,IF(Skills!C19=3,120+Inputs!$B$27+Inputs!$B$29,MAX(0,(Inputs!$B$3-100)*3)+Inputs!$B$28+Inputs!$B$29)))</f>
        <v/>
      </c>
      <c r="E309">
        <f>INDEX(FactorTable!$B$2:$Y$301, MATCH(ROUND(MIN(300,MAX(1,D309)),0), FactorTable!$A$2:$A$301,0), Skills!M19+1)</f>
        <v/>
      </c>
      <c r="F309">
        <f>IF(Skills!N19=TRUE,(Skills!L19/10)*(E309/1000),Skills!L19/10)+Skills!O19</f>
        <v/>
      </c>
      <c r="G309">
        <f>Calc!G19</f>
        <v/>
      </c>
      <c r="H309">
        <f>Calc!H19</f>
        <v/>
      </c>
      <c r="I309">
        <f>IF(Skills!X19&lt;&gt;"",1+(Skills!X19/10)*(Z293/1000)/100,1)</f>
        <v/>
      </c>
      <c r="J309" t="inlineStr"/>
      <c r="K309" t="inlineStr"/>
      <c r="L309" t="inlineStr"/>
      <c r="M309" t="inlineStr"/>
      <c r="N309" t="inlineStr"/>
      <c r="O309">
        <f>(1-Summary!$B$11)*S309+Summary!$B$11*U309</f>
        <v/>
      </c>
      <c r="P309">
        <f>IF(B331=0,0,O309/B331)</f>
        <v/>
      </c>
      <c r="Q309">
        <f>IFERROR(1/(IF(Inputs!$B$38="pvp",15,MAX(0.1,Skills!E19-IF(Skills!F19=TRUE,Inputs!$B$32,0)))*(1-IF(AND(ArtifactsInput!$M$27,Inputs!$B$4="Chapter Hunt"),CHOOSE(ArtifactsInput!$N$27+1,20,24,28,32,36,40),0)/100)),0)</f>
        <v/>
      </c>
      <c r="R309">
        <f>IF(AND(Inputs!$B$38&lt;&gt;"pvp",Inputs!$B$43&gt;0),IF(Inputs!$B$43&lt;=0,0,(INT(Inputs!$B$43/(IF(Inputs!$B$38="pvp",15,MAX(0.1,Skills!E19-IF(Skills!F19=TRUE,Inputs!$B$32,0)))*(1-IF(AND(ArtifactsInput!$M$27,Inputs!$B$4="Chapter Hunt"),CHOOSE(ArtifactsInput!$N$27+1,20,24,28,32,36,40),0)/100)))+1)),0)</f>
        <v/>
      </c>
      <c r="S309" t="n">
        <v>0</v>
      </c>
      <c r="U309" t="n">
        <v>0</v>
      </c>
    </row>
    <row r="310">
      <c r="A310">
        <f>Skills!A20</f>
        <v/>
      </c>
      <c r="B310">
        <f>Skills!B20</f>
        <v/>
      </c>
      <c r="C310">
        <f>TRUE</f>
        <v/>
      </c>
      <c r="D310">
        <f>IF(Skills!C20=1,60+Inputs!$B$25+Inputs!$B$29,IF(Skills!C20=2,90+Inputs!$B$26+Inputs!$B$29,IF(Skills!C20=3,120+Inputs!$B$27+Inputs!$B$29,MAX(0,(Inputs!$B$3-100)*3)+Inputs!$B$28+Inputs!$B$29)))</f>
        <v/>
      </c>
      <c r="E310">
        <f>INDEX(FactorTable!$B$2:$Y$301, MATCH(ROUND(MIN(300,MAX(1,D310)),0), FactorTable!$A$2:$A$301,0), Skills!M20+1)</f>
        <v/>
      </c>
      <c r="F310">
        <f>IF(Skills!N20=TRUE,(Skills!L20/10)*(E310/1000),Skills!L20/10)+Skills!O20</f>
        <v/>
      </c>
      <c r="G310">
        <f>Calc!G20</f>
        <v/>
      </c>
      <c r="H310">
        <f>Calc!H20</f>
        <v/>
      </c>
      <c r="I310">
        <f>IF(Skills!X20&lt;&gt;"",1+(Skills!X20/10)*(Z293/1000)/100,1)</f>
        <v/>
      </c>
      <c r="J310" t="inlineStr"/>
      <c r="K310" t="inlineStr"/>
      <c r="L310" t="inlineStr"/>
      <c r="M310" t="inlineStr"/>
      <c r="N310" t="inlineStr"/>
      <c r="O310">
        <f>(1-Summary!$B$11)*S310+Summary!$B$11*U310</f>
        <v/>
      </c>
      <c r="P310">
        <f>IF(B331=0,0,O310/B331)</f>
        <v/>
      </c>
      <c r="Q310">
        <f>IFERROR(1/(IF(Inputs!$B$38="pvp",15,MAX(0.1,Skills!E20-IF(Skills!F20=TRUE,Inputs!$B$32,0)))*(1-IF(AND(ArtifactsInput!$M$27,Inputs!$B$4="Chapter Hunt"),CHOOSE(ArtifactsInput!$N$27+1,20,24,28,32,36,40),0)/100)),0)</f>
        <v/>
      </c>
      <c r="R310" t="n">
        <v>0</v>
      </c>
      <c r="S310" t="n">
        <v>0</v>
      </c>
      <c r="U310" t="n">
        <v>0</v>
      </c>
    </row>
    <row r="311">
      <c r="A311">
        <f>Skills!A21</f>
        <v/>
      </c>
      <c r="B311">
        <f>Skills!B21</f>
        <v/>
      </c>
      <c r="C311">
        <f>TRUE</f>
        <v/>
      </c>
      <c r="D311">
        <f>IF(Skills!C21=1,60+Inputs!$B$25+Inputs!$B$29,IF(Skills!C21=2,90+Inputs!$B$26+Inputs!$B$29,IF(Skills!C21=3,120+Inputs!$B$27+Inputs!$B$29,MAX(0,(Inputs!$B$3-100)*3)+Inputs!$B$28+Inputs!$B$29)))</f>
        <v/>
      </c>
      <c r="E311">
        <f>INDEX(FactorTable!$B$2:$Y$301, MATCH(ROUND(MIN(300,MAX(1,D311)),0), FactorTable!$A$2:$A$301,0), Skills!M21+1)</f>
        <v/>
      </c>
      <c r="F311">
        <f>IF(Skills!N21=TRUE,(Skills!L21/10)*(E311/1000),Skills!L21/10)+Skills!O21</f>
        <v/>
      </c>
      <c r="G311">
        <f>Calc!G21</f>
        <v/>
      </c>
      <c r="H311">
        <f>Calc!H21</f>
        <v/>
      </c>
      <c r="I311">
        <f>IF(Skills!X21&lt;&gt;"",1+(Skills!X21/10)*(Z293/1000)/100,1)</f>
        <v/>
      </c>
      <c r="J311" t="inlineStr"/>
      <c r="K311" t="inlineStr"/>
      <c r="L311" t="inlineStr"/>
      <c r="M311" t="inlineStr"/>
      <c r="N311" t="inlineStr"/>
      <c r="O311">
        <f>(1-Summary!$B$11)*S311+Summary!$B$11*U311</f>
        <v/>
      </c>
      <c r="P311">
        <f>IF(B331=0,0,O311/B331)</f>
        <v/>
      </c>
      <c r="Q311">
        <f>IFERROR(1/(IF(Inputs!$B$38="pvp",15,MAX(0.1,Skills!E21-IF(Skills!F21=TRUE,Inputs!$B$32,0)))*(1-IF(AND(ArtifactsInput!$M$27,Inputs!$B$4="Chapter Hunt"),CHOOSE(ArtifactsInput!$N$27+1,20,24,28,32,36,40),0)/100)),0)</f>
        <v/>
      </c>
      <c r="R311" t="n">
        <v>0</v>
      </c>
      <c r="S311" t="n">
        <v>0</v>
      </c>
      <c r="U311" t="n">
        <v>0</v>
      </c>
    </row>
    <row r="312">
      <c r="A312">
        <f>Skills!A22</f>
        <v/>
      </c>
      <c r="B312">
        <f>Skills!B22</f>
        <v/>
      </c>
      <c r="C312">
        <f>TRUE</f>
        <v/>
      </c>
      <c r="D312">
        <f>IF(Skills!C22=1,60+Inputs!$B$25+Inputs!$B$29,IF(Skills!C22=2,90+Inputs!$B$26+Inputs!$B$29,IF(Skills!C22=3,120+Inputs!$B$27+Inputs!$B$29,MAX(0,(Inputs!$B$3-100)*3)+Inputs!$B$28+Inputs!$B$29)))</f>
        <v/>
      </c>
      <c r="E312">
        <f>INDEX(FactorTable!$B$2:$Y$301, MATCH(ROUND(MIN(300,MAX(1,D312)),0), FactorTable!$A$2:$A$301,0), Skills!M22+1)</f>
        <v/>
      </c>
      <c r="F312">
        <f>IF(Skills!N22=TRUE,(Skills!L22/10)*(E312/1000),Skills!L22/10)+Skills!O22</f>
        <v/>
      </c>
      <c r="G312">
        <f>Calc!G22</f>
        <v/>
      </c>
      <c r="H312">
        <f>Calc!H22</f>
        <v/>
      </c>
      <c r="I312">
        <f>IF(Skills!X22&lt;&gt;"",1+(Skills!X22/10)*(Z293/1000)/100,1)</f>
        <v/>
      </c>
      <c r="J312" t="inlineStr"/>
      <c r="K312" t="inlineStr"/>
      <c r="L312" t="inlineStr"/>
      <c r="M312" t="inlineStr"/>
      <c r="N312" t="inlineStr"/>
      <c r="O312">
        <f>(1-Summary!$B$11)*S312+Summary!$B$11*U312</f>
        <v/>
      </c>
      <c r="P312">
        <f>IF(B331=0,0,O312/B331)</f>
        <v/>
      </c>
      <c r="Q312">
        <f>IFERROR(1/(IF(Inputs!$B$38="pvp",15,MAX(0.1,Skills!E22-IF(Skills!F22=TRUE,Inputs!$B$32,0)))*(1-IF(AND(ArtifactsInput!$M$27,Inputs!$B$4="Chapter Hunt"),CHOOSE(ArtifactsInput!$N$27+1,20,24,28,32,36,40),0)/100)),0)</f>
        <v/>
      </c>
      <c r="R312" t="n">
        <v>0</v>
      </c>
      <c r="S312" t="n">
        <v>0</v>
      </c>
      <c r="U312" t="n">
        <v>0</v>
      </c>
    </row>
    <row r="313">
      <c r="A313">
        <f>Skills!A23</f>
        <v/>
      </c>
      <c r="B313">
        <f>Skills!B23</f>
        <v/>
      </c>
      <c r="C313">
        <f>TRUE</f>
        <v/>
      </c>
      <c r="D313">
        <f>IF(Skills!C23=1,60+Inputs!$B$25+Inputs!$B$29,IF(Skills!C23=2,90+Inputs!$B$26+Inputs!$B$29,IF(Skills!C23=3,120+Inputs!$B$27+Inputs!$B$29,MAX(0,(Inputs!$B$3-100)*3)+Inputs!$B$28+Inputs!$B$29)))</f>
        <v/>
      </c>
      <c r="E313">
        <f>INDEX(FactorTable!$B$2:$Y$301, MATCH(ROUND(MIN(300,MAX(1,D313)),0), FactorTable!$A$2:$A$301,0), Skills!M23+1)</f>
        <v/>
      </c>
      <c r="F313">
        <f>IF(Skills!N23=TRUE,(Skills!L23/10)*(E313/1000),Skills!L23/10)+Skills!O23</f>
        <v/>
      </c>
      <c r="G313">
        <f>Calc!G23</f>
        <v/>
      </c>
      <c r="H313">
        <f>Calc!H23</f>
        <v/>
      </c>
      <c r="I313">
        <f>IF(Skills!X23&lt;&gt;"",1+(Skills!X23/10)*(Z293/1000)/100,1)</f>
        <v/>
      </c>
      <c r="J313" t="inlineStr"/>
      <c r="K313" t="inlineStr"/>
      <c r="L313" t="inlineStr"/>
      <c r="M313" t="inlineStr"/>
      <c r="N313" t="inlineStr"/>
      <c r="O313">
        <f>(1-Summary!$B$11)*S313+Summary!$B$11*U313</f>
        <v/>
      </c>
      <c r="P313">
        <f>IF(B331=0,0,O313/B331)</f>
        <v/>
      </c>
      <c r="Q313">
        <f>IFERROR(1/(IF(Inputs!$B$38="pvp",15,MAX(0.1,Skills!E23-IF(Skills!F23=TRUE,Inputs!$B$32,0)))*(1-IF(AND(ArtifactsInput!$M$27,Inputs!$B$4="Chapter Hunt"),CHOOSE(ArtifactsInput!$N$27+1,20,24,28,32,36,40),0)/100)),0)</f>
        <v/>
      </c>
      <c r="R313" t="n">
        <v>0</v>
      </c>
      <c r="S313" t="n">
        <v>0</v>
      </c>
      <c r="U313" t="n">
        <v>0</v>
      </c>
    </row>
    <row r="314">
      <c r="A314">
        <f>Skills!A24</f>
        <v/>
      </c>
      <c r="B314">
        <f>Skills!B24</f>
        <v/>
      </c>
      <c r="C314">
        <f>Inputs!$B$3&gt;=115</f>
        <v/>
      </c>
      <c r="D314">
        <f>IF(Skills!C24=1,60+Inputs!$B$25+Inputs!$B$29,IF(Skills!C24=2,90+Inputs!$B$26+Inputs!$B$29,IF(Skills!C24=3,120+Inputs!$B$27+Inputs!$B$29,MAX(0,(Inputs!$B$3-100)*3)+Inputs!$B$28+Inputs!$B$29)))</f>
        <v/>
      </c>
      <c r="E314">
        <f>INDEX(FactorTable!$B$2:$Y$301, MATCH(ROUND(MIN(300,MAX(1,D314)),0), FactorTable!$A$2:$A$301,0), Skills!M24+1)</f>
        <v/>
      </c>
      <c r="F314">
        <f>IF(Skills!N24=TRUE,(Skills!L24/10)*(E314/1000),Skills!L24/10)+Skills!O24</f>
        <v/>
      </c>
      <c r="G314">
        <f>Calc!G24</f>
        <v/>
      </c>
      <c r="H314">
        <f>Calc!H24</f>
        <v/>
      </c>
      <c r="I314">
        <f>IF(Skills!X24&lt;&gt;"",1+(Skills!X24/10)*(Z293/1000)/100,1)</f>
        <v/>
      </c>
      <c r="J314">
        <f>((Inputs!$B$6*(1+Inputs!$B$7/100))+(((Inputs!$B$12*(1+Inputs!$B$13/100))-(Inputs!$B$12*(1+Inputs!$B$13/100)))+0.25*(Inputs!$B$14-Inputs!$B$14))*(1+Inputs!$B$7/100))*(F314/100)</f>
        <v/>
      </c>
      <c r="K314">
        <f>J314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f>
        <v/>
      </c>
      <c r="L314">
        <f>K314*(MIN(Inputs!$B$22+(F312-Calc!F22),(Inputs!$B$23+(IF(ArtifactsInput!$M$15,CHOOSE(ArtifactsInput!$N$15+1,25,30,35,40,45,50)/100*(Inputs!$B$11-Inputs!$B$11),0))))/100+(Inputs!$B$23+(IF(ArtifactsInput!$M$15,CHOOSE(ArtifactsInput!$N$15+1,25,30,35,40,45,50)/100*(Inputs!$B$11-Inputs!$B$11),0)))/100)/2</f>
        <v/>
      </c>
      <c r="M314">
        <f>L314*(1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
        <f>L314*(1-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
        <f>(1-Summary!$B$11)*S314+Summary!$B$11*U314</f>
        <v/>
      </c>
      <c r="P314">
        <f>IF(B331=0,0,O314/B331)</f>
        <v/>
      </c>
      <c r="Q314">
        <f>IFERROR(1/(IF(Inputs!$B$38="pvp",15,MAX(0.1,Skills!E24-IF(Skills!F24=TRUE,Inputs!$B$32,0)))*(1-IF(AND(ArtifactsInput!$M$27,Inputs!$B$4="Chapter Hunt"),CHOOSE(ArtifactsInput!$N$27+1,20,24,28,32,36,40),0)/100)),0)</f>
        <v/>
      </c>
      <c r="R314">
        <f>IF(AND(Inputs!$B$38&lt;&gt;"pvp",Inputs!$B$43&gt;0),IF(MAX(0,Inputs!$B$43-B328)&lt;=0,0,(INT(MAX(0,Inputs!$B$43-B328)/(IF(Inputs!$B$38="pvp",15,MAX(0.1,Skills!E24-IF(Skills!F24=TRUE,Inputs!$B$32,0)))*(1-IF(AND(ArtifactsInput!$M$27,Inputs!$B$4="Chapter Hunt"),CHOOSE(ArtifactsInput!$N$27+1,20,24,28,32,36,40),0)/100)))+1)),0)</f>
        <v/>
      </c>
      <c r="S314">
        <f>IF(C314,(H314*N314*IF(AND(Inputs!$B$38&lt;&gt;"pvp",Inputs!$B$43&gt;0),((Skills!G24*((R314-1)*IF(Skills!H24&gt;0,Skills!I24/Skills!H24,1)+IF(Skills!H24&gt;0,MIN(Skills!I24,MAX(0,MAX(0,Inputs!$B$43-B328)-((R314-1)*(IF(Inputs!$B$38="pvp",15,MAX(0.1,Skills!E24-IF(Skills!F24=TRUE,Inputs!$B$32,0)))*(1-IF(AND(ArtifactsInput!$M$27,Inputs!$B$4="Chapter Hunt"),CHOOSE(ArtifactsInput!$N$27+1,20,24,28,32,36,40),0)/100)))))/Skills!H24,1)))/Inputs!$B$43),G314*Q314)*(1+IF(Inputs!$B$3&gt;=130,0.2*(Skills!I16/Skills!E15+IF(Inputs!$B$3&gt;=126,0.05*(B326+Q303+(H304*B327)/(1+Skills!H14*H304*B327)+Q314)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314*(1-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
        <f>IF(C314,(H314*N314*IF(AND(Inputs!$B$38&lt;&gt;"pvp",Inputs!$B$43&gt;0),((Skills!G24*((R314-1)*IF(Skills!H24&gt;0,Skills!I24/Skills!H24,1)+IF(Skills!H24&gt;0,MIN(Skills!I24,MAX(0,MAX(0,Inputs!$B$43-B328)-((R314-1)*(IF(Inputs!$B$38="pvp",15,MAX(0.1,Skills!E24-IF(Skills!F24=TRUE,Inputs!$B$32,0)))*(1-IF(AND(ArtifactsInput!$M$27,Inputs!$B$4="Chapter Hunt"),CHOOSE(ArtifactsInput!$N$27+1,20,24,28,32,36,40),0)/100)))))/Skills!H24,1)))/Inputs!$B$43),G314*Q314)*(1+IF(Inputs!$B$3&gt;=130,0.2*(Skills!I16/Skills!E15+IF(Inputs!$B$3&gt;=126,0.05*(B326+Q303+(H304*B327)/(1+Skills!H14*H304*B327)+Q314),0)*Skills!I16),0)))*IF(Inputs!$B$38="pvp",1,(1+((Inputs!$B$21+1)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
      <c r="A315">
        <f>Skills!A25</f>
        <v/>
      </c>
      <c r="B315">
        <f>Skills!B25</f>
        <v/>
      </c>
      <c r="C315">
        <f>Inputs!$B$3&gt;=117</f>
        <v/>
      </c>
      <c r="D315">
        <f>IF(Skills!C25=1,60+Inputs!$B$25+Inputs!$B$29,IF(Skills!C25=2,90+Inputs!$B$26+Inputs!$B$29,IF(Skills!C25=3,120+Inputs!$B$27+Inputs!$B$29,MAX(0,(Inputs!$B$3-100)*3)+Inputs!$B$28+Inputs!$B$29)))</f>
        <v/>
      </c>
      <c r="E315">
        <f>INDEX(FactorTable!$B$2:$Y$301, MATCH(ROUND(MIN(300,MAX(1,D315)),0), FactorTable!$A$2:$A$301,0), Skills!M25+1)</f>
        <v/>
      </c>
      <c r="F315">
        <f>IF(Skills!N25=TRUE,(Skills!L25/10)*(E315/1000),Skills!L25/10)+Skills!O25</f>
        <v/>
      </c>
      <c r="G315">
        <f>Calc!G25</f>
        <v/>
      </c>
      <c r="H315">
        <f>Calc!H25</f>
        <v/>
      </c>
      <c r="I315">
        <f>IF(Skills!X25&lt;&gt;"",1+(Skills!X25/10)*(Z293/1000)/100,1)</f>
        <v/>
      </c>
      <c r="J315" t="inlineStr"/>
      <c r="K315" t="inlineStr"/>
      <c r="L315" t="inlineStr"/>
      <c r="M315" t="inlineStr"/>
      <c r="N315" t="inlineStr"/>
      <c r="O315">
        <f>(1-Summary!$B$11)*S315+Summary!$B$11*U315</f>
        <v/>
      </c>
      <c r="P315">
        <f>IF(B331=0,0,O315/B331)</f>
        <v/>
      </c>
      <c r="Q315">
        <f>IFERROR(1/(IF(Inputs!$B$38="pvp",15,MAX(0.1,Skills!E25-IF(Skills!F25=TRUE,Inputs!$B$32,0)))*(1-IF(AND(ArtifactsInput!$M$27,Inputs!$B$4="Chapter Hunt"),CHOOSE(ArtifactsInput!$N$27+1,20,24,28,32,36,40),0)/100)),0)</f>
        <v/>
      </c>
      <c r="R315" t="n">
        <v>0</v>
      </c>
      <c r="S315" t="n">
        <v>0</v>
      </c>
      <c r="U315" t="n">
        <v>0</v>
      </c>
    </row>
    <row r="316">
      <c r="A316">
        <f>Skills!A26</f>
        <v/>
      </c>
      <c r="B316">
        <f>Skills!B26</f>
        <v/>
      </c>
      <c r="C316">
        <f>Inputs!$B$3&gt;=120</f>
        <v/>
      </c>
      <c r="D316">
        <f>IF(Skills!C26=1,60+Inputs!$B$25+Inputs!$B$29,IF(Skills!C26=2,90+Inputs!$B$26+Inputs!$B$29,IF(Skills!C26=3,120+Inputs!$B$27+Inputs!$B$29,MAX(0,(Inputs!$B$3-100)*3)+Inputs!$B$28+Inputs!$B$29)))</f>
        <v/>
      </c>
      <c r="E316">
        <f>INDEX(FactorTable!$B$2:$Y$301, MATCH(ROUND(MIN(300,MAX(1,D316)),0), FactorTable!$A$2:$A$301,0), Skills!M26+1)</f>
        <v/>
      </c>
      <c r="F316">
        <f>IF(Skills!N26=TRUE,(Skills!L26/10)*(E316/1000),Skills!L26/10)+Skills!O26</f>
        <v/>
      </c>
      <c r="G316">
        <f>Calc!G26</f>
        <v/>
      </c>
      <c r="H316">
        <f>Calc!H26</f>
        <v/>
      </c>
      <c r="I316">
        <f>IF(Skills!X26&lt;&gt;"",1+(Skills!X26/10)*(Z293/1000)/100,1)</f>
        <v/>
      </c>
      <c r="J316" t="inlineStr"/>
      <c r="K316" t="inlineStr"/>
      <c r="L316" t="inlineStr"/>
      <c r="M316" t="inlineStr"/>
      <c r="N316" t="inlineStr"/>
      <c r="O316">
        <f>(1-Summary!$B$11)*S316+Summary!$B$11*U316</f>
        <v/>
      </c>
      <c r="P316">
        <f>IF(B331=0,0,O316/B331)</f>
        <v/>
      </c>
      <c r="Q316">
        <f>IFERROR(1/(IF(Inputs!$B$38="pvp",15,MAX(0.1,Skills!E26-IF(Skills!F26=TRUE,Inputs!$B$32,0)))*(1-IF(AND(ArtifactsInput!$M$27,Inputs!$B$4="Chapter Hunt"),CHOOSE(ArtifactsInput!$N$27+1,20,24,28,32,36,40),0)/100)),0)</f>
        <v/>
      </c>
      <c r="R316" t="n">
        <v>0</v>
      </c>
      <c r="S316" t="n">
        <v>0</v>
      </c>
      <c r="U316" t="n">
        <v>0</v>
      </c>
    </row>
    <row r="317">
      <c r="A317">
        <f>Skills!A27</f>
        <v/>
      </c>
      <c r="B317">
        <f>Skills!B27</f>
        <v/>
      </c>
      <c r="C317">
        <f>Inputs!$B$3&gt;=125</f>
        <v/>
      </c>
      <c r="D317">
        <f>IF(Skills!C27=1,60+Inputs!$B$25+Inputs!$B$29,IF(Skills!C27=2,90+Inputs!$B$26+Inputs!$B$29,IF(Skills!C27=3,120+Inputs!$B$27+Inputs!$B$29,MAX(0,(Inputs!$B$3-100)*3)+Inputs!$B$28+Inputs!$B$29)))</f>
        <v/>
      </c>
      <c r="E317">
        <f>INDEX(FactorTable!$B$2:$Y$301, MATCH(ROUND(MIN(300,MAX(1,D317)),0), FactorTable!$A$2:$A$301,0), Skills!M27+1)</f>
        <v/>
      </c>
      <c r="F317">
        <f>IF(Skills!N27=TRUE,(Skills!L27/10)*(E317/1000),Skills!L27/10)+Skills!O27</f>
        <v/>
      </c>
      <c r="G317">
        <f>Calc!G27</f>
        <v/>
      </c>
      <c r="H317">
        <f>Calc!H27</f>
        <v/>
      </c>
      <c r="I317">
        <f>IF(Skills!X27&lt;&gt;"",1+(Skills!X27/10)*(Z293/1000)/100,1)</f>
        <v/>
      </c>
      <c r="J317" t="inlineStr"/>
      <c r="K317" t="inlineStr"/>
      <c r="L317" t="inlineStr"/>
      <c r="M317" t="inlineStr"/>
      <c r="N317" t="inlineStr"/>
      <c r="O317">
        <f>(1-Summary!$B$11)*S317+Summary!$B$11*U317</f>
        <v/>
      </c>
      <c r="P317">
        <f>IF(B331=0,0,O317/B331)</f>
        <v/>
      </c>
      <c r="Q317">
        <f>IFERROR(1/(IF(Inputs!$B$38="pvp",15,MAX(0.1,Skills!E27-IF(Skills!F27=TRUE,Inputs!$B$32,0)))*(1-IF(AND(ArtifactsInput!$M$27,Inputs!$B$4="Chapter Hunt"),CHOOSE(ArtifactsInput!$N$27+1,20,24,28,32,36,40),0)/100)),0)</f>
        <v/>
      </c>
      <c r="R317" t="n">
        <v>0</v>
      </c>
      <c r="S317" t="n">
        <v>0</v>
      </c>
      <c r="U317" t="n">
        <v>0</v>
      </c>
    </row>
    <row r="318">
      <c r="A318">
        <f>Skills!A28</f>
        <v/>
      </c>
      <c r="B318">
        <f>Skills!B28</f>
        <v/>
      </c>
      <c r="C318">
        <f>Inputs!$B$3&gt;=118</f>
        <v/>
      </c>
      <c r="D318">
        <f>IF(Skills!C28=1,60+Inputs!$B$25+Inputs!$B$29,IF(Skills!C28=2,90+Inputs!$B$26+Inputs!$B$29,IF(Skills!C28=3,120+Inputs!$B$27+Inputs!$B$29,MAX(0,(Inputs!$B$3-100)*3)+Inputs!$B$28+Inputs!$B$29)))</f>
        <v/>
      </c>
      <c r="E318">
        <f>INDEX(FactorTable!$B$2:$Y$301, MATCH(ROUND(MIN(300,MAX(1,D318)),0), FactorTable!$A$2:$A$301,0), Skills!M28+1)</f>
        <v/>
      </c>
      <c r="F318">
        <f>IF(Skills!N28=TRUE,(Skills!L28/10)*(E318/1000),Skills!L28/10)+Skills!O28</f>
        <v/>
      </c>
      <c r="G318">
        <f>Calc!G28</f>
        <v/>
      </c>
      <c r="H318">
        <f>Calc!H28</f>
        <v/>
      </c>
      <c r="I318">
        <f>IF(Skills!X28&lt;&gt;"",1+(Skills!X28/10)*(Z293/1000)/100,1)</f>
        <v/>
      </c>
      <c r="J318">
        <f>((Inputs!$B$6*(1+Inputs!$B$7/100))+(((Inputs!$B$12*(1+Inputs!$B$13/100))-(Inputs!$B$12*(1+Inputs!$B$13/100)))+0.25*(Inputs!$B$14-Inputs!$B$14))*(1+Inputs!$B$7/100))*(F318/100)</f>
        <v/>
      </c>
      <c r="K318">
        <f>J318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313/100)*(1+IF(Inputs!$B$3&gt;=120,F316,0)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317*5,0)))/100)*(B320*B321*B322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f>
        <v/>
      </c>
      <c r="L318">
        <f>K318*(MIN(Inputs!$B$22+(F312-Calc!F22),(Inputs!$B$23+(IF(ArtifactsInput!$M$15,CHOOSE(ArtifactsInput!$N$15+1,25,30,35,40,45,50)/100*(Inputs!$B$11-Inputs!$B$11),0))))/100+(Inputs!$B$23+(IF(ArtifactsInput!$M$15,CHOOSE(ArtifactsInput!$N$15+1,25,30,35,40,45,50)/100*(Inputs!$B$11-Inputs!$B$11),0)))/100)/2</f>
        <v/>
      </c>
      <c r="M318">
        <f>L318*(1+(Inputs!$B$10+(F311-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
        <f>L318*(1-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MIN((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
        <f>(1-Summary!$B$11)*S318+Summary!$B$11*U318</f>
        <v/>
      </c>
      <c r="P318">
        <f>IF(B331=0,0,O318/B331)</f>
        <v/>
      </c>
      <c r="Q318">
        <f>IFERROR(1/(IF(Inputs!$B$38="pvp",15,MAX(0.1,Skills!E28-IF(Skills!F28=TRUE,Inputs!$B$32,0)))*(1-IF(AND(ArtifactsInput!$M$27,Inputs!$B$4="Chapter Hunt"),CHOOSE(ArtifactsInput!$N$27+1,20,24,28,32,36,40),0)/100)),0)</f>
        <v/>
      </c>
      <c r="R318">
        <f>IF(AND(Inputs!$B$38&lt;&gt;"pvp",Inputs!$B$43&gt;0),IF(MAX(0,Inputs!$B$43-B328)&lt;=0,0,(INT(MAX(0,Inputs!$B$43-B328)/(IF(Inputs!$B$38="pvp",15,MAX(0.1,Skills!E28-IF(Skills!F28=TRUE,Inputs!$B$32,0)))*(1-IF(AND(ArtifactsInput!$M$27,Inputs!$B$4="Chapter Hunt"),CHOOSE(ArtifactsInput!$N$27+1,20,24,28,32,36,40),0)/100)))+1)),0)</f>
        <v/>
      </c>
      <c r="S318">
        <f>IF(C318,(H318*N318*IF(AND(Inputs!$B$38&lt;&gt;"pvp",Inputs!$B$43&gt;0),((Skills!G28*((R318-1)*IF(Skills!H28&gt;0,Skills!I28/Skills!H28,1)+IF(Skills!H28&gt;0,MIN(Skills!I28,MAX(0,MAX(0,Inputs!$B$43-B328)-((R318-1)*(IF(Inputs!$B$38="pvp",15,MAX(0.1,Skills!E28-IF(Skills!F28=TRUE,Inputs!$B$32,0)))*(1-IF(AND(ArtifactsInput!$M$27,Inputs!$B$4="Chapter Hunt"),CHOOSE(ArtifactsInput!$N$27+1,20,24,28,32,36,40),0)/100)))))/Skills!H28,1)))/Inputs!$B$43),G318*Q318)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318*(1-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(1-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MIN(100,(Inputs!$B$9+(F310-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8">
        <f>IF(C318,(H318*N318*IF(AND(Inputs!$B$38&lt;&gt;"pvp",Inputs!$B$43&gt;0),((Skills!G28*((R318-1)*IF(Skills!H28&gt;0,Skills!I28/Skills!H28,1)+IF(Skills!H28&gt;0,MIN(Skills!I28,MAX(0,MAX(0,Inputs!$B$43-B328)-((R318-1)*(IF(Inputs!$B$38="pvp",15,MAX(0.1,Skills!E28-IF(Skills!F28=TRUE,Inputs!$B$32,0)))*(1-IF(AND(ArtifactsInput!$M$27,Inputs!$B$4="Chapter Hunt"),CHOOSE(ArtifactsInput!$N$27+1,20,24,28,32,36,40),0)/100)))))/Skills!H28,1)))/Inputs!$B$43),G318*Q318))*IF(Inputs!$B$38="pvp",1,(1+((Inputs!$B$21+1)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
      <c r="A320" t="inlineStr">
        <is>
          <t>Burning Magic Multiplier</t>
        </is>
      </c>
      <c r="B320">
        <f>1+(F301*Skills!Z11)/100</f>
        <v/>
      </c>
    </row>
    <row r="321">
      <c r="A321" t="inlineStr">
        <is>
          <t>Elemental Decrease Multiplier (always-on)</t>
        </is>
      </c>
      <c r="B321">
        <f>1+(F302+(IF(AND(ArtifactsInput!$M$35,Inputs!$B$4&lt;&gt;"Chapter Hunt"),CHOOSE(ArtifactsInput!$N$35+1,15,18,21,24,27,30)*(1-EXP(-(0.2*B324)*5)),0)+IF(AND(ArtifactsInput!$M$22,Inputs!$B$4&lt;&gt;"Chapter Hunt"),CHOOSE(ArtifactsInput!$N$22+1,10,12,14,16,18,20)*((0*(((0.15*B324*5))^0/1)+1*(((0.15*B324*5))^1/1)+2*(((0.15*B324*5))^2/2)+3*(((0.15*B324*5))^3/6)+4*(((0.15*B324*5))^4/24)+5*(((0.15*B324*5))^5/120))/((((0.15*B324*5))^0/1)+(((0.15*B324*5))^1/1)+(((0.15*B324*5))^2/2)+(((0.15*B324*5))^3/6)+(((0.15*B324*5))^4/24)+(((0.15*B324*5))^5/120))),0)))/100</f>
        <v/>
      </c>
    </row>
    <row r="322">
      <c r="A322" t="inlineStr">
        <is>
          <t>Average Buff Multiplier (Magic Guard + Meditation + Artifact Attack%, summed; then Infinity)</t>
        </is>
      </c>
      <c r="B322">
        <f>(1+(F296*IF(AND(Inputs!$B$38&lt;&gt;"pvp",Inputs!$B$43&gt;0),(((R296-1)*(Skills!T6*(1+((Inputs!$B$34+(ArtifactsInput!$M$7-ArtifactsInput!$M$7)*CHOOSE(ArtifactsInput!$N$7+1,6,7.2,8.4,9.6,10.8,12)))/100))+MIN((Skills!T6*(1+((Inputs!$B$34+(ArtifactsInput!$M$7-ArtifactsInput!$M$7)*CHOOSE(ArtifactsInput!$N$7+1,6,7.2,8.4,9.6,10.8,12)))/100)),MAX(0,Inputs!$B$43-((R296-1)*Skills!E6))))/Inputs!$B$43),IF(Inputs!$B$38="pvp",MIN((Skills!T6*(1+((Inputs!$B$34+(ArtifactsInput!$M$7-ArtifactsInput!$M$7)*CHOOSE(ArtifactsInput!$N$7+1,6,7.2,8.4,9.6,10.8,12)))/100)),15)/15,(Skills!T6*(1+((Inputs!$B$34+(ArtifactsInput!$M$7-ArtifactsInput!$M$7)*CHOOSE(ArtifactsInput!$N$7+1,6,7.2,8.4,9.6,10.8,12)))/100))/Skills!E6))+F307*IF(AND(Inputs!$B$38&lt;&gt;"pvp",Inputs!$B$43&gt;0),(((R307-1)*(Skills!T17*(1+((Inputs!$B$34+(ArtifactsInput!$M$7-ArtifactsInput!$M$7)*CHOOSE(ArtifactsInput!$N$7+1,6,7.2,8.4,9.6,10.8,12)))/100))+MIN((Skills!T17*(1+((Inputs!$B$34+(ArtifactsInput!$M$7-ArtifactsInput!$M$7)*CHOOSE(ArtifactsInput!$N$7+1,6,7.2,8.4,9.6,10.8,12)))/100)),MAX(0,Inputs!$B$43-((R307-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309=TRUE,(1+F309*IF(AND(Inputs!$B$38&lt;&gt;"pvp",Inputs!$B$43&gt;0),(((R309-1)*(Skills!T19*(1+((Inputs!$B$34+(ArtifactsInput!$M$7-ArtifactsInput!$M$7)*CHOOSE(ArtifactsInput!$N$7+1,6,7.2,8.4,9.6,10.8,12)))/100))+MIN((Skills!T19*(1+((Inputs!$B$34+(ArtifactsInput!$M$7-ArtifactsInput!$M$7)*CHOOSE(ArtifactsInput!$N$7+1,6,7.2,8.4,9.6,10.8,12)))/100)),MAX(0,Inputs!$B$43-((R309-1)*Skills!E19))))/Inputs!$B$43),IF(Inputs!$B$38="pvp",MIN((Skills!T19*(1+((Inputs!$B$34+(ArtifactsInput!$M$7-ArtifactsInput!$M$7)*CHOOSE(ArtifactsInput!$N$7+1,6,7.2,8.4,9.6,10.8,12)))/100)),15)/15,(Skills!T19*(1+((Inputs!$B$34+(ArtifactsInput!$M$7-ArtifactsInput!$M$7)*CHOOSE(ArtifactsInput!$N$7+1,6,7.2,8.4,9.6,10.8,12)))/100))/Skills!E19))/100),1)</f>
        <v/>
      </c>
    </row>
    <row r="323">
      <c r="A323" t="inlineStr">
        <is>
          <t>Attack Speed Buff Bonus % (Nimble Feet, averaged)</t>
        </is>
      </c>
      <c r="B323">
        <f>F308*IF(AND(Inputs!$B$38&lt;&gt;"pvp",Inputs!$B$43&gt;0),(((R308-1)*(Skills!T18*(1+((Inputs!$B$34+(ArtifactsInput!$M$7-ArtifactsInput!$M$7)*CHOOSE(ArtifactsInput!$N$7+1,6,7.2,8.4,9.6,10.8,12)))/100))+MIN((Skills!T18*(1+((Inputs!$B$34+(ArtifactsInput!$M$7-ArtifactsInput!$M$7)*CHOOSE(ArtifactsInput!$N$7+1,6,7.2,8.4,9.6,10.8,12)))/100)),MAX(0,Inputs!$B$43-((R308-1)*Skills!E18))))/Inputs!$B$43),IF(Inputs!$B$38="pvp",MIN((Skills!T18*(1+((Inputs!$B$34+(ArtifactsInput!$M$7-ArtifactsInput!$M$7)*CHOOSE(ArtifactsInput!$N$7+1,6,7.2,8.4,9.6,10.8,12)))/100)),15)/15,(Skills!T18*(1+((Inputs!$B$34+(ArtifactsInput!$M$7-ArtifactsInput!$M$7)*CHOOSE(ArtifactsInput!$N$7+1,6,7.2,8.4,9.6,10.8,12)))/100))/Skills!E18))</f>
        <v/>
      </c>
    </row>
    <row r="324">
      <c r="A324" t="inlineStr">
        <is>
          <t>Actions Per Second</t>
        </is>
      </c>
      <c r="B324">
        <f>1+MIN(150,150*(1-(1-(Inputs!$B$11+(ArtifactsInput!$M$15-ArtifactsInput!$M$15)*CHOOSE(ArtifactsInput!$N$15+1,8,9.6,11.2,12.8,14.4,16))/150)*(1-B323/150)))/100</f>
        <v/>
      </c>
    </row>
    <row r="325">
      <c r="A325" t="inlineStr">
        <is>
          <t>Skill + Buff Cast Rate</t>
        </is>
      </c>
      <c r="B325">
        <f>IF(AND(Inputs!$B$38&lt;&gt;"pvp",Inputs!$B$43&gt;0),SUMPRODUCT((Skills!F2:F28=TRUE)*(C292:C318=TRUE)*R292:R318)/Inputs!$B$43,SUMPRODUCT((Skills!F2:F28=TRUE)*(C292:C318=TRUE)*Q292:Q318))</f>
        <v/>
      </c>
    </row>
    <row r="326">
      <c r="A326" t="inlineStr">
        <is>
          <t>Basic Attacks Per Second</t>
        </is>
      </c>
      <c r="B326">
        <f>MAX(0,B324-B325)</f>
        <v/>
      </c>
    </row>
    <row r="327">
      <c r="A327" t="inlineStr">
        <is>
          <t>Meteor Proc — combined trigger cast rate</t>
        </is>
      </c>
      <c r="B327">
        <f>IF(AND(Inputs!$B$38&lt;&gt;"pvp",Inputs!$B$43&gt;0),SUMPRODUCT((Skills!V2:V28=TRUE)*(C292:C318=TRUE)*R292:R318*Skills!W2:W28)/Inputs!$B$43,SUMPRODUCT((Skills!V2:V28=TRUE)*(C292:C318=TRUE)*Q292:Q318*Skills!W2:W28))+B326</f>
        <v/>
      </c>
    </row>
    <row r="328">
      <c r="A328" t="inlineStr">
        <is>
          <t>Buff-Casting Startup Delay (s, fixed-duration only)</t>
        </is>
      </c>
      <c r="B328">
        <f>IF(AND(Inputs!$B$38&lt;&gt;"pvp",Inputs!$B$43&gt;0),SUMPRODUCT((Skills!T2:T28&gt;0)*(Skills!F2:F28=TRUE)*(C292:C318=TRUE))/B324,0)</f>
        <v/>
      </c>
    </row>
    <row r="329">
      <c r="A329" t="inlineStr">
        <is>
          <t>Boss-Only Total DPS (this block's swept value)</t>
        </is>
      </c>
      <c r="B329">
        <f>SUM(S292:S318)</f>
        <v/>
      </c>
    </row>
    <row r="330">
      <c r="A330" t="inlineStr">
        <is>
          <t>Normal-Only Total DPS (this block's swept value)</t>
        </is>
      </c>
      <c r="B330">
        <f>SUM(U292:U318)</f>
        <v/>
      </c>
    </row>
    <row r="331">
      <c r="A331" s="6" t="inlineStr">
        <is>
          <t>TOTAL DPS</t>
        </is>
      </c>
      <c r="B331" s="6">
        <f>SUM(O292:O318)</f>
        <v/>
      </c>
    </row>
    <row r="334">
      <c r="A334" s="6" t="inlineStr">
        <is>
          <t>Stat: FINAL_DAMAGE % (multiplicative source)</t>
        </is>
      </c>
    </row>
    <row r="335">
      <c r="A335" s="5" t="inlineStr">
        <is>
          <t>Key</t>
        </is>
      </c>
      <c r="B335" s="5" t="inlineStr">
        <is>
          <t>Name</t>
        </is>
      </c>
      <c r="C335" s="5" t="inlineStr">
        <is>
          <t>Unlocked</t>
        </is>
      </c>
      <c r="D335" s="5" t="inlineStr">
        <is>
          <t>InputLevel</t>
        </is>
      </c>
      <c r="E335" s="5" t="inlineStr">
        <is>
          <t>Factor</t>
        </is>
      </c>
      <c r="F335" s="5" t="inlineStr">
        <is>
          <t>CoefficientPercent</t>
        </is>
      </c>
      <c r="G335" s="5" t="inlineStr">
        <is>
          <t>EffectiveHits</t>
        </is>
      </c>
      <c r="H335" s="5" t="inlineStr">
        <is>
          <t>ProcProbability</t>
        </is>
      </c>
      <c r="I335" s="5" t="inlineStr">
        <is>
          <t>MapleHeroMultiplier</t>
        </is>
      </c>
      <c r="J335" s="5" t="inlineStr">
        <is>
          <t>BaseDamage</t>
        </is>
      </c>
      <c r="K335" s="5" t="inlineStr">
        <is>
          <t>BaseHitDamage</t>
        </is>
      </c>
      <c r="L335" s="5" t="inlineStr">
        <is>
          <t>NonCritAvg</t>
        </is>
      </c>
      <c r="M335" s="5" t="inlineStr">
        <is>
          <t>CritAvg</t>
        </is>
      </c>
      <c r="N335" s="5" t="inlineStr">
        <is>
          <t>ExpectedDamage(perHit)</t>
        </is>
      </c>
      <c r="O335" s="5" t="inlineStr">
        <is>
          <t>DPS</t>
        </is>
      </c>
      <c r="P335" s="5" t="inlineStr">
        <is>
          <t>% of Total</t>
        </is>
      </c>
      <c r="R335" t="inlineStr">
        <is>
          <t>helpers</t>
        </is>
      </c>
    </row>
    <row r="336">
      <c r="A336">
        <f>Skills!A2</f>
        <v/>
      </c>
      <c r="B336">
        <f>Skills!B2</f>
        <v/>
      </c>
      <c r="C336">
        <f>TRUE</f>
        <v/>
      </c>
      <c r="D336" t="inlineStr"/>
      <c r="E336" t="inlineStr"/>
      <c r="F336">
        <f>T338+Skills!O2</f>
        <v/>
      </c>
      <c r="G336">
        <f>Calc!G2</f>
        <v/>
      </c>
      <c r="H336">
        <f>Calc!H2</f>
        <v/>
      </c>
      <c r="I336">
        <f>IF(Skills!X2&lt;&gt;"",1+(Skills!X2/10)*(Z337/1000)/100,1)</f>
        <v/>
      </c>
      <c r="J336">
        <f>((Inputs!$B$6*(1+Inputs!$B$7/100))+(((Inputs!$B$12*(1+Inputs!$B$13/100))-(Inputs!$B$12*(1+Inputs!$B$13/100)))+0.25*(Inputs!$B$14-Inputs!$B$14))*(1+Inputs!$B$7/100))*(F336/100)</f>
        <v/>
      </c>
      <c r="K336">
        <f>J336*(1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336)</f>
        <v/>
      </c>
      <c r="L336">
        <f>K336*(MIN(Inputs!$B$22+(F356-Calc!F22),(Inputs!$B$23+(IF(ArtifactsInput!$M$15,CHOOSE(ArtifactsInput!$N$15+1,25,30,35,40,45,50)/100*(Inputs!$B$11-Inputs!$B$11),0))))/100+(Inputs!$B$23+(IF(ArtifactsInput!$M$15,CHOOSE(ArtifactsInput!$N$15+1,25,30,35,40,45,50)/100*(Inputs!$B$11-Inputs!$B$11),0)))/100)/2</f>
        <v/>
      </c>
      <c r="M336">
        <f>L336*(1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6">
        <f>L336*(1-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336*(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6">
        <f>(1-Summary!$B$11)*S336+Summary!$B$11*U336</f>
        <v/>
      </c>
      <c r="P336">
        <f>IF(B375=0,0,O336/B375)</f>
        <v/>
      </c>
      <c r="Q336">
        <f>IFERROR(1/(IF(Inputs!$B$38="pvp",15,MAX(0.1,Skills!E2-IF(Skills!F2=TRUE,Inputs!$B$32,0)))*(1-IF(AND(ArtifactsInput!$M$27,Inputs!$B$4="Chapter Hunt"),CHOOSE(ArtifactsInput!$N$27+1,20,24,28,32,36,40),0)/100)),0)</f>
        <v/>
      </c>
      <c r="R336" t="n">
        <v>0</v>
      </c>
      <c r="S336">
        <f>(Skills!G2*N336*B370)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336*(1-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336*(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336*(1-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336*(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336">
        <f>MAX(0,(Inputs!$B$3-100)*3)+Inputs!$B$28+Inputs!$B$29</f>
        <v/>
      </c>
      <c r="U336">
        <f>(Skills!G2*N336*B370)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336">
        <f>MAX(0,(Inputs!$B$3-100)*3)+Inputs!$B$28+Inputs!$B$29</f>
        <v/>
      </c>
    </row>
    <row r="337">
      <c r="A337">
        <f>Skills!A3</f>
        <v/>
      </c>
      <c r="B337">
        <f>Skills!B3</f>
        <v/>
      </c>
      <c r="C337">
        <f>TRUE</f>
        <v/>
      </c>
      <c r="D337">
        <f>IF(Skills!C3=1,60+Inputs!$B$25+Inputs!$B$29,IF(Skills!C3=2,90+Inputs!$B$26+Inputs!$B$29,IF(Skills!C3=3,120+Inputs!$B$27+Inputs!$B$29,MAX(0,(Inputs!$B$3-100)*3)+Inputs!$B$28+Inputs!$B$29)))</f>
        <v/>
      </c>
      <c r="E337">
        <f>INDEX(FactorTable!$B$2:$Y$301, MATCH(ROUND(MIN(300,MAX(1,D337)),0), FactorTable!$A$2:$A$301,0), Skills!M3+1)</f>
        <v/>
      </c>
      <c r="F337">
        <f>IF(Skills!N3=TRUE,(Skills!L3/10)*(E337/1000),Skills!L3/10)+Skills!O3</f>
        <v/>
      </c>
      <c r="G337">
        <f>Calc!G3</f>
        <v/>
      </c>
      <c r="H337">
        <f>Calc!H3</f>
        <v/>
      </c>
      <c r="I337">
        <f>IF(Skills!X3&lt;&gt;"",1+(Skills!X3/10)*(Z337/1000)/100,1)</f>
        <v/>
      </c>
      <c r="J337">
        <f>((Inputs!$B$6*(1+Inputs!$B$7/100))+(((Inputs!$B$12*(1+Inputs!$B$13/100))-(Inputs!$B$12*(1+Inputs!$B$13/100)))+0.25*(Inputs!$B$14-Inputs!$B$14))*(1+Inputs!$B$7/100))*(F337/100)</f>
        <v/>
      </c>
      <c r="K337">
        <f>J337*(1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337)</f>
        <v/>
      </c>
      <c r="L337">
        <f>K337*(MIN(Inputs!$B$22+(F356-Calc!F22),(Inputs!$B$23+(IF(ArtifactsInput!$M$15,CHOOSE(ArtifactsInput!$N$15+1,25,30,35,40,45,50)/100*(Inputs!$B$11-Inputs!$B$11),0))))/100+(Inputs!$B$23+(IF(ArtifactsInput!$M$15,CHOOSE(ArtifactsInput!$N$15+1,25,30,35,40,45,50)/100*(Inputs!$B$11-Inputs!$B$11),0)))/100)/2</f>
        <v/>
      </c>
      <c r="M337">
        <f>L337*(1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7">
        <f>L337*(1-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337*(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7">
        <f>(1-Summary!$B$11)*S337+Summary!$B$11*U337</f>
        <v/>
      </c>
      <c r="P337">
        <f>IF(B375=0,0,O337/B375)</f>
        <v/>
      </c>
      <c r="Q337">
        <f>IFERROR(1/(IF(Inputs!$B$38="pvp",15,MAX(0.1,Skills!E3-IF(Skills!F3=TRUE,Inputs!$B$32,0)))*(1-IF(AND(ArtifactsInput!$M$27,Inputs!$B$4="Chapter Hunt"),CHOOSE(ArtifactsInput!$N$27+1,20,24,28,32,36,40),0)/100)),0)</f>
        <v/>
      </c>
      <c r="R337">
        <f>IF(AND(Inputs!$B$38&lt;&gt;"pvp",Inputs!$B$43&gt;0),IF(MAX(0,Inputs!$B$43-B372)&lt;=0,0,(INT(MAX(0,Inputs!$B$43-B372)/(IF(Inputs!$B$38="pvp",15,MAX(0.1,Skills!E3-IF(Skills!F3=TRUE,Inputs!$B$32,0)))*(1-IF(AND(ArtifactsInput!$M$27,Inputs!$B$4="Chapter Hunt"),CHOOSE(ArtifactsInput!$N$27+1,20,24,28,32,36,40),0)/100)))+1)),0)</f>
        <v/>
      </c>
      <c r="S337">
        <f>IF(C337,(H337*N337*IF(AND(Inputs!$B$38&lt;&gt;"pvp",Inputs!$B$43&gt;0),((Skills!G3*((R337-1)*IF(Skills!H3&gt;0,Skills!I3/Skills!H3,1)+IF(Skills!H3&gt;0,MIN(Skills!I3,MAX(0,MAX(0,Inputs!$B$43-B372)-((R337-1)*(IF(Inputs!$B$38="pvp",15,MAX(0.1,Skills!E3-IF(Skills!F3=TRUE,Inputs!$B$32,0)))*(1-IF(AND(ArtifactsInput!$M$27,Inputs!$B$4="Chapter Hunt"),CHOOSE(ArtifactsInput!$N$27+1,20,24,28,32,36,40),0)/100)))))/Skills!H3,1)))/Inputs!$B$43),G337*Q337)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337*(1-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337*(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337*(1-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337*(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37">
        <f>INDEX(FactorTable!$B$2:$Y$301, MATCH(ROUND(MIN(300,MAX(1,T336)),0), FactorTable!$A$2:$A$301,0), 22)</f>
        <v/>
      </c>
      <c r="U337">
        <f>IF(C337,(H337*N337*IF(AND(Inputs!$B$38&lt;&gt;"pvp",Inputs!$B$43&gt;0),((Skills!G3*((R337-1)*IF(Skills!H3&gt;0,Skills!I3/Skills!H3,1)+IF(Skills!H3&gt;0,MIN(Skills!I3,MAX(0,MAX(0,Inputs!$B$43-B372)-((R337-1)*(IF(Inputs!$B$38="pvp",15,MAX(0.1,Skills!E3-IF(Skills!F3=TRUE,Inputs!$B$32,0)))*(1-IF(AND(ArtifactsInput!$M$27,Inputs!$B$4="Chapter Hunt"),CHOOSE(ArtifactsInput!$N$27+1,20,24,28,32,36,40),0)/100)))))/Skills!H3,1)))/Inputs!$B$43),G337*Q337)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37">
        <f>INDEX(FactorTable!$B$2:$Y$301, MATCH(ROUND(MIN(300,MAX(1,Z336)),0), FactorTable!$A$2:$A$301,0), 24)</f>
        <v/>
      </c>
    </row>
    <row r="338">
      <c r="A338">
        <f>Skills!A4</f>
        <v/>
      </c>
      <c r="B338">
        <f>Skills!B4</f>
        <v/>
      </c>
      <c r="C338">
        <f>TRUE</f>
        <v/>
      </c>
      <c r="D338">
        <f>IF(Skills!C4=1,60+Inputs!$B$25+Inputs!$B$29,IF(Skills!C4=2,90+Inputs!$B$26+Inputs!$B$29,IF(Skills!C4=3,120+Inputs!$B$27+Inputs!$B$29,MAX(0,(Inputs!$B$3-100)*3)+Inputs!$B$28+Inputs!$B$29)))</f>
        <v/>
      </c>
      <c r="E338">
        <f>INDEX(FactorTable!$B$2:$Y$301, MATCH(ROUND(MIN(300,MAX(1,D338)),0), FactorTable!$A$2:$A$301,0), Skills!M4+1)</f>
        <v/>
      </c>
      <c r="F338">
        <f>IF(Skills!N4=TRUE,(Skills!L4/10)*(E338/1000),Skills!L4/10)+Skills!O4</f>
        <v/>
      </c>
      <c r="G338">
        <f>Calc!G4</f>
        <v/>
      </c>
      <c r="H338">
        <f>Calc!H4</f>
        <v/>
      </c>
      <c r="I338">
        <f>IF(Skills!X4&lt;&gt;"",1+(Skills!X4/10)*(Z337/1000)/100,1)</f>
        <v/>
      </c>
      <c r="J338">
        <f>((Inputs!$B$6*(1+Inputs!$B$7/100))+(((Inputs!$B$12*(1+Inputs!$B$13/100))-(Inputs!$B$12*(1+Inputs!$B$13/100)))+0.25*(Inputs!$B$14-Inputs!$B$14))*(1+Inputs!$B$7/100))*(F338/100)</f>
        <v/>
      </c>
      <c r="K338">
        <f>J338*(1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338)</f>
        <v/>
      </c>
      <c r="L338">
        <f>K338*(MIN(Inputs!$B$22+(F356-Calc!F22),(Inputs!$B$23+(IF(ArtifactsInput!$M$15,CHOOSE(ArtifactsInput!$N$15+1,25,30,35,40,45,50)/100*(Inputs!$B$11-Inputs!$B$11),0))))/100+(Inputs!$B$23+(IF(ArtifactsInput!$M$15,CHOOSE(ArtifactsInput!$N$15+1,25,30,35,40,45,50)/100*(Inputs!$B$11-Inputs!$B$11),0)))/100)/2</f>
        <v/>
      </c>
      <c r="M338">
        <f>L338*(1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8">
        <f>L338*(1-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338*(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8">
        <f>(1-Summary!$B$11)*S338+Summary!$B$11*U338</f>
        <v/>
      </c>
      <c r="P338">
        <f>IF(B375=0,0,O338/B375)</f>
        <v/>
      </c>
      <c r="Q338">
        <f>IFERROR(1/(IF(Inputs!$B$38="pvp",15,MAX(0.1,Skills!E4-IF(Skills!F4=TRUE,Inputs!$B$32,0)))*(1-IF(AND(ArtifactsInput!$M$27,Inputs!$B$4="Chapter Hunt"),CHOOSE(ArtifactsInput!$N$27+1,20,24,28,32,36,40),0)/100)),0)</f>
        <v/>
      </c>
      <c r="R338">
        <f>IF(AND(Inputs!$B$38&lt;&gt;"pvp",Inputs!$B$43&gt;0),IF(MAX(0,Inputs!$B$43-B372)&lt;=0,0,(INT(MAX(0,Inputs!$B$43-B372)/(IF(Inputs!$B$38="pvp",15,MAX(0.1,Skills!E4-IF(Skills!F4=TRUE,Inputs!$B$32,0)))*(1-IF(AND(ArtifactsInput!$M$27,Inputs!$B$4="Chapter Hunt"),CHOOSE(ArtifactsInput!$N$27+1,20,24,28,32,36,40),0)/100)))+1)),0)</f>
        <v/>
      </c>
      <c r="S338">
        <f>IF(C338,(H338*N338*IF(AND(Inputs!$B$38&lt;&gt;"pvp",Inputs!$B$43&gt;0),((Skills!G4*((R338-1)*IF(Skills!H4&gt;0,Skills!I4/Skills!H4,1)+IF(Skills!H4&gt;0,MIN(Skills!I4,MAX(0,MAX(0,Inputs!$B$43-B372)-((R338-1)*(IF(Inputs!$B$38="pvp",15,MAX(0.1,Skills!E4-IF(Skills!F4=TRUE,Inputs!$B$32,0)))*(1-IF(AND(ArtifactsInput!$M$27,Inputs!$B$4="Chapter Hunt"),CHOOSE(ArtifactsInput!$N$27+1,20,24,28,32,36,40),0)/100)))))/Skills!H4,1)))/Inputs!$B$43),G338*Q338)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338*(1-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338*(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338*(1-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338*(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38">
        <f>290*T337/1000</f>
        <v/>
      </c>
      <c r="U338">
        <f>IF(C338,(H338*N338*IF(AND(Inputs!$B$38&lt;&gt;"pvp",Inputs!$B$43&gt;0),((Skills!G4*((R338-1)*IF(Skills!H4&gt;0,Skills!I4/Skills!H4,1)+IF(Skills!H4&gt;0,MIN(Skills!I4,MAX(0,MAX(0,Inputs!$B$43-B372)-((R338-1)*(IF(Inputs!$B$38="pvp",15,MAX(0.1,Skills!E4-IF(Skills!F4=TRUE,Inputs!$B$32,0)))*(1-IF(AND(ArtifactsInput!$M$27,Inputs!$B$4="Chapter Hunt"),CHOOSE(ArtifactsInput!$N$27+1,20,24,28,32,36,40),0)/100)))))/Skills!H4,1)))/Inputs!$B$43),G338*Q338)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39">
      <c r="A339">
        <f>Skills!A5</f>
        <v/>
      </c>
      <c r="B339">
        <f>Skills!B5</f>
        <v/>
      </c>
      <c r="C339">
        <f>TRUE</f>
        <v/>
      </c>
      <c r="D339">
        <f>IF(Skills!C5=1,60+Inputs!$B$25+Inputs!$B$29,IF(Skills!C5=2,90+Inputs!$B$26+Inputs!$B$29,IF(Skills!C5=3,120+Inputs!$B$27+Inputs!$B$29,MAX(0,(Inputs!$B$3-100)*3)+Inputs!$B$28+Inputs!$B$29)))</f>
        <v/>
      </c>
      <c r="E339">
        <f>INDEX(FactorTable!$B$2:$Y$301, MATCH(ROUND(MIN(300,MAX(1,D339)),0), FactorTable!$A$2:$A$301,0), Skills!M5+1)</f>
        <v/>
      </c>
      <c r="F339">
        <f>IF(Skills!N5=TRUE,(Skills!L5/10)*(E339/1000),Skills!L5/10)+Skills!O5</f>
        <v/>
      </c>
      <c r="G339">
        <f>Calc!G5</f>
        <v/>
      </c>
      <c r="H339">
        <f>Calc!H5</f>
        <v/>
      </c>
      <c r="I339">
        <f>IF(Skills!X5&lt;&gt;"",1+(Skills!X5/10)*(Z337/1000)/100,1)</f>
        <v/>
      </c>
      <c r="J339">
        <f>((Inputs!$B$6*(1+Inputs!$B$7/100))+(((Inputs!$B$12*(1+Inputs!$B$13/100))-(Inputs!$B$12*(1+Inputs!$B$13/100)))+0.25*(Inputs!$B$14-Inputs!$B$14))*(1+Inputs!$B$7/100))*(F339/100)</f>
        <v/>
      </c>
      <c r="K339">
        <f>J339*(1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339)</f>
        <v/>
      </c>
      <c r="L339">
        <f>K339*(MIN(Inputs!$B$22+(F356-Calc!F22),(Inputs!$B$23+(IF(ArtifactsInput!$M$15,CHOOSE(ArtifactsInput!$N$15+1,25,30,35,40,45,50)/100*(Inputs!$B$11-Inputs!$B$11),0))))/100+(Inputs!$B$23+(IF(ArtifactsInput!$M$15,CHOOSE(ArtifactsInput!$N$15+1,25,30,35,40,45,50)/100*(Inputs!$B$11-Inputs!$B$11),0)))/100)/2</f>
        <v/>
      </c>
      <c r="M339">
        <f>L339*(1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39">
        <f>L339*(1-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339*(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39">
        <f>(1-Summary!$B$11)*S339+Summary!$B$11*U339</f>
        <v/>
      </c>
      <c r="P339">
        <f>IF(B375=0,0,O339/B375)</f>
        <v/>
      </c>
      <c r="Q339">
        <f>IFERROR(1/(IF(Inputs!$B$38="pvp",15,MAX(0.1,Skills!E5-IF(Skills!F5=TRUE,Inputs!$B$32,0)))*(1-IF(AND(ArtifactsInput!$M$27,Inputs!$B$4="Chapter Hunt"),CHOOSE(ArtifactsInput!$N$27+1,20,24,28,32,36,40),0)/100)),0)</f>
        <v/>
      </c>
      <c r="R339">
        <f>IF(AND(Inputs!$B$38&lt;&gt;"pvp",Inputs!$B$43&gt;0),IF(MAX(0,Inputs!$B$43-B372)&lt;=0,0,(INT(MAX(0,Inputs!$B$43-B372)/(IF(Inputs!$B$38="pvp",15,MAX(0.1,Skills!E5-IF(Skills!F5=TRUE,Inputs!$B$32,0)))*(1-IF(AND(ArtifactsInput!$M$27,Inputs!$B$4="Chapter Hunt"),CHOOSE(ArtifactsInput!$N$27+1,20,24,28,32,36,40),0)/100)))+1)),0)</f>
        <v/>
      </c>
      <c r="S339">
        <f>IF(C339,(H339*N339*IF(AND(Inputs!$B$38&lt;&gt;"pvp",Inputs!$B$43&gt;0),((Skills!G5*((R339-1)*IF(Skills!H5&gt;0,Skills!I5/Skills!H5,1)+IF(Skills!H5&gt;0,MIN(Skills!I5,MAX(0,MAX(0,Inputs!$B$43-B372)-((R339-1)*(IF(Inputs!$B$38="pvp",15,MAX(0.1,Skills!E5-IF(Skills!F5=TRUE,Inputs!$B$32,0)))*(1-IF(AND(ArtifactsInput!$M$27,Inputs!$B$4="Chapter Hunt"),CHOOSE(ArtifactsInput!$N$27+1,20,24,28,32,36,40),0)/100)))))/Skills!H5,1)))/Inputs!$B$43),G339*Q339)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339*(1-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339*(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339*(1-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339*(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39">
        <f>IF(C339,(H339*N339*IF(AND(Inputs!$B$38&lt;&gt;"pvp",Inputs!$B$43&gt;0),((Skills!G5*((R339-1)*IF(Skills!H5&gt;0,Skills!I5/Skills!H5,1)+IF(Skills!H5&gt;0,MIN(Skills!I5,MAX(0,MAX(0,Inputs!$B$43-B372)-((R339-1)*(IF(Inputs!$B$38="pvp",15,MAX(0.1,Skills!E5-IF(Skills!F5=TRUE,Inputs!$B$32,0)))*(1-IF(AND(ArtifactsInput!$M$27,Inputs!$B$4="Chapter Hunt"),CHOOSE(ArtifactsInput!$N$27+1,20,24,28,32,36,40),0)/100)))))/Skills!H5,1)))/Inputs!$B$43),G339*Q339)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0">
      <c r="A340">
        <f>Skills!A6</f>
        <v/>
      </c>
      <c r="B340">
        <f>Skills!B6</f>
        <v/>
      </c>
      <c r="C340">
        <f>TRUE</f>
        <v/>
      </c>
      <c r="D340">
        <f>IF(Skills!C6=1,60+Inputs!$B$25+Inputs!$B$29,IF(Skills!C6=2,90+Inputs!$B$26+Inputs!$B$29,IF(Skills!C6=3,120+Inputs!$B$27+Inputs!$B$29,MAX(0,(Inputs!$B$3-100)*3)+Inputs!$B$28+Inputs!$B$29)))</f>
        <v/>
      </c>
      <c r="E340">
        <f>INDEX(FactorTable!$B$2:$Y$301, MATCH(ROUND(MIN(300,MAX(1,D340)),0), FactorTable!$A$2:$A$301,0), Skills!M6+1)</f>
        <v/>
      </c>
      <c r="F340">
        <f>IF(Skills!N6=TRUE,(Skills!L6/10)*(E340/1000),Skills!L6/10)+Skills!O6</f>
        <v/>
      </c>
      <c r="G340">
        <f>Calc!G6</f>
        <v/>
      </c>
      <c r="H340">
        <f>Calc!H6</f>
        <v/>
      </c>
      <c r="I340">
        <f>IF(Skills!X6&lt;&gt;"",1+(Skills!X6/10)*(Z337/1000)/100,1)</f>
        <v/>
      </c>
      <c r="J340" t="inlineStr"/>
      <c r="K340" t="inlineStr"/>
      <c r="L340" t="inlineStr"/>
      <c r="M340" t="inlineStr"/>
      <c r="N340" t="inlineStr"/>
      <c r="O340">
        <f>(1-Summary!$B$11)*S340+Summary!$B$11*U340</f>
        <v/>
      </c>
      <c r="P340">
        <f>IF(B375=0,0,O340/B375)</f>
        <v/>
      </c>
      <c r="Q340">
        <f>IFERROR(1/(IF(Inputs!$B$38="pvp",15,MAX(0.1,Skills!E6-IF(Skills!F6=TRUE,Inputs!$B$32,0)))*(1-IF(AND(ArtifactsInput!$M$27,Inputs!$B$4="Chapter Hunt"),CHOOSE(ArtifactsInput!$N$27+1,20,24,28,32,36,40),0)/100)),0)</f>
        <v/>
      </c>
      <c r="R340">
        <f>IF(AND(Inputs!$B$38&lt;&gt;"pvp",Inputs!$B$43&gt;0),IF(Inputs!$B$43&lt;=0,0,(INT(Inputs!$B$43/(IF(Inputs!$B$38="pvp",15,MAX(0.1,Skills!E6-IF(Skills!F6=TRUE,Inputs!$B$32,0)))*(1-IF(AND(ArtifactsInput!$M$27,Inputs!$B$4="Chapter Hunt"),CHOOSE(ArtifactsInput!$N$27+1,20,24,28,32,36,40),0)/100)))+1)),0)</f>
        <v/>
      </c>
      <c r="S340" t="n">
        <v>0</v>
      </c>
      <c r="U340" t="n">
        <v>0</v>
      </c>
    </row>
    <row r="341">
      <c r="A341">
        <f>Skills!A7</f>
        <v/>
      </c>
      <c r="B341">
        <f>Skills!B7</f>
        <v/>
      </c>
      <c r="C341">
        <f>TRUE</f>
        <v/>
      </c>
      <c r="D341">
        <f>IF(Skills!C7=1,60+Inputs!$B$25+Inputs!$B$29,IF(Skills!C7=2,90+Inputs!$B$26+Inputs!$B$29,IF(Skills!C7=3,120+Inputs!$B$27+Inputs!$B$29,MAX(0,(Inputs!$B$3-100)*3)+Inputs!$B$28+Inputs!$B$29)))</f>
        <v/>
      </c>
      <c r="E341">
        <f>INDEX(FactorTable!$B$2:$Y$301, MATCH(ROUND(MIN(300,MAX(1,D341)),0), FactorTable!$A$2:$A$301,0), Skills!M7+1)</f>
        <v/>
      </c>
      <c r="F341">
        <f>IF(Skills!N7=TRUE,(Skills!L7/10)*(E341/1000),Skills!L7/10)+Skills!O7</f>
        <v/>
      </c>
      <c r="G341">
        <f>Calc!G7</f>
        <v/>
      </c>
      <c r="H341">
        <f>Calc!H7</f>
        <v/>
      </c>
      <c r="I341">
        <f>IF(Skills!X7&lt;&gt;"",1+(Skills!X7/10)*(Z337/1000)/100,1)</f>
        <v/>
      </c>
      <c r="J341">
        <f>((Inputs!$B$6*(1+Inputs!$B$7/100))+(((Inputs!$B$12*(1+Inputs!$B$13/100))-(Inputs!$B$12*(1+Inputs!$B$13/100)))+0.25*(Inputs!$B$14-Inputs!$B$14))*(1+Inputs!$B$7/100))*(F341/100)</f>
        <v/>
      </c>
      <c r="K341">
        <f>J341*(1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341)</f>
        <v/>
      </c>
      <c r="L341">
        <f>K341*(MIN(Inputs!$B$22+(F356-Calc!F22),(Inputs!$B$23+(IF(ArtifactsInput!$M$15,CHOOSE(ArtifactsInput!$N$15+1,25,30,35,40,45,50)/100*(Inputs!$B$11-Inputs!$B$11),0))))/100+(Inputs!$B$23+(IF(ArtifactsInput!$M$15,CHOOSE(ArtifactsInput!$N$15+1,25,30,35,40,45,50)/100*(Inputs!$B$11-Inputs!$B$11),0)))/100)/2</f>
        <v/>
      </c>
      <c r="M341">
        <f>L341*(1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1">
        <f>L341*(1-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1">
        <f>(1-Summary!$B$11)*S341+Summary!$B$11*U341</f>
        <v/>
      </c>
      <c r="P341">
        <f>IF(B375=0,0,O341/B375)</f>
        <v/>
      </c>
      <c r="Q341">
        <f>IFERROR(1/(IF(Inputs!$B$38="pvp",15,MAX(0.1,Skills!E7-IF(Skills!F7=TRUE,Inputs!$B$32,0)))*(1-IF(AND(ArtifactsInput!$M$27,Inputs!$B$4="Chapter Hunt"),CHOOSE(ArtifactsInput!$N$27+1,20,24,28,32,36,40),0)/100)),0)</f>
        <v/>
      </c>
      <c r="R341">
        <f>IF(AND(Inputs!$B$38&lt;&gt;"pvp",Inputs!$B$43&gt;0),IF(MAX(0,Inputs!$B$43-B372)&lt;=0,0,(INT(MAX(0,Inputs!$B$43-B372)/(IF(Inputs!$B$38="pvp",15,MAX(0.1,Skills!E7-IF(Skills!F7=TRUE,Inputs!$B$32,0)))*(1-IF(AND(ArtifactsInput!$M$27,Inputs!$B$4="Chapter Hunt"),CHOOSE(ArtifactsInput!$N$27+1,20,24,28,32,36,40),0)/100)))+1)),0)</f>
        <v/>
      </c>
      <c r="S341">
        <f>IF(C341,(H341*N341*IF(AND(Inputs!$B$38&lt;&gt;"pvp",Inputs!$B$43&gt;0),((Skills!G7*((R341-1)*IF(Skills!H7&gt;0,Skills!I7/Skills!H7,1)+IF(Skills!H7&gt;0,MIN(Skills!I7,MAX(0,MAX(0,Inputs!$B$43-B372)-((R341-1)*(IF(Inputs!$B$38="pvp",15,MAX(0.1,Skills!E7-IF(Skills!F7=TRUE,Inputs!$B$32,0)))*(1-IF(AND(ArtifactsInput!$M$27,Inputs!$B$4="Chapter Hunt"),CHOOSE(ArtifactsInput!$N$27+1,20,24,28,32,36,40),0)/100)))))/Skills!H7,1)))/Inputs!$B$43),G341*Q341)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341*(1-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341*(1-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1">
        <f>IF(C341,(H341*N341*IF(AND(Inputs!$B$38&lt;&gt;"pvp",Inputs!$B$43&gt;0),((Skills!G7*((R341-1)*IF(Skills!H7&gt;0,Skills!I7/Skills!H7,1)+IF(Skills!H7&gt;0,MIN(Skills!I7,MAX(0,MAX(0,Inputs!$B$43-B372)-((R341-1)*(IF(Inputs!$B$38="pvp",15,MAX(0.1,Skills!E7-IF(Skills!F7=TRUE,Inputs!$B$32,0)))*(1-IF(AND(ArtifactsInput!$M$27,Inputs!$B$4="Chapter Hunt"),CHOOSE(ArtifactsInput!$N$27+1,20,24,28,32,36,40),0)/100)))))/Skills!H7,1)))/Inputs!$B$43),G341*Q341)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2">
      <c r="A342">
        <f>Skills!A8</f>
        <v/>
      </c>
      <c r="B342">
        <f>Skills!B8</f>
        <v/>
      </c>
      <c r="C342">
        <f>TRUE</f>
        <v/>
      </c>
      <c r="D342">
        <f>IF(Skills!C8=1,60+Inputs!$B$25+Inputs!$B$29,IF(Skills!C8=2,90+Inputs!$B$26+Inputs!$B$29,IF(Skills!C8=3,120+Inputs!$B$27+Inputs!$B$29,MAX(0,(Inputs!$B$3-100)*3)+Inputs!$B$28+Inputs!$B$29)))</f>
        <v/>
      </c>
      <c r="E342">
        <f>INDEX(FactorTable!$B$2:$Y$301, MATCH(ROUND(MIN(300,MAX(1,D342)),0), FactorTable!$A$2:$A$301,0), Skills!M8+1)</f>
        <v/>
      </c>
      <c r="F342">
        <f>IF(Skills!N8=TRUE,(Skills!L8/10)*(E342/1000),Skills!L8/10)+Skills!O8</f>
        <v/>
      </c>
      <c r="G342">
        <f>Calc!G8</f>
        <v/>
      </c>
      <c r="H342">
        <f>Calc!H8</f>
        <v/>
      </c>
      <c r="I342">
        <f>IF(Skills!X8&lt;&gt;"",1+(Skills!X8/10)*(Z337/1000)/100,1)</f>
        <v/>
      </c>
      <c r="J342">
        <f>((Inputs!$B$6*(1+Inputs!$B$7/100))+(((Inputs!$B$12*(1+Inputs!$B$13/100))-(Inputs!$B$12*(1+Inputs!$B$13/100)))+0.25*(Inputs!$B$14-Inputs!$B$14))*(1+Inputs!$B$7/100))*(F342/100)</f>
        <v/>
      </c>
      <c r="K342">
        <f>J342*(1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342)</f>
        <v/>
      </c>
      <c r="L342">
        <f>K342*(MIN(Inputs!$B$22+(F356-Calc!F22),(Inputs!$B$23+(IF(ArtifactsInput!$M$15,CHOOSE(ArtifactsInput!$N$15+1,25,30,35,40,45,50)/100*(Inputs!$B$11-Inputs!$B$11),0))))/100+(Inputs!$B$23+(IF(ArtifactsInput!$M$15,CHOOSE(ArtifactsInput!$N$15+1,25,30,35,40,45,50)/100*(Inputs!$B$11-Inputs!$B$11),0)))/100)/2</f>
        <v/>
      </c>
      <c r="M342">
        <f>L342*(1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2">
        <f>L342*(1-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342*(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2">
        <f>(1-Summary!$B$11)*S342+Summary!$B$11*U342</f>
        <v/>
      </c>
      <c r="P342">
        <f>IF(B375=0,0,O342/B375)</f>
        <v/>
      </c>
      <c r="Q342">
        <f>IFERROR(1/(IF(Inputs!$B$38="pvp",15,MAX(0.1,Skills!E8-IF(Skills!F8=TRUE,Inputs!$B$32,0)))*(1-IF(AND(ArtifactsInput!$M$27,Inputs!$B$4="Chapter Hunt"),CHOOSE(ArtifactsInput!$N$27+1,20,24,28,32,36,40),0)/100)),0)</f>
        <v/>
      </c>
      <c r="R342">
        <f>IF(AND(Inputs!$B$38&lt;&gt;"pvp",Inputs!$B$43&gt;0),IF(MAX(0,Inputs!$B$43-B372)&lt;=0,0,(INT(MAX(0,Inputs!$B$43-B372)/(IF(Inputs!$B$38="pvp",15,MAX(0.1,Skills!E8-IF(Skills!F8=TRUE,Inputs!$B$32,0)))*(1-IF(AND(ArtifactsInput!$M$27,Inputs!$B$4="Chapter Hunt"),CHOOSE(ArtifactsInput!$N$27+1,20,24,28,32,36,40),0)/100)))+1)),0)</f>
        <v/>
      </c>
      <c r="S342">
        <f>IF(C342,(H342*N342*IF(AND(Inputs!$B$38&lt;&gt;"pvp",Inputs!$B$43&gt;0),((Skills!G8*((R342-1)*IF(Skills!H8&gt;0,Skills!I8/Skills!H8,1)+IF(Skills!H8&gt;0,MIN(Skills!I8,MAX(0,MAX(0,Inputs!$B$43-B372)-((R342-1)*(IF(Inputs!$B$38="pvp",15,MAX(0.1,Skills!E8-IF(Skills!F8=TRUE,Inputs!$B$32,0)))*(1-IF(AND(ArtifactsInput!$M$27,Inputs!$B$4="Chapter Hunt"),CHOOSE(ArtifactsInput!$N$27+1,20,24,28,32,36,40),0)/100)))))/Skills!H8,1)))/Inputs!$B$43),G342*Q342)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342*(1-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342*(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342*(1-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342*(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2">
        <f>IF(C342,(H342*N342*IF(AND(Inputs!$B$38&lt;&gt;"pvp",Inputs!$B$43&gt;0),((Skills!G8*((R342-1)*IF(Skills!H8&gt;0,Skills!I8/Skills!H8,1)+IF(Skills!H8&gt;0,MIN(Skills!I8,MAX(0,MAX(0,Inputs!$B$43-B372)-((R342-1)*(IF(Inputs!$B$38="pvp",15,MAX(0.1,Skills!E8-IF(Skills!F8=TRUE,Inputs!$B$32,0)))*(1-IF(AND(ArtifactsInput!$M$27,Inputs!$B$4="Chapter Hunt"),CHOOSE(ArtifactsInput!$N$27+1,20,24,28,32,36,40),0)/100)))))/Skills!H8,1)))/Inputs!$B$43),G342*Q342)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3">
      <c r="A343">
        <f>Skills!A9</f>
        <v/>
      </c>
      <c r="B343">
        <f>Skills!B9</f>
        <v/>
      </c>
      <c r="C343">
        <f>Inputs!$B$3&gt;=103</f>
        <v/>
      </c>
      <c r="D343">
        <f>IF(Skills!C9=1,60+Inputs!$B$25+Inputs!$B$29,IF(Skills!C9=2,90+Inputs!$B$26+Inputs!$B$29,IF(Skills!C9=3,120+Inputs!$B$27+Inputs!$B$29,MAX(0,(Inputs!$B$3-100)*3)+Inputs!$B$28+Inputs!$B$29)))</f>
        <v/>
      </c>
      <c r="E343">
        <f>INDEX(FactorTable!$B$2:$Y$301, MATCH(ROUND(MIN(300,MAX(1,D343)),0), FactorTable!$A$2:$A$301,0), Skills!M9+1)</f>
        <v/>
      </c>
      <c r="F343">
        <f>IF(Skills!N9=TRUE,(Skills!L9/10)*(E343/1000),Skills!L9/10)+Skills!O9</f>
        <v/>
      </c>
      <c r="G343">
        <f>Calc!G9</f>
        <v/>
      </c>
      <c r="H343">
        <f>Calc!H9</f>
        <v/>
      </c>
      <c r="I343">
        <f>IF(Skills!X9&lt;&gt;"",1+(Skills!X9/10)*(Z337/1000)/100,1)</f>
        <v/>
      </c>
      <c r="J343">
        <f>((Inputs!$B$6*(1+Inputs!$B$7/100))+(((Inputs!$B$12*(1+Inputs!$B$13/100))-(Inputs!$B$12*(1+Inputs!$B$13/100)))+0.25*(Inputs!$B$14-Inputs!$B$14))*(1+Inputs!$B$7/100))*(F343/100)</f>
        <v/>
      </c>
      <c r="K343">
        <f>J343*(1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343)</f>
        <v/>
      </c>
      <c r="L343">
        <f>K343*(MIN(Inputs!$B$22+(F356-Calc!F22),(Inputs!$B$23+(IF(ArtifactsInput!$M$15,CHOOSE(ArtifactsInput!$N$15+1,25,30,35,40,45,50)/100*(Inputs!$B$11-Inputs!$B$11),0))))/100+(Inputs!$B$23+(IF(ArtifactsInput!$M$15,CHOOSE(ArtifactsInput!$N$15+1,25,30,35,40,45,50)/100*(Inputs!$B$11-Inputs!$B$11),0)))/100)/2</f>
        <v/>
      </c>
      <c r="M343">
        <f>L343*(1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3">
        <f>L343*(1-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343*(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3">
        <f>(1-Summary!$B$11)*S343+Summary!$B$11*U343</f>
        <v/>
      </c>
      <c r="P343">
        <f>IF(B375=0,0,O343/B375)</f>
        <v/>
      </c>
      <c r="Q343">
        <f>IFERROR(1/(IF(Inputs!$B$38="pvp",15,MAX(0.1,Skills!E9-IF(Skills!F7=TRUE,Inputs!$B$32,0)))*(1-IF(AND(ArtifactsInput!$M$27,Inputs!$B$4="Chapter Hunt"),CHOOSE(ArtifactsInput!$N$27+1,20,24,28,32,36,40),0)/100)),0)</f>
        <v/>
      </c>
      <c r="R343">
        <f>IF(AND(Inputs!$B$38&lt;&gt;"pvp",Inputs!$B$43&gt;0),IF(MAX(0,Inputs!$B$43-B372)&lt;=0,0,(INT(MAX(0,Inputs!$B$43-B372)/(IF(Inputs!$B$38="pvp",15,MAX(0.1,Skills!E9-IF(Skills!F7=TRUE,Inputs!$B$32,0)))*(1-IF(AND(ArtifactsInput!$M$27,Inputs!$B$4="Chapter Hunt"),CHOOSE(ArtifactsInput!$N$27+1,20,24,28,32,36,40),0)/100)))+1)),0)</f>
        <v/>
      </c>
      <c r="S343">
        <f>IF(C343,(H343*N343*IF(AND(Inputs!$B$38&lt;&gt;"pvp",Inputs!$B$43&gt;0),((Skills!G9*((R343-1)*IF(Skills!H9&gt;0,Skills!I9/Skills!H9,1)+IF(Skills!H9&gt;0,MIN(Skills!I9,MAX(0,MAX(0,Inputs!$B$43-B372)-((R343-1)*(IF(Inputs!$B$38="pvp",15,MAX(0.1,Skills!E9-IF(Skills!F7=TRUE,Inputs!$B$32,0)))*(1-IF(AND(ArtifactsInput!$M$27,Inputs!$B$4="Chapter Hunt"),CHOOSE(ArtifactsInput!$N$27+1,20,24,28,32,36,40),0)/100)))))/Skills!H9,1)))/Inputs!$B$43),G343*Q343)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343*(1-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343*(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343*(1-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343*(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3">
        <f>IF(C343,(H343*N343*IF(AND(Inputs!$B$38&lt;&gt;"pvp",Inputs!$B$43&gt;0),((Skills!G9*((R343-1)*IF(Skills!H9&gt;0,Skills!I9/Skills!H9,1)+IF(Skills!H9&gt;0,MIN(Skills!I9,MAX(0,MAX(0,Inputs!$B$43-B372)-((R343-1)*(IF(Inputs!$B$38="pvp",15,MAX(0.1,Skills!E9-IF(Skills!F7=TRUE,Inputs!$B$32,0)))*(1-IF(AND(ArtifactsInput!$M$27,Inputs!$B$4="Chapter Hunt"),CHOOSE(ArtifactsInput!$N$27+1,20,24,28,32,36,40),0)/100)))))/Skills!H9,1)))/Inputs!$B$43),G343*Q343)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4">
      <c r="A344">
        <f>Skills!A10</f>
        <v/>
      </c>
      <c r="B344">
        <f>Skills!B10</f>
        <v/>
      </c>
      <c r="C344">
        <f>TRUE</f>
        <v/>
      </c>
      <c r="D344">
        <f>IF(Skills!C10=1,60+Inputs!$B$25+Inputs!$B$29,IF(Skills!C10=2,90+Inputs!$B$26+Inputs!$B$29,IF(Skills!C10=3,120+Inputs!$B$27+Inputs!$B$29,MAX(0,(Inputs!$B$3-100)*3)+Inputs!$B$28+Inputs!$B$29)))</f>
        <v/>
      </c>
      <c r="E344">
        <f>INDEX(FactorTable!$B$2:$Y$301, MATCH(ROUND(MIN(300,MAX(1,D344)),0), FactorTable!$A$2:$A$301,0), Skills!M10+1)</f>
        <v/>
      </c>
      <c r="F344">
        <f>IF(Skills!N10=TRUE,(Skills!L10/10)*(E344/1000),Skills!L10/10)+Skills!O10</f>
        <v/>
      </c>
      <c r="G344">
        <f>Calc!G10</f>
        <v/>
      </c>
      <c r="H344">
        <f>Calc!H10</f>
        <v/>
      </c>
      <c r="I344">
        <f>IF(Skills!X10&lt;&gt;"",1+(Skills!X10/10)*(Z337/1000)/100,1)</f>
        <v/>
      </c>
      <c r="J344">
        <f>((Inputs!$B$6*(1+Inputs!$B$7/100))+(((Inputs!$B$12*(1+Inputs!$B$13/100))-(Inputs!$B$12*(1+Inputs!$B$13/100)))+0.25*(Inputs!$B$14-Inputs!$B$14))*(1+Inputs!$B$7/100))*(F344/100)</f>
        <v/>
      </c>
      <c r="K344">
        <f>J344*(1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344)</f>
        <v/>
      </c>
      <c r="L344">
        <f>K344*(MIN(Inputs!$B$22+(F356-Calc!F22),(Inputs!$B$23+(IF(ArtifactsInput!$M$15,CHOOSE(ArtifactsInput!$N$15+1,25,30,35,40,45,50)/100*(Inputs!$B$11-Inputs!$B$11),0))))/100+(Inputs!$B$23+(IF(ArtifactsInput!$M$15,CHOOSE(ArtifactsInput!$N$15+1,25,30,35,40,45,50)/100*(Inputs!$B$11-Inputs!$B$11),0)))/100)/2</f>
        <v/>
      </c>
      <c r="M344">
        <f>L344*(1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4">
        <f>L344*(1-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344*(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4">
        <f>(1-Summary!$B$11)*S344+Summary!$B$11*U344</f>
        <v/>
      </c>
      <c r="P344">
        <f>IF(B375=0,0,O344/B375)</f>
        <v/>
      </c>
      <c r="Q344">
        <f>IFERROR(1/(IF(Inputs!$B$38="pvp",15,MAX(0.1,Skills!E10-IF(Skills!F10=TRUE,Inputs!$B$32,0)))*(1-IF(AND(ArtifactsInput!$M$27,Inputs!$B$4="Chapter Hunt"),CHOOSE(ArtifactsInput!$N$27+1,20,24,28,32,36,40),0)/100)),0)</f>
        <v/>
      </c>
      <c r="R344">
        <f>IF(AND(Inputs!$B$38&lt;&gt;"pvp",Inputs!$B$43&gt;0),IF(MAX(0,Inputs!$B$43-B372)&lt;=0,0,(INT(MAX(0,Inputs!$B$43-B372)/(IF(Inputs!$B$38="pvp",15,MAX(0.1,Skills!E10-IF(Skills!F10=TRUE,Inputs!$B$32,0)))*(1-IF(AND(ArtifactsInput!$M$27,Inputs!$B$4="Chapter Hunt"),CHOOSE(ArtifactsInput!$N$27+1,20,24,28,32,36,40),0)/100)))+1)),0)</f>
        <v/>
      </c>
      <c r="S344">
        <f>IF(C344,(H344*N344*IF(AND(Inputs!$B$38&lt;&gt;"pvp",Inputs!$B$43&gt;0),((Skills!G10*((R344-1)*IF(Skills!H10&gt;0,Skills!I10/Skills!H10,1)+IF(Skills!H10&gt;0,MIN(Skills!I10,MAX(0,MAX(0,Inputs!$B$43-B372)-((R344-1)*(IF(Inputs!$B$38="pvp",15,MAX(0.1,Skills!E10-IF(Skills!F10=TRUE,Inputs!$B$32,0)))*(1-IF(AND(ArtifactsInput!$M$27,Inputs!$B$4="Chapter Hunt"),CHOOSE(ArtifactsInput!$N$27+1,20,24,28,32,36,40),0)/100)))))/Skills!H10,1)))/Inputs!$B$43),G344*Q344)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344*(1-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344*(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344*(1-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344*(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4">
        <f>IF(C344,(H344*N344*IF(AND(Inputs!$B$38&lt;&gt;"pvp",Inputs!$B$43&gt;0),((Skills!G10*((R344-1)*IF(Skills!H10&gt;0,Skills!I10/Skills!H10,1)+IF(Skills!H10&gt;0,MIN(Skills!I10,MAX(0,MAX(0,Inputs!$B$43-B372)-((R344-1)*(IF(Inputs!$B$38="pvp",15,MAX(0.1,Skills!E10-IF(Skills!F10=TRUE,Inputs!$B$32,0)))*(1-IF(AND(ArtifactsInput!$M$27,Inputs!$B$4="Chapter Hunt"),CHOOSE(ArtifactsInput!$N$27+1,20,24,28,32,36,40),0)/100)))))/Skills!H10,1)))/Inputs!$B$43),G344*Q344)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5">
      <c r="A345">
        <f>Skills!A11</f>
        <v/>
      </c>
      <c r="B345">
        <f>Skills!B11</f>
        <v/>
      </c>
      <c r="C345">
        <f>TRUE</f>
        <v/>
      </c>
      <c r="D345">
        <f>IF(Skills!C11=1,60+Inputs!$B$25+Inputs!$B$29,IF(Skills!C11=2,90+Inputs!$B$26+Inputs!$B$29,IF(Skills!C11=3,120+Inputs!$B$27+Inputs!$B$29,MAX(0,(Inputs!$B$3-100)*3)+Inputs!$B$28+Inputs!$B$29)))</f>
        <v/>
      </c>
      <c r="E345">
        <f>INDEX(FactorTable!$B$2:$Y$301, MATCH(ROUND(MIN(300,MAX(1,D345)),0), FactorTable!$A$2:$A$301,0), Skills!M11+1)</f>
        <v/>
      </c>
      <c r="F345">
        <f>IF(Skills!N11=TRUE,(Skills!L11/10)*(E345/1000),Skills!L11/10)+Skills!O11</f>
        <v/>
      </c>
      <c r="G345">
        <f>Calc!G11</f>
        <v/>
      </c>
      <c r="H345">
        <f>Calc!H11</f>
        <v/>
      </c>
      <c r="I345">
        <f>IF(Skills!X11&lt;&gt;"",1+(Skills!X11/10)*(Z337/1000)/100,1)</f>
        <v/>
      </c>
      <c r="J345" t="inlineStr"/>
      <c r="K345" t="inlineStr"/>
      <c r="L345" t="inlineStr"/>
      <c r="M345" t="inlineStr"/>
      <c r="N345" t="inlineStr"/>
      <c r="O345">
        <f>(1-Summary!$B$11)*S345+Summary!$B$11*U345</f>
        <v/>
      </c>
      <c r="P345">
        <f>IF(B375=0,0,O345/B375)</f>
        <v/>
      </c>
      <c r="Q345">
        <f>IFERROR(1/(IF(Inputs!$B$38="pvp",15,MAX(0.1,Skills!E11-IF(Skills!F11=TRUE,Inputs!$B$32,0)))*(1-IF(AND(ArtifactsInput!$M$27,Inputs!$B$4="Chapter Hunt"),CHOOSE(ArtifactsInput!$N$27+1,20,24,28,32,36,40),0)/100)),0)</f>
        <v/>
      </c>
      <c r="R345" t="n">
        <v>0</v>
      </c>
      <c r="S345" t="n">
        <v>0</v>
      </c>
      <c r="U345" t="n">
        <v>0</v>
      </c>
    </row>
    <row r="346">
      <c r="A346">
        <f>Skills!A12</f>
        <v/>
      </c>
      <c r="B346">
        <f>Skills!B12</f>
        <v/>
      </c>
      <c r="C346">
        <f>TRUE</f>
        <v/>
      </c>
      <c r="D346">
        <f>IF(Skills!C12=1,60+Inputs!$B$25+Inputs!$B$29,IF(Skills!C12=2,90+Inputs!$B$26+Inputs!$B$29,IF(Skills!C12=3,120+Inputs!$B$27+Inputs!$B$29,MAX(0,(Inputs!$B$3-100)*3)+Inputs!$B$28+Inputs!$B$29)))</f>
        <v/>
      </c>
      <c r="E346">
        <f>INDEX(FactorTable!$B$2:$Y$301, MATCH(ROUND(MIN(300,MAX(1,D346)),0), FactorTable!$A$2:$A$301,0), Skills!M12+1)</f>
        <v/>
      </c>
      <c r="F346">
        <f>IF(Skills!N12=TRUE,(Skills!L12/10)*(E346/1000),Skills!L12/10)+Skills!O12</f>
        <v/>
      </c>
      <c r="G346">
        <f>Calc!G12</f>
        <v/>
      </c>
      <c r="H346">
        <f>Calc!H12</f>
        <v/>
      </c>
      <c r="I346">
        <f>IF(Skills!X12&lt;&gt;"",1+(Skills!X12/10)*(Z337/1000)/100,1)</f>
        <v/>
      </c>
      <c r="J346" t="inlineStr"/>
      <c r="K346" t="inlineStr"/>
      <c r="L346" t="inlineStr"/>
      <c r="M346" t="inlineStr"/>
      <c r="N346" t="inlineStr"/>
      <c r="O346">
        <f>(1-Summary!$B$11)*S346+Summary!$B$11*U346</f>
        <v/>
      </c>
      <c r="P346">
        <f>IF(B375=0,0,O346/B375)</f>
        <v/>
      </c>
      <c r="Q346">
        <f>IFERROR(1/(IF(Inputs!$B$38="pvp",15,MAX(0.1,Skills!E12-IF(Skills!F12=TRUE,Inputs!$B$32,0)))*(1-IF(AND(ArtifactsInput!$M$27,Inputs!$B$4="Chapter Hunt"),CHOOSE(ArtifactsInput!$N$27+1,20,24,28,32,36,40),0)/100)),0)</f>
        <v/>
      </c>
      <c r="R346" t="n">
        <v>0</v>
      </c>
      <c r="S346" t="n">
        <v>0</v>
      </c>
      <c r="U346" t="n">
        <v>0</v>
      </c>
    </row>
    <row r="347">
      <c r="A347">
        <f>Skills!A13</f>
        <v/>
      </c>
      <c r="B347">
        <f>Skills!B13</f>
        <v/>
      </c>
      <c r="C347">
        <f>Inputs!$B$3&gt;=105</f>
        <v/>
      </c>
      <c r="D347">
        <f>IF(Skills!C13=1,60+Inputs!$B$25+Inputs!$B$29,IF(Skills!C13=2,90+Inputs!$B$26+Inputs!$B$29,IF(Skills!C13=3,120+Inputs!$B$27+Inputs!$B$29,MAX(0,(Inputs!$B$3-100)*3)+Inputs!$B$28+Inputs!$B$29)))</f>
        <v/>
      </c>
      <c r="E347">
        <f>INDEX(FactorTable!$B$2:$Y$301, MATCH(ROUND(MIN(300,MAX(1,D347)),0), FactorTable!$A$2:$A$301,0), Skills!M13+1)</f>
        <v/>
      </c>
      <c r="F347">
        <f>IF(Skills!N13=TRUE,(Skills!L13/10)*(E347/1000),Skills!L13/10)+Skills!O13</f>
        <v/>
      </c>
      <c r="G347">
        <f>Calc!G13</f>
        <v/>
      </c>
      <c r="H347">
        <f>Calc!H13</f>
        <v/>
      </c>
      <c r="I347">
        <f>IF(Skills!X13&lt;&gt;"",1+(Skills!X13/10)*(Z337/1000)/100,1)</f>
        <v/>
      </c>
      <c r="J347">
        <f>((Inputs!$B$6*(1+Inputs!$B$7/100))+(((Inputs!$B$12*(1+Inputs!$B$13/100))-(Inputs!$B$12*(1+Inputs!$B$13/100)))+0.25*(Inputs!$B$14-Inputs!$B$14))*(1+Inputs!$B$7/100))*(F347/100)</f>
        <v/>
      </c>
      <c r="K347">
        <f>J347*(1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347)</f>
        <v/>
      </c>
      <c r="L347">
        <f>K347*(MIN(Inputs!$B$22+(F356-Calc!F22),(Inputs!$B$23+(IF(ArtifactsInput!$M$15,CHOOSE(ArtifactsInput!$N$15+1,25,30,35,40,45,50)/100*(Inputs!$B$11-Inputs!$B$11),0))))/100+(Inputs!$B$23+(IF(ArtifactsInput!$M$15,CHOOSE(ArtifactsInput!$N$15+1,25,30,35,40,45,50)/100*(Inputs!$B$11-Inputs!$B$11),0)))/100)/2</f>
        <v/>
      </c>
      <c r="M347">
        <f>L347*(1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7">
        <f>L347*(1-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347*(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7">
        <f>(1-Summary!$B$11)*S347+Summary!$B$11*U347</f>
        <v/>
      </c>
      <c r="P347">
        <f>IF(B375=0,0,O347/B375)</f>
        <v/>
      </c>
      <c r="Q347">
        <f>IFERROR(1/(IF(Inputs!$B$38="pvp",15,MAX(0.1,Skills!E13-IF(Skills!F13=TRUE,Inputs!$B$32,0)))*(1-IF(AND(ArtifactsInput!$M$27,Inputs!$B$4="Chapter Hunt"),CHOOSE(ArtifactsInput!$N$27+1,20,24,28,32,36,40),0)/100)),0)</f>
        <v/>
      </c>
      <c r="R347">
        <f>IF(AND(Inputs!$B$38&lt;&gt;"pvp",Inputs!$B$43&gt;0),IF(MAX(0,Inputs!$B$43-B372)&lt;=0,0,(INT(MAX(0,Inputs!$B$43-B372)/(IF(Inputs!$B$38="pvp",15,MAX(0.1,Skills!E13-IF(Skills!F13=TRUE,Inputs!$B$32,0)))*(1-IF(AND(ArtifactsInput!$M$27,Inputs!$B$4="Chapter Hunt"),CHOOSE(ArtifactsInput!$N$27+1,20,24,28,32,36,40),0)/100)))+1)),0)</f>
        <v/>
      </c>
      <c r="S347">
        <f>IF(C347,(H347*N347*IF(AND(Inputs!$B$38&lt;&gt;"pvp",Inputs!$B$43&gt;0),((Skills!G13*((R347-1)*IF(Skills!H13&gt;0,Skills!I13/Skills!H13,1)+IF(Skills!H13&gt;0,MIN(Skills!I13,MAX(0,MAX(0,Inputs!$B$43-B372)-((R347-1)*(IF(Inputs!$B$38="pvp",15,MAX(0.1,Skills!E13-IF(Skills!F13=TRUE,Inputs!$B$32,0)))*(1-IF(AND(ArtifactsInput!$M$27,Inputs!$B$4="Chapter Hunt"),CHOOSE(ArtifactsInput!$N$27+1,20,24,28,32,36,40),0)/100)))))/Skills!H13,1)))/Inputs!$B$43),G347*Q347)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347*(1-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347*(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347*(1-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347*(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7">
        <f>IF(C347,(H347*N347*IF(AND(Inputs!$B$38&lt;&gt;"pvp",Inputs!$B$43&gt;0),((Skills!G13*((R347-1)*IF(Skills!H13&gt;0,Skills!I13/Skills!H13,1)+IF(Skills!H13&gt;0,MIN(Skills!I13,MAX(0,MAX(0,Inputs!$B$43-B372)-((R347-1)*(IF(Inputs!$B$38="pvp",15,MAX(0.1,Skills!E13-IF(Skills!F13=TRUE,Inputs!$B$32,0)))*(1-IF(AND(ArtifactsInput!$M$27,Inputs!$B$4="Chapter Hunt"),CHOOSE(ArtifactsInput!$N$27+1,20,24,28,32,36,40),0)/100)))))/Skills!H13,1)))/Inputs!$B$43),G347*Q347)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8">
      <c r="A348">
        <f>Skills!A14</f>
        <v/>
      </c>
      <c r="B348">
        <f>Skills!B14</f>
        <v/>
      </c>
      <c r="C348">
        <f>Inputs!$B$3&gt;=113</f>
        <v/>
      </c>
      <c r="D348">
        <f>IF(Skills!C14=1,60+Inputs!$B$25+Inputs!$B$29,IF(Skills!C14=2,90+Inputs!$B$26+Inputs!$B$29,IF(Skills!C14=3,120+Inputs!$B$27+Inputs!$B$29,MAX(0,(Inputs!$B$3-100)*3)+Inputs!$B$28+Inputs!$B$29)))</f>
        <v/>
      </c>
      <c r="E348">
        <f>INDEX(FactorTable!$B$2:$Y$301, MATCH(ROUND(MIN(300,MAX(1,D348)),0), FactorTable!$A$2:$A$301,0), Skills!M14+1)</f>
        <v/>
      </c>
      <c r="F348">
        <f>IF(Skills!N14=TRUE,(Skills!L14/10)*(E348/1000),Skills!L14/10)+Skills!O14</f>
        <v/>
      </c>
      <c r="G348">
        <f>Calc!G14</f>
        <v/>
      </c>
      <c r="H348">
        <f>Calc!H14</f>
        <v/>
      </c>
      <c r="I348">
        <f>IF(Skills!X14&lt;&gt;"",1+(Skills!X14/10)*(Z337/1000)/100,1)</f>
        <v/>
      </c>
      <c r="J348">
        <f>((Inputs!$B$6*(1+Inputs!$B$7/100))+(((Inputs!$B$12*(1+Inputs!$B$13/100))-(Inputs!$B$12*(1+Inputs!$B$13/100)))+0.25*(Inputs!$B$14-Inputs!$B$14))*(1+Inputs!$B$7/100))*(F348/100)</f>
        <v/>
      </c>
      <c r="K348">
        <f>J348*(1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348)</f>
        <v/>
      </c>
      <c r="L348">
        <f>K348*(MIN(Inputs!$B$22+(F356-Calc!F22),(Inputs!$B$23+(IF(ArtifactsInput!$M$15,CHOOSE(ArtifactsInput!$N$15+1,25,30,35,40,45,50)/100*(Inputs!$B$11-Inputs!$B$11),0))))/100+(Inputs!$B$23+(IF(ArtifactsInput!$M$15,CHOOSE(ArtifactsInput!$N$15+1,25,30,35,40,45,50)/100*(Inputs!$B$11-Inputs!$B$11),0)))/100)/2</f>
        <v/>
      </c>
      <c r="M348">
        <f>L348*(1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8">
        <f>L348*(1-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348*(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8">
        <f>(1-Summary!$B$11)*S348+Summary!$B$11*U348</f>
        <v/>
      </c>
      <c r="P348">
        <f>IF(B375=0,0,O348/B375)</f>
        <v/>
      </c>
      <c r="Q348">
        <f>IFERROR(1/(IF(Inputs!$B$38="pvp",15,MAX(0.1,Skills!E14-IF(Skills!F14=TRUE,Inputs!$B$32,0)))*(1-IF(AND(ArtifactsInput!$M$27,Inputs!$B$4="Chapter Hunt"),CHOOSE(ArtifactsInput!$N$27+1,20,24,28,32,36,40),0)/100)),0)</f>
        <v/>
      </c>
      <c r="R348" t="n">
        <v>0</v>
      </c>
      <c r="S348">
        <f>IF(C348,((H348*B371)/(1+Skills!H14*H348*B371)*N348)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348*(1-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348*(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348*(1-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348*(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8">
        <f>IF(C348,((H348*B371)/(1+Skills!H14*H348*B371)*N348)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9">
      <c r="A349">
        <f>Skills!A15</f>
        <v/>
      </c>
      <c r="B349">
        <f>Skills!B15</f>
        <v/>
      </c>
      <c r="C349">
        <f>Inputs!$B$3&gt;=107</f>
        <v/>
      </c>
      <c r="D349">
        <f>IF(Skills!C15=1,60+Inputs!$B$25+Inputs!$B$29,IF(Skills!C15=2,90+Inputs!$B$26+Inputs!$B$29,IF(Skills!C15=3,120+Inputs!$B$27+Inputs!$B$29,MAX(0,(Inputs!$B$3-100)*3)+Inputs!$B$28+Inputs!$B$29)))</f>
        <v/>
      </c>
      <c r="E349">
        <f>INDEX(FactorTable!$B$2:$Y$301, MATCH(ROUND(MIN(300,MAX(1,D349)),0), FactorTable!$A$2:$A$301,0), Skills!M15+1)</f>
        <v/>
      </c>
      <c r="F349">
        <f>IF(Skills!N15=TRUE,(Skills!L15/10)*(E349/1000),Skills!L15/10)+Skills!O15</f>
        <v/>
      </c>
      <c r="G349">
        <f>Calc!G15</f>
        <v/>
      </c>
      <c r="H349">
        <f>Calc!H15</f>
        <v/>
      </c>
      <c r="I349">
        <f>IF(Skills!X15&lt;&gt;"",1+(Skills!X15/10)*(Z337/1000)/100,1)</f>
        <v/>
      </c>
      <c r="J349">
        <f>((Inputs!$B$6*(1+Inputs!$B$7/100))+(((Inputs!$B$12*(1+Inputs!$B$13/100))-(Inputs!$B$12*(1+Inputs!$B$13/100)))+0.25*(Inputs!$B$14-Inputs!$B$14))*(1+Inputs!$B$7/100))*(F349/100)</f>
        <v/>
      </c>
      <c r="K349">
        <f>J349*(1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349)</f>
        <v/>
      </c>
      <c r="L349">
        <f>K349*(MIN(Inputs!$B$22+(F356-Calc!F22),(Inputs!$B$23+(IF(ArtifactsInput!$M$15,CHOOSE(ArtifactsInput!$N$15+1,25,30,35,40,45,50)/100*(Inputs!$B$11-Inputs!$B$11),0))))/100+(Inputs!$B$23+(IF(ArtifactsInput!$M$15,CHOOSE(ArtifactsInput!$N$15+1,25,30,35,40,45,50)/100*(Inputs!$B$11-Inputs!$B$11),0)))/100)/2</f>
        <v/>
      </c>
      <c r="M349">
        <f>L349*(1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9">
        <f>L349*(1-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349*(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9">
        <f>(1-Summary!$B$11)*S349+Summary!$B$11*U349</f>
        <v/>
      </c>
      <c r="P349">
        <f>IF(B375=0,0,O349/B375)</f>
        <v/>
      </c>
      <c r="Q349">
        <f>IFERROR(1/(IF(Inputs!$B$38="pvp",15,MAX(0.1,Skills!E15-IF(Skills!F15=TRUE,Inputs!$B$32,0)))*(1-IF(AND(ArtifactsInput!$M$27,Inputs!$B$4="Chapter Hunt"),CHOOSE(ArtifactsInput!$N$27+1,20,24,28,32,36,40),0)/100)),0)</f>
        <v/>
      </c>
      <c r="R349">
        <f>IF(AND(Inputs!$B$38&lt;&gt;"pvp",Inputs!$B$43&gt;0),IF(MAX(0,Inputs!$B$43-B372)&lt;=0,0,(INT(MAX(0,Inputs!$B$43-B372)/(IF(Inputs!$B$38="pvp",15,MAX(0.1,Skills!E15-IF(Skills!F15=TRUE,Inputs!$B$32,0)))*(1-IF(AND(ArtifactsInput!$M$27,Inputs!$B$4="Chapter Hunt"),CHOOSE(ArtifactsInput!$N$27+1,20,24,28,32,36,40),0)/100)))+1)),0)</f>
        <v/>
      </c>
      <c r="S349">
        <f>IF(C349,(H349*N349*IF(AND(Inputs!$B$38&lt;&gt;"pvp",Inputs!$B$43&gt;0),((Skills!G15*((R349-1)*IF(Skills!H15&gt;0,Skills!I15/Skills!H15,1)+IF(Skills!H15&gt;0,MIN(Skills!I15,MAX(0,MAX(0,Inputs!$B$43-B372)-((R349-1)*(IF(Inputs!$B$38="pvp",15,MAX(0.1,Skills!E15-IF(Skills!F15=TRUE,Inputs!$B$32,0)))*(1-IF(AND(ArtifactsInput!$M$27,Inputs!$B$4="Chapter Hunt"),CHOOSE(ArtifactsInput!$N$27+1,20,24,28,32,36,40),0)/100)))))/Skills!H15,1)))/Inputs!$B$43),G349*Q349)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349*(1-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349*(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349*(1-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349*(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9">
        <f>IF(C349,(H349*N349*IF(AND(Inputs!$B$38&lt;&gt;"pvp",Inputs!$B$43&gt;0),((Skills!G15*((R349-1)*IF(Skills!H15&gt;0,Skills!I15/Skills!H15,1)+IF(Skills!H15&gt;0,MIN(Skills!I15,MAX(0,MAX(0,Inputs!$B$43-B372)-((R349-1)*(IF(Inputs!$B$38="pvp",15,MAX(0.1,Skills!E15-IF(Skills!F15=TRUE,Inputs!$B$32,0)))*(1-IF(AND(ArtifactsInput!$M$27,Inputs!$B$4="Chapter Hunt"),CHOOSE(ArtifactsInput!$N$27+1,20,24,28,32,36,40),0)/100)))))/Skills!H15,1)))/Inputs!$B$43),G349*Q349)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0">
      <c r="A350">
        <f>Skills!A16</f>
        <v/>
      </c>
      <c r="B350">
        <f>Skills!B16</f>
        <v/>
      </c>
      <c r="C350">
        <f>Inputs!$B$3&gt;=107</f>
        <v/>
      </c>
      <c r="D350">
        <f>IF(Skills!C16=1,60+Inputs!$B$25+Inputs!$B$29,IF(Skills!C16=2,90+Inputs!$B$26+Inputs!$B$29,IF(Skills!C16=3,120+Inputs!$B$27+Inputs!$B$29,MAX(0,(Inputs!$B$3-100)*3)+Inputs!$B$28+Inputs!$B$29)))</f>
        <v/>
      </c>
      <c r="E350">
        <f>INDEX(FactorTable!$B$2:$Y$301, MATCH(ROUND(MIN(300,MAX(1,D350)),0), FactorTable!$A$2:$A$301,0), Skills!M16+1)</f>
        <v/>
      </c>
      <c r="F350">
        <f>IF(Skills!N16=TRUE,(Skills!L16/10)*(E350/1000),Skills!L16/10)+Skills!O16</f>
        <v/>
      </c>
      <c r="G350">
        <f>Calc!G16</f>
        <v/>
      </c>
      <c r="H350">
        <f>Calc!H16</f>
        <v/>
      </c>
      <c r="I350">
        <f>IF(Skills!X16&lt;&gt;"",1+(Skills!X16/10)*(Z337/1000)/100,1)</f>
        <v/>
      </c>
      <c r="J350">
        <f>((Inputs!$B$6*(1+Inputs!$B$7/100))+(((Inputs!$B$12*(1+Inputs!$B$13/100))-(Inputs!$B$12*(1+Inputs!$B$13/100)))+0.25*(Inputs!$B$14-Inputs!$B$14))*(1+Inputs!$B$7/100))*(F350/100)</f>
        <v/>
      </c>
      <c r="K350">
        <f>J350*(1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350)</f>
        <v/>
      </c>
      <c r="L350">
        <f>K350*(MIN(Inputs!$B$22+(F356-Calc!F22),(Inputs!$B$23+(IF(ArtifactsInput!$M$15,CHOOSE(ArtifactsInput!$N$15+1,25,30,35,40,45,50)/100*(Inputs!$B$11-Inputs!$B$11),0))))/100+(Inputs!$B$23+(IF(ArtifactsInput!$M$15,CHOOSE(ArtifactsInput!$N$15+1,25,30,35,40,45,50)/100*(Inputs!$B$11-Inputs!$B$11),0)))/100)/2</f>
        <v/>
      </c>
      <c r="M350">
        <f>L350*(1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0">
        <f>L350*(1-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350*(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0">
        <f>(1-Summary!$B$11)*S350+Summary!$B$11*U350</f>
        <v/>
      </c>
      <c r="P350">
        <f>IF(B375=0,0,O350/B375)</f>
        <v/>
      </c>
      <c r="Q350">
        <f>IFERROR(1/(IF(Inputs!$B$38="pvp",15,MAX(0.1,Skills!E16-IF(Skills!F16=TRUE,Inputs!$B$32,0)))*(1-IF(AND(ArtifactsInput!$M$27,Inputs!$B$4="Chapter Hunt"),CHOOSE(ArtifactsInput!$N$27+1,20,24,28,32,36,40),0)/100)),0)</f>
        <v/>
      </c>
      <c r="R350">
        <f>IF(AND(Inputs!$B$38&lt;&gt;"pvp",Inputs!$B$43&gt;0),IF(MAX(0,Inputs!$B$43-B372)&lt;=0,0,(INT(MAX(0,Inputs!$B$43-B372)/(IF(Inputs!$B$38="pvp",15,MAX(0.1,Skills!E16-IF(Skills!F16=TRUE,Inputs!$B$32,0)))*(1-IF(AND(ArtifactsInput!$M$27,Inputs!$B$4="Chapter Hunt"),CHOOSE(ArtifactsInput!$N$27+1,20,24,28,32,36,40),0)/100)))+1)),0)</f>
        <v/>
      </c>
      <c r="S350">
        <f>IF(C350,(H350*N350*IF(AND(Inputs!$B$38&lt;&gt;"pvp",Inputs!$B$43&gt;0),((Skills!G16*((R350-1)*IF(Skills!H16&gt;0,Skills!I16/Skills!H16,1)+IF(Skills!H16&gt;0,MIN(Skills!I16,MAX(0,MAX(0,Inputs!$B$43-B372)-((R350-1)*(IF(Inputs!$B$38="pvp",15,MAX(0.1,Skills!E16-IF(Skills!F16=TRUE,Inputs!$B$32,0)))*(1-IF(AND(ArtifactsInput!$M$27,Inputs!$B$4="Chapter Hunt"),CHOOSE(ArtifactsInput!$N$27+1,20,24,28,32,36,40),0)/100)))))/Skills!H16,1)))/Inputs!$B$43),G350*Q350)*(1+IF(Inputs!$B$3&gt;=126,0.05*(B370+Q347+(H348*B371)/(1+Skills!H14*H348*B371)+Q358)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350*(1-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350*(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350*(1-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350*(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0">
        <f>IF(C350,(H350*N350*IF(AND(Inputs!$B$38&lt;&gt;"pvp",Inputs!$B$43&gt;0),((Skills!G16*((R350-1)*IF(Skills!H16&gt;0,Skills!I16/Skills!H16,1)+IF(Skills!H16&gt;0,MIN(Skills!I16,MAX(0,MAX(0,Inputs!$B$43-B372)-((R350-1)*(IF(Inputs!$B$38="pvp",15,MAX(0.1,Skills!E16-IF(Skills!F16=TRUE,Inputs!$B$32,0)))*(1-IF(AND(ArtifactsInput!$M$27,Inputs!$B$4="Chapter Hunt"),CHOOSE(ArtifactsInput!$N$27+1,20,24,28,32,36,40),0)/100)))))/Skills!H16,1)))/Inputs!$B$43),G350*Q350)*(1+IF(Inputs!$B$3&gt;=126,0.05*(B370+Q347+(H348*B371)/(1+Skills!H14*H348*B371)+Q358)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1">
      <c r="A351">
        <f>Skills!A17</f>
        <v/>
      </c>
      <c r="B351">
        <f>Skills!B17</f>
        <v/>
      </c>
      <c r="C351">
        <f>TRUE</f>
        <v/>
      </c>
      <c r="D351">
        <f>IF(Skills!C17=1,60+Inputs!$B$25+Inputs!$B$29,IF(Skills!C17=2,90+Inputs!$B$26+Inputs!$B$29,IF(Skills!C17=3,120+Inputs!$B$27+Inputs!$B$29,MAX(0,(Inputs!$B$3-100)*3)+Inputs!$B$28+Inputs!$B$29)))</f>
        <v/>
      </c>
      <c r="E351">
        <f>INDEX(FactorTable!$B$2:$Y$301, MATCH(ROUND(MIN(300,MAX(1,D351)),0), FactorTable!$A$2:$A$301,0), Skills!M17+1)</f>
        <v/>
      </c>
      <c r="F351">
        <f>IF(Skills!N17=TRUE,(Skills!L17/10)*(E351/1000),Skills!L17/10)+Skills!O17</f>
        <v/>
      </c>
      <c r="G351">
        <f>Calc!G17</f>
        <v/>
      </c>
      <c r="H351">
        <f>Calc!H17</f>
        <v/>
      </c>
      <c r="I351">
        <f>IF(Skills!X17&lt;&gt;"",1+(Skills!X17/10)*(Z337/1000)/100,1)</f>
        <v/>
      </c>
      <c r="J351" t="inlineStr"/>
      <c r="K351" t="inlineStr"/>
      <c r="L351" t="inlineStr"/>
      <c r="M351" t="inlineStr"/>
      <c r="N351" t="inlineStr"/>
      <c r="O351">
        <f>(1-Summary!$B$11)*S351+Summary!$B$11*U351</f>
        <v/>
      </c>
      <c r="P351">
        <f>IF(B375=0,0,O351/B375)</f>
        <v/>
      </c>
      <c r="Q351">
        <f>IFERROR(1/(IF(Inputs!$B$38="pvp",15,MAX(0.1,Skills!E17-IF(Skills!F17=TRUE,Inputs!$B$32,0)))*(1-IF(AND(ArtifactsInput!$M$27,Inputs!$B$4="Chapter Hunt"),CHOOSE(ArtifactsInput!$N$27+1,20,24,28,32,36,40),0)/100)),0)</f>
        <v/>
      </c>
      <c r="R351">
        <f>IF(AND(Inputs!$B$38&lt;&gt;"pvp",Inputs!$B$43&gt;0),IF(Inputs!$B$43&lt;=0,0,(INT(Inputs!$B$43/(IF(Inputs!$B$38="pvp",15,MAX(0.1,Skills!E17-IF(Skills!F17=TRUE,Inputs!$B$32,0)))*(1-IF(AND(ArtifactsInput!$M$27,Inputs!$B$4="Chapter Hunt"),CHOOSE(ArtifactsInput!$N$27+1,20,24,28,32,36,40),0)/100)))+1)),0)</f>
        <v/>
      </c>
      <c r="S351" t="n">
        <v>0</v>
      </c>
      <c r="U351" t="n">
        <v>0</v>
      </c>
    </row>
    <row r="352">
      <c r="A352">
        <f>Skills!A18</f>
        <v/>
      </c>
      <c r="B352">
        <f>Skills!B18</f>
        <v/>
      </c>
      <c r="C352">
        <f>TRUE</f>
        <v/>
      </c>
      <c r="D352">
        <f>IF(Skills!C18=1,60+Inputs!$B$25+Inputs!$B$29,IF(Skills!C18=2,90+Inputs!$B$26+Inputs!$B$29,IF(Skills!C18=3,120+Inputs!$B$27+Inputs!$B$29,MAX(0,(Inputs!$B$3-100)*3)+Inputs!$B$28+Inputs!$B$29)))</f>
        <v/>
      </c>
      <c r="E352">
        <f>INDEX(FactorTable!$B$2:$Y$301, MATCH(ROUND(MIN(300,MAX(1,D352)),0), FactorTable!$A$2:$A$301,0), Skills!M18+1)</f>
        <v/>
      </c>
      <c r="F352">
        <f>IF(Skills!N18=TRUE,(Skills!L18/10)*(E352/1000),Skills!L18/10)+Skills!O18</f>
        <v/>
      </c>
      <c r="G352">
        <f>Calc!G18</f>
        <v/>
      </c>
      <c r="H352">
        <f>Calc!H18</f>
        <v/>
      </c>
      <c r="I352">
        <f>IF(Skills!X18&lt;&gt;"",1+(Skills!X18/10)*(Z337/1000)/100,1)</f>
        <v/>
      </c>
      <c r="J352" t="inlineStr"/>
      <c r="K352" t="inlineStr"/>
      <c r="L352" t="inlineStr"/>
      <c r="M352" t="inlineStr"/>
      <c r="N352" t="inlineStr"/>
      <c r="O352">
        <f>(1-Summary!$B$11)*S352+Summary!$B$11*U352</f>
        <v/>
      </c>
      <c r="P352">
        <f>IF(B375=0,0,O352/B375)</f>
        <v/>
      </c>
      <c r="Q352">
        <f>IFERROR(1/(IF(Inputs!$B$38="pvp",15,MAX(0.1,Skills!E18-IF(Skills!F18=TRUE,Inputs!$B$32,0)))*(1-IF(AND(ArtifactsInput!$M$27,Inputs!$B$4="Chapter Hunt"),CHOOSE(ArtifactsInput!$N$27+1,20,24,28,32,36,40),0)/100)),0)</f>
        <v/>
      </c>
      <c r="R352">
        <f>IF(AND(Inputs!$B$38&lt;&gt;"pvp",Inputs!$B$43&gt;0),IF(Inputs!$B$43&lt;=0,0,(INT(Inputs!$B$43/(IF(Inputs!$B$38="pvp",15,MAX(0.1,Skills!E18-IF(Skills!F18=TRUE,Inputs!$B$32,0)))*(1-IF(AND(ArtifactsInput!$M$27,Inputs!$B$4="Chapter Hunt"),CHOOSE(ArtifactsInput!$N$27+1,20,24,28,32,36,40),0)/100)))+1)),0)</f>
        <v/>
      </c>
      <c r="S352" t="n">
        <v>0</v>
      </c>
      <c r="U352" t="n">
        <v>0</v>
      </c>
    </row>
    <row r="353">
      <c r="A353">
        <f>Skills!A19</f>
        <v/>
      </c>
      <c r="B353">
        <f>Skills!B19</f>
        <v/>
      </c>
      <c r="C353">
        <f>Inputs!$B$3&gt;=110</f>
        <v/>
      </c>
      <c r="D353">
        <f>IF(Skills!C19=1,60+Inputs!$B$25+Inputs!$B$29,IF(Skills!C19=2,90+Inputs!$B$26+Inputs!$B$29,IF(Skills!C19=3,120+Inputs!$B$27+Inputs!$B$29,MAX(0,(Inputs!$B$3-100)*3)+Inputs!$B$28+Inputs!$B$29)))</f>
        <v/>
      </c>
      <c r="E353">
        <f>INDEX(FactorTable!$B$2:$Y$301, MATCH(ROUND(MIN(300,MAX(1,D353)),0), FactorTable!$A$2:$A$301,0), Skills!M19+1)</f>
        <v/>
      </c>
      <c r="F353">
        <f>IF(Skills!N19=TRUE,(Skills!L19/10)*(E353/1000),Skills!L19/10)+Skills!O19</f>
        <v/>
      </c>
      <c r="G353">
        <f>Calc!G19</f>
        <v/>
      </c>
      <c r="H353">
        <f>Calc!H19</f>
        <v/>
      </c>
      <c r="I353">
        <f>IF(Skills!X19&lt;&gt;"",1+(Skills!X19/10)*(Z337/1000)/100,1)</f>
        <v/>
      </c>
      <c r="J353" t="inlineStr"/>
      <c r="K353" t="inlineStr"/>
      <c r="L353" t="inlineStr"/>
      <c r="M353" t="inlineStr"/>
      <c r="N353" t="inlineStr"/>
      <c r="O353">
        <f>(1-Summary!$B$11)*S353+Summary!$B$11*U353</f>
        <v/>
      </c>
      <c r="P353">
        <f>IF(B375=0,0,O353/B375)</f>
        <v/>
      </c>
      <c r="Q353">
        <f>IFERROR(1/(IF(Inputs!$B$38="pvp",15,MAX(0.1,Skills!E19-IF(Skills!F19=TRUE,Inputs!$B$32,0)))*(1-IF(AND(ArtifactsInput!$M$27,Inputs!$B$4="Chapter Hunt"),CHOOSE(ArtifactsInput!$N$27+1,20,24,28,32,36,40),0)/100)),0)</f>
        <v/>
      </c>
      <c r="R353">
        <f>IF(AND(Inputs!$B$38&lt;&gt;"pvp",Inputs!$B$43&gt;0),IF(Inputs!$B$43&lt;=0,0,(INT(Inputs!$B$43/(IF(Inputs!$B$38="pvp",15,MAX(0.1,Skills!E19-IF(Skills!F19=TRUE,Inputs!$B$32,0)))*(1-IF(AND(ArtifactsInput!$M$27,Inputs!$B$4="Chapter Hunt"),CHOOSE(ArtifactsInput!$N$27+1,20,24,28,32,36,40),0)/100)))+1)),0)</f>
        <v/>
      </c>
      <c r="S353" t="n">
        <v>0</v>
      </c>
      <c r="U353" t="n">
        <v>0</v>
      </c>
    </row>
    <row r="354">
      <c r="A354">
        <f>Skills!A20</f>
        <v/>
      </c>
      <c r="B354">
        <f>Skills!B20</f>
        <v/>
      </c>
      <c r="C354">
        <f>TRUE</f>
        <v/>
      </c>
      <c r="D354">
        <f>IF(Skills!C20=1,60+Inputs!$B$25+Inputs!$B$29,IF(Skills!C20=2,90+Inputs!$B$26+Inputs!$B$29,IF(Skills!C20=3,120+Inputs!$B$27+Inputs!$B$29,MAX(0,(Inputs!$B$3-100)*3)+Inputs!$B$28+Inputs!$B$29)))</f>
        <v/>
      </c>
      <c r="E354">
        <f>INDEX(FactorTable!$B$2:$Y$301, MATCH(ROUND(MIN(300,MAX(1,D354)),0), FactorTable!$A$2:$A$301,0), Skills!M20+1)</f>
        <v/>
      </c>
      <c r="F354">
        <f>IF(Skills!N20=TRUE,(Skills!L20/10)*(E354/1000),Skills!L20/10)+Skills!O20</f>
        <v/>
      </c>
      <c r="G354">
        <f>Calc!G20</f>
        <v/>
      </c>
      <c r="H354">
        <f>Calc!H20</f>
        <v/>
      </c>
      <c r="I354">
        <f>IF(Skills!X20&lt;&gt;"",1+(Skills!X20/10)*(Z337/1000)/100,1)</f>
        <v/>
      </c>
      <c r="J354" t="inlineStr"/>
      <c r="K354" t="inlineStr"/>
      <c r="L354" t="inlineStr"/>
      <c r="M354" t="inlineStr"/>
      <c r="N354" t="inlineStr"/>
      <c r="O354">
        <f>(1-Summary!$B$11)*S354+Summary!$B$11*U354</f>
        <v/>
      </c>
      <c r="P354">
        <f>IF(B375=0,0,O354/B375)</f>
        <v/>
      </c>
      <c r="Q354">
        <f>IFERROR(1/(IF(Inputs!$B$38="pvp",15,MAX(0.1,Skills!E20-IF(Skills!F20=TRUE,Inputs!$B$32,0)))*(1-IF(AND(ArtifactsInput!$M$27,Inputs!$B$4="Chapter Hunt"),CHOOSE(ArtifactsInput!$N$27+1,20,24,28,32,36,40),0)/100)),0)</f>
        <v/>
      </c>
      <c r="R354" t="n">
        <v>0</v>
      </c>
      <c r="S354" t="n">
        <v>0</v>
      </c>
      <c r="U354" t="n">
        <v>0</v>
      </c>
    </row>
    <row r="355">
      <c r="A355">
        <f>Skills!A21</f>
        <v/>
      </c>
      <c r="B355">
        <f>Skills!B21</f>
        <v/>
      </c>
      <c r="C355">
        <f>TRUE</f>
        <v/>
      </c>
      <c r="D355">
        <f>IF(Skills!C21=1,60+Inputs!$B$25+Inputs!$B$29,IF(Skills!C21=2,90+Inputs!$B$26+Inputs!$B$29,IF(Skills!C21=3,120+Inputs!$B$27+Inputs!$B$29,MAX(0,(Inputs!$B$3-100)*3)+Inputs!$B$28+Inputs!$B$29)))</f>
        <v/>
      </c>
      <c r="E355">
        <f>INDEX(FactorTable!$B$2:$Y$301, MATCH(ROUND(MIN(300,MAX(1,D355)),0), FactorTable!$A$2:$A$301,0), Skills!M21+1)</f>
        <v/>
      </c>
      <c r="F355">
        <f>IF(Skills!N21=TRUE,(Skills!L21/10)*(E355/1000),Skills!L21/10)+Skills!O21</f>
        <v/>
      </c>
      <c r="G355">
        <f>Calc!G21</f>
        <v/>
      </c>
      <c r="H355">
        <f>Calc!H21</f>
        <v/>
      </c>
      <c r="I355">
        <f>IF(Skills!X21&lt;&gt;"",1+(Skills!X21/10)*(Z337/1000)/100,1)</f>
        <v/>
      </c>
      <c r="J355" t="inlineStr"/>
      <c r="K355" t="inlineStr"/>
      <c r="L355" t="inlineStr"/>
      <c r="M355" t="inlineStr"/>
      <c r="N355" t="inlineStr"/>
      <c r="O355">
        <f>(1-Summary!$B$11)*S355+Summary!$B$11*U355</f>
        <v/>
      </c>
      <c r="P355">
        <f>IF(B375=0,0,O355/B375)</f>
        <v/>
      </c>
      <c r="Q355">
        <f>IFERROR(1/(IF(Inputs!$B$38="pvp",15,MAX(0.1,Skills!E21-IF(Skills!F21=TRUE,Inputs!$B$32,0)))*(1-IF(AND(ArtifactsInput!$M$27,Inputs!$B$4="Chapter Hunt"),CHOOSE(ArtifactsInput!$N$27+1,20,24,28,32,36,40),0)/100)),0)</f>
        <v/>
      </c>
      <c r="R355" t="n">
        <v>0</v>
      </c>
      <c r="S355" t="n">
        <v>0</v>
      </c>
      <c r="U355" t="n">
        <v>0</v>
      </c>
    </row>
    <row r="356">
      <c r="A356">
        <f>Skills!A22</f>
        <v/>
      </c>
      <c r="B356">
        <f>Skills!B22</f>
        <v/>
      </c>
      <c r="C356">
        <f>TRUE</f>
        <v/>
      </c>
      <c r="D356">
        <f>IF(Skills!C22=1,60+Inputs!$B$25+Inputs!$B$29,IF(Skills!C22=2,90+Inputs!$B$26+Inputs!$B$29,IF(Skills!C22=3,120+Inputs!$B$27+Inputs!$B$29,MAX(0,(Inputs!$B$3-100)*3)+Inputs!$B$28+Inputs!$B$29)))</f>
        <v/>
      </c>
      <c r="E356">
        <f>INDEX(FactorTable!$B$2:$Y$301, MATCH(ROUND(MIN(300,MAX(1,D356)),0), FactorTable!$A$2:$A$301,0), Skills!M22+1)</f>
        <v/>
      </c>
      <c r="F356">
        <f>IF(Skills!N22=TRUE,(Skills!L22/10)*(E356/1000),Skills!L22/10)+Skills!O22</f>
        <v/>
      </c>
      <c r="G356">
        <f>Calc!G22</f>
        <v/>
      </c>
      <c r="H356">
        <f>Calc!H22</f>
        <v/>
      </c>
      <c r="I356">
        <f>IF(Skills!X22&lt;&gt;"",1+(Skills!X22/10)*(Z337/1000)/100,1)</f>
        <v/>
      </c>
      <c r="J356" t="inlineStr"/>
      <c r="K356" t="inlineStr"/>
      <c r="L356" t="inlineStr"/>
      <c r="M356" t="inlineStr"/>
      <c r="N356" t="inlineStr"/>
      <c r="O356">
        <f>(1-Summary!$B$11)*S356+Summary!$B$11*U356</f>
        <v/>
      </c>
      <c r="P356">
        <f>IF(B375=0,0,O356/B375)</f>
        <v/>
      </c>
      <c r="Q356">
        <f>IFERROR(1/(IF(Inputs!$B$38="pvp",15,MAX(0.1,Skills!E22-IF(Skills!F22=TRUE,Inputs!$B$32,0)))*(1-IF(AND(ArtifactsInput!$M$27,Inputs!$B$4="Chapter Hunt"),CHOOSE(ArtifactsInput!$N$27+1,20,24,28,32,36,40),0)/100)),0)</f>
        <v/>
      </c>
      <c r="R356" t="n">
        <v>0</v>
      </c>
      <c r="S356" t="n">
        <v>0</v>
      </c>
      <c r="U356" t="n">
        <v>0</v>
      </c>
    </row>
    <row r="357">
      <c r="A357">
        <f>Skills!A23</f>
        <v/>
      </c>
      <c r="B357">
        <f>Skills!B23</f>
        <v/>
      </c>
      <c r="C357">
        <f>TRUE</f>
        <v/>
      </c>
      <c r="D357">
        <f>IF(Skills!C23=1,60+Inputs!$B$25+Inputs!$B$29,IF(Skills!C23=2,90+Inputs!$B$26+Inputs!$B$29,IF(Skills!C23=3,120+Inputs!$B$27+Inputs!$B$29,MAX(0,(Inputs!$B$3-100)*3)+Inputs!$B$28+Inputs!$B$29)))</f>
        <v/>
      </c>
      <c r="E357">
        <f>INDEX(FactorTable!$B$2:$Y$301, MATCH(ROUND(MIN(300,MAX(1,D357)),0), FactorTable!$A$2:$A$301,0), Skills!M23+1)</f>
        <v/>
      </c>
      <c r="F357">
        <f>IF(Skills!N23=TRUE,(Skills!L23/10)*(E357/1000),Skills!L23/10)+Skills!O23</f>
        <v/>
      </c>
      <c r="G357">
        <f>Calc!G23</f>
        <v/>
      </c>
      <c r="H357">
        <f>Calc!H23</f>
        <v/>
      </c>
      <c r="I357">
        <f>IF(Skills!X23&lt;&gt;"",1+(Skills!X23/10)*(Z337/1000)/100,1)</f>
        <v/>
      </c>
      <c r="J357" t="inlineStr"/>
      <c r="K357" t="inlineStr"/>
      <c r="L357" t="inlineStr"/>
      <c r="M357" t="inlineStr"/>
      <c r="N357" t="inlineStr"/>
      <c r="O357">
        <f>(1-Summary!$B$11)*S357+Summary!$B$11*U357</f>
        <v/>
      </c>
      <c r="P357">
        <f>IF(B375=0,0,O357/B375)</f>
        <v/>
      </c>
      <c r="Q357">
        <f>IFERROR(1/(IF(Inputs!$B$38="pvp",15,MAX(0.1,Skills!E23-IF(Skills!F23=TRUE,Inputs!$B$32,0)))*(1-IF(AND(ArtifactsInput!$M$27,Inputs!$B$4="Chapter Hunt"),CHOOSE(ArtifactsInput!$N$27+1,20,24,28,32,36,40),0)/100)),0)</f>
        <v/>
      </c>
      <c r="R357" t="n">
        <v>0</v>
      </c>
      <c r="S357" t="n">
        <v>0</v>
      </c>
      <c r="U357" t="n">
        <v>0</v>
      </c>
    </row>
    <row r="358">
      <c r="A358">
        <f>Skills!A24</f>
        <v/>
      </c>
      <c r="B358">
        <f>Skills!B24</f>
        <v/>
      </c>
      <c r="C358">
        <f>Inputs!$B$3&gt;=115</f>
        <v/>
      </c>
      <c r="D358">
        <f>IF(Skills!C24=1,60+Inputs!$B$25+Inputs!$B$29,IF(Skills!C24=2,90+Inputs!$B$26+Inputs!$B$29,IF(Skills!C24=3,120+Inputs!$B$27+Inputs!$B$29,MAX(0,(Inputs!$B$3-100)*3)+Inputs!$B$28+Inputs!$B$29)))</f>
        <v/>
      </c>
      <c r="E358">
        <f>INDEX(FactorTable!$B$2:$Y$301, MATCH(ROUND(MIN(300,MAX(1,D358)),0), FactorTable!$A$2:$A$301,0), Skills!M24+1)</f>
        <v/>
      </c>
      <c r="F358">
        <f>IF(Skills!N24=TRUE,(Skills!L24/10)*(E358/1000),Skills!L24/10)+Skills!O24</f>
        <v/>
      </c>
      <c r="G358">
        <f>Calc!G24</f>
        <v/>
      </c>
      <c r="H358">
        <f>Calc!H24</f>
        <v/>
      </c>
      <c r="I358">
        <f>IF(Skills!X24&lt;&gt;"",1+(Skills!X24/10)*(Z337/1000)/100,1)</f>
        <v/>
      </c>
      <c r="J358">
        <f>((Inputs!$B$6*(1+Inputs!$B$7/100))+(((Inputs!$B$12*(1+Inputs!$B$13/100))-(Inputs!$B$12*(1+Inputs!$B$13/100)))+0.25*(Inputs!$B$14-Inputs!$B$14))*(1+Inputs!$B$7/100))*(F358/100)</f>
        <v/>
      </c>
      <c r="K358">
        <f>J358*(1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358)</f>
        <v/>
      </c>
      <c r="L358">
        <f>K358*(MIN(Inputs!$B$22+(F356-Calc!F22),(Inputs!$B$23+(IF(ArtifactsInput!$M$15,CHOOSE(ArtifactsInput!$N$15+1,25,30,35,40,45,50)/100*(Inputs!$B$11-Inputs!$B$11),0))))/100+(Inputs!$B$23+(IF(ArtifactsInput!$M$15,CHOOSE(ArtifactsInput!$N$15+1,25,30,35,40,45,50)/100*(Inputs!$B$11-Inputs!$B$11),0)))/100)/2</f>
        <v/>
      </c>
      <c r="M358">
        <f>L358*(1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8">
        <f>L358*(1-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358*(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8">
        <f>(1-Summary!$B$11)*S358+Summary!$B$11*U358</f>
        <v/>
      </c>
      <c r="P358">
        <f>IF(B375=0,0,O358/B375)</f>
        <v/>
      </c>
      <c r="Q358">
        <f>IFERROR(1/(IF(Inputs!$B$38="pvp",15,MAX(0.1,Skills!E24-IF(Skills!F24=TRUE,Inputs!$B$32,0)))*(1-IF(AND(ArtifactsInput!$M$27,Inputs!$B$4="Chapter Hunt"),CHOOSE(ArtifactsInput!$N$27+1,20,24,28,32,36,40),0)/100)),0)</f>
        <v/>
      </c>
      <c r="R358">
        <f>IF(AND(Inputs!$B$38&lt;&gt;"pvp",Inputs!$B$43&gt;0),IF(MAX(0,Inputs!$B$43-B372)&lt;=0,0,(INT(MAX(0,Inputs!$B$43-B372)/(IF(Inputs!$B$38="pvp",15,MAX(0.1,Skills!E24-IF(Skills!F24=TRUE,Inputs!$B$32,0)))*(1-IF(AND(ArtifactsInput!$M$27,Inputs!$B$4="Chapter Hunt"),CHOOSE(ArtifactsInput!$N$27+1,20,24,28,32,36,40),0)/100)))+1)),0)</f>
        <v/>
      </c>
      <c r="S358">
        <f>IF(C358,(H358*N358*IF(AND(Inputs!$B$38&lt;&gt;"pvp",Inputs!$B$43&gt;0),((Skills!G24*((R358-1)*IF(Skills!H24&gt;0,Skills!I24/Skills!H24,1)+IF(Skills!H24&gt;0,MIN(Skills!I24,MAX(0,MAX(0,Inputs!$B$43-B372)-((R358-1)*(IF(Inputs!$B$38="pvp",15,MAX(0.1,Skills!E24-IF(Skills!F24=TRUE,Inputs!$B$32,0)))*(1-IF(AND(ArtifactsInput!$M$27,Inputs!$B$4="Chapter Hunt"),CHOOSE(ArtifactsInput!$N$27+1,20,24,28,32,36,40),0)/100)))))/Skills!H24,1)))/Inputs!$B$43),G358*Q358)*(1+IF(Inputs!$B$3&gt;=130,0.2*(Skills!I16/Skills!E15+IF(Inputs!$B$3&gt;=126,0.05*(B370+Q347+(H348*B371)/(1+Skills!H14*H348*B371)+Q358)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358*(1-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358*(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358*(1-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358*(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8">
        <f>IF(C358,(H358*N358*IF(AND(Inputs!$B$38&lt;&gt;"pvp",Inputs!$B$43&gt;0),((Skills!G24*((R358-1)*IF(Skills!H24&gt;0,Skills!I24/Skills!H24,1)+IF(Skills!H24&gt;0,MIN(Skills!I24,MAX(0,MAX(0,Inputs!$B$43-B372)-((R358-1)*(IF(Inputs!$B$38="pvp",15,MAX(0.1,Skills!E24-IF(Skills!F24=TRUE,Inputs!$B$32,0)))*(1-IF(AND(ArtifactsInput!$M$27,Inputs!$B$4="Chapter Hunt"),CHOOSE(ArtifactsInput!$N$27+1,20,24,28,32,36,40),0)/100)))))/Skills!H24,1)))/Inputs!$B$43),G358*Q358)*(1+IF(Inputs!$B$3&gt;=130,0.2*(Skills!I16/Skills!E15+IF(Inputs!$B$3&gt;=126,0.05*(B370+Q347+(H348*B371)/(1+Skills!H14*H348*B371)+Q358)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9">
      <c r="A359">
        <f>Skills!A25</f>
        <v/>
      </c>
      <c r="B359">
        <f>Skills!B25</f>
        <v/>
      </c>
      <c r="C359">
        <f>Inputs!$B$3&gt;=117</f>
        <v/>
      </c>
      <c r="D359">
        <f>IF(Skills!C25=1,60+Inputs!$B$25+Inputs!$B$29,IF(Skills!C25=2,90+Inputs!$B$26+Inputs!$B$29,IF(Skills!C25=3,120+Inputs!$B$27+Inputs!$B$29,MAX(0,(Inputs!$B$3-100)*3)+Inputs!$B$28+Inputs!$B$29)))</f>
        <v/>
      </c>
      <c r="E359">
        <f>INDEX(FactorTable!$B$2:$Y$301, MATCH(ROUND(MIN(300,MAX(1,D359)),0), FactorTable!$A$2:$A$301,0), Skills!M25+1)</f>
        <v/>
      </c>
      <c r="F359">
        <f>IF(Skills!N25=TRUE,(Skills!L25/10)*(E359/1000),Skills!L25/10)+Skills!O25</f>
        <v/>
      </c>
      <c r="G359">
        <f>Calc!G25</f>
        <v/>
      </c>
      <c r="H359">
        <f>Calc!H25</f>
        <v/>
      </c>
      <c r="I359">
        <f>IF(Skills!X25&lt;&gt;"",1+(Skills!X25/10)*(Z337/1000)/100,1)</f>
        <v/>
      </c>
      <c r="J359" t="inlineStr"/>
      <c r="K359" t="inlineStr"/>
      <c r="L359" t="inlineStr"/>
      <c r="M359" t="inlineStr"/>
      <c r="N359" t="inlineStr"/>
      <c r="O359">
        <f>(1-Summary!$B$11)*S359+Summary!$B$11*U359</f>
        <v/>
      </c>
      <c r="P359">
        <f>IF(B375=0,0,O359/B375)</f>
        <v/>
      </c>
      <c r="Q359">
        <f>IFERROR(1/(IF(Inputs!$B$38="pvp",15,MAX(0.1,Skills!E25-IF(Skills!F25=TRUE,Inputs!$B$32,0)))*(1-IF(AND(ArtifactsInput!$M$27,Inputs!$B$4="Chapter Hunt"),CHOOSE(ArtifactsInput!$N$27+1,20,24,28,32,36,40),0)/100)),0)</f>
        <v/>
      </c>
      <c r="R359" t="n">
        <v>0</v>
      </c>
      <c r="S359" t="n">
        <v>0</v>
      </c>
      <c r="U359" t="n">
        <v>0</v>
      </c>
    </row>
    <row r="360">
      <c r="A360">
        <f>Skills!A26</f>
        <v/>
      </c>
      <c r="B360">
        <f>Skills!B26</f>
        <v/>
      </c>
      <c r="C360">
        <f>Inputs!$B$3&gt;=120</f>
        <v/>
      </c>
      <c r="D360">
        <f>IF(Skills!C26=1,60+Inputs!$B$25+Inputs!$B$29,IF(Skills!C26=2,90+Inputs!$B$26+Inputs!$B$29,IF(Skills!C26=3,120+Inputs!$B$27+Inputs!$B$29,MAX(0,(Inputs!$B$3-100)*3)+Inputs!$B$28+Inputs!$B$29)))</f>
        <v/>
      </c>
      <c r="E360">
        <f>INDEX(FactorTable!$B$2:$Y$301, MATCH(ROUND(MIN(300,MAX(1,D360)),0), FactorTable!$A$2:$A$301,0), Skills!M26+1)</f>
        <v/>
      </c>
      <c r="F360">
        <f>IF(Skills!N26=TRUE,(Skills!L26/10)*(E360/1000),Skills!L26/10)+Skills!O26</f>
        <v/>
      </c>
      <c r="G360">
        <f>Calc!G26</f>
        <v/>
      </c>
      <c r="H360">
        <f>Calc!H26</f>
        <v/>
      </c>
      <c r="I360">
        <f>IF(Skills!X26&lt;&gt;"",1+(Skills!X26/10)*(Z337/1000)/100,1)</f>
        <v/>
      </c>
      <c r="J360" t="inlineStr"/>
      <c r="K360" t="inlineStr"/>
      <c r="L360" t="inlineStr"/>
      <c r="M360" t="inlineStr"/>
      <c r="N360" t="inlineStr"/>
      <c r="O360">
        <f>(1-Summary!$B$11)*S360+Summary!$B$11*U360</f>
        <v/>
      </c>
      <c r="P360">
        <f>IF(B375=0,0,O360/B375)</f>
        <v/>
      </c>
      <c r="Q360">
        <f>IFERROR(1/(IF(Inputs!$B$38="pvp",15,MAX(0.1,Skills!E26-IF(Skills!F26=TRUE,Inputs!$B$32,0)))*(1-IF(AND(ArtifactsInput!$M$27,Inputs!$B$4="Chapter Hunt"),CHOOSE(ArtifactsInput!$N$27+1,20,24,28,32,36,40),0)/100)),0)</f>
        <v/>
      </c>
      <c r="R360" t="n">
        <v>0</v>
      </c>
      <c r="S360" t="n">
        <v>0</v>
      </c>
      <c r="U360" t="n">
        <v>0</v>
      </c>
    </row>
    <row r="361">
      <c r="A361">
        <f>Skills!A27</f>
        <v/>
      </c>
      <c r="B361">
        <f>Skills!B27</f>
        <v/>
      </c>
      <c r="C361">
        <f>Inputs!$B$3&gt;=125</f>
        <v/>
      </c>
      <c r="D361">
        <f>IF(Skills!C27=1,60+Inputs!$B$25+Inputs!$B$29,IF(Skills!C27=2,90+Inputs!$B$26+Inputs!$B$29,IF(Skills!C27=3,120+Inputs!$B$27+Inputs!$B$29,MAX(0,(Inputs!$B$3-100)*3)+Inputs!$B$28+Inputs!$B$29)))</f>
        <v/>
      </c>
      <c r="E361">
        <f>INDEX(FactorTable!$B$2:$Y$301, MATCH(ROUND(MIN(300,MAX(1,D361)),0), FactorTable!$A$2:$A$301,0), Skills!M27+1)</f>
        <v/>
      </c>
      <c r="F361">
        <f>IF(Skills!N27=TRUE,(Skills!L27/10)*(E361/1000),Skills!L27/10)+Skills!O27</f>
        <v/>
      </c>
      <c r="G361">
        <f>Calc!G27</f>
        <v/>
      </c>
      <c r="H361">
        <f>Calc!H27</f>
        <v/>
      </c>
      <c r="I361">
        <f>IF(Skills!X27&lt;&gt;"",1+(Skills!X27/10)*(Z337/1000)/100,1)</f>
        <v/>
      </c>
      <c r="J361" t="inlineStr"/>
      <c r="K361" t="inlineStr"/>
      <c r="L361" t="inlineStr"/>
      <c r="M361" t="inlineStr"/>
      <c r="N361" t="inlineStr"/>
      <c r="O361">
        <f>(1-Summary!$B$11)*S361+Summary!$B$11*U361</f>
        <v/>
      </c>
      <c r="P361">
        <f>IF(B375=0,0,O361/B375)</f>
        <v/>
      </c>
      <c r="Q361">
        <f>IFERROR(1/(IF(Inputs!$B$38="pvp",15,MAX(0.1,Skills!E27-IF(Skills!F27=TRUE,Inputs!$B$32,0)))*(1-IF(AND(ArtifactsInput!$M$27,Inputs!$B$4="Chapter Hunt"),CHOOSE(ArtifactsInput!$N$27+1,20,24,28,32,36,40),0)/100)),0)</f>
        <v/>
      </c>
      <c r="R361" t="n">
        <v>0</v>
      </c>
      <c r="S361" t="n">
        <v>0</v>
      </c>
      <c r="U361" t="n">
        <v>0</v>
      </c>
    </row>
    <row r="362">
      <c r="A362">
        <f>Skills!A28</f>
        <v/>
      </c>
      <c r="B362">
        <f>Skills!B28</f>
        <v/>
      </c>
      <c r="C362">
        <f>Inputs!$B$3&gt;=118</f>
        <v/>
      </c>
      <c r="D362">
        <f>IF(Skills!C28=1,60+Inputs!$B$25+Inputs!$B$29,IF(Skills!C28=2,90+Inputs!$B$26+Inputs!$B$29,IF(Skills!C28=3,120+Inputs!$B$27+Inputs!$B$29,MAX(0,(Inputs!$B$3-100)*3)+Inputs!$B$28+Inputs!$B$29)))</f>
        <v/>
      </c>
      <c r="E362">
        <f>INDEX(FactorTable!$B$2:$Y$301, MATCH(ROUND(MIN(300,MAX(1,D362)),0), FactorTable!$A$2:$A$301,0), Skills!M28+1)</f>
        <v/>
      </c>
      <c r="F362">
        <f>IF(Skills!N28=TRUE,(Skills!L28/10)*(E362/1000),Skills!L28/10)+Skills!O28</f>
        <v/>
      </c>
      <c r="G362">
        <f>Calc!G28</f>
        <v/>
      </c>
      <c r="H362">
        <f>Calc!H28</f>
        <v/>
      </c>
      <c r="I362">
        <f>IF(Skills!X28&lt;&gt;"",1+(Skills!X28/10)*(Z337/1000)/100,1)</f>
        <v/>
      </c>
      <c r="J362">
        <f>((Inputs!$B$6*(1+Inputs!$B$7/100))+(((Inputs!$B$12*(1+Inputs!$B$13/100))-(Inputs!$B$12*(1+Inputs!$B$13/100)))+0.25*(Inputs!$B$14-Inputs!$B$14))*(1+Inputs!$B$7/100))*(F362/100)</f>
        <v/>
      </c>
      <c r="K362">
        <f>J362*(1+((Inputs!$B$12*(1+Inputs!$B$13/100))*0.01+Inputs!$B$14*0.0025)/100)*(1+Inputs!$B$15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357/100)*(1+IF(Inputs!$B$3&gt;=120,F360,0)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361*5,0)))/100)*(B364*B365*B366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362)</f>
        <v/>
      </c>
      <c r="L362">
        <f>K362*(MIN(Inputs!$B$22+(F356-Calc!F22),(Inputs!$B$23+(IF(ArtifactsInput!$M$15,CHOOSE(ArtifactsInput!$N$15+1,25,30,35,40,45,50)/100*(Inputs!$B$11-Inputs!$B$11),0))))/100+(Inputs!$B$23+(IF(ArtifactsInput!$M$15,CHOOSE(ArtifactsInput!$N$15+1,25,30,35,40,45,50)/100*(Inputs!$B$11-Inputs!$B$11),0)))/100)/2</f>
        <v/>
      </c>
      <c r="M362">
        <f>L362*(1+(Inputs!$B$10+(F355-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2">
        <f>L362*(1-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362*(MIN((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2">
        <f>(1-Summary!$B$11)*S362+Summary!$B$11*U362</f>
        <v/>
      </c>
      <c r="P362">
        <f>IF(B375=0,0,O362/B375)</f>
        <v/>
      </c>
      <c r="Q362">
        <f>IFERROR(1/(IF(Inputs!$B$38="pvp",15,MAX(0.1,Skills!E28-IF(Skills!F28=TRUE,Inputs!$B$32,0)))*(1-IF(AND(ArtifactsInput!$M$27,Inputs!$B$4="Chapter Hunt"),CHOOSE(ArtifactsInput!$N$27+1,20,24,28,32,36,40),0)/100)),0)</f>
        <v/>
      </c>
      <c r="R362">
        <f>IF(AND(Inputs!$B$38&lt;&gt;"pvp",Inputs!$B$43&gt;0),IF(MAX(0,Inputs!$B$43-B372)&lt;=0,0,(INT(MAX(0,Inputs!$B$43-B372)/(IF(Inputs!$B$38="pvp",15,MAX(0.1,Skills!E28-IF(Skills!F28=TRUE,Inputs!$B$32,0)))*(1-IF(AND(ArtifactsInput!$M$27,Inputs!$B$4="Chapter Hunt"),CHOOSE(ArtifactsInput!$N$27+1,20,24,28,32,36,40),0)/100)))+1)),0)</f>
        <v/>
      </c>
      <c r="S362">
        <f>IF(C362,(H362*N362*IF(AND(Inputs!$B$38&lt;&gt;"pvp",Inputs!$B$43&gt;0),((Skills!G28*((R362-1)*IF(Skills!H28&gt;0,Skills!I28/Skills!H28,1)+IF(Skills!H28&gt;0,MIN(Skills!I28,MAX(0,MAX(0,Inputs!$B$43-B372)-((R362-1)*(IF(Inputs!$B$38="pvp",15,MAX(0.1,Skills!E28-IF(Skills!F28=TRUE,Inputs!$B$32,0)))*(1-IF(AND(ArtifactsInput!$M$27,Inputs!$B$4="Chapter Hunt"),CHOOSE(ArtifactsInput!$N$27+1,20,24,28,32,36,40),0)/100)))))/Skills!H28,1)))/Inputs!$B$43),G362*Q362)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362*(1-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362*(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362*(1-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362*(MIN(100,(Inputs!$B$9+(F354-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2">
        <f>IF(C362,(H362*N362*IF(AND(Inputs!$B$38&lt;&gt;"pvp",Inputs!$B$43&gt;0),((Skills!G28*((R362-1)*IF(Skills!H28&gt;0,Skills!I28/Skills!H28,1)+IF(Skills!H28&gt;0,MIN(Skills!I28,MAX(0,MAX(0,Inputs!$B$43-B372)-((R362-1)*(IF(Inputs!$B$38="pvp",15,MAX(0.1,Skills!E28-IF(Skills!F28=TRUE,Inputs!$B$32,0)))*(1-IF(AND(ArtifactsInput!$M$27,Inputs!$B$4="Chapter Hunt"),CHOOSE(ArtifactsInput!$N$27+1,20,24,28,32,36,40),0)/100)))))/Skills!H28,1)))/Inputs!$B$43),G362*Q362)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4">
      <c r="A364" t="inlineStr">
        <is>
          <t>Burning Magic Multiplier</t>
        </is>
      </c>
      <c r="B364">
        <f>1+(F345*Skills!Z11)/100</f>
        <v/>
      </c>
    </row>
    <row r="365">
      <c r="A365" t="inlineStr">
        <is>
          <t>Elemental Decrease Multiplier (always-on)</t>
        </is>
      </c>
      <c r="B365">
        <f>1+(F346+(IF(AND(ArtifactsInput!$M$35,Inputs!$B$4&lt;&gt;"Chapter Hunt"),CHOOSE(ArtifactsInput!$N$35+1,15,18,21,24,27,30)*(1-EXP(-(0.2*B368)*5)),0)+IF(AND(ArtifactsInput!$M$22,Inputs!$B$4&lt;&gt;"Chapter Hunt"),CHOOSE(ArtifactsInput!$N$22+1,10,12,14,16,18,20)*((0*(((0.15*B368*5))^0/1)+1*(((0.15*B368*5))^1/1)+2*(((0.15*B368*5))^2/2)+3*(((0.15*B368*5))^3/6)+4*(((0.15*B368*5))^4/24)+5*(((0.15*B368*5))^5/120))/((((0.15*B368*5))^0/1)+(((0.15*B368*5))^1/1)+(((0.15*B368*5))^2/2)+(((0.15*B368*5))^3/6)+(((0.15*B368*5))^4/24)+(((0.15*B368*5))^5/120))),0)))/100</f>
        <v/>
      </c>
    </row>
    <row r="366">
      <c r="A366" t="inlineStr">
        <is>
          <t>Average Buff Multiplier (Magic Guard + Meditation + Artifact Attack%, summed; then Infinity)</t>
        </is>
      </c>
      <c r="B366">
        <f>(1+(F340*IF(AND(Inputs!$B$38&lt;&gt;"pvp",Inputs!$B$43&gt;0),(((R340-1)*(Skills!T6*(1+((Inputs!$B$34+(ArtifactsInput!$M$7-ArtifactsInput!$M$7)*CHOOSE(ArtifactsInput!$N$7+1,6,7.2,8.4,9.6,10.8,12)))/100))+MIN((Skills!T6*(1+((Inputs!$B$34+(ArtifactsInput!$M$7-ArtifactsInput!$M$7)*CHOOSE(ArtifactsInput!$N$7+1,6,7.2,8.4,9.6,10.8,12)))/100)),MAX(0,Inputs!$B$43-((R340-1)*Skills!E6))))/Inputs!$B$43),IF(Inputs!$B$38="pvp",MIN((Skills!T6*(1+((Inputs!$B$34+(ArtifactsInput!$M$7-ArtifactsInput!$M$7)*CHOOSE(ArtifactsInput!$N$7+1,6,7.2,8.4,9.6,10.8,12)))/100)),15)/15,(Skills!T6*(1+((Inputs!$B$34+(ArtifactsInput!$M$7-ArtifactsInput!$M$7)*CHOOSE(ArtifactsInput!$N$7+1,6,7.2,8.4,9.6,10.8,12)))/100))/Skills!E6))+F351*IF(AND(Inputs!$B$38&lt;&gt;"pvp",Inputs!$B$43&gt;0),(((R351-1)*(Skills!T17*(1+((Inputs!$B$34+(ArtifactsInput!$M$7-ArtifactsInput!$M$7)*CHOOSE(ArtifactsInput!$N$7+1,6,7.2,8.4,9.6,10.8,12)))/100))+MIN((Skills!T17*(1+((Inputs!$B$34+(ArtifactsInput!$M$7-ArtifactsInput!$M$7)*CHOOSE(ArtifactsInput!$N$7+1,6,7.2,8.4,9.6,10.8,12)))/100)),MAX(0,Inputs!$B$43-((R351-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353=TRUE,(1+F353*IF(AND(Inputs!$B$38&lt;&gt;"pvp",Inputs!$B$43&gt;0),(((R353-1)*(Skills!T19*(1+((Inputs!$B$34+(ArtifactsInput!$M$7-ArtifactsInput!$M$7)*CHOOSE(ArtifactsInput!$N$7+1,6,7.2,8.4,9.6,10.8,12)))/100))+MIN((Skills!T19*(1+((Inputs!$B$34+(ArtifactsInput!$M$7-ArtifactsInput!$M$7)*CHOOSE(ArtifactsInput!$N$7+1,6,7.2,8.4,9.6,10.8,12)))/100)),MAX(0,Inputs!$B$43-((R353-1)*Skills!E19))))/Inputs!$B$43),IF(Inputs!$B$38="pvp",MIN((Skills!T19*(1+((Inputs!$B$34+(ArtifactsInput!$M$7-ArtifactsInput!$M$7)*CHOOSE(ArtifactsInput!$N$7+1,6,7.2,8.4,9.6,10.8,12)))/100)),15)/15,(Skills!T19*(1+((Inputs!$B$34+(ArtifactsInput!$M$7-ArtifactsInput!$M$7)*CHOOSE(ArtifactsInput!$N$7+1,6,7.2,8.4,9.6,10.8,12)))/100))/Skills!E19))/100),1)</f>
        <v/>
      </c>
    </row>
    <row r="367">
      <c r="A367" t="inlineStr">
        <is>
          <t>Attack Speed Buff Bonus % (Nimble Feet, averaged)</t>
        </is>
      </c>
      <c r="B367">
        <f>F352*IF(AND(Inputs!$B$38&lt;&gt;"pvp",Inputs!$B$43&gt;0),(((R352-1)*(Skills!T18*(1+((Inputs!$B$34+(ArtifactsInput!$M$7-ArtifactsInput!$M$7)*CHOOSE(ArtifactsInput!$N$7+1,6,7.2,8.4,9.6,10.8,12)))/100))+MIN((Skills!T18*(1+((Inputs!$B$34+(ArtifactsInput!$M$7-ArtifactsInput!$M$7)*CHOOSE(ArtifactsInput!$N$7+1,6,7.2,8.4,9.6,10.8,12)))/100)),MAX(0,Inputs!$B$43-((R352-1)*Skills!E18))))/Inputs!$B$43),IF(Inputs!$B$38="pvp",MIN((Skills!T18*(1+((Inputs!$B$34+(ArtifactsInput!$M$7-ArtifactsInput!$M$7)*CHOOSE(ArtifactsInput!$N$7+1,6,7.2,8.4,9.6,10.8,12)))/100)),15)/15,(Skills!T18*(1+((Inputs!$B$34+(ArtifactsInput!$M$7-ArtifactsInput!$M$7)*CHOOSE(ArtifactsInput!$N$7+1,6,7.2,8.4,9.6,10.8,12)))/100))/Skills!E18))</f>
        <v/>
      </c>
    </row>
    <row r="368">
      <c r="A368" t="inlineStr">
        <is>
          <t>Actions Per Second</t>
        </is>
      </c>
      <c r="B368">
        <f>1+MIN(150,150*(1-(1-(Inputs!$B$11+(ArtifactsInput!$M$15-ArtifactsInput!$M$15)*CHOOSE(ArtifactsInput!$N$15+1,8,9.6,11.2,12.8,14.4,16))/150)*(1-B367/150)))/100</f>
        <v/>
      </c>
    </row>
    <row r="369">
      <c r="A369" t="inlineStr">
        <is>
          <t>Skill + Buff Cast Rate</t>
        </is>
      </c>
      <c r="B369">
        <f>IF(AND(Inputs!$B$38&lt;&gt;"pvp",Inputs!$B$43&gt;0),SUMPRODUCT((Skills!F2:F28=TRUE)*(C336:C362=TRUE)*R336:R362)/Inputs!$B$43,SUMPRODUCT((Skills!F2:F28=TRUE)*(C336:C362=TRUE)*Q336:Q362))</f>
        <v/>
      </c>
    </row>
    <row r="370">
      <c r="A370" t="inlineStr">
        <is>
          <t>Basic Attacks Per Second</t>
        </is>
      </c>
      <c r="B370">
        <f>MAX(0,B368-B369)</f>
        <v/>
      </c>
    </row>
    <row r="371">
      <c r="A371" t="inlineStr">
        <is>
          <t>Meteor Proc — combined trigger cast rate</t>
        </is>
      </c>
      <c r="B371">
        <f>IF(AND(Inputs!$B$38&lt;&gt;"pvp",Inputs!$B$43&gt;0),SUMPRODUCT((Skills!V2:V28=TRUE)*(C336:C362=TRUE)*R336:R362*Skills!W2:W28)/Inputs!$B$43,SUMPRODUCT((Skills!V2:V28=TRUE)*(C336:C362=TRUE)*Q336:Q362*Skills!W2:W28))+B370</f>
        <v/>
      </c>
    </row>
    <row r="372">
      <c r="A372" t="inlineStr">
        <is>
          <t>Buff-Casting Startup Delay (s, fixed-duration only)</t>
        </is>
      </c>
      <c r="B372">
        <f>IF(AND(Inputs!$B$38&lt;&gt;"pvp",Inputs!$B$43&gt;0),SUMPRODUCT((Skills!T2:T28&gt;0)*(Skills!F2:F28=TRUE)*(C336:C362=TRUE))/B368,0)</f>
        <v/>
      </c>
    </row>
    <row r="373">
      <c r="A373" t="inlineStr">
        <is>
          <t>Boss-Only Total DPS (this block's swept value)</t>
        </is>
      </c>
      <c r="B373">
        <f>SUM(S336:S362)</f>
        <v/>
      </c>
    </row>
    <row r="374">
      <c r="A374" t="inlineStr">
        <is>
          <t>Normal-Only Total DPS (this block's swept value)</t>
        </is>
      </c>
      <c r="B374">
        <f>SUM(U336:U362)</f>
        <v/>
      </c>
    </row>
    <row r="375">
      <c r="A375" s="6" t="inlineStr">
        <is>
          <t>TOTAL DPS</t>
        </is>
      </c>
      <c r="B375" s="6">
        <f>SUM(O336:O362)</f>
        <v/>
      </c>
    </row>
    <row r="378">
      <c r="A378" s="6" t="inlineStr">
        <is>
          <t>Stat: MIN_DAMAGE %</t>
        </is>
      </c>
    </row>
    <row r="379">
      <c r="A379" s="5" t="inlineStr">
        <is>
          <t>Key</t>
        </is>
      </c>
      <c r="B379" s="5" t="inlineStr">
        <is>
          <t>Name</t>
        </is>
      </c>
      <c r="C379" s="5" t="inlineStr">
        <is>
          <t>Unlocked</t>
        </is>
      </c>
      <c r="D379" s="5" t="inlineStr">
        <is>
          <t>InputLevel</t>
        </is>
      </c>
      <c r="E379" s="5" t="inlineStr">
        <is>
          <t>Factor</t>
        </is>
      </c>
      <c r="F379" s="5" t="inlineStr">
        <is>
          <t>CoefficientPercent</t>
        </is>
      </c>
      <c r="G379" s="5" t="inlineStr">
        <is>
          <t>EffectiveHits</t>
        </is>
      </c>
      <c r="H379" s="5" t="inlineStr">
        <is>
          <t>ProcProbability</t>
        </is>
      </c>
      <c r="I379" s="5" t="inlineStr">
        <is>
          <t>MapleHeroMultiplier</t>
        </is>
      </c>
      <c r="J379" s="5" t="inlineStr">
        <is>
          <t>BaseDamage</t>
        </is>
      </c>
      <c r="K379" s="5" t="inlineStr">
        <is>
          <t>BaseHitDamage</t>
        </is>
      </c>
      <c r="L379" s="5" t="inlineStr">
        <is>
          <t>NonCritAvg</t>
        </is>
      </c>
      <c r="M379" s="5" t="inlineStr">
        <is>
          <t>CritAvg</t>
        </is>
      </c>
      <c r="N379" s="5" t="inlineStr">
        <is>
          <t>ExpectedDamage(perHit)</t>
        </is>
      </c>
      <c r="O379" s="5" t="inlineStr">
        <is>
          <t>DPS</t>
        </is>
      </c>
      <c r="P379" s="5" t="inlineStr">
        <is>
          <t>% of Total</t>
        </is>
      </c>
      <c r="R379" t="inlineStr">
        <is>
          <t>helpers</t>
        </is>
      </c>
    </row>
    <row r="380">
      <c r="A380">
        <f>Skills!A2</f>
        <v/>
      </c>
      <c r="B380">
        <f>Skills!B2</f>
        <v/>
      </c>
      <c r="C380">
        <f>TRUE</f>
        <v/>
      </c>
      <c r="D380" t="inlineStr"/>
      <c r="E380" t="inlineStr"/>
      <c r="F380">
        <f>T382+Skills!O2</f>
        <v/>
      </c>
      <c r="G380">
        <f>Calc!G2</f>
        <v/>
      </c>
      <c r="H380">
        <f>Calc!H2</f>
        <v/>
      </c>
      <c r="I380">
        <f>IF(Skills!X2&lt;&gt;"",1+(Skills!X2/10)*(Z381/1000)/100,1)</f>
        <v/>
      </c>
      <c r="J380">
        <f>((Inputs!$B$6*(1+Inputs!$B$7/100))+(((Inputs!$B$12*(1+Inputs!$B$13/100))-(Inputs!$B$12*(1+Inputs!$B$13/100)))+0.25*(Inputs!$B$14-Inputs!$B$14))*(1+Inputs!$B$7/100))*(F380/100)</f>
        <v/>
      </c>
      <c r="K380">
        <f>J380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380)</f>
        <v/>
      </c>
      <c r="L380">
        <f>K380*(MIN((Inputs!$B$22+1)+(F400-Calc!F22),(Inputs!$B$23+(IF(ArtifactsInput!$M$15,CHOOSE(ArtifactsInput!$N$15+1,25,30,35,40,45,50)/100*(Inputs!$B$11-Inputs!$B$11),0))))/100+(Inputs!$B$23+(IF(ArtifactsInput!$M$15,CHOOSE(ArtifactsInput!$N$15+1,25,30,35,40,45,50)/100*(Inputs!$B$11-Inputs!$B$11),0)))/100)/2</f>
        <v/>
      </c>
      <c r="M380">
        <f>L380*(1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0">
        <f>L380*(1-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380*(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0">
        <f>(1-Summary!$B$11)*S380+Summary!$B$11*U380</f>
        <v/>
      </c>
      <c r="P380">
        <f>IF(B419=0,0,O380/B419)</f>
        <v/>
      </c>
      <c r="Q380">
        <f>IFERROR(1/(IF(Inputs!$B$38="pvp",15,MAX(0.1,Skills!E2-IF(Skills!F2=TRUE,Inputs!$B$32,0)))*(1-IF(AND(ArtifactsInput!$M$27,Inputs!$B$4="Chapter Hunt"),CHOOSE(ArtifactsInput!$N$27+1,20,24,28,32,36,40),0)/100)),0)</f>
        <v/>
      </c>
      <c r="R380" t="n">
        <v>0</v>
      </c>
      <c r="S380">
        <f>(Skills!G2*N380*B414)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380*(1-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380*(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380*(1-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380*(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380">
        <f>MAX(0,(Inputs!$B$3-100)*3)+Inputs!$B$28+Inputs!$B$29</f>
        <v/>
      </c>
      <c r="U380">
        <f>(Skills!G2*N380*B414)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380">
        <f>MAX(0,(Inputs!$B$3-100)*3)+Inputs!$B$28+Inputs!$B$29</f>
        <v/>
      </c>
    </row>
    <row r="381">
      <c r="A381">
        <f>Skills!A3</f>
        <v/>
      </c>
      <c r="B381">
        <f>Skills!B3</f>
        <v/>
      </c>
      <c r="C381">
        <f>TRUE</f>
        <v/>
      </c>
      <c r="D381">
        <f>IF(Skills!C3=1,60+Inputs!$B$25+Inputs!$B$29,IF(Skills!C3=2,90+Inputs!$B$26+Inputs!$B$29,IF(Skills!C3=3,120+Inputs!$B$27+Inputs!$B$29,MAX(0,(Inputs!$B$3-100)*3)+Inputs!$B$28+Inputs!$B$29)))</f>
        <v/>
      </c>
      <c r="E381">
        <f>INDEX(FactorTable!$B$2:$Y$301, MATCH(ROUND(MIN(300,MAX(1,D381)),0), FactorTable!$A$2:$A$301,0), Skills!M3+1)</f>
        <v/>
      </c>
      <c r="F381">
        <f>IF(Skills!N3=TRUE,(Skills!L3/10)*(E381/1000),Skills!L3/10)+Skills!O3</f>
        <v/>
      </c>
      <c r="G381">
        <f>Calc!G3</f>
        <v/>
      </c>
      <c r="H381">
        <f>Calc!H3</f>
        <v/>
      </c>
      <c r="I381">
        <f>IF(Skills!X3&lt;&gt;"",1+(Skills!X3/10)*(Z381/1000)/100,1)</f>
        <v/>
      </c>
      <c r="J381">
        <f>((Inputs!$B$6*(1+Inputs!$B$7/100))+(((Inputs!$B$12*(1+Inputs!$B$13/100))-(Inputs!$B$12*(1+Inputs!$B$13/100)))+0.25*(Inputs!$B$14-Inputs!$B$14))*(1+Inputs!$B$7/100))*(F381/100)</f>
        <v/>
      </c>
      <c r="K381">
        <f>J381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381)</f>
        <v/>
      </c>
      <c r="L381">
        <f>K381*(MIN((Inputs!$B$22+1)+(F400-Calc!F22),(Inputs!$B$23+(IF(ArtifactsInput!$M$15,CHOOSE(ArtifactsInput!$N$15+1,25,30,35,40,45,50)/100*(Inputs!$B$11-Inputs!$B$11),0))))/100+(Inputs!$B$23+(IF(ArtifactsInput!$M$15,CHOOSE(ArtifactsInput!$N$15+1,25,30,35,40,45,50)/100*(Inputs!$B$11-Inputs!$B$11),0)))/100)/2</f>
        <v/>
      </c>
      <c r="M381">
        <f>L381*(1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1">
        <f>L381*(1-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1">
        <f>(1-Summary!$B$11)*S381+Summary!$B$11*U381</f>
        <v/>
      </c>
      <c r="P381">
        <f>IF(B419=0,0,O381/B419)</f>
        <v/>
      </c>
      <c r="Q381">
        <f>IFERROR(1/(IF(Inputs!$B$38="pvp",15,MAX(0.1,Skills!E3-IF(Skills!F3=TRUE,Inputs!$B$32,0)))*(1-IF(AND(ArtifactsInput!$M$27,Inputs!$B$4="Chapter Hunt"),CHOOSE(ArtifactsInput!$N$27+1,20,24,28,32,36,40),0)/100)),0)</f>
        <v/>
      </c>
      <c r="R381">
        <f>IF(AND(Inputs!$B$38&lt;&gt;"pvp",Inputs!$B$43&gt;0),IF(MAX(0,Inputs!$B$43-B416)&lt;=0,0,(INT(MAX(0,Inputs!$B$43-B416)/(IF(Inputs!$B$38="pvp",15,MAX(0.1,Skills!E3-IF(Skills!F3=TRUE,Inputs!$B$32,0)))*(1-IF(AND(ArtifactsInput!$M$27,Inputs!$B$4="Chapter Hunt"),CHOOSE(ArtifactsInput!$N$27+1,20,24,28,32,36,40),0)/100)))+1)),0)</f>
        <v/>
      </c>
      <c r="S381">
        <f>IF(C381,(H381*N381*IF(AND(Inputs!$B$38&lt;&gt;"pvp",Inputs!$B$43&gt;0),((Skills!G3*((R381-1)*IF(Skills!H3&gt;0,Skills!I3/Skills!H3,1)+IF(Skills!H3&gt;0,MIN(Skills!I3,MAX(0,MAX(0,Inputs!$B$43-B416)-((R381-1)*(IF(Inputs!$B$38="pvp",15,MAX(0.1,Skills!E3-IF(Skills!F3=TRUE,Inputs!$B$32,0)))*(1-IF(AND(ArtifactsInput!$M$27,Inputs!$B$4="Chapter Hunt"),CHOOSE(ArtifactsInput!$N$27+1,20,24,28,32,36,40),0)/100)))))/Skills!H3,1)))/Inputs!$B$43),G381*Q381)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381*(1-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381*(1-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81">
        <f>INDEX(FactorTable!$B$2:$Y$301, MATCH(ROUND(MIN(300,MAX(1,T380)),0), FactorTable!$A$2:$A$301,0), 22)</f>
        <v/>
      </c>
      <c r="U381">
        <f>IF(C381,(H381*N381*IF(AND(Inputs!$B$38&lt;&gt;"pvp",Inputs!$B$43&gt;0),((Skills!G3*((R381-1)*IF(Skills!H3&gt;0,Skills!I3/Skills!H3,1)+IF(Skills!H3&gt;0,MIN(Skills!I3,MAX(0,MAX(0,Inputs!$B$43-B416)-((R381-1)*(IF(Inputs!$B$38="pvp",15,MAX(0.1,Skills!E3-IF(Skills!F3=TRUE,Inputs!$B$32,0)))*(1-IF(AND(ArtifactsInput!$M$27,Inputs!$B$4="Chapter Hunt"),CHOOSE(ArtifactsInput!$N$27+1,20,24,28,32,36,40),0)/100)))))/Skills!H3,1)))/Inputs!$B$43),G381*Q381)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81">
        <f>INDEX(FactorTable!$B$2:$Y$301, MATCH(ROUND(MIN(300,MAX(1,Z380)),0), FactorTable!$A$2:$A$301,0), 24)</f>
        <v/>
      </c>
    </row>
    <row r="382">
      <c r="A382">
        <f>Skills!A4</f>
        <v/>
      </c>
      <c r="B382">
        <f>Skills!B4</f>
        <v/>
      </c>
      <c r="C382">
        <f>TRUE</f>
        <v/>
      </c>
      <c r="D382">
        <f>IF(Skills!C4=1,60+Inputs!$B$25+Inputs!$B$29,IF(Skills!C4=2,90+Inputs!$B$26+Inputs!$B$29,IF(Skills!C4=3,120+Inputs!$B$27+Inputs!$B$29,MAX(0,(Inputs!$B$3-100)*3)+Inputs!$B$28+Inputs!$B$29)))</f>
        <v/>
      </c>
      <c r="E382">
        <f>INDEX(FactorTable!$B$2:$Y$301, MATCH(ROUND(MIN(300,MAX(1,D382)),0), FactorTable!$A$2:$A$301,0), Skills!M4+1)</f>
        <v/>
      </c>
      <c r="F382">
        <f>IF(Skills!N4=TRUE,(Skills!L4/10)*(E382/1000),Skills!L4/10)+Skills!O4</f>
        <v/>
      </c>
      <c r="G382">
        <f>Calc!G4</f>
        <v/>
      </c>
      <c r="H382">
        <f>Calc!H4</f>
        <v/>
      </c>
      <c r="I382">
        <f>IF(Skills!X4&lt;&gt;"",1+(Skills!X4/10)*(Z381/1000)/100,1)</f>
        <v/>
      </c>
      <c r="J382">
        <f>((Inputs!$B$6*(1+Inputs!$B$7/100))+(((Inputs!$B$12*(1+Inputs!$B$13/100))-(Inputs!$B$12*(1+Inputs!$B$13/100)))+0.25*(Inputs!$B$14-Inputs!$B$14))*(1+Inputs!$B$7/100))*(F382/100)</f>
        <v/>
      </c>
      <c r="K382">
        <f>J382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382)</f>
        <v/>
      </c>
      <c r="L382">
        <f>K382*(MIN((Inputs!$B$22+1)+(F400-Calc!F22),(Inputs!$B$23+(IF(ArtifactsInput!$M$15,CHOOSE(ArtifactsInput!$N$15+1,25,30,35,40,45,50)/100*(Inputs!$B$11-Inputs!$B$11),0))))/100+(Inputs!$B$23+(IF(ArtifactsInput!$M$15,CHOOSE(ArtifactsInput!$N$15+1,25,30,35,40,45,50)/100*(Inputs!$B$11-Inputs!$B$11),0)))/100)/2</f>
        <v/>
      </c>
      <c r="M382">
        <f>L382*(1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2">
        <f>L382*(1-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382*(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2">
        <f>(1-Summary!$B$11)*S382+Summary!$B$11*U382</f>
        <v/>
      </c>
      <c r="P382">
        <f>IF(B419=0,0,O382/B419)</f>
        <v/>
      </c>
      <c r="Q382">
        <f>IFERROR(1/(IF(Inputs!$B$38="pvp",15,MAX(0.1,Skills!E4-IF(Skills!F4=TRUE,Inputs!$B$32,0)))*(1-IF(AND(ArtifactsInput!$M$27,Inputs!$B$4="Chapter Hunt"),CHOOSE(ArtifactsInput!$N$27+1,20,24,28,32,36,40),0)/100)),0)</f>
        <v/>
      </c>
      <c r="R382">
        <f>IF(AND(Inputs!$B$38&lt;&gt;"pvp",Inputs!$B$43&gt;0),IF(MAX(0,Inputs!$B$43-B416)&lt;=0,0,(INT(MAX(0,Inputs!$B$43-B416)/(IF(Inputs!$B$38="pvp",15,MAX(0.1,Skills!E4-IF(Skills!F4=TRUE,Inputs!$B$32,0)))*(1-IF(AND(ArtifactsInput!$M$27,Inputs!$B$4="Chapter Hunt"),CHOOSE(ArtifactsInput!$N$27+1,20,24,28,32,36,40),0)/100)))+1)),0)</f>
        <v/>
      </c>
      <c r="S382">
        <f>IF(C382,(H382*N382*IF(AND(Inputs!$B$38&lt;&gt;"pvp",Inputs!$B$43&gt;0),((Skills!G4*((R382-1)*IF(Skills!H4&gt;0,Skills!I4/Skills!H4,1)+IF(Skills!H4&gt;0,MIN(Skills!I4,MAX(0,MAX(0,Inputs!$B$43-B416)-((R382-1)*(IF(Inputs!$B$38="pvp",15,MAX(0.1,Skills!E4-IF(Skills!F4=TRUE,Inputs!$B$32,0)))*(1-IF(AND(ArtifactsInput!$M$27,Inputs!$B$4="Chapter Hunt"),CHOOSE(ArtifactsInput!$N$27+1,20,24,28,32,36,40),0)/100)))))/Skills!H4,1)))/Inputs!$B$43),G382*Q382)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382*(1-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382*(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382*(1-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382*(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82">
        <f>290*T381/1000</f>
        <v/>
      </c>
      <c r="U382">
        <f>IF(C382,(H382*N382*IF(AND(Inputs!$B$38&lt;&gt;"pvp",Inputs!$B$43&gt;0),((Skills!G4*((R382-1)*IF(Skills!H4&gt;0,Skills!I4/Skills!H4,1)+IF(Skills!H4&gt;0,MIN(Skills!I4,MAX(0,MAX(0,Inputs!$B$43-B416)-((R382-1)*(IF(Inputs!$B$38="pvp",15,MAX(0.1,Skills!E4-IF(Skills!F4=TRUE,Inputs!$B$32,0)))*(1-IF(AND(ArtifactsInput!$M$27,Inputs!$B$4="Chapter Hunt"),CHOOSE(ArtifactsInput!$N$27+1,20,24,28,32,36,40),0)/100)))))/Skills!H4,1)))/Inputs!$B$43),G382*Q382)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3">
      <c r="A383">
        <f>Skills!A5</f>
        <v/>
      </c>
      <c r="B383">
        <f>Skills!B5</f>
        <v/>
      </c>
      <c r="C383">
        <f>TRUE</f>
        <v/>
      </c>
      <c r="D383">
        <f>IF(Skills!C5=1,60+Inputs!$B$25+Inputs!$B$29,IF(Skills!C5=2,90+Inputs!$B$26+Inputs!$B$29,IF(Skills!C5=3,120+Inputs!$B$27+Inputs!$B$29,MAX(0,(Inputs!$B$3-100)*3)+Inputs!$B$28+Inputs!$B$29)))</f>
        <v/>
      </c>
      <c r="E383">
        <f>INDEX(FactorTable!$B$2:$Y$301, MATCH(ROUND(MIN(300,MAX(1,D383)),0), FactorTable!$A$2:$A$301,0), Skills!M5+1)</f>
        <v/>
      </c>
      <c r="F383">
        <f>IF(Skills!N5=TRUE,(Skills!L5/10)*(E383/1000),Skills!L5/10)+Skills!O5</f>
        <v/>
      </c>
      <c r="G383">
        <f>Calc!G5</f>
        <v/>
      </c>
      <c r="H383">
        <f>Calc!H5</f>
        <v/>
      </c>
      <c r="I383">
        <f>IF(Skills!X5&lt;&gt;"",1+(Skills!X5/10)*(Z381/1000)/100,1)</f>
        <v/>
      </c>
      <c r="J383">
        <f>((Inputs!$B$6*(1+Inputs!$B$7/100))+(((Inputs!$B$12*(1+Inputs!$B$13/100))-(Inputs!$B$12*(1+Inputs!$B$13/100)))+0.25*(Inputs!$B$14-Inputs!$B$14))*(1+Inputs!$B$7/100))*(F383/100)</f>
        <v/>
      </c>
      <c r="K383">
        <f>J383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383)</f>
        <v/>
      </c>
      <c r="L383">
        <f>K383*(MIN((Inputs!$B$22+1)+(F400-Calc!F22),(Inputs!$B$23+(IF(ArtifactsInput!$M$15,CHOOSE(ArtifactsInput!$N$15+1,25,30,35,40,45,50)/100*(Inputs!$B$11-Inputs!$B$11),0))))/100+(Inputs!$B$23+(IF(ArtifactsInput!$M$15,CHOOSE(ArtifactsInput!$N$15+1,25,30,35,40,45,50)/100*(Inputs!$B$11-Inputs!$B$11),0)))/100)/2</f>
        <v/>
      </c>
      <c r="M383">
        <f>L383*(1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3">
        <f>L383*(1-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383*(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3">
        <f>(1-Summary!$B$11)*S383+Summary!$B$11*U383</f>
        <v/>
      </c>
      <c r="P383">
        <f>IF(B419=0,0,O383/B419)</f>
        <v/>
      </c>
      <c r="Q383">
        <f>IFERROR(1/(IF(Inputs!$B$38="pvp",15,MAX(0.1,Skills!E5-IF(Skills!F5=TRUE,Inputs!$B$32,0)))*(1-IF(AND(ArtifactsInput!$M$27,Inputs!$B$4="Chapter Hunt"),CHOOSE(ArtifactsInput!$N$27+1,20,24,28,32,36,40),0)/100)),0)</f>
        <v/>
      </c>
      <c r="R383">
        <f>IF(AND(Inputs!$B$38&lt;&gt;"pvp",Inputs!$B$43&gt;0),IF(MAX(0,Inputs!$B$43-B416)&lt;=0,0,(INT(MAX(0,Inputs!$B$43-B416)/(IF(Inputs!$B$38="pvp",15,MAX(0.1,Skills!E5-IF(Skills!F5=TRUE,Inputs!$B$32,0)))*(1-IF(AND(ArtifactsInput!$M$27,Inputs!$B$4="Chapter Hunt"),CHOOSE(ArtifactsInput!$N$27+1,20,24,28,32,36,40),0)/100)))+1)),0)</f>
        <v/>
      </c>
      <c r="S383">
        <f>IF(C383,(H383*N383*IF(AND(Inputs!$B$38&lt;&gt;"pvp",Inputs!$B$43&gt;0),((Skills!G5*((R383-1)*IF(Skills!H5&gt;0,Skills!I5/Skills!H5,1)+IF(Skills!H5&gt;0,MIN(Skills!I5,MAX(0,MAX(0,Inputs!$B$43-B416)-((R383-1)*(IF(Inputs!$B$38="pvp",15,MAX(0.1,Skills!E5-IF(Skills!F5=TRUE,Inputs!$B$32,0)))*(1-IF(AND(ArtifactsInput!$M$27,Inputs!$B$4="Chapter Hunt"),CHOOSE(ArtifactsInput!$N$27+1,20,24,28,32,36,40),0)/100)))))/Skills!H5,1)))/Inputs!$B$43),G383*Q383)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383*(1-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383*(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383*(1-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383*(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3">
        <f>IF(C383,(H383*N383*IF(AND(Inputs!$B$38&lt;&gt;"pvp",Inputs!$B$43&gt;0),((Skills!G5*((R383-1)*IF(Skills!H5&gt;0,Skills!I5/Skills!H5,1)+IF(Skills!H5&gt;0,MIN(Skills!I5,MAX(0,MAX(0,Inputs!$B$43-B416)-((R383-1)*(IF(Inputs!$B$38="pvp",15,MAX(0.1,Skills!E5-IF(Skills!F5=TRUE,Inputs!$B$32,0)))*(1-IF(AND(ArtifactsInput!$M$27,Inputs!$B$4="Chapter Hunt"),CHOOSE(ArtifactsInput!$N$27+1,20,24,28,32,36,40),0)/100)))))/Skills!H5,1)))/Inputs!$B$43),G383*Q383)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4">
      <c r="A384">
        <f>Skills!A6</f>
        <v/>
      </c>
      <c r="B384">
        <f>Skills!B6</f>
        <v/>
      </c>
      <c r="C384">
        <f>TRUE</f>
        <v/>
      </c>
      <c r="D384">
        <f>IF(Skills!C6=1,60+Inputs!$B$25+Inputs!$B$29,IF(Skills!C6=2,90+Inputs!$B$26+Inputs!$B$29,IF(Skills!C6=3,120+Inputs!$B$27+Inputs!$B$29,MAX(0,(Inputs!$B$3-100)*3)+Inputs!$B$28+Inputs!$B$29)))</f>
        <v/>
      </c>
      <c r="E384">
        <f>INDEX(FactorTable!$B$2:$Y$301, MATCH(ROUND(MIN(300,MAX(1,D384)),0), FactorTable!$A$2:$A$301,0), Skills!M6+1)</f>
        <v/>
      </c>
      <c r="F384">
        <f>IF(Skills!N6=TRUE,(Skills!L6/10)*(E384/1000),Skills!L6/10)+Skills!O6</f>
        <v/>
      </c>
      <c r="G384">
        <f>Calc!G6</f>
        <v/>
      </c>
      <c r="H384">
        <f>Calc!H6</f>
        <v/>
      </c>
      <c r="I384">
        <f>IF(Skills!X6&lt;&gt;"",1+(Skills!X6/10)*(Z381/1000)/100,1)</f>
        <v/>
      </c>
      <c r="J384" t="inlineStr"/>
      <c r="K384" t="inlineStr"/>
      <c r="L384" t="inlineStr"/>
      <c r="M384" t="inlineStr"/>
      <c r="N384" t="inlineStr"/>
      <c r="O384">
        <f>(1-Summary!$B$11)*S384+Summary!$B$11*U384</f>
        <v/>
      </c>
      <c r="P384">
        <f>IF(B419=0,0,O384/B419)</f>
        <v/>
      </c>
      <c r="Q384">
        <f>IFERROR(1/(IF(Inputs!$B$38="pvp",15,MAX(0.1,Skills!E6-IF(Skills!F6=TRUE,Inputs!$B$32,0)))*(1-IF(AND(ArtifactsInput!$M$27,Inputs!$B$4="Chapter Hunt"),CHOOSE(ArtifactsInput!$N$27+1,20,24,28,32,36,40),0)/100)),0)</f>
        <v/>
      </c>
      <c r="R384">
        <f>IF(AND(Inputs!$B$38&lt;&gt;"pvp",Inputs!$B$43&gt;0),IF(Inputs!$B$43&lt;=0,0,(INT(Inputs!$B$43/(IF(Inputs!$B$38="pvp",15,MAX(0.1,Skills!E6-IF(Skills!F6=TRUE,Inputs!$B$32,0)))*(1-IF(AND(ArtifactsInput!$M$27,Inputs!$B$4="Chapter Hunt"),CHOOSE(ArtifactsInput!$N$27+1,20,24,28,32,36,40),0)/100)))+1)),0)</f>
        <v/>
      </c>
      <c r="S384" t="n">
        <v>0</v>
      </c>
      <c r="U384" t="n">
        <v>0</v>
      </c>
    </row>
    <row r="385">
      <c r="A385">
        <f>Skills!A7</f>
        <v/>
      </c>
      <c r="B385">
        <f>Skills!B7</f>
        <v/>
      </c>
      <c r="C385">
        <f>TRUE</f>
        <v/>
      </c>
      <c r="D385">
        <f>IF(Skills!C7=1,60+Inputs!$B$25+Inputs!$B$29,IF(Skills!C7=2,90+Inputs!$B$26+Inputs!$B$29,IF(Skills!C7=3,120+Inputs!$B$27+Inputs!$B$29,MAX(0,(Inputs!$B$3-100)*3)+Inputs!$B$28+Inputs!$B$29)))</f>
        <v/>
      </c>
      <c r="E385">
        <f>INDEX(FactorTable!$B$2:$Y$301, MATCH(ROUND(MIN(300,MAX(1,D385)),0), FactorTable!$A$2:$A$301,0), Skills!M7+1)</f>
        <v/>
      </c>
      <c r="F385">
        <f>IF(Skills!N7=TRUE,(Skills!L7/10)*(E385/1000),Skills!L7/10)+Skills!O7</f>
        <v/>
      </c>
      <c r="G385">
        <f>Calc!G7</f>
        <v/>
      </c>
      <c r="H385">
        <f>Calc!H7</f>
        <v/>
      </c>
      <c r="I385">
        <f>IF(Skills!X7&lt;&gt;"",1+(Skills!X7/10)*(Z381/1000)/100,1)</f>
        <v/>
      </c>
      <c r="J385">
        <f>((Inputs!$B$6*(1+Inputs!$B$7/100))+(((Inputs!$B$12*(1+Inputs!$B$13/100))-(Inputs!$B$12*(1+Inputs!$B$13/100)))+0.25*(Inputs!$B$14-Inputs!$B$14))*(1+Inputs!$B$7/100))*(F385/100)</f>
        <v/>
      </c>
      <c r="K385">
        <f>J385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385)</f>
        <v/>
      </c>
      <c r="L385">
        <f>K385*(MIN((Inputs!$B$22+1)+(F400-Calc!F22),(Inputs!$B$23+(IF(ArtifactsInput!$M$15,CHOOSE(ArtifactsInput!$N$15+1,25,30,35,40,45,50)/100*(Inputs!$B$11-Inputs!$B$11),0))))/100+(Inputs!$B$23+(IF(ArtifactsInput!$M$15,CHOOSE(ArtifactsInput!$N$15+1,25,30,35,40,45,50)/100*(Inputs!$B$11-Inputs!$B$11),0)))/100)/2</f>
        <v/>
      </c>
      <c r="M385">
        <f>L385*(1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5">
        <f>L385*(1-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385*(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5">
        <f>(1-Summary!$B$11)*S385+Summary!$B$11*U385</f>
        <v/>
      </c>
      <c r="P385">
        <f>IF(B419=0,0,O385/B419)</f>
        <v/>
      </c>
      <c r="Q385">
        <f>IFERROR(1/(IF(Inputs!$B$38="pvp",15,MAX(0.1,Skills!E7-IF(Skills!F7=TRUE,Inputs!$B$32,0)))*(1-IF(AND(ArtifactsInput!$M$27,Inputs!$B$4="Chapter Hunt"),CHOOSE(ArtifactsInput!$N$27+1,20,24,28,32,36,40),0)/100)),0)</f>
        <v/>
      </c>
      <c r="R385">
        <f>IF(AND(Inputs!$B$38&lt;&gt;"pvp",Inputs!$B$43&gt;0),IF(MAX(0,Inputs!$B$43-B416)&lt;=0,0,(INT(MAX(0,Inputs!$B$43-B416)/(IF(Inputs!$B$38="pvp",15,MAX(0.1,Skills!E7-IF(Skills!F7=TRUE,Inputs!$B$32,0)))*(1-IF(AND(ArtifactsInput!$M$27,Inputs!$B$4="Chapter Hunt"),CHOOSE(ArtifactsInput!$N$27+1,20,24,28,32,36,40),0)/100)))+1)),0)</f>
        <v/>
      </c>
      <c r="S385">
        <f>IF(C385,(H385*N385*IF(AND(Inputs!$B$38&lt;&gt;"pvp",Inputs!$B$43&gt;0),((Skills!G7*((R385-1)*IF(Skills!H7&gt;0,Skills!I7/Skills!H7,1)+IF(Skills!H7&gt;0,MIN(Skills!I7,MAX(0,MAX(0,Inputs!$B$43-B416)-((R385-1)*(IF(Inputs!$B$38="pvp",15,MAX(0.1,Skills!E7-IF(Skills!F7=TRUE,Inputs!$B$32,0)))*(1-IF(AND(ArtifactsInput!$M$27,Inputs!$B$4="Chapter Hunt"),CHOOSE(ArtifactsInput!$N$27+1,20,24,28,32,36,40),0)/100)))))/Skills!H7,1)))/Inputs!$B$43),G385*Q385)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385*(1-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385*(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385*(1-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385*(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5">
        <f>IF(C385,(H385*N385*IF(AND(Inputs!$B$38&lt;&gt;"pvp",Inputs!$B$43&gt;0),((Skills!G7*((R385-1)*IF(Skills!H7&gt;0,Skills!I7/Skills!H7,1)+IF(Skills!H7&gt;0,MIN(Skills!I7,MAX(0,MAX(0,Inputs!$B$43-B416)-((R385-1)*(IF(Inputs!$B$38="pvp",15,MAX(0.1,Skills!E7-IF(Skills!F7=TRUE,Inputs!$B$32,0)))*(1-IF(AND(ArtifactsInput!$M$27,Inputs!$B$4="Chapter Hunt"),CHOOSE(ArtifactsInput!$N$27+1,20,24,28,32,36,40),0)/100)))))/Skills!H7,1)))/Inputs!$B$43),G385*Q385)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6">
      <c r="A386">
        <f>Skills!A8</f>
        <v/>
      </c>
      <c r="B386">
        <f>Skills!B8</f>
        <v/>
      </c>
      <c r="C386">
        <f>TRUE</f>
        <v/>
      </c>
      <c r="D386">
        <f>IF(Skills!C8=1,60+Inputs!$B$25+Inputs!$B$29,IF(Skills!C8=2,90+Inputs!$B$26+Inputs!$B$29,IF(Skills!C8=3,120+Inputs!$B$27+Inputs!$B$29,MAX(0,(Inputs!$B$3-100)*3)+Inputs!$B$28+Inputs!$B$29)))</f>
        <v/>
      </c>
      <c r="E386">
        <f>INDEX(FactorTable!$B$2:$Y$301, MATCH(ROUND(MIN(300,MAX(1,D386)),0), FactorTable!$A$2:$A$301,0), Skills!M8+1)</f>
        <v/>
      </c>
      <c r="F386">
        <f>IF(Skills!N8=TRUE,(Skills!L8/10)*(E386/1000),Skills!L8/10)+Skills!O8</f>
        <v/>
      </c>
      <c r="G386">
        <f>Calc!G8</f>
        <v/>
      </c>
      <c r="H386">
        <f>Calc!H8</f>
        <v/>
      </c>
      <c r="I386">
        <f>IF(Skills!X8&lt;&gt;"",1+(Skills!X8/10)*(Z381/1000)/100,1)</f>
        <v/>
      </c>
      <c r="J386">
        <f>((Inputs!$B$6*(1+Inputs!$B$7/100))+(((Inputs!$B$12*(1+Inputs!$B$13/100))-(Inputs!$B$12*(1+Inputs!$B$13/100)))+0.25*(Inputs!$B$14-Inputs!$B$14))*(1+Inputs!$B$7/100))*(F386/100)</f>
        <v/>
      </c>
      <c r="K386">
        <f>J386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386)</f>
        <v/>
      </c>
      <c r="L386">
        <f>K386*(MIN((Inputs!$B$22+1)+(F400-Calc!F22),(Inputs!$B$23+(IF(ArtifactsInput!$M$15,CHOOSE(ArtifactsInput!$N$15+1,25,30,35,40,45,50)/100*(Inputs!$B$11-Inputs!$B$11),0))))/100+(Inputs!$B$23+(IF(ArtifactsInput!$M$15,CHOOSE(ArtifactsInput!$N$15+1,25,30,35,40,45,50)/100*(Inputs!$B$11-Inputs!$B$11),0)))/100)/2</f>
        <v/>
      </c>
      <c r="M386">
        <f>L386*(1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6">
        <f>L386*(1-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386*(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6">
        <f>(1-Summary!$B$11)*S386+Summary!$B$11*U386</f>
        <v/>
      </c>
      <c r="P386">
        <f>IF(B419=0,0,O386/B419)</f>
        <v/>
      </c>
      <c r="Q386">
        <f>IFERROR(1/(IF(Inputs!$B$38="pvp",15,MAX(0.1,Skills!E8-IF(Skills!F8=TRUE,Inputs!$B$32,0)))*(1-IF(AND(ArtifactsInput!$M$27,Inputs!$B$4="Chapter Hunt"),CHOOSE(ArtifactsInput!$N$27+1,20,24,28,32,36,40),0)/100)),0)</f>
        <v/>
      </c>
      <c r="R386">
        <f>IF(AND(Inputs!$B$38&lt;&gt;"pvp",Inputs!$B$43&gt;0),IF(MAX(0,Inputs!$B$43-B416)&lt;=0,0,(INT(MAX(0,Inputs!$B$43-B416)/(IF(Inputs!$B$38="pvp",15,MAX(0.1,Skills!E8-IF(Skills!F8=TRUE,Inputs!$B$32,0)))*(1-IF(AND(ArtifactsInput!$M$27,Inputs!$B$4="Chapter Hunt"),CHOOSE(ArtifactsInput!$N$27+1,20,24,28,32,36,40),0)/100)))+1)),0)</f>
        <v/>
      </c>
      <c r="S386">
        <f>IF(C386,(H386*N386*IF(AND(Inputs!$B$38&lt;&gt;"pvp",Inputs!$B$43&gt;0),((Skills!G8*((R386-1)*IF(Skills!H8&gt;0,Skills!I8/Skills!H8,1)+IF(Skills!H8&gt;0,MIN(Skills!I8,MAX(0,MAX(0,Inputs!$B$43-B416)-((R386-1)*(IF(Inputs!$B$38="pvp",15,MAX(0.1,Skills!E8-IF(Skills!F8=TRUE,Inputs!$B$32,0)))*(1-IF(AND(ArtifactsInput!$M$27,Inputs!$B$4="Chapter Hunt"),CHOOSE(ArtifactsInput!$N$27+1,20,24,28,32,36,40),0)/100)))))/Skills!H8,1)))/Inputs!$B$43),G386*Q386)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386*(1-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386*(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386*(1-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386*(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6">
        <f>IF(C386,(H386*N386*IF(AND(Inputs!$B$38&lt;&gt;"pvp",Inputs!$B$43&gt;0),((Skills!G8*((R386-1)*IF(Skills!H8&gt;0,Skills!I8/Skills!H8,1)+IF(Skills!H8&gt;0,MIN(Skills!I8,MAX(0,MAX(0,Inputs!$B$43-B416)-((R386-1)*(IF(Inputs!$B$38="pvp",15,MAX(0.1,Skills!E8-IF(Skills!F8=TRUE,Inputs!$B$32,0)))*(1-IF(AND(ArtifactsInput!$M$27,Inputs!$B$4="Chapter Hunt"),CHOOSE(ArtifactsInput!$N$27+1,20,24,28,32,36,40),0)/100)))))/Skills!H8,1)))/Inputs!$B$43),G386*Q386)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7">
      <c r="A387">
        <f>Skills!A9</f>
        <v/>
      </c>
      <c r="B387">
        <f>Skills!B9</f>
        <v/>
      </c>
      <c r="C387">
        <f>Inputs!$B$3&gt;=103</f>
        <v/>
      </c>
      <c r="D387">
        <f>IF(Skills!C9=1,60+Inputs!$B$25+Inputs!$B$29,IF(Skills!C9=2,90+Inputs!$B$26+Inputs!$B$29,IF(Skills!C9=3,120+Inputs!$B$27+Inputs!$B$29,MAX(0,(Inputs!$B$3-100)*3)+Inputs!$B$28+Inputs!$B$29)))</f>
        <v/>
      </c>
      <c r="E387">
        <f>INDEX(FactorTable!$B$2:$Y$301, MATCH(ROUND(MIN(300,MAX(1,D387)),0), FactorTable!$A$2:$A$301,0), Skills!M9+1)</f>
        <v/>
      </c>
      <c r="F387">
        <f>IF(Skills!N9=TRUE,(Skills!L9/10)*(E387/1000),Skills!L9/10)+Skills!O9</f>
        <v/>
      </c>
      <c r="G387">
        <f>Calc!G9</f>
        <v/>
      </c>
      <c r="H387">
        <f>Calc!H9</f>
        <v/>
      </c>
      <c r="I387">
        <f>IF(Skills!X9&lt;&gt;"",1+(Skills!X9/10)*(Z381/1000)/100,1)</f>
        <v/>
      </c>
      <c r="J387">
        <f>((Inputs!$B$6*(1+Inputs!$B$7/100))+(((Inputs!$B$12*(1+Inputs!$B$13/100))-(Inputs!$B$12*(1+Inputs!$B$13/100)))+0.25*(Inputs!$B$14-Inputs!$B$14))*(1+Inputs!$B$7/100))*(F387/100)</f>
        <v/>
      </c>
      <c r="K387">
        <f>J387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387)</f>
        <v/>
      </c>
      <c r="L387">
        <f>K387*(MIN((Inputs!$B$22+1)+(F400-Calc!F22),(Inputs!$B$23+(IF(ArtifactsInput!$M$15,CHOOSE(ArtifactsInput!$N$15+1,25,30,35,40,45,50)/100*(Inputs!$B$11-Inputs!$B$11),0))))/100+(Inputs!$B$23+(IF(ArtifactsInput!$M$15,CHOOSE(ArtifactsInput!$N$15+1,25,30,35,40,45,50)/100*(Inputs!$B$11-Inputs!$B$11),0)))/100)/2</f>
        <v/>
      </c>
      <c r="M387">
        <f>L387*(1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7">
        <f>L387*(1-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387*(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7">
        <f>(1-Summary!$B$11)*S387+Summary!$B$11*U387</f>
        <v/>
      </c>
      <c r="P387">
        <f>IF(B419=0,0,O387/B419)</f>
        <v/>
      </c>
      <c r="Q387">
        <f>IFERROR(1/(IF(Inputs!$B$38="pvp",15,MAX(0.1,Skills!E9-IF(Skills!F7=TRUE,Inputs!$B$32,0)))*(1-IF(AND(ArtifactsInput!$M$27,Inputs!$B$4="Chapter Hunt"),CHOOSE(ArtifactsInput!$N$27+1,20,24,28,32,36,40),0)/100)),0)</f>
        <v/>
      </c>
      <c r="R387">
        <f>IF(AND(Inputs!$B$38&lt;&gt;"pvp",Inputs!$B$43&gt;0),IF(MAX(0,Inputs!$B$43-B416)&lt;=0,0,(INT(MAX(0,Inputs!$B$43-B416)/(IF(Inputs!$B$38="pvp",15,MAX(0.1,Skills!E9-IF(Skills!F7=TRUE,Inputs!$B$32,0)))*(1-IF(AND(ArtifactsInput!$M$27,Inputs!$B$4="Chapter Hunt"),CHOOSE(ArtifactsInput!$N$27+1,20,24,28,32,36,40),0)/100)))+1)),0)</f>
        <v/>
      </c>
      <c r="S387">
        <f>IF(C387,(H387*N387*IF(AND(Inputs!$B$38&lt;&gt;"pvp",Inputs!$B$43&gt;0),((Skills!G9*((R387-1)*IF(Skills!H9&gt;0,Skills!I9/Skills!H9,1)+IF(Skills!H9&gt;0,MIN(Skills!I9,MAX(0,MAX(0,Inputs!$B$43-B416)-((R387-1)*(IF(Inputs!$B$38="pvp",15,MAX(0.1,Skills!E9-IF(Skills!F7=TRUE,Inputs!$B$32,0)))*(1-IF(AND(ArtifactsInput!$M$27,Inputs!$B$4="Chapter Hunt"),CHOOSE(ArtifactsInput!$N$27+1,20,24,28,32,36,40),0)/100)))))/Skills!H9,1)))/Inputs!$B$43),G387*Q387)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387*(1-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387*(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387*(1-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387*(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7">
        <f>IF(C387,(H387*N387*IF(AND(Inputs!$B$38&lt;&gt;"pvp",Inputs!$B$43&gt;0),((Skills!G9*((R387-1)*IF(Skills!H9&gt;0,Skills!I9/Skills!H9,1)+IF(Skills!H9&gt;0,MIN(Skills!I9,MAX(0,MAX(0,Inputs!$B$43-B416)-((R387-1)*(IF(Inputs!$B$38="pvp",15,MAX(0.1,Skills!E9-IF(Skills!F7=TRUE,Inputs!$B$32,0)))*(1-IF(AND(ArtifactsInput!$M$27,Inputs!$B$4="Chapter Hunt"),CHOOSE(ArtifactsInput!$N$27+1,20,24,28,32,36,40),0)/100)))))/Skills!H9,1)))/Inputs!$B$43),G387*Q387)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8">
      <c r="A388">
        <f>Skills!A10</f>
        <v/>
      </c>
      <c r="B388">
        <f>Skills!B10</f>
        <v/>
      </c>
      <c r="C388">
        <f>TRUE</f>
        <v/>
      </c>
      <c r="D388">
        <f>IF(Skills!C10=1,60+Inputs!$B$25+Inputs!$B$29,IF(Skills!C10=2,90+Inputs!$B$26+Inputs!$B$29,IF(Skills!C10=3,120+Inputs!$B$27+Inputs!$B$29,MAX(0,(Inputs!$B$3-100)*3)+Inputs!$B$28+Inputs!$B$29)))</f>
        <v/>
      </c>
      <c r="E388">
        <f>INDEX(FactorTable!$B$2:$Y$301, MATCH(ROUND(MIN(300,MAX(1,D388)),0), FactorTable!$A$2:$A$301,0), Skills!M10+1)</f>
        <v/>
      </c>
      <c r="F388">
        <f>IF(Skills!N10=TRUE,(Skills!L10/10)*(E388/1000),Skills!L10/10)+Skills!O10</f>
        <v/>
      </c>
      <c r="G388">
        <f>Calc!G10</f>
        <v/>
      </c>
      <c r="H388">
        <f>Calc!H10</f>
        <v/>
      </c>
      <c r="I388">
        <f>IF(Skills!X10&lt;&gt;"",1+(Skills!X10/10)*(Z381/1000)/100,1)</f>
        <v/>
      </c>
      <c r="J388">
        <f>((Inputs!$B$6*(1+Inputs!$B$7/100))+(((Inputs!$B$12*(1+Inputs!$B$13/100))-(Inputs!$B$12*(1+Inputs!$B$13/100)))+0.25*(Inputs!$B$14-Inputs!$B$14))*(1+Inputs!$B$7/100))*(F388/100)</f>
        <v/>
      </c>
      <c r="K388">
        <f>J388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388)</f>
        <v/>
      </c>
      <c r="L388">
        <f>K388*(MIN((Inputs!$B$22+1)+(F400-Calc!F22),(Inputs!$B$23+(IF(ArtifactsInput!$M$15,CHOOSE(ArtifactsInput!$N$15+1,25,30,35,40,45,50)/100*(Inputs!$B$11-Inputs!$B$11),0))))/100+(Inputs!$B$23+(IF(ArtifactsInput!$M$15,CHOOSE(ArtifactsInput!$N$15+1,25,30,35,40,45,50)/100*(Inputs!$B$11-Inputs!$B$11),0)))/100)/2</f>
        <v/>
      </c>
      <c r="M388">
        <f>L388*(1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8">
        <f>L388*(1-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388*(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8">
        <f>(1-Summary!$B$11)*S388+Summary!$B$11*U388</f>
        <v/>
      </c>
      <c r="P388">
        <f>IF(B419=0,0,O388/B419)</f>
        <v/>
      </c>
      <c r="Q388">
        <f>IFERROR(1/(IF(Inputs!$B$38="pvp",15,MAX(0.1,Skills!E10-IF(Skills!F10=TRUE,Inputs!$B$32,0)))*(1-IF(AND(ArtifactsInput!$M$27,Inputs!$B$4="Chapter Hunt"),CHOOSE(ArtifactsInput!$N$27+1,20,24,28,32,36,40),0)/100)),0)</f>
        <v/>
      </c>
      <c r="R388">
        <f>IF(AND(Inputs!$B$38&lt;&gt;"pvp",Inputs!$B$43&gt;0),IF(MAX(0,Inputs!$B$43-B416)&lt;=0,0,(INT(MAX(0,Inputs!$B$43-B416)/(IF(Inputs!$B$38="pvp",15,MAX(0.1,Skills!E10-IF(Skills!F10=TRUE,Inputs!$B$32,0)))*(1-IF(AND(ArtifactsInput!$M$27,Inputs!$B$4="Chapter Hunt"),CHOOSE(ArtifactsInput!$N$27+1,20,24,28,32,36,40),0)/100)))+1)),0)</f>
        <v/>
      </c>
      <c r="S388">
        <f>IF(C388,(H388*N388*IF(AND(Inputs!$B$38&lt;&gt;"pvp",Inputs!$B$43&gt;0),((Skills!G10*((R388-1)*IF(Skills!H10&gt;0,Skills!I10/Skills!H10,1)+IF(Skills!H10&gt;0,MIN(Skills!I10,MAX(0,MAX(0,Inputs!$B$43-B416)-((R388-1)*(IF(Inputs!$B$38="pvp",15,MAX(0.1,Skills!E10-IF(Skills!F10=TRUE,Inputs!$B$32,0)))*(1-IF(AND(ArtifactsInput!$M$27,Inputs!$B$4="Chapter Hunt"),CHOOSE(ArtifactsInput!$N$27+1,20,24,28,32,36,40),0)/100)))))/Skills!H10,1)))/Inputs!$B$43),G388*Q388)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388*(1-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388*(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388*(1-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388*(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8">
        <f>IF(C388,(H388*N388*IF(AND(Inputs!$B$38&lt;&gt;"pvp",Inputs!$B$43&gt;0),((Skills!G10*((R388-1)*IF(Skills!H10&gt;0,Skills!I10/Skills!H10,1)+IF(Skills!H10&gt;0,MIN(Skills!I10,MAX(0,MAX(0,Inputs!$B$43-B416)-((R388-1)*(IF(Inputs!$B$38="pvp",15,MAX(0.1,Skills!E10-IF(Skills!F10=TRUE,Inputs!$B$32,0)))*(1-IF(AND(ArtifactsInput!$M$27,Inputs!$B$4="Chapter Hunt"),CHOOSE(ArtifactsInput!$N$27+1,20,24,28,32,36,40),0)/100)))))/Skills!H10,1)))/Inputs!$B$43),G388*Q388)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9">
      <c r="A389">
        <f>Skills!A11</f>
        <v/>
      </c>
      <c r="B389">
        <f>Skills!B11</f>
        <v/>
      </c>
      <c r="C389">
        <f>TRUE</f>
        <v/>
      </c>
      <c r="D389">
        <f>IF(Skills!C11=1,60+Inputs!$B$25+Inputs!$B$29,IF(Skills!C11=2,90+Inputs!$B$26+Inputs!$B$29,IF(Skills!C11=3,120+Inputs!$B$27+Inputs!$B$29,MAX(0,(Inputs!$B$3-100)*3)+Inputs!$B$28+Inputs!$B$29)))</f>
        <v/>
      </c>
      <c r="E389">
        <f>INDEX(FactorTable!$B$2:$Y$301, MATCH(ROUND(MIN(300,MAX(1,D389)),0), FactorTable!$A$2:$A$301,0), Skills!M11+1)</f>
        <v/>
      </c>
      <c r="F389">
        <f>IF(Skills!N11=TRUE,(Skills!L11/10)*(E389/1000),Skills!L11/10)+Skills!O11</f>
        <v/>
      </c>
      <c r="G389">
        <f>Calc!G11</f>
        <v/>
      </c>
      <c r="H389">
        <f>Calc!H11</f>
        <v/>
      </c>
      <c r="I389">
        <f>IF(Skills!X11&lt;&gt;"",1+(Skills!X11/10)*(Z381/1000)/100,1)</f>
        <v/>
      </c>
      <c r="J389" t="inlineStr"/>
      <c r="K389" t="inlineStr"/>
      <c r="L389" t="inlineStr"/>
      <c r="M389" t="inlineStr"/>
      <c r="N389" t="inlineStr"/>
      <c r="O389">
        <f>(1-Summary!$B$11)*S389+Summary!$B$11*U389</f>
        <v/>
      </c>
      <c r="P389">
        <f>IF(B419=0,0,O389/B419)</f>
        <v/>
      </c>
      <c r="Q389">
        <f>IFERROR(1/(IF(Inputs!$B$38="pvp",15,MAX(0.1,Skills!E11-IF(Skills!F11=TRUE,Inputs!$B$32,0)))*(1-IF(AND(ArtifactsInput!$M$27,Inputs!$B$4="Chapter Hunt"),CHOOSE(ArtifactsInput!$N$27+1,20,24,28,32,36,40),0)/100)),0)</f>
        <v/>
      </c>
      <c r="R389" t="n">
        <v>0</v>
      </c>
      <c r="S389" t="n">
        <v>0</v>
      </c>
      <c r="U389" t="n">
        <v>0</v>
      </c>
    </row>
    <row r="390">
      <c r="A390">
        <f>Skills!A12</f>
        <v/>
      </c>
      <c r="B390">
        <f>Skills!B12</f>
        <v/>
      </c>
      <c r="C390">
        <f>TRUE</f>
        <v/>
      </c>
      <c r="D390">
        <f>IF(Skills!C12=1,60+Inputs!$B$25+Inputs!$B$29,IF(Skills!C12=2,90+Inputs!$B$26+Inputs!$B$29,IF(Skills!C12=3,120+Inputs!$B$27+Inputs!$B$29,MAX(0,(Inputs!$B$3-100)*3)+Inputs!$B$28+Inputs!$B$29)))</f>
        <v/>
      </c>
      <c r="E390">
        <f>INDEX(FactorTable!$B$2:$Y$301, MATCH(ROUND(MIN(300,MAX(1,D390)),0), FactorTable!$A$2:$A$301,0), Skills!M12+1)</f>
        <v/>
      </c>
      <c r="F390">
        <f>IF(Skills!N12=TRUE,(Skills!L12/10)*(E390/1000),Skills!L12/10)+Skills!O12</f>
        <v/>
      </c>
      <c r="G390">
        <f>Calc!G12</f>
        <v/>
      </c>
      <c r="H390">
        <f>Calc!H12</f>
        <v/>
      </c>
      <c r="I390">
        <f>IF(Skills!X12&lt;&gt;"",1+(Skills!X12/10)*(Z381/1000)/100,1)</f>
        <v/>
      </c>
      <c r="J390" t="inlineStr"/>
      <c r="K390" t="inlineStr"/>
      <c r="L390" t="inlineStr"/>
      <c r="M390" t="inlineStr"/>
      <c r="N390" t="inlineStr"/>
      <c r="O390">
        <f>(1-Summary!$B$11)*S390+Summary!$B$11*U390</f>
        <v/>
      </c>
      <c r="P390">
        <f>IF(B419=0,0,O390/B419)</f>
        <v/>
      </c>
      <c r="Q390">
        <f>IFERROR(1/(IF(Inputs!$B$38="pvp",15,MAX(0.1,Skills!E12-IF(Skills!F12=TRUE,Inputs!$B$32,0)))*(1-IF(AND(ArtifactsInput!$M$27,Inputs!$B$4="Chapter Hunt"),CHOOSE(ArtifactsInput!$N$27+1,20,24,28,32,36,40),0)/100)),0)</f>
        <v/>
      </c>
      <c r="R390" t="n">
        <v>0</v>
      </c>
      <c r="S390" t="n">
        <v>0</v>
      </c>
      <c r="U390" t="n">
        <v>0</v>
      </c>
    </row>
    <row r="391">
      <c r="A391">
        <f>Skills!A13</f>
        <v/>
      </c>
      <c r="B391">
        <f>Skills!B13</f>
        <v/>
      </c>
      <c r="C391">
        <f>Inputs!$B$3&gt;=105</f>
        <v/>
      </c>
      <c r="D391">
        <f>IF(Skills!C13=1,60+Inputs!$B$25+Inputs!$B$29,IF(Skills!C13=2,90+Inputs!$B$26+Inputs!$B$29,IF(Skills!C13=3,120+Inputs!$B$27+Inputs!$B$29,MAX(0,(Inputs!$B$3-100)*3)+Inputs!$B$28+Inputs!$B$29)))</f>
        <v/>
      </c>
      <c r="E391">
        <f>INDEX(FactorTable!$B$2:$Y$301, MATCH(ROUND(MIN(300,MAX(1,D391)),0), FactorTable!$A$2:$A$301,0), Skills!M13+1)</f>
        <v/>
      </c>
      <c r="F391">
        <f>IF(Skills!N13=TRUE,(Skills!L13/10)*(E391/1000),Skills!L13/10)+Skills!O13</f>
        <v/>
      </c>
      <c r="G391">
        <f>Calc!G13</f>
        <v/>
      </c>
      <c r="H391">
        <f>Calc!H13</f>
        <v/>
      </c>
      <c r="I391">
        <f>IF(Skills!X13&lt;&gt;"",1+(Skills!X13/10)*(Z381/1000)/100,1)</f>
        <v/>
      </c>
      <c r="J391">
        <f>((Inputs!$B$6*(1+Inputs!$B$7/100))+(((Inputs!$B$12*(1+Inputs!$B$13/100))-(Inputs!$B$12*(1+Inputs!$B$13/100)))+0.25*(Inputs!$B$14-Inputs!$B$14))*(1+Inputs!$B$7/100))*(F391/100)</f>
        <v/>
      </c>
      <c r="K391">
        <f>J391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391)</f>
        <v/>
      </c>
      <c r="L391">
        <f>K391*(MIN((Inputs!$B$22+1)+(F400-Calc!F22),(Inputs!$B$23+(IF(ArtifactsInput!$M$15,CHOOSE(ArtifactsInput!$N$15+1,25,30,35,40,45,50)/100*(Inputs!$B$11-Inputs!$B$11),0))))/100+(Inputs!$B$23+(IF(ArtifactsInput!$M$15,CHOOSE(ArtifactsInput!$N$15+1,25,30,35,40,45,50)/100*(Inputs!$B$11-Inputs!$B$11),0)))/100)/2</f>
        <v/>
      </c>
      <c r="M391">
        <f>L391*(1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1">
        <f>L391*(1-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1">
        <f>(1-Summary!$B$11)*S391+Summary!$B$11*U391</f>
        <v/>
      </c>
      <c r="P391">
        <f>IF(B419=0,0,O391/B419)</f>
        <v/>
      </c>
      <c r="Q391">
        <f>IFERROR(1/(IF(Inputs!$B$38="pvp",15,MAX(0.1,Skills!E13-IF(Skills!F13=TRUE,Inputs!$B$32,0)))*(1-IF(AND(ArtifactsInput!$M$27,Inputs!$B$4="Chapter Hunt"),CHOOSE(ArtifactsInput!$N$27+1,20,24,28,32,36,40),0)/100)),0)</f>
        <v/>
      </c>
      <c r="R391">
        <f>IF(AND(Inputs!$B$38&lt;&gt;"pvp",Inputs!$B$43&gt;0),IF(MAX(0,Inputs!$B$43-B416)&lt;=0,0,(INT(MAX(0,Inputs!$B$43-B416)/(IF(Inputs!$B$38="pvp",15,MAX(0.1,Skills!E13-IF(Skills!F13=TRUE,Inputs!$B$32,0)))*(1-IF(AND(ArtifactsInput!$M$27,Inputs!$B$4="Chapter Hunt"),CHOOSE(ArtifactsInput!$N$27+1,20,24,28,32,36,40),0)/100)))+1)),0)</f>
        <v/>
      </c>
      <c r="S391">
        <f>IF(C391,(H391*N391*IF(AND(Inputs!$B$38&lt;&gt;"pvp",Inputs!$B$43&gt;0),((Skills!G13*((R391-1)*IF(Skills!H13&gt;0,Skills!I13/Skills!H13,1)+IF(Skills!H13&gt;0,MIN(Skills!I13,MAX(0,MAX(0,Inputs!$B$43-B416)-((R391-1)*(IF(Inputs!$B$38="pvp",15,MAX(0.1,Skills!E13-IF(Skills!F13=TRUE,Inputs!$B$32,0)))*(1-IF(AND(ArtifactsInput!$M$27,Inputs!$B$4="Chapter Hunt"),CHOOSE(ArtifactsInput!$N$27+1,20,24,28,32,36,40),0)/100)))))/Skills!H13,1)))/Inputs!$B$43),G391*Q391)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391*(1-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391*(1-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1">
        <f>IF(C391,(H391*N391*IF(AND(Inputs!$B$38&lt;&gt;"pvp",Inputs!$B$43&gt;0),((Skills!G13*((R391-1)*IF(Skills!H13&gt;0,Skills!I13/Skills!H13,1)+IF(Skills!H13&gt;0,MIN(Skills!I13,MAX(0,MAX(0,Inputs!$B$43-B416)-((R391-1)*(IF(Inputs!$B$38="pvp",15,MAX(0.1,Skills!E13-IF(Skills!F13=TRUE,Inputs!$B$32,0)))*(1-IF(AND(ArtifactsInput!$M$27,Inputs!$B$4="Chapter Hunt"),CHOOSE(ArtifactsInput!$N$27+1,20,24,28,32,36,40),0)/100)))))/Skills!H13,1)))/Inputs!$B$43),G391*Q391)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2">
      <c r="A392">
        <f>Skills!A14</f>
        <v/>
      </c>
      <c r="B392">
        <f>Skills!B14</f>
        <v/>
      </c>
      <c r="C392">
        <f>Inputs!$B$3&gt;=113</f>
        <v/>
      </c>
      <c r="D392">
        <f>IF(Skills!C14=1,60+Inputs!$B$25+Inputs!$B$29,IF(Skills!C14=2,90+Inputs!$B$26+Inputs!$B$29,IF(Skills!C14=3,120+Inputs!$B$27+Inputs!$B$29,MAX(0,(Inputs!$B$3-100)*3)+Inputs!$B$28+Inputs!$B$29)))</f>
        <v/>
      </c>
      <c r="E392">
        <f>INDEX(FactorTable!$B$2:$Y$301, MATCH(ROUND(MIN(300,MAX(1,D392)),0), FactorTable!$A$2:$A$301,0), Skills!M14+1)</f>
        <v/>
      </c>
      <c r="F392">
        <f>IF(Skills!N14=TRUE,(Skills!L14/10)*(E392/1000),Skills!L14/10)+Skills!O14</f>
        <v/>
      </c>
      <c r="G392">
        <f>Calc!G14</f>
        <v/>
      </c>
      <c r="H392">
        <f>Calc!H14</f>
        <v/>
      </c>
      <c r="I392">
        <f>IF(Skills!X14&lt;&gt;"",1+(Skills!X14/10)*(Z381/1000)/100,1)</f>
        <v/>
      </c>
      <c r="J392">
        <f>((Inputs!$B$6*(1+Inputs!$B$7/100))+(((Inputs!$B$12*(1+Inputs!$B$13/100))-(Inputs!$B$12*(1+Inputs!$B$13/100)))+0.25*(Inputs!$B$14-Inputs!$B$14))*(1+Inputs!$B$7/100))*(F392/100)</f>
        <v/>
      </c>
      <c r="K392">
        <f>J392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392)</f>
        <v/>
      </c>
      <c r="L392">
        <f>K392*(MIN((Inputs!$B$22+1)+(F400-Calc!F22),(Inputs!$B$23+(IF(ArtifactsInput!$M$15,CHOOSE(ArtifactsInput!$N$15+1,25,30,35,40,45,50)/100*(Inputs!$B$11-Inputs!$B$11),0))))/100+(Inputs!$B$23+(IF(ArtifactsInput!$M$15,CHOOSE(ArtifactsInput!$N$15+1,25,30,35,40,45,50)/100*(Inputs!$B$11-Inputs!$B$11),0)))/100)/2</f>
        <v/>
      </c>
      <c r="M392">
        <f>L392*(1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2">
        <f>L392*(1-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392*(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2">
        <f>(1-Summary!$B$11)*S392+Summary!$B$11*U392</f>
        <v/>
      </c>
      <c r="P392">
        <f>IF(B419=0,0,O392/B419)</f>
        <v/>
      </c>
      <c r="Q392">
        <f>IFERROR(1/(IF(Inputs!$B$38="pvp",15,MAX(0.1,Skills!E14-IF(Skills!F14=TRUE,Inputs!$B$32,0)))*(1-IF(AND(ArtifactsInput!$M$27,Inputs!$B$4="Chapter Hunt"),CHOOSE(ArtifactsInput!$N$27+1,20,24,28,32,36,40),0)/100)),0)</f>
        <v/>
      </c>
      <c r="R392" t="n">
        <v>0</v>
      </c>
      <c r="S392">
        <f>IF(C392,((H392*B415)/(1+Skills!H14*H392*B415)*N392)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392*(1-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392*(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392*(1-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392*(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2">
        <f>IF(C392,((H392*B415)/(1+Skills!H14*H392*B415)*N392)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3">
      <c r="A393">
        <f>Skills!A15</f>
        <v/>
      </c>
      <c r="B393">
        <f>Skills!B15</f>
        <v/>
      </c>
      <c r="C393">
        <f>Inputs!$B$3&gt;=107</f>
        <v/>
      </c>
      <c r="D393">
        <f>IF(Skills!C15=1,60+Inputs!$B$25+Inputs!$B$29,IF(Skills!C15=2,90+Inputs!$B$26+Inputs!$B$29,IF(Skills!C15=3,120+Inputs!$B$27+Inputs!$B$29,MAX(0,(Inputs!$B$3-100)*3)+Inputs!$B$28+Inputs!$B$29)))</f>
        <v/>
      </c>
      <c r="E393">
        <f>INDEX(FactorTable!$B$2:$Y$301, MATCH(ROUND(MIN(300,MAX(1,D393)),0), FactorTable!$A$2:$A$301,0), Skills!M15+1)</f>
        <v/>
      </c>
      <c r="F393">
        <f>IF(Skills!N15=TRUE,(Skills!L15/10)*(E393/1000),Skills!L15/10)+Skills!O15</f>
        <v/>
      </c>
      <c r="G393">
        <f>Calc!G15</f>
        <v/>
      </c>
      <c r="H393">
        <f>Calc!H15</f>
        <v/>
      </c>
      <c r="I393">
        <f>IF(Skills!X15&lt;&gt;"",1+(Skills!X15/10)*(Z381/1000)/100,1)</f>
        <v/>
      </c>
      <c r="J393">
        <f>((Inputs!$B$6*(1+Inputs!$B$7/100))+(((Inputs!$B$12*(1+Inputs!$B$13/100))-(Inputs!$B$12*(1+Inputs!$B$13/100)))+0.25*(Inputs!$B$14-Inputs!$B$14))*(1+Inputs!$B$7/100))*(F393/100)</f>
        <v/>
      </c>
      <c r="K393">
        <f>J393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393)</f>
        <v/>
      </c>
      <c r="L393">
        <f>K393*(MIN((Inputs!$B$22+1)+(F400-Calc!F22),(Inputs!$B$23+(IF(ArtifactsInput!$M$15,CHOOSE(ArtifactsInput!$N$15+1,25,30,35,40,45,50)/100*(Inputs!$B$11-Inputs!$B$11),0))))/100+(Inputs!$B$23+(IF(ArtifactsInput!$M$15,CHOOSE(ArtifactsInput!$N$15+1,25,30,35,40,45,50)/100*(Inputs!$B$11-Inputs!$B$11),0)))/100)/2</f>
        <v/>
      </c>
      <c r="M393">
        <f>L393*(1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3">
        <f>L393*(1-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393*(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3">
        <f>(1-Summary!$B$11)*S393+Summary!$B$11*U393</f>
        <v/>
      </c>
      <c r="P393">
        <f>IF(B419=0,0,O393/B419)</f>
        <v/>
      </c>
      <c r="Q393">
        <f>IFERROR(1/(IF(Inputs!$B$38="pvp",15,MAX(0.1,Skills!E15-IF(Skills!F15=TRUE,Inputs!$B$32,0)))*(1-IF(AND(ArtifactsInput!$M$27,Inputs!$B$4="Chapter Hunt"),CHOOSE(ArtifactsInput!$N$27+1,20,24,28,32,36,40),0)/100)),0)</f>
        <v/>
      </c>
      <c r="R393">
        <f>IF(AND(Inputs!$B$38&lt;&gt;"pvp",Inputs!$B$43&gt;0),IF(MAX(0,Inputs!$B$43-B416)&lt;=0,0,(INT(MAX(0,Inputs!$B$43-B416)/(IF(Inputs!$B$38="pvp",15,MAX(0.1,Skills!E15-IF(Skills!F15=TRUE,Inputs!$B$32,0)))*(1-IF(AND(ArtifactsInput!$M$27,Inputs!$B$4="Chapter Hunt"),CHOOSE(ArtifactsInput!$N$27+1,20,24,28,32,36,40),0)/100)))+1)),0)</f>
        <v/>
      </c>
      <c r="S393">
        <f>IF(C393,(H393*N393*IF(AND(Inputs!$B$38&lt;&gt;"pvp",Inputs!$B$43&gt;0),((Skills!G15*((R393-1)*IF(Skills!H15&gt;0,Skills!I15/Skills!H15,1)+IF(Skills!H15&gt;0,MIN(Skills!I15,MAX(0,MAX(0,Inputs!$B$43-B416)-((R393-1)*(IF(Inputs!$B$38="pvp",15,MAX(0.1,Skills!E15-IF(Skills!F15=TRUE,Inputs!$B$32,0)))*(1-IF(AND(ArtifactsInput!$M$27,Inputs!$B$4="Chapter Hunt"),CHOOSE(ArtifactsInput!$N$27+1,20,24,28,32,36,40),0)/100)))))/Skills!H15,1)))/Inputs!$B$43),G393*Q393)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393*(1-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393*(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393*(1-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393*(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3">
        <f>IF(C393,(H393*N393*IF(AND(Inputs!$B$38&lt;&gt;"pvp",Inputs!$B$43&gt;0),((Skills!G15*((R393-1)*IF(Skills!H15&gt;0,Skills!I15/Skills!H15,1)+IF(Skills!H15&gt;0,MIN(Skills!I15,MAX(0,MAX(0,Inputs!$B$43-B416)-((R393-1)*(IF(Inputs!$B$38="pvp",15,MAX(0.1,Skills!E15-IF(Skills!F15=TRUE,Inputs!$B$32,0)))*(1-IF(AND(ArtifactsInput!$M$27,Inputs!$B$4="Chapter Hunt"),CHOOSE(ArtifactsInput!$N$27+1,20,24,28,32,36,40),0)/100)))))/Skills!H15,1)))/Inputs!$B$43),G393*Q393)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4">
      <c r="A394">
        <f>Skills!A16</f>
        <v/>
      </c>
      <c r="B394">
        <f>Skills!B16</f>
        <v/>
      </c>
      <c r="C394">
        <f>Inputs!$B$3&gt;=107</f>
        <v/>
      </c>
      <c r="D394">
        <f>IF(Skills!C16=1,60+Inputs!$B$25+Inputs!$B$29,IF(Skills!C16=2,90+Inputs!$B$26+Inputs!$B$29,IF(Skills!C16=3,120+Inputs!$B$27+Inputs!$B$29,MAX(0,(Inputs!$B$3-100)*3)+Inputs!$B$28+Inputs!$B$29)))</f>
        <v/>
      </c>
      <c r="E394">
        <f>INDEX(FactorTable!$B$2:$Y$301, MATCH(ROUND(MIN(300,MAX(1,D394)),0), FactorTable!$A$2:$A$301,0), Skills!M16+1)</f>
        <v/>
      </c>
      <c r="F394">
        <f>IF(Skills!N16=TRUE,(Skills!L16/10)*(E394/1000),Skills!L16/10)+Skills!O16</f>
        <v/>
      </c>
      <c r="G394">
        <f>Calc!G16</f>
        <v/>
      </c>
      <c r="H394">
        <f>Calc!H16</f>
        <v/>
      </c>
      <c r="I394">
        <f>IF(Skills!X16&lt;&gt;"",1+(Skills!X16/10)*(Z381/1000)/100,1)</f>
        <v/>
      </c>
      <c r="J394">
        <f>((Inputs!$B$6*(1+Inputs!$B$7/100))+(((Inputs!$B$12*(1+Inputs!$B$13/100))-(Inputs!$B$12*(1+Inputs!$B$13/100)))+0.25*(Inputs!$B$14-Inputs!$B$14))*(1+Inputs!$B$7/100))*(F394/100)</f>
        <v/>
      </c>
      <c r="K394">
        <f>J394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394)</f>
        <v/>
      </c>
      <c r="L394">
        <f>K394*(MIN((Inputs!$B$22+1)+(F400-Calc!F22),(Inputs!$B$23+(IF(ArtifactsInput!$M$15,CHOOSE(ArtifactsInput!$N$15+1,25,30,35,40,45,50)/100*(Inputs!$B$11-Inputs!$B$11),0))))/100+(Inputs!$B$23+(IF(ArtifactsInput!$M$15,CHOOSE(ArtifactsInput!$N$15+1,25,30,35,40,45,50)/100*(Inputs!$B$11-Inputs!$B$11),0)))/100)/2</f>
        <v/>
      </c>
      <c r="M394">
        <f>L394*(1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4">
        <f>L394*(1-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394*(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4">
        <f>(1-Summary!$B$11)*S394+Summary!$B$11*U394</f>
        <v/>
      </c>
      <c r="P394">
        <f>IF(B419=0,0,O394/B419)</f>
        <v/>
      </c>
      <c r="Q394">
        <f>IFERROR(1/(IF(Inputs!$B$38="pvp",15,MAX(0.1,Skills!E16-IF(Skills!F16=TRUE,Inputs!$B$32,0)))*(1-IF(AND(ArtifactsInput!$M$27,Inputs!$B$4="Chapter Hunt"),CHOOSE(ArtifactsInput!$N$27+1,20,24,28,32,36,40),0)/100)),0)</f>
        <v/>
      </c>
      <c r="R394">
        <f>IF(AND(Inputs!$B$38&lt;&gt;"pvp",Inputs!$B$43&gt;0),IF(MAX(0,Inputs!$B$43-B416)&lt;=0,0,(INT(MAX(0,Inputs!$B$43-B416)/(IF(Inputs!$B$38="pvp",15,MAX(0.1,Skills!E16-IF(Skills!F16=TRUE,Inputs!$B$32,0)))*(1-IF(AND(ArtifactsInput!$M$27,Inputs!$B$4="Chapter Hunt"),CHOOSE(ArtifactsInput!$N$27+1,20,24,28,32,36,40),0)/100)))+1)),0)</f>
        <v/>
      </c>
      <c r="S394">
        <f>IF(C394,(H394*N394*IF(AND(Inputs!$B$38&lt;&gt;"pvp",Inputs!$B$43&gt;0),((Skills!G16*((R394-1)*IF(Skills!H16&gt;0,Skills!I16/Skills!H16,1)+IF(Skills!H16&gt;0,MIN(Skills!I16,MAX(0,MAX(0,Inputs!$B$43-B416)-((R394-1)*(IF(Inputs!$B$38="pvp",15,MAX(0.1,Skills!E16-IF(Skills!F16=TRUE,Inputs!$B$32,0)))*(1-IF(AND(ArtifactsInput!$M$27,Inputs!$B$4="Chapter Hunt"),CHOOSE(ArtifactsInput!$N$27+1,20,24,28,32,36,40),0)/100)))))/Skills!H16,1)))/Inputs!$B$43),G394*Q394)*(1+IF(Inputs!$B$3&gt;=126,0.05*(B414+Q391+(H392*B415)/(1+Skills!H14*H392*B415)+Q402)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394*(1-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394*(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394*(1-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394*(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4">
        <f>IF(C394,(H394*N394*IF(AND(Inputs!$B$38&lt;&gt;"pvp",Inputs!$B$43&gt;0),((Skills!G16*((R394-1)*IF(Skills!H16&gt;0,Skills!I16/Skills!H16,1)+IF(Skills!H16&gt;0,MIN(Skills!I16,MAX(0,MAX(0,Inputs!$B$43-B416)-((R394-1)*(IF(Inputs!$B$38="pvp",15,MAX(0.1,Skills!E16-IF(Skills!F16=TRUE,Inputs!$B$32,0)))*(1-IF(AND(ArtifactsInput!$M$27,Inputs!$B$4="Chapter Hunt"),CHOOSE(ArtifactsInput!$N$27+1,20,24,28,32,36,40),0)/100)))))/Skills!H16,1)))/Inputs!$B$43),G394*Q394)*(1+IF(Inputs!$B$3&gt;=126,0.05*(B414+Q391+(H392*B415)/(1+Skills!H14*H392*B415)+Q402)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5">
      <c r="A395">
        <f>Skills!A17</f>
        <v/>
      </c>
      <c r="B395">
        <f>Skills!B17</f>
        <v/>
      </c>
      <c r="C395">
        <f>TRUE</f>
        <v/>
      </c>
      <c r="D395">
        <f>IF(Skills!C17=1,60+Inputs!$B$25+Inputs!$B$29,IF(Skills!C17=2,90+Inputs!$B$26+Inputs!$B$29,IF(Skills!C17=3,120+Inputs!$B$27+Inputs!$B$29,MAX(0,(Inputs!$B$3-100)*3)+Inputs!$B$28+Inputs!$B$29)))</f>
        <v/>
      </c>
      <c r="E395">
        <f>INDEX(FactorTable!$B$2:$Y$301, MATCH(ROUND(MIN(300,MAX(1,D395)),0), FactorTable!$A$2:$A$301,0), Skills!M17+1)</f>
        <v/>
      </c>
      <c r="F395">
        <f>IF(Skills!N17=TRUE,(Skills!L17/10)*(E395/1000),Skills!L17/10)+Skills!O17</f>
        <v/>
      </c>
      <c r="G395">
        <f>Calc!G17</f>
        <v/>
      </c>
      <c r="H395">
        <f>Calc!H17</f>
        <v/>
      </c>
      <c r="I395">
        <f>IF(Skills!X17&lt;&gt;"",1+(Skills!X17/10)*(Z381/1000)/100,1)</f>
        <v/>
      </c>
      <c r="J395" t="inlineStr"/>
      <c r="K395" t="inlineStr"/>
      <c r="L395" t="inlineStr"/>
      <c r="M395" t="inlineStr"/>
      <c r="N395" t="inlineStr"/>
      <c r="O395">
        <f>(1-Summary!$B$11)*S395+Summary!$B$11*U395</f>
        <v/>
      </c>
      <c r="P395">
        <f>IF(B419=0,0,O395/B419)</f>
        <v/>
      </c>
      <c r="Q395">
        <f>IFERROR(1/(IF(Inputs!$B$38="pvp",15,MAX(0.1,Skills!E17-IF(Skills!F17=TRUE,Inputs!$B$32,0)))*(1-IF(AND(ArtifactsInput!$M$27,Inputs!$B$4="Chapter Hunt"),CHOOSE(ArtifactsInput!$N$27+1,20,24,28,32,36,40),0)/100)),0)</f>
        <v/>
      </c>
      <c r="R395">
        <f>IF(AND(Inputs!$B$38&lt;&gt;"pvp",Inputs!$B$43&gt;0),IF(Inputs!$B$43&lt;=0,0,(INT(Inputs!$B$43/(IF(Inputs!$B$38="pvp",15,MAX(0.1,Skills!E17-IF(Skills!F17=TRUE,Inputs!$B$32,0)))*(1-IF(AND(ArtifactsInput!$M$27,Inputs!$B$4="Chapter Hunt"),CHOOSE(ArtifactsInput!$N$27+1,20,24,28,32,36,40),0)/100)))+1)),0)</f>
        <v/>
      </c>
      <c r="S395" t="n">
        <v>0</v>
      </c>
      <c r="U395" t="n">
        <v>0</v>
      </c>
    </row>
    <row r="396">
      <c r="A396">
        <f>Skills!A18</f>
        <v/>
      </c>
      <c r="B396">
        <f>Skills!B18</f>
        <v/>
      </c>
      <c r="C396">
        <f>TRUE</f>
        <v/>
      </c>
      <c r="D396">
        <f>IF(Skills!C18=1,60+Inputs!$B$25+Inputs!$B$29,IF(Skills!C18=2,90+Inputs!$B$26+Inputs!$B$29,IF(Skills!C18=3,120+Inputs!$B$27+Inputs!$B$29,MAX(0,(Inputs!$B$3-100)*3)+Inputs!$B$28+Inputs!$B$29)))</f>
        <v/>
      </c>
      <c r="E396">
        <f>INDEX(FactorTable!$B$2:$Y$301, MATCH(ROUND(MIN(300,MAX(1,D396)),0), FactorTable!$A$2:$A$301,0), Skills!M18+1)</f>
        <v/>
      </c>
      <c r="F396">
        <f>IF(Skills!N18=TRUE,(Skills!L18/10)*(E396/1000),Skills!L18/10)+Skills!O18</f>
        <v/>
      </c>
      <c r="G396">
        <f>Calc!G18</f>
        <v/>
      </c>
      <c r="H396">
        <f>Calc!H18</f>
        <v/>
      </c>
      <c r="I396">
        <f>IF(Skills!X18&lt;&gt;"",1+(Skills!X18/10)*(Z381/1000)/100,1)</f>
        <v/>
      </c>
      <c r="J396" t="inlineStr"/>
      <c r="K396" t="inlineStr"/>
      <c r="L396" t="inlineStr"/>
      <c r="M396" t="inlineStr"/>
      <c r="N396" t="inlineStr"/>
      <c r="O396">
        <f>(1-Summary!$B$11)*S396+Summary!$B$11*U396</f>
        <v/>
      </c>
      <c r="P396">
        <f>IF(B419=0,0,O396/B419)</f>
        <v/>
      </c>
      <c r="Q396">
        <f>IFERROR(1/(IF(Inputs!$B$38="pvp",15,MAX(0.1,Skills!E18-IF(Skills!F18=TRUE,Inputs!$B$32,0)))*(1-IF(AND(ArtifactsInput!$M$27,Inputs!$B$4="Chapter Hunt"),CHOOSE(ArtifactsInput!$N$27+1,20,24,28,32,36,40),0)/100)),0)</f>
        <v/>
      </c>
      <c r="R396">
        <f>IF(AND(Inputs!$B$38&lt;&gt;"pvp",Inputs!$B$43&gt;0),IF(Inputs!$B$43&lt;=0,0,(INT(Inputs!$B$43/(IF(Inputs!$B$38="pvp",15,MAX(0.1,Skills!E18-IF(Skills!F18=TRUE,Inputs!$B$32,0)))*(1-IF(AND(ArtifactsInput!$M$27,Inputs!$B$4="Chapter Hunt"),CHOOSE(ArtifactsInput!$N$27+1,20,24,28,32,36,40),0)/100)))+1)),0)</f>
        <v/>
      </c>
      <c r="S396" t="n">
        <v>0</v>
      </c>
      <c r="U396" t="n">
        <v>0</v>
      </c>
    </row>
    <row r="397">
      <c r="A397">
        <f>Skills!A19</f>
        <v/>
      </c>
      <c r="B397">
        <f>Skills!B19</f>
        <v/>
      </c>
      <c r="C397">
        <f>Inputs!$B$3&gt;=110</f>
        <v/>
      </c>
      <c r="D397">
        <f>IF(Skills!C19=1,60+Inputs!$B$25+Inputs!$B$29,IF(Skills!C19=2,90+Inputs!$B$26+Inputs!$B$29,IF(Skills!C19=3,120+Inputs!$B$27+Inputs!$B$29,MAX(0,(Inputs!$B$3-100)*3)+Inputs!$B$28+Inputs!$B$29)))</f>
        <v/>
      </c>
      <c r="E397">
        <f>INDEX(FactorTable!$B$2:$Y$301, MATCH(ROUND(MIN(300,MAX(1,D397)),0), FactorTable!$A$2:$A$301,0), Skills!M19+1)</f>
        <v/>
      </c>
      <c r="F397">
        <f>IF(Skills!N19=TRUE,(Skills!L19/10)*(E397/1000),Skills!L19/10)+Skills!O19</f>
        <v/>
      </c>
      <c r="G397">
        <f>Calc!G19</f>
        <v/>
      </c>
      <c r="H397">
        <f>Calc!H19</f>
        <v/>
      </c>
      <c r="I397">
        <f>IF(Skills!X19&lt;&gt;"",1+(Skills!X19/10)*(Z381/1000)/100,1)</f>
        <v/>
      </c>
      <c r="J397" t="inlineStr"/>
      <c r="K397" t="inlineStr"/>
      <c r="L397" t="inlineStr"/>
      <c r="M397" t="inlineStr"/>
      <c r="N397" t="inlineStr"/>
      <c r="O397">
        <f>(1-Summary!$B$11)*S397+Summary!$B$11*U397</f>
        <v/>
      </c>
      <c r="P397">
        <f>IF(B419=0,0,O397/B419)</f>
        <v/>
      </c>
      <c r="Q397">
        <f>IFERROR(1/(IF(Inputs!$B$38="pvp",15,MAX(0.1,Skills!E19-IF(Skills!F19=TRUE,Inputs!$B$32,0)))*(1-IF(AND(ArtifactsInput!$M$27,Inputs!$B$4="Chapter Hunt"),CHOOSE(ArtifactsInput!$N$27+1,20,24,28,32,36,40),0)/100)),0)</f>
        <v/>
      </c>
      <c r="R397">
        <f>IF(AND(Inputs!$B$38&lt;&gt;"pvp",Inputs!$B$43&gt;0),IF(Inputs!$B$43&lt;=0,0,(INT(Inputs!$B$43/(IF(Inputs!$B$38="pvp",15,MAX(0.1,Skills!E19-IF(Skills!F19=TRUE,Inputs!$B$32,0)))*(1-IF(AND(ArtifactsInput!$M$27,Inputs!$B$4="Chapter Hunt"),CHOOSE(ArtifactsInput!$N$27+1,20,24,28,32,36,40),0)/100)))+1)),0)</f>
        <v/>
      </c>
      <c r="S397" t="n">
        <v>0</v>
      </c>
      <c r="U397" t="n">
        <v>0</v>
      </c>
    </row>
    <row r="398">
      <c r="A398">
        <f>Skills!A20</f>
        <v/>
      </c>
      <c r="B398">
        <f>Skills!B20</f>
        <v/>
      </c>
      <c r="C398">
        <f>TRUE</f>
        <v/>
      </c>
      <c r="D398">
        <f>IF(Skills!C20=1,60+Inputs!$B$25+Inputs!$B$29,IF(Skills!C20=2,90+Inputs!$B$26+Inputs!$B$29,IF(Skills!C20=3,120+Inputs!$B$27+Inputs!$B$29,MAX(0,(Inputs!$B$3-100)*3)+Inputs!$B$28+Inputs!$B$29)))</f>
        <v/>
      </c>
      <c r="E398">
        <f>INDEX(FactorTable!$B$2:$Y$301, MATCH(ROUND(MIN(300,MAX(1,D398)),0), FactorTable!$A$2:$A$301,0), Skills!M20+1)</f>
        <v/>
      </c>
      <c r="F398">
        <f>IF(Skills!N20=TRUE,(Skills!L20/10)*(E398/1000),Skills!L20/10)+Skills!O20</f>
        <v/>
      </c>
      <c r="G398">
        <f>Calc!G20</f>
        <v/>
      </c>
      <c r="H398">
        <f>Calc!H20</f>
        <v/>
      </c>
      <c r="I398">
        <f>IF(Skills!X20&lt;&gt;"",1+(Skills!X20/10)*(Z381/1000)/100,1)</f>
        <v/>
      </c>
      <c r="J398" t="inlineStr"/>
      <c r="K398" t="inlineStr"/>
      <c r="L398" t="inlineStr"/>
      <c r="M398" t="inlineStr"/>
      <c r="N398" t="inlineStr"/>
      <c r="O398">
        <f>(1-Summary!$B$11)*S398+Summary!$B$11*U398</f>
        <v/>
      </c>
      <c r="P398">
        <f>IF(B419=0,0,O398/B419)</f>
        <v/>
      </c>
      <c r="Q398">
        <f>IFERROR(1/(IF(Inputs!$B$38="pvp",15,MAX(0.1,Skills!E20-IF(Skills!F20=TRUE,Inputs!$B$32,0)))*(1-IF(AND(ArtifactsInput!$M$27,Inputs!$B$4="Chapter Hunt"),CHOOSE(ArtifactsInput!$N$27+1,20,24,28,32,36,40),0)/100)),0)</f>
        <v/>
      </c>
      <c r="R398" t="n">
        <v>0</v>
      </c>
      <c r="S398" t="n">
        <v>0</v>
      </c>
      <c r="U398" t="n">
        <v>0</v>
      </c>
    </row>
    <row r="399">
      <c r="A399">
        <f>Skills!A21</f>
        <v/>
      </c>
      <c r="B399">
        <f>Skills!B21</f>
        <v/>
      </c>
      <c r="C399">
        <f>TRUE</f>
        <v/>
      </c>
      <c r="D399">
        <f>IF(Skills!C21=1,60+Inputs!$B$25+Inputs!$B$29,IF(Skills!C21=2,90+Inputs!$B$26+Inputs!$B$29,IF(Skills!C21=3,120+Inputs!$B$27+Inputs!$B$29,MAX(0,(Inputs!$B$3-100)*3)+Inputs!$B$28+Inputs!$B$29)))</f>
        <v/>
      </c>
      <c r="E399">
        <f>INDEX(FactorTable!$B$2:$Y$301, MATCH(ROUND(MIN(300,MAX(1,D399)),0), FactorTable!$A$2:$A$301,0), Skills!M21+1)</f>
        <v/>
      </c>
      <c r="F399">
        <f>IF(Skills!N21=TRUE,(Skills!L21/10)*(E399/1000),Skills!L21/10)+Skills!O21</f>
        <v/>
      </c>
      <c r="G399">
        <f>Calc!G21</f>
        <v/>
      </c>
      <c r="H399">
        <f>Calc!H21</f>
        <v/>
      </c>
      <c r="I399">
        <f>IF(Skills!X21&lt;&gt;"",1+(Skills!X21/10)*(Z381/1000)/100,1)</f>
        <v/>
      </c>
      <c r="J399" t="inlineStr"/>
      <c r="K399" t="inlineStr"/>
      <c r="L399" t="inlineStr"/>
      <c r="M399" t="inlineStr"/>
      <c r="N399" t="inlineStr"/>
      <c r="O399">
        <f>(1-Summary!$B$11)*S399+Summary!$B$11*U399</f>
        <v/>
      </c>
      <c r="P399">
        <f>IF(B419=0,0,O399/B419)</f>
        <v/>
      </c>
      <c r="Q399">
        <f>IFERROR(1/(IF(Inputs!$B$38="pvp",15,MAX(0.1,Skills!E21-IF(Skills!F21=TRUE,Inputs!$B$32,0)))*(1-IF(AND(ArtifactsInput!$M$27,Inputs!$B$4="Chapter Hunt"),CHOOSE(ArtifactsInput!$N$27+1,20,24,28,32,36,40),0)/100)),0)</f>
        <v/>
      </c>
      <c r="R399" t="n">
        <v>0</v>
      </c>
      <c r="S399" t="n">
        <v>0</v>
      </c>
      <c r="U399" t="n">
        <v>0</v>
      </c>
    </row>
    <row r="400">
      <c r="A400">
        <f>Skills!A22</f>
        <v/>
      </c>
      <c r="B400">
        <f>Skills!B22</f>
        <v/>
      </c>
      <c r="C400">
        <f>TRUE</f>
        <v/>
      </c>
      <c r="D400">
        <f>IF(Skills!C22=1,60+Inputs!$B$25+Inputs!$B$29,IF(Skills!C22=2,90+Inputs!$B$26+Inputs!$B$29,IF(Skills!C22=3,120+Inputs!$B$27+Inputs!$B$29,MAX(0,(Inputs!$B$3-100)*3)+Inputs!$B$28+Inputs!$B$29)))</f>
        <v/>
      </c>
      <c r="E400">
        <f>INDEX(FactorTable!$B$2:$Y$301, MATCH(ROUND(MIN(300,MAX(1,D400)),0), FactorTable!$A$2:$A$301,0), Skills!M22+1)</f>
        <v/>
      </c>
      <c r="F400">
        <f>IF(Skills!N22=TRUE,(Skills!L22/10)*(E400/1000),Skills!L22/10)+Skills!O22</f>
        <v/>
      </c>
      <c r="G400">
        <f>Calc!G22</f>
        <v/>
      </c>
      <c r="H400">
        <f>Calc!H22</f>
        <v/>
      </c>
      <c r="I400">
        <f>IF(Skills!X22&lt;&gt;"",1+(Skills!X22/10)*(Z381/1000)/100,1)</f>
        <v/>
      </c>
      <c r="J400" t="inlineStr"/>
      <c r="K400" t="inlineStr"/>
      <c r="L400" t="inlineStr"/>
      <c r="M400" t="inlineStr"/>
      <c r="N400" t="inlineStr"/>
      <c r="O400">
        <f>(1-Summary!$B$11)*S400+Summary!$B$11*U400</f>
        <v/>
      </c>
      <c r="P400">
        <f>IF(B419=0,0,O400/B419)</f>
        <v/>
      </c>
      <c r="Q400">
        <f>IFERROR(1/(IF(Inputs!$B$38="pvp",15,MAX(0.1,Skills!E22-IF(Skills!F22=TRUE,Inputs!$B$32,0)))*(1-IF(AND(ArtifactsInput!$M$27,Inputs!$B$4="Chapter Hunt"),CHOOSE(ArtifactsInput!$N$27+1,20,24,28,32,36,40),0)/100)),0)</f>
        <v/>
      </c>
      <c r="R400" t="n">
        <v>0</v>
      </c>
      <c r="S400" t="n">
        <v>0</v>
      </c>
      <c r="U400" t="n">
        <v>0</v>
      </c>
    </row>
    <row r="401">
      <c r="A401">
        <f>Skills!A23</f>
        <v/>
      </c>
      <c r="B401">
        <f>Skills!B23</f>
        <v/>
      </c>
      <c r="C401">
        <f>TRUE</f>
        <v/>
      </c>
      <c r="D401">
        <f>IF(Skills!C23=1,60+Inputs!$B$25+Inputs!$B$29,IF(Skills!C23=2,90+Inputs!$B$26+Inputs!$B$29,IF(Skills!C23=3,120+Inputs!$B$27+Inputs!$B$29,MAX(0,(Inputs!$B$3-100)*3)+Inputs!$B$28+Inputs!$B$29)))</f>
        <v/>
      </c>
      <c r="E401">
        <f>INDEX(FactorTable!$B$2:$Y$301, MATCH(ROUND(MIN(300,MAX(1,D401)),0), FactorTable!$A$2:$A$301,0), Skills!M23+1)</f>
        <v/>
      </c>
      <c r="F401">
        <f>IF(Skills!N23=TRUE,(Skills!L23/10)*(E401/1000),Skills!L23/10)+Skills!O23</f>
        <v/>
      </c>
      <c r="G401">
        <f>Calc!G23</f>
        <v/>
      </c>
      <c r="H401">
        <f>Calc!H23</f>
        <v/>
      </c>
      <c r="I401">
        <f>IF(Skills!X23&lt;&gt;"",1+(Skills!X23/10)*(Z381/1000)/100,1)</f>
        <v/>
      </c>
      <c r="J401" t="inlineStr"/>
      <c r="K401" t="inlineStr"/>
      <c r="L401" t="inlineStr"/>
      <c r="M401" t="inlineStr"/>
      <c r="N401" t="inlineStr"/>
      <c r="O401">
        <f>(1-Summary!$B$11)*S401+Summary!$B$11*U401</f>
        <v/>
      </c>
      <c r="P401">
        <f>IF(B419=0,0,O401/B419)</f>
        <v/>
      </c>
      <c r="Q401">
        <f>IFERROR(1/(IF(Inputs!$B$38="pvp",15,MAX(0.1,Skills!E23-IF(Skills!F23=TRUE,Inputs!$B$32,0)))*(1-IF(AND(ArtifactsInput!$M$27,Inputs!$B$4="Chapter Hunt"),CHOOSE(ArtifactsInput!$N$27+1,20,24,28,32,36,40),0)/100)),0)</f>
        <v/>
      </c>
      <c r="R401" t="n">
        <v>0</v>
      </c>
      <c r="S401" t="n">
        <v>0</v>
      </c>
      <c r="U401" t="n">
        <v>0</v>
      </c>
    </row>
    <row r="402">
      <c r="A402">
        <f>Skills!A24</f>
        <v/>
      </c>
      <c r="B402">
        <f>Skills!B24</f>
        <v/>
      </c>
      <c r="C402">
        <f>Inputs!$B$3&gt;=115</f>
        <v/>
      </c>
      <c r="D402">
        <f>IF(Skills!C24=1,60+Inputs!$B$25+Inputs!$B$29,IF(Skills!C24=2,90+Inputs!$B$26+Inputs!$B$29,IF(Skills!C24=3,120+Inputs!$B$27+Inputs!$B$29,MAX(0,(Inputs!$B$3-100)*3)+Inputs!$B$28+Inputs!$B$29)))</f>
        <v/>
      </c>
      <c r="E402">
        <f>INDEX(FactorTable!$B$2:$Y$301, MATCH(ROUND(MIN(300,MAX(1,D402)),0), FactorTable!$A$2:$A$301,0), Skills!M24+1)</f>
        <v/>
      </c>
      <c r="F402">
        <f>IF(Skills!N24=TRUE,(Skills!L24/10)*(E402/1000),Skills!L24/10)+Skills!O24</f>
        <v/>
      </c>
      <c r="G402">
        <f>Calc!G24</f>
        <v/>
      </c>
      <c r="H402">
        <f>Calc!H24</f>
        <v/>
      </c>
      <c r="I402">
        <f>IF(Skills!X24&lt;&gt;"",1+(Skills!X24/10)*(Z381/1000)/100,1)</f>
        <v/>
      </c>
      <c r="J402">
        <f>((Inputs!$B$6*(1+Inputs!$B$7/100))+(((Inputs!$B$12*(1+Inputs!$B$13/100))-(Inputs!$B$12*(1+Inputs!$B$13/100)))+0.25*(Inputs!$B$14-Inputs!$B$14))*(1+Inputs!$B$7/100))*(F402/100)</f>
        <v/>
      </c>
      <c r="K402">
        <f>J402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402)</f>
        <v/>
      </c>
      <c r="L402">
        <f>K402*(MIN((Inputs!$B$22+1)+(F400-Calc!F22),(Inputs!$B$23+(IF(ArtifactsInput!$M$15,CHOOSE(ArtifactsInput!$N$15+1,25,30,35,40,45,50)/100*(Inputs!$B$11-Inputs!$B$11),0))))/100+(Inputs!$B$23+(IF(ArtifactsInput!$M$15,CHOOSE(ArtifactsInput!$N$15+1,25,30,35,40,45,50)/100*(Inputs!$B$11-Inputs!$B$11),0)))/100)/2</f>
        <v/>
      </c>
      <c r="M402">
        <f>L402*(1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2">
        <f>L402*(1-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402*(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2">
        <f>(1-Summary!$B$11)*S402+Summary!$B$11*U402</f>
        <v/>
      </c>
      <c r="P402">
        <f>IF(B419=0,0,O402/B419)</f>
        <v/>
      </c>
      <c r="Q402">
        <f>IFERROR(1/(IF(Inputs!$B$38="pvp",15,MAX(0.1,Skills!E24-IF(Skills!F24=TRUE,Inputs!$B$32,0)))*(1-IF(AND(ArtifactsInput!$M$27,Inputs!$B$4="Chapter Hunt"),CHOOSE(ArtifactsInput!$N$27+1,20,24,28,32,36,40),0)/100)),0)</f>
        <v/>
      </c>
      <c r="R402">
        <f>IF(AND(Inputs!$B$38&lt;&gt;"pvp",Inputs!$B$43&gt;0),IF(MAX(0,Inputs!$B$43-B416)&lt;=0,0,(INT(MAX(0,Inputs!$B$43-B416)/(IF(Inputs!$B$38="pvp",15,MAX(0.1,Skills!E24-IF(Skills!F24=TRUE,Inputs!$B$32,0)))*(1-IF(AND(ArtifactsInput!$M$27,Inputs!$B$4="Chapter Hunt"),CHOOSE(ArtifactsInput!$N$27+1,20,24,28,32,36,40),0)/100)))+1)),0)</f>
        <v/>
      </c>
      <c r="S402">
        <f>IF(C402,(H402*N402*IF(AND(Inputs!$B$38&lt;&gt;"pvp",Inputs!$B$43&gt;0),((Skills!G24*((R402-1)*IF(Skills!H24&gt;0,Skills!I24/Skills!H24,1)+IF(Skills!H24&gt;0,MIN(Skills!I24,MAX(0,MAX(0,Inputs!$B$43-B416)-((R402-1)*(IF(Inputs!$B$38="pvp",15,MAX(0.1,Skills!E24-IF(Skills!F24=TRUE,Inputs!$B$32,0)))*(1-IF(AND(ArtifactsInput!$M$27,Inputs!$B$4="Chapter Hunt"),CHOOSE(ArtifactsInput!$N$27+1,20,24,28,32,36,40),0)/100)))))/Skills!H24,1)))/Inputs!$B$43),G402*Q402)*(1+IF(Inputs!$B$3&gt;=130,0.2*(Skills!I16/Skills!E15+IF(Inputs!$B$3&gt;=126,0.05*(B414+Q391+(H392*B415)/(1+Skills!H14*H392*B415)+Q402)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402*(1-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402*(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402*(1-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402*(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2">
        <f>IF(C402,(H402*N402*IF(AND(Inputs!$B$38&lt;&gt;"pvp",Inputs!$B$43&gt;0),((Skills!G24*((R402-1)*IF(Skills!H24&gt;0,Skills!I24/Skills!H24,1)+IF(Skills!H24&gt;0,MIN(Skills!I24,MAX(0,MAX(0,Inputs!$B$43-B416)-((R402-1)*(IF(Inputs!$B$38="pvp",15,MAX(0.1,Skills!E24-IF(Skills!F24=TRUE,Inputs!$B$32,0)))*(1-IF(AND(ArtifactsInput!$M$27,Inputs!$B$4="Chapter Hunt"),CHOOSE(ArtifactsInput!$N$27+1,20,24,28,32,36,40),0)/100)))))/Skills!H24,1)))/Inputs!$B$43),G402*Q402)*(1+IF(Inputs!$B$3&gt;=130,0.2*(Skills!I16/Skills!E15+IF(Inputs!$B$3&gt;=126,0.05*(B414+Q391+(H392*B415)/(1+Skills!H14*H392*B415)+Q402)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3">
      <c r="A403">
        <f>Skills!A25</f>
        <v/>
      </c>
      <c r="B403">
        <f>Skills!B25</f>
        <v/>
      </c>
      <c r="C403">
        <f>Inputs!$B$3&gt;=117</f>
        <v/>
      </c>
      <c r="D403">
        <f>IF(Skills!C25=1,60+Inputs!$B$25+Inputs!$B$29,IF(Skills!C25=2,90+Inputs!$B$26+Inputs!$B$29,IF(Skills!C25=3,120+Inputs!$B$27+Inputs!$B$29,MAX(0,(Inputs!$B$3-100)*3)+Inputs!$B$28+Inputs!$B$29)))</f>
        <v/>
      </c>
      <c r="E403">
        <f>INDEX(FactorTable!$B$2:$Y$301, MATCH(ROUND(MIN(300,MAX(1,D403)),0), FactorTable!$A$2:$A$301,0), Skills!M25+1)</f>
        <v/>
      </c>
      <c r="F403">
        <f>IF(Skills!N25=TRUE,(Skills!L25/10)*(E403/1000),Skills!L25/10)+Skills!O25</f>
        <v/>
      </c>
      <c r="G403">
        <f>Calc!G25</f>
        <v/>
      </c>
      <c r="H403">
        <f>Calc!H25</f>
        <v/>
      </c>
      <c r="I403">
        <f>IF(Skills!X25&lt;&gt;"",1+(Skills!X25/10)*(Z381/1000)/100,1)</f>
        <v/>
      </c>
      <c r="J403" t="inlineStr"/>
      <c r="K403" t="inlineStr"/>
      <c r="L403" t="inlineStr"/>
      <c r="M403" t="inlineStr"/>
      <c r="N403" t="inlineStr"/>
      <c r="O403">
        <f>(1-Summary!$B$11)*S403+Summary!$B$11*U403</f>
        <v/>
      </c>
      <c r="P403">
        <f>IF(B419=0,0,O403/B419)</f>
        <v/>
      </c>
      <c r="Q403">
        <f>IFERROR(1/(IF(Inputs!$B$38="pvp",15,MAX(0.1,Skills!E25-IF(Skills!F25=TRUE,Inputs!$B$32,0)))*(1-IF(AND(ArtifactsInput!$M$27,Inputs!$B$4="Chapter Hunt"),CHOOSE(ArtifactsInput!$N$27+1,20,24,28,32,36,40),0)/100)),0)</f>
        <v/>
      </c>
      <c r="R403" t="n">
        <v>0</v>
      </c>
      <c r="S403" t="n">
        <v>0</v>
      </c>
      <c r="U403" t="n">
        <v>0</v>
      </c>
    </row>
    <row r="404">
      <c r="A404">
        <f>Skills!A26</f>
        <v/>
      </c>
      <c r="B404">
        <f>Skills!B26</f>
        <v/>
      </c>
      <c r="C404">
        <f>Inputs!$B$3&gt;=120</f>
        <v/>
      </c>
      <c r="D404">
        <f>IF(Skills!C26=1,60+Inputs!$B$25+Inputs!$B$29,IF(Skills!C26=2,90+Inputs!$B$26+Inputs!$B$29,IF(Skills!C26=3,120+Inputs!$B$27+Inputs!$B$29,MAX(0,(Inputs!$B$3-100)*3)+Inputs!$B$28+Inputs!$B$29)))</f>
        <v/>
      </c>
      <c r="E404">
        <f>INDEX(FactorTable!$B$2:$Y$301, MATCH(ROUND(MIN(300,MAX(1,D404)),0), FactorTable!$A$2:$A$301,0), Skills!M26+1)</f>
        <v/>
      </c>
      <c r="F404">
        <f>IF(Skills!N26=TRUE,(Skills!L26/10)*(E404/1000),Skills!L26/10)+Skills!O26</f>
        <v/>
      </c>
      <c r="G404">
        <f>Calc!G26</f>
        <v/>
      </c>
      <c r="H404">
        <f>Calc!H26</f>
        <v/>
      </c>
      <c r="I404">
        <f>IF(Skills!X26&lt;&gt;"",1+(Skills!X26/10)*(Z381/1000)/100,1)</f>
        <v/>
      </c>
      <c r="J404" t="inlineStr"/>
      <c r="K404" t="inlineStr"/>
      <c r="L404" t="inlineStr"/>
      <c r="M404" t="inlineStr"/>
      <c r="N404" t="inlineStr"/>
      <c r="O404">
        <f>(1-Summary!$B$11)*S404+Summary!$B$11*U404</f>
        <v/>
      </c>
      <c r="P404">
        <f>IF(B419=0,0,O404/B419)</f>
        <v/>
      </c>
      <c r="Q404">
        <f>IFERROR(1/(IF(Inputs!$B$38="pvp",15,MAX(0.1,Skills!E26-IF(Skills!F26=TRUE,Inputs!$B$32,0)))*(1-IF(AND(ArtifactsInput!$M$27,Inputs!$B$4="Chapter Hunt"),CHOOSE(ArtifactsInput!$N$27+1,20,24,28,32,36,40),0)/100)),0)</f>
        <v/>
      </c>
      <c r="R404" t="n">
        <v>0</v>
      </c>
      <c r="S404" t="n">
        <v>0</v>
      </c>
      <c r="U404" t="n">
        <v>0</v>
      </c>
    </row>
    <row r="405">
      <c r="A405">
        <f>Skills!A27</f>
        <v/>
      </c>
      <c r="B405">
        <f>Skills!B27</f>
        <v/>
      </c>
      <c r="C405">
        <f>Inputs!$B$3&gt;=125</f>
        <v/>
      </c>
      <c r="D405">
        <f>IF(Skills!C27=1,60+Inputs!$B$25+Inputs!$B$29,IF(Skills!C27=2,90+Inputs!$B$26+Inputs!$B$29,IF(Skills!C27=3,120+Inputs!$B$27+Inputs!$B$29,MAX(0,(Inputs!$B$3-100)*3)+Inputs!$B$28+Inputs!$B$29)))</f>
        <v/>
      </c>
      <c r="E405">
        <f>INDEX(FactorTable!$B$2:$Y$301, MATCH(ROUND(MIN(300,MAX(1,D405)),0), FactorTable!$A$2:$A$301,0), Skills!M27+1)</f>
        <v/>
      </c>
      <c r="F405">
        <f>IF(Skills!N27=TRUE,(Skills!L27/10)*(E405/1000),Skills!L27/10)+Skills!O27</f>
        <v/>
      </c>
      <c r="G405">
        <f>Calc!G27</f>
        <v/>
      </c>
      <c r="H405">
        <f>Calc!H27</f>
        <v/>
      </c>
      <c r="I405">
        <f>IF(Skills!X27&lt;&gt;"",1+(Skills!X27/10)*(Z381/1000)/100,1)</f>
        <v/>
      </c>
      <c r="J405" t="inlineStr"/>
      <c r="K405" t="inlineStr"/>
      <c r="L405" t="inlineStr"/>
      <c r="M405" t="inlineStr"/>
      <c r="N405" t="inlineStr"/>
      <c r="O405">
        <f>(1-Summary!$B$11)*S405+Summary!$B$11*U405</f>
        <v/>
      </c>
      <c r="P405">
        <f>IF(B419=0,0,O405/B419)</f>
        <v/>
      </c>
      <c r="Q405">
        <f>IFERROR(1/(IF(Inputs!$B$38="pvp",15,MAX(0.1,Skills!E27-IF(Skills!F27=TRUE,Inputs!$B$32,0)))*(1-IF(AND(ArtifactsInput!$M$27,Inputs!$B$4="Chapter Hunt"),CHOOSE(ArtifactsInput!$N$27+1,20,24,28,32,36,40),0)/100)),0)</f>
        <v/>
      </c>
      <c r="R405" t="n">
        <v>0</v>
      </c>
      <c r="S405" t="n">
        <v>0</v>
      </c>
      <c r="U405" t="n">
        <v>0</v>
      </c>
    </row>
    <row r="406">
      <c r="A406">
        <f>Skills!A28</f>
        <v/>
      </c>
      <c r="B406">
        <f>Skills!B28</f>
        <v/>
      </c>
      <c r="C406">
        <f>Inputs!$B$3&gt;=118</f>
        <v/>
      </c>
      <c r="D406">
        <f>IF(Skills!C28=1,60+Inputs!$B$25+Inputs!$B$29,IF(Skills!C28=2,90+Inputs!$B$26+Inputs!$B$29,IF(Skills!C28=3,120+Inputs!$B$27+Inputs!$B$29,MAX(0,(Inputs!$B$3-100)*3)+Inputs!$B$28+Inputs!$B$29)))</f>
        <v/>
      </c>
      <c r="E406">
        <f>INDEX(FactorTable!$B$2:$Y$301, MATCH(ROUND(MIN(300,MAX(1,D406)),0), FactorTable!$A$2:$A$301,0), Skills!M28+1)</f>
        <v/>
      </c>
      <c r="F406">
        <f>IF(Skills!N28=TRUE,(Skills!L28/10)*(E406/1000),Skills!L28/10)+Skills!O28</f>
        <v/>
      </c>
      <c r="G406">
        <f>Calc!G28</f>
        <v/>
      </c>
      <c r="H406">
        <f>Calc!H28</f>
        <v/>
      </c>
      <c r="I406">
        <f>IF(Skills!X28&lt;&gt;"",1+(Skills!X28/10)*(Z381/1000)/100,1)</f>
        <v/>
      </c>
      <c r="J406">
        <f>((Inputs!$B$6*(1+Inputs!$B$7/100))+(((Inputs!$B$12*(1+Inputs!$B$13/100))-(Inputs!$B$12*(1+Inputs!$B$13/100)))+0.25*(Inputs!$B$14-Inputs!$B$14))*(1+Inputs!$B$7/100))*(F406/100)</f>
        <v/>
      </c>
      <c r="K406">
        <f>J406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401/100)*(1+IF(Inputs!$B$3&gt;=120,F404,0)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405*5,0)))/100)*(B408*B409*B410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406)</f>
        <v/>
      </c>
      <c r="L406">
        <f>K406*(MIN((Inputs!$B$22+1)+(F400-Calc!F22),(Inputs!$B$23+(IF(ArtifactsInput!$M$15,CHOOSE(ArtifactsInput!$N$15+1,25,30,35,40,45,50)/100*(Inputs!$B$11-Inputs!$B$11),0))))/100+(Inputs!$B$23+(IF(ArtifactsInput!$M$15,CHOOSE(ArtifactsInput!$N$15+1,25,30,35,40,45,50)/100*(Inputs!$B$11-Inputs!$B$11),0)))/100)/2</f>
        <v/>
      </c>
      <c r="M406">
        <f>L406*(1+(Inputs!$B$10+(F399-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6">
        <f>L406*(1-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406*(MIN((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6">
        <f>(1-Summary!$B$11)*S406+Summary!$B$11*U406</f>
        <v/>
      </c>
      <c r="P406">
        <f>IF(B419=0,0,O406/B419)</f>
        <v/>
      </c>
      <c r="Q406">
        <f>IFERROR(1/(IF(Inputs!$B$38="pvp",15,MAX(0.1,Skills!E28-IF(Skills!F28=TRUE,Inputs!$B$32,0)))*(1-IF(AND(ArtifactsInput!$M$27,Inputs!$B$4="Chapter Hunt"),CHOOSE(ArtifactsInput!$N$27+1,20,24,28,32,36,40),0)/100)),0)</f>
        <v/>
      </c>
      <c r="R406">
        <f>IF(AND(Inputs!$B$38&lt;&gt;"pvp",Inputs!$B$43&gt;0),IF(MAX(0,Inputs!$B$43-B416)&lt;=0,0,(INT(MAX(0,Inputs!$B$43-B416)/(IF(Inputs!$B$38="pvp",15,MAX(0.1,Skills!E28-IF(Skills!F28=TRUE,Inputs!$B$32,0)))*(1-IF(AND(ArtifactsInput!$M$27,Inputs!$B$4="Chapter Hunt"),CHOOSE(ArtifactsInput!$N$27+1,20,24,28,32,36,40),0)/100)))+1)),0)</f>
        <v/>
      </c>
      <c r="S406">
        <f>IF(C406,(H406*N406*IF(AND(Inputs!$B$38&lt;&gt;"pvp",Inputs!$B$43&gt;0),((Skills!G28*((R406-1)*IF(Skills!H28&gt;0,Skills!I28/Skills!H28,1)+IF(Skills!H28&gt;0,MIN(Skills!I28,MAX(0,MAX(0,Inputs!$B$43-B416)-((R406-1)*(IF(Inputs!$B$38="pvp",15,MAX(0.1,Skills!E28-IF(Skills!F28=TRUE,Inputs!$B$32,0)))*(1-IF(AND(ArtifactsInput!$M$27,Inputs!$B$4="Chapter Hunt"),CHOOSE(ArtifactsInput!$N$27+1,20,24,28,32,36,40),0)/100)))))/Skills!H28,1)))/Inputs!$B$43),G406*Q406)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406*(1-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406*(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406*(1-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406*(MIN(100,(Inputs!$B$9+(F398-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6">
        <f>IF(C406,(H406*N406*IF(AND(Inputs!$B$38&lt;&gt;"pvp",Inputs!$B$43&gt;0),((Skills!G28*((R406-1)*IF(Skills!H28&gt;0,Skills!I28/Skills!H28,1)+IF(Skills!H28&gt;0,MIN(Skills!I28,MAX(0,MAX(0,Inputs!$B$43-B416)-((R406-1)*(IF(Inputs!$B$38="pvp",15,MAX(0.1,Skills!E28-IF(Skills!F28=TRUE,Inputs!$B$32,0)))*(1-IF(AND(ArtifactsInput!$M$27,Inputs!$B$4="Chapter Hunt"),CHOOSE(ArtifactsInput!$N$27+1,20,24,28,32,36,40),0)/100)))))/Skills!H28,1)))/Inputs!$B$43),G406*Q406)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8">
      <c r="A408" t="inlineStr">
        <is>
          <t>Burning Magic Multiplier</t>
        </is>
      </c>
      <c r="B408">
        <f>1+(F389*Skills!Z11)/100</f>
        <v/>
      </c>
    </row>
    <row r="409">
      <c r="A409" t="inlineStr">
        <is>
          <t>Elemental Decrease Multiplier (always-on)</t>
        </is>
      </c>
      <c r="B409">
        <f>1+(F390+(IF(AND(ArtifactsInput!$M$35,Inputs!$B$4&lt;&gt;"Chapter Hunt"),CHOOSE(ArtifactsInput!$N$35+1,15,18,21,24,27,30)*(1-EXP(-(0.2*B412)*5)),0)+IF(AND(ArtifactsInput!$M$22,Inputs!$B$4&lt;&gt;"Chapter Hunt"),CHOOSE(ArtifactsInput!$N$22+1,10,12,14,16,18,20)*((0*(((0.15*B412*5))^0/1)+1*(((0.15*B412*5))^1/1)+2*(((0.15*B412*5))^2/2)+3*(((0.15*B412*5))^3/6)+4*(((0.15*B412*5))^4/24)+5*(((0.15*B412*5))^5/120))/((((0.15*B412*5))^0/1)+(((0.15*B412*5))^1/1)+(((0.15*B412*5))^2/2)+(((0.15*B412*5))^3/6)+(((0.15*B412*5))^4/24)+(((0.15*B412*5))^5/120))),0)))/100</f>
        <v/>
      </c>
    </row>
    <row r="410">
      <c r="A410" t="inlineStr">
        <is>
          <t>Average Buff Multiplier (Magic Guard + Meditation + Artifact Attack%, summed; then Infinity)</t>
        </is>
      </c>
      <c r="B410">
        <f>(1+(F384*IF(AND(Inputs!$B$38&lt;&gt;"pvp",Inputs!$B$43&gt;0),(((R384-1)*(Skills!T6*(1+((Inputs!$B$34+(ArtifactsInput!$M$7-ArtifactsInput!$M$7)*CHOOSE(ArtifactsInput!$N$7+1,6,7.2,8.4,9.6,10.8,12)))/100))+MIN((Skills!T6*(1+((Inputs!$B$34+(ArtifactsInput!$M$7-ArtifactsInput!$M$7)*CHOOSE(ArtifactsInput!$N$7+1,6,7.2,8.4,9.6,10.8,12)))/100)),MAX(0,Inputs!$B$43-((R384-1)*Skills!E6))))/Inputs!$B$43),IF(Inputs!$B$38="pvp",MIN((Skills!T6*(1+((Inputs!$B$34+(ArtifactsInput!$M$7-ArtifactsInput!$M$7)*CHOOSE(ArtifactsInput!$N$7+1,6,7.2,8.4,9.6,10.8,12)))/100)),15)/15,(Skills!T6*(1+((Inputs!$B$34+(ArtifactsInput!$M$7-ArtifactsInput!$M$7)*CHOOSE(ArtifactsInput!$N$7+1,6,7.2,8.4,9.6,10.8,12)))/100))/Skills!E6))+F395*IF(AND(Inputs!$B$38&lt;&gt;"pvp",Inputs!$B$43&gt;0),(((R395-1)*(Skills!T17*(1+((Inputs!$B$34+(ArtifactsInput!$M$7-ArtifactsInput!$M$7)*CHOOSE(ArtifactsInput!$N$7+1,6,7.2,8.4,9.6,10.8,12)))/100))+MIN((Skills!T17*(1+((Inputs!$B$34+(ArtifactsInput!$M$7-ArtifactsInput!$M$7)*CHOOSE(ArtifactsInput!$N$7+1,6,7.2,8.4,9.6,10.8,12)))/100)),MAX(0,Inputs!$B$43-((R395-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397=TRUE,(1+F397*IF(AND(Inputs!$B$38&lt;&gt;"pvp",Inputs!$B$43&gt;0),(((R397-1)*(Skills!T19*(1+((Inputs!$B$34+(ArtifactsInput!$M$7-ArtifactsInput!$M$7)*CHOOSE(ArtifactsInput!$N$7+1,6,7.2,8.4,9.6,10.8,12)))/100))+MIN((Skills!T19*(1+((Inputs!$B$34+(ArtifactsInput!$M$7-ArtifactsInput!$M$7)*CHOOSE(ArtifactsInput!$N$7+1,6,7.2,8.4,9.6,10.8,12)))/100)),MAX(0,Inputs!$B$43-((R397-1)*Skills!E19))))/Inputs!$B$43),IF(Inputs!$B$38="pvp",MIN((Skills!T19*(1+((Inputs!$B$34+(ArtifactsInput!$M$7-ArtifactsInput!$M$7)*CHOOSE(ArtifactsInput!$N$7+1,6,7.2,8.4,9.6,10.8,12)))/100)),15)/15,(Skills!T19*(1+((Inputs!$B$34+(ArtifactsInput!$M$7-ArtifactsInput!$M$7)*CHOOSE(ArtifactsInput!$N$7+1,6,7.2,8.4,9.6,10.8,12)))/100))/Skills!E19))/100),1)</f>
        <v/>
      </c>
    </row>
    <row r="411">
      <c r="A411" t="inlineStr">
        <is>
          <t>Attack Speed Buff Bonus % (Nimble Feet, averaged)</t>
        </is>
      </c>
      <c r="B411">
        <f>F396*IF(AND(Inputs!$B$38&lt;&gt;"pvp",Inputs!$B$43&gt;0),(((R396-1)*(Skills!T18*(1+((Inputs!$B$34+(ArtifactsInput!$M$7-ArtifactsInput!$M$7)*CHOOSE(ArtifactsInput!$N$7+1,6,7.2,8.4,9.6,10.8,12)))/100))+MIN((Skills!T18*(1+((Inputs!$B$34+(ArtifactsInput!$M$7-ArtifactsInput!$M$7)*CHOOSE(ArtifactsInput!$N$7+1,6,7.2,8.4,9.6,10.8,12)))/100)),MAX(0,Inputs!$B$43-((R396-1)*Skills!E18))))/Inputs!$B$43),IF(Inputs!$B$38="pvp",MIN((Skills!T18*(1+((Inputs!$B$34+(ArtifactsInput!$M$7-ArtifactsInput!$M$7)*CHOOSE(ArtifactsInput!$N$7+1,6,7.2,8.4,9.6,10.8,12)))/100)),15)/15,(Skills!T18*(1+((Inputs!$B$34+(ArtifactsInput!$M$7-ArtifactsInput!$M$7)*CHOOSE(ArtifactsInput!$N$7+1,6,7.2,8.4,9.6,10.8,12)))/100))/Skills!E18))</f>
        <v/>
      </c>
    </row>
    <row r="412">
      <c r="A412" t="inlineStr">
        <is>
          <t>Actions Per Second</t>
        </is>
      </c>
      <c r="B412">
        <f>1+MIN(150,150*(1-(1-(Inputs!$B$11+(ArtifactsInput!$M$15-ArtifactsInput!$M$15)*CHOOSE(ArtifactsInput!$N$15+1,8,9.6,11.2,12.8,14.4,16))/150)*(1-B411/150)))/100</f>
        <v/>
      </c>
    </row>
    <row r="413">
      <c r="A413" t="inlineStr">
        <is>
          <t>Skill + Buff Cast Rate</t>
        </is>
      </c>
      <c r="B413">
        <f>IF(AND(Inputs!$B$38&lt;&gt;"pvp",Inputs!$B$43&gt;0),SUMPRODUCT((Skills!F2:F28=TRUE)*(C380:C406=TRUE)*R380:R406)/Inputs!$B$43,SUMPRODUCT((Skills!F2:F28=TRUE)*(C380:C406=TRUE)*Q380:Q406))</f>
        <v/>
      </c>
    </row>
    <row r="414">
      <c r="A414" t="inlineStr">
        <is>
          <t>Basic Attacks Per Second</t>
        </is>
      </c>
      <c r="B414">
        <f>MAX(0,B412-B413)</f>
        <v/>
      </c>
    </row>
    <row r="415">
      <c r="A415" t="inlineStr">
        <is>
          <t>Meteor Proc — combined trigger cast rate</t>
        </is>
      </c>
      <c r="B415">
        <f>IF(AND(Inputs!$B$38&lt;&gt;"pvp",Inputs!$B$43&gt;0),SUMPRODUCT((Skills!V2:V28=TRUE)*(C380:C406=TRUE)*R380:R406*Skills!W2:W28)/Inputs!$B$43,SUMPRODUCT((Skills!V2:V28=TRUE)*(C380:C406=TRUE)*Q380:Q406*Skills!W2:W28))+B414</f>
        <v/>
      </c>
    </row>
    <row r="416">
      <c r="A416" t="inlineStr">
        <is>
          <t>Buff-Casting Startup Delay (s, fixed-duration only)</t>
        </is>
      </c>
      <c r="B416">
        <f>IF(AND(Inputs!$B$38&lt;&gt;"pvp",Inputs!$B$43&gt;0),SUMPRODUCT((Skills!T2:T28&gt;0)*(Skills!F2:F28=TRUE)*(C380:C406=TRUE))/B412,0)</f>
        <v/>
      </c>
    </row>
    <row r="417">
      <c r="A417" t="inlineStr">
        <is>
          <t>Boss-Only Total DPS (this block's swept value)</t>
        </is>
      </c>
      <c r="B417">
        <f>SUM(S380:S406)</f>
        <v/>
      </c>
    </row>
    <row r="418">
      <c r="A418" t="inlineStr">
        <is>
          <t>Normal-Only Total DPS (this block's swept value)</t>
        </is>
      </c>
      <c r="B418">
        <f>SUM(U380:U406)</f>
        <v/>
      </c>
    </row>
    <row r="419">
      <c r="A419" s="6" t="inlineStr">
        <is>
          <t>TOTAL DPS</t>
        </is>
      </c>
      <c r="B419" s="6">
        <f>SUM(O380:O406)</f>
        <v/>
      </c>
    </row>
    <row r="422">
      <c r="A422" s="6" t="inlineStr">
        <is>
          <t>Stat: MAX_DAMAGE %</t>
        </is>
      </c>
    </row>
    <row r="423">
      <c r="A423" s="5" t="inlineStr">
        <is>
          <t>Key</t>
        </is>
      </c>
      <c r="B423" s="5" t="inlineStr">
        <is>
          <t>Name</t>
        </is>
      </c>
      <c r="C423" s="5" t="inlineStr">
        <is>
          <t>Unlocked</t>
        </is>
      </c>
      <c r="D423" s="5" t="inlineStr">
        <is>
          <t>InputLevel</t>
        </is>
      </c>
      <c r="E423" s="5" t="inlineStr">
        <is>
          <t>Factor</t>
        </is>
      </c>
      <c r="F423" s="5" t="inlineStr">
        <is>
          <t>CoefficientPercent</t>
        </is>
      </c>
      <c r="G423" s="5" t="inlineStr">
        <is>
          <t>EffectiveHits</t>
        </is>
      </c>
      <c r="H423" s="5" t="inlineStr">
        <is>
          <t>ProcProbability</t>
        </is>
      </c>
      <c r="I423" s="5" t="inlineStr">
        <is>
          <t>MapleHeroMultiplier</t>
        </is>
      </c>
      <c r="J423" s="5" t="inlineStr">
        <is>
          <t>BaseDamage</t>
        </is>
      </c>
      <c r="K423" s="5" t="inlineStr">
        <is>
          <t>BaseHitDamage</t>
        </is>
      </c>
      <c r="L423" s="5" t="inlineStr">
        <is>
          <t>NonCritAvg</t>
        </is>
      </c>
      <c r="M423" s="5" t="inlineStr">
        <is>
          <t>CritAvg</t>
        </is>
      </c>
      <c r="N423" s="5" t="inlineStr">
        <is>
          <t>ExpectedDamage(perHit)</t>
        </is>
      </c>
      <c r="O423" s="5" t="inlineStr">
        <is>
          <t>DPS</t>
        </is>
      </c>
      <c r="P423" s="5" t="inlineStr">
        <is>
          <t>% of Total</t>
        </is>
      </c>
      <c r="R423" t="inlineStr">
        <is>
          <t>helpers</t>
        </is>
      </c>
    </row>
    <row r="424">
      <c r="A424">
        <f>Skills!A2</f>
        <v/>
      </c>
      <c r="B424">
        <f>Skills!B2</f>
        <v/>
      </c>
      <c r="C424">
        <f>TRUE</f>
        <v/>
      </c>
      <c r="D424" t="inlineStr"/>
      <c r="E424" t="inlineStr"/>
      <c r="F424">
        <f>T426+Skills!O2</f>
        <v/>
      </c>
      <c r="G424">
        <f>Calc!G2</f>
        <v/>
      </c>
      <c r="H424">
        <f>Calc!H2</f>
        <v/>
      </c>
      <c r="I424">
        <f>IF(Skills!X2&lt;&gt;"",1+(Skills!X2/10)*(Z425/1000)/100,1)</f>
        <v/>
      </c>
      <c r="J424">
        <f>((Inputs!$B$6*(1+Inputs!$B$7/100))+(((Inputs!$B$12*(1+Inputs!$B$13/100))-(Inputs!$B$12*(1+Inputs!$B$13/100)))+0.25*(Inputs!$B$14-Inputs!$B$14))*(1+Inputs!$B$7/100))*(F424/100)</f>
        <v/>
      </c>
      <c r="K424">
        <f>J424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424)</f>
        <v/>
      </c>
      <c r="L424">
        <f>K424*(MIN(Inputs!$B$22+(F444-Calc!F22),((Inputs!$B$23+1)+(IF(ArtifactsInput!$M$15,CHOOSE(ArtifactsInput!$N$15+1,25,30,35,40,45,50)/100*(Inputs!$B$11-Inputs!$B$11),0))))/100+((Inputs!$B$23+1)+(IF(ArtifactsInput!$M$15,CHOOSE(ArtifactsInput!$N$15+1,25,30,35,40,45,50)/100*(Inputs!$B$11-Inputs!$B$11),0)))/100)/2</f>
        <v/>
      </c>
      <c r="M424">
        <f>L424*(1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24">
        <f>L424*(1-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424*(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24">
        <f>(1-Summary!$B$11)*S424+Summary!$B$11*U424</f>
        <v/>
      </c>
      <c r="P424">
        <f>IF(B463=0,0,O424/B463)</f>
        <v/>
      </c>
      <c r="Q424">
        <f>IFERROR(1/(IF(Inputs!$B$38="pvp",15,MAX(0.1,Skills!E2-IF(Skills!F2=TRUE,Inputs!$B$32,0)))*(1-IF(AND(ArtifactsInput!$M$27,Inputs!$B$4="Chapter Hunt"),CHOOSE(ArtifactsInput!$N$27+1,20,24,28,32,36,40),0)/100)),0)</f>
        <v/>
      </c>
      <c r="R424" t="n">
        <v>0</v>
      </c>
      <c r="S424">
        <f>(Skills!G2*N424*B458)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424*(1-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424*(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424*(1-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424*(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424">
        <f>MAX(0,(Inputs!$B$3-100)*3)+Inputs!$B$28+Inputs!$B$29</f>
        <v/>
      </c>
      <c r="U424">
        <f>(Skills!G2*N424*B458)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424">
        <f>MAX(0,(Inputs!$B$3-100)*3)+Inputs!$B$28+Inputs!$B$29</f>
        <v/>
      </c>
    </row>
    <row r="425">
      <c r="A425">
        <f>Skills!A3</f>
        <v/>
      </c>
      <c r="B425">
        <f>Skills!B3</f>
        <v/>
      </c>
      <c r="C425">
        <f>TRUE</f>
        <v/>
      </c>
      <c r="D425">
        <f>IF(Skills!C3=1,60+Inputs!$B$25+Inputs!$B$29,IF(Skills!C3=2,90+Inputs!$B$26+Inputs!$B$29,IF(Skills!C3=3,120+Inputs!$B$27+Inputs!$B$29,MAX(0,(Inputs!$B$3-100)*3)+Inputs!$B$28+Inputs!$B$29)))</f>
        <v/>
      </c>
      <c r="E425">
        <f>INDEX(FactorTable!$B$2:$Y$301, MATCH(ROUND(MIN(300,MAX(1,D425)),0), FactorTable!$A$2:$A$301,0), Skills!M3+1)</f>
        <v/>
      </c>
      <c r="F425">
        <f>IF(Skills!N3=TRUE,(Skills!L3/10)*(E425/1000),Skills!L3/10)+Skills!O3</f>
        <v/>
      </c>
      <c r="G425">
        <f>Calc!G3</f>
        <v/>
      </c>
      <c r="H425">
        <f>Calc!H3</f>
        <v/>
      </c>
      <c r="I425">
        <f>IF(Skills!X3&lt;&gt;"",1+(Skills!X3/10)*(Z425/1000)/100,1)</f>
        <v/>
      </c>
      <c r="J425">
        <f>((Inputs!$B$6*(1+Inputs!$B$7/100))+(((Inputs!$B$12*(1+Inputs!$B$13/100))-(Inputs!$B$12*(1+Inputs!$B$13/100)))+0.25*(Inputs!$B$14-Inputs!$B$14))*(1+Inputs!$B$7/100))*(F425/100)</f>
        <v/>
      </c>
      <c r="K425">
        <f>J425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425)</f>
        <v/>
      </c>
      <c r="L425">
        <f>K425*(MIN(Inputs!$B$22+(F444-Calc!F22),((Inputs!$B$23+1)+(IF(ArtifactsInput!$M$15,CHOOSE(ArtifactsInput!$N$15+1,25,30,35,40,45,50)/100*(Inputs!$B$11-Inputs!$B$11),0))))/100+((Inputs!$B$23+1)+(IF(ArtifactsInput!$M$15,CHOOSE(ArtifactsInput!$N$15+1,25,30,35,40,45,50)/100*(Inputs!$B$11-Inputs!$B$11),0)))/100)/2</f>
        <v/>
      </c>
      <c r="M425">
        <f>L425*(1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25">
        <f>L425*(1-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425*(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25">
        <f>(1-Summary!$B$11)*S425+Summary!$B$11*U425</f>
        <v/>
      </c>
      <c r="P425">
        <f>IF(B463=0,0,O425/B463)</f>
        <v/>
      </c>
      <c r="Q425">
        <f>IFERROR(1/(IF(Inputs!$B$38="pvp",15,MAX(0.1,Skills!E3-IF(Skills!F3=TRUE,Inputs!$B$32,0)))*(1-IF(AND(ArtifactsInput!$M$27,Inputs!$B$4="Chapter Hunt"),CHOOSE(ArtifactsInput!$N$27+1,20,24,28,32,36,40),0)/100)),0)</f>
        <v/>
      </c>
      <c r="R425">
        <f>IF(AND(Inputs!$B$38&lt;&gt;"pvp",Inputs!$B$43&gt;0),IF(MAX(0,Inputs!$B$43-B460)&lt;=0,0,(INT(MAX(0,Inputs!$B$43-B460)/(IF(Inputs!$B$38="pvp",15,MAX(0.1,Skills!E3-IF(Skills!F3=TRUE,Inputs!$B$32,0)))*(1-IF(AND(ArtifactsInput!$M$27,Inputs!$B$4="Chapter Hunt"),CHOOSE(ArtifactsInput!$N$27+1,20,24,28,32,36,40),0)/100)))+1)),0)</f>
        <v/>
      </c>
      <c r="S425">
        <f>IF(C425,(H425*N425*IF(AND(Inputs!$B$38&lt;&gt;"pvp",Inputs!$B$43&gt;0),((Skills!G3*((R425-1)*IF(Skills!H3&gt;0,Skills!I3/Skills!H3,1)+IF(Skills!H3&gt;0,MIN(Skills!I3,MAX(0,MAX(0,Inputs!$B$43-B460)-((R425-1)*(IF(Inputs!$B$38="pvp",15,MAX(0.1,Skills!E3-IF(Skills!F3=TRUE,Inputs!$B$32,0)))*(1-IF(AND(ArtifactsInput!$M$27,Inputs!$B$4="Chapter Hunt"),CHOOSE(ArtifactsInput!$N$27+1,20,24,28,32,36,40),0)/100)))))/Skills!H3,1)))/Inputs!$B$43),G425*Q425)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425*(1-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425*(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425*(1-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425*(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425">
        <f>INDEX(FactorTable!$B$2:$Y$301, MATCH(ROUND(MIN(300,MAX(1,T424)),0), FactorTable!$A$2:$A$301,0), 22)</f>
        <v/>
      </c>
      <c r="U425">
        <f>IF(C425,(H425*N425*IF(AND(Inputs!$B$38&lt;&gt;"pvp",Inputs!$B$43&gt;0),((Skills!G3*((R425-1)*IF(Skills!H3&gt;0,Skills!I3/Skills!H3,1)+IF(Skills!H3&gt;0,MIN(Skills!I3,MAX(0,MAX(0,Inputs!$B$43-B460)-((R425-1)*(IF(Inputs!$B$38="pvp",15,MAX(0.1,Skills!E3-IF(Skills!F3=TRUE,Inputs!$B$32,0)))*(1-IF(AND(ArtifactsInput!$M$27,Inputs!$B$4="Chapter Hunt"),CHOOSE(ArtifactsInput!$N$27+1,20,24,28,32,36,40),0)/100)))))/Skills!H3,1)))/Inputs!$B$43),G425*Q425)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425">
        <f>INDEX(FactorTable!$B$2:$Y$301, MATCH(ROUND(MIN(300,MAX(1,Z424)),0), FactorTable!$A$2:$A$301,0), 24)</f>
        <v/>
      </c>
    </row>
    <row r="426">
      <c r="A426">
        <f>Skills!A4</f>
        <v/>
      </c>
      <c r="B426">
        <f>Skills!B4</f>
        <v/>
      </c>
      <c r="C426">
        <f>TRUE</f>
        <v/>
      </c>
      <c r="D426">
        <f>IF(Skills!C4=1,60+Inputs!$B$25+Inputs!$B$29,IF(Skills!C4=2,90+Inputs!$B$26+Inputs!$B$29,IF(Skills!C4=3,120+Inputs!$B$27+Inputs!$B$29,MAX(0,(Inputs!$B$3-100)*3)+Inputs!$B$28+Inputs!$B$29)))</f>
        <v/>
      </c>
      <c r="E426">
        <f>INDEX(FactorTable!$B$2:$Y$301, MATCH(ROUND(MIN(300,MAX(1,D426)),0), FactorTable!$A$2:$A$301,0), Skills!M4+1)</f>
        <v/>
      </c>
      <c r="F426">
        <f>IF(Skills!N4=TRUE,(Skills!L4/10)*(E426/1000),Skills!L4/10)+Skills!O4</f>
        <v/>
      </c>
      <c r="G426">
        <f>Calc!G4</f>
        <v/>
      </c>
      <c r="H426">
        <f>Calc!H4</f>
        <v/>
      </c>
      <c r="I426">
        <f>IF(Skills!X4&lt;&gt;"",1+(Skills!X4/10)*(Z425/1000)/100,1)</f>
        <v/>
      </c>
      <c r="J426">
        <f>((Inputs!$B$6*(1+Inputs!$B$7/100))+(((Inputs!$B$12*(1+Inputs!$B$13/100))-(Inputs!$B$12*(1+Inputs!$B$13/100)))+0.25*(Inputs!$B$14-Inputs!$B$14))*(1+Inputs!$B$7/100))*(F426/100)</f>
        <v/>
      </c>
      <c r="K426">
        <f>J426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426)</f>
        <v/>
      </c>
      <c r="L426">
        <f>K426*(MIN(Inputs!$B$22+(F444-Calc!F22),((Inputs!$B$23+1)+(IF(ArtifactsInput!$M$15,CHOOSE(ArtifactsInput!$N$15+1,25,30,35,40,45,50)/100*(Inputs!$B$11-Inputs!$B$11),0))))/100+((Inputs!$B$23+1)+(IF(ArtifactsInput!$M$15,CHOOSE(ArtifactsInput!$N$15+1,25,30,35,40,45,50)/100*(Inputs!$B$11-Inputs!$B$11),0)))/100)/2</f>
        <v/>
      </c>
      <c r="M426">
        <f>L426*(1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26">
        <f>L426*(1-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426*(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26">
        <f>(1-Summary!$B$11)*S426+Summary!$B$11*U426</f>
        <v/>
      </c>
      <c r="P426">
        <f>IF(B463=0,0,O426/B463)</f>
        <v/>
      </c>
      <c r="Q426">
        <f>IFERROR(1/(IF(Inputs!$B$38="pvp",15,MAX(0.1,Skills!E4-IF(Skills!F4=TRUE,Inputs!$B$32,0)))*(1-IF(AND(ArtifactsInput!$M$27,Inputs!$B$4="Chapter Hunt"),CHOOSE(ArtifactsInput!$N$27+1,20,24,28,32,36,40),0)/100)),0)</f>
        <v/>
      </c>
      <c r="R426">
        <f>IF(AND(Inputs!$B$38&lt;&gt;"pvp",Inputs!$B$43&gt;0),IF(MAX(0,Inputs!$B$43-B460)&lt;=0,0,(INT(MAX(0,Inputs!$B$43-B460)/(IF(Inputs!$B$38="pvp",15,MAX(0.1,Skills!E4-IF(Skills!F4=TRUE,Inputs!$B$32,0)))*(1-IF(AND(ArtifactsInput!$M$27,Inputs!$B$4="Chapter Hunt"),CHOOSE(ArtifactsInput!$N$27+1,20,24,28,32,36,40),0)/100)))+1)),0)</f>
        <v/>
      </c>
      <c r="S426">
        <f>IF(C426,(H426*N426*IF(AND(Inputs!$B$38&lt;&gt;"pvp",Inputs!$B$43&gt;0),((Skills!G4*((R426-1)*IF(Skills!H4&gt;0,Skills!I4/Skills!H4,1)+IF(Skills!H4&gt;0,MIN(Skills!I4,MAX(0,MAX(0,Inputs!$B$43-B460)-((R426-1)*(IF(Inputs!$B$38="pvp",15,MAX(0.1,Skills!E4-IF(Skills!F4=TRUE,Inputs!$B$32,0)))*(1-IF(AND(ArtifactsInput!$M$27,Inputs!$B$4="Chapter Hunt"),CHOOSE(ArtifactsInput!$N$27+1,20,24,28,32,36,40),0)/100)))))/Skills!H4,1)))/Inputs!$B$43),G426*Q426)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426*(1-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426*(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426*(1-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426*(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426">
        <f>290*T425/1000</f>
        <v/>
      </c>
      <c r="U426">
        <f>IF(C426,(H426*N426*IF(AND(Inputs!$B$38&lt;&gt;"pvp",Inputs!$B$43&gt;0),((Skills!G4*((R426-1)*IF(Skills!H4&gt;0,Skills!I4/Skills!H4,1)+IF(Skills!H4&gt;0,MIN(Skills!I4,MAX(0,MAX(0,Inputs!$B$43-B460)-((R426-1)*(IF(Inputs!$B$38="pvp",15,MAX(0.1,Skills!E4-IF(Skills!F4=TRUE,Inputs!$B$32,0)))*(1-IF(AND(ArtifactsInput!$M$27,Inputs!$B$4="Chapter Hunt"),CHOOSE(ArtifactsInput!$N$27+1,20,24,28,32,36,40),0)/100)))))/Skills!H4,1)))/Inputs!$B$43),G426*Q426)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27">
      <c r="A427">
        <f>Skills!A5</f>
        <v/>
      </c>
      <c r="B427">
        <f>Skills!B5</f>
        <v/>
      </c>
      <c r="C427">
        <f>TRUE</f>
        <v/>
      </c>
      <c r="D427">
        <f>IF(Skills!C5=1,60+Inputs!$B$25+Inputs!$B$29,IF(Skills!C5=2,90+Inputs!$B$26+Inputs!$B$29,IF(Skills!C5=3,120+Inputs!$B$27+Inputs!$B$29,MAX(0,(Inputs!$B$3-100)*3)+Inputs!$B$28+Inputs!$B$29)))</f>
        <v/>
      </c>
      <c r="E427">
        <f>INDEX(FactorTable!$B$2:$Y$301, MATCH(ROUND(MIN(300,MAX(1,D427)),0), FactorTable!$A$2:$A$301,0), Skills!M5+1)</f>
        <v/>
      </c>
      <c r="F427">
        <f>IF(Skills!N5=TRUE,(Skills!L5/10)*(E427/1000),Skills!L5/10)+Skills!O5</f>
        <v/>
      </c>
      <c r="G427">
        <f>Calc!G5</f>
        <v/>
      </c>
      <c r="H427">
        <f>Calc!H5</f>
        <v/>
      </c>
      <c r="I427">
        <f>IF(Skills!X5&lt;&gt;"",1+(Skills!X5/10)*(Z425/1000)/100,1)</f>
        <v/>
      </c>
      <c r="J427">
        <f>((Inputs!$B$6*(1+Inputs!$B$7/100))+(((Inputs!$B$12*(1+Inputs!$B$13/100))-(Inputs!$B$12*(1+Inputs!$B$13/100)))+0.25*(Inputs!$B$14-Inputs!$B$14))*(1+Inputs!$B$7/100))*(F427/100)</f>
        <v/>
      </c>
      <c r="K427">
        <f>J427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427)</f>
        <v/>
      </c>
      <c r="L427">
        <f>K427*(MIN(Inputs!$B$22+(F444-Calc!F22),((Inputs!$B$23+1)+(IF(ArtifactsInput!$M$15,CHOOSE(ArtifactsInput!$N$15+1,25,30,35,40,45,50)/100*(Inputs!$B$11-Inputs!$B$11),0))))/100+((Inputs!$B$23+1)+(IF(ArtifactsInput!$M$15,CHOOSE(ArtifactsInput!$N$15+1,25,30,35,40,45,50)/100*(Inputs!$B$11-Inputs!$B$11),0)))/100)/2</f>
        <v/>
      </c>
      <c r="M427">
        <f>L427*(1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27">
        <f>L427*(1-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427*(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27">
        <f>(1-Summary!$B$11)*S427+Summary!$B$11*U427</f>
        <v/>
      </c>
      <c r="P427">
        <f>IF(B463=0,0,O427/B463)</f>
        <v/>
      </c>
      <c r="Q427">
        <f>IFERROR(1/(IF(Inputs!$B$38="pvp",15,MAX(0.1,Skills!E5-IF(Skills!F5=TRUE,Inputs!$B$32,0)))*(1-IF(AND(ArtifactsInput!$M$27,Inputs!$B$4="Chapter Hunt"),CHOOSE(ArtifactsInput!$N$27+1,20,24,28,32,36,40),0)/100)),0)</f>
        <v/>
      </c>
      <c r="R427">
        <f>IF(AND(Inputs!$B$38&lt;&gt;"pvp",Inputs!$B$43&gt;0),IF(MAX(0,Inputs!$B$43-B460)&lt;=0,0,(INT(MAX(0,Inputs!$B$43-B460)/(IF(Inputs!$B$38="pvp",15,MAX(0.1,Skills!E5-IF(Skills!F5=TRUE,Inputs!$B$32,0)))*(1-IF(AND(ArtifactsInput!$M$27,Inputs!$B$4="Chapter Hunt"),CHOOSE(ArtifactsInput!$N$27+1,20,24,28,32,36,40),0)/100)))+1)),0)</f>
        <v/>
      </c>
      <c r="S427">
        <f>IF(C427,(H427*N427*IF(AND(Inputs!$B$38&lt;&gt;"pvp",Inputs!$B$43&gt;0),((Skills!G5*((R427-1)*IF(Skills!H5&gt;0,Skills!I5/Skills!H5,1)+IF(Skills!H5&gt;0,MIN(Skills!I5,MAX(0,MAX(0,Inputs!$B$43-B460)-((R427-1)*(IF(Inputs!$B$38="pvp",15,MAX(0.1,Skills!E5-IF(Skills!F5=TRUE,Inputs!$B$32,0)))*(1-IF(AND(ArtifactsInput!$M$27,Inputs!$B$4="Chapter Hunt"),CHOOSE(ArtifactsInput!$N$27+1,20,24,28,32,36,40),0)/100)))))/Skills!H5,1)))/Inputs!$B$43),G427*Q427)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427*(1-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427*(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427*(1-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427*(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27">
        <f>IF(C427,(H427*N427*IF(AND(Inputs!$B$38&lt;&gt;"pvp",Inputs!$B$43&gt;0),((Skills!G5*((R427-1)*IF(Skills!H5&gt;0,Skills!I5/Skills!H5,1)+IF(Skills!H5&gt;0,MIN(Skills!I5,MAX(0,MAX(0,Inputs!$B$43-B460)-((R427-1)*(IF(Inputs!$B$38="pvp",15,MAX(0.1,Skills!E5-IF(Skills!F5=TRUE,Inputs!$B$32,0)))*(1-IF(AND(ArtifactsInput!$M$27,Inputs!$B$4="Chapter Hunt"),CHOOSE(ArtifactsInput!$N$27+1,20,24,28,32,36,40),0)/100)))))/Skills!H5,1)))/Inputs!$B$43),G427*Q427)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28">
      <c r="A428">
        <f>Skills!A6</f>
        <v/>
      </c>
      <c r="B428">
        <f>Skills!B6</f>
        <v/>
      </c>
      <c r="C428">
        <f>TRUE</f>
        <v/>
      </c>
      <c r="D428">
        <f>IF(Skills!C6=1,60+Inputs!$B$25+Inputs!$B$29,IF(Skills!C6=2,90+Inputs!$B$26+Inputs!$B$29,IF(Skills!C6=3,120+Inputs!$B$27+Inputs!$B$29,MAX(0,(Inputs!$B$3-100)*3)+Inputs!$B$28+Inputs!$B$29)))</f>
        <v/>
      </c>
      <c r="E428">
        <f>INDEX(FactorTable!$B$2:$Y$301, MATCH(ROUND(MIN(300,MAX(1,D428)),0), FactorTable!$A$2:$A$301,0), Skills!M6+1)</f>
        <v/>
      </c>
      <c r="F428">
        <f>IF(Skills!N6=TRUE,(Skills!L6/10)*(E428/1000),Skills!L6/10)+Skills!O6</f>
        <v/>
      </c>
      <c r="G428">
        <f>Calc!G6</f>
        <v/>
      </c>
      <c r="H428">
        <f>Calc!H6</f>
        <v/>
      </c>
      <c r="I428">
        <f>IF(Skills!X6&lt;&gt;"",1+(Skills!X6/10)*(Z425/1000)/100,1)</f>
        <v/>
      </c>
      <c r="J428" t="inlineStr"/>
      <c r="K428" t="inlineStr"/>
      <c r="L428" t="inlineStr"/>
      <c r="M428" t="inlineStr"/>
      <c r="N428" t="inlineStr"/>
      <c r="O428">
        <f>(1-Summary!$B$11)*S428+Summary!$B$11*U428</f>
        <v/>
      </c>
      <c r="P428">
        <f>IF(B463=0,0,O428/B463)</f>
        <v/>
      </c>
      <c r="Q428">
        <f>IFERROR(1/(IF(Inputs!$B$38="pvp",15,MAX(0.1,Skills!E6-IF(Skills!F6=TRUE,Inputs!$B$32,0)))*(1-IF(AND(ArtifactsInput!$M$27,Inputs!$B$4="Chapter Hunt"),CHOOSE(ArtifactsInput!$N$27+1,20,24,28,32,36,40),0)/100)),0)</f>
        <v/>
      </c>
      <c r="R428">
        <f>IF(AND(Inputs!$B$38&lt;&gt;"pvp",Inputs!$B$43&gt;0),IF(Inputs!$B$43&lt;=0,0,(INT(Inputs!$B$43/(IF(Inputs!$B$38="pvp",15,MAX(0.1,Skills!E6-IF(Skills!F6=TRUE,Inputs!$B$32,0)))*(1-IF(AND(ArtifactsInput!$M$27,Inputs!$B$4="Chapter Hunt"),CHOOSE(ArtifactsInput!$N$27+1,20,24,28,32,36,40),0)/100)))+1)),0)</f>
        <v/>
      </c>
      <c r="S428" t="n">
        <v>0</v>
      </c>
      <c r="U428" t="n">
        <v>0</v>
      </c>
    </row>
    <row r="429">
      <c r="A429">
        <f>Skills!A7</f>
        <v/>
      </c>
      <c r="B429">
        <f>Skills!B7</f>
        <v/>
      </c>
      <c r="C429">
        <f>TRUE</f>
        <v/>
      </c>
      <c r="D429">
        <f>IF(Skills!C7=1,60+Inputs!$B$25+Inputs!$B$29,IF(Skills!C7=2,90+Inputs!$B$26+Inputs!$B$29,IF(Skills!C7=3,120+Inputs!$B$27+Inputs!$B$29,MAX(0,(Inputs!$B$3-100)*3)+Inputs!$B$28+Inputs!$B$29)))</f>
        <v/>
      </c>
      <c r="E429">
        <f>INDEX(FactorTable!$B$2:$Y$301, MATCH(ROUND(MIN(300,MAX(1,D429)),0), FactorTable!$A$2:$A$301,0), Skills!M7+1)</f>
        <v/>
      </c>
      <c r="F429">
        <f>IF(Skills!N7=TRUE,(Skills!L7/10)*(E429/1000),Skills!L7/10)+Skills!O7</f>
        <v/>
      </c>
      <c r="G429">
        <f>Calc!G7</f>
        <v/>
      </c>
      <c r="H429">
        <f>Calc!H7</f>
        <v/>
      </c>
      <c r="I429">
        <f>IF(Skills!X7&lt;&gt;"",1+(Skills!X7/10)*(Z425/1000)/100,1)</f>
        <v/>
      </c>
      <c r="J429">
        <f>((Inputs!$B$6*(1+Inputs!$B$7/100))+(((Inputs!$B$12*(1+Inputs!$B$13/100))-(Inputs!$B$12*(1+Inputs!$B$13/100)))+0.25*(Inputs!$B$14-Inputs!$B$14))*(1+Inputs!$B$7/100))*(F429/100)</f>
        <v/>
      </c>
      <c r="K429">
        <f>J429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429)</f>
        <v/>
      </c>
      <c r="L429">
        <f>K429*(MIN(Inputs!$B$22+(F444-Calc!F22),((Inputs!$B$23+1)+(IF(ArtifactsInput!$M$15,CHOOSE(ArtifactsInput!$N$15+1,25,30,35,40,45,50)/100*(Inputs!$B$11-Inputs!$B$11),0))))/100+((Inputs!$B$23+1)+(IF(ArtifactsInput!$M$15,CHOOSE(ArtifactsInput!$N$15+1,25,30,35,40,45,50)/100*(Inputs!$B$11-Inputs!$B$11),0)))/100)/2</f>
        <v/>
      </c>
      <c r="M429">
        <f>L429*(1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29">
        <f>L429*(1-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429*(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29">
        <f>(1-Summary!$B$11)*S429+Summary!$B$11*U429</f>
        <v/>
      </c>
      <c r="P429">
        <f>IF(B463=0,0,O429/B463)</f>
        <v/>
      </c>
      <c r="Q429">
        <f>IFERROR(1/(IF(Inputs!$B$38="pvp",15,MAX(0.1,Skills!E7-IF(Skills!F7=TRUE,Inputs!$B$32,0)))*(1-IF(AND(ArtifactsInput!$M$27,Inputs!$B$4="Chapter Hunt"),CHOOSE(ArtifactsInput!$N$27+1,20,24,28,32,36,40),0)/100)),0)</f>
        <v/>
      </c>
      <c r="R429">
        <f>IF(AND(Inputs!$B$38&lt;&gt;"pvp",Inputs!$B$43&gt;0),IF(MAX(0,Inputs!$B$43-B460)&lt;=0,0,(INT(MAX(0,Inputs!$B$43-B460)/(IF(Inputs!$B$38="pvp",15,MAX(0.1,Skills!E7-IF(Skills!F7=TRUE,Inputs!$B$32,0)))*(1-IF(AND(ArtifactsInput!$M$27,Inputs!$B$4="Chapter Hunt"),CHOOSE(ArtifactsInput!$N$27+1,20,24,28,32,36,40),0)/100)))+1)),0)</f>
        <v/>
      </c>
      <c r="S429">
        <f>IF(C429,(H429*N429*IF(AND(Inputs!$B$38&lt;&gt;"pvp",Inputs!$B$43&gt;0),((Skills!G7*((R429-1)*IF(Skills!H7&gt;0,Skills!I7/Skills!H7,1)+IF(Skills!H7&gt;0,MIN(Skills!I7,MAX(0,MAX(0,Inputs!$B$43-B460)-((R429-1)*(IF(Inputs!$B$38="pvp",15,MAX(0.1,Skills!E7-IF(Skills!F7=TRUE,Inputs!$B$32,0)))*(1-IF(AND(ArtifactsInput!$M$27,Inputs!$B$4="Chapter Hunt"),CHOOSE(ArtifactsInput!$N$27+1,20,24,28,32,36,40),0)/100)))))/Skills!H7,1)))/Inputs!$B$43),G429*Q429)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429*(1-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429*(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429*(1-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429*(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29">
        <f>IF(C429,(H429*N429*IF(AND(Inputs!$B$38&lt;&gt;"pvp",Inputs!$B$43&gt;0),((Skills!G7*((R429-1)*IF(Skills!H7&gt;0,Skills!I7/Skills!H7,1)+IF(Skills!H7&gt;0,MIN(Skills!I7,MAX(0,MAX(0,Inputs!$B$43-B460)-((R429-1)*(IF(Inputs!$B$38="pvp",15,MAX(0.1,Skills!E7-IF(Skills!F7=TRUE,Inputs!$B$32,0)))*(1-IF(AND(ArtifactsInput!$M$27,Inputs!$B$4="Chapter Hunt"),CHOOSE(ArtifactsInput!$N$27+1,20,24,28,32,36,40),0)/100)))))/Skills!H7,1)))/Inputs!$B$43),G429*Q429)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0">
      <c r="A430">
        <f>Skills!A8</f>
        <v/>
      </c>
      <c r="B430">
        <f>Skills!B8</f>
        <v/>
      </c>
      <c r="C430">
        <f>TRUE</f>
        <v/>
      </c>
      <c r="D430">
        <f>IF(Skills!C8=1,60+Inputs!$B$25+Inputs!$B$29,IF(Skills!C8=2,90+Inputs!$B$26+Inputs!$B$29,IF(Skills!C8=3,120+Inputs!$B$27+Inputs!$B$29,MAX(0,(Inputs!$B$3-100)*3)+Inputs!$B$28+Inputs!$B$29)))</f>
        <v/>
      </c>
      <c r="E430">
        <f>INDEX(FactorTable!$B$2:$Y$301, MATCH(ROUND(MIN(300,MAX(1,D430)),0), FactorTable!$A$2:$A$301,0), Skills!M8+1)</f>
        <v/>
      </c>
      <c r="F430">
        <f>IF(Skills!N8=TRUE,(Skills!L8/10)*(E430/1000),Skills!L8/10)+Skills!O8</f>
        <v/>
      </c>
      <c r="G430">
        <f>Calc!G8</f>
        <v/>
      </c>
      <c r="H430">
        <f>Calc!H8</f>
        <v/>
      </c>
      <c r="I430">
        <f>IF(Skills!X8&lt;&gt;"",1+(Skills!X8/10)*(Z425/1000)/100,1)</f>
        <v/>
      </c>
      <c r="J430">
        <f>((Inputs!$B$6*(1+Inputs!$B$7/100))+(((Inputs!$B$12*(1+Inputs!$B$13/100))-(Inputs!$B$12*(1+Inputs!$B$13/100)))+0.25*(Inputs!$B$14-Inputs!$B$14))*(1+Inputs!$B$7/100))*(F430/100)</f>
        <v/>
      </c>
      <c r="K430">
        <f>J430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430)</f>
        <v/>
      </c>
      <c r="L430">
        <f>K430*(MIN(Inputs!$B$22+(F444-Calc!F22),((Inputs!$B$23+1)+(IF(ArtifactsInput!$M$15,CHOOSE(ArtifactsInput!$N$15+1,25,30,35,40,45,50)/100*(Inputs!$B$11-Inputs!$B$11),0))))/100+((Inputs!$B$23+1)+(IF(ArtifactsInput!$M$15,CHOOSE(ArtifactsInput!$N$15+1,25,30,35,40,45,50)/100*(Inputs!$B$11-Inputs!$B$11),0)))/100)/2</f>
        <v/>
      </c>
      <c r="M430">
        <f>L430*(1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0">
        <f>L430*(1-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430*(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0">
        <f>(1-Summary!$B$11)*S430+Summary!$B$11*U430</f>
        <v/>
      </c>
      <c r="P430">
        <f>IF(B463=0,0,O430/B463)</f>
        <v/>
      </c>
      <c r="Q430">
        <f>IFERROR(1/(IF(Inputs!$B$38="pvp",15,MAX(0.1,Skills!E8-IF(Skills!F8=TRUE,Inputs!$B$32,0)))*(1-IF(AND(ArtifactsInput!$M$27,Inputs!$B$4="Chapter Hunt"),CHOOSE(ArtifactsInput!$N$27+1,20,24,28,32,36,40),0)/100)),0)</f>
        <v/>
      </c>
      <c r="R430">
        <f>IF(AND(Inputs!$B$38&lt;&gt;"pvp",Inputs!$B$43&gt;0),IF(MAX(0,Inputs!$B$43-B460)&lt;=0,0,(INT(MAX(0,Inputs!$B$43-B460)/(IF(Inputs!$B$38="pvp",15,MAX(0.1,Skills!E8-IF(Skills!F8=TRUE,Inputs!$B$32,0)))*(1-IF(AND(ArtifactsInput!$M$27,Inputs!$B$4="Chapter Hunt"),CHOOSE(ArtifactsInput!$N$27+1,20,24,28,32,36,40),0)/100)))+1)),0)</f>
        <v/>
      </c>
      <c r="S430">
        <f>IF(C430,(H430*N430*IF(AND(Inputs!$B$38&lt;&gt;"pvp",Inputs!$B$43&gt;0),((Skills!G8*((R430-1)*IF(Skills!H8&gt;0,Skills!I8/Skills!H8,1)+IF(Skills!H8&gt;0,MIN(Skills!I8,MAX(0,MAX(0,Inputs!$B$43-B460)-((R430-1)*(IF(Inputs!$B$38="pvp",15,MAX(0.1,Skills!E8-IF(Skills!F8=TRUE,Inputs!$B$32,0)))*(1-IF(AND(ArtifactsInput!$M$27,Inputs!$B$4="Chapter Hunt"),CHOOSE(ArtifactsInput!$N$27+1,20,24,28,32,36,40),0)/100)))))/Skills!H8,1)))/Inputs!$B$43),G430*Q430)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430*(1-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430*(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430*(1-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430*(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0">
        <f>IF(C430,(H430*N430*IF(AND(Inputs!$B$38&lt;&gt;"pvp",Inputs!$B$43&gt;0),((Skills!G8*((R430-1)*IF(Skills!H8&gt;0,Skills!I8/Skills!H8,1)+IF(Skills!H8&gt;0,MIN(Skills!I8,MAX(0,MAX(0,Inputs!$B$43-B460)-((R430-1)*(IF(Inputs!$B$38="pvp",15,MAX(0.1,Skills!E8-IF(Skills!F8=TRUE,Inputs!$B$32,0)))*(1-IF(AND(ArtifactsInput!$M$27,Inputs!$B$4="Chapter Hunt"),CHOOSE(ArtifactsInput!$N$27+1,20,24,28,32,36,40),0)/100)))))/Skills!H8,1)))/Inputs!$B$43),G430*Q430)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1">
      <c r="A431">
        <f>Skills!A9</f>
        <v/>
      </c>
      <c r="B431">
        <f>Skills!B9</f>
        <v/>
      </c>
      <c r="C431">
        <f>Inputs!$B$3&gt;=103</f>
        <v/>
      </c>
      <c r="D431">
        <f>IF(Skills!C9=1,60+Inputs!$B$25+Inputs!$B$29,IF(Skills!C9=2,90+Inputs!$B$26+Inputs!$B$29,IF(Skills!C9=3,120+Inputs!$B$27+Inputs!$B$29,MAX(0,(Inputs!$B$3-100)*3)+Inputs!$B$28+Inputs!$B$29)))</f>
        <v/>
      </c>
      <c r="E431">
        <f>INDEX(FactorTable!$B$2:$Y$301, MATCH(ROUND(MIN(300,MAX(1,D431)),0), FactorTable!$A$2:$A$301,0), Skills!M9+1)</f>
        <v/>
      </c>
      <c r="F431">
        <f>IF(Skills!N9=TRUE,(Skills!L9/10)*(E431/1000),Skills!L9/10)+Skills!O9</f>
        <v/>
      </c>
      <c r="G431">
        <f>Calc!G9</f>
        <v/>
      </c>
      <c r="H431">
        <f>Calc!H9</f>
        <v/>
      </c>
      <c r="I431">
        <f>IF(Skills!X9&lt;&gt;"",1+(Skills!X9/10)*(Z425/1000)/100,1)</f>
        <v/>
      </c>
      <c r="J431">
        <f>((Inputs!$B$6*(1+Inputs!$B$7/100))+(((Inputs!$B$12*(1+Inputs!$B$13/100))-(Inputs!$B$12*(1+Inputs!$B$13/100)))+0.25*(Inputs!$B$14-Inputs!$B$14))*(1+Inputs!$B$7/100))*(F431/100)</f>
        <v/>
      </c>
      <c r="K431">
        <f>J431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431)</f>
        <v/>
      </c>
      <c r="L431">
        <f>K431*(MIN(Inputs!$B$22+(F444-Calc!F22),((Inputs!$B$23+1)+(IF(ArtifactsInput!$M$15,CHOOSE(ArtifactsInput!$N$15+1,25,30,35,40,45,50)/100*(Inputs!$B$11-Inputs!$B$11),0))))/100+((Inputs!$B$23+1)+(IF(ArtifactsInput!$M$15,CHOOSE(ArtifactsInput!$N$15+1,25,30,35,40,45,50)/100*(Inputs!$B$11-Inputs!$B$11),0)))/100)/2</f>
        <v/>
      </c>
      <c r="M431">
        <f>L431*(1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1">
        <f>L431*(1-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1">
        <f>(1-Summary!$B$11)*S431+Summary!$B$11*U431</f>
        <v/>
      </c>
      <c r="P431">
        <f>IF(B463=0,0,O431/B463)</f>
        <v/>
      </c>
      <c r="Q431">
        <f>IFERROR(1/(IF(Inputs!$B$38="pvp",15,MAX(0.1,Skills!E9-IF(Skills!F7=TRUE,Inputs!$B$32,0)))*(1-IF(AND(ArtifactsInput!$M$27,Inputs!$B$4="Chapter Hunt"),CHOOSE(ArtifactsInput!$N$27+1,20,24,28,32,36,40),0)/100)),0)</f>
        <v/>
      </c>
      <c r="R431">
        <f>IF(AND(Inputs!$B$38&lt;&gt;"pvp",Inputs!$B$43&gt;0),IF(MAX(0,Inputs!$B$43-B460)&lt;=0,0,(INT(MAX(0,Inputs!$B$43-B460)/(IF(Inputs!$B$38="pvp",15,MAX(0.1,Skills!E9-IF(Skills!F7=TRUE,Inputs!$B$32,0)))*(1-IF(AND(ArtifactsInput!$M$27,Inputs!$B$4="Chapter Hunt"),CHOOSE(ArtifactsInput!$N$27+1,20,24,28,32,36,40),0)/100)))+1)),0)</f>
        <v/>
      </c>
      <c r="S431">
        <f>IF(C431,(H431*N431*IF(AND(Inputs!$B$38&lt;&gt;"pvp",Inputs!$B$43&gt;0),((Skills!G9*((R431-1)*IF(Skills!H9&gt;0,Skills!I9/Skills!H9,1)+IF(Skills!H9&gt;0,MIN(Skills!I9,MAX(0,MAX(0,Inputs!$B$43-B460)-((R431-1)*(IF(Inputs!$B$38="pvp",15,MAX(0.1,Skills!E9-IF(Skills!F7=TRUE,Inputs!$B$32,0)))*(1-IF(AND(ArtifactsInput!$M$27,Inputs!$B$4="Chapter Hunt"),CHOOSE(ArtifactsInput!$N$27+1,20,24,28,32,36,40),0)/100)))))/Skills!H9,1)))/Inputs!$B$43),G431*Q431)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431*(1-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431*(1-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1">
        <f>IF(C431,(H431*N431*IF(AND(Inputs!$B$38&lt;&gt;"pvp",Inputs!$B$43&gt;0),((Skills!G9*((R431-1)*IF(Skills!H9&gt;0,Skills!I9/Skills!H9,1)+IF(Skills!H9&gt;0,MIN(Skills!I9,MAX(0,MAX(0,Inputs!$B$43-B460)-((R431-1)*(IF(Inputs!$B$38="pvp",15,MAX(0.1,Skills!E9-IF(Skills!F7=TRUE,Inputs!$B$32,0)))*(1-IF(AND(ArtifactsInput!$M$27,Inputs!$B$4="Chapter Hunt"),CHOOSE(ArtifactsInput!$N$27+1,20,24,28,32,36,40),0)/100)))))/Skills!H9,1)))/Inputs!$B$43),G431*Q431)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2">
      <c r="A432">
        <f>Skills!A10</f>
        <v/>
      </c>
      <c r="B432">
        <f>Skills!B10</f>
        <v/>
      </c>
      <c r="C432">
        <f>TRUE</f>
        <v/>
      </c>
      <c r="D432">
        <f>IF(Skills!C10=1,60+Inputs!$B$25+Inputs!$B$29,IF(Skills!C10=2,90+Inputs!$B$26+Inputs!$B$29,IF(Skills!C10=3,120+Inputs!$B$27+Inputs!$B$29,MAX(0,(Inputs!$B$3-100)*3)+Inputs!$B$28+Inputs!$B$29)))</f>
        <v/>
      </c>
      <c r="E432">
        <f>INDEX(FactorTable!$B$2:$Y$301, MATCH(ROUND(MIN(300,MAX(1,D432)),0), FactorTable!$A$2:$A$301,0), Skills!M10+1)</f>
        <v/>
      </c>
      <c r="F432">
        <f>IF(Skills!N10=TRUE,(Skills!L10/10)*(E432/1000),Skills!L10/10)+Skills!O10</f>
        <v/>
      </c>
      <c r="G432">
        <f>Calc!G10</f>
        <v/>
      </c>
      <c r="H432">
        <f>Calc!H10</f>
        <v/>
      </c>
      <c r="I432">
        <f>IF(Skills!X10&lt;&gt;"",1+(Skills!X10/10)*(Z425/1000)/100,1)</f>
        <v/>
      </c>
      <c r="J432">
        <f>((Inputs!$B$6*(1+Inputs!$B$7/100))+(((Inputs!$B$12*(1+Inputs!$B$13/100))-(Inputs!$B$12*(1+Inputs!$B$13/100)))+0.25*(Inputs!$B$14-Inputs!$B$14))*(1+Inputs!$B$7/100))*(F432/100)</f>
        <v/>
      </c>
      <c r="K432">
        <f>J432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432)</f>
        <v/>
      </c>
      <c r="L432">
        <f>K432*(MIN(Inputs!$B$22+(F444-Calc!F22),((Inputs!$B$23+1)+(IF(ArtifactsInput!$M$15,CHOOSE(ArtifactsInput!$N$15+1,25,30,35,40,45,50)/100*(Inputs!$B$11-Inputs!$B$11),0))))/100+((Inputs!$B$23+1)+(IF(ArtifactsInput!$M$15,CHOOSE(ArtifactsInput!$N$15+1,25,30,35,40,45,50)/100*(Inputs!$B$11-Inputs!$B$11),0)))/100)/2</f>
        <v/>
      </c>
      <c r="M432">
        <f>L432*(1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2">
        <f>L432*(1-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432*(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2">
        <f>(1-Summary!$B$11)*S432+Summary!$B$11*U432</f>
        <v/>
      </c>
      <c r="P432">
        <f>IF(B463=0,0,O432/B463)</f>
        <v/>
      </c>
      <c r="Q432">
        <f>IFERROR(1/(IF(Inputs!$B$38="pvp",15,MAX(0.1,Skills!E10-IF(Skills!F10=TRUE,Inputs!$B$32,0)))*(1-IF(AND(ArtifactsInput!$M$27,Inputs!$B$4="Chapter Hunt"),CHOOSE(ArtifactsInput!$N$27+1,20,24,28,32,36,40),0)/100)),0)</f>
        <v/>
      </c>
      <c r="R432">
        <f>IF(AND(Inputs!$B$38&lt;&gt;"pvp",Inputs!$B$43&gt;0),IF(MAX(0,Inputs!$B$43-B460)&lt;=0,0,(INT(MAX(0,Inputs!$B$43-B460)/(IF(Inputs!$B$38="pvp",15,MAX(0.1,Skills!E10-IF(Skills!F10=TRUE,Inputs!$B$32,0)))*(1-IF(AND(ArtifactsInput!$M$27,Inputs!$B$4="Chapter Hunt"),CHOOSE(ArtifactsInput!$N$27+1,20,24,28,32,36,40),0)/100)))+1)),0)</f>
        <v/>
      </c>
      <c r="S432">
        <f>IF(C432,(H432*N432*IF(AND(Inputs!$B$38&lt;&gt;"pvp",Inputs!$B$43&gt;0),((Skills!G10*((R432-1)*IF(Skills!H10&gt;0,Skills!I10/Skills!H10,1)+IF(Skills!H10&gt;0,MIN(Skills!I10,MAX(0,MAX(0,Inputs!$B$43-B460)-((R432-1)*(IF(Inputs!$B$38="pvp",15,MAX(0.1,Skills!E10-IF(Skills!F10=TRUE,Inputs!$B$32,0)))*(1-IF(AND(ArtifactsInput!$M$27,Inputs!$B$4="Chapter Hunt"),CHOOSE(ArtifactsInput!$N$27+1,20,24,28,32,36,40),0)/100)))))/Skills!H10,1)))/Inputs!$B$43),G432*Q432)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432*(1-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432*(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432*(1-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432*(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2">
        <f>IF(C432,(H432*N432*IF(AND(Inputs!$B$38&lt;&gt;"pvp",Inputs!$B$43&gt;0),((Skills!G10*((R432-1)*IF(Skills!H10&gt;0,Skills!I10/Skills!H10,1)+IF(Skills!H10&gt;0,MIN(Skills!I10,MAX(0,MAX(0,Inputs!$B$43-B460)-((R432-1)*(IF(Inputs!$B$38="pvp",15,MAX(0.1,Skills!E10-IF(Skills!F10=TRUE,Inputs!$B$32,0)))*(1-IF(AND(ArtifactsInput!$M$27,Inputs!$B$4="Chapter Hunt"),CHOOSE(ArtifactsInput!$N$27+1,20,24,28,32,36,40),0)/100)))))/Skills!H10,1)))/Inputs!$B$43),G432*Q432)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3">
      <c r="A433">
        <f>Skills!A11</f>
        <v/>
      </c>
      <c r="B433">
        <f>Skills!B11</f>
        <v/>
      </c>
      <c r="C433">
        <f>TRUE</f>
        <v/>
      </c>
      <c r="D433">
        <f>IF(Skills!C11=1,60+Inputs!$B$25+Inputs!$B$29,IF(Skills!C11=2,90+Inputs!$B$26+Inputs!$B$29,IF(Skills!C11=3,120+Inputs!$B$27+Inputs!$B$29,MAX(0,(Inputs!$B$3-100)*3)+Inputs!$B$28+Inputs!$B$29)))</f>
        <v/>
      </c>
      <c r="E433">
        <f>INDEX(FactorTable!$B$2:$Y$301, MATCH(ROUND(MIN(300,MAX(1,D433)),0), FactorTable!$A$2:$A$301,0), Skills!M11+1)</f>
        <v/>
      </c>
      <c r="F433">
        <f>IF(Skills!N11=TRUE,(Skills!L11/10)*(E433/1000),Skills!L11/10)+Skills!O11</f>
        <v/>
      </c>
      <c r="G433">
        <f>Calc!G11</f>
        <v/>
      </c>
      <c r="H433">
        <f>Calc!H11</f>
        <v/>
      </c>
      <c r="I433">
        <f>IF(Skills!X11&lt;&gt;"",1+(Skills!X11/10)*(Z425/1000)/100,1)</f>
        <v/>
      </c>
      <c r="J433" t="inlineStr"/>
      <c r="K433" t="inlineStr"/>
      <c r="L433" t="inlineStr"/>
      <c r="M433" t="inlineStr"/>
      <c r="N433" t="inlineStr"/>
      <c r="O433">
        <f>(1-Summary!$B$11)*S433+Summary!$B$11*U433</f>
        <v/>
      </c>
      <c r="P433">
        <f>IF(B463=0,0,O433/B463)</f>
        <v/>
      </c>
      <c r="Q433">
        <f>IFERROR(1/(IF(Inputs!$B$38="pvp",15,MAX(0.1,Skills!E11-IF(Skills!F11=TRUE,Inputs!$B$32,0)))*(1-IF(AND(ArtifactsInput!$M$27,Inputs!$B$4="Chapter Hunt"),CHOOSE(ArtifactsInput!$N$27+1,20,24,28,32,36,40),0)/100)),0)</f>
        <v/>
      </c>
      <c r="R433" t="n">
        <v>0</v>
      </c>
      <c r="S433" t="n">
        <v>0</v>
      </c>
      <c r="U433" t="n">
        <v>0</v>
      </c>
    </row>
    <row r="434">
      <c r="A434">
        <f>Skills!A12</f>
        <v/>
      </c>
      <c r="B434">
        <f>Skills!B12</f>
        <v/>
      </c>
      <c r="C434">
        <f>TRUE</f>
        <v/>
      </c>
      <c r="D434">
        <f>IF(Skills!C12=1,60+Inputs!$B$25+Inputs!$B$29,IF(Skills!C12=2,90+Inputs!$B$26+Inputs!$B$29,IF(Skills!C12=3,120+Inputs!$B$27+Inputs!$B$29,MAX(0,(Inputs!$B$3-100)*3)+Inputs!$B$28+Inputs!$B$29)))</f>
        <v/>
      </c>
      <c r="E434">
        <f>INDEX(FactorTable!$B$2:$Y$301, MATCH(ROUND(MIN(300,MAX(1,D434)),0), FactorTable!$A$2:$A$301,0), Skills!M12+1)</f>
        <v/>
      </c>
      <c r="F434">
        <f>IF(Skills!N12=TRUE,(Skills!L12/10)*(E434/1000),Skills!L12/10)+Skills!O12</f>
        <v/>
      </c>
      <c r="G434">
        <f>Calc!G12</f>
        <v/>
      </c>
      <c r="H434">
        <f>Calc!H12</f>
        <v/>
      </c>
      <c r="I434">
        <f>IF(Skills!X12&lt;&gt;"",1+(Skills!X12/10)*(Z425/1000)/100,1)</f>
        <v/>
      </c>
      <c r="J434" t="inlineStr"/>
      <c r="K434" t="inlineStr"/>
      <c r="L434" t="inlineStr"/>
      <c r="M434" t="inlineStr"/>
      <c r="N434" t="inlineStr"/>
      <c r="O434">
        <f>(1-Summary!$B$11)*S434+Summary!$B$11*U434</f>
        <v/>
      </c>
      <c r="P434">
        <f>IF(B463=0,0,O434/B463)</f>
        <v/>
      </c>
      <c r="Q434">
        <f>IFERROR(1/(IF(Inputs!$B$38="pvp",15,MAX(0.1,Skills!E12-IF(Skills!F12=TRUE,Inputs!$B$32,0)))*(1-IF(AND(ArtifactsInput!$M$27,Inputs!$B$4="Chapter Hunt"),CHOOSE(ArtifactsInput!$N$27+1,20,24,28,32,36,40),0)/100)),0)</f>
        <v/>
      </c>
      <c r="R434" t="n">
        <v>0</v>
      </c>
      <c r="S434" t="n">
        <v>0</v>
      </c>
      <c r="U434" t="n">
        <v>0</v>
      </c>
    </row>
    <row r="435">
      <c r="A435">
        <f>Skills!A13</f>
        <v/>
      </c>
      <c r="B435">
        <f>Skills!B13</f>
        <v/>
      </c>
      <c r="C435">
        <f>Inputs!$B$3&gt;=105</f>
        <v/>
      </c>
      <c r="D435">
        <f>IF(Skills!C13=1,60+Inputs!$B$25+Inputs!$B$29,IF(Skills!C13=2,90+Inputs!$B$26+Inputs!$B$29,IF(Skills!C13=3,120+Inputs!$B$27+Inputs!$B$29,MAX(0,(Inputs!$B$3-100)*3)+Inputs!$B$28+Inputs!$B$29)))</f>
        <v/>
      </c>
      <c r="E435">
        <f>INDEX(FactorTable!$B$2:$Y$301, MATCH(ROUND(MIN(300,MAX(1,D435)),0), FactorTable!$A$2:$A$301,0), Skills!M13+1)</f>
        <v/>
      </c>
      <c r="F435">
        <f>IF(Skills!N13=TRUE,(Skills!L13/10)*(E435/1000),Skills!L13/10)+Skills!O13</f>
        <v/>
      </c>
      <c r="G435">
        <f>Calc!G13</f>
        <v/>
      </c>
      <c r="H435">
        <f>Calc!H13</f>
        <v/>
      </c>
      <c r="I435">
        <f>IF(Skills!X13&lt;&gt;"",1+(Skills!X13/10)*(Z425/1000)/100,1)</f>
        <v/>
      </c>
      <c r="J435">
        <f>((Inputs!$B$6*(1+Inputs!$B$7/100))+(((Inputs!$B$12*(1+Inputs!$B$13/100))-(Inputs!$B$12*(1+Inputs!$B$13/100)))+0.25*(Inputs!$B$14-Inputs!$B$14))*(1+Inputs!$B$7/100))*(F435/100)</f>
        <v/>
      </c>
      <c r="K435">
        <f>J435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435)</f>
        <v/>
      </c>
      <c r="L435">
        <f>K435*(MIN(Inputs!$B$22+(F444-Calc!F22),((Inputs!$B$23+1)+(IF(ArtifactsInput!$M$15,CHOOSE(ArtifactsInput!$N$15+1,25,30,35,40,45,50)/100*(Inputs!$B$11-Inputs!$B$11),0))))/100+((Inputs!$B$23+1)+(IF(ArtifactsInput!$M$15,CHOOSE(ArtifactsInput!$N$15+1,25,30,35,40,45,50)/100*(Inputs!$B$11-Inputs!$B$11),0)))/100)/2</f>
        <v/>
      </c>
      <c r="M435">
        <f>L435*(1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5">
        <f>L435*(1-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435*(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5">
        <f>(1-Summary!$B$11)*S435+Summary!$B$11*U435</f>
        <v/>
      </c>
      <c r="P435">
        <f>IF(B463=0,0,O435/B463)</f>
        <v/>
      </c>
      <c r="Q435">
        <f>IFERROR(1/(IF(Inputs!$B$38="pvp",15,MAX(0.1,Skills!E13-IF(Skills!F13=TRUE,Inputs!$B$32,0)))*(1-IF(AND(ArtifactsInput!$M$27,Inputs!$B$4="Chapter Hunt"),CHOOSE(ArtifactsInput!$N$27+1,20,24,28,32,36,40),0)/100)),0)</f>
        <v/>
      </c>
      <c r="R435">
        <f>IF(AND(Inputs!$B$38&lt;&gt;"pvp",Inputs!$B$43&gt;0),IF(MAX(0,Inputs!$B$43-B460)&lt;=0,0,(INT(MAX(0,Inputs!$B$43-B460)/(IF(Inputs!$B$38="pvp",15,MAX(0.1,Skills!E13-IF(Skills!F13=TRUE,Inputs!$B$32,0)))*(1-IF(AND(ArtifactsInput!$M$27,Inputs!$B$4="Chapter Hunt"),CHOOSE(ArtifactsInput!$N$27+1,20,24,28,32,36,40),0)/100)))+1)),0)</f>
        <v/>
      </c>
      <c r="S435">
        <f>IF(C435,(H435*N435*IF(AND(Inputs!$B$38&lt;&gt;"pvp",Inputs!$B$43&gt;0),((Skills!G13*((R435-1)*IF(Skills!H13&gt;0,Skills!I13/Skills!H13,1)+IF(Skills!H13&gt;0,MIN(Skills!I13,MAX(0,MAX(0,Inputs!$B$43-B460)-((R435-1)*(IF(Inputs!$B$38="pvp",15,MAX(0.1,Skills!E13-IF(Skills!F13=TRUE,Inputs!$B$32,0)))*(1-IF(AND(ArtifactsInput!$M$27,Inputs!$B$4="Chapter Hunt"),CHOOSE(ArtifactsInput!$N$27+1,20,24,28,32,36,40),0)/100)))))/Skills!H13,1)))/Inputs!$B$43),G435*Q435)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435*(1-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435*(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435*(1-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435*(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5">
        <f>IF(C435,(H435*N435*IF(AND(Inputs!$B$38&lt;&gt;"pvp",Inputs!$B$43&gt;0),((Skills!G13*((R435-1)*IF(Skills!H13&gt;0,Skills!I13/Skills!H13,1)+IF(Skills!H13&gt;0,MIN(Skills!I13,MAX(0,MAX(0,Inputs!$B$43-B460)-((R435-1)*(IF(Inputs!$B$38="pvp",15,MAX(0.1,Skills!E13-IF(Skills!F13=TRUE,Inputs!$B$32,0)))*(1-IF(AND(ArtifactsInput!$M$27,Inputs!$B$4="Chapter Hunt"),CHOOSE(ArtifactsInput!$N$27+1,20,24,28,32,36,40),0)/100)))))/Skills!H13,1)))/Inputs!$B$43),G435*Q435)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6">
      <c r="A436">
        <f>Skills!A14</f>
        <v/>
      </c>
      <c r="B436">
        <f>Skills!B14</f>
        <v/>
      </c>
      <c r="C436">
        <f>Inputs!$B$3&gt;=113</f>
        <v/>
      </c>
      <c r="D436">
        <f>IF(Skills!C14=1,60+Inputs!$B$25+Inputs!$B$29,IF(Skills!C14=2,90+Inputs!$B$26+Inputs!$B$29,IF(Skills!C14=3,120+Inputs!$B$27+Inputs!$B$29,MAX(0,(Inputs!$B$3-100)*3)+Inputs!$B$28+Inputs!$B$29)))</f>
        <v/>
      </c>
      <c r="E436">
        <f>INDEX(FactorTable!$B$2:$Y$301, MATCH(ROUND(MIN(300,MAX(1,D436)),0), FactorTable!$A$2:$A$301,0), Skills!M14+1)</f>
        <v/>
      </c>
      <c r="F436">
        <f>IF(Skills!N14=TRUE,(Skills!L14/10)*(E436/1000),Skills!L14/10)+Skills!O14</f>
        <v/>
      </c>
      <c r="G436">
        <f>Calc!G14</f>
        <v/>
      </c>
      <c r="H436">
        <f>Calc!H14</f>
        <v/>
      </c>
      <c r="I436">
        <f>IF(Skills!X14&lt;&gt;"",1+(Skills!X14/10)*(Z425/1000)/100,1)</f>
        <v/>
      </c>
      <c r="J436">
        <f>((Inputs!$B$6*(1+Inputs!$B$7/100))+(((Inputs!$B$12*(1+Inputs!$B$13/100))-(Inputs!$B$12*(1+Inputs!$B$13/100)))+0.25*(Inputs!$B$14-Inputs!$B$14))*(1+Inputs!$B$7/100))*(F436/100)</f>
        <v/>
      </c>
      <c r="K436">
        <f>J436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436)</f>
        <v/>
      </c>
      <c r="L436">
        <f>K436*(MIN(Inputs!$B$22+(F444-Calc!F22),((Inputs!$B$23+1)+(IF(ArtifactsInput!$M$15,CHOOSE(ArtifactsInput!$N$15+1,25,30,35,40,45,50)/100*(Inputs!$B$11-Inputs!$B$11),0))))/100+((Inputs!$B$23+1)+(IF(ArtifactsInput!$M$15,CHOOSE(ArtifactsInput!$N$15+1,25,30,35,40,45,50)/100*(Inputs!$B$11-Inputs!$B$11),0)))/100)/2</f>
        <v/>
      </c>
      <c r="M436">
        <f>L436*(1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6">
        <f>L436*(1-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436*(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6">
        <f>(1-Summary!$B$11)*S436+Summary!$B$11*U436</f>
        <v/>
      </c>
      <c r="P436">
        <f>IF(B463=0,0,O436/B463)</f>
        <v/>
      </c>
      <c r="Q436">
        <f>IFERROR(1/(IF(Inputs!$B$38="pvp",15,MAX(0.1,Skills!E14-IF(Skills!F14=TRUE,Inputs!$B$32,0)))*(1-IF(AND(ArtifactsInput!$M$27,Inputs!$B$4="Chapter Hunt"),CHOOSE(ArtifactsInput!$N$27+1,20,24,28,32,36,40),0)/100)),0)</f>
        <v/>
      </c>
      <c r="R436" t="n">
        <v>0</v>
      </c>
      <c r="S436">
        <f>IF(C436,((H436*B459)/(1+Skills!H14*H436*B459)*N436)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436*(1-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436*(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436*(1-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436*(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6">
        <f>IF(C436,((H436*B459)/(1+Skills!H14*H436*B459)*N436)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7">
      <c r="A437">
        <f>Skills!A15</f>
        <v/>
      </c>
      <c r="B437">
        <f>Skills!B15</f>
        <v/>
      </c>
      <c r="C437">
        <f>Inputs!$B$3&gt;=107</f>
        <v/>
      </c>
      <c r="D437">
        <f>IF(Skills!C15=1,60+Inputs!$B$25+Inputs!$B$29,IF(Skills!C15=2,90+Inputs!$B$26+Inputs!$B$29,IF(Skills!C15=3,120+Inputs!$B$27+Inputs!$B$29,MAX(0,(Inputs!$B$3-100)*3)+Inputs!$B$28+Inputs!$B$29)))</f>
        <v/>
      </c>
      <c r="E437">
        <f>INDEX(FactorTable!$B$2:$Y$301, MATCH(ROUND(MIN(300,MAX(1,D437)),0), FactorTable!$A$2:$A$301,0), Skills!M15+1)</f>
        <v/>
      </c>
      <c r="F437">
        <f>IF(Skills!N15=TRUE,(Skills!L15/10)*(E437/1000),Skills!L15/10)+Skills!O15</f>
        <v/>
      </c>
      <c r="G437">
        <f>Calc!G15</f>
        <v/>
      </c>
      <c r="H437">
        <f>Calc!H15</f>
        <v/>
      </c>
      <c r="I437">
        <f>IF(Skills!X15&lt;&gt;"",1+(Skills!X15/10)*(Z425/1000)/100,1)</f>
        <v/>
      </c>
      <c r="J437">
        <f>((Inputs!$B$6*(1+Inputs!$B$7/100))+(((Inputs!$B$12*(1+Inputs!$B$13/100))-(Inputs!$B$12*(1+Inputs!$B$13/100)))+0.25*(Inputs!$B$14-Inputs!$B$14))*(1+Inputs!$B$7/100))*(F437/100)</f>
        <v/>
      </c>
      <c r="K437">
        <f>J437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437)</f>
        <v/>
      </c>
      <c r="L437">
        <f>K437*(MIN(Inputs!$B$22+(F444-Calc!F22),((Inputs!$B$23+1)+(IF(ArtifactsInput!$M$15,CHOOSE(ArtifactsInput!$N$15+1,25,30,35,40,45,50)/100*(Inputs!$B$11-Inputs!$B$11),0))))/100+((Inputs!$B$23+1)+(IF(ArtifactsInput!$M$15,CHOOSE(ArtifactsInput!$N$15+1,25,30,35,40,45,50)/100*(Inputs!$B$11-Inputs!$B$11),0)))/100)/2</f>
        <v/>
      </c>
      <c r="M437">
        <f>L437*(1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7">
        <f>L437*(1-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437*(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7">
        <f>(1-Summary!$B$11)*S437+Summary!$B$11*U437</f>
        <v/>
      </c>
      <c r="P437">
        <f>IF(B463=0,0,O437/B463)</f>
        <v/>
      </c>
      <c r="Q437">
        <f>IFERROR(1/(IF(Inputs!$B$38="pvp",15,MAX(0.1,Skills!E15-IF(Skills!F15=TRUE,Inputs!$B$32,0)))*(1-IF(AND(ArtifactsInput!$M$27,Inputs!$B$4="Chapter Hunt"),CHOOSE(ArtifactsInput!$N$27+1,20,24,28,32,36,40),0)/100)),0)</f>
        <v/>
      </c>
      <c r="R437">
        <f>IF(AND(Inputs!$B$38&lt;&gt;"pvp",Inputs!$B$43&gt;0),IF(MAX(0,Inputs!$B$43-B460)&lt;=0,0,(INT(MAX(0,Inputs!$B$43-B460)/(IF(Inputs!$B$38="pvp",15,MAX(0.1,Skills!E15-IF(Skills!F15=TRUE,Inputs!$B$32,0)))*(1-IF(AND(ArtifactsInput!$M$27,Inputs!$B$4="Chapter Hunt"),CHOOSE(ArtifactsInput!$N$27+1,20,24,28,32,36,40),0)/100)))+1)),0)</f>
        <v/>
      </c>
      <c r="S437">
        <f>IF(C437,(H437*N437*IF(AND(Inputs!$B$38&lt;&gt;"pvp",Inputs!$B$43&gt;0),((Skills!G15*((R437-1)*IF(Skills!H15&gt;0,Skills!I15/Skills!H15,1)+IF(Skills!H15&gt;0,MIN(Skills!I15,MAX(0,MAX(0,Inputs!$B$43-B460)-((R437-1)*(IF(Inputs!$B$38="pvp",15,MAX(0.1,Skills!E15-IF(Skills!F15=TRUE,Inputs!$B$32,0)))*(1-IF(AND(ArtifactsInput!$M$27,Inputs!$B$4="Chapter Hunt"),CHOOSE(ArtifactsInput!$N$27+1,20,24,28,32,36,40),0)/100)))))/Skills!H15,1)))/Inputs!$B$43),G437*Q437)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437*(1-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437*(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437*(1-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437*(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7">
        <f>IF(C437,(H437*N437*IF(AND(Inputs!$B$38&lt;&gt;"pvp",Inputs!$B$43&gt;0),((Skills!G15*((R437-1)*IF(Skills!H15&gt;0,Skills!I15/Skills!H15,1)+IF(Skills!H15&gt;0,MIN(Skills!I15,MAX(0,MAX(0,Inputs!$B$43-B460)-((R437-1)*(IF(Inputs!$B$38="pvp",15,MAX(0.1,Skills!E15-IF(Skills!F15=TRUE,Inputs!$B$32,0)))*(1-IF(AND(ArtifactsInput!$M$27,Inputs!$B$4="Chapter Hunt"),CHOOSE(ArtifactsInput!$N$27+1,20,24,28,32,36,40),0)/100)))))/Skills!H15,1)))/Inputs!$B$43),G437*Q437)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8">
      <c r="A438">
        <f>Skills!A16</f>
        <v/>
      </c>
      <c r="B438">
        <f>Skills!B16</f>
        <v/>
      </c>
      <c r="C438">
        <f>Inputs!$B$3&gt;=107</f>
        <v/>
      </c>
      <c r="D438">
        <f>IF(Skills!C16=1,60+Inputs!$B$25+Inputs!$B$29,IF(Skills!C16=2,90+Inputs!$B$26+Inputs!$B$29,IF(Skills!C16=3,120+Inputs!$B$27+Inputs!$B$29,MAX(0,(Inputs!$B$3-100)*3)+Inputs!$B$28+Inputs!$B$29)))</f>
        <v/>
      </c>
      <c r="E438">
        <f>INDEX(FactorTable!$B$2:$Y$301, MATCH(ROUND(MIN(300,MAX(1,D438)),0), FactorTable!$A$2:$A$301,0), Skills!M16+1)</f>
        <v/>
      </c>
      <c r="F438">
        <f>IF(Skills!N16=TRUE,(Skills!L16/10)*(E438/1000),Skills!L16/10)+Skills!O16</f>
        <v/>
      </c>
      <c r="G438">
        <f>Calc!G16</f>
        <v/>
      </c>
      <c r="H438">
        <f>Calc!H16</f>
        <v/>
      </c>
      <c r="I438">
        <f>IF(Skills!X16&lt;&gt;"",1+(Skills!X16/10)*(Z425/1000)/100,1)</f>
        <v/>
      </c>
      <c r="J438">
        <f>((Inputs!$B$6*(1+Inputs!$B$7/100))+(((Inputs!$B$12*(1+Inputs!$B$13/100))-(Inputs!$B$12*(1+Inputs!$B$13/100)))+0.25*(Inputs!$B$14-Inputs!$B$14))*(1+Inputs!$B$7/100))*(F438/100)</f>
        <v/>
      </c>
      <c r="K438">
        <f>J438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438)</f>
        <v/>
      </c>
      <c r="L438">
        <f>K438*(MIN(Inputs!$B$22+(F444-Calc!F22),((Inputs!$B$23+1)+(IF(ArtifactsInput!$M$15,CHOOSE(ArtifactsInput!$N$15+1,25,30,35,40,45,50)/100*(Inputs!$B$11-Inputs!$B$11),0))))/100+((Inputs!$B$23+1)+(IF(ArtifactsInput!$M$15,CHOOSE(ArtifactsInput!$N$15+1,25,30,35,40,45,50)/100*(Inputs!$B$11-Inputs!$B$11),0)))/100)/2</f>
        <v/>
      </c>
      <c r="M438">
        <f>L438*(1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8">
        <f>L438*(1-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438*(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8">
        <f>(1-Summary!$B$11)*S438+Summary!$B$11*U438</f>
        <v/>
      </c>
      <c r="P438">
        <f>IF(B463=0,0,O438/B463)</f>
        <v/>
      </c>
      <c r="Q438">
        <f>IFERROR(1/(IF(Inputs!$B$38="pvp",15,MAX(0.1,Skills!E16-IF(Skills!F16=TRUE,Inputs!$B$32,0)))*(1-IF(AND(ArtifactsInput!$M$27,Inputs!$B$4="Chapter Hunt"),CHOOSE(ArtifactsInput!$N$27+1,20,24,28,32,36,40),0)/100)),0)</f>
        <v/>
      </c>
      <c r="R438">
        <f>IF(AND(Inputs!$B$38&lt;&gt;"pvp",Inputs!$B$43&gt;0),IF(MAX(0,Inputs!$B$43-B460)&lt;=0,0,(INT(MAX(0,Inputs!$B$43-B460)/(IF(Inputs!$B$38="pvp",15,MAX(0.1,Skills!E16-IF(Skills!F16=TRUE,Inputs!$B$32,0)))*(1-IF(AND(ArtifactsInput!$M$27,Inputs!$B$4="Chapter Hunt"),CHOOSE(ArtifactsInput!$N$27+1,20,24,28,32,36,40),0)/100)))+1)),0)</f>
        <v/>
      </c>
      <c r="S438">
        <f>IF(C438,(H438*N438*IF(AND(Inputs!$B$38&lt;&gt;"pvp",Inputs!$B$43&gt;0),((Skills!G16*((R438-1)*IF(Skills!H16&gt;0,Skills!I16/Skills!H16,1)+IF(Skills!H16&gt;0,MIN(Skills!I16,MAX(0,MAX(0,Inputs!$B$43-B460)-((R438-1)*(IF(Inputs!$B$38="pvp",15,MAX(0.1,Skills!E16-IF(Skills!F16=TRUE,Inputs!$B$32,0)))*(1-IF(AND(ArtifactsInput!$M$27,Inputs!$B$4="Chapter Hunt"),CHOOSE(ArtifactsInput!$N$27+1,20,24,28,32,36,40),0)/100)))))/Skills!H16,1)))/Inputs!$B$43),G438*Q438)*(1+IF(Inputs!$B$3&gt;=126,0.05*(B458+Q435+(H436*B459)/(1+Skills!H14*H436*B459)+Q446)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438*(1-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438*(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438*(1-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438*(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8">
        <f>IF(C438,(H438*N438*IF(AND(Inputs!$B$38&lt;&gt;"pvp",Inputs!$B$43&gt;0),((Skills!G16*((R438-1)*IF(Skills!H16&gt;0,Skills!I16/Skills!H16,1)+IF(Skills!H16&gt;0,MIN(Skills!I16,MAX(0,MAX(0,Inputs!$B$43-B460)-((R438-1)*(IF(Inputs!$B$38="pvp",15,MAX(0.1,Skills!E16-IF(Skills!F16=TRUE,Inputs!$B$32,0)))*(1-IF(AND(ArtifactsInput!$M$27,Inputs!$B$4="Chapter Hunt"),CHOOSE(ArtifactsInput!$N$27+1,20,24,28,32,36,40),0)/100)))))/Skills!H16,1)))/Inputs!$B$43),G438*Q438)*(1+IF(Inputs!$B$3&gt;=126,0.05*(B458+Q435+(H436*B459)/(1+Skills!H14*H436*B459)+Q446)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9">
      <c r="A439">
        <f>Skills!A17</f>
        <v/>
      </c>
      <c r="B439">
        <f>Skills!B17</f>
        <v/>
      </c>
      <c r="C439">
        <f>TRUE</f>
        <v/>
      </c>
      <c r="D439">
        <f>IF(Skills!C17=1,60+Inputs!$B$25+Inputs!$B$29,IF(Skills!C17=2,90+Inputs!$B$26+Inputs!$B$29,IF(Skills!C17=3,120+Inputs!$B$27+Inputs!$B$29,MAX(0,(Inputs!$B$3-100)*3)+Inputs!$B$28+Inputs!$B$29)))</f>
        <v/>
      </c>
      <c r="E439">
        <f>INDEX(FactorTable!$B$2:$Y$301, MATCH(ROUND(MIN(300,MAX(1,D439)),0), FactorTable!$A$2:$A$301,0), Skills!M17+1)</f>
        <v/>
      </c>
      <c r="F439">
        <f>IF(Skills!N17=TRUE,(Skills!L17/10)*(E439/1000),Skills!L17/10)+Skills!O17</f>
        <v/>
      </c>
      <c r="G439">
        <f>Calc!G17</f>
        <v/>
      </c>
      <c r="H439">
        <f>Calc!H17</f>
        <v/>
      </c>
      <c r="I439">
        <f>IF(Skills!X17&lt;&gt;"",1+(Skills!X17/10)*(Z425/1000)/100,1)</f>
        <v/>
      </c>
      <c r="J439" t="inlineStr"/>
      <c r="K439" t="inlineStr"/>
      <c r="L439" t="inlineStr"/>
      <c r="M439" t="inlineStr"/>
      <c r="N439" t="inlineStr"/>
      <c r="O439">
        <f>(1-Summary!$B$11)*S439+Summary!$B$11*U439</f>
        <v/>
      </c>
      <c r="P439">
        <f>IF(B463=0,0,O439/B463)</f>
        <v/>
      </c>
      <c r="Q439">
        <f>IFERROR(1/(IF(Inputs!$B$38="pvp",15,MAX(0.1,Skills!E17-IF(Skills!F17=TRUE,Inputs!$B$32,0)))*(1-IF(AND(ArtifactsInput!$M$27,Inputs!$B$4="Chapter Hunt"),CHOOSE(ArtifactsInput!$N$27+1,20,24,28,32,36,40),0)/100)),0)</f>
        <v/>
      </c>
      <c r="R439">
        <f>IF(AND(Inputs!$B$38&lt;&gt;"pvp",Inputs!$B$43&gt;0),IF(Inputs!$B$43&lt;=0,0,(INT(Inputs!$B$43/(IF(Inputs!$B$38="pvp",15,MAX(0.1,Skills!E17-IF(Skills!F17=TRUE,Inputs!$B$32,0)))*(1-IF(AND(ArtifactsInput!$M$27,Inputs!$B$4="Chapter Hunt"),CHOOSE(ArtifactsInput!$N$27+1,20,24,28,32,36,40),0)/100)))+1)),0)</f>
        <v/>
      </c>
      <c r="S439" t="n">
        <v>0</v>
      </c>
      <c r="U439" t="n">
        <v>0</v>
      </c>
    </row>
    <row r="440">
      <c r="A440">
        <f>Skills!A18</f>
        <v/>
      </c>
      <c r="B440">
        <f>Skills!B18</f>
        <v/>
      </c>
      <c r="C440">
        <f>TRUE</f>
        <v/>
      </c>
      <c r="D440">
        <f>IF(Skills!C18=1,60+Inputs!$B$25+Inputs!$B$29,IF(Skills!C18=2,90+Inputs!$B$26+Inputs!$B$29,IF(Skills!C18=3,120+Inputs!$B$27+Inputs!$B$29,MAX(0,(Inputs!$B$3-100)*3)+Inputs!$B$28+Inputs!$B$29)))</f>
        <v/>
      </c>
      <c r="E440">
        <f>INDEX(FactorTable!$B$2:$Y$301, MATCH(ROUND(MIN(300,MAX(1,D440)),0), FactorTable!$A$2:$A$301,0), Skills!M18+1)</f>
        <v/>
      </c>
      <c r="F440">
        <f>IF(Skills!N18=TRUE,(Skills!L18/10)*(E440/1000),Skills!L18/10)+Skills!O18</f>
        <v/>
      </c>
      <c r="G440">
        <f>Calc!G18</f>
        <v/>
      </c>
      <c r="H440">
        <f>Calc!H18</f>
        <v/>
      </c>
      <c r="I440">
        <f>IF(Skills!X18&lt;&gt;"",1+(Skills!X18/10)*(Z425/1000)/100,1)</f>
        <v/>
      </c>
      <c r="J440" t="inlineStr"/>
      <c r="K440" t="inlineStr"/>
      <c r="L440" t="inlineStr"/>
      <c r="M440" t="inlineStr"/>
      <c r="N440" t="inlineStr"/>
      <c r="O440">
        <f>(1-Summary!$B$11)*S440+Summary!$B$11*U440</f>
        <v/>
      </c>
      <c r="P440">
        <f>IF(B463=0,0,O440/B463)</f>
        <v/>
      </c>
      <c r="Q440">
        <f>IFERROR(1/(IF(Inputs!$B$38="pvp",15,MAX(0.1,Skills!E18-IF(Skills!F18=TRUE,Inputs!$B$32,0)))*(1-IF(AND(ArtifactsInput!$M$27,Inputs!$B$4="Chapter Hunt"),CHOOSE(ArtifactsInput!$N$27+1,20,24,28,32,36,40),0)/100)),0)</f>
        <v/>
      </c>
      <c r="R440">
        <f>IF(AND(Inputs!$B$38&lt;&gt;"pvp",Inputs!$B$43&gt;0),IF(Inputs!$B$43&lt;=0,0,(INT(Inputs!$B$43/(IF(Inputs!$B$38="pvp",15,MAX(0.1,Skills!E18-IF(Skills!F18=TRUE,Inputs!$B$32,0)))*(1-IF(AND(ArtifactsInput!$M$27,Inputs!$B$4="Chapter Hunt"),CHOOSE(ArtifactsInput!$N$27+1,20,24,28,32,36,40),0)/100)))+1)),0)</f>
        <v/>
      </c>
      <c r="S440" t="n">
        <v>0</v>
      </c>
      <c r="U440" t="n">
        <v>0</v>
      </c>
    </row>
    <row r="441">
      <c r="A441">
        <f>Skills!A19</f>
        <v/>
      </c>
      <c r="B441">
        <f>Skills!B19</f>
        <v/>
      </c>
      <c r="C441">
        <f>Inputs!$B$3&gt;=110</f>
        <v/>
      </c>
      <c r="D441">
        <f>IF(Skills!C19=1,60+Inputs!$B$25+Inputs!$B$29,IF(Skills!C19=2,90+Inputs!$B$26+Inputs!$B$29,IF(Skills!C19=3,120+Inputs!$B$27+Inputs!$B$29,MAX(0,(Inputs!$B$3-100)*3)+Inputs!$B$28+Inputs!$B$29)))</f>
        <v/>
      </c>
      <c r="E441">
        <f>INDEX(FactorTable!$B$2:$Y$301, MATCH(ROUND(MIN(300,MAX(1,D441)),0), FactorTable!$A$2:$A$301,0), Skills!M19+1)</f>
        <v/>
      </c>
      <c r="F441">
        <f>IF(Skills!N19=TRUE,(Skills!L19/10)*(E441/1000),Skills!L19/10)+Skills!O19</f>
        <v/>
      </c>
      <c r="G441">
        <f>Calc!G19</f>
        <v/>
      </c>
      <c r="H441">
        <f>Calc!H19</f>
        <v/>
      </c>
      <c r="I441">
        <f>IF(Skills!X19&lt;&gt;"",1+(Skills!X19/10)*(Z425/1000)/100,1)</f>
        <v/>
      </c>
      <c r="J441" t="inlineStr"/>
      <c r="K441" t="inlineStr"/>
      <c r="L441" t="inlineStr"/>
      <c r="M441" t="inlineStr"/>
      <c r="N441" t="inlineStr"/>
      <c r="O441">
        <f>(1-Summary!$B$11)*S441+Summary!$B$11*U441</f>
        <v/>
      </c>
      <c r="P441">
        <f>IF(B463=0,0,O441/B463)</f>
        <v/>
      </c>
      <c r="Q441">
        <f>IFERROR(1/(IF(Inputs!$B$38="pvp",15,MAX(0.1,Skills!E19-IF(Skills!F19=TRUE,Inputs!$B$32,0)))*(1-IF(AND(ArtifactsInput!$M$27,Inputs!$B$4="Chapter Hunt"),CHOOSE(ArtifactsInput!$N$27+1,20,24,28,32,36,40),0)/100)),0)</f>
        <v/>
      </c>
      <c r="R441">
        <f>IF(AND(Inputs!$B$38&lt;&gt;"pvp",Inputs!$B$43&gt;0),IF(Inputs!$B$43&lt;=0,0,(INT(Inputs!$B$43/(IF(Inputs!$B$38="pvp",15,MAX(0.1,Skills!E19-IF(Skills!F19=TRUE,Inputs!$B$32,0)))*(1-IF(AND(ArtifactsInput!$M$27,Inputs!$B$4="Chapter Hunt"),CHOOSE(ArtifactsInput!$N$27+1,20,24,28,32,36,40),0)/100)))+1)),0)</f>
        <v/>
      </c>
      <c r="S441" t="n">
        <v>0</v>
      </c>
      <c r="U441" t="n">
        <v>0</v>
      </c>
    </row>
    <row r="442">
      <c r="A442">
        <f>Skills!A20</f>
        <v/>
      </c>
      <c r="B442">
        <f>Skills!B20</f>
        <v/>
      </c>
      <c r="C442">
        <f>TRUE</f>
        <v/>
      </c>
      <c r="D442">
        <f>IF(Skills!C20=1,60+Inputs!$B$25+Inputs!$B$29,IF(Skills!C20=2,90+Inputs!$B$26+Inputs!$B$29,IF(Skills!C20=3,120+Inputs!$B$27+Inputs!$B$29,MAX(0,(Inputs!$B$3-100)*3)+Inputs!$B$28+Inputs!$B$29)))</f>
        <v/>
      </c>
      <c r="E442">
        <f>INDEX(FactorTable!$B$2:$Y$301, MATCH(ROUND(MIN(300,MAX(1,D442)),0), FactorTable!$A$2:$A$301,0), Skills!M20+1)</f>
        <v/>
      </c>
      <c r="F442">
        <f>IF(Skills!N20=TRUE,(Skills!L20/10)*(E442/1000),Skills!L20/10)+Skills!O20</f>
        <v/>
      </c>
      <c r="G442">
        <f>Calc!G20</f>
        <v/>
      </c>
      <c r="H442">
        <f>Calc!H20</f>
        <v/>
      </c>
      <c r="I442">
        <f>IF(Skills!X20&lt;&gt;"",1+(Skills!X20/10)*(Z425/1000)/100,1)</f>
        <v/>
      </c>
      <c r="J442" t="inlineStr"/>
      <c r="K442" t="inlineStr"/>
      <c r="L442" t="inlineStr"/>
      <c r="M442" t="inlineStr"/>
      <c r="N442" t="inlineStr"/>
      <c r="O442">
        <f>(1-Summary!$B$11)*S442+Summary!$B$11*U442</f>
        <v/>
      </c>
      <c r="P442">
        <f>IF(B463=0,0,O442/B463)</f>
        <v/>
      </c>
      <c r="Q442">
        <f>IFERROR(1/(IF(Inputs!$B$38="pvp",15,MAX(0.1,Skills!E20-IF(Skills!F20=TRUE,Inputs!$B$32,0)))*(1-IF(AND(ArtifactsInput!$M$27,Inputs!$B$4="Chapter Hunt"),CHOOSE(ArtifactsInput!$N$27+1,20,24,28,32,36,40),0)/100)),0)</f>
        <v/>
      </c>
      <c r="R442" t="n">
        <v>0</v>
      </c>
      <c r="S442" t="n">
        <v>0</v>
      </c>
      <c r="U442" t="n">
        <v>0</v>
      </c>
    </row>
    <row r="443">
      <c r="A443">
        <f>Skills!A21</f>
        <v/>
      </c>
      <c r="B443">
        <f>Skills!B21</f>
        <v/>
      </c>
      <c r="C443">
        <f>TRUE</f>
        <v/>
      </c>
      <c r="D443">
        <f>IF(Skills!C21=1,60+Inputs!$B$25+Inputs!$B$29,IF(Skills!C21=2,90+Inputs!$B$26+Inputs!$B$29,IF(Skills!C21=3,120+Inputs!$B$27+Inputs!$B$29,MAX(0,(Inputs!$B$3-100)*3)+Inputs!$B$28+Inputs!$B$29)))</f>
        <v/>
      </c>
      <c r="E443">
        <f>INDEX(FactorTable!$B$2:$Y$301, MATCH(ROUND(MIN(300,MAX(1,D443)),0), FactorTable!$A$2:$A$301,0), Skills!M21+1)</f>
        <v/>
      </c>
      <c r="F443">
        <f>IF(Skills!N21=TRUE,(Skills!L21/10)*(E443/1000),Skills!L21/10)+Skills!O21</f>
        <v/>
      </c>
      <c r="G443">
        <f>Calc!G21</f>
        <v/>
      </c>
      <c r="H443">
        <f>Calc!H21</f>
        <v/>
      </c>
      <c r="I443">
        <f>IF(Skills!X21&lt;&gt;"",1+(Skills!X21/10)*(Z425/1000)/100,1)</f>
        <v/>
      </c>
      <c r="J443" t="inlineStr"/>
      <c r="K443" t="inlineStr"/>
      <c r="L443" t="inlineStr"/>
      <c r="M443" t="inlineStr"/>
      <c r="N443" t="inlineStr"/>
      <c r="O443">
        <f>(1-Summary!$B$11)*S443+Summary!$B$11*U443</f>
        <v/>
      </c>
      <c r="P443">
        <f>IF(B463=0,0,O443/B463)</f>
        <v/>
      </c>
      <c r="Q443">
        <f>IFERROR(1/(IF(Inputs!$B$38="pvp",15,MAX(0.1,Skills!E21-IF(Skills!F21=TRUE,Inputs!$B$32,0)))*(1-IF(AND(ArtifactsInput!$M$27,Inputs!$B$4="Chapter Hunt"),CHOOSE(ArtifactsInput!$N$27+1,20,24,28,32,36,40),0)/100)),0)</f>
        <v/>
      </c>
      <c r="R443" t="n">
        <v>0</v>
      </c>
      <c r="S443" t="n">
        <v>0</v>
      </c>
      <c r="U443" t="n">
        <v>0</v>
      </c>
    </row>
    <row r="444">
      <c r="A444">
        <f>Skills!A22</f>
        <v/>
      </c>
      <c r="B444">
        <f>Skills!B22</f>
        <v/>
      </c>
      <c r="C444">
        <f>TRUE</f>
        <v/>
      </c>
      <c r="D444">
        <f>IF(Skills!C22=1,60+Inputs!$B$25+Inputs!$B$29,IF(Skills!C22=2,90+Inputs!$B$26+Inputs!$B$29,IF(Skills!C22=3,120+Inputs!$B$27+Inputs!$B$29,MAX(0,(Inputs!$B$3-100)*3)+Inputs!$B$28+Inputs!$B$29)))</f>
        <v/>
      </c>
      <c r="E444">
        <f>INDEX(FactorTable!$B$2:$Y$301, MATCH(ROUND(MIN(300,MAX(1,D444)),0), FactorTable!$A$2:$A$301,0), Skills!M22+1)</f>
        <v/>
      </c>
      <c r="F444">
        <f>IF(Skills!N22=TRUE,(Skills!L22/10)*(E444/1000),Skills!L22/10)+Skills!O22</f>
        <v/>
      </c>
      <c r="G444">
        <f>Calc!G22</f>
        <v/>
      </c>
      <c r="H444">
        <f>Calc!H22</f>
        <v/>
      </c>
      <c r="I444">
        <f>IF(Skills!X22&lt;&gt;"",1+(Skills!X22/10)*(Z425/1000)/100,1)</f>
        <v/>
      </c>
      <c r="J444" t="inlineStr"/>
      <c r="K444" t="inlineStr"/>
      <c r="L444" t="inlineStr"/>
      <c r="M444" t="inlineStr"/>
      <c r="N444" t="inlineStr"/>
      <c r="O444">
        <f>(1-Summary!$B$11)*S444+Summary!$B$11*U444</f>
        <v/>
      </c>
      <c r="P444">
        <f>IF(B463=0,0,O444/B463)</f>
        <v/>
      </c>
      <c r="Q444">
        <f>IFERROR(1/(IF(Inputs!$B$38="pvp",15,MAX(0.1,Skills!E22-IF(Skills!F22=TRUE,Inputs!$B$32,0)))*(1-IF(AND(ArtifactsInput!$M$27,Inputs!$B$4="Chapter Hunt"),CHOOSE(ArtifactsInput!$N$27+1,20,24,28,32,36,40),0)/100)),0)</f>
        <v/>
      </c>
      <c r="R444" t="n">
        <v>0</v>
      </c>
      <c r="S444" t="n">
        <v>0</v>
      </c>
      <c r="U444" t="n">
        <v>0</v>
      </c>
    </row>
    <row r="445">
      <c r="A445">
        <f>Skills!A23</f>
        <v/>
      </c>
      <c r="B445">
        <f>Skills!B23</f>
        <v/>
      </c>
      <c r="C445">
        <f>TRUE</f>
        <v/>
      </c>
      <c r="D445">
        <f>IF(Skills!C23=1,60+Inputs!$B$25+Inputs!$B$29,IF(Skills!C23=2,90+Inputs!$B$26+Inputs!$B$29,IF(Skills!C23=3,120+Inputs!$B$27+Inputs!$B$29,MAX(0,(Inputs!$B$3-100)*3)+Inputs!$B$28+Inputs!$B$29)))</f>
        <v/>
      </c>
      <c r="E445">
        <f>INDEX(FactorTable!$B$2:$Y$301, MATCH(ROUND(MIN(300,MAX(1,D445)),0), FactorTable!$A$2:$A$301,0), Skills!M23+1)</f>
        <v/>
      </c>
      <c r="F445">
        <f>IF(Skills!N23=TRUE,(Skills!L23/10)*(E445/1000),Skills!L23/10)+Skills!O23</f>
        <v/>
      </c>
      <c r="G445">
        <f>Calc!G23</f>
        <v/>
      </c>
      <c r="H445">
        <f>Calc!H23</f>
        <v/>
      </c>
      <c r="I445">
        <f>IF(Skills!X23&lt;&gt;"",1+(Skills!X23/10)*(Z425/1000)/100,1)</f>
        <v/>
      </c>
      <c r="J445" t="inlineStr"/>
      <c r="K445" t="inlineStr"/>
      <c r="L445" t="inlineStr"/>
      <c r="M445" t="inlineStr"/>
      <c r="N445" t="inlineStr"/>
      <c r="O445">
        <f>(1-Summary!$B$11)*S445+Summary!$B$11*U445</f>
        <v/>
      </c>
      <c r="P445">
        <f>IF(B463=0,0,O445/B463)</f>
        <v/>
      </c>
      <c r="Q445">
        <f>IFERROR(1/(IF(Inputs!$B$38="pvp",15,MAX(0.1,Skills!E23-IF(Skills!F23=TRUE,Inputs!$B$32,0)))*(1-IF(AND(ArtifactsInput!$M$27,Inputs!$B$4="Chapter Hunt"),CHOOSE(ArtifactsInput!$N$27+1,20,24,28,32,36,40),0)/100)),0)</f>
        <v/>
      </c>
      <c r="R445" t="n">
        <v>0</v>
      </c>
      <c r="S445" t="n">
        <v>0</v>
      </c>
      <c r="U445" t="n">
        <v>0</v>
      </c>
    </row>
    <row r="446">
      <c r="A446">
        <f>Skills!A24</f>
        <v/>
      </c>
      <c r="B446">
        <f>Skills!B24</f>
        <v/>
      </c>
      <c r="C446">
        <f>Inputs!$B$3&gt;=115</f>
        <v/>
      </c>
      <c r="D446">
        <f>IF(Skills!C24=1,60+Inputs!$B$25+Inputs!$B$29,IF(Skills!C24=2,90+Inputs!$B$26+Inputs!$B$29,IF(Skills!C24=3,120+Inputs!$B$27+Inputs!$B$29,MAX(0,(Inputs!$B$3-100)*3)+Inputs!$B$28+Inputs!$B$29)))</f>
        <v/>
      </c>
      <c r="E446">
        <f>INDEX(FactorTable!$B$2:$Y$301, MATCH(ROUND(MIN(300,MAX(1,D446)),0), FactorTable!$A$2:$A$301,0), Skills!M24+1)</f>
        <v/>
      </c>
      <c r="F446">
        <f>IF(Skills!N24=TRUE,(Skills!L24/10)*(E446/1000),Skills!L24/10)+Skills!O24</f>
        <v/>
      </c>
      <c r="G446">
        <f>Calc!G24</f>
        <v/>
      </c>
      <c r="H446">
        <f>Calc!H24</f>
        <v/>
      </c>
      <c r="I446">
        <f>IF(Skills!X24&lt;&gt;"",1+(Skills!X24/10)*(Z425/1000)/100,1)</f>
        <v/>
      </c>
      <c r="J446">
        <f>((Inputs!$B$6*(1+Inputs!$B$7/100))+(((Inputs!$B$12*(1+Inputs!$B$13/100))-(Inputs!$B$12*(1+Inputs!$B$13/100)))+0.25*(Inputs!$B$14-Inputs!$B$14))*(1+Inputs!$B$7/100))*(F446/100)</f>
        <v/>
      </c>
      <c r="K446">
        <f>J446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446)</f>
        <v/>
      </c>
      <c r="L446">
        <f>K446*(MIN(Inputs!$B$22+(F444-Calc!F22),((Inputs!$B$23+1)+(IF(ArtifactsInput!$M$15,CHOOSE(ArtifactsInput!$N$15+1,25,30,35,40,45,50)/100*(Inputs!$B$11-Inputs!$B$11),0))))/100+((Inputs!$B$23+1)+(IF(ArtifactsInput!$M$15,CHOOSE(ArtifactsInput!$N$15+1,25,30,35,40,45,50)/100*(Inputs!$B$11-Inputs!$B$11),0)))/100)/2</f>
        <v/>
      </c>
      <c r="M446">
        <f>L446*(1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6">
        <f>L446*(1-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446*(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6">
        <f>(1-Summary!$B$11)*S446+Summary!$B$11*U446</f>
        <v/>
      </c>
      <c r="P446">
        <f>IF(B463=0,0,O446/B463)</f>
        <v/>
      </c>
      <c r="Q446">
        <f>IFERROR(1/(IF(Inputs!$B$38="pvp",15,MAX(0.1,Skills!E24-IF(Skills!F24=TRUE,Inputs!$B$32,0)))*(1-IF(AND(ArtifactsInput!$M$27,Inputs!$B$4="Chapter Hunt"),CHOOSE(ArtifactsInput!$N$27+1,20,24,28,32,36,40),0)/100)),0)</f>
        <v/>
      </c>
      <c r="R446">
        <f>IF(AND(Inputs!$B$38&lt;&gt;"pvp",Inputs!$B$43&gt;0),IF(MAX(0,Inputs!$B$43-B460)&lt;=0,0,(INT(MAX(0,Inputs!$B$43-B460)/(IF(Inputs!$B$38="pvp",15,MAX(0.1,Skills!E24-IF(Skills!F24=TRUE,Inputs!$B$32,0)))*(1-IF(AND(ArtifactsInput!$M$27,Inputs!$B$4="Chapter Hunt"),CHOOSE(ArtifactsInput!$N$27+1,20,24,28,32,36,40),0)/100)))+1)),0)</f>
        <v/>
      </c>
      <c r="S446">
        <f>IF(C446,(H446*N446*IF(AND(Inputs!$B$38&lt;&gt;"pvp",Inputs!$B$43&gt;0),((Skills!G24*((R446-1)*IF(Skills!H24&gt;0,Skills!I24/Skills!H24,1)+IF(Skills!H24&gt;0,MIN(Skills!I24,MAX(0,MAX(0,Inputs!$B$43-B460)-((R446-1)*(IF(Inputs!$B$38="pvp",15,MAX(0.1,Skills!E24-IF(Skills!F24=TRUE,Inputs!$B$32,0)))*(1-IF(AND(ArtifactsInput!$M$27,Inputs!$B$4="Chapter Hunt"),CHOOSE(ArtifactsInput!$N$27+1,20,24,28,32,36,40),0)/100)))))/Skills!H24,1)))/Inputs!$B$43),G446*Q446)*(1+IF(Inputs!$B$3&gt;=130,0.2*(Skills!I16/Skills!E15+IF(Inputs!$B$3&gt;=126,0.05*(B458+Q435+(H436*B459)/(1+Skills!H14*H436*B459)+Q446)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446*(1-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446*(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446*(1-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446*(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6">
        <f>IF(C446,(H446*N446*IF(AND(Inputs!$B$38&lt;&gt;"pvp",Inputs!$B$43&gt;0),((Skills!G24*((R446-1)*IF(Skills!H24&gt;0,Skills!I24/Skills!H24,1)+IF(Skills!H24&gt;0,MIN(Skills!I24,MAX(0,MAX(0,Inputs!$B$43-B460)-((R446-1)*(IF(Inputs!$B$38="pvp",15,MAX(0.1,Skills!E24-IF(Skills!F24=TRUE,Inputs!$B$32,0)))*(1-IF(AND(ArtifactsInput!$M$27,Inputs!$B$4="Chapter Hunt"),CHOOSE(ArtifactsInput!$N$27+1,20,24,28,32,36,40),0)/100)))))/Skills!H24,1)))/Inputs!$B$43),G446*Q446)*(1+IF(Inputs!$B$3&gt;=130,0.2*(Skills!I16/Skills!E15+IF(Inputs!$B$3&gt;=126,0.05*(B458+Q435+(H436*B459)/(1+Skills!H14*H436*B459)+Q446)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7">
      <c r="A447">
        <f>Skills!A25</f>
        <v/>
      </c>
      <c r="B447">
        <f>Skills!B25</f>
        <v/>
      </c>
      <c r="C447">
        <f>Inputs!$B$3&gt;=117</f>
        <v/>
      </c>
      <c r="D447">
        <f>IF(Skills!C25=1,60+Inputs!$B$25+Inputs!$B$29,IF(Skills!C25=2,90+Inputs!$B$26+Inputs!$B$29,IF(Skills!C25=3,120+Inputs!$B$27+Inputs!$B$29,MAX(0,(Inputs!$B$3-100)*3)+Inputs!$B$28+Inputs!$B$29)))</f>
        <v/>
      </c>
      <c r="E447">
        <f>INDEX(FactorTable!$B$2:$Y$301, MATCH(ROUND(MIN(300,MAX(1,D447)),0), FactorTable!$A$2:$A$301,0), Skills!M25+1)</f>
        <v/>
      </c>
      <c r="F447">
        <f>IF(Skills!N25=TRUE,(Skills!L25/10)*(E447/1000),Skills!L25/10)+Skills!O25</f>
        <v/>
      </c>
      <c r="G447">
        <f>Calc!G25</f>
        <v/>
      </c>
      <c r="H447">
        <f>Calc!H25</f>
        <v/>
      </c>
      <c r="I447">
        <f>IF(Skills!X25&lt;&gt;"",1+(Skills!X25/10)*(Z425/1000)/100,1)</f>
        <v/>
      </c>
      <c r="J447" t="inlineStr"/>
      <c r="K447" t="inlineStr"/>
      <c r="L447" t="inlineStr"/>
      <c r="M447" t="inlineStr"/>
      <c r="N447" t="inlineStr"/>
      <c r="O447">
        <f>(1-Summary!$B$11)*S447+Summary!$B$11*U447</f>
        <v/>
      </c>
      <c r="P447">
        <f>IF(B463=0,0,O447/B463)</f>
        <v/>
      </c>
      <c r="Q447">
        <f>IFERROR(1/(IF(Inputs!$B$38="pvp",15,MAX(0.1,Skills!E25-IF(Skills!F25=TRUE,Inputs!$B$32,0)))*(1-IF(AND(ArtifactsInput!$M$27,Inputs!$B$4="Chapter Hunt"),CHOOSE(ArtifactsInput!$N$27+1,20,24,28,32,36,40),0)/100)),0)</f>
        <v/>
      </c>
      <c r="R447" t="n">
        <v>0</v>
      </c>
      <c r="S447" t="n">
        <v>0</v>
      </c>
      <c r="U447" t="n">
        <v>0</v>
      </c>
    </row>
    <row r="448">
      <c r="A448">
        <f>Skills!A26</f>
        <v/>
      </c>
      <c r="B448">
        <f>Skills!B26</f>
        <v/>
      </c>
      <c r="C448">
        <f>Inputs!$B$3&gt;=120</f>
        <v/>
      </c>
      <c r="D448">
        <f>IF(Skills!C26=1,60+Inputs!$B$25+Inputs!$B$29,IF(Skills!C26=2,90+Inputs!$B$26+Inputs!$B$29,IF(Skills!C26=3,120+Inputs!$B$27+Inputs!$B$29,MAX(0,(Inputs!$B$3-100)*3)+Inputs!$B$28+Inputs!$B$29)))</f>
        <v/>
      </c>
      <c r="E448">
        <f>INDEX(FactorTable!$B$2:$Y$301, MATCH(ROUND(MIN(300,MAX(1,D448)),0), FactorTable!$A$2:$A$301,0), Skills!M26+1)</f>
        <v/>
      </c>
      <c r="F448">
        <f>IF(Skills!N26=TRUE,(Skills!L26/10)*(E448/1000),Skills!L26/10)+Skills!O26</f>
        <v/>
      </c>
      <c r="G448">
        <f>Calc!G26</f>
        <v/>
      </c>
      <c r="H448">
        <f>Calc!H26</f>
        <v/>
      </c>
      <c r="I448">
        <f>IF(Skills!X26&lt;&gt;"",1+(Skills!X26/10)*(Z425/1000)/100,1)</f>
        <v/>
      </c>
      <c r="J448" t="inlineStr"/>
      <c r="K448" t="inlineStr"/>
      <c r="L448" t="inlineStr"/>
      <c r="M448" t="inlineStr"/>
      <c r="N448" t="inlineStr"/>
      <c r="O448">
        <f>(1-Summary!$B$11)*S448+Summary!$B$11*U448</f>
        <v/>
      </c>
      <c r="P448">
        <f>IF(B463=0,0,O448/B463)</f>
        <v/>
      </c>
      <c r="Q448">
        <f>IFERROR(1/(IF(Inputs!$B$38="pvp",15,MAX(0.1,Skills!E26-IF(Skills!F26=TRUE,Inputs!$B$32,0)))*(1-IF(AND(ArtifactsInput!$M$27,Inputs!$B$4="Chapter Hunt"),CHOOSE(ArtifactsInput!$N$27+1,20,24,28,32,36,40),0)/100)),0)</f>
        <v/>
      </c>
      <c r="R448" t="n">
        <v>0</v>
      </c>
      <c r="S448" t="n">
        <v>0</v>
      </c>
      <c r="U448" t="n">
        <v>0</v>
      </c>
    </row>
    <row r="449">
      <c r="A449">
        <f>Skills!A27</f>
        <v/>
      </c>
      <c r="B449">
        <f>Skills!B27</f>
        <v/>
      </c>
      <c r="C449">
        <f>Inputs!$B$3&gt;=125</f>
        <v/>
      </c>
      <c r="D449">
        <f>IF(Skills!C27=1,60+Inputs!$B$25+Inputs!$B$29,IF(Skills!C27=2,90+Inputs!$B$26+Inputs!$B$29,IF(Skills!C27=3,120+Inputs!$B$27+Inputs!$B$29,MAX(0,(Inputs!$B$3-100)*3)+Inputs!$B$28+Inputs!$B$29)))</f>
        <v/>
      </c>
      <c r="E449">
        <f>INDEX(FactorTable!$B$2:$Y$301, MATCH(ROUND(MIN(300,MAX(1,D449)),0), FactorTable!$A$2:$A$301,0), Skills!M27+1)</f>
        <v/>
      </c>
      <c r="F449">
        <f>IF(Skills!N27=TRUE,(Skills!L27/10)*(E449/1000),Skills!L27/10)+Skills!O27</f>
        <v/>
      </c>
      <c r="G449">
        <f>Calc!G27</f>
        <v/>
      </c>
      <c r="H449">
        <f>Calc!H27</f>
        <v/>
      </c>
      <c r="I449">
        <f>IF(Skills!X27&lt;&gt;"",1+(Skills!X27/10)*(Z425/1000)/100,1)</f>
        <v/>
      </c>
      <c r="J449" t="inlineStr"/>
      <c r="K449" t="inlineStr"/>
      <c r="L449" t="inlineStr"/>
      <c r="M449" t="inlineStr"/>
      <c r="N449" t="inlineStr"/>
      <c r="O449">
        <f>(1-Summary!$B$11)*S449+Summary!$B$11*U449</f>
        <v/>
      </c>
      <c r="P449">
        <f>IF(B463=0,0,O449/B463)</f>
        <v/>
      </c>
      <c r="Q449">
        <f>IFERROR(1/(IF(Inputs!$B$38="pvp",15,MAX(0.1,Skills!E27-IF(Skills!F27=TRUE,Inputs!$B$32,0)))*(1-IF(AND(ArtifactsInput!$M$27,Inputs!$B$4="Chapter Hunt"),CHOOSE(ArtifactsInput!$N$27+1,20,24,28,32,36,40),0)/100)),0)</f>
        <v/>
      </c>
      <c r="R449" t="n">
        <v>0</v>
      </c>
      <c r="S449" t="n">
        <v>0</v>
      </c>
      <c r="U449" t="n">
        <v>0</v>
      </c>
    </row>
    <row r="450">
      <c r="A450">
        <f>Skills!A28</f>
        <v/>
      </c>
      <c r="B450">
        <f>Skills!B28</f>
        <v/>
      </c>
      <c r="C450">
        <f>Inputs!$B$3&gt;=118</f>
        <v/>
      </c>
      <c r="D450">
        <f>IF(Skills!C28=1,60+Inputs!$B$25+Inputs!$B$29,IF(Skills!C28=2,90+Inputs!$B$26+Inputs!$B$29,IF(Skills!C28=3,120+Inputs!$B$27+Inputs!$B$29,MAX(0,(Inputs!$B$3-100)*3)+Inputs!$B$28+Inputs!$B$29)))</f>
        <v/>
      </c>
      <c r="E450">
        <f>INDEX(FactorTable!$B$2:$Y$301, MATCH(ROUND(MIN(300,MAX(1,D450)),0), FactorTable!$A$2:$A$301,0), Skills!M28+1)</f>
        <v/>
      </c>
      <c r="F450">
        <f>IF(Skills!N28=TRUE,(Skills!L28/10)*(E450/1000),Skills!L28/10)+Skills!O28</f>
        <v/>
      </c>
      <c r="G450">
        <f>Calc!G28</f>
        <v/>
      </c>
      <c r="H450">
        <f>Calc!H28</f>
        <v/>
      </c>
      <c r="I450">
        <f>IF(Skills!X28&lt;&gt;"",1+(Skills!X28/10)*(Z425/1000)/100,1)</f>
        <v/>
      </c>
      <c r="J450">
        <f>((Inputs!$B$6*(1+Inputs!$B$7/100))+(((Inputs!$B$12*(1+Inputs!$B$13/100))-(Inputs!$B$12*(1+Inputs!$B$13/100)))+0.25*(Inputs!$B$14-Inputs!$B$14))*(1+Inputs!$B$7/100))*(F450/100)</f>
        <v/>
      </c>
      <c r="K450">
        <f>J450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445/100)*(1+IF(Inputs!$B$3&gt;=120,F448,0)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449*5,0)))/100)*(B452*B453*B454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450)</f>
        <v/>
      </c>
      <c r="L450">
        <f>K450*(MIN(Inputs!$B$22+(F444-Calc!F22),((Inputs!$B$23+1)+(IF(ArtifactsInput!$M$15,CHOOSE(ArtifactsInput!$N$15+1,25,30,35,40,45,50)/100*(Inputs!$B$11-Inputs!$B$11),0))))/100+((Inputs!$B$23+1)+(IF(ArtifactsInput!$M$15,CHOOSE(ArtifactsInput!$N$15+1,25,30,35,40,45,50)/100*(Inputs!$B$11-Inputs!$B$11),0)))/100)/2</f>
        <v/>
      </c>
      <c r="M450">
        <f>L450*(1+(Inputs!$B$10+(F443-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50">
        <f>L450*(1-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450*(MIN((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0">
        <f>(1-Summary!$B$11)*S450+Summary!$B$11*U450</f>
        <v/>
      </c>
      <c r="P450">
        <f>IF(B463=0,0,O450/B463)</f>
        <v/>
      </c>
      <c r="Q450">
        <f>IFERROR(1/(IF(Inputs!$B$38="pvp",15,MAX(0.1,Skills!E28-IF(Skills!F28=TRUE,Inputs!$B$32,0)))*(1-IF(AND(ArtifactsInput!$M$27,Inputs!$B$4="Chapter Hunt"),CHOOSE(ArtifactsInput!$N$27+1,20,24,28,32,36,40),0)/100)),0)</f>
        <v/>
      </c>
      <c r="R450">
        <f>IF(AND(Inputs!$B$38&lt;&gt;"pvp",Inputs!$B$43&gt;0),IF(MAX(0,Inputs!$B$43-B460)&lt;=0,0,(INT(MAX(0,Inputs!$B$43-B460)/(IF(Inputs!$B$38="pvp",15,MAX(0.1,Skills!E28-IF(Skills!F28=TRUE,Inputs!$B$32,0)))*(1-IF(AND(ArtifactsInput!$M$27,Inputs!$B$4="Chapter Hunt"),CHOOSE(ArtifactsInput!$N$27+1,20,24,28,32,36,40),0)/100)))+1)),0)</f>
        <v/>
      </c>
      <c r="S450">
        <f>IF(C450,(H450*N450*IF(AND(Inputs!$B$38&lt;&gt;"pvp",Inputs!$B$43&gt;0),((Skills!G28*((R450-1)*IF(Skills!H28&gt;0,Skills!I28/Skills!H28,1)+IF(Skills!H28&gt;0,MIN(Skills!I28,MAX(0,MAX(0,Inputs!$B$43-B460)-((R450-1)*(IF(Inputs!$B$38="pvp",15,MAX(0.1,Skills!E28-IF(Skills!F28=TRUE,Inputs!$B$32,0)))*(1-IF(AND(ArtifactsInput!$M$27,Inputs!$B$4="Chapter Hunt"),CHOOSE(ArtifactsInput!$N$27+1,20,24,28,32,36,40),0)/100)))))/Skills!H28,1)))/Inputs!$B$43),G450*Q450)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450*(1-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450*(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450*(1-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450*(MIN(100,(Inputs!$B$9+(F442-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50">
        <f>IF(C450,(H450*N450*IF(AND(Inputs!$B$38&lt;&gt;"pvp",Inputs!$B$43&gt;0),((Skills!G28*((R450-1)*IF(Skills!H28&gt;0,Skills!I28/Skills!H28,1)+IF(Skills!H28&gt;0,MIN(Skills!I28,MAX(0,MAX(0,Inputs!$B$43-B460)-((R450-1)*(IF(Inputs!$B$38="pvp",15,MAX(0.1,Skills!E28-IF(Skills!F28=TRUE,Inputs!$B$32,0)))*(1-IF(AND(ArtifactsInput!$M$27,Inputs!$B$4="Chapter Hunt"),CHOOSE(ArtifactsInput!$N$27+1,20,24,28,32,36,40),0)/100)))))/Skills!H28,1)))/Inputs!$B$43),G450*Q450)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2">
      <c r="A452" t="inlineStr">
        <is>
          <t>Burning Magic Multiplier</t>
        </is>
      </c>
      <c r="B452">
        <f>1+(F433*Skills!Z11)/100</f>
        <v/>
      </c>
    </row>
    <row r="453">
      <c r="A453" t="inlineStr">
        <is>
          <t>Elemental Decrease Multiplier (always-on)</t>
        </is>
      </c>
      <c r="B453">
        <f>1+(F434+(IF(AND(ArtifactsInput!$M$35,Inputs!$B$4&lt;&gt;"Chapter Hunt"),CHOOSE(ArtifactsInput!$N$35+1,15,18,21,24,27,30)*(1-EXP(-(0.2*B456)*5)),0)+IF(AND(ArtifactsInput!$M$22,Inputs!$B$4&lt;&gt;"Chapter Hunt"),CHOOSE(ArtifactsInput!$N$22+1,10,12,14,16,18,20)*((0*(((0.15*B456*5))^0/1)+1*(((0.15*B456*5))^1/1)+2*(((0.15*B456*5))^2/2)+3*(((0.15*B456*5))^3/6)+4*(((0.15*B456*5))^4/24)+5*(((0.15*B456*5))^5/120))/((((0.15*B456*5))^0/1)+(((0.15*B456*5))^1/1)+(((0.15*B456*5))^2/2)+(((0.15*B456*5))^3/6)+(((0.15*B456*5))^4/24)+(((0.15*B456*5))^5/120))),0)))/100</f>
        <v/>
      </c>
    </row>
    <row r="454">
      <c r="A454" t="inlineStr">
        <is>
          <t>Average Buff Multiplier (Magic Guard + Meditation + Artifact Attack%, summed; then Infinity)</t>
        </is>
      </c>
      <c r="B454">
        <f>(1+(F428*IF(AND(Inputs!$B$38&lt;&gt;"pvp",Inputs!$B$43&gt;0),(((R428-1)*(Skills!T6*(1+((Inputs!$B$34+(ArtifactsInput!$M$7-ArtifactsInput!$M$7)*CHOOSE(ArtifactsInput!$N$7+1,6,7.2,8.4,9.6,10.8,12)))/100))+MIN((Skills!T6*(1+((Inputs!$B$34+(ArtifactsInput!$M$7-ArtifactsInput!$M$7)*CHOOSE(ArtifactsInput!$N$7+1,6,7.2,8.4,9.6,10.8,12)))/100)),MAX(0,Inputs!$B$43-((R428-1)*Skills!E6))))/Inputs!$B$43),IF(Inputs!$B$38="pvp",MIN((Skills!T6*(1+((Inputs!$B$34+(ArtifactsInput!$M$7-ArtifactsInput!$M$7)*CHOOSE(ArtifactsInput!$N$7+1,6,7.2,8.4,9.6,10.8,12)))/100)),15)/15,(Skills!T6*(1+((Inputs!$B$34+(ArtifactsInput!$M$7-ArtifactsInput!$M$7)*CHOOSE(ArtifactsInput!$N$7+1,6,7.2,8.4,9.6,10.8,12)))/100))/Skills!E6))+F439*IF(AND(Inputs!$B$38&lt;&gt;"pvp",Inputs!$B$43&gt;0),(((R439-1)*(Skills!T17*(1+((Inputs!$B$34+(ArtifactsInput!$M$7-ArtifactsInput!$M$7)*CHOOSE(ArtifactsInput!$N$7+1,6,7.2,8.4,9.6,10.8,12)))/100))+MIN((Skills!T17*(1+((Inputs!$B$34+(ArtifactsInput!$M$7-ArtifactsInput!$M$7)*CHOOSE(ArtifactsInput!$N$7+1,6,7.2,8.4,9.6,10.8,12)))/100)),MAX(0,Inputs!$B$43-((R439-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441=TRUE,(1+F441*IF(AND(Inputs!$B$38&lt;&gt;"pvp",Inputs!$B$43&gt;0),(((R441-1)*(Skills!T19*(1+((Inputs!$B$34+(ArtifactsInput!$M$7-ArtifactsInput!$M$7)*CHOOSE(ArtifactsInput!$N$7+1,6,7.2,8.4,9.6,10.8,12)))/100))+MIN((Skills!T19*(1+((Inputs!$B$34+(ArtifactsInput!$M$7-ArtifactsInput!$M$7)*CHOOSE(ArtifactsInput!$N$7+1,6,7.2,8.4,9.6,10.8,12)))/100)),MAX(0,Inputs!$B$43-((R441-1)*Skills!E19))))/Inputs!$B$43),IF(Inputs!$B$38="pvp",MIN((Skills!T19*(1+((Inputs!$B$34+(ArtifactsInput!$M$7-ArtifactsInput!$M$7)*CHOOSE(ArtifactsInput!$N$7+1,6,7.2,8.4,9.6,10.8,12)))/100)),15)/15,(Skills!T19*(1+((Inputs!$B$34+(ArtifactsInput!$M$7-ArtifactsInput!$M$7)*CHOOSE(ArtifactsInput!$N$7+1,6,7.2,8.4,9.6,10.8,12)))/100))/Skills!E19))/100),1)</f>
        <v/>
      </c>
    </row>
    <row r="455">
      <c r="A455" t="inlineStr">
        <is>
          <t>Attack Speed Buff Bonus % (Nimble Feet, averaged)</t>
        </is>
      </c>
      <c r="B455">
        <f>F440*IF(AND(Inputs!$B$38&lt;&gt;"pvp",Inputs!$B$43&gt;0),(((R440-1)*(Skills!T18*(1+((Inputs!$B$34+(ArtifactsInput!$M$7-ArtifactsInput!$M$7)*CHOOSE(ArtifactsInput!$N$7+1,6,7.2,8.4,9.6,10.8,12)))/100))+MIN((Skills!T18*(1+((Inputs!$B$34+(ArtifactsInput!$M$7-ArtifactsInput!$M$7)*CHOOSE(ArtifactsInput!$N$7+1,6,7.2,8.4,9.6,10.8,12)))/100)),MAX(0,Inputs!$B$43-((R440-1)*Skills!E18))))/Inputs!$B$43),IF(Inputs!$B$38="pvp",MIN((Skills!T18*(1+((Inputs!$B$34+(ArtifactsInput!$M$7-ArtifactsInput!$M$7)*CHOOSE(ArtifactsInput!$N$7+1,6,7.2,8.4,9.6,10.8,12)))/100)),15)/15,(Skills!T18*(1+((Inputs!$B$34+(ArtifactsInput!$M$7-ArtifactsInput!$M$7)*CHOOSE(ArtifactsInput!$N$7+1,6,7.2,8.4,9.6,10.8,12)))/100))/Skills!E18))</f>
        <v/>
      </c>
    </row>
    <row r="456">
      <c r="A456" t="inlineStr">
        <is>
          <t>Actions Per Second</t>
        </is>
      </c>
      <c r="B456">
        <f>1+MIN(150,150*(1-(1-(Inputs!$B$11+(ArtifactsInput!$M$15-ArtifactsInput!$M$15)*CHOOSE(ArtifactsInput!$N$15+1,8,9.6,11.2,12.8,14.4,16))/150)*(1-B455/150)))/100</f>
        <v/>
      </c>
    </row>
    <row r="457">
      <c r="A457" t="inlineStr">
        <is>
          <t>Skill + Buff Cast Rate</t>
        </is>
      </c>
      <c r="B457">
        <f>IF(AND(Inputs!$B$38&lt;&gt;"pvp",Inputs!$B$43&gt;0),SUMPRODUCT((Skills!F2:F28=TRUE)*(C424:C450=TRUE)*R424:R450)/Inputs!$B$43,SUMPRODUCT((Skills!F2:F28=TRUE)*(C424:C450=TRUE)*Q424:Q450))</f>
        <v/>
      </c>
    </row>
    <row r="458">
      <c r="A458" t="inlineStr">
        <is>
          <t>Basic Attacks Per Second</t>
        </is>
      </c>
      <c r="B458">
        <f>MAX(0,B456-B457)</f>
        <v/>
      </c>
    </row>
    <row r="459">
      <c r="A459" t="inlineStr">
        <is>
          <t>Meteor Proc — combined trigger cast rate</t>
        </is>
      </c>
      <c r="B459">
        <f>IF(AND(Inputs!$B$38&lt;&gt;"pvp",Inputs!$B$43&gt;0),SUMPRODUCT((Skills!V2:V28=TRUE)*(C424:C450=TRUE)*R424:R450*Skills!W2:W28)/Inputs!$B$43,SUMPRODUCT((Skills!V2:V28=TRUE)*(C424:C450=TRUE)*Q424:Q450*Skills!W2:W28))+B458</f>
        <v/>
      </c>
    </row>
    <row r="460">
      <c r="A460" t="inlineStr">
        <is>
          <t>Buff-Casting Startup Delay (s, fixed-duration only)</t>
        </is>
      </c>
      <c r="B460">
        <f>IF(AND(Inputs!$B$38&lt;&gt;"pvp",Inputs!$B$43&gt;0),SUMPRODUCT((Skills!T2:T28&gt;0)*(Skills!F2:F28=TRUE)*(C424:C450=TRUE))/B456,0)</f>
        <v/>
      </c>
    </row>
    <row r="461">
      <c r="A461" t="inlineStr">
        <is>
          <t>Boss-Only Total DPS (this block's swept value)</t>
        </is>
      </c>
      <c r="B461">
        <f>SUM(S424:S450)</f>
        <v/>
      </c>
    </row>
    <row r="462">
      <c r="A462" t="inlineStr">
        <is>
          <t>Normal-Only Total DPS (this block's swept value)</t>
        </is>
      </c>
      <c r="B462">
        <f>SUM(U424:U450)</f>
        <v/>
      </c>
    </row>
    <row r="463">
      <c r="A463" s="6" t="inlineStr">
        <is>
          <t>TOTAL DPS</t>
        </is>
      </c>
      <c r="B463" s="6">
        <f>SUM(O424:O450)</f>
        <v/>
      </c>
    </row>
    <row r="466">
      <c r="A466" s="6" t="inlineStr">
        <is>
          <t>Stat: CRIT_RATE %</t>
        </is>
      </c>
    </row>
    <row r="467">
      <c r="A467" s="5" t="inlineStr">
        <is>
          <t>Key</t>
        </is>
      </c>
      <c r="B467" s="5" t="inlineStr">
        <is>
          <t>Name</t>
        </is>
      </c>
      <c r="C467" s="5" t="inlineStr">
        <is>
          <t>Unlocked</t>
        </is>
      </c>
      <c r="D467" s="5" t="inlineStr">
        <is>
          <t>InputLevel</t>
        </is>
      </c>
      <c r="E467" s="5" t="inlineStr">
        <is>
          <t>Factor</t>
        </is>
      </c>
      <c r="F467" s="5" t="inlineStr">
        <is>
          <t>CoefficientPercent</t>
        </is>
      </c>
      <c r="G467" s="5" t="inlineStr">
        <is>
          <t>EffectiveHits</t>
        </is>
      </c>
      <c r="H467" s="5" t="inlineStr">
        <is>
          <t>ProcProbability</t>
        </is>
      </c>
      <c r="I467" s="5" t="inlineStr">
        <is>
          <t>MapleHeroMultiplier</t>
        </is>
      </c>
      <c r="J467" s="5" t="inlineStr">
        <is>
          <t>BaseDamage</t>
        </is>
      </c>
      <c r="K467" s="5" t="inlineStr">
        <is>
          <t>BaseHitDamage</t>
        </is>
      </c>
      <c r="L467" s="5" t="inlineStr">
        <is>
          <t>NonCritAvg</t>
        </is>
      </c>
      <c r="M467" s="5" t="inlineStr">
        <is>
          <t>CritAvg</t>
        </is>
      </c>
      <c r="N467" s="5" t="inlineStr">
        <is>
          <t>ExpectedDamage(perHit)</t>
        </is>
      </c>
      <c r="O467" s="5" t="inlineStr">
        <is>
          <t>DPS</t>
        </is>
      </c>
      <c r="P467" s="5" t="inlineStr">
        <is>
          <t>% of Total</t>
        </is>
      </c>
      <c r="R467" t="inlineStr">
        <is>
          <t>helpers</t>
        </is>
      </c>
    </row>
    <row r="468">
      <c r="A468">
        <f>Skills!A2</f>
        <v/>
      </c>
      <c r="B468">
        <f>Skills!B2</f>
        <v/>
      </c>
      <c r="C468">
        <f>TRUE</f>
        <v/>
      </c>
      <c r="D468" t="inlineStr"/>
      <c r="E468" t="inlineStr"/>
      <c r="F468">
        <f>T470+Skills!O2</f>
        <v/>
      </c>
      <c r="G468">
        <f>Calc!G2</f>
        <v/>
      </c>
      <c r="H468">
        <f>Calc!H2</f>
        <v/>
      </c>
      <c r="I468">
        <f>IF(Skills!X2&lt;&gt;"",1+(Skills!X2/10)*(Z469/1000)/100,1)</f>
        <v/>
      </c>
      <c r="J468">
        <f>((Inputs!$B$6*(1+Inputs!$B$7/100))+(((Inputs!$B$12*(1+Inputs!$B$13/100))-(Inputs!$B$12*(1+Inputs!$B$13/100)))+0.25*(Inputs!$B$14-Inputs!$B$14))*(1+Inputs!$B$7/100))*(F468/100)</f>
        <v/>
      </c>
      <c r="K468">
        <f>J468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2="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468)</f>
        <v/>
      </c>
      <c r="L468">
        <f>K468*(MIN(Inputs!$B$22+(F488-Calc!F22),(Inputs!$B$23+(IF(ArtifactsInput!$M$15,CHOOSE(ArtifactsInput!$N$15+1,25,30,35,40,45,50)/100*(Inputs!$B$11-Inputs!$B$11),0))))/100+(Inputs!$B$23+(IF(ArtifactsInput!$M$15,CHOOSE(ArtifactsInput!$N$15+1,25,30,35,40,45,50)/100*(Inputs!$B$11-Inputs!$B$11),0)))/100)/2</f>
        <v/>
      </c>
      <c r="M468">
        <f>L468*(1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68">
        <f>L468*(1-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468*(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68">
        <f>(1-Summary!$B$11)*S468+Summary!$B$11*U468</f>
        <v/>
      </c>
      <c r="P468">
        <f>IF(B507=0,0,O468/B507)</f>
        <v/>
      </c>
      <c r="Q468">
        <f>IFERROR(1/(IF(Inputs!$B$38="pvp",15,MAX(0.1,Skills!E2-IF(Skills!F2=TRUE,Inputs!$B$32,0)))*(1-IF(AND(ArtifactsInput!$M$27,Inputs!$B$4="Chapter Hunt"),CHOOSE(ArtifactsInput!$N$27+1,20,24,28,32,36,40),0)/100)),0)</f>
        <v/>
      </c>
      <c r="R468" t="n">
        <v>0</v>
      </c>
      <c r="S468">
        <f>(Skills!G2*N468*B502)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468*(1-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468*(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468*(1-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468*(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468">
        <f>MAX(0,(Inputs!$B$3-100)*3)+Inputs!$B$28+Inputs!$B$29</f>
        <v/>
      </c>
      <c r="U468">
        <f>(Skills!G2*N468*B502)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468">
        <f>MAX(0,(Inputs!$B$3-100)*3)+Inputs!$B$28+Inputs!$B$29</f>
        <v/>
      </c>
    </row>
    <row r="469">
      <c r="A469">
        <f>Skills!A3</f>
        <v/>
      </c>
      <c r="B469">
        <f>Skills!B3</f>
        <v/>
      </c>
      <c r="C469">
        <f>TRUE</f>
        <v/>
      </c>
      <c r="D469">
        <f>IF(Skills!C3=1,60+Inputs!$B$25+Inputs!$B$29,IF(Skills!C3=2,90+Inputs!$B$26+Inputs!$B$29,IF(Skills!C3=3,120+Inputs!$B$27+Inputs!$B$29,MAX(0,(Inputs!$B$3-100)*3)+Inputs!$B$28+Inputs!$B$29)))</f>
        <v/>
      </c>
      <c r="E469">
        <f>INDEX(FactorTable!$B$2:$Y$301, MATCH(ROUND(MIN(300,MAX(1,D469)),0), FactorTable!$A$2:$A$301,0), Skills!M3+1)</f>
        <v/>
      </c>
      <c r="F469">
        <f>IF(Skills!N3=TRUE,(Skills!L3/10)*(E469/1000),Skills!L3/10)+Skills!O3</f>
        <v/>
      </c>
      <c r="G469">
        <f>Calc!G3</f>
        <v/>
      </c>
      <c r="H469">
        <f>Calc!H3</f>
        <v/>
      </c>
      <c r="I469">
        <f>IF(Skills!X3&lt;&gt;"",1+(Skills!X3/10)*(Z469/1000)/100,1)</f>
        <v/>
      </c>
      <c r="J469">
        <f>((Inputs!$B$6*(1+Inputs!$B$7/100))+(((Inputs!$B$12*(1+Inputs!$B$13/100))-(Inputs!$B$12*(1+Inputs!$B$13/100)))+0.25*(Inputs!$B$14-Inputs!$B$14))*(1+Inputs!$B$7/100))*(F469/100)</f>
        <v/>
      </c>
      <c r="K469">
        <f>J469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3="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469)</f>
        <v/>
      </c>
      <c r="L469">
        <f>K469*(MIN(Inputs!$B$22+(F488-Calc!F22),(Inputs!$B$23+(IF(ArtifactsInput!$M$15,CHOOSE(ArtifactsInput!$N$15+1,25,30,35,40,45,50)/100*(Inputs!$B$11-Inputs!$B$11),0))))/100+(Inputs!$B$23+(IF(ArtifactsInput!$M$15,CHOOSE(ArtifactsInput!$N$15+1,25,30,35,40,45,50)/100*(Inputs!$B$11-Inputs!$B$11),0)))/100)/2</f>
        <v/>
      </c>
      <c r="M469">
        <f>L469*(1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69">
        <f>L469*(1-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469*(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69">
        <f>(1-Summary!$B$11)*S469+Summary!$B$11*U469</f>
        <v/>
      </c>
      <c r="P469">
        <f>IF(B507=0,0,O469/B507)</f>
        <v/>
      </c>
      <c r="Q469">
        <f>IFERROR(1/(IF(Inputs!$B$38="pvp",15,MAX(0.1,Skills!E3-IF(Skills!F3=TRUE,Inputs!$B$32,0)))*(1-IF(AND(ArtifactsInput!$M$27,Inputs!$B$4="Chapter Hunt"),CHOOSE(ArtifactsInput!$N$27+1,20,24,28,32,36,40),0)/100)),0)</f>
        <v/>
      </c>
      <c r="R469">
        <f>IF(AND(Inputs!$B$38&lt;&gt;"pvp",Inputs!$B$43&gt;0),IF(MAX(0,Inputs!$B$43-B504)&lt;=0,0,(INT(MAX(0,Inputs!$B$43-B504)/(IF(Inputs!$B$38="pvp",15,MAX(0.1,Skills!E3-IF(Skills!F3=TRUE,Inputs!$B$32,0)))*(1-IF(AND(ArtifactsInput!$M$27,Inputs!$B$4="Chapter Hunt"),CHOOSE(ArtifactsInput!$N$27+1,20,24,28,32,36,40),0)/100)))+1)),0)</f>
        <v/>
      </c>
      <c r="S469">
        <f>IF(C469,(H469*N469*IF(AND(Inputs!$B$38&lt;&gt;"pvp",Inputs!$B$43&gt;0),((Skills!G3*((R469-1)*IF(Skills!H3&gt;0,Skills!I3/Skills!H3,1)+IF(Skills!H3&gt;0,MIN(Skills!I3,MAX(0,MAX(0,Inputs!$B$43-B504)-((R469-1)*(IF(Inputs!$B$38="pvp",15,MAX(0.1,Skills!E3-IF(Skills!F3=TRUE,Inputs!$B$32,0)))*(1-IF(AND(ArtifactsInput!$M$27,Inputs!$B$4="Chapter Hunt"),CHOOSE(ArtifactsInput!$N$27+1,20,24,28,32,36,40),0)/100)))))/Skills!H3,1)))/Inputs!$B$43),G469*Q469)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469*(1-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469*(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469*(1-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469*(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469">
        <f>INDEX(FactorTable!$B$2:$Y$301, MATCH(ROUND(MIN(300,MAX(1,T468)),0), FactorTable!$A$2:$A$301,0), 22)</f>
        <v/>
      </c>
      <c r="U469">
        <f>IF(C469,(H469*N469*IF(AND(Inputs!$B$38&lt;&gt;"pvp",Inputs!$B$43&gt;0),((Skills!G3*((R469-1)*IF(Skills!H3&gt;0,Skills!I3/Skills!H3,1)+IF(Skills!H3&gt;0,MIN(Skills!I3,MAX(0,MAX(0,Inputs!$B$43-B504)-((R469-1)*(IF(Inputs!$B$38="pvp",15,MAX(0.1,Skills!E3-IF(Skills!F3=TRUE,Inputs!$B$32,0)))*(1-IF(AND(ArtifactsInput!$M$27,Inputs!$B$4="Chapter Hunt"),CHOOSE(ArtifactsInput!$N$27+1,20,24,28,32,36,40),0)/100)))))/Skills!H3,1)))/Inputs!$B$43),G469*Q469)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469">
        <f>INDEX(FactorTable!$B$2:$Y$301, MATCH(ROUND(MIN(300,MAX(1,Z468)),0), FactorTable!$A$2:$A$301,0), 24)</f>
        <v/>
      </c>
    </row>
    <row r="470">
      <c r="A470">
        <f>Skills!A4</f>
        <v/>
      </c>
      <c r="B470">
        <f>Skills!B4</f>
        <v/>
      </c>
      <c r="C470">
        <f>TRUE</f>
        <v/>
      </c>
      <c r="D470">
        <f>IF(Skills!C4=1,60+Inputs!$B$25+Inputs!$B$29,IF(Skills!C4=2,90+Inputs!$B$26+Inputs!$B$29,IF(Skills!C4=3,120+Inputs!$B$27+Inputs!$B$29,MAX(0,(Inputs!$B$3-100)*3)+Inputs!$B$28+Inputs!$B$29)))</f>
        <v/>
      </c>
      <c r="E470">
        <f>INDEX(FactorTable!$B$2:$Y$301, MATCH(ROUND(MIN(300,MAX(1,D470)),0), FactorTable!$A$2:$A$301,0), Skills!M4+1)</f>
        <v/>
      </c>
      <c r="F470">
        <f>IF(Skills!N4=TRUE,(Skills!L4/10)*(E470/1000),Skills!L4/10)+Skills!O4</f>
        <v/>
      </c>
      <c r="G470">
        <f>Calc!G4</f>
        <v/>
      </c>
      <c r="H470">
        <f>Calc!H4</f>
        <v/>
      </c>
      <c r="I470">
        <f>IF(Skills!X4&lt;&gt;"",1+(Skills!X4/10)*(Z469/1000)/100,1)</f>
        <v/>
      </c>
      <c r="J470">
        <f>((Inputs!$B$6*(1+Inputs!$B$7/100))+(((Inputs!$B$12*(1+Inputs!$B$13/100))-(Inputs!$B$12*(1+Inputs!$B$13/100)))+0.25*(Inputs!$B$14-Inputs!$B$14))*(1+Inputs!$B$7/100))*(F470/100)</f>
        <v/>
      </c>
      <c r="K470">
        <f>J470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4="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470)</f>
        <v/>
      </c>
      <c r="L470">
        <f>K470*(MIN(Inputs!$B$22+(F488-Calc!F22),(Inputs!$B$23+(IF(ArtifactsInput!$M$15,CHOOSE(ArtifactsInput!$N$15+1,25,30,35,40,45,50)/100*(Inputs!$B$11-Inputs!$B$11),0))))/100+(Inputs!$B$23+(IF(ArtifactsInput!$M$15,CHOOSE(ArtifactsInput!$N$15+1,25,30,35,40,45,50)/100*(Inputs!$B$11-Inputs!$B$11),0)))/100)/2</f>
        <v/>
      </c>
      <c r="M470">
        <f>L470*(1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0">
        <f>L470*(1-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470*(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0">
        <f>(1-Summary!$B$11)*S470+Summary!$B$11*U470</f>
        <v/>
      </c>
      <c r="P470">
        <f>IF(B507=0,0,O470/B507)</f>
        <v/>
      </c>
      <c r="Q470">
        <f>IFERROR(1/(IF(Inputs!$B$38="pvp",15,MAX(0.1,Skills!E4-IF(Skills!F4=TRUE,Inputs!$B$32,0)))*(1-IF(AND(ArtifactsInput!$M$27,Inputs!$B$4="Chapter Hunt"),CHOOSE(ArtifactsInput!$N$27+1,20,24,28,32,36,40),0)/100)),0)</f>
        <v/>
      </c>
      <c r="R470">
        <f>IF(AND(Inputs!$B$38&lt;&gt;"pvp",Inputs!$B$43&gt;0),IF(MAX(0,Inputs!$B$43-B504)&lt;=0,0,(INT(MAX(0,Inputs!$B$43-B504)/(IF(Inputs!$B$38="pvp",15,MAX(0.1,Skills!E4-IF(Skills!F4=TRUE,Inputs!$B$32,0)))*(1-IF(AND(ArtifactsInput!$M$27,Inputs!$B$4="Chapter Hunt"),CHOOSE(ArtifactsInput!$N$27+1,20,24,28,32,36,40),0)/100)))+1)),0)</f>
        <v/>
      </c>
      <c r="S470">
        <f>IF(C470,(H470*N470*IF(AND(Inputs!$B$38&lt;&gt;"pvp",Inputs!$B$43&gt;0),((Skills!G4*((R470-1)*IF(Skills!H4&gt;0,Skills!I4/Skills!H4,1)+IF(Skills!H4&gt;0,MIN(Skills!I4,MAX(0,MAX(0,Inputs!$B$43-B504)-((R470-1)*(IF(Inputs!$B$38="pvp",15,MAX(0.1,Skills!E4-IF(Skills!F4=TRUE,Inputs!$B$32,0)))*(1-IF(AND(ArtifactsInput!$M$27,Inputs!$B$4="Chapter Hunt"),CHOOSE(ArtifactsInput!$N$27+1,20,24,28,32,36,40),0)/100)))))/Skills!H4,1)))/Inputs!$B$43),G470*Q470)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470*(1-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470*(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470*(1-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470*(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470">
        <f>290*T469/1000</f>
        <v/>
      </c>
      <c r="U470">
        <f>IF(C470,(H470*N470*IF(AND(Inputs!$B$38&lt;&gt;"pvp",Inputs!$B$43&gt;0),((Skills!G4*((R470-1)*IF(Skills!H4&gt;0,Skills!I4/Skills!H4,1)+IF(Skills!H4&gt;0,MIN(Skills!I4,MAX(0,MAX(0,Inputs!$B$43-B504)-((R470-1)*(IF(Inputs!$B$38="pvp",15,MAX(0.1,Skills!E4-IF(Skills!F4=TRUE,Inputs!$B$32,0)))*(1-IF(AND(ArtifactsInput!$M$27,Inputs!$B$4="Chapter Hunt"),CHOOSE(ArtifactsInput!$N$27+1,20,24,28,32,36,40),0)/100)))))/Skills!H4,1)))/Inputs!$B$43),G470*Q470)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1">
      <c r="A471">
        <f>Skills!A5</f>
        <v/>
      </c>
      <c r="B471">
        <f>Skills!B5</f>
        <v/>
      </c>
      <c r="C471">
        <f>TRUE</f>
        <v/>
      </c>
      <c r="D471">
        <f>IF(Skills!C5=1,60+Inputs!$B$25+Inputs!$B$29,IF(Skills!C5=2,90+Inputs!$B$26+Inputs!$B$29,IF(Skills!C5=3,120+Inputs!$B$27+Inputs!$B$29,MAX(0,(Inputs!$B$3-100)*3)+Inputs!$B$28+Inputs!$B$29)))</f>
        <v/>
      </c>
      <c r="E471">
        <f>INDEX(FactorTable!$B$2:$Y$301, MATCH(ROUND(MIN(300,MAX(1,D471)),0), FactorTable!$A$2:$A$301,0), Skills!M5+1)</f>
        <v/>
      </c>
      <c r="F471">
        <f>IF(Skills!N5=TRUE,(Skills!L5/10)*(E471/1000),Skills!L5/10)+Skills!O5</f>
        <v/>
      </c>
      <c r="G471">
        <f>Calc!G5</f>
        <v/>
      </c>
      <c r="H471">
        <f>Calc!H5</f>
        <v/>
      </c>
      <c r="I471">
        <f>IF(Skills!X5&lt;&gt;"",1+(Skills!X5/10)*(Z469/1000)/100,1)</f>
        <v/>
      </c>
      <c r="J471">
        <f>((Inputs!$B$6*(1+Inputs!$B$7/100))+(((Inputs!$B$12*(1+Inputs!$B$13/100))-(Inputs!$B$12*(1+Inputs!$B$13/100)))+0.25*(Inputs!$B$14-Inputs!$B$14))*(1+Inputs!$B$7/100))*(F471/100)</f>
        <v/>
      </c>
      <c r="K471">
        <f>J471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5="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471)</f>
        <v/>
      </c>
      <c r="L471">
        <f>K471*(MIN(Inputs!$B$22+(F488-Calc!F22),(Inputs!$B$23+(IF(ArtifactsInput!$M$15,CHOOSE(ArtifactsInput!$N$15+1,25,30,35,40,45,50)/100*(Inputs!$B$11-Inputs!$B$11),0))))/100+(Inputs!$B$23+(IF(ArtifactsInput!$M$15,CHOOSE(ArtifactsInput!$N$15+1,25,30,35,40,45,50)/100*(Inputs!$B$11-Inputs!$B$11),0)))/100)/2</f>
        <v/>
      </c>
      <c r="M471">
        <f>L471*(1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1">
        <f>L471*(1-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1">
        <f>(1-Summary!$B$11)*S471+Summary!$B$11*U471</f>
        <v/>
      </c>
      <c r="P471">
        <f>IF(B507=0,0,O471/B507)</f>
        <v/>
      </c>
      <c r="Q471">
        <f>IFERROR(1/(IF(Inputs!$B$38="pvp",15,MAX(0.1,Skills!E5-IF(Skills!F5=TRUE,Inputs!$B$32,0)))*(1-IF(AND(ArtifactsInput!$M$27,Inputs!$B$4="Chapter Hunt"),CHOOSE(ArtifactsInput!$N$27+1,20,24,28,32,36,40),0)/100)),0)</f>
        <v/>
      </c>
      <c r="R471">
        <f>IF(AND(Inputs!$B$38&lt;&gt;"pvp",Inputs!$B$43&gt;0),IF(MAX(0,Inputs!$B$43-B504)&lt;=0,0,(INT(MAX(0,Inputs!$B$43-B504)/(IF(Inputs!$B$38="pvp",15,MAX(0.1,Skills!E5-IF(Skills!F5=TRUE,Inputs!$B$32,0)))*(1-IF(AND(ArtifactsInput!$M$27,Inputs!$B$4="Chapter Hunt"),CHOOSE(ArtifactsInput!$N$27+1,20,24,28,32,36,40),0)/100)))+1)),0)</f>
        <v/>
      </c>
      <c r="S471">
        <f>IF(C471,(H471*N471*IF(AND(Inputs!$B$38&lt;&gt;"pvp",Inputs!$B$43&gt;0),((Skills!G5*((R471-1)*IF(Skills!H5&gt;0,Skills!I5/Skills!H5,1)+IF(Skills!H5&gt;0,MIN(Skills!I5,MAX(0,MAX(0,Inputs!$B$43-B504)-((R471-1)*(IF(Inputs!$B$38="pvp",15,MAX(0.1,Skills!E5-IF(Skills!F5=TRUE,Inputs!$B$32,0)))*(1-IF(AND(ArtifactsInput!$M$27,Inputs!$B$4="Chapter Hunt"),CHOOSE(ArtifactsInput!$N$27+1,20,24,28,32,36,40),0)/100)))))/Skills!H5,1)))/Inputs!$B$43),G471*Q471)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471*(1-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471*(1-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1">
        <f>IF(C471,(H471*N471*IF(AND(Inputs!$B$38&lt;&gt;"pvp",Inputs!$B$43&gt;0),((Skills!G5*((R471-1)*IF(Skills!H5&gt;0,Skills!I5/Skills!H5,1)+IF(Skills!H5&gt;0,MIN(Skills!I5,MAX(0,MAX(0,Inputs!$B$43-B504)-((R471-1)*(IF(Inputs!$B$38="pvp",15,MAX(0.1,Skills!E5-IF(Skills!F5=TRUE,Inputs!$B$32,0)))*(1-IF(AND(ArtifactsInput!$M$27,Inputs!$B$4="Chapter Hunt"),CHOOSE(ArtifactsInput!$N$27+1,20,24,28,32,36,40),0)/100)))))/Skills!H5,1)))/Inputs!$B$43),G471*Q471)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2">
      <c r="A472">
        <f>Skills!A6</f>
        <v/>
      </c>
      <c r="B472">
        <f>Skills!B6</f>
        <v/>
      </c>
      <c r="C472">
        <f>TRUE</f>
        <v/>
      </c>
      <c r="D472">
        <f>IF(Skills!C6=1,60+Inputs!$B$25+Inputs!$B$29,IF(Skills!C6=2,90+Inputs!$B$26+Inputs!$B$29,IF(Skills!C6=3,120+Inputs!$B$27+Inputs!$B$29,MAX(0,(Inputs!$B$3-100)*3)+Inputs!$B$28+Inputs!$B$29)))</f>
        <v/>
      </c>
      <c r="E472">
        <f>INDEX(FactorTable!$B$2:$Y$301, MATCH(ROUND(MIN(300,MAX(1,D472)),0), FactorTable!$A$2:$A$301,0), Skills!M6+1)</f>
        <v/>
      </c>
      <c r="F472">
        <f>IF(Skills!N6=TRUE,(Skills!L6/10)*(E472/1000),Skills!L6/10)+Skills!O6</f>
        <v/>
      </c>
      <c r="G472">
        <f>Calc!G6</f>
        <v/>
      </c>
      <c r="H472">
        <f>Calc!H6</f>
        <v/>
      </c>
      <c r="I472">
        <f>IF(Skills!X6&lt;&gt;"",1+(Skills!X6/10)*(Z469/1000)/100,1)</f>
        <v/>
      </c>
      <c r="J472" t="inlineStr"/>
      <c r="K472" t="inlineStr"/>
      <c r="L472" t="inlineStr"/>
      <c r="M472" t="inlineStr"/>
      <c r="N472" t="inlineStr"/>
      <c r="O472">
        <f>(1-Summary!$B$11)*S472+Summary!$B$11*U472</f>
        <v/>
      </c>
      <c r="P472">
        <f>IF(B507=0,0,O472/B507)</f>
        <v/>
      </c>
      <c r="Q472">
        <f>IFERROR(1/(IF(Inputs!$B$38="pvp",15,MAX(0.1,Skills!E6-IF(Skills!F6=TRUE,Inputs!$B$32,0)))*(1-IF(AND(ArtifactsInput!$M$27,Inputs!$B$4="Chapter Hunt"),CHOOSE(ArtifactsInput!$N$27+1,20,24,28,32,36,40),0)/100)),0)</f>
        <v/>
      </c>
      <c r="R472">
        <f>IF(AND(Inputs!$B$38&lt;&gt;"pvp",Inputs!$B$43&gt;0),IF(Inputs!$B$43&lt;=0,0,(INT(Inputs!$B$43/(IF(Inputs!$B$38="pvp",15,MAX(0.1,Skills!E6-IF(Skills!F6=TRUE,Inputs!$B$32,0)))*(1-IF(AND(ArtifactsInput!$M$27,Inputs!$B$4="Chapter Hunt"),CHOOSE(ArtifactsInput!$N$27+1,20,24,28,32,36,40),0)/100)))+1)),0)</f>
        <v/>
      </c>
      <c r="S472" t="n">
        <v>0</v>
      </c>
      <c r="U472" t="n">
        <v>0</v>
      </c>
    </row>
    <row r="473">
      <c r="A473">
        <f>Skills!A7</f>
        <v/>
      </c>
      <c r="B473">
        <f>Skills!B7</f>
        <v/>
      </c>
      <c r="C473">
        <f>TRUE</f>
        <v/>
      </c>
      <c r="D473">
        <f>IF(Skills!C7=1,60+Inputs!$B$25+Inputs!$B$29,IF(Skills!C7=2,90+Inputs!$B$26+Inputs!$B$29,IF(Skills!C7=3,120+Inputs!$B$27+Inputs!$B$29,MAX(0,(Inputs!$B$3-100)*3)+Inputs!$B$28+Inputs!$B$29)))</f>
        <v/>
      </c>
      <c r="E473">
        <f>INDEX(FactorTable!$B$2:$Y$301, MATCH(ROUND(MIN(300,MAX(1,D473)),0), FactorTable!$A$2:$A$301,0), Skills!M7+1)</f>
        <v/>
      </c>
      <c r="F473">
        <f>IF(Skills!N7=TRUE,(Skills!L7/10)*(E473/1000),Skills!L7/10)+Skills!O7</f>
        <v/>
      </c>
      <c r="G473">
        <f>Calc!G7</f>
        <v/>
      </c>
      <c r="H473">
        <f>Calc!H7</f>
        <v/>
      </c>
      <c r="I473">
        <f>IF(Skills!X7&lt;&gt;"",1+(Skills!X7/10)*(Z469/1000)/100,1)</f>
        <v/>
      </c>
      <c r="J473">
        <f>((Inputs!$B$6*(1+Inputs!$B$7/100))+(((Inputs!$B$12*(1+Inputs!$B$13/100))-(Inputs!$B$12*(1+Inputs!$B$13/100)))+0.25*(Inputs!$B$14-Inputs!$B$14))*(1+Inputs!$B$7/100))*(F473/100)</f>
        <v/>
      </c>
      <c r="K473">
        <f>J473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7="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473)</f>
        <v/>
      </c>
      <c r="L473">
        <f>K473*(MIN(Inputs!$B$22+(F488-Calc!F22),(Inputs!$B$23+(IF(ArtifactsInput!$M$15,CHOOSE(ArtifactsInput!$N$15+1,25,30,35,40,45,50)/100*(Inputs!$B$11-Inputs!$B$11),0))))/100+(Inputs!$B$23+(IF(ArtifactsInput!$M$15,CHOOSE(ArtifactsInput!$N$15+1,25,30,35,40,45,50)/100*(Inputs!$B$11-Inputs!$B$11),0)))/100)/2</f>
        <v/>
      </c>
      <c r="M473">
        <f>L473*(1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3">
        <f>L473*(1-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473*(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3">
        <f>(1-Summary!$B$11)*S473+Summary!$B$11*U473</f>
        <v/>
      </c>
      <c r="P473">
        <f>IF(B507=0,0,O473/B507)</f>
        <v/>
      </c>
      <c r="Q473">
        <f>IFERROR(1/(IF(Inputs!$B$38="pvp",15,MAX(0.1,Skills!E7-IF(Skills!F7=TRUE,Inputs!$B$32,0)))*(1-IF(AND(ArtifactsInput!$M$27,Inputs!$B$4="Chapter Hunt"),CHOOSE(ArtifactsInput!$N$27+1,20,24,28,32,36,40),0)/100)),0)</f>
        <v/>
      </c>
      <c r="R473">
        <f>IF(AND(Inputs!$B$38&lt;&gt;"pvp",Inputs!$B$43&gt;0),IF(MAX(0,Inputs!$B$43-B504)&lt;=0,0,(INT(MAX(0,Inputs!$B$43-B504)/(IF(Inputs!$B$38="pvp",15,MAX(0.1,Skills!E7-IF(Skills!F7=TRUE,Inputs!$B$32,0)))*(1-IF(AND(ArtifactsInput!$M$27,Inputs!$B$4="Chapter Hunt"),CHOOSE(ArtifactsInput!$N$27+1,20,24,28,32,36,40),0)/100)))+1)),0)</f>
        <v/>
      </c>
      <c r="S473">
        <f>IF(C473,(H473*N473*IF(AND(Inputs!$B$38&lt;&gt;"pvp",Inputs!$B$43&gt;0),((Skills!G7*((R473-1)*IF(Skills!H7&gt;0,Skills!I7/Skills!H7,1)+IF(Skills!H7&gt;0,MIN(Skills!I7,MAX(0,MAX(0,Inputs!$B$43-B504)-((R473-1)*(IF(Inputs!$B$38="pvp",15,MAX(0.1,Skills!E7-IF(Skills!F7=TRUE,Inputs!$B$32,0)))*(1-IF(AND(ArtifactsInput!$M$27,Inputs!$B$4="Chapter Hunt"),CHOOSE(ArtifactsInput!$N$27+1,20,24,28,32,36,40),0)/100)))))/Skills!H7,1)))/Inputs!$B$43),G473*Q473)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473*(1-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473*(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473*(1-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473*(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3">
        <f>IF(C473,(H473*N473*IF(AND(Inputs!$B$38&lt;&gt;"pvp",Inputs!$B$43&gt;0),((Skills!G7*((R473-1)*IF(Skills!H7&gt;0,Skills!I7/Skills!H7,1)+IF(Skills!H7&gt;0,MIN(Skills!I7,MAX(0,MAX(0,Inputs!$B$43-B504)-((R473-1)*(IF(Inputs!$B$38="pvp",15,MAX(0.1,Skills!E7-IF(Skills!F7=TRUE,Inputs!$B$32,0)))*(1-IF(AND(ArtifactsInput!$M$27,Inputs!$B$4="Chapter Hunt"),CHOOSE(ArtifactsInput!$N$27+1,20,24,28,32,36,40),0)/100)))))/Skills!H7,1)))/Inputs!$B$43),G473*Q473)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4">
      <c r="A474">
        <f>Skills!A8</f>
        <v/>
      </c>
      <c r="B474">
        <f>Skills!B8</f>
        <v/>
      </c>
      <c r="C474">
        <f>TRUE</f>
        <v/>
      </c>
      <c r="D474">
        <f>IF(Skills!C8=1,60+Inputs!$B$25+Inputs!$B$29,IF(Skills!C8=2,90+Inputs!$B$26+Inputs!$B$29,IF(Skills!C8=3,120+Inputs!$B$27+Inputs!$B$29,MAX(0,(Inputs!$B$3-100)*3)+Inputs!$B$28+Inputs!$B$29)))</f>
        <v/>
      </c>
      <c r="E474">
        <f>INDEX(FactorTable!$B$2:$Y$301, MATCH(ROUND(MIN(300,MAX(1,D474)),0), FactorTable!$A$2:$A$301,0), Skills!M8+1)</f>
        <v/>
      </c>
      <c r="F474">
        <f>IF(Skills!N8=TRUE,(Skills!L8/10)*(E474/1000),Skills!L8/10)+Skills!O8</f>
        <v/>
      </c>
      <c r="G474">
        <f>Calc!G8</f>
        <v/>
      </c>
      <c r="H474">
        <f>Calc!H8</f>
        <v/>
      </c>
      <c r="I474">
        <f>IF(Skills!X8&lt;&gt;"",1+(Skills!X8/10)*(Z469/1000)/100,1)</f>
        <v/>
      </c>
      <c r="J474">
        <f>((Inputs!$B$6*(1+Inputs!$B$7/100))+(((Inputs!$B$12*(1+Inputs!$B$13/100))-(Inputs!$B$12*(1+Inputs!$B$13/100)))+0.25*(Inputs!$B$14-Inputs!$B$14))*(1+Inputs!$B$7/100))*(F474/100)</f>
        <v/>
      </c>
      <c r="K474">
        <f>J474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8="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474)</f>
        <v/>
      </c>
      <c r="L474">
        <f>K474*(MIN(Inputs!$B$22+(F488-Calc!F22),(Inputs!$B$23+(IF(ArtifactsInput!$M$15,CHOOSE(ArtifactsInput!$N$15+1,25,30,35,40,45,50)/100*(Inputs!$B$11-Inputs!$B$11),0))))/100+(Inputs!$B$23+(IF(ArtifactsInput!$M$15,CHOOSE(ArtifactsInput!$N$15+1,25,30,35,40,45,50)/100*(Inputs!$B$11-Inputs!$B$11),0)))/100)/2</f>
        <v/>
      </c>
      <c r="M474">
        <f>L474*(1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4">
        <f>L474*(1-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474*(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4">
        <f>(1-Summary!$B$11)*S474+Summary!$B$11*U474</f>
        <v/>
      </c>
      <c r="P474">
        <f>IF(B507=0,0,O474/B507)</f>
        <v/>
      </c>
      <c r="Q474">
        <f>IFERROR(1/(IF(Inputs!$B$38="pvp",15,MAX(0.1,Skills!E8-IF(Skills!F8=TRUE,Inputs!$B$32,0)))*(1-IF(AND(ArtifactsInput!$M$27,Inputs!$B$4="Chapter Hunt"),CHOOSE(ArtifactsInput!$N$27+1,20,24,28,32,36,40),0)/100)),0)</f>
        <v/>
      </c>
      <c r="R474">
        <f>IF(AND(Inputs!$B$38&lt;&gt;"pvp",Inputs!$B$43&gt;0),IF(MAX(0,Inputs!$B$43-B504)&lt;=0,0,(INT(MAX(0,Inputs!$B$43-B504)/(IF(Inputs!$B$38="pvp",15,MAX(0.1,Skills!E8-IF(Skills!F8=TRUE,Inputs!$B$32,0)))*(1-IF(AND(ArtifactsInput!$M$27,Inputs!$B$4="Chapter Hunt"),CHOOSE(ArtifactsInput!$N$27+1,20,24,28,32,36,40),0)/100)))+1)),0)</f>
        <v/>
      </c>
      <c r="S474">
        <f>IF(C474,(H474*N474*IF(AND(Inputs!$B$38&lt;&gt;"pvp",Inputs!$B$43&gt;0),((Skills!G8*((R474-1)*IF(Skills!H8&gt;0,Skills!I8/Skills!H8,1)+IF(Skills!H8&gt;0,MIN(Skills!I8,MAX(0,MAX(0,Inputs!$B$43-B504)-((R474-1)*(IF(Inputs!$B$38="pvp",15,MAX(0.1,Skills!E8-IF(Skills!F8=TRUE,Inputs!$B$32,0)))*(1-IF(AND(ArtifactsInput!$M$27,Inputs!$B$4="Chapter Hunt"),CHOOSE(ArtifactsInput!$N$27+1,20,24,28,32,36,40),0)/100)))))/Skills!H8,1)))/Inputs!$B$43),G474*Q474)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474*(1-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474*(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474*(1-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474*(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4">
        <f>IF(C474,(H474*N474*IF(AND(Inputs!$B$38&lt;&gt;"pvp",Inputs!$B$43&gt;0),((Skills!G8*((R474-1)*IF(Skills!H8&gt;0,Skills!I8/Skills!H8,1)+IF(Skills!H8&gt;0,MIN(Skills!I8,MAX(0,MAX(0,Inputs!$B$43-B504)-((R474-1)*(IF(Inputs!$B$38="pvp",15,MAX(0.1,Skills!E8-IF(Skills!F8=TRUE,Inputs!$B$32,0)))*(1-IF(AND(ArtifactsInput!$M$27,Inputs!$B$4="Chapter Hunt"),CHOOSE(ArtifactsInput!$N$27+1,20,24,28,32,36,40),0)/100)))))/Skills!H8,1)))/Inputs!$B$43),G474*Q474)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5">
      <c r="A475">
        <f>Skills!A9</f>
        <v/>
      </c>
      <c r="B475">
        <f>Skills!B9</f>
        <v/>
      </c>
      <c r="C475">
        <f>Inputs!$B$3&gt;=103</f>
        <v/>
      </c>
      <c r="D475">
        <f>IF(Skills!C9=1,60+Inputs!$B$25+Inputs!$B$29,IF(Skills!C9=2,90+Inputs!$B$26+Inputs!$B$29,IF(Skills!C9=3,120+Inputs!$B$27+Inputs!$B$29,MAX(0,(Inputs!$B$3-100)*3)+Inputs!$B$28+Inputs!$B$29)))</f>
        <v/>
      </c>
      <c r="E475">
        <f>INDEX(FactorTable!$B$2:$Y$301, MATCH(ROUND(MIN(300,MAX(1,D475)),0), FactorTable!$A$2:$A$301,0), Skills!M9+1)</f>
        <v/>
      </c>
      <c r="F475">
        <f>IF(Skills!N9=TRUE,(Skills!L9/10)*(E475/1000),Skills!L9/10)+Skills!O9</f>
        <v/>
      </c>
      <c r="G475">
        <f>Calc!G9</f>
        <v/>
      </c>
      <c r="H475">
        <f>Calc!H9</f>
        <v/>
      </c>
      <c r="I475">
        <f>IF(Skills!X9&lt;&gt;"",1+(Skills!X9/10)*(Z469/1000)/100,1)</f>
        <v/>
      </c>
      <c r="J475">
        <f>((Inputs!$B$6*(1+Inputs!$B$7/100))+(((Inputs!$B$12*(1+Inputs!$B$13/100))-(Inputs!$B$12*(1+Inputs!$B$13/100)))+0.25*(Inputs!$B$14-Inputs!$B$14))*(1+Inputs!$B$7/100))*(F475/100)</f>
        <v/>
      </c>
      <c r="K475">
        <f>J475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9="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475)</f>
        <v/>
      </c>
      <c r="L475">
        <f>K475*(MIN(Inputs!$B$22+(F488-Calc!F22),(Inputs!$B$23+(IF(ArtifactsInput!$M$15,CHOOSE(ArtifactsInput!$N$15+1,25,30,35,40,45,50)/100*(Inputs!$B$11-Inputs!$B$11),0))))/100+(Inputs!$B$23+(IF(ArtifactsInput!$M$15,CHOOSE(ArtifactsInput!$N$15+1,25,30,35,40,45,50)/100*(Inputs!$B$11-Inputs!$B$11),0)))/100)/2</f>
        <v/>
      </c>
      <c r="M475">
        <f>L475*(1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5">
        <f>L475*(1-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475*(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5">
        <f>(1-Summary!$B$11)*S475+Summary!$B$11*U475</f>
        <v/>
      </c>
      <c r="P475">
        <f>IF(B507=0,0,O475/B507)</f>
        <v/>
      </c>
      <c r="Q475">
        <f>IFERROR(1/(IF(Inputs!$B$38="pvp",15,MAX(0.1,Skills!E9-IF(Skills!F7=TRUE,Inputs!$B$32,0)))*(1-IF(AND(ArtifactsInput!$M$27,Inputs!$B$4="Chapter Hunt"),CHOOSE(ArtifactsInput!$N$27+1,20,24,28,32,36,40),0)/100)),0)</f>
        <v/>
      </c>
      <c r="R475">
        <f>IF(AND(Inputs!$B$38&lt;&gt;"pvp",Inputs!$B$43&gt;0),IF(MAX(0,Inputs!$B$43-B504)&lt;=0,0,(INT(MAX(0,Inputs!$B$43-B504)/(IF(Inputs!$B$38="pvp",15,MAX(0.1,Skills!E9-IF(Skills!F7=TRUE,Inputs!$B$32,0)))*(1-IF(AND(ArtifactsInput!$M$27,Inputs!$B$4="Chapter Hunt"),CHOOSE(ArtifactsInput!$N$27+1,20,24,28,32,36,40),0)/100)))+1)),0)</f>
        <v/>
      </c>
      <c r="S475">
        <f>IF(C475,(H475*N475*IF(AND(Inputs!$B$38&lt;&gt;"pvp",Inputs!$B$43&gt;0),((Skills!G9*((R475-1)*IF(Skills!H9&gt;0,Skills!I9/Skills!H9,1)+IF(Skills!H9&gt;0,MIN(Skills!I9,MAX(0,MAX(0,Inputs!$B$43-B504)-((R475-1)*(IF(Inputs!$B$38="pvp",15,MAX(0.1,Skills!E9-IF(Skills!F7=TRUE,Inputs!$B$32,0)))*(1-IF(AND(ArtifactsInput!$M$27,Inputs!$B$4="Chapter Hunt"),CHOOSE(ArtifactsInput!$N$27+1,20,24,28,32,36,40),0)/100)))))/Skills!H9,1)))/Inputs!$B$43),G475*Q475)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475*(1-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475*(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475*(1-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475*(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5">
        <f>IF(C475,(H475*N475*IF(AND(Inputs!$B$38&lt;&gt;"pvp",Inputs!$B$43&gt;0),((Skills!G9*((R475-1)*IF(Skills!H9&gt;0,Skills!I9/Skills!H9,1)+IF(Skills!H9&gt;0,MIN(Skills!I9,MAX(0,MAX(0,Inputs!$B$43-B504)-((R475-1)*(IF(Inputs!$B$38="pvp",15,MAX(0.1,Skills!E9-IF(Skills!F7=TRUE,Inputs!$B$32,0)))*(1-IF(AND(ArtifactsInput!$M$27,Inputs!$B$4="Chapter Hunt"),CHOOSE(ArtifactsInput!$N$27+1,20,24,28,32,36,40),0)/100)))))/Skills!H9,1)))/Inputs!$B$43),G475*Q475)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6">
      <c r="A476">
        <f>Skills!A10</f>
        <v/>
      </c>
      <c r="B476">
        <f>Skills!B10</f>
        <v/>
      </c>
      <c r="C476">
        <f>TRUE</f>
        <v/>
      </c>
      <c r="D476">
        <f>IF(Skills!C10=1,60+Inputs!$B$25+Inputs!$B$29,IF(Skills!C10=2,90+Inputs!$B$26+Inputs!$B$29,IF(Skills!C10=3,120+Inputs!$B$27+Inputs!$B$29,MAX(0,(Inputs!$B$3-100)*3)+Inputs!$B$28+Inputs!$B$29)))</f>
        <v/>
      </c>
      <c r="E476">
        <f>INDEX(FactorTable!$B$2:$Y$301, MATCH(ROUND(MIN(300,MAX(1,D476)),0), FactorTable!$A$2:$A$301,0), Skills!M10+1)</f>
        <v/>
      </c>
      <c r="F476">
        <f>IF(Skills!N10=TRUE,(Skills!L10/10)*(E476/1000),Skills!L10/10)+Skills!O10</f>
        <v/>
      </c>
      <c r="G476">
        <f>Calc!G10</f>
        <v/>
      </c>
      <c r="H476">
        <f>Calc!H10</f>
        <v/>
      </c>
      <c r="I476">
        <f>IF(Skills!X10&lt;&gt;"",1+(Skills!X10/10)*(Z469/1000)/100,1)</f>
        <v/>
      </c>
      <c r="J476">
        <f>((Inputs!$B$6*(1+Inputs!$B$7/100))+(((Inputs!$B$12*(1+Inputs!$B$13/100))-(Inputs!$B$12*(1+Inputs!$B$13/100)))+0.25*(Inputs!$B$14-Inputs!$B$14))*(1+Inputs!$B$7/100))*(F476/100)</f>
        <v/>
      </c>
      <c r="K476">
        <f>J476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10="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476)</f>
        <v/>
      </c>
      <c r="L476">
        <f>K476*(MIN(Inputs!$B$22+(F488-Calc!F22),(Inputs!$B$23+(IF(ArtifactsInput!$M$15,CHOOSE(ArtifactsInput!$N$15+1,25,30,35,40,45,50)/100*(Inputs!$B$11-Inputs!$B$11),0))))/100+(Inputs!$B$23+(IF(ArtifactsInput!$M$15,CHOOSE(ArtifactsInput!$N$15+1,25,30,35,40,45,50)/100*(Inputs!$B$11-Inputs!$B$11),0)))/100)/2</f>
        <v/>
      </c>
      <c r="M476">
        <f>L476*(1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6">
        <f>L476*(1-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476*(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6">
        <f>(1-Summary!$B$11)*S476+Summary!$B$11*U476</f>
        <v/>
      </c>
      <c r="P476">
        <f>IF(B507=0,0,O476/B507)</f>
        <v/>
      </c>
      <c r="Q476">
        <f>IFERROR(1/(IF(Inputs!$B$38="pvp",15,MAX(0.1,Skills!E10-IF(Skills!F10=TRUE,Inputs!$B$32,0)))*(1-IF(AND(ArtifactsInput!$M$27,Inputs!$B$4="Chapter Hunt"),CHOOSE(ArtifactsInput!$N$27+1,20,24,28,32,36,40),0)/100)),0)</f>
        <v/>
      </c>
      <c r="R476">
        <f>IF(AND(Inputs!$B$38&lt;&gt;"pvp",Inputs!$B$43&gt;0),IF(MAX(0,Inputs!$B$43-B504)&lt;=0,0,(INT(MAX(0,Inputs!$B$43-B504)/(IF(Inputs!$B$38="pvp",15,MAX(0.1,Skills!E10-IF(Skills!F10=TRUE,Inputs!$B$32,0)))*(1-IF(AND(ArtifactsInput!$M$27,Inputs!$B$4="Chapter Hunt"),CHOOSE(ArtifactsInput!$N$27+1,20,24,28,32,36,40),0)/100)))+1)),0)</f>
        <v/>
      </c>
      <c r="S476">
        <f>IF(C476,(H476*N476*IF(AND(Inputs!$B$38&lt;&gt;"pvp",Inputs!$B$43&gt;0),((Skills!G10*((R476-1)*IF(Skills!H10&gt;0,Skills!I10/Skills!H10,1)+IF(Skills!H10&gt;0,MIN(Skills!I10,MAX(0,MAX(0,Inputs!$B$43-B504)-((R476-1)*(IF(Inputs!$B$38="pvp",15,MAX(0.1,Skills!E10-IF(Skills!F10=TRUE,Inputs!$B$32,0)))*(1-IF(AND(ArtifactsInput!$M$27,Inputs!$B$4="Chapter Hunt"),CHOOSE(ArtifactsInput!$N$27+1,20,24,28,32,36,40),0)/100)))))/Skills!H10,1)))/Inputs!$B$43),G476*Q476)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476*(1-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476*(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476*(1-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476*(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6">
        <f>IF(C476,(H476*N476*IF(AND(Inputs!$B$38&lt;&gt;"pvp",Inputs!$B$43&gt;0),((Skills!G10*((R476-1)*IF(Skills!H10&gt;0,Skills!I10/Skills!H10,1)+IF(Skills!H10&gt;0,MIN(Skills!I10,MAX(0,MAX(0,Inputs!$B$43-B504)-((R476-1)*(IF(Inputs!$B$38="pvp",15,MAX(0.1,Skills!E10-IF(Skills!F10=TRUE,Inputs!$B$32,0)))*(1-IF(AND(ArtifactsInput!$M$27,Inputs!$B$4="Chapter Hunt"),CHOOSE(ArtifactsInput!$N$27+1,20,24,28,32,36,40),0)/100)))))/Skills!H10,1)))/Inputs!$B$43),G476*Q476)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7">
      <c r="A477">
        <f>Skills!A11</f>
        <v/>
      </c>
      <c r="B477">
        <f>Skills!B11</f>
        <v/>
      </c>
      <c r="C477">
        <f>TRUE</f>
        <v/>
      </c>
      <c r="D477">
        <f>IF(Skills!C11=1,60+Inputs!$B$25+Inputs!$B$29,IF(Skills!C11=2,90+Inputs!$B$26+Inputs!$B$29,IF(Skills!C11=3,120+Inputs!$B$27+Inputs!$B$29,MAX(0,(Inputs!$B$3-100)*3)+Inputs!$B$28+Inputs!$B$29)))</f>
        <v/>
      </c>
      <c r="E477">
        <f>INDEX(FactorTable!$B$2:$Y$301, MATCH(ROUND(MIN(300,MAX(1,D477)),0), FactorTable!$A$2:$A$301,0), Skills!M11+1)</f>
        <v/>
      </c>
      <c r="F477">
        <f>IF(Skills!N11=TRUE,(Skills!L11/10)*(E477/1000),Skills!L11/10)+Skills!O11</f>
        <v/>
      </c>
      <c r="G477">
        <f>Calc!G11</f>
        <v/>
      </c>
      <c r="H477">
        <f>Calc!H11</f>
        <v/>
      </c>
      <c r="I477">
        <f>IF(Skills!X11&lt;&gt;"",1+(Skills!X11/10)*(Z469/1000)/100,1)</f>
        <v/>
      </c>
      <c r="J477" t="inlineStr"/>
      <c r="K477" t="inlineStr"/>
      <c r="L477" t="inlineStr"/>
      <c r="M477" t="inlineStr"/>
      <c r="N477" t="inlineStr"/>
      <c r="O477">
        <f>(1-Summary!$B$11)*S477+Summary!$B$11*U477</f>
        <v/>
      </c>
      <c r="P477">
        <f>IF(B507=0,0,O477/B507)</f>
        <v/>
      </c>
      <c r="Q477">
        <f>IFERROR(1/(IF(Inputs!$B$38="pvp",15,MAX(0.1,Skills!E11-IF(Skills!F11=TRUE,Inputs!$B$32,0)))*(1-IF(AND(ArtifactsInput!$M$27,Inputs!$B$4="Chapter Hunt"),CHOOSE(ArtifactsInput!$N$27+1,20,24,28,32,36,40),0)/100)),0)</f>
        <v/>
      </c>
      <c r="R477" t="n">
        <v>0</v>
      </c>
      <c r="S477" t="n">
        <v>0</v>
      </c>
      <c r="U477" t="n">
        <v>0</v>
      </c>
    </row>
    <row r="478">
      <c r="A478">
        <f>Skills!A12</f>
        <v/>
      </c>
      <c r="B478">
        <f>Skills!B12</f>
        <v/>
      </c>
      <c r="C478">
        <f>TRUE</f>
        <v/>
      </c>
      <c r="D478">
        <f>IF(Skills!C12=1,60+Inputs!$B$25+Inputs!$B$29,IF(Skills!C12=2,90+Inputs!$B$26+Inputs!$B$29,IF(Skills!C12=3,120+Inputs!$B$27+Inputs!$B$29,MAX(0,(Inputs!$B$3-100)*3)+Inputs!$B$28+Inputs!$B$29)))</f>
        <v/>
      </c>
      <c r="E478">
        <f>INDEX(FactorTable!$B$2:$Y$301, MATCH(ROUND(MIN(300,MAX(1,D478)),0), FactorTable!$A$2:$A$301,0), Skills!M12+1)</f>
        <v/>
      </c>
      <c r="F478">
        <f>IF(Skills!N12=TRUE,(Skills!L12/10)*(E478/1000),Skills!L12/10)+Skills!O12</f>
        <v/>
      </c>
      <c r="G478">
        <f>Calc!G12</f>
        <v/>
      </c>
      <c r="H478">
        <f>Calc!H12</f>
        <v/>
      </c>
      <c r="I478">
        <f>IF(Skills!X12&lt;&gt;"",1+(Skills!X12/10)*(Z469/1000)/100,1)</f>
        <v/>
      </c>
      <c r="J478" t="inlineStr"/>
      <c r="K478" t="inlineStr"/>
      <c r="L478" t="inlineStr"/>
      <c r="M478" t="inlineStr"/>
      <c r="N478" t="inlineStr"/>
      <c r="O478">
        <f>(1-Summary!$B$11)*S478+Summary!$B$11*U478</f>
        <v/>
      </c>
      <c r="P478">
        <f>IF(B507=0,0,O478/B507)</f>
        <v/>
      </c>
      <c r="Q478">
        <f>IFERROR(1/(IF(Inputs!$B$38="pvp",15,MAX(0.1,Skills!E12-IF(Skills!F12=TRUE,Inputs!$B$32,0)))*(1-IF(AND(ArtifactsInput!$M$27,Inputs!$B$4="Chapter Hunt"),CHOOSE(ArtifactsInput!$N$27+1,20,24,28,32,36,40),0)/100)),0)</f>
        <v/>
      </c>
      <c r="R478" t="n">
        <v>0</v>
      </c>
      <c r="S478" t="n">
        <v>0</v>
      </c>
      <c r="U478" t="n">
        <v>0</v>
      </c>
    </row>
    <row r="479">
      <c r="A479">
        <f>Skills!A13</f>
        <v/>
      </c>
      <c r="B479">
        <f>Skills!B13</f>
        <v/>
      </c>
      <c r="C479">
        <f>Inputs!$B$3&gt;=105</f>
        <v/>
      </c>
      <c r="D479">
        <f>IF(Skills!C13=1,60+Inputs!$B$25+Inputs!$B$29,IF(Skills!C13=2,90+Inputs!$B$26+Inputs!$B$29,IF(Skills!C13=3,120+Inputs!$B$27+Inputs!$B$29,MAX(0,(Inputs!$B$3-100)*3)+Inputs!$B$28+Inputs!$B$29)))</f>
        <v/>
      </c>
      <c r="E479">
        <f>INDEX(FactorTable!$B$2:$Y$301, MATCH(ROUND(MIN(300,MAX(1,D479)),0), FactorTable!$A$2:$A$301,0), Skills!M13+1)</f>
        <v/>
      </c>
      <c r="F479">
        <f>IF(Skills!N13=TRUE,(Skills!L13/10)*(E479/1000),Skills!L13/10)+Skills!O13</f>
        <v/>
      </c>
      <c r="G479">
        <f>Calc!G13</f>
        <v/>
      </c>
      <c r="H479">
        <f>Calc!H13</f>
        <v/>
      </c>
      <c r="I479">
        <f>IF(Skills!X13&lt;&gt;"",1+(Skills!X13/10)*(Z469/1000)/100,1)</f>
        <v/>
      </c>
      <c r="J479">
        <f>((Inputs!$B$6*(1+Inputs!$B$7/100))+(((Inputs!$B$12*(1+Inputs!$B$13/100))-(Inputs!$B$12*(1+Inputs!$B$13/100)))+0.25*(Inputs!$B$14-Inputs!$B$14))*(1+Inputs!$B$7/100))*(F479/100)</f>
        <v/>
      </c>
      <c r="K479">
        <f>J479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13="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479)</f>
        <v/>
      </c>
      <c r="L479">
        <f>K479*(MIN(Inputs!$B$22+(F488-Calc!F22),(Inputs!$B$23+(IF(ArtifactsInput!$M$15,CHOOSE(ArtifactsInput!$N$15+1,25,30,35,40,45,50)/100*(Inputs!$B$11-Inputs!$B$11),0))))/100+(Inputs!$B$23+(IF(ArtifactsInput!$M$15,CHOOSE(ArtifactsInput!$N$15+1,25,30,35,40,45,50)/100*(Inputs!$B$11-Inputs!$B$11),0)))/100)/2</f>
        <v/>
      </c>
      <c r="M479">
        <f>L479*(1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9">
        <f>L479*(1-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479*(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9">
        <f>(1-Summary!$B$11)*S479+Summary!$B$11*U479</f>
        <v/>
      </c>
      <c r="P479">
        <f>IF(B507=0,0,O479/B507)</f>
        <v/>
      </c>
      <c r="Q479">
        <f>IFERROR(1/(IF(Inputs!$B$38="pvp",15,MAX(0.1,Skills!E13-IF(Skills!F13=TRUE,Inputs!$B$32,0)))*(1-IF(AND(ArtifactsInput!$M$27,Inputs!$B$4="Chapter Hunt"),CHOOSE(ArtifactsInput!$N$27+1,20,24,28,32,36,40),0)/100)),0)</f>
        <v/>
      </c>
      <c r="R479">
        <f>IF(AND(Inputs!$B$38&lt;&gt;"pvp",Inputs!$B$43&gt;0),IF(MAX(0,Inputs!$B$43-B504)&lt;=0,0,(INT(MAX(0,Inputs!$B$43-B504)/(IF(Inputs!$B$38="pvp",15,MAX(0.1,Skills!E13-IF(Skills!F13=TRUE,Inputs!$B$32,0)))*(1-IF(AND(ArtifactsInput!$M$27,Inputs!$B$4="Chapter Hunt"),CHOOSE(ArtifactsInput!$N$27+1,20,24,28,32,36,40),0)/100)))+1)),0)</f>
        <v/>
      </c>
      <c r="S479">
        <f>IF(C479,(H479*N479*IF(AND(Inputs!$B$38&lt;&gt;"pvp",Inputs!$B$43&gt;0),((Skills!G13*((R479-1)*IF(Skills!H13&gt;0,Skills!I13/Skills!H13,1)+IF(Skills!H13&gt;0,MIN(Skills!I13,MAX(0,MAX(0,Inputs!$B$43-B504)-((R479-1)*(IF(Inputs!$B$38="pvp",15,MAX(0.1,Skills!E13-IF(Skills!F13=TRUE,Inputs!$B$32,0)))*(1-IF(AND(ArtifactsInput!$M$27,Inputs!$B$4="Chapter Hunt"),CHOOSE(ArtifactsInput!$N$27+1,20,24,28,32,36,40),0)/100)))))/Skills!H13,1)))/Inputs!$B$43),G479*Q479)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479*(1-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479*(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479*(1-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479*(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9">
        <f>IF(C479,(H479*N479*IF(AND(Inputs!$B$38&lt;&gt;"pvp",Inputs!$B$43&gt;0),((Skills!G13*((R479-1)*IF(Skills!H13&gt;0,Skills!I13/Skills!H13,1)+IF(Skills!H13&gt;0,MIN(Skills!I13,MAX(0,MAX(0,Inputs!$B$43-B504)-((R479-1)*(IF(Inputs!$B$38="pvp",15,MAX(0.1,Skills!E13-IF(Skills!F13=TRUE,Inputs!$B$32,0)))*(1-IF(AND(ArtifactsInput!$M$27,Inputs!$B$4="Chapter Hunt"),CHOOSE(ArtifactsInput!$N$27+1,20,24,28,32,36,40),0)/100)))))/Skills!H13,1)))/Inputs!$B$43),G479*Q479)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0">
      <c r="A480">
        <f>Skills!A14</f>
        <v/>
      </c>
      <c r="B480">
        <f>Skills!B14</f>
        <v/>
      </c>
      <c r="C480">
        <f>Inputs!$B$3&gt;=113</f>
        <v/>
      </c>
      <c r="D480">
        <f>IF(Skills!C14=1,60+Inputs!$B$25+Inputs!$B$29,IF(Skills!C14=2,90+Inputs!$B$26+Inputs!$B$29,IF(Skills!C14=3,120+Inputs!$B$27+Inputs!$B$29,MAX(0,(Inputs!$B$3-100)*3)+Inputs!$B$28+Inputs!$B$29)))</f>
        <v/>
      </c>
      <c r="E480">
        <f>INDEX(FactorTable!$B$2:$Y$301, MATCH(ROUND(MIN(300,MAX(1,D480)),0), FactorTable!$A$2:$A$301,0), Skills!M14+1)</f>
        <v/>
      </c>
      <c r="F480">
        <f>IF(Skills!N14=TRUE,(Skills!L14/10)*(E480/1000),Skills!L14/10)+Skills!O14</f>
        <v/>
      </c>
      <c r="G480">
        <f>Calc!G14</f>
        <v/>
      </c>
      <c r="H480">
        <f>Calc!H14</f>
        <v/>
      </c>
      <c r="I480">
        <f>IF(Skills!X14&lt;&gt;"",1+(Skills!X14/10)*(Z469/1000)/100,1)</f>
        <v/>
      </c>
      <c r="J480">
        <f>((Inputs!$B$6*(1+Inputs!$B$7/100))+(((Inputs!$B$12*(1+Inputs!$B$13/100))-(Inputs!$B$12*(1+Inputs!$B$13/100)))+0.25*(Inputs!$B$14-Inputs!$B$14))*(1+Inputs!$B$7/100))*(F480/100)</f>
        <v/>
      </c>
      <c r="K480">
        <f>J480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14="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480)</f>
        <v/>
      </c>
      <c r="L480">
        <f>K480*(MIN(Inputs!$B$22+(F488-Calc!F22),(Inputs!$B$23+(IF(ArtifactsInput!$M$15,CHOOSE(ArtifactsInput!$N$15+1,25,30,35,40,45,50)/100*(Inputs!$B$11-Inputs!$B$11),0))))/100+(Inputs!$B$23+(IF(ArtifactsInput!$M$15,CHOOSE(ArtifactsInput!$N$15+1,25,30,35,40,45,50)/100*(Inputs!$B$11-Inputs!$B$11),0)))/100)/2</f>
        <v/>
      </c>
      <c r="M480">
        <f>L480*(1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80">
        <f>L480*(1-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480*(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0">
        <f>(1-Summary!$B$11)*S480+Summary!$B$11*U480</f>
        <v/>
      </c>
      <c r="P480">
        <f>IF(B507=0,0,O480/B507)</f>
        <v/>
      </c>
      <c r="Q480">
        <f>IFERROR(1/(IF(Inputs!$B$38="pvp",15,MAX(0.1,Skills!E14-IF(Skills!F14=TRUE,Inputs!$B$32,0)))*(1-IF(AND(ArtifactsInput!$M$27,Inputs!$B$4="Chapter Hunt"),CHOOSE(ArtifactsInput!$N$27+1,20,24,28,32,36,40),0)/100)),0)</f>
        <v/>
      </c>
      <c r="R480" t="n">
        <v>0</v>
      </c>
      <c r="S480">
        <f>IF(C480,((H480*B503)/(1+Skills!H14*H480*B503)*N480)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480*(1-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480*(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480*(1-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480*(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0">
        <f>IF(C480,((H480*B503)/(1+Skills!H14*H480*B503)*N480)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1">
      <c r="A481">
        <f>Skills!A15</f>
        <v/>
      </c>
      <c r="B481">
        <f>Skills!B15</f>
        <v/>
      </c>
      <c r="C481">
        <f>Inputs!$B$3&gt;=107</f>
        <v/>
      </c>
      <c r="D481">
        <f>IF(Skills!C15=1,60+Inputs!$B$25+Inputs!$B$29,IF(Skills!C15=2,90+Inputs!$B$26+Inputs!$B$29,IF(Skills!C15=3,120+Inputs!$B$27+Inputs!$B$29,MAX(0,(Inputs!$B$3-100)*3)+Inputs!$B$28+Inputs!$B$29)))</f>
        <v/>
      </c>
      <c r="E481">
        <f>INDEX(FactorTable!$B$2:$Y$301, MATCH(ROUND(MIN(300,MAX(1,D481)),0), FactorTable!$A$2:$A$301,0), Skills!M15+1)</f>
        <v/>
      </c>
      <c r="F481">
        <f>IF(Skills!N15=TRUE,(Skills!L15/10)*(E481/1000),Skills!L15/10)+Skills!O15</f>
        <v/>
      </c>
      <c r="G481">
        <f>Calc!G15</f>
        <v/>
      </c>
      <c r="H481">
        <f>Calc!H15</f>
        <v/>
      </c>
      <c r="I481">
        <f>IF(Skills!X15&lt;&gt;"",1+(Skills!X15/10)*(Z469/1000)/100,1)</f>
        <v/>
      </c>
      <c r="J481">
        <f>((Inputs!$B$6*(1+Inputs!$B$7/100))+(((Inputs!$B$12*(1+Inputs!$B$13/100))-(Inputs!$B$12*(1+Inputs!$B$13/100)))+0.25*(Inputs!$B$14-Inputs!$B$14))*(1+Inputs!$B$7/100))*(F481/100)</f>
        <v/>
      </c>
      <c r="K481">
        <f>J481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15="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481)</f>
        <v/>
      </c>
      <c r="L481">
        <f>K481*(MIN(Inputs!$B$22+(F488-Calc!F22),(Inputs!$B$23+(IF(ArtifactsInput!$M$15,CHOOSE(ArtifactsInput!$N$15+1,25,30,35,40,45,50)/100*(Inputs!$B$11-Inputs!$B$11),0))))/100+(Inputs!$B$23+(IF(ArtifactsInput!$M$15,CHOOSE(ArtifactsInput!$N$15+1,25,30,35,40,45,50)/100*(Inputs!$B$11-Inputs!$B$11),0)))/100)/2</f>
        <v/>
      </c>
      <c r="M481">
        <f>L481*(1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81">
        <f>L481*(1-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1">
        <f>(1-Summary!$B$11)*S481+Summary!$B$11*U481</f>
        <v/>
      </c>
      <c r="P481">
        <f>IF(B507=0,0,O481/B507)</f>
        <v/>
      </c>
      <c r="Q481">
        <f>IFERROR(1/(IF(Inputs!$B$38="pvp",15,MAX(0.1,Skills!E15-IF(Skills!F15=TRUE,Inputs!$B$32,0)))*(1-IF(AND(ArtifactsInput!$M$27,Inputs!$B$4="Chapter Hunt"),CHOOSE(ArtifactsInput!$N$27+1,20,24,28,32,36,40),0)/100)),0)</f>
        <v/>
      </c>
      <c r="R481">
        <f>IF(AND(Inputs!$B$38&lt;&gt;"pvp",Inputs!$B$43&gt;0),IF(MAX(0,Inputs!$B$43-B504)&lt;=0,0,(INT(MAX(0,Inputs!$B$43-B504)/(IF(Inputs!$B$38="pvp",15,MAX(0.1,Skills!E15-IF(Skills!F15=TRUE,Inputs!$B$32,0)))*(1-IF(AND(ArtifactsInput!$M$27,Inputs!$B$4="Chapter Hunt"),CHOOSE(ArtifactsInput!$N$27+1,20,24,28,32,36,40),0)/100)))+1)),0)</f>
        <v/>
      </c>
      <c r="S481">
        <f>IF(C481,(H481*N481*IF(AND(Inputs!$B$38&lt;&gt;"pvp",Inputs!$B$43&gt;0),((Skills!G15*((R481-1)*IF(Skills!H15&gt;0,Skills!I15/Skills!H15,1)+IF(Skills!H15&gt;0,MIN(Skills!I15,MAX(0,MAX(0,Inputs!$B$43-B504)-((R481-1)*(IF(Inputs!$B$38="pvp",15,MAX(0.1,Skills!E15-IF(Skills!F15=TRUE,Inputs!$B$32,0)))*(1-IF(AND(ArtifactsInput!$M$27,Inputs!$B$4="Chapter Hunt"),CHOOSE(ArtifactsInput!$N$27+1,20,24,28,32,36,40),0)/100)))))/Skills!H15,1)))/Inputs!$B$43),G481*Q481)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481*(1-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481*(1-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1">
        <f>IF(C481,(H481*N481*IF(AND(Inputs!$B$38&lt;&gt;"pvp",Inputs!$B$43&gt;0),((Skills!G15*((R481-1)*IF(Skills!H15&gt;0,Skills!I15/Skills!H15,1)+IF(Skills!H15&gt;0,MIN(Skills!I15,MAX(0,MAX(0,Inputs!$B$43-B504)-((R481-1)*(IF(Inputs!$B$38="pvp",15,MAX(0.1,Skills!E15-IF(Skills!F15=TRUE,Inputs!$B$32,0)))*(1-IF(AND(ArtifactsInput!$M$27,Inputs!$B$4="Chapter Hunt"),CHOOSE(ArtifactsInput!$N$27+1,20,24,28,32,36,40),0)/100)))))/Skills!H15,1)))/Inputs!$B$43),G481*Q481)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2">
      <c r="A482">
        <f>Skills!A16</f>
        <v/>
      </c>
      <c r="B482">
        <f>Skills!B16</f>
        <v/>
      </c>
      <c r="C482">
        <f>Inputs!$B$3&gt;=107</f>
        <v/>
      </c>
      <c r="D482">
        <f>IF(Skills!C16=1,60+Inputs!$B$25+Inputs!$B$29,IF(Skills!C16=2,90+Inputs!$B$26+Inputs!$B$29,IF(Skills!C16=3,120+Inputs!$B$27+Inputs!$B$29,MAX(0,(Inputs!$B$3-100)*3)+Inputs!$B$28+Inputs!$B$29)))</f>
        <v/>
      </c>
      <c r="E482">
        <f>INDEX(FactorTable!$B$2:$Y$301, MATCH(ROUND(MIN(300,MAX(1,D482)),0), FactorTable!$A$2:$A$301,0), Skills!M16+1)</f>
        <v/>
      </c>
      <c r="F482">
        <f>IF(Skills!N16=TRUE,(Skills!L16/10)*(E482/1000),Skills!L16/10)+Skills!O16</f>
        <v/>
      </c>
      <c r="G482">
        <f>Calc!G16</f>
        <v/>
      </c>
      <c r="H482">
        <f>Calc!H16</f>
        <v/>
      </c>
      <c r="I482">
        <f>IF(Skills!X16&lt;&gt;"",1+(Skills!X16/10)*(Z469/1000)/100,1)</f>
        <v/>
      </c>
      <c r="J482">
        <f>((Inputs!$B$6*(1+Inputs!$B$7/100))+(((Inputs!$B$12*(1+Inputs!$B$13/100))-(Inputs!$B$12*(1+Inputs!$B$13/100)))+0.25*(Inputs!$B$14-Inputs!$B$14))*(1+Inputs!$B$7/100))*(F482/100)</f>
        <v/>
      </c>
      <c r="K482">
        <f>J482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16="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482)</f>
        <v/>
      </c>
      <c r="L482">
        <f>K482*(MIN(Inputs!$B$22+(F488-Calc!F22),(Inputs!$B$23+(IF(ArtifactsInput!$M$15,CHOOSE(ArtifactsInput!$N$15+1,25,30,35,40,45,50)/100*(Inputs!$B$11-Inputs!$B$11),0))))/100+(Inputs!$B$23+(IF(ArtifactsInput!$M$15,CHOOSE(ArtifactsInput!$N$15+1,25,30,35,40,45,50)/100*(Inputs!$B$11-Inputs!$B$11),0)))/100)/2</f>
        <v/>
      </c>
      <c r="M482">
        <f>L482*(1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82">
        <f>L482*(1-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482*(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2">
        <f>(1-Summary!$B$11)*S482+Summary!$B$11*U482</f>
        <v/>
      </c>
      <c r="P482">
        <f>IF(B507=0,0,O482/B507)</f>
        <v/>
      </c>
      <c r="Q482">
        <f>IFERROR(1/(IF(Inputs!$B$38="pvp",15,MAX(0.1,Skills!E16-IF(Skills!F16=TRUE,Inputs!$B$32,0)))*(1-IF(AND(ArtifactsInput!$M$27,Inputs!$B$4="Chapter Hunt"),CHOOSE(ArtifactsInput!$N$27+1,20,24,28,32,36,40),0)/100)),0)</f>
        <v/>
      </c>
      <c r="R482">
        <f>IF(AND(Inputs!$B$38&lt;&gt;"pvp",Inputs!$B$43&gt;0),IF(MAX(0,Inputs!$B$43-B504)&lt;=0,0,(INT(MAX(0,Inputs!$B$43-B504)/(IF(Inputs!$B$38="pvp",15,MAX(0.1,Skills!E16-IF(Skills!F16=TRUE,Inputs!$B$32,0)))*(1-IF(AND(ArtifactsInput!$M$27,Inputs!$B$4="Chapter Hunt"),CHOOSE(ArtifactsInput!$N$27+1,20,24,28,32,36,40),0)/100)))+1)),0)</f>
        <v/>
      </c>
      <c r="S482">
        <f>IF(C482,(H482*N482*IF(AND(Inputs!$B$38&lt;&gt;"pvp",Inputs!$B$43&gt;0),((Skills!G16*((R482-1)*IF(Skills!H16&gt;0,Skills!I16/Skills!H16,1)+IF(Skills!H16&gt;0,MIN(Skills!I16,MAX(0,MAX(0,Inputs!$B$43-B504)-((R482-1)*(IF(Inputs!$B$38="pvp",15,MAX(0.1,Skills!E16-IF(Skills!F16=TRUE,Inputs!$B$32,0)))*(1-IF(AND(ArtifactsInput!$M$27,Inputs!$B$4="Chapter Hunt"),CHOOSE(ArtifactsInput!$N$27+1,20,24,28,32,36,40),0)/100)))))/Skills!H16,1)))/Inputs!$B$43),G482*Q482)*(1+IF(Inputs!$B$3&gt;=126,0.05*(B502+Q479+(H480*B503)/(1+Skills!H14*H480*B503)+Q490)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482*(1-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482*(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482*(1-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482*(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2">
        <f>IF(C482,(H482*N482*IF(AND(Inputs!$B$38&lt;&gt;"pvp",Inputs!$B$43&gt;0),((Skills!G16*((R482-1)*IF(Skills!H16&gt;0,Skills!I16/Skills!H16,1)+IF(Skills!H16&gt;0,MIN(Skills!I16,MAX(0,MAX(0,Inputs!$B$43-B504)-((R482-1)*(IF(Inputs!$B$38="pvp",15,MAX(0.1,Skills!E16-IF(Skills!F16=TRUE,Inputs!$B$32,0)))*(1-IF(AND(ArtifactsInput!$M$27,Inputs!$B$4="Chapter Hunt"),CHOOSE(ArtifactsInput!$N$27+1,20,24,28,32,36,40),0)/100)))))/Skills!H16,1)))/Inputs!$B$43),G482*Q482)*(1+IF(Inputs!$B$3&gt;=126,0.05*(B502+Q479+(H480*B503)/(1+Skills!H14*H480*B503)+Q490)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3">
      <c r="A483">
        <f>Skills!A17</f>
        <v/>
      </c>
      <c r="B483">
        <f>Skills!B17</f>
        <v/>
      </c>
      <c r="C483">
        <f>TRUE</f>
        <v/>
      </c>
      <c r="D483">
        <f>IF(Skills!C17=1,60+Inputs!$B$25+Inputs!$B$29,IF(Skills!C17=2,90+Inputs!$B$26+Inputs!$B$29,IF(Skills!C17=3,120+Inputs!$B$27+Inputs!$B$29,MAX(0,(Inputs!$B$3-100)*3)+Inputs!$B$28+Inputs!$B$29)))</f>
        <v/>
      </c>
      <c r="E483">
        <f>INDEX(FactorTable!$B$2:$Y$301, MATCH(ROUND(MIN(300,MAX(1,D483)),0), FactorTable!$A$2:$A$301,0), Skills!M17+1)</f>
        <v/>
      </c>
      <c r="F483">
        <f>IF(Skills!N17=TRUE,(Skills!L17/10)*(E483/1000),Skills!L17/10)+Skills!O17</f>
        <v/>
      </c>
      <c r="G483">
        <f>Calc!G17</f>
        <v/>
      </c>
      <c r="H483">
        <f>Calc!H17</f>
        <v/>
      </c>
      <c r="I483">
        <f>IF(Skills!X17&lt;&gt;"",1+(Skills!X17/10)*(Z469/1000)/100,1)</f>
        <v/>
      </c>
      <c r="J483" t="inlineStr"/>
      <c r="K483" t="inlineStr"/>
      <c r="L483" t="inlineStr"/>
      <c r="M483" t="inlineStr"/>
      <c r="N483" t="inlineStr"/>
      <c r="O483">
        <f>(1-Summary!$B$11)*S483+Summary!$B$11*U483</f>
        <v/>
      </c>
      <c r="P483">
        <f>IF(B507=0,0,O483/B507)</f>
        <v/>
      </c>
      <c r="Q483">
        <f>IFERROR(1/(IF(Inputs!$B$38="pvp",15,MAX(0.1,Skills!E17-IF(Skills!F17=TRUE,Inputs!$B$32,0)))*(1-IF(AND(ArtifactsInput!$M$27,Inputs!$B$4="Chapter Hunt"),CHOOSE(ArtifactsInput!$N$27+1,20,24,28,32,36,40),0)/100)),0)</f>
        <v/>
      </c>
      <c r="R483">
        <f>IF(AND(Inputs!$B$38&lt;&gt;"pvp",Inputs!$B$43&gt;0),IF(Inputs!$B$43&lt;=0,0,(INT(Inputs!$B$43/(IF(Inputs!$B$38="pvp",15,MAX(0.1,Skills!E17-IF(Skills!F17=TRUE,Inputs!$B$32,0)))*(1-IF(AND(ArtifactsInput!$M$27,Inputs!$B$4="Chapter Hunt"),CHOOSE(ArtifactsInput!$N$27+1,20,24,28,32,36,40),0)/100)))+1)),0)</f>
        <v/>
      </c>
      <c r="S483" t="n">
        <v>0</v>
      </c>
      <c r="U483" t="n">
        <v>0</v>
      </c>
    </row>
    <row r="484">
      <c r="A484">
        <f>Skills!A18</f>
        <v/>
      </c>
      <c r="B484">
        <f>Skills!B18</f>
        <v/>
      </c>
      <c r="C484">
        <f>TRUE</f>
        <v/>
      </c>
      <c r="D484">
        <f>IF(Skills!C18=1,60+Inputs!$B$25+Inputs!$B$29,IF(Skills!C18=2,90+Inputs!$B$26+Inputs!$B$29,IF(Skills!C18=3,120+Inputs!$B$27+Inputs!$B$29,MAX(0,(Inputs!$B$3-100)*3)+Inputs!$B$28+Inputs!$B$29)))</f>
        <v/>
      </c>
      <c r="E484">
        <f>INDEX(FactorTable!$B$2:$Y$301, MATCH(ROUND(MIN(300,MAX(1,D484)),0), FactorTable!$A$2:$A$301,0), Skills!M18+1)</f>
        <v/>
      </c>
      <c r="F484">
        <f>IF(Skills!N18=TRUE,(Skills!L18/10)*(E484/1000),Skills!L18/10)+Skills!O18</f>
        <v/>
      </c>
      <c r="G484">
        <f>Calc!G18</f>
        <v/>
      </c>
      <c r="H484">
        <f>Calc!H18</f>
        <v/>
      </c>
      <c r="I484">
        <f>IF(Skills!X18&lt;&gt;"",1+(Skills!X18/10)*(Z469/1000)/100,1)</f>
        <v/>
      </c>
      <c r="J484" t="inlineStr"/>
      <c r="K484" t="inlineStr"/>
      <c r="L484" t="inlineStr"/>
      <c r="M484" t="inlineStr"/>
      <c r="N484" t="inlineStr"/>
      <c r="O484">
        <f>(1-Summary!$B$11)*S484+Summary!$B$11*U484</f>
        <v/>
      </c>
      <c r="P484">
        <f>IF(B507=0,0,O484/B507)</f>
        <v/>
      </c>
      <c r="Q484">
        <f>IFERROR(1/(IF(Inputs!$B$38="pvp",15,MAX(0.1,Skills!E18-IF(Skills!F18=TRUE,Inputs!$B$32,0)))*(1-IF(AND(ArtifactsInput!$M$27,Inputs!$B$4="Chapter Hunt"),CHOOSE(ArtifactsInput!$N$27+1,20,24,28,32,36,40),0)/100)),0)</f>
        <v/>
      </c>
      <c r="R484">
        <f>IF(AND(Inputs!$B$38&lt;&gt;"pvp",Inputs!$B$43&gt;0),IF(Inputs!$B$43&lt;=0,0,(INT(Inputs!$B$43/(IF(Inputs!$B$38="pvp",15,MAX(0.1,Skills!E18-IF(Skills!F18=TRUE,Inputs!$B$32,0)))*(1-IF(AND(ArtifactsInput!$M$27,Inputs!$B$4="Chapter Hunt"),CHOOSE(ArtifactsInput!$N$27+1,20,24,28,32,36,40),0)/100)))+1)),0)</f>
        <v/>
      </c>
      <c r="S484" t="n">
        <v>0</v>
      </c>
      <c r="U484" t="n">
        <v>0</v>
      </c>
    </row>
    <row r="485">
      <c r="A485">
        <f>Skills!A19</f>
        <v/>
      </c>
      <c r="B485">
        <f>Skills!B19</f>
        <v/>
      </c>
      <c r="C485">
        <f>Inputs!$B$3&gt;=110</f>
        <v/>
      </c>
      <c r="D485">
        <f>IF(Skills!C19=1,60+Inputs!$B$25+Inputs!$B$29,IF(Skills!C19=2,90+Inputs!$B$26+Inputs!$B$29,IF(Skills!C19=3,120+Inputs!$B$27+Inputs!$B$29,MAX(0,(Inputs!$B$3-100)*3)+Inputs!$B$28+Inputs!$B$29)))</f>
        <v/>
      </c>
      <c r="E485">
        <f>INDEX(FactorTable!$B$2:$Y$301, MATCH(ROUND(MIN(300,MAX(1,D485)),0), FactorTable!$A$2:$A$301,0), Skills!M19+1)</f>
        <v/>
      </c>
      <c r="F485">
        <f>IF(Skills!N19=TRUE,(Skills!L19/10)*(E485/1000),Skills!L19/10)+Skills!O19</f>
        <v/>
      </c>
      <c r="G485">
        <f>Calc!G19</f>
        <v/>
      </c>
      <c r="H485">
        <f>Calc!H19</f>
        <v/>
      </c>
      <c r="I485">
        <f>IF(Skills!X19&lt;&gt;"",1+(Skills!X19/10)*(Z469/1000)/100,1)</f>
        <v/>
      </c>
      <c r="J485" t="inlineStr"/>
      <c r="K485" t="inlineStr"/>
      <c r="L485" t="inlineStr"/>
      <c r="M485" t="inlineStr"/>
      <c r="N485" t="inlineStr"/>
      <c r="O485">
        <f>(1-Summary!$B$11)*S485+Summary!$B$11*U485</f>
        <v/>
      </c>
      <c r="P485">
        <f>IF(B507=0,0,O485/B507)</f>
        <v/>
      </c>
      <c r="Q485">
        <f>IFERROR(1/(IF(Inputs!$B$38="pvp",15,MAX(0.1,Skills!E19-IF(Skills!F19=TRUE,Inputs!$B$32,0)))*(1-IF(AND(ArtifactsInput!$M$27,Inputs!$B$4="Chapter Hunt"),CHOOSE(ArtifactsInput!$N$27+1,20,24,28,32,36,40),0)/100)),0)</f>
        <v/>
      </c>
      <c r="R485">
        <f>IF(AND(Inputs!$B$38&lt;&gt;"pvp",Inputs!$B$43&gt;0),IF(Inputs!$B$43&lt;=0,0,(INT(Inputs!$B$43/(IF(Inputs!$B$38="pvp",15,MAX(0.1,Skills!E19-IF(Skills!F19=TRUE,Inputs!$B$32,0)))*(1-IF(AND(ArtifactsInput!$M$27,Inputs!$B$4="Chapter Hunt"),CHOOSE(ArtifactsInput!$N$27+1,20,24,28,32,36,40),0)/100)))+1)),0)</f>
        <v/>
      </c>
      <c r="S485" t="n">
        <v>0</v>
      </c>
      <c r="U485" t="n">
        <v>0</v>
      </c>
    </row>
    <row r="486">
      <c r="A486">
        <f>Skills!A20</f>
        <v/>
      </c>
      <c r="B486">
        <f>Skills!B20</f>
        <v/>
      </c>
      <c r="C486">
        <f>TRUE</f>
        <v/>
      </c>
      <c r="D486">
        <f>IF(Skills!C20=1,60+Inputs!$B$25+Inputs!$B$29,IF(Skills!C20=2,90+Inputs!$B$26+Inputs!$B$29,IF(Skills!C20=3,120+Inputs!$B$27+Inputs!$B$29,MAX(0,(Inputs!$B$3-100)*3)+Inputs!$B$28+Inputs!$B$29)))</f>
        <v/>
      </c>
      <c r="E486">
        <f>INDEX(FactorTable!$B$2:$Y$301, MATCH(ROUND(MIN(300,MAX(1,D486)),0), FactorTable!$A$2:$A$301,0), Skills!M20+1)</f>
        <v/>
      </c>
      <c r="F486">
        <f>IF(Skills!N20=TRUE,(Skills!L20/10)*(E486/1000),Skills!L20/10)+Skills!O20</f>
        <v/>
      </c>
      <c r="G486">
        <f>Calc!G20</f>
        <v/>
      </c>
      <c r="H486">
        <f>Calc!H20</f>
        <v/>
      </c>
      <c r="I486">
        <f>IF(Skills!X20&lt;&gt;"",1+(Skills!X20/10)*(Z469/1000)/100,1)</f>
        <v/>
      </c>
      <c r="J486" t="inlineStr"/>
      <c r="K486" t="inlineStr"/>
      <c r="L486" t="inlineStr"/>
      <c r="M486" t="inlineStr"/>
      <c r="N486" t="inlineStr"/>
      <c r="O486">
        <f>(1-Summary!$B$11)*S486+Summary!$B$11*U486</f>
        <v/>
      </c>
      <c r="P486">
        <f>IF(B507=0,0,O486/B507)</f>
        <v/>
      </c>
      <c r="Q486">
        <f>IFERROR(1/(IF(Inputs!$B$38="pvp",15,MAX(0.1,Skills!E20-IF(Skills!F20=TRUE,Inputs!$B$32,0)))*(1-IF(AND(ArtifactsInput!$M$27,Inputs!$B$4="Chapter Hunt"),CHOOSE(ArtifactsInput!$N$27+1,20,24,28,32,36,40),0)/100)),0)</f>
        <v/>
      </c>
      <c r="R486" t="n">
        <v>0</v>
      </c>
      <c r="S486" t="n">
        <v>0</v>
      </c>
      <c r="U486" t="n">
        <v>0</v>
      </c>
    </row>
    <row r="487">
      <c r="A487">
        <f>Skills!A21</f>
        <v/>
      </c>
      <c r="B487">
        <f>Skills!B21</f>
        <v/>
      </c>
      <c r="C487">
        <f>TRUE</f>
        <v/>
      </c>
      <c r="D487">
        <f>IF(Skills!C21=1,60+Inputs!$B$25+Inputs!$B$29,IF(Skills!C21=2,90+Inputs!$B$26+Inputs!$B$29,IF(Skills!C21=3,120+Inputs!$B$27+Inputs!$B$29,MAX(0,(Inputs!$B$3-100)*3)+Inputs!$B$28+Inputs!$B$29)))</f>
        <v/>
      </c>
      <c r="E487">
        <f>INDEX(FactorTable!$B$2:$Y$301, MATCH(ROUND(MIN(300,MAX(1,D487)),0), FactorTable!$A$2:$A$301,0), Skills!M21+1)</f>
        <v/>
      </c>
      <c r="F487">
        <f>IF(Skills!N21=TRUE,(Skills!L21/10)*(E487/1000),Skills!L21/10)+Skills!O21</f>
        <v/>
      </c>
      <c r="G487">
        <f>Calc!G21</f>
        <v/>
      </c>
      <c r="H487">
        <f>Calc!H21</f>
        <v/>
      </c>
      <c r="I487">
        <f>IF(Skills!X21&lt;&gt;"",1+(Skills!X21/10)*(Z469/1000)/100,1)</f>
        <v/>
      </c>
      <c r="J487" t="inlineStr"/>
      <c r="K487" t="inlineStr"/>
      <c r="L487" t="inlineStr"/>
      <c r="M487" t="inlineStr"/>
      <c r="N487" t="inlineStr"/>
      <c r="O487">
        <f>(1-Summary!$B$11)*S487+Summary!$B$11*U487</f>
        <v/>
      </c>
      <c r="P487">
        <f>IF(B507=0,0,O487/B507)</f>
        <v/>
      </c>
      <c r="Q487">
        <f>IFERROR(1/(IF(Inputs!$B$38="pvp",15,MAX(0.1,Skills!E21-IF(Skills!F21=TRUE,Inputs!$B$32,0)))*(1-IF(AND(ArtifactsInput!$M$27,Inputs!$B$4="Chapter Hunt"),CHOOSE(ArtifactsInput!$N$27+1,20,24,28,32,36,40),0)/100)),0)</f>
        <v/>
      </c>
      <c r="R487" t="n">
        <v>0</v>
      </c>
      <c r="S487" t="n">
        <v>0</v>
      </c>
      <c r="U487" t="n">
        <v>0</v>
      </c>
    </row>
    <row r="488">
      <c r="A488">
        <f>Skills!A22</f>
        <v/>
      </c>
      <c r="B488">
        <f>Skills!B22</f>
        <v/>
      </c>
      <c r="C488">
        <f>TRUE</f>
        <v/>
      </c>
      <c r="D488">
        <f>IF(Skills!C22=1,60+Inputs!$B$25+Inputs!$B$29,IF(Skills!C22=2,90+Inputs!$B$26+Inputs!$B$29,IF(Skills!C22=3,120+Inputs!$B$27+Inputs!$B$29,MAX(0,(Inputs!$B$3-100)*3)+Inputs!$B$28+Inputs!$B$29)))</f>
        <v/>
      </c>
      <c r="E488">
        <f>INDEX(FactorTable!$B$2:$Y$301, MATCH(ROUND(MIN(300,MAX(1,D488)),0), FactorTable!$A$2:$A$301,0), Skills!M22+1)</f>
        <v/>
      </c>
      <c r="F488">
        <f>IF(Skills!N22=TRUE,(Skills!L22/10)*(E488/1000),Skills!L22/10)+Skills!O22</f>
        <v/>
      </c>
      <c r="G488">
        <f>Calc!G22</f>
        <v/>
      </c>
      <c r="H488">
        <f>Calc!H22</f>
        <v/>
      </c>
      <c r="I488">
        <f>IF(Skills!X22&lt;&gt;"",1+(Skills!X22/10)*(Z469/1000)/100,1)</f>
        <v/>
      </c>
      <c r="J488" t="inlineStr"/>
      <c r="K488" t="inlineStr"/>
      <c r="L488" t="inlineStr"/>
      <c r="M488" t="inlineStr"/>
      <c r="N488" t="inlineStr"/>
      <c r="O488">
        <f>(1-Summary!$B$11)*S488+Summary!$B$11*U488</f>
        <v/>
      </c>
      <c r="P488">
        <f>IF(B507=0,0,O488/B507)</f>
        <v/>
      </c>
      <c r="Q488">
        <f>IFERROR(1/(IF(Inputs!$B$38="pvp",15,MAX(0.1,Skills!E22-IF(Skills!F22=TRUE,Inputs!$B$32,0)))*(1-IF(AND(ArtifactsInput!$M$27,Inputs!$B$4="Chapter Hunt"),CHOOSE(ArtifactsInput!$N$27+1,20,24,28,32,36,40),0)/100)),0)</f>
        <v/>
      </c>
      <c r="R488" t="n">
        <v>0</v>
      </c>
      <c r="S488" t="n">
        <v>0</v>
      </c>
      <c r="U488" t="n">
        <v>0</v>
      </c>
    </row>
    <row r="489">
      <c r="A489">
        <f>Skills!A23</f>
        <v/>
      </c>
      <c r="B489">
        <f>Skills!B23</f>
        <v/>
      </c>
      <c r="C489">
        <f>TRUE</f>
        <v/>
      </c>
      <c r="D489">
        <f>IF(Skills!C23=1,60+Inputs!$B$25+Inputs!$B$29,IF(Skills!C23=2,90+Inputs!$B$26+Inputs!$B$29,IF(Skills!C23=3,120+Inputs!$B$27+Inputs!$B$29,MAX(0,(Inputs!$B$3-100)*3)+Inputs!$B$28+Inputs!$B$29)))</f>
        <v/>
      </c>
      <c r="E489">
        <f>INDEX(FactorTable!$B$2:$Y$301, MATCH(ROUND(MIN(300,MAX(1,D489)),0), FactorTable!$A$2:$A$301,0), Skills!M23+1)</f>
        <v/>
      </c>
      <c r="F489">
        <f>IF(Skills!N23=TRUE,(Skills!L23/10)*(E489/1000),Skills!L23/10)+Skills!O23</f>
        <v/>
      </c>
      <c r="G489">
        <f>Calc!G23</f>
        <v/>
      </c>
      <c r="H489">
        <f>Calc!H23</f>
        <v/>
      </c>
      <c r="I489">
        <f>IF(Skills!X23&lt;&gt;"",1+(Skills!X23/10)*(Z469/1000)/100,1)</f>
        <v/>
      </c>
      <c r="J489" t="inlineStr"/>
      <c r="K489" t="inlineStr"/>
      <c r="L489" t="inlineStr"/>
      <c r="M489" t="inlineStr"/>
      <c r="N489" t="inlineStr"/>
      <c r="O489">
        <f>(1-Summary!$B$11)*S489+Summary!$B$11*U489</f>
        <v/>
      </c>
      <c r="P489">
        <f>IF(B507=0,0,O489/B507)</f>
        <v/>
      </c>
      <c r="Q489">
        <f>IFERROR(1/(IF(Inputs!$B$38="pvp",15,MAX(0.1,Skills!E23-IF(Skills!F23=TRUE,Inputs!$B$32,0)))*(1-IF(AND(ArtifactsInput!$M$27,Inputs!$B$4="Chapter Hunt"),CHOOSE(ArtifactsInput!$N$27+1,20,24,28,32,36,40),0)/100)),0)</f>
        <v/>
      </c>
      <c r="R489" t="n">
        <v>0</v>
      </c>
      <c r="S489" t="n">
        <v>0</v>
      </c>
      <c r="U489" t="n">
        <v>0</v>
      </c>
    </row>
    <row r="490">
      <c r="A490">
        <f>Skills!A24</f>
        <v/>
      </c>
      <c r="B490">
        <f>Skills!B24</f>
        <v/>
      </c>
      <c r="C490">
        <f>Inputs!$B$3&gt;=115</f>
        <v/>
      </c>
      <c r="D490">
        <f>IF(Skills!C24=1,60+Inputs!$B$25+Inputs!$B$29,IF(Skills!C24=2,90+Inputs!$B$26+Inputs!$B$29,IF(Skills!C24=3,120+Inputs!$B$27+Inputs!$B$29,MAX(0,(Inputs!$B$3-100)*3)+Inputs!$B$28+Inputs!$B$29)))</f>
        <v/>
      </c>
      <c r="E490">
        <f>INDEX(FactorTable!$B$2:$Y$301, MATCH(ROUND(MIN(300,MAX(1,D490)),0), FactorTable!$A$2:$A$301,0), Skills!M24+1)</f>
        <v/>
      </c>
      <c r="F490">
        <f>IF(Skills!N24=TRUE,(Skills!L24/10)*(E490/1000),Skills!L24/10)+Skills!O24</f>
        <v/>
      </c>
      <c r="G490">
        <f>Calc!G24</f>
        <v/>
      </c>
      <c r="H490">
        <f>Calc!H24</f>
        <v/>
      </c>
      <c r="I490">
        <f>IF(Skills!X24&lt;&gt;"",1+(Skills!X24/10)*(Z469/1000)/100,1)</f>
        <v/>
      </c>
      <c r="J490">
        <f>((Inputs!$B$6*(1+Inputs!$B$7/100))+(((Inputs!$B$12*(1+Inputs!$B$13/100))-(Inputs!$B$12*(1+Inputs!$B$13/100)))+0.25*(Inputs!$B$14-Inputs!$B$14))*(1+Inputs!$B$7/100))*(F490/100)</f>
        <v/>
      </c>
      <c r="K490">
        <f>J490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24="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490)</f>
        <v/>
      </c>
      <c r="L490">
        <f>K490*(MIN(Inputs!$B$22+(F488-Calc!F22),(Inputs!$B$23+(IF(ArtifactsInput!$M$15,CHOOSE(ArtifactsInput!$N$15+1,25,30,35,40,45,50)/100*(Inputs!$B$11-Inputs!$B$11),0))))/100+(Inputs!$B$23+(IF(ArtifactsInput!$M$15,CHOOSE(ArtifactsInput!$N$15+1,25,30,35,40,45,50)/100*(Inputs!$B$11-Inputs!$B$11),0)))/100)/2</f>
        <v/>
      </c>
      <c r="M490">
        <f>L490*(1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90">
        <f>L490*(1-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490*(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0">
        <f>(1-Summary!$B$11)*S490+Summary!$B$11*U490</f>
        <v/>
      </c>
      <c r="P490">
        <f>IF(B507=0,0,O490/B507)</f>
        <v/>
      </c>
      <c r="Q490">
        <f>IFERROR(1/(IF(Inputs!$B$38="pvp",15,MAX(0.1,Skills!E24-IF(Skills!F24=TRUE,Inputs!$B$32,0)))*(1-IF(AND(ArtifactsInput!$M$27,Inputs!$B$4="Chapter Hunt"),CHOOSE(ArtifactsInput!$N$27+1,20,24,28,32,36,40),0)/100)),0)</f>
        <v/>
      </c>
      <c r="R490">
        <f>IF(AND(Inputs!$B$38&lt;&gt;"pvp",Inputs!$B$43&gt;0),IF(MAX(0,Inputs!$B$43-B504)&lt;=0,0,(INT(MAX(0,Inputs!$B$43-B504)/(IF(Inputs!$B$38="pvp",15,MAX(0.1,Skills!E24-IF(Skills!F24=TRUE,Inputs!$B$32,0)))*(1-IF(AND(ArtifactsInput!$M$27,Inputs!$B$4="Chapter Hunt"),CHOOSE(ArtifactsInput!$N$27+1,20,24,28,32,36,40),0)/100)))+1)),0)</f>
        <v/>
      </c>
      <c r="S490">
        <f>IF(C490,(H490*N490*IF(AND(Inputs!$B$38&lt;&gt;"pvp",Inputs!$B$43&gt;0),((Skills!G24*((R490-1)*IF(Skills!H24&gt;0,Skills!I24/Skills!H24,1)+IF(Skills!H24&gt;0,MIN(Skills!I24,MAX(0,MAX(0,Inputs!$B$43-B504)-((R490-1)*(IF(Inputs!$B$38="pvp",15,MAX(0.1,Skills!E24-IF(Skills!F24=TRUE,Inputs!$B$32,0)))*(1-IF(AND(ArtifactsInput!$M$27,Inputs!$B$4="Chapter Hunt"),CHOOSE(ArtifactsInput!$N$27+1,20,24,28,32,36,40),0)/100)))))/Skills!H24,1)))/Inputs!$B$43),G490*Q490)*(1+IF(Inputs!$B$3&gt;=130,0.2*(Skills!I16/Skills!E15+IF(Inputs!$B$3&gt;=126,0.05*(B502+Q479+(H480*B503)/(1+Skills!H14*H480*B503)+Q490)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490*(1-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490*(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490*(1-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490*(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0">
        <f>IF(C490,(H490*N490*IF(AND(Inputs!$B$38&lt;&gt;"pvp",Inputs!$B$43&gt;0),((Skills!G24*((R490-1)*IF(Skills!H24&gt;0,Skills!I24/Skills!H24,1)+IF(Skills!H24&gt;0,MIN(Skills!I24,MAX(0,MAX(0,Inputs!$B$43-B504)-((R490-1)*(IF(Inputs!$B$38="pvp",15,MAX(0.1,Skills!E24-IF(Skills!F24=TRUE,Inputs!$B$32,0)))*(1-IF(AND(ArtifactsInput!$M$27,Inputs!$B$4="Chapter Hunt"),CHOOSE(ArtifactsInput!$N$27+1,20,24,28,32,36,40),0)/100)))))/Skills!H24,1)))/Inputs!$B$43),G490*Q490)*(1+IF(Inputs!$B$3&gt;=130,0.2*(Skills!I16/Skills!E15+IF(Inputs!$B$3&gt;=126,0.05*(B502+Q479+(H480*B503)/(1+Skills!H14*H480*B503)+Q490)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1">
      <c r="A491">
        <f>Skills!A25</f>
        <v/>
      </c>
      <c r="B491">
        <f>Skills!B25</f>
        <v/>
      </c>
      <c r="C491">
        <f>Inputs!$B$3&gt;=117</f>
        <v/>
      </c>
      <c r="D491">
        <f>IF(Skills!C25=1,60+Inputs!$B$25+Inputs!$B$29,IF(Skills!C25=2,90+Inputs!$B$26+Inputs!$B$29,IF(Skills!C25=3,120+Inputs!$B$27+Inputs!$B$29,MAX(0,(Inputs!$B$3-100)*3)+Inputs!$B$28+Inputs!$B$29)))</f>
        <v/>
      </c>
      <c r="E491">
        <f>INDEX(FactorTable!$B$2:$Y$301, MATCH(ROUND(MIN(300,MAX(1,D491)),0), FactorTable!$A$2:$A$301,0), Skills!M25+1)</f>
        <v/>
      </c>
      <c r="F491">
        <f>IF(Skills!N25=TRUE,(Skills!L25/10)*(E491/1000),Skills!L25/10)+Skills!O25</f>
        <v/>
      </c>
      <c r="G491">
        <f>Calc!G25</f>
        <v/>
      </c>
      <c r="H491">
        <f>Calc!H25</f>
        <v/>
      </c>
      <c r="I491">
        <f>IF(Skills!X25&lt;&gt;"",1+(Skills!X25/10)*(Z469/1000)/100,1)</f>
        <v/>
      </c>
      <c r="J491" t="inlineStr"/>
      <c r="K491" t="inlineStr"/>
      <c r="L491" t="inlineStr"/>
      <c r="M491" t="inlineStr"/>
      <c r="N491" t="inlineStr"/>
      <c r="O491">
        <f>(1-Summary!$B$11)*S491+Summary!$B$11*U491</f>
        <v/>
      </c>
      <c r="P491">
        <f>IF(B507=0,0,O491/B507)</f>
        <v/>
      </c>
      <c r="Q491">
        <f>IFERROR(1/(IF(Inputs!$B$38="pvp",15,MAX(0.1,Skills!E25-IF(Skills!F25=TRUE,Inputs!$B$32,0)))*(1-IF(AND(ArtifactsInput!$M$27,Inputs!$B$4="Chapter Hunt"),CHOOSE(ArtifactsInput!$N$27+1,20,24,28,32,36,40),0)/100)),0)</f>
        <v/>
      </c>
      <c r="R491" t="n">
        <v>0</v>
      </c>
      <c r="S491" t="n">
        <v>0</v>
      </c>
      <c r="U491" t="n">
        <v>0</v>
      </c>
    </row>
    <row r="492">
      <c r="A492">
        <f>Skills!A26</f>
        <v/>
      </c>
      <c r="B492">
        <f>Skills!B26</f>
        <v/>
      </c>
      <c r="C492">
        <f>Inputs!$B$3&gt;=120</f>
        <v/>
      </c>
      <c r="D492">
        <f>IF(Skills!C26=1,60+Inputs!$B$25+Inputs!$B$29,IF(Skills!C26=2,90+Inputs!$B$26+Inputs!$B$29,IF(Skills!C26=3,120+Inputs!$B$27+Inputs!$B$29,MAX(0,(Inputs!$B$3-100)*3)+Inputs!$B$28+Inputs!$B$29)))</f>
        <v/>
      </c>
      <c r="E492">
        <f>INDEX(FactorTable!$B$2:$Y$301, MATCH(ROUND(MIN(300,MAX(1,D492)),0), FactorTable!$A$2:$A$301,0), Skills!M26+1)</f>
        <v/>
      </c>
      <c r="F492">
        <f>IF(Skills!N26=TRUE,(Skills!L26/10)*(E492/1000),Skills!L26/10)+Skills!O26</f>
        <v/>
      </c>
      <c r="G492">
        <f>Calc!G26</f>
        <v/>
      </c>
      <c r="H492">
        <f>Calc!H26</f>
        <v/>
      </c>
      <c r="I492">
        <f>IF(Skills!X26&lt;&gt;"",1+(Skills!X26/10)*(Z469/1000)/100,1)</f>
        <v/>
      </c>
      <c r="J492" t="inlineStr"/>
      <c r="K492" t="inlineStr"/>
      <c r="L492" t="inlineStr"/>
      <c r="M492" t="inlineStr"/>
      <c r="N492" t="inlineStr"/>
      <c r="O492">
        <f>(1-Summary!$B$11)*S492+Summary!$B$11*U492</f>
        <v/>
      </c>
      <c r="P492">
        <f>IF(B507=0,0,O492/B507)</f>
        <v/>
      </c>
      <c r="Q492">
        <f>IFERROR(1/(IF(Inputs!$B$38="pvp",15,MAX(0.1,Skills!E26-IF(Skills!F26=TRUE,Inputs!$B$32,0)))*(1-IF(AND(ArtifactsInput!$M$27,Inputs!$B$4="Chapter Hunt"),CHOOSE(ArtifactsInput!$N$27+1,20,24,28,32,36,40),0)/100)),0)</f>
        <v/>
      </c>
      <c r="R492" t="n">
        <v>0</v>
      </c>
      <c r="S492" t="n">
        <v>0</v>
      </c>
      <c r="U492" t="n">
        <v>0</v>
      </c>
    </row>
    <row r="493">
      <c r="A493">
        <f>Skills!A27</f>
        <v/>
      </c>
      <c r="B493">
        <f>Skills!B27</f>
        <v/>
      </c>
      <c r="C493">
        <f>Inputs!$B$3&gt;=125</f>
        <v/>
      </c>
      <c r="D493">
        <f>IF(Skills!C27=1,60+Inputs!$B$25+Inputs!$B$29,IF(Skills!C27=2,90+Inputs!$B$26+Inputs!$B$29,IF(Skills!C27=3,120+Inputs!$B$27+Inputs!$B$29,MAX(0,(Inputs!$B$3-100)*3)+Inputs!$B$28+Inputs!$B$29)))</f>
        <v/>
      </c>
      <c r="E493">
        <f>INDEX(FactorTable!$B$2:$Y$301, MATCH(ROUND(MIN(300,MAX(1,D493)),0), FactorTable!$A$2:$A$301,0), Skills!M27+1)</f>
        <v/>
      </c>
      <c r="F493">
        <f>IF(Skills!N27=TRUE,(Skills!L27/10)*(E493/1000),Skills!L27/10)+Skills!O27</f>
        <v/>
      </c>
      <c r="G493">
        <f>Calc!G27</f>
        <v/>
      </c>
      <c r="H493">
        <f>Calc!H27</f>
        <v/>
      </c>
      <c r="I493">
        <f>IF(Skills!X27&lt;&gt;"",1+(Skills!X27/10)*(Z469/1000)/100,1)</f>
        <v/>
      </c>
      <c r="J493" t="inlineStr"/>
      <c r="K493" t="inlineStr"/>
      <c r="L493" t="inlineStr"/>
      <c r="M493" t="inlineStr"/>
      <c r="N493" t="inlineStr"/>
      <c r="O493">
        <f>(1-Summary!$B$11)*S493+Summary!$B$11*U493</f>
        <v/>
      </c>
      <c r="P493">
        <f>IF(B507=0,0,O493/B507)</f>
        <v/>
      </c>
      <c r="Q493">
        <f>IFERROR(1/(IF(Inputs!$B$38="pvp",15,MAX(0.1,Skills!E27-IF(Skills!F27=TRUE,Inputs!$B$32,0)))*(1-IF(AND(ArtifactsInput!$M$27,Inputs!$B$4="Chapter Hunt"),CHOOSE(ArtifactsInput!$N$27+1,20,24,28,32,36,40),0)/100)),0)</f>
        <v/>
      </c>
      <c r="R493" t="n">
        <v>0</v>
      </c>
      <c r="S493" t="n">
        <v>0</v>
      </c>
      <c r="U493" t="n">
        <v>0</v>
      </c>
    </row>
    <row r="494">
      <c r="A494">
        <f>Skills!A28</f>
        <v/>
      </c>
      <c r="B494">
        <f>Skills!B28</f>
        <v/>
      </c>
      <c r="C494">
        <f>Inputs!$B$3&gt;=118</f>
        <v/>
      </c>
      <c r="D494">
        <f>IF(Skills!C28=1,60+Inputs!$B$25+Inputs!$B$29,IF(Skills!C28=2,90+Inputs!$B$26+Inputs!$B$29,IF(Skills!C28=3,120+Inputs!$B$27+Inputs!$B$29,MAX(0,(Inputs!$B$3-100)*3)+Inputs!$B$28+Inputs!$B$29)))</f>
        <v/>
      </c>
      <c r="E494">
        <f>INDEX(FactorTable!$B$2:$Y$301, MATCH(ROUND(MIN(300,MAX(1,D494)),0), FactorTable!$A$2:$A$301,0), Skills!M28+1)</f>
        <v/>
      </c>
      <c r="F494">
        <f>IF(Skills!N28=TRUE,(Skills!L28/10)*(E494/1000),Skills!L28/10)+Skills!O28</f>
        <v/>
      </c>
      <c r="G494">
        <f>Calc!G28</f>
        <v/>
      </c>
      <c r="H494">
        <f>Calc!H28</f>
        <v/>
      </c>
      <c r="I494">
        <f>IF(Skills!X28&lt;&gt;"",1+(Skills!X28/10)*(Z469/1000)/100,1)</f>
        <v/>
      </c>
      <c r="J494">
        <f>((Inputs!$B$6*(1+Inputs!$B$7/100))+(((Inputs!$B$12*(1+Inputs!$B$13/100))-(Inputs!$B$12*(1+Inputs!$B$13/100)))+0.25*(Inputs!$B$14-Inputs!$B$14))*(1+Inputs!$B$7/100))*(F494/100)</f>
        <v/>
      </c>
      <c r="K494">
        <f>J494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489/100)*(1+IF(Inputs!$B$3&gt;=120,F492,0)/100)^5*(1+(IF(Skills!A28="BASIC_ATTACK",Inputs!$B$17+(((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+1)+(ArtifactsInput!$M$24-ArtifactsInput!$M$24)*CHOOSE(ArtifactsInput!$N$24+1,10,12,14,16,18,20)+IF(ArtifactsInput!$M$10,CHOOSE(ArtifactsInput!$N$10+1,15,18,21,24,27,30)*(IF(Inputs!$B$38="pvp",MIN(15,15)/15,IF(AND(Inputs!$B$38&lt;&gt;"pvp",Inputs!$B$43&gt;0),MIN(15,Inputs!$B$43)/(Inputs!$B$43),0))),0)))&gt;=100),CHOOSE(ArtifactsInput!$N$42+1,40,48,56,64,72,80),0))+IF(Inputs!$B$3&gt;=125,F493*5,0)))/100)*(B496*B497*B498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494)</f>
        <v/>
      </c>
      <c r="L494">
        <f>K494*(MIN(Inputs!$B$22+(F488-Calc!F22),(Inputs!$B$23+(IF(ArtifactsInput!$M$15,CHOOSE(ArtifactsInput!$N$15+1,25,30,35,40,45,50)/100*(Inputs!$B$11-Inputs!$B$11),0))))/100+(Inputs!$B$23+(IF(ArtifactsInput!$M$15,CHOOSE(ArtifactsInput!$N$15+1,25,30,35,40,45,50)/100*(Inputs!$B$11-Inputs!$B$11),0)))/100)/2</f>
        <v/>
      </c>
      <c r="M494">
        <f>L494*(1+(Inputs!$B$10+(F487-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94">
        <f>L494*(1-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494*(MIN(((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4">
        <f>(1-Summary!$B$11)*S494+Summary!$B$11*U494</f>
        <v/>
      </c>
      <c r="P494">
        <f>IF(B507=0,0,O494/B507)</f>
        <v/>
      </c>
      <c r="Q494">
        <f>IFERROR(1/(IF(Inputs!$B$38="pvp",15,MAX(0.1,Skills!E28-IF(Skills!F28=TRUE,Inputs!$B$32,0)))*(1-IF(AND(ArtifactsInput!$M$27,Inputs!$B$4="Chapter Hunt"),CHOOSE(ArtifactsInput!$N$27+1,20,24,28,32,36,40),0)/100)),0)</f>
        <v/>
      </c>
      <c r="R494">
        <f>IF(AND(Inputs!$B$38&lt;&gt;"pvp",Inputs!$B$43&gt;0),IF(MAX(0,Inputs!$B$43-B504)&lt;=0,0,(INT(MAX(0,Inputs!$B$43-B504)/(IF(Inputs!$B$38="pvp",15,MAX(0.1,Skills!E28-IF(Skills!F28=TRUE,Inputs!$B$32,0)))*(1-IF(AND(ArtifactsInput!$M$27,Inputs!$B$4="Chapter Hunt"),CHOOSE(ArtifactsInput!$N$27+1,20,24,28,32,36,40),0)/100)))+1)),0)</f>
        <v/>
      </c>
      <c r="S494">
        <f>IF(C494,(H494*N494*IF(AND(Inputs!$B$38&lt;&gt;"pvp",Inputs!$B$43&gt;0),((Skills!G28*((R494-1)*IF(Skills!H28&gt;0,Skills!I28/Skills!H28,1)+IF(Skills!H28&gt;0,MIN(Skills!I28,MAX(0,MAX(0,Inputs!$B$43-B504)-((R494-1)*(IF(Inputs!$B$38="pvp",15,MAX(0.1,Skills!E28-IF(Skills!F28=TRUE,Inputs!$B$32,0)))*(1-IF(AND(ArtifactsInput!$M$27,Inputs!$B$4="Chapter Hunt"),CHOOSE(ArtifactsInput!$N$27+1,20,24,28,32,36,40),0)/100)))))/Skills!H28,1)))/Inputs!$B$43),G494*Q494)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494*(1-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494*(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494*(1-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494*(MIN(100,((Inputs!$B$9+1)+(F486-Calc!F20)+(ArtifactsInput!$M$24-ArtifactsInput!$M$24)*CHOOSE(ArtifactsInput!$N$24+1,10,12,14,16,18,20)+(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4">
        <f>IF(C494,(H494*N494*IF(AND(Inputs!$B$38&lt;&gt;"pvp",Inputs!$B$43&gt;0),((Skills!G28*((R494-1)*IF(Skills!H28&gt;0,Skills!I28/Skills!H28,1)+IF(Skills!H28&gt;0,MIN(Skills!I28,MAX(0,MAX(0,Inputs!$B$43-B504)-((R494-1)*(IF(Inputs!$B$38="pvp",15,MAX(0.1,Skills!E28-IF(Skills!F28=TRUE,Inputs!$B$32,0)))*(1-IF(AND(ArtifactsInput!$M$27,Inputs!$B$4="Chapter Hunt"),CHOOSE(ArtifactsInput!$N$27+1,20,24,28,32,36,40),0)/100)))))/Skills!H28,1)))/Inputs!$B$43),G494*Q494)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6">
      <c r="A496" t="inlineStr">
        <is>
          <t>Burning Magic Multiplier</t>
        </is>
      </c>
      <c r="B496">
        <f>1+(F477*Skills!Z11)/100</f>
        <v/>
      </c>
    </row>
    <row r="497">
      <c r="A497" t="inlineStr">
        <is>
          <t>Elemental Decrease Multiplier (always-on)</t>
        </is>
      </c>
      <c r="B497">
        <f>1+(F478+(IF(AND(ArtifactsInput!$M$35,Inputs!$B$4&lt;&gt;"Chapter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100</f>
        <v/>
      </c>
    </row>
    <row r="498">
      <c r="A498" t="inlineStr">
        <is>
          <t>Average Buff Multiplier (Magic Guard + Meditation + Artifact Attack%, summed; then Infinity)</t>
        </is>
      </c>
      <c r="B498">
        <f>(1+(F472*IF(AND(Inputs!$B$38&lt;&gt;"pvp",Inputs!$B$43&gt;0),(((R472-1)*(Skills!T6*(1+((Inputs!$B$34+(ArtifactsInput!$M$7-ArtifactsInput!$M$7)*CHOOSE(ArtifactsInput!$N$7+1,6,7.2,8.4,9.6,10.8,12)))/100))+MIN((Skills!T6*(1+((Inputs!$B$34+(ArtifactsInput!$M$7-ArtifactsInput!$M$7)*CHOOSE(ArtifactsInput!$N$7+1,6,7.2,8.4,9.6,10.8,12)))/100)),MAX(0,Inputs!$B$43-((R472-1)*Skills!E6))))/Inputs!$B$43),IF(Inputs!$B$38="pvp",MIN((Skills!T6*(1+((Inputs!$B$34+(ArtifactsInput!$M$7-ArtifactsInput!$M$7)*CHOOSE(ArtifactsInput!$N$7+1,6,7.2,8.4,9.6,10.8,12)))/100)),15)/15,(Skills!T6*(1+((Inputs!$B$34+(ArtifactsInput!$M$7-ArtifactsInput!$M$7)*CHOOSE(ArtifactsInput!$N$7+1,6,7.2,8.4,9.6,10.8,12)))/100))/Skills!E6))+F483*IF(AND(Inputs!$B$38&lt;&gt;"pvp",Inputs!$B$43&gt;0),(((R483-1)*(Skills!T17*(1+((Inputs!$B$34+(ArtifactsInput!$M$7-ArtifactsInput!$M$7)*CHOOSE(ArtifactsInput!$N$7+1,6,7.2,8.4,9.6,10.8,12)))/100))+MIN((Skills!T17*(1+((Inputs!$B$34+(ArtifactsInput!$M$7-ArtifactsInput!$M$7)*CHOOSE(ArtifactsInput!$N$7+1,6,7.2,8.4,9.6,10.8,12)))/100)),MAX(0,Inputs!$B$43-((R483-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485=TRUE,(1+F485*IF(AND(Inputs!$B$38&lt;&gt;"pvp",Inputs!$B$43&gt;0),(((R485-1)*(Skills!T19*(1+((Inputs!$B$34+(ArtifactsInput!$M$7-ArtifactsInput!$M$7)*CHOOSE(ArtifactsInput!$N$7+1,6,7.2,8.4,9.6,10.8,12)))/100))+MIN((Skills!T19*(1+((Inputs!$B$34+(ArtifactsInput!$M$7-ArtifactsInput!$M$7)*CHOOSE(ArtifactsInput!$N$7+1,6,7.2,8.4,9.6,10.8,12)))/100)),MAX(0,Inputs!$B$43-((R485-1)*Skills!E19))))/Inputs!$B$43),IF(Inputs!$B$38="pvp",MIN((Skills!T19*(1+((Inputs!$B$34+(ArtifactsInput!$M$7-ArtifactsInput!$M$7)*CHOOSE(ArtifactsInput!$N$7+1,6,7.2,8.4,9.6,10.8,12)))/100)),15)/15,(Skills!T19*(1+((Inputs!$B$34+(ArtifactsInput!$M$7-ArtifactsInput!$M$7)*CHOOSE(ArtifactsInput!$N$7+1,6,7.2,8.4,9.6,10.8,12)))/100))/Skills!E19))/100),1)</f>
        <v/>
      </c>
    </row>
    <row r="499">
      <c r="A499" t="inlineStr">
        <is>
          <t>Attack Speed Buff Bonus % (Nimble Feet, averaged)</t>
        </is>
      </c>
      <c r="B499">
        <f>F484*IF(AND(Inputs!$B$38&lt;&gt;"pvp",Inputs!$B$43&gt;0),(((R484-1)*(Skills!T18*(1+((Inputs!$B$34+(ArtifactsInput!$M$7-ArtifactsInput!$M$7)*CHOOSE(ArtifactsInput!$N$7+1,6,7.2,8.4,9.6,10.8,12)))/100))+MIN((Skills!T18*(1+((Inputs!$B$34+(ArtifactsInput!$M$7-ArtifactsInput!$M$7)*CHOOSE(ArtifactsInput!$N$7+1,6,7.2,8.4,9.6,10.8,12)))/100)),MAX(0,Inputs!$B$43-((R484-1)*Skills!E18))))/Inputs!$B$43),IF(Inputs!$B$38="pvp",MIN((Skills!T18*(1+((Inputs!$B$34+(ArtifactsInput!$M$7-ArtifactsInput!$M$7)*CHOOSE(ArtifactsInput!$N$7+1,6,7.2,8.4,9.6,10.8,12)))/100)),15)/15,(Skills!T18*(1+((Inputs!$B$34+(ArtifactsInput!$M$7-ArtifactsInput!$M$7)*CHOOSE(ArtifactsInput!$N$7+1,6,7.2,8.4,9.6,10.8,12)))/100))/Skills!E18))</f>
        <v/>
      </c>
    </row>
    <row r="500">
      <c r="A500" t="inlineStr">
        <is>
          <t>Actions Per Second</t>
        </is>
      </c>
      <c r="B500">
        <f>1+MIN(150,150*(1-(1-(Inputs!$B$11+(ArtifactsInput!$M$15-ArtifactsInput!$M$15)*CHOOSE(ArtifactsInput!$N$15+1,8,9.6,11.2,12.8,14.4,16))/150)*(1-B499/150)))/100</f>
        <v/>
      </c>
    </row>
    <row r="501">
      <c r="A501" t="inlineStr">
        <is>
          <t>Skill + Buff Cast Rate</t>
        </is>
      </c>
      <c r="B501">
        <f>IF(AND(Inputs!$B$38&lt;&gt;"pvp",Inputs!$B$43&gt;0),SUMPRODUCT((Skills!F2:F28=TRUE)*(C468:C494=TRUE)*R468:R494)/Inputs!$B$43,SUMPRODUCT((Skills!F2:F28=TRUE)*(C468:C494=TRUE)*Q468:Q494))</f>
        <v/>
      </c>
    </row>
    <row r="502">
      <c r="A502" t="inlineStr">
        <is>
          <t>Basic Attacks Per Second</t>
        </is>
      </c>
      <c r="B502">
        <f>MAX(0,B500-B501)</f>
        <v/>
      </c>
    </row>
    <row r="503">
      <c r="A503" t="inlineStr">
        <is>
          <t>Meteor Proc — combined trigger cast rate</t>
        </is>
      </c>
      <c r="B503">
        <f>IF(AND(Inputs!$B$38&lt;&gt;"pvp",Inputs!$B$43&gt;0),SUMPRODUCT((Skills!V2:V28=TRUE)*(C468:C494=TRUE)*R468:R494*Skills!W2:W28)/Inputs!$B$43,SUMPRODUCT((Skills!V2:V28=TRUE)*(C468:C494=TRUE)*Q468:Q494*Skills!W2:W28))+B502</f>
        <v/>
      </c>
    </row>
    <row r="504">
      <c r="A504" t="inlineStr">
        <is>
          <t>Buff-Casting Startup Delay (s, fixed-duration only)</t>
        </is>
      </c>
      <c r="B504">
        <f>IF(AND(Inputs!$B$38&lt;&gt;"pvp",Inputs!$B$43&gt;0),SUMPRODUCT((Skills!T2:T28&gt;0)*(Skills!F2:F28=TRUE)*(C468:C494=TRUE))/B500,0)</f>
        <v/>
      </c>
    </row>
    <row r="505">
      <c r="A505" t="inlineStr">
        <is>
          <t>Boss-Only Total DPS (this block's swept value)</t>
        </is>
      </c>
      <c r="B505">
        <f>SUM(S468:S494)</f>
        <v/>
      </c>
    </row>
    <row r="506">
      <c r="A506" t="inlineStr">
        <is>
          <t>Normal-Only Total DPS (this block's swept value)</t>
        </is>
      </c>
      <c r="B506">
        <f>SUM(U468:U494)</f>
        <v/>
      </c>
    </row>
    <row r="507">
      <c r="A507" s="6" t="inlineStr">
        <is>
          <t>TOTAL DPS</t>
        </is>
      </c>
      <c r="B507" s="6">
        <f>SUM(O468:O494)</f>
        <v/>
      </c>
    </row>
    <row r="510">
      <c r="A510" s="6" t="inlineStr">
        <is>
          <t>Stat: CRIT_DAMAGE %</t>
        </is>
      </c>
    </row>
    <row r="511">
      <c r="A511" s="5" t="inlineStr">
        <is>
          <t>Key</t>
        </is>
      </c>
      <c r="B511" s="5" t="inlineStr">
        <is>
          <t>Name</t>
        </is>
      </c>
      <c r="C511" s="5" t="inlineStr">
        <is>
          <t>Unlocked</t>
        </is>
      </c>
      <c r="D511" s="5" t="inlineStr">
        <is>
          <t>InputLevel</t>
        </is>
      </c>
      <c r="E511" s="5" t="inlineStr">
        <is>
          <t>Factor</t>
        </is>
      </c>
      <c r="F511" s="5" t="inlineStr">
        <is>
          <t>CoefficientPercent</t>
        </is>
      </c>
      <c r="G511" s="5" t="inlineStr">
        <is>
          <t>EffectiveHits</t>
        </is>
      </c>
      <c r="H511" s="5" t="inlineStr">
        <is>
          <t>ProcProbability</t>
        </is>
      </c>
      <c r="I511" s="5" t="inlineStr">
        <is>
          <t>MapleHeroMultiplier</t>
        </is>
      </c>
      <c r="J511" s="5" t="inlineStr">
        <is>
          <t>BaseDamage</t>
        </is>
      </c>
      <c r="K511" s="5" t="inlineStr">
        <is>
          <t>BaseHitDamage</t>
        </is>
      </c>
      <c r="L511" s="5" t="inlineStr">
        <is>
          <t>NonCritAvg</t>
        </is>
      </c>
      <c r="M511" s="5" t="inlineStr">
        <is>
          <t>CritAvg</t>
        </is>
      </c>
      <c r="N511" s="5" t="inlineStr">
        <is>
          <t>ExpectedDamage(perHit)</t>
        </is>
      </c>
      <c r="O511" s="5" t="inlineStr">
        <is>
          <t>DPS</t>
        </is>
      </c>
      <c r="P511" s="5" t="inlineStr">
        <is>
          <t>% of Total</t>
        </is>
      </c>
      <c r="R511" t="inlineStr">
        <is>
          <t>helpers</t>
        </is>
      </c>
    </row>
    <row r="512">
      <c r="A512">
        <f>Skills!A2</f>
        <v/>
      </c>
      <c r="B512">
        <f>Skills!B2</f>
        <v/>
      </c>
      <c r="C512">
        <f>TRUE</f>
        <v/>
      </c>
      <c r="D512" t="inlineStr"/>
      <c r="E512" t="inlineStr"/>
      <c r="F512">
        <f>T514+Skills!O2</f>
        <v/>
      </c>
      <c r="G512">
        <f>Calc!G2</f>
        <v/>
      </c>
      <c r="H512">
        <f>Calc!H2</f>
        <v/>
      </c>
      <c r="I512">
        <f>IF(Skills!X2&lt;&gt;"",1+(Skills!X2/10)*(Z513/1000)/100,1)</f>
        <v/>
      </c>
      <c r="J512">
        <f>((Inputs!$B$6*(1+Inputs!$B$7/100))+(((Inputs!$B$12*(1+Inputs!$B$13/100))-(Inputs!$B$12*(1+Inputs!$B$13/100)))+0.25*(Inputs!$B$14-Inputs!$B$14))*(1+Inputs!$B$7/100))*(F512/100)</f>
        <v/>
      </c>
      <c r="K512">
        <f>J512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512)</f>
        <v/>
      </c>
      <c r="L512">
        <f>K512*(MIN(Inputs!$B$22+(F532-Calc!F22),(Inputs!$B$23+(IF(ArtifactsInput!$M$15,CHOOSE(ArtifactsInput!$N$15+1,25,30,35,40,45,50)/100*(Inputs!$B$11-Inputs!$B$11),0))))/100+(Inputs!$B$23+(IF(ArtifactsInput!$M$15,CHOOSE(ArtifactsInput!$N$15+1,25,30,35,40,45,50)/100*(Inputs!$B$11-Inputs!$B$11),0)))/100)/2</f>
        <v/>
      </c>
      <c r="M512">
        <f>L512*(1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2">
        <f>L512*(1-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512*(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2">
        <f>(1-Summary!$B$11)*S512+Summary!$B$11*U512</f>
        <v/>
      </c>
      <c r="P512">
        <f>IF(B551=0,0,O512/B551)</f>
        <v/>
      </c>
      <c r="Q512">
        <f>IFERROR(1/(IF(Inputs!$B$38="pvp",15,MAX(0.1,Skills!E2-IF(Skills!F2=TRUE,Inputs!$B$32,0)))*(1-IF(AND(ArtifactsInput!$M$27,Inputs!$B$4="Chapter Hunt"),CHOOSE(ArtifactsInput!$N$27+1,20,24,28,32,36,40),0)/100)),0)</f>
        <v/>
      </c>
      <c r="R512" t="n">
        <v>0</v>
      </c>
      <c r="S512">
        <f>(Skills!G2*N512*B546)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512*(1-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512*(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512*(1-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512*(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512">
        <f>MAX(0,(Inputs!$B$3-100)*3)+Inputs!$B$28+Inputs!$B$29</f>
        <v/>
      </c>
      <c r="U512">
        <f>(Skills!G2*N512*B546)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512">
        <f>MAX(0,(Inputs!$B$3-100)*3)+Inputs!$B$28+Inputs!$B$29</f>
        <v/>
      </c>
    </row>
    <row r="513">
      <c r="A513">
        <f>Skills!A3</f>
        <v/>
      </c>
      <c r="B513">
        <f>Skills!B3</f>
        <v/>
      </c>
      <c r="C513">
        <f>TRUE</f>
        <v/>
      </c>
      <c r="D513">
        <f>IF(Skills!C3=1,60+Inputs!$B$25+Inputs!$B$29,IF(Skills!C3=2,90+Inputs!$B$26+Inputs!$B$29,IF(Skills!C3=3,120+Inputs!$B$27+Inputs!$B$29,MAX(0,(Inputs!$B$3-100)*3)+Inputs!$B$28+Inputs!$B$29)))</f>
        <v/>
      </c>
      <c r="E513">
        <f>INDEX(FactorTable!$B$2:$Y$301, MATCH(ROUND(MIN(300,MAX(1,D513)),0), FactorTable!$A$2:$A$301,0), Skills!M3+1)</f>
        <v/>
      </c>
      <c r="F513">
        <f>IF(Skills!N3=TRUE,(Skills!L3/10)*(E513/1000),Skills!L3/10)+Skills!O3</f>
        <v/>
      </c>
      <c r="G513">
        <f>Calc!G3</f>
        <v/>
      </c>
      <c r="H513">
        <f>Calc!H3</f>
        <v/>
      </c>
      <c r="I513">
        <f>IF(Skills!X3&lt;&gt;"",1+(Skills!X3/10)*(Z513/1000)/100,1)</f>
        <v/>
      </c>
      <c r="J513">
        <f>((Inputs!$B$6*(1+Inputs!$B$7/100))+(((Inputs!$B$12*(1+Inputs!$B$13/100))-(Inputs!$B$12*(1+Inputs!$B$13/100)))+0.25*(Inputs!$B$14-Inputs!$B$14))*(1+Inputs!$B$7/100))*(F513/100)</f>
        <v/>
      </c>
      <c r="K513">
        <f>J513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513)</f>
        <v/>
      </c>
      <c r="L513">
        <f>K513*(MIN(Inputs!$B$22+(F532-Calc!F22),(Inputs!$B$23+(IF(ArtifactsInput!$M$15,CHOOSE(ArtifactsInput!$N$15+1,25,30,35,40,45,50)/100*(Inputs!$B$11-Inputs!$B$11),0))))/100+(Inputs!$B$23+(IF(ArtifactsInput!$M$15,CHOOSE(ArtifactsInput!$N$15+1,25,30,35,40,45,50)/100*(Inputs!$B$11-Inputs!$B$11),0)))/100)/2</f>
        <v/>
      </c>
      <c r="M513">
        <f>L513*(1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3">
        <f>L513*(1-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513*(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3">
        <f>(1-Summary!$B$11)*S513+Summary!$B$11*U513</f>
        <v/>
      </c>
      <c r="P513">
        <f>IF(B551=0,0,O513/B551)</f>
        <v/>
      </c>
      <c r="Q513">
        <f>IFERROR(1/(IF(Inputs!$B$38="pvp",15,MAX(0.1,Skills!E3-IF(Skills!F3=TRUE,Inputs!$B$32,0)))*(1-IF(AND(ArtifactsInput!$M$27,Inputs!$B$4="Chapter Hunt"),CHOOSE(ArtifactsInput!$N$27+1,20,24,28,32,36,40),0)/100)),0)</f>
        <v/>
      </c>
      <c r="R513">
        <f>IF(AND(Inputs!$B$38&lt;&gt;"pvp",Inputs!$B$43&gt;0),IF(MAX(0,Inputs!$B$43-B548)&lt;=0,0,(INT(MAX(0,Inputs!$B$43-B548)/(IF(Inputs!$B$38="pvp",15,MAX(0.1,Skills!E3-IF(Skills!F3=TRUE,Inputs!$B$32,0)))*(1-IF(AND(ArtifactsInput!$M$27,Inputs!$B$4="Chapter Hunt"),CHOOSE(ArtifactsInput!$N$27+1,20,24,28,32,36,40),0)/100)))+1)),0)</f>
        <v/>
      </c>
      <c r="S513">
        <f>IF(C513,(H513*N513*IF(AND(Inputs!$B$38&lt;&gt;"pvp",Inputs!$B$43&gt;0),((Skills!G3*((R513-1)*IF(Skills!H3&gt;0,Skills!I3/Skills!H3,1)+IF(Skills!H3&gt;0,MIN(Skills!I3,MAX(0,MAX(0,Inputs!$B$43-B548)-((R513-1)*(IF(Inputs!$B$38="pvp",15,MAX(0.1,Skills!E3-IF(Skills!F3=TRUE,Inputs!$B$32,0)))*(1-IF(AND(ArtifactsInput!$M$27,Inputs!$B$4="Chapter Hunt"),CHOOSE(ArtifactsInput!$N$27+1,20,24,28,32,36,40),0)/100)))))/Skills!H3,1)))/Inputs!$B$43),G513*Q513)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513*(1-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513*(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513*(1-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513*(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513">
        <f>INDEX(FactorTable!$B$2:$Y$301, MATCH(ROUND(MIN(300,MAX(1,T512)),0), FactorTable!$A$2:$A$301,0), 22)</f>
        <v/>
      </c>
      <c r="U513">
        <f>IF(C513,(H513*N513*IF(AND(Inputs!$B$38&lt;&gt;"pvp",Inputs!$B$43&gt;0),((Skills!G3*((R513-1)*IF(Skills!H3&gt;0,Skills!I3/Skills!H3,1)+IF(Skills!H3&gt;0,MIN(Skills!I3,MAX(0,MAX(0,Inputs!$B$43-B548)-((R513-1)*(IF(Inputs!$B$38="pvp",15,MAX(0.1,Skills!E3-IF(Skills!F3=TRUE,Inputs!$B$32,0)))*(1-IF(AND(ArtifactsInput!$M$27,Inputs!$B$4="Chapter Hunt"),CHOOSE(ArtifactsInput!$N$27+1,20,24,28,32,36,40),0)/100)))))/Skills!H3,1)))/Inputs!$B$43),G513*Q513)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513">
        <f>INDEX(FactorTable!$B$2:$Y$301, MATCH(ROUND(MIN(300,MAX(1,Z512)),0), FactorTable!$A$2:$A$301,0), 24)</f>
        <v/>
      </c>
    </row>
    <row r="514">
      <c r="A514">
        <f>Skills!A4</f>
        <v/>
      </c>
      <c r="B514">
        <f>Skills!B4</f>
        <v/>
      </c>
      <c r="C514">
        <f>TRUE</f>
        <v/>
      </c>
      <c r="D514">
        <f>IF(Skills!C4=1,60+Inputs!$B$25+Inputs!$B$29,IF(Skills!C4=2,90+Inputs!$B$26+Inputs!$B$29,IF(Skills!C4=3,120+Inputs!$B$27+Inputs!$B$29,MAX(0,(Inputs!$B$3-100)*3)+Inputs!$B$28+Inputs!$B$29)))</f>
        <v/>
      </c>
      <c r="E514">
        <f>INDEX(FactorTable!$B$2:$Y$301, MATCH(ROUND(MIN(300,MAX(1,D514)),0), FactorTable!$A$2:$A$301,0), Skills!M4+1)</f>
        <v/>
      </c>
      <c r="F514">
        <f>IF(Skills!N4=TRUE,(Skills!L4/10)*(E514/1000),Skills!L4/10)+Skills!O4</f>
        <v/>
      </c>
      <c r="G514">
        <f>Calc!G4</f>
        <v/>
      </c>
      <c r="H514">
        <f>Calc!H4</f>
        <v/>
      </c>
      <c r="I514">
        <f>IF(Skills!X4&lt;&gt;"",1+(Skills!X4/10)*(Z513/1000)/100,1)</f>
        <v/>
      </c>
      <c r="J514">
        <f>((Inputs!$B$6*(1+Inputs!$B$7/100))+(((Inputs!$B$12*(1+Inputs!$B$13/100))-(Inputs!$B$12*(1+Inputs!$B$13/100)))+0.25*(Inputs!$B$14-Inputs!$B$14))*(1+Inputs!$B$7/100))*(F514/100)</f>
        <v/>
      </c>
      <c r="K514">
        <f>J514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514)</f>
        <v/>
      </c>
      <c r="L514">
        <f>K514*(MIN(Inputs!$B$22+(F532-Calc!F22),(Inputs!$B$23+(IF(ArtifactsInput!$M$15,CHOOSE(ArtifactsInput!$N$15+1,25,30,35,40,45,50)/100*(Inputs!$B$11-Inputs!$B$11),0))))/100+(Inputs!$B$23+(IF(ArtifactsInput!$M$15,CHOOSE(ArtifactsInput!$N$15+1,25,30,35,40,45,50)/100*(Inputs!$B$11-Inputs!$B$11),0)))/100)/2</f>
        <v/>
      </c>
      <c r="M514">
        <f>L514*(1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4">
        <f>L514*(1-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514*(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4">
        <f>(1-Summary!$B$11)*S514+Summary!$B$11*U514</f>
        <v/>
      </c>
      <c r="P514">
        <f>IF(B551=0,0,O514/B551)</f>
        <v/>
      </c>
      <c r="Q514">
        <f>IFERROR(1/(IF(Inputs!$B$38="pvp",15,MAX(0.1,Skills!E4-IF(Skills!F4=TRUE,Inputs!$B$32,0)))*(1-IF(AND(ArtifactsInput!$M$27,Inputs!$B$4="Chapter Hunt"),CHOOSE(ArtifactsInput!$N$27+1,20,24,28,32,36,40),0)/100)),0)</f>
        <v/>
      </c>
      <c r="R514">
        <f>IF(AND(Inputs!$B$38&lt;&gt;"pvp",Inputs!$B$43&gt;0),IF(MAX(0,Inputs!$B$43-B548)&lt;=0,0,(INT(MAX(0,Inputs!$B$43-B548)/(IF(Inputs!$B$38="pvp",15,MAX(0.1,Skills!E4-IF(Skills!F4=TRUE,Inputs!$B$32,0)))*(1-IF(AND(ArtifactsInput!$M$27,Inputs!$B$4="Chapter Hunt"),CHOOSE(ArtifactsInput!$N$27+1,20,24,28,32,36,40),0)/100)))+1)),0)</f>
        <v/>
      </c>
      <c r="S514">
        <f>IF(C514,(H514*N514*IF(AND(Inputs!$B$38&lt;&gt;"pvp",Inputs!$B$43&gt;0),((Skills!G4*((R514-1)*IF(Skills!H4&gt;0,Skills!I4/Skills!H4,1)+IF(Skills!H4&gt;0,MIN(Skills!I4,MAX(0,MAX(0,Inputs!$B$43-B548)-((R514-1)*(IF(Inputs!$B$38="pvp",15,MAX(0.1,Skills!E4-IF(Skills!F4=TRUE,Inputs!$B$32,0)))*(1-IF(AND(ArtifactsInput!$M$27,Inputs!$B$4="Chapter Hunt"),CHOOSE(ArtifactsInput!$N$27+1,20,24,28,32,36,40),0)/100)))))/Skills!H4,1)))/Inputs!$B$43),G514*Q514)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514*(1-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514*(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514*(1-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514*(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514">
        <f>290*T513/1000</f>
        <v/>
      </c>
      <c r="U514">
        <f>IF(C514,(H514*N514*IF(AND(Inputs!$B$38&lt;&gt;"pvp",Inputs!$B$43&gt;0),((Skills!G4*((R514-1)*IF(Skills!H4&gt;0,Skills!I4/Skills!H4,1)+IF(Skills!H4&gt;0,MIN(Skills!I4,MAX(0,MAX(0,Inputs!$B$43-B548)-((R514-1)*(IF(Inputs!$B$38="pvp",15,MAX(0.1,Skills!E4-IF(Skills!F4=TRUE,Inputs!$B$32,0)))*(1-IF(AND(ArtifactsInput!$M$27,Inputs!$B$4="Chapter Hunt"),CHOOSE(ArtifactsInput!$N$27+1,20,24,28,32,36,40),0)/100)))))/Skills!H4,1)))/Inputs!$B$43),G514*Q514)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5">
      <c r="A515">
        <f>Skills!A5</f>
        <v/>
      </c>
      <c r="B515">
        <f>Skills!B5</f>
        <v/>
      </c>
      <c r="C515">
        <f>TRUE</f>
        <v/>
      </c>
      <c r="D515">
        <f>IF(Skills!C5=1,60+Inputs!$B$25+Inputs!$B$29,IF(Skills!C5=2,90+Inputs!$B$26+Inputs!$B$29,IF(Skills!C5=3,120+Inputs!$B$27+Inputs!$B$29,MAX(0,(Inputs!$B$3-100)*3)+Inputs!$B$28+Inputs!$B$29)))</f>
        <v/>
      </c>
      <c r="E515">
        <f>INDEX(FactorTable!$B$2:$Y$301, MATCH(ROUND(MIN(300,MAX(1,D515)),0), FactorTable!$A$2:$A$301,0), Skills!M5+1)</f>
        <v/>
      </c>
      <c r="F515">
        <f>IF(Skills!N5=TRUE,(Skills!L5/10)*(E515/1000),Skills!L5/10)+Skills!O5</f>
        <v/>
      </c>
      <c r="G515">
        <f>Calc!G5</f>
        <v/>
      </c>
      <c r="H515">
        <f>Calc!H5</f>
        <v/>
      </c>
      <c r="I515">
        <f>IF(Skills!X5&lt;&gt;"",1+(Skills!X5/10)*(Z513/1000)/100,1)</f>
        <v/>
      </c>
      <c r="J515">
        <f>((Inputs!$B$6*(1+Inputs!$B$7/100))+(((Inputs!$B$12*(1+Inputs!$B$13/100))-(Inputs!$B$12*(1+Inputs!$B$13/100)))+0.25*(Inputs!$B$14-Inputs!$B$14))*(1+Inputs!$B$7/100))*(F515/100)</f>
        <v/>
      </c>
      <c r="K515">
        <f>J515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515)</f>
        <v/>
      </c>
      <c r="L515">
        <f>K515*(MIN(Inputs!$B$22+(F532-Calc!F22),(Inputs!$B$23+(IF(ArtifactsInput!$M$15,CHOOSE(ArtifactsInput!$N$15+1,25,30,35,40,45,50)/100*(Inputs!$B$11-Inputs!$B$11),0))))/100+(Inputs!$B$23+(IF(ArtifactsInput!$M$15,CHOOSE(ArtifactsInput!$N$15+1,25,30,35,40,45,50)/100*(Inputs!$B$11-Inputs!$B$11),0)))/100)/2</f>
        <v/>
      </c>
      <c r="M515">
        <f>L515*(1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5">
        <f>L515*(1-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515*(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5">
        <f>(1-Summary!$B$11)*S515+Summary!$B$11*U515</f>
        <v/>
      </c>
      <c r="P515">
        <f>IF(B551=0,0,O515/B551)</f>
        <v/>
      </c>
      <c r="Q515">
        <f>IFERROR(1/(IF(Inputs!$B$38="pvp",15,MAX(0.1,Skills!E5-IF(Skills!F5=TRUE,Inputs!$B$32,0)))*(1-IF(AND(ArtifactsInput!$M$27,Inputs!$B$4="Chapter Hunt"),CHOOSE(ArtifactsInput!$N$27+1,20,24,28,32,36,40),0)/100)),0)</f>
        <v/>
      </c>
      <c r="R515">
        <f>IF(AND(Inputs!$B$38&lt;&gt;"pvp",Inputs!$B$43&gt;0),IF(MAX(0,Inputs!$B$43-B548)&lt;=0,0,(INT(MAX(0,Inputs!$B$43-B548)/(IF(Inputs!$B$38="pvp",15,MAX(0.1,Skills!E5-IF(Skills!F5=TRUE,Inputs!$B$32,0)))*(1-IF(AND(ArtifactsInput!$M$27,Inputs!$B$4="Chapter Hunt"),CHOOSE(ArtifactsInput!$N$27+1,20,24,28,32,36,40),0)/100)))+1)),0)</f>
        <v/>
      </c>
      <c r="S515">
        <f>IF(C515,(H515*N515*IF(AND(Inputs!$B$38&lt;&gt;"pvp",Inputs!$B$43&gt;0),((Skills!G5*((R515-1)*IF(Skills!H5&gt;0,Skills!I5/Skills!H5,1)+IF(Skills!H5&gt;0,MIN(Skills!I5,MAX(0,MAX(0,Inputs!$B$43-B548)-((R515-1)*(IF(Inputs!$B$38="pvp",15,MAX(0.1,Skills!E5-IF(Skills!F5=TRUE,Inputs!$B$32,0)))*(1-IF(AND(ArtifactsInput!$M$27,Inputs!$B$4="Chapter Hunt"),CHOOSE(ArtifactsInput!$N$27+1,20,24,28,32,36,40),0)/100)))))/Skills!H5,1)))/Inputs!$B$43),G515*Q515)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515*(1-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515*(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515*(1-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515*(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15">
        <f>IF(C515,(H515*N515*IF(AND(Inputs!$B$38&lt;&gt;"pvp",Inputs!$B$43&gt;0),((Skills!G5*((R515-1)*IF(Skills!H5&gt;0,Skills!I5/Skills!H5,1)+IF(Skills!H5&gt;0,MIN(Skills!I5,MAX(0,MAX(0,Inputs!$B$43-B548)-((R515-1)*(IF(Inputs!$B$38="pvp",15,MAX(0.1,Skills!E5-IF(Skills!F5=TRUE,Inputs!$B$32,0)))*(1-IF(AND(ArtifactsInput!$M$27,Inputs!$B$4="Chapter Hunt"),CHOOSE(ArtifactsInput!$N$27+1,20,24,28,32,36,40),0)/100)))))/Skills!H5,1)))/Inputs!$B$43),G515*Q515)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6">
      <c r="A516">
        <f>Skills!A6</f>
        <v/>
      </c>
      <c r="B516">
        <f>Skills!B6</f>
        <v/>
      </c>
      <c r="C516">
        <f>TRUE</f>
        <v/>
      </c>
      <c r="D516">
        <f>IF(Skills!C6=1,60+Inputs!$B$25+Inputs!$B$29,IF(Skills!C6=2,90+Inputs!$B$26+Inputs!$B$29,IF(Skills!C6=3,120+Inputs!$B$27+Inputs!$B$29,MAX(0,(Inputs!$B$3-100)*3)+Inputs!$B$28+Inputs!$B$29)))</f>
        <v/>
      </c>
      <c r="E516">
        <f>INDEX(FactorTable!$B$2:$Y$301, MATCH(ROUND(MIN(300,MAX(1,D516)),0), FactorTable!$A$2:$A$301,0), Skills!M6+1)</f>
        <v/>
      </c>
      <c r="F516">
        <f>IF(Skills!N6=TRUE,(Skills!L6/10)*(E516/1000),Skills!L6/10)+Skills!O6</f>
        <v/>
      </c>
      <c r="G516">
        <f>Calc!G6</f>
        <v/>
      </c>
      <c r="H516">
        <f>Calc!H6</f>
        <v/>
      </c>
      <c r="I516">
        <f>IF(Skills!X6&lt;&gt;"",1+(Skills!X6/10)*(Z513/1000)/100,1)</f>
        <v/>
      </c>
      <c r="J516" t="inlineStr"/>
      <c r="K516" t="inlineStr"/>
      <c r="L516" t="inlineStr"/>
      <c r="M516" t="inlineStr"/>
      <c r="N516" t="inlineStr"/>
      <c r="O516">
        <f>(1-Summary!$B$11)*S516+Summary!$B$11*U516</f>
        <v/>
      </c>
      <c r="P516">
        <f>IF(B551=0,0,O516/B551)</f>
        <v/>
      </c>
      <c r="Q516">
        <f>IFERROR(1/(IF(Inputs!$B$38="pvp",15,MAX(0.1,Skills!E6-IF(Skills!F6=TRUE,Inputs!$B$32,0)))*(1-IF(AND(ArtifactsInput!$M$27,Inputs!$B$4="Chapter Hunt"),CHOOSE(ArtifactsInput!$N$27+1,20,24,28,32,36,40),0)/100)),0)</f>
        <v/>
      </c>
      <c r="R516">
        <f>IF(AND(Inputs!$B$38&lt;&gt;"pvp",Inputs!$B$43&gt;0),IF(Inputs!$B$43&lt;=0,0,(INT(Inputs!$B$43/(IF(Inputs!$B$38="pvp",15,MAX(0.1,Skills!E6-IF(Skills!F6=TRUE,Inputs!$B$32,0)))*(1-IF(AND(ArtifactsInput!$M$27,Inputs!$B$4="Chapter Hunt"),CHOOSE(ArtifactsInput!$N$27+1,20,24,28,32,36,40),0)/100)))+1)),0)</f>
        <v/>
      </c>
      <c r="S516" t="n">
        <v>0</v>
      </c>
      <c r="U516" t="n">
        <v>0</v>
      </c>
    </row>
    <row r="517">
      <c r="A517">
        <f>Skills!A7</f>
        <v/>
      </c>
      <c r="B517">
        <f>Skills!B7</f>
        <v/>
      </c>
      <c r="C517">
        <f>TRUE</f>
        <v/>
      </c>
      <c r="D517">
        <f>IF(Skills!C7=1,60+Inputs!$B$25+Inputs!$B$29,IF(Skills!C7=2,90+Inputs!$B$26+Inputs!$B$29,IF(Skills!C7=3,120+Inputs!$B$27+Inputs!$B$29,MAX(0,(Inputs!$B$3-100)*3)+Inputs!$B$28+Inputs!$B$29)))</f>
        <v/>
      </c>
      <c r="E517">
        <f>INDEX(FactorTable!$B$2:$Y$301, MATCH(ROUND(MIN(300,MAX(1,D517)),0), FactorTable!$A$2:$A$301,0), Skills!M7+1)</f>
        <v/>
      </c>
      <c r="F517">
        <f>IF(Skills!N7=TRUE,(Skills!L7/10)*(E517/1000),Skills!L7/10)+Skills!O7</f>
        <v/>
      </c>
      <c r="G517">
        <f>Calc!G7</f>
        <v/>
      </c>
      <c r="H517">
        <f>Calc!H7</f>
        <v/>
      </c>
      <c r="I517">
        <f>IF(Skills!X7&lt;&gt;"",1+(Skills!X7/10)*(Z513/1000)/100,1)</f>
        <v/>
      </c>
      <c r="J517">
        <f>((Inputs!$B$6*(1+Inputs!$B$7/100))+(((Inputs!$B$12*(1+Inputs!$B$13/100))-(Inputs!$B$12*(1+Inputs!$B$13/100)))+0.25*(Inputs!$B$14-Inputs!$B$14))*(1+Inputs!$B$7/100))*(F517/100)</f>
        <v/>
      </c>
      <c r="K517">
        <f>J517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517)</f>
        <v/>
      </c>
      <c r="L517">
        <f>K517*(MIN(Inputs!$B$22+(F532-Calc!F22),(Inputs!$B$23+(IF(ArtifactsInput!$M$15,CHOOSE(ArtifactsInput!$N$15+1,25,30,35,40,45,50)/100*(Inputs!$B$11-Inputs!$B$11),0))))/100+(Inputs!$B$23+(IF(ArtifactsInput!$M$15,CHOOSE(ArtifactsInput!$N$15+1,25,30,35,40,45,50)/100*(Inputs!$B$11-Inputs!$B$11),0)))/100)/2</f>
        <v/>
      </c>
      <c r="M517">
        <f>L517*(1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7">
        <f>L517*(1-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517*(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7">
        <f>(1-Summary!$B$11)*S517+Summary!$B$11*U517</f>
        <v/>
      </c>
      <c r="P517">
        <f>IF(B551=0,0,O517/B551)</f>
        <v/>
      </c>
      <c r="Q517">
        <f>IFERROR(1/(IF(Inputs!$B$38="pvp",15,MAX(0.1,Skills!E7-IF(Skills!F7=TRUE,Inputs!$B$32,0)))*(1-IF(AND(ArtifactsInput!$M$27,Inputs!$B$4="Chapter Hunt"),CHOOSE(ArtifactsInput!$N$27+1,20,24,28,32,36,40),0)/100)),0)</f>
        <v/>
      </c>
      <c r="R517">
        <f>IF(AND(Inputs!$B$38&lt;&gt;"pvp",Inputs!$B$43&gt;0),IF(MAX(0,Inputs!$B$43-B548)&lt;=0,0,(INT(MAX(0,Inputs!$B$43-B548)/(IF(Inputs!$B$38="pvp",15,MAX(0.1,Skills!E7-IF(Skills!F7=TRUE,Inputs!$B$32,0)))*(1-IF(AND(ArtifactsInput!$M$27,Inputs!$B$4="Chapter Hunt"),CHOOSE(ArtifactsInput!$N$27+1,20,24,28,32,36,40),0)/100)))+1)),0)</f>
        <v/>
      </c>
      <c r="S517">
        <f>IF(C517,(H517*N517*IF(AND(Inputs!$B$38&lt;&gt;"pvp",Inputs!$B$43&gt;0),((Skills!G7*((R517-1)*IF(Skills!H7&gt;0,Skills!I7/Skills!H7,1)+IF(Skills!H7&gt;0,MIN(Skills!I7,MAX(0,MAX(0,Inputs!$B$43-B548)-((R517-1)*(IF(Inputs!$B$38="pvp",15,MAX(0.1,Skills!E7-IF(Skills!F7=TRUE,Inputs!$B$32,0)))*(1-IF(AND(ArtifactsInput!$M$27,Inputs!$B$4="Chapter Hunt"),CHOOSE(ArtifactsInput!$N$27+1,20,24,28,32,36,40),0)/100)))))/Skills!H7,1)))/Inputs!$B$43),G517*Q517)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517*(1-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517*(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517*(1-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517*(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17">
        <f>IF(C517,(H517*N517*IF(AND(Inputs!$B$38&lt;&gt;"pvp",Inputs!$B$43&gt;0),((Skills!G7*((R517-1)*IF(Skills!H7&gt;0,Skills!I7/Skills!H7,1)+IF(Skills!H7&gt;0,MIN(Skills!I7,MAX(0,MAX(0,Inputs!$B$43-B548)-((R517-1)*(IF(Inputs!$B$38="pvp",15,MAX(0.1,Skills!E7-IF(Skills!F7=TRUE,Inputs!$B$32,0)))*(1-IF(AND(ArtifactsInput!$M$27,Inputs!$B$4="Chapter Hunt"),CHOOSE(ArtifactsInput!$N$27+1,20,24,28,32,36,40),0)/100)))))/Skills!H7,1)))/Inputs!$B$43),G517*Q517)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8">
      <c r="A518">
        <f>Skills!A8</f>
        <v/>
      </c>
      <c r="B518">
        <f>Skills!B8</f>
        <v/>
      </c>
      <c r="C518">
        <f>TRUE</f>
        <v/>
      </c>
      <c r="D518">
        <f>IF(Skills!C8=1,60+Inputs!$B$25+Inputs!$B$29,IF(Skills!C8=2,90+Inputs!$B$26+Inputs!$B$29,IF(Skills!C8=3,120+Inputs!$B$27+Inputs!$B$29,MAX(0,(Inputs!$B$3-100)*3)+Inputs!$B$28+Inputs!$B$29)))</f>
        <v/>
      </c>
      <c r="E518">
        <f>INDEX(FactorTable!$B$2:$Y$301, MATCH(ROUND(MIN(300,MAX(1,D518)),0), FactorTable!$A$2:$A$301,0), Skills!M8+1)</f>
        <v/>
      </c>
      <c r="F518">
        <f>IF(Skills!N8=TRUE,(Skills!L8/10)*(E518/1000),Skills!L8/10)+Skills!O8</f>
        <v/>
      </c>
      <c r="G518">
        <f>Calc!G8</f>
        <v/>
      </c>
      <c r="H518">
        <f>Calc!H8</f>
        <v/>
      </c>
      <c r="I518">
        <f>IF(Skills!X8&lt;&gt;"",1+(Skills!X8/10)*(Z513/1000)/100,1)</f>
        <v/>
      </c>
      <c r="J518">
        <f>((Inputs!$B$6*(1+Inputs!$B$7/100))+(((Inputs!$B$12*(1+Inputs!$B$13/100))-(Inputs!$B$12*(1+Inputs!$B$13/100)))+0.25*(Inputs!$B$14-Inputs!$B$14))*(1+Inputs!$B$7/100))*(F518/100)</f>
        <v/>
      </c>
      <c r="K518">
        <f>J518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518)</f>
        <v/>
      </c>
      <c r="L518">
        <f>K518*(MIN(Inputs!$B$22+(F532-Calc!F22),(Inputs!$B$23+(IF(ArtifactsInput!$M$15,CHOOSE(ArtifactsInput!$N$15+1,25,30,35,40,45,50)/100*(Inputs!$B$11-Inputs!$B$11),0))))/100+(Inputs!$B$23+(IF(ArtifactsInput!$M$15,CHOOSE(ArtifactsInput!$N$15+1,25,30,35,40,45,50)/100*(Inputs!$B$11-Inputs!$B$11),0)))/100)/2</f>
        <v/>
      </c>
      <c r="M518">
        <f>L518*(1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8">
        <f>L518*(1-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518*(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8">
        <f>(1-Summary!$B$11)*S518+Summary!$B$11*U518</f>
        <v/>
      </c>
      <c r="P518">
        <f>IF(B551=0,0,O518/B551)</f>
        <v/>
      </c>
      <c r="Q518">
        <f>IFERROR(1/(IF(Inputs!$B$38="pvp",15,MAX(0.1,Skills!E8-IF(Skills!F8=TRUE,Inputs!$B$32,0)))*(1-IF(AND(ArtifactsInput!$M$27,Inputs!$B$4="Chapter Hunt"),CHOOSE(ArtifactsInput!$N$27+1,20,24,28,32,36,40),0)/100)),0)</f>
        <v/>
      </c>
      <c r="R518">
        <f>IF(AND(Inputs!$B$38&lt;&gt;"pvp",Inputs!$B$43&gt;0),IF(MAX(0,Inputs!$B$43-B548)&lt;=0,0,(INT(MAX(0,Inputs!$B$43-B548)/(IF(Inputs!$B$38="pvp",15,MAX(0.1,Skills!E8-IF(Skills!F8=TRUE,Inputs!$B$32,0)))*(1-IF(AND(ArtifactsInput!$M$27,Inputs!$B$4="Chapter Hunt"),CHOOSE(ArtifactsInput!$N$27+1,20,24,28,32,36,40),0)/100)))+1)),0)</f>
        <v/>
      </c>
      <c r="S518">
        <f>IF(C518,(H518*N518*IF(AND(Inputs!$B$38&lt;&gt;"pvp",Inputs!$B$43&gt;0),((Skills!G8*((R518-1)*IF(Skills!H8&gt;0,Skills!I8/Skills!H8,1)+IF(Skills!H8&gt;0,MIN(Skills!I8,MAX(0,MAX(0,Inputs!$B$43-B548)-((R518-1)*(IF(Inputs!$B$38="pvp",15,MAX(0.1,Skills!E8-IF(Skills!F8=TRUE,Inputs!$B$32,0)))*(1-IF(AND(ArtifactsInput!$M$27,Inputs!$B$4="Chapter Hunt"),CHOOSE(ArtifactsInput!$N$27+1,20,24,28,32,36,40),0)/100)))))/Skills!H8,1)))/Inputs!$B$43),G518*Q518)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518*(1-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518*(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518*(1-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518*(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18">
        <f>IF(C518,(H518*N518*IF(AND(Inputs!$B$38&lt;&gt;"pvp",Inputs!$B$43&gt;0),((Skills!G8*((R518-1)*IF(Skills!H8&gt;0,Skills!I8/Skills!H8,1)+IF(Skills!H8&gt;0,MIN(Skills!I8,MAX(0,MAX(0,Inputs!$B$43-B548)-((R518-1)*(IF(Inputs!$B$38="pvp",15,MAX(0.1,Skills!E8-IF(Skills!F8=TRUE,Inputs!$B$32,0)))*(1-IF(AND(ArtifactsInput!$M$27,Inputs!$B$4="Chapter Hunt"),CHOOSE(ArtifactsInput!$N$27+1,20,24,28,32,36,40),0)/100)))))/Skills!H8,1)))/Inputs!$B$43),G518*Q518)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9">
      <c r="A519">
        <f>Skills!A9</f>
        <v/>
      </c>
      <c r="B519">
        <f>Skills!B9</f>
        <v/>
      </c>
      <c r="C519">
        <f>Inputs!$B$3&gt;=103</f>
        <v/>
      </c>
      <c r="D519">
        <f>IF(Skills!C9=1,60+Inputs!$B$25+Inputs!$B$29,IF(Skills!C9=2,90+Inputs!$B$26+Inputs!$B$29,IF(Skills!C9=3,120+Inputs!$B$27+Inputs!$B$29,MAX(0,(Inputs!$B$3-100)*3)+Inputs!$B$28+Inputs!$B$29)))</f>
        <v/>
      </c>
      <c r="E519">
        <f>INDEX(FactorTable!$B$2:$Y$301, MATCH(ROUND(MIN(300,MAX(1,D519)),0), FactorTable!$A$2:$A$301,0), Skills!M9+1)</f>
        <v/>
      </c>
      <c r="F519">
        <f>IF(Skills!N9=TRUE,(Skills!L9/10)*(E519/1000),Skills!L9/10)+Skills!O9</f>
        <v/>
      </c>
      <c r="G519">
        <f>Calc!G9</f>
        <v/>
      </c>
      <c r="H519">
        <f>Calc!H9</f>
        <v/>
      </c>
      <c r="I519">
        <f>IF(Skills!X9&lt;&gt;"",1+(Skills!X9/10)*(Z513/1000)/100,1)</f>
        <v/>
      </c>
      <c r="J519">
        <f>((Inputs!$B$6*(1+Inputs!$B$7/100))+(((Inputs!$B$12*(1+Inputs!$B$13/100))-(Inputs!$B$12*(1+Inputs!$B$13/100)))+0.25*(Inputs!$B$14-Inputs!$B$14))*(1+Inputs!$B$7/100))*(F519/100)</f>
        <v/>
      </c>
      <c r="K519">
        <f>J519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519)</f>
        <v/>
      </c>
      <c r="L519">
        <f>K519*(MIN(Inputs!$B$22+(F532-Calc!F22),(Inputs!$B$23+(IF(ArtifactsInput!$M$15,CHOOSE(ArtifactsInput!$N$15+1,25,30,35,40,45,50)/100*(Inputs!$B$11-Inputs!$B$11),0))))/100+(Inputs!$B$23+(IF(ArtifactsInput!$M$15,CHOOSE(ArtifactsInput!$N$15+1,25,30,35,40,45,50)/100*(Inputs!$B$11-Inputs!$B$11),0)))/100)/2</f>
        <v/>
      </c>
      <c r="M519">
        <f>L519*(1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9">
        <f>L519*(1-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519*(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9">
        <f>(1-Summary!$B$11)*S519+Summary!$B$11*U519</f>
        <v/>
      </c>
      <c r="P519">
        <f>IF(B551=0,0,O519/B551)</f>
        <v/>
      </c>
      <c r="Q519">
        <f>IFERROR(1/(IF(Inputs!$B$38="pvp",15,MAX(0.1,Skills!E9-IF(Skills!F7=TRUE,Inputs!$B$32,0)))*(1-IF(AND(ArtifactsInput!$M$27,Inputs!$B$4="Chapter Hunt"),CHOOSE(ArtifactsInput!$N$27+1,20,24,28,32,36,40),0)/100)),0)</f>
        <v/>
      </c>
      <c r="R519">
        <f>IF(AND(Inputs!$B$38&lt;&gt;"pvp",Inputs!$B$43&gt;0),IF(MAX(0,Inputs!$B$43-B548)&lt;=0,0,(INT(MAX(0,Inputs!$B$43-B548)/(IF(Inputs!$B$38="pvp",15,MAX(0.1,Skills!E9-IF(Skills!F7=TRUE,Inputs!$B$32,0)))*(1-IF(AND(ArtifactsInput!$M$27,Inputs!$B$4="Chapter Hunt"),CHOOSE(ArtifactsInput!$N$27+1,20,24,28,32,36,40),0)/100)))+1)),0)</f>
        <v/>
      </c>
      <c r="S519">
        <f>IF(C519,(H519*N519*IF(AND(Inputs!$B$38&lt;&gt;"pvp",Inputs!$B$43&gt;0),((Skills!G9*((R519-1)*IF(Skills!H9&gt;0,Skills!I9/Skills!H9,1)+IF(Skills!H9&gt;0,MIN(Skills!I9,MAX(0,MAX(0,Inputs!$B$43-B548)-((R519-1)*(IF(Inputs!$B$38="pvp",15,MAX(0.1,Skills!E9-IF(Skills!F7=TRUE,Inputs!$B$32,0)))*(1-IF(AND(ArtifactsInput!$M$27,Inputs!$B$4="Chapter Hunt"),CHOOSE(ArtifactsInput!$N$27+1,20,24,28,32,36,40),0)/100)))))/Skills!H9,1)))/Inputs!$B$43),G519*Q519)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519*(1-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519*(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519*(1-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519*(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19">
        <f>IF(C519,(H519*N519*IF(AND(Inputs!$B$38&lt;&gt;"pvp",Inputs!$B$43&gt;0),((Skills!G9*((R519-1)*IF(Skills!H9&gt;0,Skills!I9/Skills!H9,1)+IF(Skills!H9&gt;0,MIN(Skills!I9,MAX(0,MAX(0,Inputs!$B$43-B548)-((R519-1)*(IF(Inputs!$B$38="pvp",15,MAX(0.1,Skills!E9-IF(Skills!F7=TRUE,Inputs!$B$32,0)))*(1-IF(AND(ArtifactsInput!$M$27,Inputs!$B$4="Chapter Hunt"),CHOOSE(ArtifactsInput!$N$27+1,20,24,28,32,36,40),0)/100)))))/Skills!H9,1)))/Inputs!$B$43),G519*Q519)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0">
      <c r="A520">
        <f>Skills!A10</f>
        <v/>
      </c>
      <c r="B520">
        <f>Skills!B10</f>
        <v/>
      </c>
      <c r="C520">
        <f>TRUE</f>
        <v/>
      </c>
      <c r="D520">
        <f>IF(Skills!C10=1,60+Inputs!$B$25+Inputs!$B$29,IF(Skills!C10=2,90+Inputs!$B$26+Inputs!$B$29,IF(Skills!C10=3,120+Inputs!$B$27+Inputs!$B$29,MAX(0,(Inputs!$B$3-100)*3)+Inputs!$B$28+Inputs!$B$29)))</f>
        <v/>
      </c>
      <c r="E520">
        <f>INDEX(FactorTable!$B$2:$Y$301, MATCH(ROUND(MIN(300,MAX(1,D520)),0), FactorTable!$A$2:$A$301,0), Skills!M10+1)</f>
        <v/>
      </c>
      <c r="F520">
        <f>IF(Skills!N10=TRUE,(Skills!L10/10)*(E520/1000),Skills!L10/10)+Skills!O10</f>
        <v/>
      </c>
      <c r="G520">
        <f>Calc!G10</f>
        <v/>
      </c>
      <c r="H520">
        <f>Calc!H10</f>
        <v/>
      </c>
      <c r="I520">
        <f>IF(Skills!X10&lt;&gt;"",1+(Skills!X10/10)*(Z513/1000)/100,1)</f>
        <v/>
      </c>
      <c r="J520">
        <f>((Inputs!$B$6*(1+Inputs!$B$7/100))+(((Inputs!$B$12*(1+Inputs!$B$13/100))-(Inputs!$B$12*(1+Inputs!$B$13/100)))+0.25*(Inputs!$B$14-Inputs!$B$14))*(1+Inputs!$B$7/100))*(F520/100)</f>
        <v/>
      </c>
      <c r="K520">
        <f>J520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520)</f>
        <v/>
      </c>
      <c r="L520">
        <f>K520*(MIN(Inputs!$B$22+(F532-Calc!F22),(Inputs!$B$23+(IF(ArtifactsInput!$M$15,CHOOSE(ArtifactsInput!$N$15+1,25,30,35,40,45,50)/100*(Inputs!$B$11-Inputs!$B$11),0))))/100+(Inputs!$B$23+(IF(ArtifactsInput!$M$15,CHOOSE(ArtifactsInput!$N$15+1,25,30,35,40,45,50)/100*(Inputs!$B$11-Inputs!$B$11),0)))/100)/2</f>
        <v/>
      </c>
      <c r="M520">
        <f>L520*(1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0">
        <f>L520*(1-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520*(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0">
        <f>(1-Summary!$B$11)*S520+Summary!$B$11*U520</f>
        <v/>
      </c>
      <c r="P520">
        <f>IF(B551=0,0,O520/B551)</f>
        <v/>
      </c>
      <c r="Q520">
        <f>IFERROR(1/(IF(Inputs!$B$38="pvp",15,MAX(0.1,Skills!E10-IF(Skills!F10=TRUE,Inputs!$B$32,0)))*(1-IF(AND(ArtifactsInput!$M$27,Inputs!$B$4="Chapter Hunt"),CHOOSE(ArtifactsInput!$N$27+1,20,24,28,32,36,40),0)/100)),0)</f>
        <v/>
      </c>
      <c r="R520">
        <f>IF(AND(Inputs!$B$38&lt;&gt;"pvp",Inputs!$B$43&gt;0),IF(MAX(0,Inputs!$B$43-B548)&lt;=0,0,(INT(MAX(0,Inputs!$B$43-B548)/(IF(Inputs!$B$38="pvp",15,MAX(0.1,Skills!E10-IF(Skills!F10=TRUE,Inputs!$B$32,0)))*(1-IF(AND(ArtifactsInput!$M$27,Inputs!$B$4="Chapter Hunt"),CHOOSE(ArtifactsInput!$N$27+1,20,24,28,32,36,40),0)/100)))+1)),0)</f>
        <v/>
      </c>
      <c r="S520">
        <f>IF(C520,(H520*N520*IF(AND(Inputs!$B$38&lt;&gt;"pvp",Inputs!$B$43&gt;0),((Skills!G10*((R520-1)*IF(Skills!H10&gt;0,Skills!I10/Skills!H10,1)+IF(Skills!H10&gt;0,MIN(Skills!I10,MAX(0,MAX(0,Inputs!$B$43-B548)-((R520-1)*(IF(Inputs!$B$38="pvp",15,MAX(0.1,Skills!E10-IF(Skills!F10=TRUE,Inputs!$B$32,0)))*(1-IF(AND(ArtifactsInput!$M$27,Inputs!$B$4="Chapter Hunt"),CHOOSE(ArtifactsInput!$N$27+1,20,24,28,32,36,40),0)/100)))))/Skills!H10,1)))/Inputs!$B$43),G520*Q520)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520*(1-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520*(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520*(1-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520*(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0">
        <f>IF(C520,(H520*N520*IF(AND(Inputs!$B$38&lt;&gt;"pvp",Inputs!$B$43&gt;0),((Skills!G10*((R520-1)*IF(Skills!H10&gt;0,Skills!I10/Skills!H10,1)+IF(Skills!H10&gt;0,MIN(Skills!I10,MAX(0,MAX(0,Inputs!$B$43-B548)-((R520-1)*(IF(Inputs!$B$38="pvp",15,MAX(0.1,Skills!E10-IF(Skills!F10=TRUE,Inputs!$B$32,0)))*(1-IF(AND(ArtifactsInput!$M$27,Inputs!$B$4="Chapter Hunt"),CHOOSE(ArtifactsInput!$N$27+1,20,24,28,32,36,40),0)/100)))))/Skills!H10,1)))/Inputs!$B$43),G520*Q520)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1">
      <c r="A521">
        <f>Skills!A11</f>
        <v/>
      </c>
      <c r="B521">
        <f>Skills!B11</f>
        <v/>
      </c>
      <c r="C521">
        <f>TRUE</f>
        <v/>
      </c>
      <c r="D521">
        <f>IF(Skills!C11=1,60+Inputs!$B$25+Inputs!$B$29,IF(Skills!C11=2,90+Inputs!$B$26+Inputs!$B$29,IF(Skills!C11=3,120+Inputs!$B$27+Inputs!$B$29,MAX(0,(Inputs!$B$3-100)*3)+Inputs!$B$28+Inputs!$B$29)))</f>
        <v/>
      </c>
      <c r="E521">
        <f>INDEX(FactorTable!$B$2:$Y$301, MATCH(ROUND(MIN(300,MAX(1,D521)),0), FactorTable!$A$2:$A$301,0), Skills!M11+1)</f>
        <v/>
      </c>
      <c r="F521">
        <f>IF(Skills!N11=TRUE,(Skills!L11/10)*(E521/1000),Skills!L11/10)+Skills!O11</f>
        <v/>
      </c>
      <c r="G521">
        <f>Calc!G11</f>
        <v/>
      </c>
      <c r="H521">
        <f>Calc!H11</f>
        <v/>
      </c>
      <c r="I521">
        <f>IF(Skills!X11&lt;&gt;"",1+(Skills!X11/10)*(Z513/1000)/100,1)</f>
        <v/>
      </c>
      <c r="J521" t="inlineStr"/>
      <c r="K521" t="inlineStr"/>
      <c r="L521" t="inlineStr"/>
      <c r="M521" t="inlineStr"/>
      <c r="N521" t="inlineStr"/>
      <c r="O521">
        <f>(1-Summary!$B$11)*S521+Summary!$B$11*U521</f>
        <v/>
      </c>
      <c r="P521">
        <f>IF(B551=0,0,O521/B551)</f>
        <v/>
      </c>
      <c r="Q521">
        <f>IFERROR(1/(IF(Inputs!$B$38="pvp",15,MAX(0.1,Skills!E11-IF(Skills!F11=TRUE,Inputs!$B$32,0)))*(1-IF(AND(ArtifactsInput!$M$27,Inputs!$B$4="Chapter Hunt"),CHOOSE(ArtifactsInput!$N$27+1,20,24,28,32,36,40),0)/100)),0)</f>
        <v/>
      </c>
      <c r="R521" t="n">
        <v>0</v>
      </c>
      <c r="S521" t="n">
        <v>0</v>
      </c>
      <c r="U521" t="n">
        <v>0</v>
      </c>
    </row>
    <row r="522">
      <c r="A522">
        <f>Skills!A12</f>
        <v/>
      </c>
      <c r="B522">
        <f>Skills!B12</f>
        <v/>
      </c>
      <c r="C522">
        <f>TRUE</f>
        <v/>
      </c>
      <c r="D522">
        <f>IF(Skills!C12=1,60+Inputs!$B$25+Inputs!$B$29,IF(Skills!C12=2,90+Inputs!$B$26+Inputs!$B$29,IF(Skills!C12=3,120+Inputs!$B$27+Inputs!$B$29,MAX(0,(Inputs!$B$3-100)*3)+Inputs!$B$28+Inputs!$B$29)))</f>
        <v/>
      </c>
      <c r="E522">
        <f>INDEX(FactorTable!$B$2:$Y$301, MATCH(ROUND(MIN(300,MAX(1,D522)),0), FactorTable!$A$2:$A$301,0), Skills!M12+1)</f>
        <v/>
      </c>
      <c r="F522">
        <f>IF(Skills!N12=TRUE,(Skills!L12/10)*(E522/1000),Skills!L12/10)+Skills!O12</f>
        <v/>
      </c>
      <c r="G522">
        <f>Calc!G12</f>
        <v/>
      </c>
      <c r="H522">
        <f>Calc!H12</f>
        <v/>
      </c>
      <c r="I522">
        <f>IF(Skills!X12&lt;&gt;"",1+(Skills!X12/10)*(Z513/1000)/100,1)</f>
        <v/>
      </c>
      <c r="J522" t="inlineStr"/>
      <c r="K522" t="inlineStr"/>
      <c r="L522" t="inlineStr"/>
      <c r="M522" t="inlineStr"/>
      <c r="N522" t="inlineStr"/>
      <c r="O522">
        <f>(1-Summary!$B$11)*S522+Summary!$B$11*U522</f>
        <v/>
      </c>
      <c r="P522">
        <f>IF(B551=0,0,O522/B551)</f>
        <v/>
      </c>
      <c r="Q522">
        <f>IFERROR(1/(IF(Inputs!$B$38="pvp",15,MAX(0.1,Skills!E12-IF(Skills!F12=TRUE,Inputs!$B$32,0)))*(1-IF(AND(ArtifactsInput!$M$27,Inputs!$B$4="Chapter Hunt"),CHOOSE(ArtifactsInput!$N$27+1,20,24,28,32,36,40),0)/100)),0)</f>
        <v/>
      </c>
      <c r="R522" t="n">
        <v>0</v>
      </c>
      <c r="S522" t="n">
        <v>0</v>
      </c>
      <c r="U522" t="n">
        <v>0</v>
      </c>
    </row>
    <row r="523">
      <c r="A523">
        <f>Skills!A13</f>
        <v/>
      </c>
      <c r="B523">
        <f>Skills!B13</f>
        <v/>
      </c>
      <c r="C523">
        <f>Inputs!$B$3&gt;=105</f>
        <v/>
      </c>
      <c r="D523">
        <f>IF(Skills!C13=1,60+Inputs!$B$25+Inputs!$B$29,IF(Skills!C13=2,90+Inputs!$B$26+Inputs!$B$29,IF(Skills!C13=3,120+Inputs!$B$27+Inputs!$B$29,MAX(0,(Inputs!$B$3-100)*3)+Inputs!$B$28+Inputs!$B$29)))</f>
        <v/>
      </c>
      <c r="E523">
        <f>INDEX(FactorTable!$B$2:$Y$301, MATCH(ROUND(MIN(300,MAX(1,D523)),0), FactorTable!$A$2:$A$301,0), Skills!M13+1)</f>
        <v/>
      </c>
      <c r="F523">
        <f>IF(Skills!N13=TRUE,(Skills!L13/10)*(E523/1000),Skills!L13/10)+Skills!O13</f>
        <v/>
      </c>
      <c r="G523">
        <f>Calc!G13</f>
        <v/>
      </c>
      <c r="H523">
        <f>Calc!H13</f>
        <v/>
      </c>
      <c r="I523">
        <f>IF(Skills!X13&lt;&gt;"",1+(Skills!X13/10)*(Z513/1000)/100,1)</f>
        <v/>
      </c>
      <c r="J523">
        <f>((Inputs!$B$6*(1+Inputs!$B$7/100))+(((Inputs!$B$12*(1+Inputs!$B$13/100))-(Inputs!$B$12*(1+Inputs!$B$13/100)))+0.25*(Inputs!$B$14-Inputs!$B$14))*(1+Inputs!$B$7/100))*(F523/100)</f>
        <v/>
      </c>
      <c r="K523">
        <f>J523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523)</f>
        <v/>
      </c>
      <c r="L523">
        <f>K523*(MIN(Inputs!$B$22+(F532-Calc!F22),(Inputs!$B$23+(IF(ArtifactsInput!$M$15,CHOOSE(ArtifactsInput!$N$15+1,25,30,35,40,45,50)/100*(Inputs!$B$11-Inputs!$B$11),0))))/100+(Inputs!$B$23+(IF(ArtifactsInput!$M$15,CHOOSE(ArtifactsInput!$N$15+1,25,30,35,40,45,50)/100*(Inputs!$B$11-Inputs!$B$11),0)))/100)/2</f>
        <v/>
      </c>
      <c r="M523">
        <f>L523*(1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3">
        <f>L523*(1-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523*(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3">
        <f>(1-Summary!$B$11)*S523+Summary!$B$11*U523</f>
        <v/>
      </c>
      <c r="P523">
        <f>IF(B551=0,0,O523/B551)</f>
        <v/>
      </c>
      <c r="Q523">
        <f>IFERROR(1/(IF(Inputs!$B$38="pvp",15,MAX(0.1,Skills!E13-IF(Skills!F13=TRUE,Inputs!$B$32,0)))*(1-IF(AND(ArtifactsInput!$M$27,Inputs!$B$4="Chapter Hunt"),CHOOSE(ArtifactsInput!$N$27+1,20,24,28,32,36,40),0)/100)),0)</f>
        <v/>
      </c>
      <c r="R523">
        <f>IF(AND(Inputs!$B$38&lt;&gt;"pvp",Inputs!$B$43&gt;0),IF(MAX(0,Inputs!$B$43-B548)&lt;=0,0,(INT(MAX(0,Inputs!$B$43-B548)/(IF(Inputs!$B$38="pvp",15,MAX(0.1,Skills!E13-IF(Skills!F13=TRUE,Inputs!$B$32,0)))*(1-IF(AND(ArtifactsInput!$M$27,Inputs!$B$4="Chapter Hunt"),CHOOSE(ArtifactsInput!$N$27+1,20,24,28,32,36,40),0)/100)))+1)),0)</f>
        <v/>
      </c>
      <c r="S523">
        <f>IF(C523,(H523*N523*IF(AND(Inputs!$B$38&lt;&gt;"pvp",Inputs!$B$43&gt;0),((Skills!G13*((R523-1)*IF(Skills!H13&gt;0,Skills!I13/Skills!H13,1)+IF(Skills!H13&gt;0,MIN(Skills!I13,MAX(0,MAX(0,Inputs!$B$43-B548)-((R523-1)*(IF(Inputs!$B$38="pvp",15,MAX(0.1,Skills!E13-IF(Skills!F13=TRUE,Inputs!$B$32,0)))*(1-IF(AND(ArtifactsInput!$M$27,Inputs!$B$4="Chapter Hunt"),CHOOSE(ArtifactsInput!$N$27+1,20,24,28,32,36,40),0)/100)))))/Skills!H13,1)))/Inputs!$B$43),G523*Q523)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523*(1-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523*(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523*(1-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523*(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3">
        <f>IF(C523,(H523*N523*IF(AND(Inputs!$B$38&lt;&gt;"pvp",Inputs!$B$43&gt;0),((Skills!G13*((R523-1)*IF(Skills!H13&gt;0,Skills!I13/Skills!H13,1)+IF(Skills!H13&gt;0,MIN(Skills!I13,MAX(0,MAX(0,Inputs!$B$43-B548)-((R523-1)*(IF(Inputs!$B$38="pvp",15,MAX(0.1,Skills!E13-IF(Skills!F13=TRUE,Inputs!$B$32,0)))*(1-IF(AND(ArtifactsInput!$M$27,Inputs!$B$4="Chapter Hunt"),CHOOSE(ArtifactsInput!$N$27+1,20,24,28,32,36,40),0)/100)))))/Skills!H13,1)))/Inputs!$B$43),G523*Q523)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4">
      <c r="A524">
        <f>Skills!A14</f>
        <v/>
      </c>
      <c r="B524">
        <f>Skills!B14</f>
        <v/>
      </c>
      <c r="C524">
        <f>Inputs!$B$3&gt;=113</f>
        <v/>
      </c>
      <c r="D524">
        <f>IF(Skills!C14=1,60+Inputs!$B$25+Inputs!$B$29,IF(Skills!C14=2,90+Inputs!$B$26+Inputs!$B$29,IF(Skills!C14=3,120+Inputs!$B$27+Inputs!$B$29,MAX(0,(Inputs!$B$3-100)*3)+Inputs!$B$28+Inputs!$B$29)))</f>
        <v/>
      </c>
      <c r="E524">
        <f>INDEX(FactorTable!$B$2:$Y$301, MATCH(ROUND(MIN(300,MAX(1,D524)),0), FactorTable!$A$2:$A$301,0), Skills!M14+1)</f>
        <v/>
      </c>
      <c r="F524">
        <f>IF(Skills!N14=TRUE,(Skills!L14/10)*(E524/1000),Skills!L14/10)+Skills!O14</f>
        <v/>
      </c>
      <c r="G524">
        <f>Calc!G14</f>
        <v/>
      </c>
      <c r="H524">
        <f>Calc!H14</f>
        <v/>
      </c>
      <c r="I524">
        <f>IF(Skills!X14&lt;&gt;"",1+(Skills!X14/10)*(Z513/1000)/100,1)</f>
        <v/>
      </c>
      <c r="J524">
        <f>((Inputs!$B$6*(1+Inputs!$B$7/100))+(((Inputs!$B$12*(1+Inputs!$B$13/100))-(Inputs!$B$12*(1+Inputs!$B$13/100)))+0.25*(Inputs!$B$14-Inputs!$B$14))*(1+Inputs!$B$7/100))*(F524/100)</f>
        <v/>
      </c>
      <c r="K524">
        <f>J524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524)</f>
        <v/>
      </c>
      <c r="L524">
        <f>K524*(MIN(Inputs!$B$22+(F532-Calc!F22),(Inputs!$B$23+(IF(ArtifactsInput!$M$15,CHOOSE(ArtifactsInput!$N$15+1,25,30,35,40,45,50)/100*(Inputs!$B$11-Inputs!$B$11),0))))/100+(Inputs!$B$23+(IF(ArtifactsInput!$M$15,CHOOSE(ArtifactsInput!$N$15+1,25,30,35,40,45,50)/100*(Inputs!$B$11-Inputs!$B$11),0)))/100)/2</f>
        <v/>
      </c>
      <c r="M524">
        <f>L524*(1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4">
        <f>L524*(1-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524*(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4">
        <f>(1-Summary!$B$11)*S524+Summary!$B$11*U524</f>
        <v/>
      </c>
      <c r="P524">
        <f>IF(B551=0,0,O524/B551)</f>
        <v/>
      </c>
      <c r="Q524">
        <f>IFERROR(1/(IF(Inputs!$B$38="pvp",15,MAX(0.1,Skills!E14-IF(Skills!F14=TRUE,Inputs!$B$32,0)))*(1-IF(AND(ArtifactsInput!$M$27,Inputs!$B$4="Chapter Hunt"),CHOOSE(ArtifactsInput!$N$27+1,20,24,28,32,36,40),0)/100)),0)</f>
        <v/>
      </c>
      <c r="R524" t="n">
        <v>0</v>
      </c>
      <c r="S524">
        <f>IF(C524,((H524*B547)/(1+Skills!H14*H524*B547)*N524)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524*(1-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524*(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524*(1-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524*(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4">
        <f>IF(C524,((H524*B547)/(1+Skills!H14*H524*B547)*N524)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5">
      <c r="A525">
        <f>Skills!A15</f>
        <v/>
      </c>
      <c r="B525">
        <f>Skills!B15</f>
        <v/>
      </c>
      <c r="C525">
        <f>Inputs!$B$3&gt;=107</f>
        <v/>
      </c>
      <c r="D525">
        <f>IF(Skills!C15=1,60+Inputs!$B$25+Inputs!$B$29,IF(Skills!C15=2,90+Inputs!$B$26+Inputs!$B$29,IF(Skills!C15=3,120+Inputs!$B$27+Inputs!$B$29,MAX(0,(Inputs!$B$3-100)*3)+Inputs!$B$28+Inputs!$B$29)))</f>
        <v/>
      </c>
      <c r="E525">
        <f>INDEX(FactorTable!$B$2:$Y$301, MATCH(ROUND(MIN(300,MAX(1,D525)),0), FactorTable!$A$2:$A$301,0), Skills!M15+1)</f>
        <v/>
      </c>
      <c r="F525">
        <f>IF(Skills!N15=TRUE,(Skills!L15/10)*(E525/1000),Skills!L15/10)+Skills!O15</f>
        <v/>
      </c>
      <c r="G525">
        <f>Calc!G15</f>
        <v/>
      </c>
      <c r="H525">
        <f>Calc!H15</f>
        <v/>
      </c>
      <c r="I525">
        <f>IF(Skills!X15&lt;&gt;"",1+(Skills!X15/10)*(Z513/1000)/100,1)</f>
        <v/>
      </c>
      <c r="J525">
        <f>((Inputs!$B$6*(1+Inputs!$B$7/100))+(((Inputs!$B$12*(1+Inputs!$B$13/100))-(Inputs!$B$12*(1+Inputs!$B$13/100)))+0.25*(Inputs!$B$14-Inputs!$B$14))*(1+Inputs!$B$7/100))*(F525/100)</f>
        <v/>
      </c>
      <c r="K525">
        <f>J525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525)</f>
        <v/>
      </c>
      <c r="L525">
        <f>K525*(MIN(Inputs!$B$22+(F532-Calc!F22),(Inputs!$B$23+(IF(ArtifactsInput!$M$15,CHOOSE(ArtifactsInput!$N$15+1,25,30,35,40,45,50)/100*(Inputs!$B$11-Inputs!$B$11),0))))/100+(Inputs!$B$23+(IF(ArtifactsInput!$M$15,CHOOSE(ArtifactsInput!$N$15+1,25,30,35,40,45,50)/100*(Inputs!$B$11-Inputs!$B$11),0)))/100)/2</f>
        <v/>
      </c>
      <c r="M525">
        <f>L525*(1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5">
        <f>L525*(1-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525*(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5">
        <f>(1-Summary!$B$11)*S525+Summary!$B$11*U525</f>
        <v/>
      </c>
      <c r="P525">
        <f>IF(B551=0,0,O525/B551)</f>
        <v/>
      </c>
      <c r="Q525">
        <f>IFERROR(1/(IF(Inputs!$B$38="pvp",15,MAX(0.1,Skills!E15-IF(Skills!F15=TRUE,Inputs!$B$32,0)))*(1-IF(AND(ArtifactsInput!$M$27,Inputs!$B$4="Chapter Hunt"),CHOOSE(ArtifactsInput!$N$27+1,20,24,28,32,36,40),0)/100)),0)</f>
        <v/>
      </c>
      <c r="R525">
        <f>IF(AND(Inputs!$B$38&lt;&gt;"pvp",Inputs!$B$43&gt;0),IF(MAX(0,Inputs!$B$43-B548)&lt;=0,0,(INT(MAX(0,Inputs!$B$43-B548)/(IF(Inputs!$B$38="pvp",15,MAX(0.1,Skills!E15-IF(Skills!F15=TRUE,Inputs!$B$32,0)))*(1-IF(AND(ArtifactsInput!$M$27,Inputs!$B$4="Chapter Hunt"),CHOOSE(ArtifactsInput!$N$27+1,20,24,28,32,36,40),0)/100)))+1)),0)</f>
        <v/>
      </c>
      <c r="S525">
        <f>IF(C525,(H525*N525*IF(AND(Inputs!$B$38&lt;&gt;"pvp",Inputs!$B$43&gt;0),((Skills!G15*((R525-1)*IF(Skills!H15&gt;0,Skills!I15/Skills!H15,1)+IF(Skills!H15&gt;0,MIN(Skills!I15,MAX(0,MAX(0,Inputs!$B$43-B548)-((R525-1)*(IF(Inputs!$B$38="pvp",15,MAX(0.1,Skills!E15-IF(Skills!F15=TRUE,Inputs!$B$32,0)))*(1-IF(AND(ArtifactsInput!$M$27,Inputs!$B$4="Chapter Hunt"),CHOOSE(ArtifactsInput!$N$27+1,20,24,28,32,36,40),0)/100)))))/Skills!H15,1)))/Inputs!$B$43),G525*Q525)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525*(1-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525*(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525*(1-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525*(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5">
        <f>IF(C525,(H525*N525*IF(AND(Inputs!$B$38&lt;&gt;"pvp",Inputs!$B$43&gt;0),((Skills!G15*((R525-1)*IF(Skills!H15&gt;0,Skills!I15/Skills!H15,1)+IF(Skills!H15&gt;0,MIN(Skills!I15,MAX(0,MAX(0,Inputs!$B$43-B548)-((R525-1)*(IF(Inputs!$B$38="pvp",15,MAX(0.1,Skills!E15-IF(Skills!F15=TRUE,Inputs!$B$32,0)))*(1-IF(AND(ArtifactsInput!$M$27,Inputs!$B$4="Chapter Hunt"),CHOOSE(ArtifactsInput!$N$27+1,20,24,28,32,36,40),0)/100)))))/Skills!H15,1)))/Inputs!$B$43),G525*Q525)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6">
      <c r="A526">
        <f>Skills!A16</f>
        <v/>
      </c>
      <c r="B526">
        <f>Skills!B16</f>
        <v/>
      </c>
      <c r="C526">
        <f>Inputs!$B$3&gt;=107</f>
        <v/>
      </c>
      <c r="D526">
        <f>IF(Skills!C16=1,60+Inputs!$B$25+Inputs!$B$29,IF(Skills!C16=2,90+Inputs!$B$26+Inputs!$B$29,IF(Skills!C16=3,120+Inputs!$B$27+Inputs!$B$29,MAX(0,(Inputs!$B$3-100)*3)+Inputs!$B$28+Inputs!$B$29)))</f>
        <v/>
      </c>
      <c r="E526">
        <f>INDEX(FactorTable!$B$2:$Y$301, MATCH(ROUND(MIN(300,MAX(1,D526)),0), FactorTable!$A$2:$A$301,0), Skills!M16+1)</f>
        <v/>
      </c>
      <c r="F526">
        <f>IF(Skills!N16=TRUE,(Skills!L16/10)*(E526/1000),Skills!L16/10)+Skills!O16</f>
        <v/>
      </c>
      <c r="G526">
        <f>Calc!G16</f>
        <v/>
      </c>
      <c r="H526">
        <f>Calc!H16</f>
        <v/>
      </c>
      <c r="I526">
        <f>IF(Skills!X16&lt;&gt;"",1+(Skills!X16/10)*(Z513/1000)/100,1)</f>
        <v/>
      </c>
      <c r="J526">
        <f>((Inputs!$B$6*(1+Inputs!$B$7/100))+(((Inputs!$B$12*(1+Inputs!$B$13/100))-(Inputs!$B$12*(1+Inputs!$B$13/100)))+0.25*(Inputs!$B$14-Inputs!$B$14))*(1+Inputs!$B$7/100))*(F526/100)</f>
        <v/>
      </c>
      <c r="K526">
        <f>J526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526)</f>
        <v/>
      </c>
      <c r="L526">
        <f>K526*(MIN(Inputs!$B$22+(F532-Calc!F22),(Inputs!$B$23+(IF(ArtifactsInput!$M$15,CHOOSE(ArtifactsInput!$N$15+1,25,30,35,40,45,50)/100*(Inputs!$B$11-Inputs!$B$11),0))))/100+(Inputs!$B$23+(IF(ArtifactsInput!$M$15,CHOOSE(ArtifactsInput!$N$15+1,25,30,35,40,45,50)/100*(Inputs!$B$11-Inputs!$B$11),0)))/100)/2</f>
        <v/>
      </c>
      <c r="M526">
        <f>L526*(1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6">
        <f>L526*(1-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526*(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6">
        <f>(1-Summary!$B$11)*S526+Summary!$B$11*U526</f>
        <v/>
      </c>
      <c r="P526">
        <f>IF(B551=0,0,O526/B551)</f>
        <v/>
      </c>
      <c r="Q526">
        <f>IFERROR(1/(IF(Inputs!$B$38="pvp",15,MAX(0.1,Skills!E16-IF(Skills!F16=TRUE,Inputs!$B$32,0)))*(1-IF(AND(ArtifactsInput!$M$27,Inputs!$B$4="Chapter Hunt"),CHOOSE(ArtifactsInput!$N$27+1,20,24,28,32,36,40),0)/100)),0)</f>
        <v/>
      </c>
      <c r="R526">
        <f>IF(AND(Inputs!$B$38&lt;&gt;"pvp",Inputs!$B$43&gt;0),IF(MAX(0,Inputs!$B$43-B548)&lt;=0,0,(INT(MAX(0,Inputs!$B$43-B548)/(IF(Inputs!$B$38="pvp",15,MAX(0.1,Skills!E16-IF(Skills!F16=TRUE,Inputs!$B$32,0)))*(1-IF(AND(ArtifactsInput!$M$27,Inputs!$B$4="Chapter Hunt"),CHOOSE(ArtifactsInput!$N$27+1,20,24,28,32,36,40),0)/100)))+1)),0)</f>
        <v/>
      </c>
      <c r="S526">
        <f>IF(C526,(H526*N526*IF(AND(Inputs!$B$38&lt;&gt;"pvp",Inputs!$B$43&gt;0),((Skills!G16*((R526-1)*IF(Skills!H16&gt;0,Skills!I16/Skills!H16,1)+IF(Skills!H16&gt;0,MIN(Skills!I16,MAX(0,MAX(0,Inputs!$B$43-B548)-((R526-1)*(IF(Inputs!$B$38="pvp",15,MAX(0.1,Skills!E16-IF(Skills!F16=TRUE,Inputs!$B$32,0)))*(1-IF(AND(ArtifactsInput!$M$27,Inputs!$B$4="Chapter Hunt"),CHOOSE(ArtifactsInput!$N$27+1,20,24,28,32,36,40),0)/100)))))/Skills!H16,1)))/Inputs!$B$43),G526*Q526)*(1+IF(Inputs!$B$3&gt;=126,0.05*(B546+Q523+(H524*B547)/(1+Skills!H14*H524*B547)+Q534)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526*(1-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526*(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526*(1-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526*(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6">
        <f>IF(C526,(H526*N526*IF(AND(Inputs!$B$38&lt;&gt;"pvp",Inputs!$B$43&gt;0),((Skills!G16*((R526-1)*IF(Skills!H16&gt;0,Skills!I16/Skills!H16,1)+IF(Skills!H16&gt;0,MIN(Skills!I16,MAX(0,MAX(0,Inputs!$B$43-B548)-((R526-1)*(IF(Inputs!$B$38="pvp",15,MAX(0.1,Skills!E16-IF(Skills!F16=TRUE,Inputs!$B$32,0)))*(1-IF(AND(ArtifactsInput!$M$27,Inputs!$B$4="Chapter Hunt"),CHOOSE(ArtifactsInput!$N$27+1,20,24,28,32,36,40),0)/100)))))/Skills!H16,1)))/Inputs!$B$43),G526*Q526)*(1+IF(Inputs!$B$3&gt;=126,0.05*(B546+Q523+(H524*B547)/(1+Skills!H14*H524*B547)+Q534)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7">
      <c r="A527">
        <f>Skills!A17</f>
        <v/>
      </c>
      <c r="B527">
        <f>Skills!B17</f>
        <v/>
      </c>
      <c r="C527">
        <f>TRUE</f>
        <v/>
      </c>
      <c r="D527">
        <f>IF(Skills!C17=1,60+Inputs!$B$25+Inputs!$B$29,IF(Skills!C17=2,90+Inputs!$B$26+Inputs!$B$29,IF(Skills!C17=3,120+Inputs!$B$27+Inputs!$B$29,MAX(0,(Inputs!$B$3-100)*3)+Inputs!$B$28+Inputs!$B$29)))</f>
        <v/>
      </c>
      <c r="E527">
        <f>INDEX(FactorTable!$B$2:$Y$301, MATCH(ROUND(MIN(300,MAX(1,D527)),0), FactorTable!$A$2:$A$301,0), Skills!M17+1)</f>
        <v/>
      </c>
      <c r="F527">
        <f>IF(Skills!N17=TRUE,(Skills!L17/10)*(E527/1000),Skills!L17/10)+Skills!O17</f>
        <v/>
      </c>
      <c r="G527">
        <f>Calc!G17</f>
        <v/>
      </c>
      <c r="H527">
        <f>Calc!H17</f>
        <v/>
      </c>
      <c r="I527">
        <f>IF(Skills!X17&lt;&gt;"",1+(Skills!X17/10)*(Z513/1000)/100,1)</f>
        <v/>
      </c>
      <c r="J527" t="inlineStr"/>
      <c r="K527" t="inlineStr"/>
      <c r="L527" t="inlineStr"/>
      <c r="M527" t="inlineStr"/>
      <c r="N527" t="inlineStr"/>
      <c r="O527">
        <f>(1-Summary!$B$11)*S527+Summary!$B$11*U527</f>
        <v/>
      </c>
      <c r="P527">
        <f>IF(B551=0,0,O527/B551)</f>
        <v/>
      </c>
      <c r="Q527">
        <f>IFERROR(1/(IF(Inputs!$B$38="pvp",15,MAX(0.1,Skills!E17-IF(Skills!F17=TRUE,Inputs!$B$32,0)))*(1-IF(AND(ArtifactsInput!$M$27,Inputs!$B$4="Chapter Hunt"),CHOOSE(ArtifactsInput!$N$27+1,20,24,28,32,36,40),0)/100)),0)</f>
        <v/>
      </c>
      <c r="R527">
        <f>IF(AND(Inputs!$B$38&lt;&gt;"pvp",Inputs!$B$43&gt;0),IF(Inputs!$B$43&lt;=0,0,(INT(Inputs!$B$43/(IF(Inputs!$B$38="pvp",15,MAX(0.1,Skills!E17-IF(Skills!F17=TRUE,Inputs!$B$32,0)))*(1-IF(AND(ArtifactsInput!$M$27,Inputs!$B$4="Chapter Hunt"),CHOOSE(ArtifactsInput!$N$27+1,20,24,28,32,36,40),0)/100)))+1)),0)</f>
        <v/>
      </c>
      <c r="S527" t="n">
        <v>0</v>
      </c>
      <c r="U527" t="n">
        <v>0</v>
      </c>
    </row>
    <row r="528">
      <c r="A528">
        <f>Skills!A18</f>
        <v/>
      </c>
      <c r="B528">
        <f>Skills!B18</f>
        <v/>
      </c>
      <c r="C528">
        <f>TRUE</f>
        <v/>
      </c>
      <c r="D528">
        <f>IF(Skills!C18=1,60+Inputs!$B$25+Inputs!$B$29,IF(Skills!C18=2,90+Inputs!$B$26+Inputs!$B$29,IF(Skills!C18=3,120+Inputs!$B$27+Inputs!$B$29,MAX(0,(Inputs!$B$3-100)*3)+Inputs!$B$28+Inputs!$B$29)))</f>
        <v/>
      </c>
      <c r="E528">
        <f>INDEX(FactorTable!$B$2:$Y$301, MATCH(ROUND(MIN(300,MAX(1,D528)),0), FactorTable!$A$2:$A$301,0), Skills!M18+1)</f>
        <v/>
      </c>
      <c r="F528">
        <f>IF(Skills!N18=TRUE,(Skills!L18/10)*(E528/1000),Skills!L18/10)+Skills!O18</f>
        <v/>
      </c>
      <c r="G528">
        <f>Calc!G18</f>
        <v/>
      </c>
      <c r="H528">
        <f>Calc!H18</f>
        <v/>
      </c>
      <c r="I528">
        <f>IF(Skills!X18&lt;&gt;"",1+(Skills!X18/10)*(Z513/1000)/100,1)</f>
        <v/>
      </c>
      <c r="J528" t="inlineStr"/>
      <c r="K528" t="inlineStr"/>
      <c r="L528" t="inlineStr"/>
      <c r="M528" t="inlineStr"/>
      <c r="N528" t="inlineStr"/>
      <c r="O528">
        <f>(1-Summary!$B$11)*S528+Summary!$B$11*U528</f>
        <v/>
      </c>
      <c r="P528">
        <f>IF(B551=0,0,O528/B551)</f>
        <v/>
      </c>
      <c r="Q528">
        <f>IFERROR(1/(IF(Inputs!$B$38="pvp",15,MAX(0.1,Skills!E18-IF(Skills!F18=TRUE,Inputs!$B$32,0)))*(1-IF(AND(ArtifactsInput!$M$27,Inputs!$B$4="Chapter Hunt"),CHOOSE(ArtifactsInput!$N$27+1,20,24,28,32,36,40),0)/100)),0)</f>
        <v/>
      </c>
      <c r="R528">
        <f>IF(AND(Inputs!$B$38&lt;&gt;"pvp",Inputs!$B$43&gt;0),IF(Inputs!$B$43&lt;=0,0,(INT(Inputs!$B$43/(IF(Inputs!$B$38="pvp",15,MAX(0.1,Skills!E18-IF(Skills!F18=TRUE,Inputs!$B$32,0)))*(1-IF(AND(ArtifactsInput!$M$27,Inputs!$B$4="Chapter Hunt"),CHOOSE(ArtifactsInput!$N$27+1,20,24,28,32,36,40),0)/100)))+1)),0)</f>
        <v/>
      </c>
      <c r="S528" t="n">
        <v>0</v>
      </c>
      <c r="U528" t="n">
        <v>0</v>
      </c>
    </row>
    <row r="529">
      <c r="A529">
        <f>Skills!A19</f>
        <v/>
      </c>
      <c r="B529">
        <f>Skills!B19</f>
        <v/>
      </c>
      <c r="C529">
        <f>Inputs!$B$3&gt;=110</f>
        <v/>
      </c>
      <c r="D529">
        <f>IF(Skills!C19=1,60+Inputs!$B$25+Inputs!$B$29,IF(Skills!C19=2,90+Inputs!$B$26+Inputs!$B$29,IF(Skills!C19=3,120+Inputs!$B$27+Inputs!$B$29,MAX(0,(Inputs!$B$3-100)*3)+Inputs!$B$28+Inputs!$B$29)))</f>
        <v/>
      </c>
      <c r="E529">
        <f>INDEX(FactorTable!$B$2:$Y$301, MATCH(ROUND(MIN(300,MAX(1,D529)),0), FactorTable!$A$2:$A$301,0), Skills!M19+1)</f>
        <v/>
      </c>
      <c r="F529">
        <f>IF(Skills!N19=TRUE,(Skills!L19/10)*(E529/1000),Skills!L19/10)+Skills!O19</f>
        <v/>
      </c>
      <c r="G529">
        <f>Calc!G19</f>
        <v/>
      </c>
      <c r="H529">
        <f>Calc!H19</f>
        <v/>
      </c>
      <c r="I529">
        <f>IF(Skills!X19&lt;&gt;"",1+(Skills!X19/10)*(Z513/1000)/100,1)</f>
        <v/>
      </c>
      <c r="J529" t="inlineStr"/>
      <c r="K529" t="inlineStr"/>
      <c r="L529" t="inlineStr"/>
      <c r="M529" t="inlineStr"/>
      <c r="N529" t="inlineStr"/>
      <c r="O529">
        <f>(1-Summary!$B$11)*S529+Summary!$B$11*U529</f>
        <v/>
      </c>
      <c r="P529">
        <f>IF(B551=0,0,O529/B551)</f>
        <v/>
      </c>
      <c r="Q529">
        <f>IFERROR(1/(IF(Inputs!$B$38="pvp",15,MAX(0.1,Skills!E19-IF(Skills!F19=TRUE,Inputs!$B$32,0)))*(1-IF(AND(ArtifactsInput!$M$27,Inputs!$B$4="Chapter Hunt"),CHOOSE(ArtifactsInput!$N$27+1,20,24,28,32,36,40),0)/100)),0)</f>
        <v/>
      </c>
      <c r="R529">
        <f>IF(AND(Inputs!$B$38&lt;&gt;"pvp",Inputs!$B$43&gt;0),IF(Inputs!$B$43&lt;=0,0,(INT(Inputs!$B$43/(IF(Inputs!$B$38="pvp",15,MAX(0.1,Skills!E19-IF(Skills!F19=TRUE,Inputs!$B$32,0)))*(1-IF(AND(ArtifactsInput!$M$27,Inputs!$B$4="Chapter Hunt"),CHOOSE(ArtifactsInput!$N$27+1,20,24,28,32,36,40),0)/100)))+1)),0)</f>
        <v/>
      </c>
      <c r="S529" t="n">
        <v>0</v>
      </c>
      <c r="U529" t="n">
        <v>0</v>
      </c>
    </row>
    <row r="530">
      <c r="A530">
        <f>Skills!A20</f>
        <v/>
      </c>
      <c r="B530">
        <f>Skills!B20</f>
        <v/>
      </c>
      <c r="C530">
        <f>TRUE</f>
        <v/>
      </c>
      <c r="D530">
        <f>IF(Skills!C20=1,60+Inputs!$B$25+Inputs!$B$29,IF(Skills!C20=2,90+Inputs!$B$26+Inputs!$B$29,IF(Skills!C20=3,120+Inputs!$B$27+Inputs!$B$29,MAX(0,(Inputs!$B$3-100)*3)+Inputs!$B$28+Inputs!$B$29)))</f>
        <v/>
      </c>
      <c r="E530">
        <f>INDEX(FactorTable!$B$2:$Y$301, MATCH(ROUND(MIN(300,MAX(1,D530)),0), FactorTable!$A$2:$A$301,0), Skills!M20+1)</f>
        <v/>
      </c>
      <c r="F530">
        <f>IF(Skills!N20=TRUE,(Skills!L20/10)*(E530/1000),Skills!L20/10)+Skills!O20</f>
        <v/>
      </c>
      <c r="G530">
        <f>Calc!G20</f>
        <v/>
      </c>
      <c r="H530">
        <f>Calc!H20</f>
        <v/>
      </c>
      <c r="I530">
        <f>IF(Skills!X20&lt;&gt;"",1+(Skills!X20/10)*(Z513/1000)/100,1)</f>
        <v/>
      </c>
      <c r="J530" t="inlineStr"/>
      <c r="K530" t="inlineStr"/>
      <c r="L530" t="inlineStr"/>
      <c r="M530" t="inlineStr"/>
      <c r="N530" t="inlineStr"/>
      <c r="O530">
        <f>(1-Summary!$B$11)*S530+Summary!$B$11*U530</f>
        <v/>
      </c>
      <c r="P530">
        <f>IF(B551=0,0,O530/B551)</f>
        <v/>
      </c>
      <c r="Q530">
        <f>IFERROR(1/(IF(Inputs!$B$38="pvp",15,MAX(0.1,Skills!E20-IF(Skills!F20=TRUE,Inputs!$B$32,0)))*(1-IF(AND(ArtifactsInput!$M$27,Inputs!$B$4="Chapter Hunt"),CHOOSE(ArtifactsInput!$N$27+1,20,24,28,32,36,40),0)/100)),0)</f>
        <v/>
      </c>
      <c r="R530" t="n">
        <v>0</v>
      </c>
      <c r="S530" t="n">
        <v>0</v>
      </c>
      <c r="U530" t="n">
        <v>0</v>
      </c>
    </row>
    <row r="531">
      <c r="A531">
        <f>Skills!A21</f>
        <v/>
      </c>
      <c r="B531">
        <f>Skills!B21</f>
        <v/>
      </c>
      <c r="C531">
        <f>TRUE</f>
        <v/>
      </c>
      <c r="D531">
        <f>IF(Skills!C21=1,60+Inputs!$B$25+Inputs!$B$29,IF(Skills!C21=2,90+Inputs!$B$26+Inputs!$B$29,IF(Skills!C21=3,120+Inputs!$B$27+Inputs!$B$29,MAX(0,(Inputs!$B$3-100)*3)+Inputs!$B$28+Inputs!$B$29)))</f>
        <v/>
      </c>
      <c r="E531">
        <f>INDEX(FactorTable!$B$2:$Y$301, MATCH(ROUND(MIN(300,MAX(1,D531)),0), FactorTable!$A$2:$A$301,0), Skills!M21+1)</f>
        <v/>
      </c>
      <c r="F531">
        <f>IF(Skills!N21=TRUE,(Skills!L21/10)*(E531/1000),Skills!L21/10)+Skills!O21</f>
        <v/>
      </c>
      <c r="G531">
        <f>Calc!G21</f>
        <v/>
      </c>
      <c r="H531">
        <f>Calc!H21</f>
        <v/>
      </c>
      <c r="I531">
        <f>IF(Skills!X21&lt;&gt;"",1+(Skills!X21/10)*(Z513/1000)/100,1)</f>
        <v/>
      </c>
      <c r="J531" t="inlineStr"/>
      <c r="K531" t="inlineStr"/>
      <c r="L531" t="inlineStr"/>
      <c r="M531" t="inlineStr"/>
      <c r="N531" t="inlineStr"/>
      <c r="O531">
        <f>(1-Summary!$B$11)*S531+Summary!$B$11*U531</f>
        <v/>
      </c>
      <c r="P531">
        <f>IF(B551=0,0,O531/B551)</f>
        <v/>
      </c>
      <c r="Q531">
        <f>IFERROR(1/(IF(Inputs!$B$38="pvp",15,MAX(0.1,Skills!E21-IF(Skills!F21=TRUE,Inputs!$B$32,0)))*(1-IF(AND(ArtifactsInput!$M$27,Inputs!$B$4="Chapter Hunt"),CHOOSE(ArtifactsInput!$N$27+1,20,24,28,32,36,40),0)/100)),0)</f>
        <v/>
      </c>
      <c r="R531" t="n">
        <v>0</v>
      </c>
      <c r="S531" t="n">
        <v>0</v>
      </c>
      <c r="U531" t="n">
        <v>0</v>
      </c>
    </row>
    <row r="532">
      <c r="A532">
        <f>Skills!A22</f>
        <v/>
      </c>
      <c r="B532">
        <f>Skills!B22</f>
        <v/>
      </c>
      <c r="C532">
        <f>TRUE</f>
        <v/>
      </c>
      <c r="D532">
        <f>IF(Skills!C22=1,60+Inputs!$B$25+Inputs!$B$29,IF(Skills!C22=2,90+Inputs!$B$26+Inputs!$B$29,IF(Skills!C22=3,120+Inputs!$B$27+Inputs!$B$29,MAX(0,(Inputs!$B$3-100)*3)+Inputs!$B$28+Inputs!$B$29)))</f>
        <v/>
      </c>
      <c r="E532">
        <f>INDEX(FactorTable!$B$2:$Y$301, MATCH(ROUND(MIN(300,MAX(1,D532)),0), FactorTable!$A$2:$A$301,0), Skills!M22+1)</f>
        <v/>
      </c>
      <c r="F532">
        <f>IF(Skills!N22=TRUE,(Skills!L22/10)*(E532/1000),Skills!L22/10)+Skills!O22</f>
        <v/>
      </c>
      <c r="G532">
        <f>Calc!G22</f>
        <v/>
      </c>
      <c r="H532">
        <f>Calc!H22</f>
        <v/>
      </c>
      <c r="I532">
        <f>IF(Skills!X22&lt;&gt;"",1+(Skills!X22/10)*(Z513/1000)/100,1)</f>
        <v/>
      </c>
      <c r="J532" t="inlineStr"/>
      <c r="K532" t="inlineStr"/>
      <c r="L532" t="inlineStr"/>
      <c r="M532" t="inlineStr"/>
      <c r="N532" t="inlineStr"/>
      <c r="O532">
        <f>(1-Summary!$B$11)*S532+Summary!$B$11*U532</f>
        <v/>
      </c>
      <c r="P532">
        <f>IF(B551=0,0,O532/B551)</f>
        <v/>
      </c>
      <c r="Q532">
        <f>IFERROR(1/(IF(Inputs!$B$38="pvp",15,MAX(0.1,Skills!E22-IF(Skills!F22=TRUE,Inputs!$B$32,0)))*(1-IF(AND(ArtifactsInput!$M$27,Inputs!$B$4="Chapter Hunt"),CHOOSE(ArtifactsInput!$N$27+1,20,24,28,32,36,40),0)/100)),0)</f>
        <v/>
      </c>
      <c r="R532" t="n">
        <v>0</v>
      </c>
      <c r="S532" t="n">
        <v>0</v>
      </c>
      <c r="U532" t="n">
        <v>0</v>
      </c>
    </row>
    <row r="533">
      <c r="A533">
        <f>Skills!A23</f>
        <v/>
      </c>
      <c r="B533">
        <f>Skills!B23</f>
        <v/>
      </c>
      <c r="C533">
        <f>TRUE</f>
        <v/>
      </c>
      <c r="D533">
        <f>IF(Skills!C23=1,60+Inputs!$B$25+Inputs!$B$29,IF(Skills!C23=2,90+Inputs!$B$26+Inputs!$B$29,IF(Skills!C23=3,120+Inputs!$B$27+Inputs!$B$29,MAX(0,(Inputs!$B$3-100)*3)+Inputs!$B$28+Inputs!$B$29)))</f>
        <v/>
      </c>
      <c r="E533">
        <f>INDEX(FactorTable!$B$2:$Y$301, MATCH(ROUND(MIN(300,MAX(1,D533)),0), FactorTable!$A$2:$A$301,0), Skills!M23+1)</f>
        <v/>
      </c>
      <c r="F533">
        <f>IF(Skills!N23=TRUE,(Skills!L23/10)*(E533/1000),Skills!L23/10)+Skills!O23</f>
        <v/>
      </c>
      <c r="G533">
        <f>Calc!G23</f>
        <v/>
      </c>
      <c r="H533">
        <f>Calc!H23</f>
        <v/>
      </c>
      <c r="I533">
        <f>IF(Skills!X23&lt;&gt;"",1+(Skills!X23/10)*(Z513/1000)/100,1)</f>
        <v/>
      </c>
      <c r="J533" t="inlineStr"/>
      <c r="K533" t="inlineStr"/>
      <c r="L533" t="inlineStr"/>
      <c r="M533" t="inlineStr"/>
      <c r="N533" t="inlineStr"/>
      <c r="O533">
        <f>(1-Summary!$B$11)*S533+Summary!$B$11*U533</f>
        <v/>
      </c>
      <c r="P533">
        <f>IF(B551=0,0,O533/B551)</f>
        <v/>
      </c>
      <c r="Q533">
        <f>IFERROR(1/(IF(Inputs!$B$38="pvp",15,MAX(0.1,Skills!E23-IF(Skills!F23=TRUE,Inputs!$B$32,0)))*(1-IF(AND(ArtifactsInput!$M$27,Inputs!$B$4="Chapter Hunt"),CHOOSE(ArtifactsInput!$N$27+1,20,24,28,32,36,40),0)/100)),0)</f>
        <v/>
      </c>
      <c r="R533" t="n">
        <v>0</v>
      </c>
      <c r="S533" t="n">
        <v>0</v>
      </c>
      <c r="U533" t="n">
        <v>0</v>
      </c>
    </row>
    <row r="534">
      <c r="A534">
        <f>Skills!A24</f>
        <v/>
      </c>
      <c r="B534">
        <f>Skills!B24</f>
        <v/>
      </c>
      <c r="C534">
        <f>Inputs!$B$3&gt;=115</f>
        <v/>
      </c>
      <c r="D534">
        <f>IF(Skills!C24=1,60+Inputs!$B$25+Inputs!$B$29,IF(Skills!C24=2,90+Inputs!$B$26+Inputs!$B$29,IF(Skills!C24=3,120+Inputs!$B$27+Inputs!$B$29,MAX(0,(Inputs!$B$3-100)*3)+Inputs!$B$28+Inputs!$B$29)))</f>
        <v/>
      </c>
      <c r="E534">
        <f>INDEX(FactorTable!$B$2:$Y$301, MATCH(ROUND(MIN(300,MAX(1,D534)),0), FactorTable!$A$2:$A$301,0), Skills!M24+1)</f>
        <v/>
      </c>
      <c r="F534">
        <f>IF(Skills!N24=TRUE,(Skills!L24/10)*(E534/1000),Skills!L24/10)+Skills!O24</f>
        <v/>
      </c>
      <c r="G534">
        <f>Calc!G24</f>
        <v/>
      </c>
      <c r="H534">
        <f>Calc!H24</f>
        <v/>
      </c>
      <c r="I534">
        <f>IF(Skills!X24&lt;&gt;"",1+(Skills!X24/10)*(Z513/1000)/100,1)</f>
        <v/>
      </c>
      <c r="J534">
        <f>((Inputs!$B$6*(1+Inputs!$B$7/100))+(((Inputs!$B$12*(1+Inputs!$B$13/100))-(Inputs!$B$12*(1+Inputs!$B$13/100)))+0.25*(Inputs!$B$14-Inputs!$B$14))*(1+Inputs!$B$7/100))*(F534/100)</f>
        <v/>
      </c>
      <c r="K534">
        <f>J534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534)</f>
        <v/>
      </c>
      <c r="L534">
        <f>K534*(MIN(Inputs!$B$22+(F532-Calc!F22),(Inputs!$B$23+(IF(ArtifactsInput!$M$15,CHOOSE(ArtifactsInput!$N$15+1,25,30,35,40,45,50)/100*(Inputs!$B$11-Inputs!$B$11),0))))/100+(Inputs!$B$23+(IF(ArtifactsInput!$M$15,CHOOSE(ArtifactsInput!$N$15+1,25,30,35,40,45,50)/100*(Inputs!$B$11-Inputs!$B$11),0)))/100)/2</f>
        <v/>
      </c>
      <c r="M534">
        <f>L534*(1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4">
        <f>L534*(1-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534*(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4">
        <f>(1-Summary!$B$11)*S534+Summary!$B$11*U534</f>
        <v/>
      </c>
      <c r="P534">
        <f>IF(B551=0,0,O534/B551)</f>
        <v/>
      </c>
      <c r="Q534">
        <f>IFERROR(1/(IF(Inputs!$B$38="pvp",15,MAX(0.1,Skills!E24-IF(Skills!F24=TRUE,Inputs!$B$32,0)))*(1-IF(AND(ArtifactsInput!$M$27,Inputs!$B$4="Chapter Hunt"),CHOOSE(ArtifactsInput!$N$27+1,20,24,28,32,36,40),0)/100)),0)</f>
        <v/>
      </c>
      <c r="R534">
        <f>IF(AND(Inputs!$B$38&lt;&gt;"pvp",Inputs!$B$43&gt;0),IF(MAX(0,Inputs!$B$43-B548)&lt;=0,0,(INT(MAX(0,Inputs!$B$43-B548)/(IF(Inputs!$B$38="pvp",15,MAX(0.1,Skills!E24-IF(Skills!F24=TRUE,Inputs!$B$32,0)))*(1-IF(AND(ArtifactsInput!$M$27,Inputs!$B$4="Chapter Hunt"),CHOOSE(ArtifactsInput!$N$27+1,20,24,28,32,36,40),0)/100)))+1)),0)</f>
        <v/>
      </c>
      <c r="S534">
        <f>IF(C534,(H534*N534*IF(AND(Inputs!$B$38&lt;&gt;"pvp",Inputs!$B$43&gt;0),((Skills!G24*((R534-1)*IF(Skills!H24&gt;0,Skills!I24/Skills!H24,1)+IF(Skills!H24&gt;0,MIN(Skills!I24,MAX(0,MAX(0,Inputs!$B$43-B548)-((R534-1)*(IF(Inputs!$B$38="pvp",15,MAX(0.1,Skills!E24-IF(Skills!F24=TRUE,Inputs!$B$32,0)))*(1-IF(AND(ArtifactsInput!$M$27,Inputs!$B$4="Chapter Hunt"),CHOOSE(ArtifactsInput!$N$27+1,20,24,28,32,36,40),0)/100)))))/Skills!H24,1)))/Inputs!$B$43),G534*Q534)*(1+IF(Inputs!$B$3&gt;=130,0.2*(Skills!I16/Skills!E15+IF(Inputs!$B$3&gt;=126,0.05*(B546+Q523+(H524*B547)/(1+Skills!H14*H524*B547)+Q534)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534*(1-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534*(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534*(1-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534*(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4">
        <f>IF(C534,(H534*N534*IF(AND(Inputs!$B$38&lt;&gt;"pvp",Inputs!$B$43&gt;0),((Skills!G24*((R534-1)*IF(Skills!H24&gt;0,Skills!I24/Skills!H24,1)+IF(Skills!H24&gt;0,MIN(Skills!I24,MAX(0,MAX(0,Inputs!$B$43-B548)-((R534-1)*(IF(Inputs!$B$38="pvp",15,MAX(0.1,Skills!E24-IF(Skills!F24=TRUE,Inputs!$B$32,0)))*(1-IF(AND(ArtifactsInput!$M$27,Inputs!$B$4="Chapter Hunt"),CHOOSE(ArtifactsInput!$N$27+1,20,24,28,32,36,40),0)/100)))))/Skills!H24,1)))/Inputs!$B$43),G534*Q534)*(1+IF(Inputs!$B$3&gt;=130,0.2*(Skills!I16/Skills!E15+IF(Inputs!$B$3&gt;=126,0.05*(B546+Q523+(H524*B547)/(1+Skills!H14*H524*B547)+Q534)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5">
      <c r="A535">
        <f>Skills!A25</f>
        <v/>
      </c>
      <c r="B535">
        <f>Skills!B25</f>
        <v/>
      </c>
      <c r="C535">
        <f>Inputs!$B$3&gt;=117</f>
        <v/>
      </c>
      <c r="D535">
        <f>IF(Skills!C25=1,60+Inputs!$B$25+Inputs!$B$29,IF(Skills!C25=2,90+Inputs!$B$26+Inputs!$B$29,IF(Skills!C25=3,120+Inputs!$B$27+Inputs!$B$29,MAX(0,(Inputs!$B$3-100)*3)+Inputs!$B$28+Inputs!$B$29)))</f>
        <v/>
      </c>
      <c r="E535">
        <f>INDEX(FactorTable!$B$2:$Y$301, MATCH(ROUND(MIN(300,MAX(1,D535)),0), FactorTable!$A$2:$A$301,0), Skills!M25+1)</f>
        <v/>
      </c>
      <c r="F535">
        <f>IF(Skills!N25=TRUE,(Skills!L25/10)*(E535/1000),Skills!L25/10)+Skills!O25</f>
        <v/>
      </c>
      <c r="G535">
        <f>Calc!G25</f>
        <v/>
      </c>
      <c r="H535">
        <f>Calc!H25</f>
        <v/>
      </c>
      <c r="I535">
        <f>IF(Skills!X25&lt;&gt;"",1+(Skills!X25/10)*(Z513/1000)/100,1)</f>
        <v/>
      </c>
      <c r="J535" t="inlineStr"/>
      <c r="K535" t="inlineStr"/>
      <c r="L535" t="inlineStr"/>
      <c r="M535" t="inlineStr"/>
      <c r="N535" t="inlineStr"/>
      <c r="O535">
        <f>(1-Summary!$B$11)*S535+Summary!$B$11*U535</f>
        <v/>
      </c>
      <c r="P535">
        <f>IF(B551=0,0,O535/B551)</f>
        <v/>
      </c>
      <c r="Q535">
        <f>IFERROR(1/(IF(Inputs!$B$38="pvp",15,MAX(0.1,Skills!E25-IF(Skills!F25=TRUE,Inputs!$B$32,0)))*(1-IF(AND(ArtifactsInput!$M$27,Inputs!$B$4="Chapter Hunt"),CHOOSE(ArtifactsInput!$N$27+1,20,24,28,32,36,40),0)/100)),0)</f>
        <v/>
      </c>
      <c r="R535" t="n">
        <v>0</v>
      </c>
      <c r="S535" t="n">
        <v>0</v>
      </c>
      <c r="U535" t="n">
        <v>0</v>
      </c>
    </row>
    <row r="536">
      <c r="A536">
        <f>Skills!A26</f>
        <v/>
      </c>
      <c r="B536">
        <f>Skills!B26</f>
        <v/>
      </c>
      <c r="C536">
        <f>Inputs!$B$3&gt;=120</f>
        <v/>
      </c>
      <c r="D536">
        <f>IF(Skills!C26=1,60+Inputs!$B$25+Inputs!$B$29,IF(Skills!C26=2,90+Inputs!$B$26+Inputs!$B$29,IF(Skills!C26=3,120+Inputs!$B$27+Inputs!$B$29,MAX(0,(Inputs!$B$3-100)*3)+Inputs!$B$28+Inputs!$B$29)))</f>
        <v/>
      </c>
      <c r="E536">
        <f>INDEX(FactorTable!$B$2:$Y$301, MATCH(ROUND(MIN(300,MAX(1,D536)),0), FactorTable!$A$2:$A$301,0), Skills!M26+1)</f>
        <v/>
      </c>
      <c r="F536">
        <f>IF(Skills!N26=TRUE,(Skills!L26/10)*(E536/1000),Skills!L26/10)+Skills!O26</f>
        <v/>
      </c>
      <c r="G536">
        <f>Calc!G26</f>
        <v/>
      </c>
      <c r="H536">
        <f>Calc!H26</f>
        <v/>
      </c>
      <c r="I536">
        <f>IF(Skills!X26&lt;&gt;"",1+(Skills!X26/10)*(Z513/1000)/100,1)</f>
        <v/>
      </c>
      <c r="J536" t="inlineStr"/>
      <c r="K536" t="inlineStr"/>
      <c r="L536" t="inlineStr"/>
      <c r="M536" t="inlineStr"/>
      <c r="N536" t="inlineStr"/>
      <c r="O536">
        <f>(1-Summary!$B$11)*S536+Summary!$B$11*U536</f>
        <v/>
      </c>
      <c r="P536">
        <f>IF(B551=0,0,O536/B551)</f>
        <v/>
      </c>
      <c r="Q536">
        <f>IFERROR(1/(IF(Inputs!$B$38="pvp",15,MAX(0.1,Skills!E26-IF(Skills!F26=TRUE,Inputs!$B$32,0)))*(1-IF(AND(ArtifactsInput!$M$27,Inputs!$B$4="Chapter Hunt"),CHOOSE(ArtifactsInput!$N$27+1,20,24,28,32,36,40),0)/100)),0)</f>
        <v/>
      </c>
      <c r="R536" t="n">
        <v>0</v>
      </c>
      <c r="S536" t="n">
        <v>0</v>
      </c>
      <c r="U536" t="n">
        <v>0</v>
      </c>
    </row>
    <row r="537">
      <c r="A537">
        <f>Skills!A27</f>
        <v/>
      </c>
      <c r="B537">
        <f>Skills!B27</f>
        <v/>
      </c>
      <c r="C537">
        <f>Inputs!$B$3&gt;=125</f>
        <v/>
      </c>
      <c r="D537">
        <f>IF(Skills!C27=1,60+Inputs!$B$25+Inputs!$B$29,IF(Skills!C27=2,90+Inputs!$B$26+Inputs!$B$29,IF(Skills!C27=3,120+Inputs!$B$27+Inputs!$B$29,MAX(0,(Inputs!$B$3-100)*3)+Inputs!$B$28+Inputs!$B$29)))</f>
        <v/>
      </c>
      <c r="E537">
        <f>INDEX(FactorTable!$B$2:$Y$301, MATCH(ROUND(MIN(300,MAX(1,D537)),0), FactorTable!$A$2:$A$301,0), Skills!M27+1)</f>
        <v/>
      </c>
      <c r="F537">
        <f>IF(Skills!N27=TRUE,(Skills!L27/10)*(E537/1000),Skills!L27/10)+Skills!O27</f>
        <v/>
      </c>
      <c r="G537">
        <f>Calc!G27</f>
        <v/>
      </c>
      <c r="H537">
        <f>Calc!H27</f>
        <v/>
      </c>
      <c r="I537">
        <f>IF(Skills!X27&lt;&gt;"",1+(Skills!X27/10)*(Z513/1000)/100,1)</f>
        <v/>
      </c>
      <c r="J537" t="inlineStr"/>
      <c r="K537" t="inlineStr"/>
      <c r="L537" t="inlineStr"/>
      <c r="M537" t="inlineStr"/>
      <c r="N537" t="inlineStr"/>
      <c r="O537">
        <f>(1-Summary!$B$11)*S537+Summary!$B$11*U537</f>
        <v/>
      </c>
      <c r="P537">
        <f>IF(B551=0,0,O537/B551)</f>
        <v/>
      </c>
      <c r="Q537">
        <f>IFERROR(1/(IF(Inputs!$B$38="pvp",15,MAX(0.1,Skills!E27-IF(Skills!F27=TRUE,Inputs!$B$32,0)))*(1-IF(AND(ArtifactsInput!$M$27,Inputs!$B$4="Chapter Hunt"),CHOOSE(ArtifactsInput!$N$27+1,20,24,28,32,36,40),0)/100)),0)</f>
        <v/>
      </c>
      <c r="R537" t="n">
        <v>0</v>
      </c>
      <c r="S537" t="n">
        <v>0</v>
      </c>
      <c r="U537" t="n">
        <v>0</v>
      </c>
    </row>
    <row r="538">
      <c r="A538">
        <f>Skills!A28</f>
        <v/>
      </c>
      <c r="B538">
        <f>Skills!B28</f>
        <v/>
      </c>
      <c r="C538">
        <f>Inputs!$B$3&gt;=118</f>
        <v/>
      </c>
      <c r="D538">
        <f>IF(Skills!C28=1,60+Inputs!$B$25+Inputs!$B$29,IF(Skills!C28=2,90+Inputs!$B$26+Inputs!$B$29,IF(Skills!C28=3,120+Inputs!$B$27+Inputs!$B$29,MAX(0,(Inputs!$B$3-100)*3)+Inputs!$B$28+Inputs!$B$29)))</f>
        <v/>
      </c>
      <c r="E538">
        <f>INDEX(FactorTable!$B$2:$Y$301, MATCH(ROUND(MIN(300,MAX(1,D538)),0), FactorTable!$A$2:$A$301,0), Skills!M28+1)</f>
        <v/>
      </c>
      <c r="F538">
        <f>IF(Skills!N28=TRUE,(Skills!L28/10)*(E538/1000),Skills!L28/10)+Skills!O28</f>
        <v/>
      </c>
      <c r="G538">
        <f>Calc!G28</f>
        <v/>
      </c>
      <c r="H538">
        <f>Calc!H28</f>
        <v/>
      </c>
      <c r="I538">
        <f>IF(Skills!X28&lt;&gt;"",1+(Skills!X28/10)*(Z513/1000)/100,1)</f>
        <v/>
      </c>
      <c r="J538">
        <f>((Inputs!$B$6*(1+Inputs!$B$7/100))+(((Inputs!$B$12*(1+Inputs!$B$13/100))-(Inputs!$B$12*(1+Inputs!$B$13/100)))+0.25*(Inputs!$B$14-Inputs!$B$14))*(1+Inputs!$B$7/100))*(F538/100)</f>
        <v/>
      </c>
      <c r="K538">
        <f>J538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533/100)*(1+IF(Inputs!$B$3&gt;=120,F536,0)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537*5,0)))/100)*(B540*B541*B542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538)</f>
        <v/>
      </c>
      <c r="L538">
        <f>K538*(MIN(Inputs!$B$22+(F532-Calc!F22),(Inputs!$B$23+(IF(ArtifactsInput!$M$15,CHOOSE(ArtifactsInput!$N$15+1,25,30,35,40,45,50)/100*(Inputs!$B$11-Inputs!$B$11),0))))/100+(Inputs!$B$23+(IF(ArtifactsInput!$M$15,CHOOSE(ArtifactsInput!$N$15+1,25,30,35,40,45,50)/100*(Inputs!$B$11-Inputs!$B$11),0)))/100)/2</f>
        <v/>
      </c>
      <c r="M538">
        <f>L538*(1+((Inputs!$B$10+1)+(F531-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8">
        <f>L538*(1-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538*(MIN((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8">
        <f>(1-Summary!$B$11)*S538+Summary!$B$11*U538</f>
        <v/>
      </c>
      <c r="P538">
        <f>IF(B551=0,0,O538/B551)</f>
        <v/>
      </c>
      <c r="Q538">
        <f>IFERROR(1/(IF(Inputs!$B$38="pvp",15,MAX(0.1,Skills!E28-IF(Skills!F28=TRUE,Inputs!$B$32,0)))*(1-IF(AND(ArtifactsInput!$M$27,Inputs!$B$4="Chapter Hunt"),CHOOSE(ArtifactsInput!$N$27+1,20,24,28,32,36,40),0)/100)),0)</f>
        <v/>
      </c>
      <c r="R538">
        <f>IF(AND(Inputs!$B$38&lt;&gt;"pvp",Inputs!$B$43&gt;0),IF(MAX(0,Inputs!$B$43-B548)&lt;=0,0,(INT(MAX(0,Inputs!$B$43-B548)/(IF(Inputs!$B$38="pvp",15,MAX(0.1,Skills!E28-IF(Skills!F28=TRUE,Inputs!$B$32,0)))*(1-IF(AND(ArtifactsInput!$M$27,Inputs!$B$4="Chapter Hunt"),CHOOSE(ArtifactsInput!$N$27+1,20,24,28,32,36,40),0)/100)))+1)),0)</f>
        <v/>
      </c>
      <c r="S538">
        <f>IF(C538,(H538*N538*IF(AND(Inputs!$B$38&lt;&gt;"pvp",Inputs!$B$43&gt;0),((Skills!G28*((R538-1)*IF(Skills!H28&gt;0,Skills!I28/Skills!H28,1)+IF(Skills!H28&gt;0,MIN(Skills!I28,MAX(0,MAX(0,Inputs!$B$43-B548)-((R538-1)*(IF(Inputs!$B$38="pvp",15,MAX(0.1,Skills!E28-IF(Skills!F28=TRUE,Inputs!$B$32,0)))*(1-IF(AND(ArtifactsInput!$M$27,Inputs!$B$4="Chapter Hunt"),CHOOSE(ArtifactsInput!$N$27+1,20,24,28,32,36,40),0)/100)))))/Skills!H28,1)))/Inputs!$B$43),G538*Q538)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538*(1-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538*(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538*(1-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538*(MIN(100,(Inputs!$B$9+(F530-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8">
        <f>IF(C538,(H538*N538*IF(AND(Inputs!$B$38&lt;&gt;"pvp",Inputs!$B$43&gt;0),((Skills!G28*((R538-1)*IF(Skills!H28&gt;0,Skills!I28/Skills!H28,1)+IF(Skills!H28&gt;0,MIN(Skills!I28,MAX(0,MAX(0,Inputs!$B$43-B548)-((R538-1)*(IF(Inputs!$B$38="pvp",15,MAX(0.1,Skills!E28-IF(Skills!F28=TRUE,Inputs!$B$32,0)))*(1-IF(AND(ArtifactsInput!$M$27,Inputs!$B$4="Chapter Hunt"),CHOOSE(ArtifactsInput!$N$27+1,20,24,28,32,36,40),0)/100)))))/Skills!H28,1)))/Inputs!$B$43),G538*Q538)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40">
      <c r="A540" t="inlineStr">
        <is>
          <t>Burning Magic Multiplier</t>
        </is>
      </c>
      <c r="B540">
        <f>1+(F521*Skills!Z11)/100</f>
        <v/>
      </c>
    </row>
    <row r="541">
      <c r="A541" t="inlineStr">
        <is>
          <t>Elemental Decrease Multiplier (always-on)</t>
        </is>
      </c>
      <c r="B541">
        <f>1+(F522+(IF(AND(ArtifactsInput!$M$35,Inputs!$B$4&lt;&gt;"Chapter Hunt"),CHOOSE(ArtifactsInput!$N$35+1,15,18,21,24,27,30)*(1-EXP(-(0.2*B544)*5)),0)+IF(AND(ArtifactsInput!$M$22,Inputs!$B$4&lt;&gt;"Chapter Hunt"),CHOOSE(ArtifactsInput!$N$22+1,10,12,14,16,18,20)*((0*(((0.15*B544*5))^0/1)+1*(((0.15*B544*5))^1/1)+2*(((0.15*B544*5))^2/2)+3*(((0.15*B544*5))^3/6)+4*(((0.15*B544*5))^4/24)+5*(((0.15*B544*5))^5/120))/((((0.15*B544*5))^0/1)+(((0.15*B544*5))^1/1)+(((0.15*B544*5))^2/2)+(((0.15*B544*5))^3/6)+(((0.15*B544*5))^4/24)+(((0.15*B544*5))^5/120))),0)))/100</f>
        <v/>
      </c>
    </row>
    <row r="542">
      <c r="A542" t="inlineStr">
        <is>
          <t>Average Buff Multiplier (Magic Guard + Meditation + Artifact Attack%, summed; then Infinity)</t>
        </is>
      </c>
      <c r="B542">
        <f>(1+(F516*IF(AND(Inputs!$B$38&lt;&gt;"pvp",Inputs!$B$43&gt;0),(((R516-1)*(Skills!T6*(1+((Inputs!$B$34+(ArtifactsInput!$M$7-ArtifactsInput!$M$7)*CHOOSE(ArtifactsInput!$N$7+1,6,7.2,8.4,9.6,10.8,12)))/100))+MIN((Skills!T6*(1+((Inputs!$B$34+(ArtifactsInput!$M$7-ArtifactsInput!$M$7)*CHOOSE(ArtifactsInput!$N$7+1,6,7.2,8.4,9.6,10.8,12)))/100)),MAX(0,Inputs!$B$43-((R516-1)*Skills!E6))))/Inputs!$B$43),IF(Inputs!$B$38="pvp",MIN((Skills!T6*(1+((Inputs!$B$34+(ArtifactsInput!$M$7-ArtifactsInput!$M$7)*CHOOSE(ArtifactsInput!$N$7+1,6,7.2,8.4,9.6,10.8,12)))/100)),15)/15,(Skills!T6*(1+((Inputs!$B$34+(ArtifactsInput!$M$7-ArtifactsInput!$M$7)*CHOOSE(ArtifactsInput!$N$7+1,6,7.2,8.4,9.6,10.8,12)))/100))/Skills!E6))+F527*IF(AND(Inputs!$B$38&lt;&gt;"pvp",Inputs!$B$43&gt;0),(((R527-1)*(Skills!T17*(1+((Inputs!$B$34+(ArtifactsInput!$M$7-ArtifactsInput!$M$7)*CHOOSE(ArtifactsInput!$N$7+1,6,7.2,8.4,9.6,10.8,12)))/100))+MIN((Skills!T17*(1+((Inputs!$B$34+(ArtifactsInput!$M$7-ArtifactsInput!$M$7)*CHOOSE(ArtifactsInput!$N$7+1,6,7.2,8.4,9.6,10.8,12)))/100)),MAX(0,Inputs!$B$43-((R527-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529=TRUE,(1+F529*IF(AND(Inputs!$B$38&lt;&gt;"pvp",Inputs!$B$43&gt;0),(((R529-1)*(Skills!T19*(1+((Inputs!$B$34+(ArtifactsInput!$M$7-ArtifactsInput!$M$7)*CHOOSE(ArtifactsInput!$N$7+1,6,7.2,8.4,9.6,10.8,12)))/100))+MIN((Skills!T19*(1+((Inputs!$B$34+(ArtifactsInput!$M$7-ArtifactsInput!$M$7)*CHOOSE(ArtifactsInput!$N$7+1,6,7.2,8.4,9.6,10.8,12)))/100)),MAX(0,Inputs!$B$43-((R529-1)*Skills!E19))))/Inputs!$B$43),IF(Inputs!$B$38="pvp",MIN((Skills!T19*(1+((Inputs!$B$34+(ArtifactsInput!$M$7-ArtifactsInput!$M$7)*CHOOSE(ArtifactsInput!$N$7+1,6,7.2,8.4,9.6,10.8,12)))/100)),15)/15,(Skills!T19*(1+((Inputs!$B$34+(ArtifactsInput!$M$7-ArtifactsInput!$M$7)*CHOOSE(ArtifactsInput!$N$7+1,6,7.2,8.4,9.6,10.8,12)))/100))/Skills!E19))/100),1)</f>
        <v/>
      </c>
    </row>
    <row r="543">
      <c r="A543" t="inlineStr">
        <is>
          <t>Attack Speed Buff Bonus % (Nimble Feet, averaged)</t>
        </is>
      </c>
      <c r="B543">
        <f>F528*IF(AND(Inputs!$B$38&lt;&gt;"pvp",Inputs!$B$43&gt;0),(((R528-1)*(Skills!T18*(1+((Inputs!$B$34+(ArtifactsInput!$M$7-ArtifactsInput!$M$7)*CHOOSE(ArtifactsInput!$N$7+1,6,7.2,8.4,9.6,10.8,12)))/100))+MIN((Skills!T18*(1+((Inputs!$B$34+(ArtifactsInput!$M$7-ArtifactsInput!$M$7)*CHOOSE(ArtifactsInput!$N$7+1,6,7.2,8.4,9.6,10.8,12)))/100)),MAX(0,Inputs!$B$43-((R528-1)*Skills!E18))))/Inputs!$B$43),IF(Inputs!$B$38="pvp",MIN((Skills!T18*(1+((Inputs!$B$34+(ArtifactsInput!$M$7-ArtifactsInput!$M$7)*CHOOSE(ArtifactsInput!$N$7+1,6,7.2,8.4,9.6,10.8,12)))/100)),15)/15,(Skills!T18*(1+((Inputs!$B$34+(ArtifactsInput!$M$7-ArtifactsInput!$M$7)*CHOOSE(ArtifactsInput!$N$7+1,6,7.2,8.4,9.6,10.8,12)))/100))/Skills!E18))</f>
        <v/>
      </c>
    </row>
    <row r="544">
      <c r="A544" t="inlineStr">
        <is>
          <t>Actions Per Second</t>
        </is>
      </c>
      <c r="B544">
        <f>1+MIN(150,150*(1-(1-(Inputs!$B$11+(ArtifactsInput!$M$15-ArtifactsInput!$M$15)*CHOOSE(ArtifactsInput!$N$15+1,8,9.6,11.2,12.8,14.4,16))/150)*(1-B543/150)))/100</f>
        <v/>
      </c>
    </row>
    <row r="545">
      <c r="A545" t="inlineStr">
        <is>
          <t>Skill + Buff Cast Rate</t>
        </is>
      </c>
      <c r="B545">
        <f>IF(AND(Inputs!$B$38&lt;&gt;"pvp",Inputs!$B$43&gt;0),SUMPRODUCT((Skills!F2:F28=TRUE)*(C512:C538=TRUE)*R512:R538)/Inputs!$B$43,SUMPRODUCT((Skills!F2:F28=TRUE)*(C512:C538=TRUE)*Q512:Q538))</f>
        <v/>
      </c>
    </row>
    <row r="546">
      <c r="A546" t="inlineStr">
        <is>
          <t>Basic Attacks Per Second</t>
        </is>
      </c>
      <c r="B546">
        <f>MAX(0,B544-B545)</f>
        <v/>
      </c>
    </row>
    <row r="547">
      <c r="A547" t="inlineStr">
        <is>
          <t>Meteor Proc — combined trigger cast rate</t>
        </is>
      </c>
      <c r="B547">
        <f>IF(AND(Inputs!$B$38&lt;&gt;"pvp",Inputs!$B$43&gt;0),SUMPRODUCT((Skills!V2:V28=TRUE)*(C512:C538=TRUE)*R512:R538*Skills!W2:W28)/Inputs!$B$43,SUMPRODUCT((Skills!V2:V28=TRUE)*(C512:C538=TRUE)*Q512:Q538*Skills!W2:W28))+B546</f>
        <v/>
      </c>
    </row>
    <row r="548">
      <c r="A548" t="inlineStr">
        <is>
          <t>Buff-Casting Startup Delay (s, fixed-duration only)</t>
        </is>
      </c>
      <c r="B548">
        <f>IF(AND(Inputs!$B$38&lt;&gt;"pvp",Inputs!$B$43&gt;0),SUMPRODUCT((Skills!T2:T28&gt;0)*(Skills!F2:F28=TRUE)*(C512:C538=TRUE))/B544,0)</f>
        <v/>
      </c>
    </row>
    <row r="549">
      <c r="A549" t="inlineStr">
        <is>
          <t>Boss-Only Total DPS (this block's swept value)</t>
        </is>
      </c>
      <c r="B549">
        <f>SUM(S512:S538)</f>
        <v/>
      </c>
    </row>
    <row r="550">
      <c r="A550" t="inlineStr">
        <is>
          <t>Normal-Only Total DPS (this block's swept value)</t>
        </is>
      </c>
      <c r="B550">
        <f>SUM(U512:U538)</f>
        <v/>
      </c>
    </row>
    <row r="551">
      <c r="A551" s="6" t="inlineStr">
        <is>
          <t>TOTAL DPS</t>
        </is>
      </c>
      <c r="B551" s="6">
        <f>SUM(O512:O538)</f>
        <v/>
      </c>
    </row>
    <row r="554">
      <c r="A554" s="6" t="inlineStr">
        <is>
          <t>Stat: ATTACK_SPEED % (diminishing returns, factor 150)</t>
        </is>
      </c>
    </row>
    <row r="555">
      <c r="A555" s="5" t="inlineStr">
        <is>
          <t>Key</t>
        </is>
      </c>
      <c r="B555" s="5" t="inlineStr">
        <is>
          <t>Name</t>
        </is>
      </c>
      <c r="C555" s="5" t="inlineStr">
        <is>
          <t>Unlocked</t>
        </is>
      </c>
      <c r="D555" s="5" t="inlineStr">
        <is>
          <t>InputLevel</t>
        </is>
      </c>
      <c r="E555" s="5" t="inlineStr">
        <is>
          <t>Factor</t>
        </is>
      </c>
      <c r="F555" s="5" t="inlineStr">
        <is>
          <t>CoefficientPercent</t>
        </is>
      </c>
      <c r="G555" s="5" t="inlineStr">
        <is>
          <t>EffectiveHits</t>
        </is>
      </c>
      <c r="H555" s="5" t="inlineStr">
        <is>
          <t>ProcProbability</t>
        </is>
      </c>
      <c r="I555" s="5" t="inlineStr">
        <is>
          <t>MapleHeroMultiplier</t>
        </is>
      </c>
      <c r="J555" s="5" t="inlineStr">
        <is>
          <t>BaseDamage</t>
        </is>
      </c>
      <c r="K555" s="5" t="inlineStr">
        <is>
          <t>BaseHitDamage</t>
        </is>
      </c>
      <c r="L555" s="5" t="inlineStr">
        <is>
          <t>NonCritAvg</t>
        </is>
      </c>
      <c r="M555" s="5" t="inlineStr">
        <is>
          <t>CritAvg</t>
        </is>
      </c>
      <c r="N555" s="5" t="inlineStr">
        <is>
          <t>ExpectedDamage(perHit)</t>
        </is>
      </c>
      <c r="O555" s="5" t="inlineStr">
        <is>
          <t>DPS</t>
        </is>
      </c>
      <c r="P555" s="5" t="inlineStr">
        <is>
          <t>% of Total</t>
        </is>
      </c>
      <c r="R555" t="inlineStr">
        <is>
          <t>helpers</t>
        </is>
      </c>
    </row>
    <row r="556">
      <c r="A556">
        <f>Skills!A2</f>
        <v/>
      </c>
      <c r="B556">
        <f>Skills!B2</f>
        <v/>
      </c>
      <c r="C556">
        <f>TRUE</f>
        <v/>
      </c>
      <c r="D556" t="inlineStr"/>
      <c r="E556" t="inlineStr"/>
      <c r="F556">
        <f>T558+Skills!O2</f>
        <v/>
      </c>
      <c r="G556">
        <f>Calc!G2</f>
        <v/>
      </c>
      <c r="H556">
        <f>Calc!H2</f>
        <v/>
      </c>
      <c r="I556">
        <f>IF(Skills!X2&lt;&gt;"",1+(Skills!X2/10)*(Z557/1000)/100,1)</f>
        <v/>
      </c>
      <c r="J556">
        <f>((Inputs!$B$6*(1+Inputs!$B$7/100))+(((Inputs!$B$12*(1+Inputs!$B$13/100))-(Inputs!$B$12*(1+Inputs!$B$13/100)))+0.25*(Inputs!$B$14-Inputs!$B$14))*(1+Inputs!$B$7/100))*(F556/100)</f>
        <v/>
      </c>
      <c r="K556">
        <f>J556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556)</f>
        <v/>
      </c>
      <c r="L556">
        <f>K556*(MIN(Inputs!$B$22+(F576-Calc!F22),(Inputs!$B$23+(IF(ArtifactsInput!$M$15,CHOOSE(ArtifactsInput!$N$15+1,25,30,35,40,45,50)/100*(((1-(1-Inputs!$B$11/150)*(1-1/150))*150)-Inputs!$B$11),0))))/100+(Inputs!$B$23+(IF(ArtifactsInput!$M$15,CHOOSE(ArtifactsInput!$N$15+1,25,30,35,40,45,50)/100*(((1-(1-Inputs!$B$11/150)*(1-1/150))*150)-Inputs!$B$11),0)))/100)/2</f>
        <v/>
      </c>
      <c r="M556">
        <f>L556*(1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6">
        <f>L556*(1-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556*(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6">
        <f>(1-Summary!$B$11)*S556+Summary!$B$11*U556</f>
        <v/>
      </c>
      <c r="P556">
        <f>IF(B595=0,0,O556/B595)</f>
        <v/>
      </c>
      <c r="Q556">
        <f>IFERROR(1/(IF(Inputs!$B$38="pvp",15,MAX(0.1,Skills!E2-IF(Skills!F2=TRUE,Inputs!$B$32,0)))*(1-IF(AND(ArtifactsInput!$M$27,Inputs!$B$4="Chapter Hunt"),CHOOSE(ArtifactsInput!$N$27+1,20,24,28,32,36,40),0)/100)),0)</f>
        <v/>
      </c>
      <c r="R556" t="n">
        <v>0</v>
      </c>
      <c r="S556">
        <f>(Skills!G2*N556*B590)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556*(1-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556*(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556*(1-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556*(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556">
        <f>MAX(0,(Inputs!$B$3-100)*3)+Inputs!$B$28+Inputs!$B$29</f>
        <v/>
      </c>
      <c r="U556">
        <f>(Skills!G2*N556*B590)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556">
        <f>MAX(0,(Inputs!$B$3-100)*3)+Inputs!$B$28+Inputs!$B$29</f>
        <v/>
      </c>
    </row>
    <row r="557">
      <c r="A557">
        <f>Skills!A3</f>
        <v/>
      </c>
      <c r="B557">
        <f>Skills!B3</f>
        <v/>
      </c>
      <c r="C557">
        <f>TRUE</f>
        <v/>
      </c>
      <c r="D557">
        <f>IF(Skills!C3=1,60+Inputs!$B$25+Inputs!$B$29,IF(Skills!C3=2,90+Inputs!$B$26+Inputs!$B$29,IF(Skills!C3=3,120+Inputs!$B$27+Inputs!$B$29,MAX(0,(Inputs!$B$3-100)*3)+Inputs!$B$28+Inputs!$B$29)))</f>
        <v/>
      </c>
      <c r="E557">
        <f>INDEX(FactorTable!$B$2:$Y$301, MATCH(ROUND(MIN(300,MAX(1,D557)),0), FactorTable!$A$2:$A$301,0), Skills!M3+1)</f>
        <v/>
      </c>
      <c r="F557">
        <f>IF(Skills!N3=TRUE,(Skills!L3/10)*(E557/1000),Skills!L3/10)+Skills!O3</f>
        <v/>
      </c>
      <c r="G557">
        <f>Calc!G3</f>
        <v/>
      </c>
      <c r="H557">
        <f>Calc!H3</f>
        <v/>
      </c>
      <c r="I557">
        <f>IF(Skills!X3&lt;&gt;"",1+(Skills!X3/10)*(Z557/1000)/100,1)</f>
        <v/>
      </c>
      <c r="J557">
        <f>((Inputs!$B$6*(1+Inputs!$B$7/100))+(((Inputs!$B$12*(1+Inputs!$B$13/100))-(Inputs!$B$12*(1+Inputs!$B$13/100)))+0.25*(Inputs!$B$14-Inputs!$B$14))*(1+Inputs!$B$7/100))*(F557/100)</f>
        <v/>
      </c>
      <c r="K557">
        <f>J557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557)</f>
        <v/>
      </c>
      <c r="L557">
        <f>K557*(MIN(Inputs!$B$22+(F576-Calc!F22),(Inputs!$B$23+(IF(ArtifactsInput!$M$15,CHOOSE(ArtifactsInput!$N$15+1,25,30,35,40,45,50)/100*(((1-(1-Inputs!$B$11/150)*(1-1/150))*150)-Inputs!$B$11),0))))/100+(Inputs!$B$23+(IF(ArtifactsInput!$M$15,CHOOSE(ArtifactsInput!$N$15+1,25,30,35,40,45,50)/100*(((1-(1-Inputs!$B$11/150)*(1-1/150))*150)-Inputs!$B$11),0)))/100)/2</f>
        <v/>
      </c>
      <c r="M557">
        <f>L557*(1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7">
        <f>L557*(1-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557*(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7">
        <f>(1-Summary!$B$11)*S557+Summary!$B$11*U557</f>
        <v/>
      </c>
      <c r="P557">
        <f>IF(B595=0,0,O557/B595)</f>
        <v/>
      </c>
      <c r="Q557">
        <f>IFERROR(1/(IF(Inputs!$B$38="pvp",15,MAX(0.1,Skills!E3-IF(Skills!F3=TRUE,Inputs!$B$32,0)))*(1-IF(AND(ArtifactsInput!$M$27,Inputs!$B$4="Chapter Hunt"),CHOOSE(ArtifactsInput!$N$27+1,20,24,28,32,36,40),0)/100)),0)</f>
        <v/>
      </c>
      <c r="R557">
        <f>IF(AND(Inputs!$B$38&lt;&gt;"pvp",Inputs!$B$43&gt;0),IF(MAX(0,Inputs!$B$43-B592)&lt;=0,0,(INT(MAX(0,Inputs!$B$43-B592)/(IF(Inputs!$B$38="pvp",15,MAX(0.1,Skills!E3-IF(Skills!F3=TRUE,Inputs!$B$32,0)))*(1-IF(AND(ArtifactsInput!$M$27,Inputs!$B$4="Chapter Hunt"),CHOOSE(ArtifactsInput!$N$27+1,20,24,28,32,36,40),0)/100)))+1)),0)</f>
        <v/>
      </c>
      <c r="S557">
        <f>IF(C557,(H557*N557*IF(AND(Inputs!$B$38&lt;&gt;"pvp",Inputs!$B$43&gt;0),((Skills!G3*((R557-1)*IF(Skills!H3&gt;0,Skills!I3/Skills!H3,1)+IF(Skills!H3&gt;0,MIN(Skills!I3,MAX(0,MAX(0,Inputs!$B$43-B592)-((R557-1)*(IF(Inputs!$B$38="pvp",15,MAX(0.1,Skills!E3-IF(Skills!F3=TRUE,Inputs!$B$32,0)))*(1-IF(AND(ArtifactsInput!$M$27,Inputs!$B$4="Chapter Hunt"),CHOOSE(ArtifactsInput!$N$27+1,20,24,28,32,36,40),0)/100)))))/Skills!H3,1)))/Inputs!$B$43),G557*Q557)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557*(1-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557*(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557*(1-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557*(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557">
        <f>INDEX(FactorTable!$B$2:$Y$301, MATCH(ROUND(MIN(300,MAX(1,T556)),0), FactorTable!$A$2:$A$301,0), 22)</f>
        <v/>
      </c>
      <c r="U557">
        <f>IF(C557,(H557*N557*IF(AND(Inputs!$B$38&lt;&gt;"pvp",Inputs!$B$43&gt;0),((Skills!G3*((R557-1)*IF(Skills!H3&gt;0,Skills!I3/Skills!H3,1)+IF(Skills!H3&gt;0,MIN(Skills!I3,MAX(0,MAX(0,Inputs!$B$43-B592)-((R557-1)*(IF(Inputs!$B$38="pvp",15,MAX(0.1,Skills!E3-IF(Skills!F3=TRUE,Inputs!$B$32,0)))*(1-IF(AND(ArtifactsInput!$M$27,Inputs!$B$4="Chapter Hunt"),CHOOSE(ArtifactsInput!$N$27+1,20,24,28,32,36,40),0)/100)))))/Skills!H3,1)))/Inputs!$B$43),G557*Q557)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557">
        <f>INDEX(FactorTable!$B$2:$Y$301, MATCH(ROUND(MIN(300,MAX(1,Z556)),0), FactorTable!$A$2:$A$301,0), 24)</f>
        <v/>
      </c>
    </row>
    <row r="558">
      <c r="A558">
        <f>Skills!A4</f>
        <v/>
      </c>
      <c r="B558">
        <f>Skills!B4</f>
        <v/>
      </c>
      <c r="C558">
        <f>TRUE</f>
        <v/>
      </c>
      <c r="D558">
        <f>IF(Skills!C4=1,60+Inputs!$B$25+Inputs!$B$29,IF(Skills!C4=2,90+Inputs!$B$26+Inputs!$B$29,IF(Skills!C4=3,120+Inputs!$B$27+Inputs!$B$29,MAX(0,(Inputs!$B$3-100)*3)+Inputs!$B$28+Inputs!$B$29)))</f>
        <v/>
      </c>
      <c r="E558">
        <f>INDEX(FactorTable!$B$2:$Y$301, MATCH(ROUND(MIN(300,MAX(1,D558)),0), FactorTable!$A$2:$A$301,0), Skills!M4+1)</f>
        <v/>
      </c>
      <c r="F558">
        <f>IF(Skills!N4=TRUE,(Skills!L4/10)*(E558/1000),Skills!L4/10)+Skills!O4</f>
        <v/>
      </c>
      <c r="G558">
        <f>Calc!G4</f>
        <v/>
      </c>
      <c r="H558">
        <f>Calc!H4</f>
        <v/>
      </c>
      <c r="I558">
        <f>IF(Skills!X4&lt;&gt;"",1+(Skills!X4/10)*(Z557/1000)/100,1)</f>
        <v/>
      </c>
      <c r="J558">
        <f>((Inputs!$B$6*(1+Inputs!$B$7/100))+(((Inputs!$B$12*(1+Inputs!$B$13/100))-(Inputs!$B$12*(1+Inputs!$B$13/100)))+0.25*(Inputs!$B$14-Inputs!$B$14))*(1+Inputs!$B$7/100))*(F558/100)</f>
        <v/>
      </c>
      <c r="K558">
        <f>J558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558)</f>
        <v/>
      </c>
      <c r="L558">
        <f>K558*(MIN(Inputs!$B$22+(F576-Calc!F22),(Inputs!$B$23+(IF(ArtifactsInput!$M$15,CHOOSE(ArtifactsInput!$N$15+1,25,30,35,40,45,50)/100*(((1-(1-Inputs!$B$11/150)*(1-1/150))*150)-Inputs!$B$11),0))))/100+(Inputs!$B$23+(IF(ArtifactsInput!$M$15,CHOOSE(ArtifactsInput!$N$15+1,25,30,35,40,45,50)/100*(((1-(1-Inputs!$B$11/150)*(1-1/150))*150)-Inputs!$B$11),0)))/100)/2</f>
        <v/>
      </c>
      <c r="M558">
        <f>L558*(1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8">
        <f>L558*(1-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558*(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8">
        <f>(1-Summary!$B$11)*S558+Summary!$B$11*U558</f>
        <v/>
      </c>
      <c r="P558">
        <f>IF(B595=0,0,O558/B595)</f>
        <v/>
      </c>
      <c r="Q558">
        <f>IFERROR(1/(IF(Inputs!$B$38="pvp",15,MAX(0.1,Skills!E4-IF(Skills!F4=TRUE,Inputs!$B$32,0)))*(1-IF(AND(ArtifactsInput!$M$27,Inputs!$B$4="Chapter Hunt"),CHOOSE(ArtifactsInput!$N$27+1,20,24,28,32,36,40),0)/100)),0)</f>
        <v/>
      </c>
      <c r="R558">
        <f>IF(AND(Inputs!$B$38&lt;&gt;"pvp",Inputs!$B$43&gt;0),IF(MAX(0,Inputs!$B$43-B592)&lt;=0,0,(INT(MAX(0,Inputs!$B$43-B592)/(IF(Inputs!$B$38="pvp",15,MAX(0.1,Skills!E4-IF(Skills!F4=TRUE,Inputs!$B$32,0)))*(1-IF(AND(ArtifactsInput!$M$27,Inputs!$B$4="Chapter Hunt"),CHOOSE(ArtifactsInput!$N$27+1,20,24,28,32,36,40),0)/100)))+1)),0)</f>
        <v/>
      </c>
      <c r="S558">
        <f>IF(C558,(H558*N558*IF(AND(Inputs!$B$38&lt;&gt;"pvp",Inputs!$B$43&gt;0),((Skills!G4*((R558-1)*IF(Skills!H4&gt;0,Skills!I4/Skills!H4,1)+IF(Skills!H4&gt;0,MIN(Skills!I4,MAX(0,MAX(0,Inputs!$B$43-B592)-((R558-1)*(IF(Inputs!$B$38="pvp",15,MAX(0.1,Skills!E4-IF(Skills!F4=TRUE,Inputs!$B$32,0)))*(1-IF(AND(ArtifactsInput!$M$27,Inputs!$B$4="Chapter Hunt"),CHOOSE(ArtifactsInput!$N$27+1,20,24,28,32,36,40),0)/100)))))/Skills!H4,1)))/Inputs!$B$43),G558*Q558)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558*(1-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558*(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558*(1-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558*(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558">
        <f>290*T557/1000</f>
        <v/>
      </c>
      <c r="U558">
        <f>IF(C558,(H558*N558*IF(AND(Inputs!$B$38&lt;&gt;"pvp",Inputs!$B$43&gt;0),((Skills!G4*((R558-1)*IF(Skills!H4&gt;0,Skills!I4/Skills!H4,1)+IF(Skills!H4&gt;0,MIN(Skills!I4,MAX(0,MAX(0,Inputs!$B$43-B592)-((R558-1)*(IF(Inputs!$B$38="pvp",15,MAX(0.1,Skills!E4-IF(Skills!F4=TRUE,Inputs!$B$32,0)))*(1-IF(AND(ArtifactsInput!$M$27,Inputs!$B$4="Chapter Hunt"),CHOOSE(ArtifactsInput!$N$27+1,20,24,28,32,36,40),0)/100)))))/Skills!H4,1)))/Inputs!$B$43),G558*Q558)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9">
      <c r="A559">
        <f>Skills!A5</f>
        <v/>
      </c>
      <c r="B559">
        <f>Skills!B5</f>
        <v/>
      </c>
      <c r="C559">
        <f>TRUE</f>
        <v/>
      </c>
      <c r="D559">
        <f>IF(Skills!C5=1,60+Inputs!$B$25+Inputs!$B$29,IF(Skills!C5=2,90+Inputs!$B$26+Inputs!$B$29,IF(Skills!C5=3,120+Inputs!$B$27+Inputs!$B$29,MAX(0,(Inputs!$B$3-100)*3)+Inputs!$B$28+Inputs!$B$29)))</f>
        <v/>
      </c>
      <c r="E559">
        <f>INDEX(FactorTable!$B$2:$Y$301, MATCH(ROUND(MIN(300,MAX(1,D559)),0), FactorTable!$A$2:$A$301,0), Skills!M5+1)</f>
        <v/>
      </c>
      <c r="F559">
        <f>IF(Skills!N5=TRUE,(Skills!L5/10)*(E559/1000),Skills!L5/10)+Skills!O5</f>
        <v/>
      </c>
      <c r="G559">
        <f>Calc!G5</f>
        <v/>
      </c>
      <c r="H559">
        <f>Calc!H5</f>
        <v/>
      </c>
      <c r="I559">
        <f>IF(Skills!X5&lt;&gt;"",1+(Skills!X5/10)*(Z557/1000)/100,1)</f>
        <v/>
      </c>
      <c r="J559">
        <f>((Inputs!$B$6*(1+Inputs!$B$7/100))+(((Inputs!$B$12*(1+Inputs!$B$13/100))-(Inputs!$B$12*(1+Inputs!$B$13/100)))+0.25*(Inputs!$B$14-Inputs!$B$14))*(1+Inputs!$B$7/100))*(F559/100)</f>
        <v/>
      </c>
      <c r="K559">
        <f>J559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559)</f>
        <v/>
      </c>
      <c r="L559">
        <f>K559*(MIN(Inputs!$B$22+(F576-Calc!F22),(Inputs!$B$23+(IF(ArtifactsInput!$M$15,CHOOSE(ArtifactsInput!$N$15+1,25,30,35,40,45,50)/100*(((1-(1-Inputs!$B$11/150)*(1-1/150))*150)-Inputs!$B$11),0))))/100+(Inputs!$B$23+(IF(ArtifactsInput!$M$15,CHOOSE(ArtifactsInput!$N$15+1,25,30,35,40,45,50)/100*(((1-(1-Inputs!$B$11/150)*(1-1/150))*150)-Inputs!$B$11),0)))/100)/2</f>
        <v/>
      </c>
      <c r="M559">
        <f>L559*(1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9">
        <f>L559*(1-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559*(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9">
        <f>(1-Summary!$B$11)*S559+Summary!$B$11*U559</f>
        <v/>
      </c>
      <c r="P559">
        <f>IF(B595=0,0,O559/B595)</f>
        <v/>
      </c>
      <c r="Q559">
        <f>IFERROR(1/(IF(Inputs!$B$38="pvp",15,MAX(0.1,Skills!E5-IF(Skills!F5=TRUE,Inputs!$B$32,0)))*(1-IF(AND(ArtifactsInput!$M$27,Inputs!$B$4="Chapter Hunt"),CHOOSE(ArtifactsInput!$N$27+1,20,24,28,32,36,40),0)/100)),0)</f>
        <v/>
      </c>
      <c r="R559">
        <f>IF(AND(Inputs!$B$38&lt;&gt;"pvp",Inputs!$B$43&gt;0),IF(MAX(0,Inputs!$B$43-B592)&lt;=0,0,(INT(MAX(0,Inputs!$B$43-B592)/(IF(Inputs!$B$38="pvp",15,MAX(0.1,Skills!E5-IF(Skills!F5=TRUE,Inputs!$B$32,0)))*(1-IF(AND(ArtifactsInput!$M$27,Inputs!$B$4="Chapter Hunt"),CHOOSE(ArtifactsInput!$N$27+1,20,24,28,32,36,40),0)/100)))+1)),0)</f>
        <v/>
      </c>
      <c r="S559">
        <f>IF(C559,(H559*N559*IF(AND(Inputs!$B$38&lt;&gt;"pvp",Inputs!$B$43&gt;0),((Skills!G5*((R559-1)*IF(Skills!H5&gt;0,Skills!I5/Skills!H5,1)+IF(Skills!H5&gt;0,MIN(Skills!I5,MAX(0,MAX(0,Inputs!$B$43-B592)-((R559-1)*(IF(Inputs!$B$38="pvp",15,MAX(0.1,Skills!E5-IF(Skills!F5=TRUE,Inputs!$B$32,0)))*(1-IF(AND(ArtifactsInput!$M$27,Inputs!$B$4="Chapter Hunt"),CHOOSE(ArtifactsInput!$N$27+1,20,24,28,32,36,40),0)/100)))))/Skills!H5,1)))/Inputs!$B$43),G559*Q559)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559*(1-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559*(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559*(1-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559*(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59">
        <f>IF(C559,(H559*N559*IF(AND(Inputs!$B$38&lt;&gt;"pvp",Inputs!$B$43&gt;0),((Skills!G5*((R559-1)*IF(Skills!H5&gt;0,Skills!I5/Skills!H5,1)+IF(Skills!H5&gt;0,MIN(Skills!I5,MAX(0,MAX(0,Inputs!$B$43-B592)-((R559-1)*(IF(Inputs!$B$38="pvp",15,MAX(0.1,Skills!E5-IF(Skills!F5=TRUE,Inputs!$B$32,0)))*(1-IF(AND(ArtifactsInput!$M$27,Inputs!$B$4="Chapter Hunt"),CHOOSE(ArtifactsInput!$N$27+1,20,24,28,32,36,40),0)/100)))))/Skills!H5,1)))/Inputs!$B$43),G559*Q559)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0">
      <c r="A560">
        <f>Skills!A6</f>
        <v/>
      </c>
      <c r="B560">
        <f>Skills!B6</f>
        <v/>
      </c>
      <c r="C560">
        <f>TRUE</f>
        <v/>
      </c>
      <c r="D560">
        <f>IF(Skills!C6=1,60+Inputs!$B$25+Inputs!$B$29,IF(Skills!C6=2,90+Inputs!$B$26+Inputs!$B$29,IF(Skills!C6=3,120+Inputs!$B$27+Inputs!$B$29,MAX(0,(Inputs!$B$3-100)*3)+Inputs!$B$28+Inputs!$B$29)))</f>
        <v/>
      </c>
      <c r="E560">
        <f>INDEX(FactorTable!$B$2:$Y$301, MATCH(ROUND(MIN(300,MAX(1,D560)),0), FactorTable!$A$2:$A$301,0), Skills!M6+1)</f>
        <v/>
      </c>
      <c r="F560">
        <f>IF(Skills!N6=TRUE,(Skills!L6/10)*(E560/1000),Skills!L6/10)+Skills!O6</f>
        <v/>
      </c>
      <c r="G560">
        <f>Calc!G6</f>
        <v/>
      </c>
      <c r="H560">
        <f>Calc!H6</f>
        <v/>
      </c>
      <c r="I560">
        <f>IF(Skills!X6&lt;&gt;"",1+(Skills!X6/10)*(Z557/1000)/100,1)</f>
        <v/>
      </c>
      <c r="J560" t="inlineStr"/>
      <c r="K560" t="inlineStr"/>
      <c r="L560" t="inlineStr"/>
      <c r="M560" t="inlineStr"/>
      <c r="N560" t="inlineStr"/>
      <c r="O560">
        <f>(1-Summary!$B$11)*S560+Summary!$B$11*U560</f>
        <v/>
      </c>
      <c r="P560">
        <f>IF(B595=0,0,O560/B595)</f>
        <v/>
      </c>
      <c r="Q560">
        <f>IFERROR(1/(IF(Inputs!$B$38="pvp",15,MAX(0.1,Skills!E6-IF(Skills!F6=TRUE,Inputs!$B$32,0)))*(1-IF(AND(ArtifactsInput!$M$27,Inputs!$B$4="Chapter Hunt"),CHOOSE(ArtifactsInput!$N$27+1,20,24,28,32,36,40),0)/100)),0)</f>
        <v/>
      </c>
      <c r="R560">
        <f>IF(AND(Inputs!$B$38&lt;&gt;"pvp",Inputs!$B$43&gt;0),IF(Inputs!$B$43&lt;=0,0,(INT(Inputs!$B$43/(IF(Inputs!$B$38="pvp",15,MAX(0.1,Skills!E6-IF(Skills!F6=TRUE,Inputs!$B$32,0)))*(1-IF(AND(ArtifactsInput!$M$27,Inputs!$B$4="Chapter Hunt"),CHOOSE(ArtifactsInput!$N$27+1,20,24,28,32,36,40),0)/100)))+1)),0)</f>
        <v/>
      </c>
      <c r="S560" t="n">
        <v>0</v>
      </c>
      <c r="U560" t="n">
        <v>0</v>
      </c>
    </row>
    <row r="561">
      <c r="A561">
        <f>Skills!A7</f>
        <v/>
      </c>
      <c r="B561">
        <f>Skills!B7</f>
        <v/>
      </c>
      <c r="C561">
        <f>TRUE</f>
        <v/>
      </c>
      <c r="D561">
        <f>IF(Skills!C7=1,60+Inputs!$B$25+Inputs!$B$29,IF(Skills!C7=2,90+Inputs!$B$26+Inputs!$B$29,IF(Skills!C7=3,120+Inputs!$B$27+Inputs!$B$29,MAX(0,(Inputs!$B$3-100)*3)+Inputs!$B$28+Inputs!$B$29)))</f>
        <v/>
      </c>
      <c r="E561">
        <f>INDEX(FactorTable!$B$2:$Y$301, MATCH(ROUND(MIN(300,MAX(1,D561)),0), FactorTable!$A$2:$A$301,0), Skills!M7+1)</f>
        <v/>
      </c>
      <c r="F561">
        <f>IF(Skills!N7=TRUE,(Skills!L7/10)*(E561/1000),Skills!L7/10)+Skills!O7</f>
        <v/>
      </c>
      <c r="G561">
        <f>Calc!G7</f>
        <v/>
      </c>
      <c r="H561">
        <f>Calc!H7</f>
        <v/>
      </c>
      <c r="I561">
        <f>IF(Skills!X7&lt;&gt;"",1+(Skills!X7/10)*(Z557/1000)/100,1)</f>
        <v/>
      </c>
      <c r="J561">
        <f>((Inputs!$B$6*(1+Inputs!$B$7/100))+(((Inputs!$B$12*(1+Inputs!$B$13/100))-(Inputs!$B$12*(1+Inputs!$B$13/100)))+0.25*(Inputs!$B$14-Inputs!$B$14))*(1+Inputs!$B$7/100))*(F561/100)</f>
        <v/>
      </c>
      <c r="K561">
        <f>J561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561)</f>
        <v/>
      </c>
      <c r="L561">
        <f>K561*(MIN(Inputs!$B$22+(F576-Calc!F22),(Inputs!$B$23+(IF(ArtifactsInput!$M$15,CHOOSE(ArtifactsInput!$N$15+1,25,30,35,40,45,50)/100*(((1-(1-Inputs!$B$11/150)*(1-1/150))*150)-Inputs!$B$11),0))))/100+(Inputs!$B$23+(IF(ArtifactsInput!$M$15,CHOOSE(ArtifactsInput!$N$15+1,25,30,35,40,45,50)/100*(((1-(1-Inputs!$B$11/150)*(1-1/150))*150)-Inputs!$B$11),0)))/100)/2</f>
        <v/>
      </c>
      <c r="M561">
        <f>L561*(1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1">
        <f>L561*(1-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1">
        <f>(1-Summary!$B$11)*S561+Summary!$B$11*U561</f>
        <v/>
      </c>
      <c r="P561">
        <f>IF(B595=0,0,O561/B595)</f>
        <v/>
      </c>
      <c r="Q561">
        <f>IFERROR(1/(IF(Inputs!$B$38="pvp",15,MAX(0.1,Skills!E7-IF(Skills!F7=TRUE,Inputs!$B$32,0)))*(1-IF(AND(ArtifactsInput!$M$27,Inputs!$B$4="Chapter Hunt"),CHOOSE(ArtifactsInput!$N$27+1,20,24,28,32,36,40),0)/100)),0)</f>
        <v/>
      </c>
      <c r="R561">
        <f>IF(AND(Inputs!$B$38&lt;&gt;"pvp",Inputs!$B$43&gt;0),IF(MAX(0,Inputs!$B$43-B592)&lt;=0,0,(INT(MAX(0,Inputs!$B$43-B592)/(IF(Inputs!$B$38="pvp",15,MAX(0.1,Skills!E7-IF(Skills!F7=TRUE,Inputs!$B$32,0)))*(1-IF(AND(ArtifactsInput!$M$27,Inputs!$B$4="Chapter Hunt"),CHOOSE(ArtifactsInput!$N$27+1,20,24,28,32,36,40),0)/100)))+1)),0)</f>
        <v/>
      </c>
      <c r="S561">
        <f>IF(C561,(H561*N561*IF(AND(Inputs!$B$38&lt;&gt;"pvp",Inputs!$B$43&gt;0),((Skills!G7*((R561-1)*IF(Skills!H7&gt;0,Skills!I7/Skills!H7,1)+IF(Skills!H7&gt;0,MIN(Skills!I7,MAX(0,MAX(0,Inputs!$B$43-B592)-((R561-1)*(IF(Inputs!$B$38="pvp",15,MAX(0.1,Skills!E7-IF(Skills!F7=TRUE,Inputs!$B$32,0)))*(1-IF(AND(ArtifactsInput!$M$27,Inputs!$B$4="Chapter Hunt"),CHOOSE(ArtifactsInput!$N$27+1,20,24,28,32,36,40),0)/100)))))/Skills!H7,1)))/Inputs!$B$43),G561*Q561)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561*(1-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561*(1-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1">
        <f>IF(C561,(H561*N561*IF(AND(Inputs!$B$38&lt;&gt;"pvp",Inputs!$B$43&gt;0),((Skills!G7*((R561-1)*IF(Skills!H7&gt;0,Skills!I7/Skills!H7,1)+IF(Skills!H7&gt;0,MIN(Skills!I7,MAX(0,MAX(0,Inputs!$B$43-B592)-((R561-1)*(IF(Inputs!$B$38="pvp",15,MAX(0.1,Skills!E7-IF(Skills!F7=TRUE,Inputs!$B$32,0)))*(1-IF(AND(ArtifactsInput!$M$27,Inputs!$B$4="Chapter Hunt"),CHOOSE(ArtifactsInput!$N$27+1,20,24,28,32,36,40),0)/100)))))/Skills!H7,1)))/Inputs!$B$43),G561*Q561)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2">
      <c r="A562">
        <f>Skills!A8</f>
        <v/>
      </c>
      <c r="B562">
        <f>Skills!B8</f>
        <v/>
      </c>
      <c r="C562">
        <f>TRUE</f>
        <v/>
      </c>
      <c r="D562">
        <f>IF(Skills!C8=1,60+Inputs!$B$25+Inputs!$B$29,IF(Skills!C8=2,90+Inputs!$B$26+Inputs!$B$29,IF(Skills!C8=3,120+Inputs!$B$27+Inputs!$B$29,MAX(0,(Inputs!$B$3-100)*3)+Inputs!$B$28+Inputs!$B$29)))</f>
        <v/>
      </c>
      <c r="E562">
        <f>INDEX(FactorTable!$B$2:$Y$301, MATCH(ROUND(MIN(300,MAX(1,D562)),0), FactorTable!$A$2:$A$301,0), Skills!M8+1)</f>
        <v/>
      </c>
      <c r="F562">
        <f>IF(Skills!N8=TRUE,(Skills!L8/10)*(E562/1000),Skills!L8/10)+Skills!O8</f>
        <v/>
      </c>
      <c r="G562">
        <f>Calc!G8</f>
        <v/>
      </c>
      <c r="H562">
        <f>Calc!H8</f>
        <v/>
      </c>
      <c r="I562">
        <f>IF(Skills!X8&lt;&gt;"",1+(Skills!X8/10)*(Z557/1000)/100,1)</f>
        <v/>
      </c>
      <c r="J562">
        <f>((Inputs!$B$6*(1+Inputs!$B$7/100))+(((Inputs!$B$12*(1+Inputs!$B$13/100))-(Inputs!$B$12*(1+Inputs!$B$13/100)))+0.25*(Inputs!$B$14-Inputs!$B$14))*(1+Inputs!$B$7/100))*(F562/100)</f>
        <v/>
      </c>
      <c r="K562">
        <f>J562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562)</f>
        <v/>
      </c>
      <c r="L562">
        <f>K562*(MIN(Inputs!$B$22+(F576-Calc!F22),(Inputs!$B$23+(IF(ArtifactsInput!$M$15,CHOOSE(ArtifactsInput!$N$15+1,25,30,35,40,45,50)/100*(((1-(1-Inputs!$B$11/150)*(1-1/150))*150)-Inputs!$B$11),0))))/100+(Inputs!$B$23+(IF(ArtifactsInput!$M$15,CHOOSE(ArtifactsInput!$N$15+1,25,30,35,40,45,50)/100*(((1-(1-Inputs!$B$11/150)*(1-1/150))*150)-Inputs!$B$11),0)))/100)/2</f>
        <v/>
      </c>
      <c r="M562">
        <f>L562*(1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2">
        <f>L562*(1-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562*(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2">
        <f>(1-Summary!$B$11)*S562+Summary!$B$11*U562</f>
        <v/>
      </c>
      <c r="P562">
        <f>IF(B595=0,0,O562/B595)</f>
        <v/>
      </c>
      <c r="Q562">
        <f>IFERROR(1/(IF(Inputs!$B$38="pvp",15,MAX(0.1,Skills!E8-IF(Skills!F8=TRUE,Inputs!$B$32,0)))*(1-IF(AND(ArtifactsInput!$M$27,Inputs!$B$4="Chapter Hunt"),CHOOSE(ArtifactsInput!$N$27+1,20,24,28,32,36,40),0)/100)),0)</f>
        <v/>
      </c>
      <c r="R562">
        <f>IF(AND(Inputs!$B$38&lt;&gt;"pvp",Inputs!$B$43&gt;0),IF(MAX(0,Inputs!$B$43-B592)&lt;=0,0,(INT(MAX(0,Inputs!$B$43-B592)/(IF(Inputs!$B$38="pvp",15,MAX(0.1,Skills!E8-IF(Skills!F8=TRUE,Inputs!$B$32,0)))*(1-IF(AND(ArtifactsInput!$M$27,Inputs!$B$4="Chapter Hunt"),CHOOSE(ArtifactsInput!$N$27+1,20,24,28,32,36,40),0)/100)))+1)),0)</f>
        <v/>
      </c>
      <c r="S562">
        <f>IF(C562,(H562*N562*IF(AND(Inputs!$B$38&lt;&gt;"pvp",Inputs!$B$43&gt;0),((Skills!G8*((R562-1)*IF(Skills!H8&gt;0,Skills!I8/Skills!H8,1)+IF(Skills!H8&gt;0,MIN(Skills!I8,MAX(0,MAX(0,Inputs!$B$43-B592)-((R562-1)*(IF(Inputs!$B$38="pvp",15,MAX(0.1,Skills!E8-IF(Skills!F8=TRUE,Inputs!$B$32,0)))*(1-IF(AND(ArtifactsInput!$M$27,Inputs!$B$4="Chapter Hunt"),CHOOSE(ArtifactsInput!$N$27+1,20,24,28,32,36,40),0)/100)))))/Skills!H8,1)))/Inputs!$B$43),G562*Q562)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562*(1-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562*(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562*(1-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562*(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2">
        <f>IF(C562,(H562*N562*IF(AND(Inputs!$B$38&lt;&gt;"pvp",Inputs!$B$43&gt;0),((Skills!G8*((R562-1)*IF(Skills!H8&gt;0,Skills!I8/Skills!H8,1)+IF(Skills!H8&gt;0,MIN(Skills!I8,MAX(0,MAX(0,Inputs!$B$43-B592)-((R562-1)*(IF(Inputs!$B$38="pvp",15,MAX(0.1,Skills!E8-IF(Skills!F8=TRUE,Inputs!$B$32,0)))*(1-IF(AND(ArtifactsInput!$M$27,Inputs!$B$4="Chapter Hunt"),CHOOSE(ArtifactsInput!$N$27+1,20,24,28,32,36,40),0)/100)))))/Skills!H8,1)))/Inputs!$B$43),G562*Q562)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3">
      <c r="A563">
        <f>Skills!A9</f>
        <v/>
      </c>
      <c r="B563">
        <f>Skills!B9</f>
        <v/>
      </c>
      <c r="C563">
        <f>Inputs!$B$3&gt;=103</f>
        <v/>
      </c>
      <c r="D563">
        <f>IF(Skills!C9=1,60+Inputs!$B$25+Inputs!$B$29,IF(Skills!C9=2,90+Inputs!$B$26+Inputs!$B$29,IF(Skills!C9=3,120+Inputs!$B$27+Inputs!$B$29,MAX(0,(Inputs!$B$3-100)*3)+Inputs!$B$28+Inputs!$B$29)))</f>
        <v/>
      </c>
      <c r="E563">
        <f>INDEX(FactorTable!$B$2:$Y$301, MATCH(ROUND(MIN(300,MAX(1,D563)),0), FactorTable!$A$2:$A$301,0), Skills!M9+1)</f>
        <v/>
      </c>
      <c r="F563">
        <f>IF(Skills!N9=TRUE,(Skills!L9/10)*(E563/1000),Skills!L9/10)+Skills!O9</f>
        <v/>
      </c>
      <c r="G563">
        <f>Calc!G9</f>
        <v/>
      </c>
      <c r="H563">
        <f>Calc!H9</f>
        <v/>
      </c>
      <c r="I563">
        <f>IF(Skills!X9&lt;&gt;"",1+(Skills!X9/10)*(Z557/1000)/100,1)</f>
        <v/>
      </c>
      <c r="J563">
        <f>((Inputs!$B$6*(1+Inputs!$B$7/100))+(((Inputs!$B$12*(1+Inputs!$B$13/100))-(Inputs!$B$12*(1+Inputs!$B$13/100)))+0.25*(Inputs!$B$14-Inputs!$B$14))*(1+Inputs!$B$7/100))*(F563/100)</f>
        <v/>
      </c>
      <c r="K563">
        <f>J563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563)</f>
        <v/>
      </c>
      <c r="L563">
        <f>K563*(MIN(Inputs!$B$22+(F576-Calc!F22),(Inputs!$B$23+(IF(ArtifactsInput!$M$15,CHOOSE(ArtifactsInput!$N$15+1,25,30,35,40,45,50)/100*(((1-(1-Inputs!$B$11/150)*(1-1/150))*150)-Inputs!$B$11),0))))/100+(Inputs!$B$23+(IF(ArtifactsInput!$M$15,CHOOSE(ArtifactsInput!$N$15+1,25,30,35,40,45,50)/100*(((1-(1-Inputs!$B$11/150)*(1-1/150))*150)-Inputs!$B$11),0)))/100)/2</f>
        <v/>
      </c>
      <c r="M563">
        <f>L563*(1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3">
        <f>L563*(1-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563*(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3">
        <f>(1-Summary!$B$11)*S563+Summary!$B$11*U563</f>
        <v/>
      </c>
      <c r="P563">
        <f>IF(B595=0,0,O563/B595)</f>
        <v/>
      </c>
      <c r="Q563">
        <f>IFERROR(1/(IF(Inputs!$B$38="pvp",15,MAX(0.1,Skills!E9-IF(Skills!F7=TRUE,Inputs!$B$32,0)))*(1-IF(AND(ArtifactsInput!$M$27,Inputs!$B$4="Chapter Hunt"),CHOOSE(ArtifactsInput!$N$27+1,20,24,28,32,36,40),0)/100)),0)</f>
        <v/>
      </c>
      <c r="R563">
        <f>IF(AND(Inputs!$B$38&lt;&gt;"pvp",Inputs!$B$43&gt;0),IF(MAX(0,Inputs!$B$43-B592)&lt;=0,0,(INT(MAX(0,Inputs!$B$43-B592)/(IF(Inputs!$B$38="pvp",15,MAX(0.1,Skills!E9-IF(Skills!F7=TRUE,Inputs!$B$32,0)))*(1-IF(AND(ArtifactsInput!$M$27,Inputs!$B$4="Chapter Hunt"),CHOOSE(ArtifactsInput!$N$27+1,20,24,28,32,36,40),0)/100)))+1)),0)</f>
        <v/>
      </c>
      <c r="S563">
        <f>IF(C563,(H563*N563*IF(AND(Inputs!$B$38&lt;&gt;"pvp",Inputs!$B$43&gt;0),((Skills!G9*((R563-1)*IF(Skills!H9&gt;0,Skills!I9/Skills!H9,1)+IF(Skills!H9&gt;0,MIN(Skills!I9,MAX(0,MAX(0,Inputs!$B$43-B592)-((R563-1)*(IF(Inputs!$B$38="pvp",15,MAX(0.1,Skills!E9-IF(Skills!F7=TRUE,Inputs!$B$32,0)))*(1-IF(AND(ArtifactsInput!$M$27,Inputs!$B$4="Chapter Hunt"),CHOOSE(ArtifactsInput!$N$27+1,20,24,28,32,36,40),0)/100)))))/Skills!H9,1)))/Inputs!$B$43),G563*Q563)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563*(1-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563*(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563*(1-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563*(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3">
        <f>IF(C563,(H563*N563*IF(AND(Inputs!$B$38&lt;&gt;"pvp",Inputs!$B$43&gt;0),((Skills!G9*((R563-1)*IF(Skills!H9&gt;0,Skills!I9/Skills!H9,1)+IF(Skills!H9&gt;0,MIN(Skills!I9,MAX(0,MAX(0,Inputs!$B$43-B592)-((R563-1)*(IF(Inputs!$B$38="pvp",15,MAX(0.1,Skills!E9-IF(Skills!F7=TRUE,Inputs!$B$32,0)))*(1-IF(AND(ArtifactsInput!$M$27,Inputs!$B$4="Chapter Hunt"),CHOOSE(ArtifactsInput!$N$27+1,20,24,28,32,36,40),0)/100)))))/Skills!H9,1)))/Inputs!$B$43),G563*Q563)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4">
      <c r="A564">
        <f>Skills!A10</f>
        <v/>
      </c>
      <c r="B564">
        <f>Skills!B10</f>
        <v/>
      </c>
      <c r="C564">
        <f>TRUE</f>
        <v/>
      </c>
      <c r="D564">
        <f>IF(Skills!C10=1,60+Inputs!$B$25+Inputs!$B$29,IF(Skills!C10=2,90+Inputs!$B$26+Inputs!$B$29,IF(Skills!C10=3,120+Inputs!$B$27+Inputs!$B$29,MAX(0,(Inputs!$B$3-100)*3)+Inputs!$B$28+Inputs!$B$29)))</f>
        <v/>
      </c>
      <c r="E564">
        <f>INDEX(FactorTable!$B$2:$Y$301, MATCH(ROUND(MIN(300,MAX(1,D564)),0), FactorTable!$A$2:$A$301,0), Skills!M10+1)</f>
        <v/>
      </c>
      <c r="F564">
        <f>IF(Skills!N10=TRUE,(Skills!L10/10)*(E564/1000),Skills!L10/10)+Skills!O10</f>
        <v/>
      </c>
      <c r="G564">
        <f>Calc!G10</f>
        <v/>
      </c>
      <c r="H564">
        <f>Calc!H10</f>
        <v/>
      </c>
      <c r="I564">
        <f>IF(Skills!X10&lt;&gt;"",1+(Skills!X10/10)*(Z557/1000)/100,1)</f>
        <v/>
      </c>
      <c r="J564">
        <f>((Inputs!$B$6*(1+Inputs!$B$7/100))+(((Inputs!$B$12*(1+Inputs!$B$13/100))-(Inputs!$B$12*(1+Inputs!$B$13/100)))+0.25*(Inputs!$B$14-Inputs!$B$14))*(1+Inputs!$B$7/100))*(F564/100)</f>
        <v/>
      </c>
      <c r="K564">
        <f>J564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564)</f>
        <v/>
      </c>
      <c r="L564">
        <f>K564*(MIN(Inputs!$B$22+(F576-Calc!F22),(Inputs!$B$23+(IF(ArtifactsInput!$M$15,CHOOSE(ArtifactsInput!$N$15+1,25,30,35,40,45,50)/100*(((1-(1-Inputs!$B$11/150)*(1-1/150))*150)-Inputs!$B$11),0))))/100+(Inputs!$B$23+(IF(ArtifactsInput!$M$15,CHOOSE(ArtifactsInput!$N$15+1,25,30,35,40,45,50)/100*(((1-(1-Inputs!$B$11/150)*(1-1/150))*150)-Inputs!$B$11),0)))/100)/2</f>
        <v/>
      </c>
      <c r="M564">
        <f>L564*(1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4">
        <f>L564*(1-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564*(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4">
        <f>(1-Summary!$B$11)*S564+Summary!$B$11*U564</f>
        <v/>
      </c>
      <c r="P564">
        <f>IF(B595=0,0,O564/B595)</f>
        <v/>
      </c>
      <c r="Q564">
        <f>IFERROR(1/(IF(Inputs!$B$38="pvp",15,MAX(0.1,Skills!E10-IF(Skills!F10=TRUE,Inputs!$B$32,0)))*(1-IF(AND(ArtifactsInput!$M$27,Inputs!$B$4="Chapter Hunt"),CHOOSE(ArtifactsInput!$N$27+1,20,24,28,32,36,40),0)/100)),0)</f>
        <v/>
      </c>
      <c r="R564">
        <f>IF(AND(Inputs!$B$38&lt;&gt;"pvp",Inputs!$B$43&gt;0),IF(MAX(0,Inputs!$B$43-B592)&lt;=0,0,(INT(MAX(0,Inputs!$B$43-B592)/(IF(Inputs!$B$38="pvp",15,MAX(0.1,Skills!E10-IF(Skills!F10=TRUE,Inputs!$B$32,0)))*(1-IF(AND(ArtifactsInput!$M$27,Inputs!$B$4="Chapter Hunt"),CHOOSE(ArtifactsInput!$N$27+1,20,24,28,32,36,40),0)/100)))+1)),0)</f>
        <v/>
      </c>
      <c r="S564">
        <f>IF(C564,(H564*N564*IF(AND(Inputs!$B$38&lt;&gt;"pvp",Inputs!$B$43&gt;0),((Skills!G10*((R564-1)*IF(Skills!H10&gt;0,Skills!I10/Skills!H10,1)+IF(Skills!H10&gt;0,MIN(Skills!I10,MAX(0,MAX(0,Inputs!$B$43-B592)-((R564-1)*(IF(Inputs!$B$38="pvp",15,MAX(0.1,Skills!E10-IF(Skills!F10=TRUE,Inputs!$B$32,0)))*(1-IF(AND(ArtifactsInput!$M$27,Inputs!$B$4="Chapter Hunt"),CHOOSE(ArtifactsInput!$N$27+1,20,24,28,32,36,40),0)/100)))))/Skills!H10,1)))/Inputs!$B$43),G564*Q564)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564*(1-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564*(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564*(1-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564*(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4">
        <f>IF(C564,(H564*N564*IF(AND(Inputs!$B$38&lt;&gt;"pvp",Inputs!$B$43&gt;0),((Skills!G10*((R564-1)*IF(Skills!H10&gt;0,Skills!I10/Skills!H10,1)+IF(Skills!H10&gt;0,MIN(Skills!I10,MAX(0,MAX(0,Inputs!$B$43-B592)-((R564-1)*(IF(Inputs!$B$38="pvp",15,MAX(0.1,Skills!E10-IF(Skills!F10=TRUE,Inputs!$B$32,0)))*(1-IF(AND(ArtifactsInput!$M$27,Inputs!$B$4="Chapter Hunt"),CHOOSE(ArtifactsInput!$N$27+1,20,24,28,32,36,40),0)/100)))))/Skills!H10,1)))/Inputs!$B$43),G564*Q564)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5">
      <c r="A565">
        <f>Skills!A11</f>
        <v/>
      </c>
      <c r="B565">
        <f>Skills!B11</f>
        <v/>
      </c>
      <c r="C565">
        <f>TRUE</f>
        <v/>
      </c>
      <c r="D565">
        <f>IF(Skills!C11=1,60+Inputs!$B$25+Inputs!$B$29,IF(Skills!C11=2,90+Inputs!$B$26+Inputs!$B$29,IF(Skills!C11=3,120+Inputs!$B$27+Inputs!$B$29,MAX(0,(Inputs!$B$3-100)*3)+Inputs!$B$28+Inputs!$B$29)))</f>
        <v/>
      </c>
      <c r="E565">
        <f>INDEX(FactorTable!$B$2:$Y$301, MATCH(ROUND(MIN(300,MAX(1,D565)),0), FactorTable!$A$2:$A$301,0), Skills!M11+1)</f>
        <v/>
      </c>
      <c r="F565">
        <f>IF(Skills!N11=TRUE,(Skills!L11/10)*(E565/1000),Skills!L11/10)+Skills!O11</f>
        <v/>
      </c>
      <c r="G565">
        <f>Calc!G11</f>
        <v/>
      </c>
      <c r="H565">
        <f>Calc!H11</f>
        <v/>
      </c>
      <c r="I565">
        <f>IF(Skills!X11&lt;&gt;"",1+(Skills!X11/10)*(Z557/1000)/100,1)</f>
        <v/>
      </c>
      <c r="J565" t="inlineStr"/>
      <c r="K565" t="inlineStr"/>
      <c r="L565" t="inlineStr"/>
      <c r="M565" t="inlineStr"/>
      <c r="N565" t="inlineStr"/>
      <c r="O565">
        <f>(1-Summary!$B$11)*S565+Summary!$B$11*U565</f>
        <v/>
      </c>
      <c r="P565">
        <f>IF(B595=0,0,O565/B595)</f>
        <v/>
      </c>
      <c r="Q565">
        <f>IFERROR(1/(IF(Inputs!$B$38="pvp",15,MAX(0.1,Skills!E11-IF(Skills!F11=TRUE,Inputs!$B$32,0)))*(1-IF(AND(ArtifactsInput!$M$27,Inputs!$B$4="Chapter Hunt"),CHOOSE(ArtifactsInput!$N$27+1,20,24,28,32,36,40),0)/100)),0)</f>
        <v/>
      </c>
      <c r="R565" t="n">
        <v>0</v>
      </c>
      <c r="S565" t="n">
        <v>0</v>
      </c>
      <c r="U565" t="n">
        <v>0</v>
      </c>
    </row>
    <row r="566">
      <c r="A566">
        <f>Skills!A12</f>
        <v/>
      </c>
      <c r="B566">
        <f>Skills!B12</f>
        <v/>
      </c>
      <c r="C566">
        <f>TRUE</f>
        <v/>
      </c>
      <c r="D566">
        <f>IF(Skills!C12=1,60+Inputs!$B$25+Inputs!$B$29,IF(Skills!C12=2,90+Inputs!$B$26+Inputs!$B$29,IF(Skills!C12=3,120+Inputs!$B$27+Inputs!$B$29,MAX(0,(Inputs!$B$3-100)*3)+Inputs!$B$28+Inputs!$B$29)))</f>
        <v/>
      </c>
      <c r="E566">
        <f>INDEX(FactorTable!$B$2:$Y$301, MATCH(ROUND(MIN(300,MAX(1,D566)),0), FactorTable!$A$2:$A$301,0), Skills!M12+1)</f>
        <v/>
      </c>
      <c r="F566">
        <f>IF(Skills!N12=TRUE,(Skills!L12/10)*(E566/1000),Skills!L12/10)+Skills!O12</f>
        <v/>
      </c>
      <c r="G566">
        <f>Calc!G12</f>
        <v/>
      </c>
      <c r="H566">
        <f>Calc!H12</f>
        <v/>
      </c>
      <c r="I566">
        <f>IF(Skills!X12&lt;&gt;"",1+(Skills!X12/10)*(Z557/1000)/100,1)</f>
        <v/>
      </c>
      <c r="J566" t="inlineStr"/>
      <c r="K566" t="inlineStr"/>
      <c r="L566" t="inlineStr"/>
      <c r="M566" t="inlineStr"/>
      <c r="N566" t="inlineStr"/>
      <c r="O566">
        <f>(1-Summary!$B$11)*S566+Summary!$B$11*U566</f>
        <v/>
      </c>
      <c r="P566">
        <f>IF(B595=0,0,O566/B595)</f>
        <v/>
      </c>
      <c r="Q566">
        <f>IFERROR(1/(IF(Inputs!$B$38="pvp",15,MAX(0.1,Skills!E12-IF(Skills!F12=TRUE,Inputs!$B$32,0)))*(1-IF(AND(ArtifactsInput!$M$27,Inputs!$B$4="Chapter Hunt"),CHOOSE(ArtifactsInput!$N$27+1,20,24,28,32,36,40),0)/100)),0)</f>
        <v/>
      </c>
      <c r="R566" t="n">
        <v>0</v>
      </c>
      <c r="S566" t="n">
        <v>0</v>
      </c>
      <c r="U566" t="n">
        <v>0</v>
      </c>
    </row>
    <row r="567">
      <c r="A567">
        <f>Skills!A13</f>
        <v/>
      </c>
      <c r="B567">
        <f>Skills!B13</f>
        <v/>
      </c>
      <c r="C567">
        <f>Inputs!$B$3&gt;=105</f>
        <v/>
      </c>
      <c r="D567">
        <f>IF(Skills!C13=1,60+Inputs!$B$25+Inputs!$B$29,IF(Skills!C13=2,90+Inputs!$B$26+Inputs!$B$29,IF(Skills!C13=3,120+Inputs!$B$27+Inputs!$B$29,MAX(0,(Inputs!$B$3-100)*3)+Inputs!$B$28+Inputs!$B$29)))</f>
        <v/>
      </c>
      <c r="E567">
        <f>INDEX(FactorTable!$B$2:$Y$301, MATCH(ROUND(MIN(300,MAX(1,D567)),0), FactorTable!$A$2:$A$301,0), Skills!M13+1)</f>
        <v/>
      </c>
      <c r="F567">
        <f>IF(Skills!N13=TRUE,(Skills!L13/10)*(E567/1000),Skills!L13/10)+Skills!O13</f>
        <v/>
      </c>
      <c r="G567">
        <f>Calc!G13</f>
        <v/>
      </c>
      <c r="H567">
        <f>Calc!H13</f>
        <v/>
      </c>
      <c r="I567">
        <f>IF(Skills!X13&lt;&gt;"",1+(Skills!X13/10)*(Z557/1000)/100,1)</f>
        <v/>
      </c>
      <c r="J567">
        <f>((Inputs!$B$6*(1+Inputs!$B$7/100))+(((Inputs!$B$12*(1+Inputs!$B$13/100))-(Inputs!$B$12*(1+Inputs!$B$13/100)))+0.25*(Inputs!$B$14-Inputs!$B$14))*(1+Inputs!$B$7/100))*(F567/100)</f>
        <v/>
      </c>
      <c r="K567">
        <f>J567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567)</f>
        <v/>
      </c>
      <c r="L567">
        <f>K567*(MIN(Inputs!$B$22+(F576-Calc!F22),(Inputs!$B$23+(IF(ArtifactsInput!$M$15,CHOOSE(ArtifactsInput!$N$15+1,25,30,35,40,45,50)/100*(((1-(1-Inputs!$B$11/150)*(1-1/150))*150)-Inputs!$B$11),0))))/100+(Inputs!$B$23+(IF(ArtifactsInput!$M$15,CHOOSE(ArtifactsInput!$N$15+1,25,30,35,40,45,50)/100*(((1-(1-Inputs!$B$11/150)*(1-1/150))*150)-Inputs!$B$11),0)))/100)/2</f>
        <v/>
      </c>
      <c r="M567">
        <f>L567*(1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7">
        <f>L567*(1-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567*(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7">
        <f>(1-Summary!$B$11)*S567+Summary!$B$11*U567</f>
        <v/>
      </c>
      <c r="P567">
        <f>IF(B595=0,0,O567/B595)</f>
        <v/>
      </c>
      <c r="Q567">
        <f>IFERROR(1/(IF(Inputs!$B$38="pvp",15,MAX(0.1,Skills!E13-IF(Skills!F13=TRUE,Inputs!$B$32,0)))*(1-IF(AND(ArtifactsInput!$M$27,Inputs!$B$4="Chapter Hunt"),CHOOSE(ArtifactsInput!$N$27+1,20,24,28,32,36,40),0)/100)),0)</f>
        <v/>
      </c>
      <c r="R567">
        <f>IF(AND(Inputs!$B$38&lt;&gt;"pvp",Inputs!$B$43&gt;0),IF(MAX(0,Inputs!$B$43-B592)&lt;=0,0,(INT(MAX(0,Inputs!$B$43-B592)/(IF(Inputs!$B$38="pvp",15,MAX(0.1,Skills!E13-IF(Skills!F13=TRUE,Inputs!$B$32,0)))*(1-IF(AND(ArtifactsInput!$M$27,Inputs!$B$4="Chapter Hunt"),CHOOSE(ArtifactsInput!$N$27+1,20,24,28,32,36,40),0)/100)))+1)),0)</f>
        <v/>
      </c>
      <c r="S567">
        <f>IF(C567,(H567*N567*IF(AND(Inputs!$B$38&lt;&gt;"pvp",Inputs!$B$43&gt;0),((Skills!G13*((R567-1)*IF(Skills!H13&gt;0,Skills!I13/Skills!H13,1)+IF(Skills!H13&gt;0,MIN(Skills!I13,MAX(0,MAX(0,Inputs!$B$43-B592)-((R567-1)*(IF(Inputs!$B$38="pvp",15,MAX(0.1,Skills!E13-IF(Skills!F13=TRUE,Inputs!$B$32,0)))*(1-IF(AND(ArtifactsInput!$M$27,Inputs!$B$4="Chapter Hunt"),CHOOSE(ArtifactsInput!$N$27+1,20,24,28,32,36,40),0)/100)))))/Skills!H13,1)))/Inputs!$B$43),G567*Q567)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567*(1-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567*(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567*(1-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567*(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7">
        <f>IF(C567,(H567*N567*IF(AND(Inputs!$B$38&lt;&gt;"pvp",Inputs!$B$43&gt;0),((Skills!G13*((R567-1)*IF(Skills!H13&gt;0,Skills!I13/Skills!H13,1)+IF(Skills!H13&gt;0,MIN(Skills!I13,MAX(0,MAX(0,Inputs!$B$43-B592)-((R567-1)*(IF(Inputs!$B$38="pvp",15,MAX(0.1,Skills!E13-IF(Skills!F13=TRUE,Inputs!$B$32,0)))*(1-IF(AND(ArtifactsInput!$M$27,Inputs!$B$4="Chapter Hunt"),CHOOSE(ArtifactsInput!$N$27+1,20,24,28,32,36,40),0)/100)))))/Skills!H13,1)))/Inputs!$B$43),G567*Q567)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8">
      <c r="A568">
        <f>Skills!A14</f>
        <v/>
      </c>
      <c r="B568">
        <f>Skills!B14</f>
        <v/>
      </c>
      <c r="C568">
        <f>Inputs!$B$3&gt;=113</f>
        <v/>
      </c>
      <c r="D568">
        <f>IF(Skills!C14=1,60+Inputs!$B$25+Inputs!$B$29,IF(Skills!C14=2,90+Inputs!$B$26+Inputs!$B$29,IF(Skills!C14=3,120+Inputs!$B$27+Inputs!$B$29,MAX(0,(Inputs!$B$3-100)*3)+Inputs!$B$28+Inputs!$B$29)))</f>
        <v/>
      </c>
      <c r="E568">
        <f>INDEX(FactorTable!$B$2:$Y$301, MATCH(ROUND(MIN(300,MAX(1,D568)),0), FactorTable!$A$2:$A$301,0), Skills!M14+1)</f>
        <v/>
      </c>
      <c r="F568">
        <f>IF(Skills!N14=TRUE,(Skills!L14/10)*(E568/1000),Skills!L14/10)+Skills!O14</f>
        <v/>
      </c>
      <c r="G568">
        <f>Calc!G14</f>
        <v/>
      </c>
      <c r="H568">
        <f>Calc!H14</f>
        <v/>
      </c>
      <c r="I568">
        <f>IF(Skills!X14&lt;&gt;"",1+(Skills!X14/10)*(Z557/1000)/100,1)</f>
        <v/>
      </c>
      <c r="J568">
        <f>((Inputs!$B$6*(1+Inputs!$B$7/100))+(((Inputs!$B$12*(1+Inputs!$B$13/100))-(Inputs!$B$12*(1+Inputs!$B$13/100)))+0.25*(Inputs!$B$14-Inputs!$B$14))*(1+Inputs!$B$7/100))*(F568/100)</f>
        <v/>
      </c>
      <c r="K568">
        <f>J568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568)</f>
        <v/>
      </c>
      <c r="L568">
        <f>K568*(MIN(Inputs!$B$22+(F576-Calc!F22),(Inputs!$B$23+(IF(ArtifactsInput!$M$15,CHOOSE(ArtifactsInput!$N$15+1,25,30,35,40,45,50)/100*(((1-(1-Inputs!$B$11/150)*(1-1/150))*150)-Inputs!$B$11),0))))/100+(Inputs!$B$23+(IF(ArtifactsInput!$M$15,CHOOSE(ArtifactsInput!$N$15+1,25,30,35,40,45,50)/100*(((1-(1-Inputs!$B$11/150)*(1-1/150))*150)-Inputs!$B$11),0)))/100)/2</f>
        <v/>
      </c>
      <c r="M568">
        <f>L568*(1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8">
        <f>L568*(1-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568*(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8">
        <f>(1-Summary!$B$11)*S568+Summary!$B$11*U568</f>
        <v/>
      </c>
      <c r="P568">
        <f>IF(B595=0,0,O568/B595)</f>
        <v/>
      </c>
      <c r="Q568">
        <f>IFERROR(1/(IF(Inputs!$B$38="pvp",15,MAX(0.1,Skills!E14-IF(Skills!F14=TRUE,Inputs!$B$32,0)))*(1-IF(AND(ArtifactsInput!$M$27,Inputs!$B$4="Chapter Hunt"),CHOOSE(ArtifactsInput!$N$27+1,20,24,28,32,36,40),0)/100)),0)</f>
        <v/>
      </c>
      <c r="R568" t="n">
        <v>0</v>
      </c>
      <c r="S568">
        <f>IF(C568,((H568*B591)/(1+Skills!H14*H568*B591)*N568)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568*(1-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568*(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568*(1-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568*(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8">
        <f>IF(C568,((H568*B591)/(1+Skills!H14*H568*B591)*N568)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9">
      <c r="A569">
        <f>Skills!A15</f>
        <v/>
      </c>
      <c r="B569">
        <f>Skills!B15</f>
        <v/>
      </c>
      <c r="C569">
        <f>Inputs!$B$3&gt;=107</f>
        <v/>
      </c>
      <c r="D569">
        <f>IF(Skills!C15=1,60+Inputs!$B$25+Inputs!$B$29,IF(Skills!C15=2,90+Inputs!$B$26+Inputs!$B$29,IF(Skills!C15=3,120+Inputs!$B$27+Inputs!$B$29,MAX(0,(Inputs!$B$3-100)*3)+Inputs!$B$28+Inputs!$B$29)))</f>
        <v/>
      </c>
      <c r="E569">
        <f>INDEX(FactorTable!$B$2:$Y$301, MATCH(ROUND(MIN(300,MAX(1,D569)),0), FactorTable!$A$2:$A$301,0), Skills!M15+1)</f>
        <v/>
      </c>
      <c r="F569">
        <f>IF(Skills!N15=TRUE,(Skills!L15/10)*(E569/1000),Skills!L15/10)+Skills!O15</f>
        <v/>
      </c>
      <c r="G569">
        <f>Calc!G15</f>
        <v/>
      </c>
      <c r="H569">
        <f>Calc!H15</f>
        <v/>
      </c>
      <c r="I569">
        <f>IF(Skills!X15&lt;&gt;"",1+(Skills!X15/10)*(Z557/1000)/100,1)</f>
        <v/>
      </c>
      <c r="J569">
        <f>((Inputs!$B$6*(1+Inputs!$B$7/100))+(((Inputs!$B$12*(1+Inputs!$B$13/100))-(Inputs!$B$12*(1+Inputs!$B$13/100)))+0.25*(Inputs!$B$14-Inputs!$B$14))*(1+Inputs!$B$7/100))*(F569/100)</f>
        <v/>
      </c>
      <c r="K569">
        <f>J569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569)</f>
        <v/>
      </c>
      <c r="L569">
        <f>K569*(MIN(Inputs!$B$22+(F576-Calc!F22),(Inputs!$B$23+(IF(ArtifactsInput!$M$15,CHOOSE(ArtifactsInput!$N$15+1,25,30,35,40,45,50)/100*(((1-(1-Inputs!$B$11/150)*(1-1/150))*150)-Inputs!$B$11),0))))/100+(Inputs!$B$23+(IF(ArtifactsInput!$M$15,CHOOSE(ArtifactsInput!$N$15+1,25,30,35,40,45,50)/100*(((1-(1-Inputs!$B$11/150)*(1-1/150))*150)-Inputs!$B$11),0)))/100)/2</f>
        <v/>
      </c>
      <c r="M569">
        <f>L569*(1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9">
        <f>L569*(1-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569*(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9">
        <f>(1-Summary!$B$11)*S569+Summary!$B$11*U569</f>
        <v/>
      </c>
      <c r="P569">
        <f>IF(B595=0,0,O569/B595)</f>
        <v/>
      </c>
      <c r="Q569">
        <f>IFERROR(1/(IF(Inputs!$B$38="pvp",15,MAX(0.1,Skills!E15-IF(Skills!F15=TRUE,Inputs!$B$32,0)))*(1-IF(AND(ArtifactsInput!$M$27,Inputs!$B$4="Chapter Hunt"),CHOOSE(ArtifactsInput!$N$27+1,20,24,28,32,36,40),0)/100)),0)</f>
        <v/>
      </c>
      <c r="R569">
        <f>IF(AND(Inputs!$B$38&lt;&gt;"pvp",Inputs!$B$43&gt;0),IF(MAX(0,Inputs!$B$43-B592)&lt;=0,0,(INT(MAX(0,Inputs!$B$43-B592)/(IF(Inputs!$B$38="pvp",15,MAX(0.1,Skills!E15-IF(Skills!F15=TRUE,Inputs!$B$32,0)))*(1-IF(AND(ArtifactsInput!$M$27,Inputs!$B$4="Chapter Hunt"),CHOOSE(ArtifactsInput!$N$27+1,20,24,28,32,36,40),0)/100)))+1)),0)</f>
        <v/>
      </c>
      <c r="S569">
        <f>IF(C569,(H569*N569*IF(AND(Inputs!$B$38&lt;&gt;"pvp",Inputs!$B$43&gt;0),((Skills!G15*((R569-1)*IF(Skills!H15&gt;0,Skills!I15/Skills!H15,1)+IF(Skills!H15&gt;0,MIN(Skills!I15,MAX(0,MAX(0,Inputs!$B$43-B592)-((R569-1)*(IF(Inputs!$B$38="pvp",15,MAX(0.1,Skills!E15-IF(Skills!F15=TRUE,Inputs!$B$32,0)))*(1-IF(AND(ArtifactsInput!$M$27,Inputs!$B$4="Chapter Hunt"),CHOOSE(ArtifactsInput!$N$27+1,20,24,28,32,36,40),0)/100)))))/Skills!H15,1)))/Inputs!$B$43),G569*Q569)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569*(1-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569*(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569*(1-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569*(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9">
        <f>IF(C569,(H569*N569*IF(AND(Inputs!$B$38&lt;&gt;"pvp",Inputs!$B$43&gt;0),((Skills!G15*((R569-1)*IF(Skills!H15&gt;0,Skills!I15/Skills!H15,1)+IF(Skills!H15&gt;0,MIN(Skills!I15,MAX(0,MAX(0,Inputs!$B$43-B592)-((R569-1)*(IF(Inputs!$B$38="pvp",15,MAX(0.1,Skills!E15-IF(Skills!F15=TRUE,Inputs!$B$32,0)))*(1-IF(AND(ArtifactsInput!$M$27,Inputs!$B$4="Chapter Hunt"),CHOOSE(ArtifactsInput!$N$27+1,20,24,28,32,36,40),0)/100)))))/Skills!H15,1)))/Inputs!$B$43),G569*Q569)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0">
      <c r="A570">
        <f>Skills!A16</f>
        <v/>
      </c>
      <c r="B570">
        <f>Skills!B16</f>
        <v/>
      </c>
      <c r="C570">
        <f>Inputs!$B$3&gt;=107</f>
        <v/>
      </c>
      <c r="D570">
        <f>IF(Skills!C16=1,60+Inputs!$B$25+Inputs!$B$29,IF(Skills!C16=2,90+Inputs!$B$26+Inputs!$B$29,IF(Skills!C16=3,120+Inputs!$B$27+Inputs!$B$29,MAX(0,(Inputs!$B$3-100)*3)+Inputs!$B$28+Inputs!$B$29)))</f>
        <v/>
      </c>
      <c r="E570">
        <f>INDEX(FactorTable!$B$2:$Y$301, MATCH(ROUND(MIN(300,MAX(1,D570)),0), FactorTable!$A$2:$A$301,0), Skills!M16+1)</f>
        <v/>
      </c>
      <c r="F570">
        <f>IF(Skills!N16=TRUE,(Skills!L16/10)*(E570/1000),Skills!L16/10)+Skills!O16</f>
        <v/>
      </c>
      <c r="G570">
        <f>Calc!G16</f>
        <v/>
      </c>
      <c r="H570">
        <f>Calc!H16</f>
        <v/>
      </c>
      <c r="I570">
        <f>IF(Skills!X16&lt;&gt;"",1+(Skills!X16/10)*(Z557/1000)/100,1)</f>
        <v/>
      </c>
      <c r="J570">
        <f>((Inputs!$B$6*(1+Inputs!$B$7/100))+(((Inputs!$B$12*(1+Inputs!$B$13/100))-(Inputs!$B$12*(1+Inputs!$B$13/100)))+0.25*(Inputs!$B$14-Inputs!$B$14))*(1+Inputs!$B$7/100))*(F570/100)</f>
        <v/>
      </c>
      <c r="K570">
        <f>J570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570)</f>
        <v/>
      </c>
      <c r="L570">
        <f>K570*(MIN(Inputs!$B$22+(F576-Calc!F22),(Inputs!$B$23+(IF(ArtifactsInput!$M$15,CHOOSE(ArtifactsInput!$N$15+1,25,30,35,40,45,50)/100*(((1-(1-Inputs!$B$11/150)*(1-1/150))*150)-Inputs!$B$11),0))))/100+(Inputs!$B$23+(IF(ArtifactsInput!$M$15,CHOOSE(ArtifactsInput!$N$15+1,25,30,35,40,45,50)/100*(((1-(1-Inputs!$B$11/150)*(1-1/150))*150)-Inputs!$B$11),0)))/100)/2</f>
        <v/>
      </c>
      <c r="M570">
        <f>L570*(1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0">
        <f>L570*(1-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570*(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0">
        <f>(1-Summary!$B$11)*S570+Summary!$B$11*U570</f>
        <v/>
      </c>
      <c r="P570">
        <f>IF(B595=0,0,O570/B595)</f>
        <v/>
      </c>
      <c r="Q570">
        <f>IFERROR(1/(IF(Inputs!$B$38="pvp",15,MAX(0.1,Skills!E16-IF(Skills!F16=TRUE,Inputs!$B$32,0)))*(1-IF(AND(ArtifactsInput!$M$27,Inputs!$B$4="Chapter Hunt"),CHOOSE(ArtifactsInput!$N$27+1,20,24,28,32,36,40),0)/100)),0)</f>
        <v/>
      </c>
      <c r="R570">
        <f>IF(AND(Inputs!$B$38&lt;&gt;"pvp",Inputs!$B$43&gt;0),IF(MAX(0,Inputs!$B$43-B592)&lt;=0,0,(INT(MAX(0,Inputs!$B$43-B592)/(IF(Inputs!$B$38="pvp",15,MAX(0.1,Skills!E16-IF(Skills!F16=TRUE,Inputs!$B$32,0)))*(1-IF(AND(ArtifactsInput!$M$27,Inputs!$B$4="Chapter Hunt"),CHOOSE(ArtifactsInput!$N$27+1,20,24,28,32,36,40),0)/100)))+1)),0)</f>
        <v/>
      </c>
      <c r="S570">
        <f>IF(C570,(H570*N570*IF(AND(Inputs!$B$38&lt;&gt;"pvp",Inputs!$B$43&gt;0),((Skills!G16*((R570-1)*IF(Skills!H16&gt;0,Skills!I16/Skills!H16,1)+IF(Skills!H16&gt;0,MIN(Skills!I16,MAX(0,MAX(0,Inputs!$B$43-B592)-((R570-1)*(IF(Inputs!$B$38="pvp",15,MAX(0.1,Skills!E16-IF(Skills!F16=TRUE,Inputs!$B$32,0)))*(1-IF(AND(ArtifactsInput!$M$27,Inputs!$B$4="Chapter Hunt"),CHOOSE(ArtifactsInput!$N$27+1,20,24,28,32,36,40),0)/100)))))/Skills!H16,1)))/Inputs!$B$43),G570*Q570)*(1+IF(Inputs!$B$3&gt;=126,0.05*(B590+Q567+(H568*B591)/(1+Skills!H14*H568*B591)+Q578)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570*(1-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570*(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570*(1-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570*(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0">
        <f>IF(C570,(H570*N570*IF(AND(Inputs!$B$38&lt;&gt;"pvp",Inputs!$B$43&gt;0),((Skills!G16*((R570-1)*IF(Skills!H16&gt;0,Skills!I16/Skills!H16,1)+IF(Skills!H16&gt;0,MIN(Skills!I16,MAX(0,MAX(0,Inputs!$B$43-B592)-((R570-1)*(IF(Inputs!$B$38="pvp",15,MAX(0.1,Skills!E16-IF(Skills!F16=TRUE,Inputs!$B$32,0)))*(1-IF(AND(ArtifactsInput!$M$27,Inputs!$B$4="Chapter Hunt"),CHOOSE(ArtifactsInput!$N$27+1,20,24,28,32,36,40),0)/100)))))/Skills!H16,1)))/Inputs!$B$43),G570*Q570)*(1+IF(Inputs!$B$3&gt;=126,0.05*(B590+Q567+(H568*B591)/(1+Skills!H14*H568*B591)+Q578)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1">
      <c r="A571">
        <f>Skills!A17</f>
        <v/>
      </c>
      <c r="B571">
        <f>Skills!B17</f>
        <v/>
      </c>
      <c r="C571">
        <f>TRUE</f>
        <v/>
      </c>
      <c r="D571">
        <f>IF(Skills!C17=1,60+Inputs!$B$25+Inputs!$B$29,IF(Skills!C17=2,90+Inputs!$B$26+Inputs!$B$29,IF(Skills!C17=3,120+Inputs!$B$27+Inputs!$B$29,MAX(0,(Inputs!$B$3-100)*3)+Inputs!$B$28+Inputs!$B$29)))</f>
        <v/>
      </c>
      <c r="E571">
        <f>INDEX(FactorTable!$B$2:$Y$301, MATCH(ROUND(MIN(300,MAX(1,D571)),0), FactorTable!$A$2:$A$301,0), Skills!M17+1)</f>
        <v/>
      </c>
      <c r="F571">
        <f>IF(Skills!N17=TRUE,(Skills!L17/10)*(E571/1000),Skills!L17/10)+Skills!O17</f>
        <v/>
      </c>
      <c r="G571">
        <f>Calc!G17</f>
        <v/>
      </c>
      <c r="H571">
        <f>Calc!H17</f>
        <v/>
      </c>
      <c r="I571">
        <f>IF(Skills!X17&lt;&gt;"",1+(Skills!X17/10)*(Z557/1000)/100,1)</f>
        <v/>
      </c>
      <c r="J571" t="inlineStr"/>
      <c r="K571" t="inlineStr"/>
      <c r="L571" t="inlineStr"/>
      <c r="M571" t="inlineStr"/>
      <c r="N571" t="inlineStr"/>
      <c r="O571">
        <f>(1-Summary!$B$11)*S571+Summary!$B$11*U571</f>
        <v/>
      </c>
      <c r="P571">
        <f>IF(B595=0,0,O571/B595)</f>
        <v/>
      </c>
      <c r="Q571">
        <f>IFERROR(1/(IF(Inputs!$B$38="pvp",15,MAX(0.1,Skills!E17-IF(Skills!F17=TRUE,Inputs!$B$32,0)))*(1-IF(AND(ArtifactsInput!$M$27,Inputs!$B$4="Chapter Hunt"),CHOOSE(ArtifactsInput!$N$27+1,20,24,28,32,36,40),0)/100)),0)</f>
        <v/>
      </c>
      <c r="R571">
        <f>IF(AND(Inputs!$B$38&lt;&gt;"pvp",Inputs!$B$43&gt;0),IF(Inputs!$B$43&lt;=0,0,(INT(Inputs!$B$43/(IF(Inputs!$B$38="pvp",15,MAX(0.1,Skills!E17-IF(Skills!F17=TRUE,Inputs!$B$32,0)))*(1-IF(AND(ArtifactsInput!$M$27,Inputs!$B$4="Chapter Hunt"),CHOOSE(ArtifactsInput!$N$27+1,20,24,28,32,36,40),0)/100)))+1)),0)</f>
        <v/>
      </c>
      <c r="S571" t="n">
        <v>0</v>
      </c>
      <c r="U571" t="n">
        <v>0</v>
      </c>
    </row>
    <row r="572">
      <c r="A572">
        <f>Skills!A18</f>
        <v/>
      </c>
      <c r="B572">
        <f>Skills!B18</f>
        <v/>
      </c>
      <c r="C572">
        <f>TRUE</f>
        <v/>
      </c>
      <c r="D572">
        <f>IF(Skills!C18=1,60+Inputs!$B$25+Inputs!$B$29,IF(Skills!C18=2,90+Inputs!$B$26+Inputs!$B$29,IF(Skills!C18=3,120+Inputs!$B$27+Inputs!$B$29,MAX(0,(Inputs!$B$3-100)*3)+Inputs!$B$28+Inputs!$B$29)))</f>
        <v/>
      </c>
      <c r="E572">
        <f>INDEX(FactorTable!$B$2:$Y$301, MATCH(ROUND(MIN(300,MAX(1,D572)),0), FactorTable!$A$2:$A$301,0), Skills!M18+1)</f>
        <v/>
      </c>
      <c r="F572">
        <f>IF(Skills!N18=TRUE,(Skills!L18/10)*(E572/1000),Skills!L18/10)+Skills!O18</f>
        <v/>
      </c>
      <c r="G572">
        <f>Calc!G18</f>
        <v/>
      </c>
      <c r="H572">
        <f>Calc!H18</f>
        <v/>
      </c>
      <c r="I572">
        <f>IF(Skills!X18&lt;&gt;"",1+(Skills!X18/10)*(Z557/1000)/100,1)</f>
        <v/>
      </c>
      <c r="J572" t="inlineStr"/>
      <c r="K572" t="inlineStr"/>
      <c r="L572" t="inlineStr"/>
      <c r="M572" t="inlineStr"/>
      <c r="N572" t="inlineStr"/>
      <c r="O572">
        <f>(1-Summary!$B$11)*S572+Summary!$B$11*U572</f>
        <v/>
      </c>
      <c r="P572">
        <f>IF(B595=0,0,O572/B595)</f>
        <v/>
      </c>
      <c r="Q572">
        <f>IFERROR(1/(IF(Inputs!$B$38="pvp",15,MAX(0.1,Skills!E18-IF(Skills!F18=TRUE,Inputs!$B$32,0)))*(1-IF(AND(ArtifactsInput!$M$27,Inputs!$B$4="Chapter Hunt"),CHOOSE(ArtifactsInput!$N$27+1,20,24,28,32,36,40),0)/100)),0)</f>
        <v/>
      </c>
      <c r="R572">
        <f>IF(AND(Inputs!$B$38&lt;&gt;"pvp",Inputs!$B$43&gt;0),IF(Inputs!$B$43&lt;=0,0,(INT(Inputs!$B$43/(IF(Inputs!$B$38="pvp",15,MAX(0.1,Skills!E18-IF(Skills!F18=TRUE,Inputs!$B$32,0)))*(1-IF(AND(ArtifactsInput!$M$27,Inputs!$B$4="Chapter Hunt"),CHOOSE(ArtifactsInput!$N$27+1,20,24,28,32,36,40),0)/100)))+1)),0)</f>
        <v/>
      </c>
      <c r="S572" t="n">
        <v>0</v>
      </c>
      <c r="U572" t="n">
        <v>0</v>
      </c>
    </row>
    <row r="573">
      <c r="A573">
        <f>Skills!A19</f>
        <v/>
      </c>
      <c r="B573">
        <f>Skills!B19</f>
        <v/>
      </c>
      <c r="C573">
        <f>Inputs!$B$3&gt;=110</f>
        <v/>
      </c>
      <c r="D573">
        <f>IF(Skills!C19=1,60+Inputs!$B$25+Inputs!$B$29,IF(Skills!C19=2,90+Inputs!$B$26+Inputs!$B$29,IF(Skills!C19=3,120+Inputs!$B$27+Inputs!$B$29,MAX(0,(Inputs!$B$3-100)*3)+Inputs!$B$28+Inputs!$B$29)))</f>
        <v/>
      </c>
      <c r="E573">
        <f>INDEX(FactorTable!$B$2:$Y$301, MATCH(ROUND(MIN(300,MAX(1,D573)),0), FactorTable!$A$2:$A$301,0), Skills!M19+1)</f>
        <v/>
      </c>
      <c r="F573">
        <f>IF(Skills!N19=TRUE,(Skills!L19/10)*(E573/1000),Skills!L19/10)+Skills!O19</f>
        <v/>
      </c>
      <c r="G573">
        <f>Calc!G19</f>
        <v/>
      </c>
      <c r="H573">
        <f>Calc!H19</f>
        <v/>
      </c>
      <c r="I573">
        <f>IF(Skills!X19&lt;&gt;"",1+(Skills!X19/10)*(Z557/1000)/100,1)</f>
        <v/>
      </c>
      <c r="J573" t="inlineStr"/>
      <c r="K573" t="inlineStr"/>
      <c r="L573" t="inlineStr"/>
      <c r="M573" t="inlineStr"/>
      <c r="N573" t="inlineStr"/>
      <c r="O573">
        <f>(1-Summary!$B$11)*S573+Summary!$B$11*U573</f>
        <v/>
      </c>
      <c r="P573">
        <f>IF(B595=0,0,O573/B595)</f>
        <v/>
      </c>
      <c r="Q573">
        <f>IFERROR(1/(IF(Inputs!$B$38="pvp",15,MAX(0.1,Skills!E19-IF(Skills!F19=TRUE,Inputs!$B$32,0)))*(1-IF(AND(ArtifactsInput!$M$27,Inputs!$B$4="Chapter Hunt"),CHOOSE(ArtifactsInput!$N$27+1,20,24,28,32,36,40),0)/100)),0)</f>
        <v/>
      </c>
      <c r="R573">
        <f>IF(AND(Inputs!$B$38&lt;&gt;"pvp",Inputs!$B$43&gt;0),IF(Inputs!$B$43&lt;=0,0,(INT(Inputs!$B$43/(IF(Inputs!$B$38="pvp",15,MAX(0.1,Skills!E19-IF(Skills!F19=TRUE,Inputs!$B$32,0)))*(1-IF(AND(ArtifactsInput!$M$27,Inputs!$B$4="Chapter Hunt"),CHOOSE(ArtifactsInput!$N$27+1,20,24,28,32,36,40),0)/100)))+1)),0)</f>
        <v/>
      </c>
      <c r="S573" t="n">
        <v>0</v>
      </c>
      <c r="U573" t="n">
        <v>0</v>
      </c>
    </row>
    <row r="574">
      <c r="A574">
        <f>Skills!A20</f>
        <v/>
      </c>
      <c r="B574">
        <f>Skills!B20</f>
        <v/>
      </c>
      <c r="C574">
        <f>TRUE</f>
        <v/>
      </c>
      <c r="D574">
        <f>IF(Skills!C20=1,60+Inputs!$B$25+Inputs!$B$29,IF(Skills!C20=2,90+Inputs!$B$26+Inputs!$B$29,IF(Skills!C20=3,120+Inputs!$B$27+Inputs!$B$29,MAX(0,(Inputs!$B$3-100)*3)+Inputs!$B$28+Inputs!$B$29)))</f>
        <v/>
      </c>
      <c r="E574">
        <f>INDEX(FactorTable!$B$2:$Y$301, MATCH(ROUND(MIN(300,MAX(1,D574)),0), FactorTable!$A$2:$A$301,0), Skills!M20+1)</f>
        <v/>
      </c>
      <c r="F574">
        <f>IF(Skills!N20=TRUE,(Skills!L20/10)*(E574/1000),Skills!L20/10)+Skills!O20</f>
        <v/>
      </c>
      <c r="G574">
        <f>Calc!G20</f>
        <v/>
      </c>
      <c r="H574">
        <f>Calc!H20</f>
        <v/>
      </c>
      <c r="I574">
        <f>IF(Skills!X20&lt;&gt;"",1+(Skills!X20/10)*(Z557/1000)/100,1)</f>
        <v/>
      </c>
      <c r="J574" t="inlineStr"/>
      <c r="K574" t="inlineStr"/>
      <c r="L574" t="inlineStr"/>
      <c r="M574" t="inlineStr"/>
      <c r="N574" t="inlineStr"/>
      <c r="O574">
        <f>(1-Summary!$B$11)*S574+Summary!$B$11*U574</f>
        <v/>
      </c>
      <c r="P574">
        <f>IF(B595=0,0,O574/B595)</f>
        <v/>
      </c>
      <c r="Q574">
        <f>IFERROR(1/(IF(Inputs!$B$38="pvp",15,MAX(0.1,Skills!E20-IF(Skills!F20=TRUE,Inputs!$B$32,0)))*(1-IF(AND(ArtifactsInput!$M$27,Inputs!$B$4="Chapter Hunt"),CHOOSE(ArtifactsInput!$N$27+1,20,24,28,32,36,40),0)/100)),0)</f>
        <v/>
      </c>
      <c r="R574" t="n">
        <v>0</v>
      </c>
      <c r="S574" t="n">
        <v>0</v>
      </c>
      <c r="U574" t="n">
        <v>0</v>
      </c>
    </row>
    <row r="575">
      <c r="A575">
        <f>Skills!A21</f>
        <v/>
      </c>
      <c r="B575">
        <f>Skills!B21</f>
        <v/>
      </c>
      <c r="C575">
        <f>TRUE</f>
        <v/>
      </c>
      <c r="D575">
        <f>IF(Skills!C21=1,60+Inputs!$B$25+Inputs!$B$29,IF(Skills!C21=2,90+Inputs!$B$26+Inputs!$B$29,IF(Skills!C21=3,120+Inputs!$B$27+Inputs!$B$29,MAX(0,(Inputs!$B$3-100)*3)+Inputs!$B$28+Inputs!$B$29)))</f>
        <v/>
      </c>
      <c r="E575">
        <f>INDEX(FactorTable!$B$2:$Y$301, MATCH(ROUND(MIN(300,MAX(1,D575)),0), FactorTable!$A$2:$A$301,0), Skills!M21+1)</f>
        <v/>
      </c>
      <c r="F575">
        <f>IF(Skills!N21=TRUE,(Skills!L21/10)*(E575/1000),Skills!L21/10)+Skills!O21</f>
        <v/>
      </c>
      <c r="G575">
        <f>Calc!G21</f>
        <v/>
      </c>
      <c r="H575">
        <f>Calc!H21</f>
        <v/>
      </c>
      <c r="I575">
        <f>IF(Skills!X21&lt;&gt;"",1+(Skills!X21/10)*(Z557/1000)/100,1)</f>
        <v/>
      </c>
      <c r="J575" t="inlineStr"/>
      <c r="K575" t="inlineStr"/>
      <c r="L575" t="inlineStr"/>
      <c r="M575" t="inlineStr"/>
      <c r="N575" t="inlineStr"/>
      <c r="O575">
        <f>(1-Summary!$B$11)*S575+Summary!$B$11*U575</f>
        <v/>
      </c>
      <c r="P575">
        <f>IF(B595=0,0,O575/B595)</f>
        <v/>
      </c>
      <c r="Q575">
        <f>IFERROR(1/(IF(Inputs!$B$38="pvp",15,MAX(0.1,Skills!E21-IF(Skills!F21=TRUE,Inputs!$B$32,0)))*(1-IF(AND(ArtifactsInput!$M$27,Inputs!$B$4="Chapter Hunt"),CHOOSE(ArtifactsInput!$N$27+1,20,24,28,32,36,40),0)/100)),0)</f>
        <v/>
      </c>
      <c r="R575" t="n">
        <v>0</v>
      </c>
      <c r="S575" t="n">
        <v>0</v>
      </c>
      <c r="U575" t="n">
        <v>0</v>
      </c>
    </row>
    <row r="576">
      <c r="A576">
        <f>Skills!A22</f>
        <v/>
      </c>
      <c r="B576">
        <f>Skills!B22</f>
        <v/>
      </c>
      <c r="C576">
        <f>TRUE</f>
        <v/>
      </c>
      <c r="D576">
        <f>IF(Skills!C22=1,60+Inputs!$B$25+Inputs!$B$29,IF(Skills!C22=2,90+Inputs!$B$26+Inputs!$B$29,IF(Skills!C22=3,120+Inputs!$B$27+Inputs!$B$29,MAX(0,(Inputs!$B$3-100)*3)+Inputs!$B$28+Inputs!$B$29)))</f>
        <v/>
      </c>
      <c r="E576">
        <f>INDEX(FactorTable!$B$2:$Y$301, MATCH(ROUND(MIN(300,MAX(1,D576)),0), FactorTable!$A$2:$A$301,0), Skills!M22+1)</f>
        <v/>
      </c>
      <c r="F576">
        <f>IF(Skills!N22=TRUE,(Skills!L22/10)*(E576/1000),Skills!L22/10)+Skills!O22</f>
        <v/>
      </c>
      <c r="G576">
        <f>Calc!G22</f>
        <v/>
      </c>
      <c r="H576">
        <f>Calc!H22</f>
        <v/>
      </c>
      <c r="I576">
        <f>IF(Skills!X22&lt;&gt;"",1+(Skills!X22/10)*(Z557/1000)/100,1)</f>
        <v/>
      </c>
      <c r="J576" t="inlineStr"/>
      <c r="K576" t="inlineStr"/>
      <c r="L576" t="inlineStr"/>
      <c r="M576" t="inlineStr"/>
      <c r="N576" t="inlineStr"/>
      <c r="O576">
        <f>(1-Summary!$B$11)*S576+Summary!$B$11*U576</f>
        <v/>
      </c>
      <c r="P576">
        <f>IF(B595=0,0,O576/B595)</f>
        <v/>
      </c>
      <c r="Q576">
        <f>IFERROR(1/(IF(Inputs!$B$38="pvp",15,MAX(0.1,Skills!E22-IF(Skills!F22=TRUE,Inputs!$B$32,0)))*(1-IF(AND(ArtifactsInput!$M$27,Inputs!$B$4="Chapter Hunt"),CHOOSE(ArtifactsInput!$N$27+1,20,24,28,32,36,40),0)/100)),0)</f>
        <v/>
      </c>
      <c r="R576" t="n">
        <v>0</v>
      </c>
      <c r="S576" t="n">
        <v>0</v>
      </c>
      <c r="U576" t="n">
        <v>0</v>
      </c>
    </row>
    <row r="577">
      <c r="A577">
        <f>Skills!A23</f>
        <v/>
      </c>
      <c r="B577">
        <f>Skills!B23</f>
        <v/>
      </c>
      <c r="C577">
        <f>TRUE</f>
        <v/>
      </c>
      <c r="D577">
        <f>IF(Skills!C23=1,60+Inputs!$B$25+Inputs!$B$29,IF(Skills!C23=2,90+Inputs!$B$26+Inputs!$B$29,IF(Skills!C23=3,120+Inputs!$B$27+Inputs!$B$29,MAX(0,(Inputs!$B$3-100)*3)+Inputs!$B$28+Inputs!$B$29)))</f>
        <v/>
      </c>
      <c r="E577">
        <f>INDEX(FactorTable!$B$2:$Y$301, MATCH(ROUND(MIN(300,MAX(1,D577)),0), FactorTable!$A$2:$A$301,0), Skills!M23+1)</f>
        <v/>
      </c>
      <c r="F577">
        <f>IF(Skills!N23=TRUE,(Skills!L23/10)*(E577/1000),Skills!L23/10)+Skills!O23</f>
        <v/>
      </c>
      <c r="G577">
        <f>Calc!G23</f>
        <v/>
      </c>
      <c r="H577">
        <f>Calc!H23</f>
        <v/>
      </c>
      <c r="I577">
        <f>IF(Skills!X23&lt;&gt;"",1+(Skills!X23/10)*(Z557/1000)/100,1)</f>
        <v/>
      </c>
      <c r="J577" t="inlineStr"/>
      <c r="K577" t="inlineStr"/>
      <c r="L577" t="inlineStr"/>
      <c r="M577" t="inlineStr"/>
      <c r="N577" t="inlineStr"/>
      <c r="O577">
        <f>(1-Summary!$B$11)*S577+Summary!$B$11*U577</f>
        <v/>
      </c>
      <c r="P577">
        <f>IF(B595=0,0,O577/B595)</f>
        <v/>
      </c>
      <c r="Q577">
        <f>IFERROR(1/(IF(Inputs!$B$38="pvp",15,MAX(0.1,Skills!E23-IF(Skills!F23=TRUE,Inputs!$B$32,0)))*(1-IF(AND(ArtifactsInput!$M$27,Inputs!$B$4="Chapter Hunt"),CHOOSE(ArtifactsInput!$N$27+1,20,24,28,32,36,40),0)/100)),0)</f>
        <v/>
      </c>
      <c r="R577" t="n">
        <v>0</v>
      </c>
      <c r="S577" t="n">
        <v>0</v>
      </c>
      <c r="U577" t="n">
        <v>0</v>
      </c>
    </row>
    <row r="578">
      <c r="A578">
        <f>Skills!A24</f>
        <v/>
      </c>
      <c r="B578">
        <f>Skills!B24</f>
        <v/>
      </c>
      <c r="C578">
        <f>Inputs!$B$3&gt;=115</f>
        <v/>
      </c>
      <c r="D578">
        <f>IF(Skills!C24=1,60+Inputs!$B$25+Inputs!$B$29,IF(Skills!C24=2,90+Inputs!$B$26+Inputs!$B$29,IF(Skills!C24=3,120+Inputs!$B$27+Inputs!$B$29,MAX(0,(Inputs!$B$3-100)*3)+Inputs!$B$28+Inputs!$B$29)))</f>
        <v/>
      </c>
      <c r="E578">
        <f>INDEX(FactorTable!$B$2:$Y$301, MATCH(ROUND(MIN(300,MAX(1,D578)),0), FactorTable!$A$2:$A$301,0), Skills!M24+1)</f>
        <v/>
      </c>
      <c r="F578">
        <f>IF(Skills!N24=TRUE,(Skills!L24/10)*(E578/1000),Skills!L24/10)+Skills!O24</f>
        <v/>
      </c>
      <c r="G578">
        <f>Calc!G24</f>
        <v/>
      </c>
      <c r="H578">
        <f>Calc!H24</f>
        <v/>
      </c>
      <c r="I578">
        <f>IF(Skills!X24&lt;&gt;"",1+(Skills!X24/10)*(Z557/1000)/100,1)</f>
        <v/>
      </c>
      <c r="J578">
        <f>((Inputs!$B$6*(1+Inputs!$B$7/100))+(((Inputs!$B$12*(1+Inputs!$B$13/100))-(Inputs!$B$12*(1+Inputs!$B$13/100)))+0.25*(Inputs!$B$14-Inputs!$B$14))*(1+Inputs!$B$7/100))*(F578/100)</f>
        <v/>
      </c>
      <c r="K578">
        <f>J578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578)</f>
        <v/>
      </c>
      <c r="L578">
        <f>K578*(MIN(Inputs!$B$22+(F576-Calc!F22),(Inputs!$B$23+(IF(ArtifactsInput!$M$15,CHOOSE(ArtifactsInput!$N$15+1,25,30,35,40,45,50)/100*(((1-(1-Inputs!$B$11/150)*(1-1/150))*150)-Inputs!$B$11),0))))/100+(Inputs!$B$23+(IF(ArtifactsInput!$M$15,CHOOSE(ArtifactsInput!$N$15+1,25,30,35,40,45,50)/100*(((1-(1-Inputs!$B$11/150)*(1-1/150))*150)-Inputs!$B$11),0)))/100)/2</f>
        <v/>
      </c>
      <c r="M578">
        <f>L578*(1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8">
        <f>L578*(1-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578*(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8">
        <f>(1-Summary!$B$11)*S578+Summary!$B$11*U578</f>
        <v/>
      </c>
      <c r="P578">
        <f>IF(B595=0,0,O578/B595)</f>
        <v/>
      </c>
      <c r="Q578">
        <f>IFERROR(1/(IF(Inputs!$B$38="pvp",15,MAX(0.1,Skills!E24-IF(Skills!F24=TRUE,Inputs!$B$32,0)))*(1-IF(AND(ArtifactsInput!$M$27,Inputs!$B$4="Chapter Hunt"),CHOOSE(ArtifactsInput!$N$27+1,20,24,28,32,36,40),0)/100)),0)</f>
        <v/>
      </c>
      <c r="R578">
        <f>IF(AND(Inputs!$B$38&lt;&gt;"pvp",Inputs!$B$43&gt;0),IF(MAX(0,Inputs!$B$43-B592)&lt;=0,0,(INT(MAX(0,Inputs!$B$43-B592)/(IF(Inputs!$B$38="pvp",15,MAX(0.1,Skills!E24-IF(Skills!F24=TRUE,Inputs!$B$32,0)))*(1-IF(AND(ArtifactsInput!$M$27,Inputs!$B$4="Chapter Hunt"),CHOOSE(ArtifactsInput!$N$27+1,20,24,28,32,36,40),0)/100)))+1)),0)</f>
        <v/>
      </c>
      <c r="S578">
        <f>IF(C578,(H578*N578*IF(AND(Inputs!$B$38&lt;&gt;"pvp",Inputs!$B$43&gt;0),((Skills!G24*((R578-1)*IF(Skills!H24&gt;0,Skills!I24/Skills!H24,1)+IF(Skills!H24&gt;0,MIN(Skills!I24,MAX(0,MAX(0,Inputs!$B$43-B592)-((R578-1)*(IF(Inputs!$B$38="pvp",15,MAX(0.1,Skills!E24-IF(Skills!F24=TRUE,Inputs!$B$32,0)))*(1-IF(AND(ArtifactsInput!$M$27,Inputs!$B$4="Chapter Hunt"),CHOOSE(ArtifactsInput!$N$27+1,20,24,28,32,36,40),0)/100)))))/Skills!H24,1)))/Inputs!$B$43),G578*Q578)*(1+IF(Inputs!$B$3&gt;=130,0.2*(Skills!I16/Skills!E15+IF(Inputs!$B$3&gt;=126,0.05*(B590+Q567+(H568*B591)/(1+Skills!H14*H568*B591)+Q578)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578*(1-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578*(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578*(1-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578*(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8">
        <f>IF(C578,(H578*N578*IF(AND(Inputs!$B$38&lt;&gt;"pvp",Inputs!$B$43&gt;0),((Skills!G24*((R578-1)*IF(Skills!H24&gt;0,Skills!I24/Skills!H24,1)+IF(Skills!H24&gt;0,MIN(Skills!I24,MAX(0,MAX(0,Inputs!$B$43-B592)-((R578-1)*(IF(Inputs!$B$38="pvp",15,MAX(0.1,Skills!E24-IF(Skills!F24=TRUE,Inputs!$B$32,0)))*(1-IF(AND(ArtifactsInput!$M$27,Inputs!$B$4="Chapter Hunt"),CHOOSE(ArtifactsInput!$N$27+1,20,24,28,32,36,40),0)/100)))))/Skills!H24,1)))/Inputs!$B$43),G578*Q578)*(1+IF(Inputs!$B$3&gt;=130,0.2*(Skills!I16/Skills!E15+IF(Inputs!$B$3&gt;=126,0.05*(B590+Q567+(H568*B591)/(1+Skills!H14*H568*B591)+Q578)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9">
      <c r="A579">
        <f>Skills!A25</f>
        <v/>
      </c>
      <c r="B579">
        <f>Skills!B25</f>
        <v/>
      </c>
      <c r="C579">
        <f>Inputs!$B$3&gt;=117</f>
        <v/>
      </c>
      <c r="D579">
        <f>IF(Skills!C25=1,60+Inputs!$B$25+Inputs!$B$29,IF(Skills!C25=2,90+Inputs!$B$26+Inputs!$B$29,IF(Skills!C25=3,120+Inputs!$B$27+Inputs!$B$29,MAX(0,(Inputs!$B$3-100)*3)+Inputs!$B$28+Inputs!$B$29)))</f>
        <v/>
      </c>
      <c r="E579">
        <f>INDEX(FactorTable!$B$2:$Y$301, MATCH(ROUND(MIN(300,MAX(1,D579)),0), FactorTable!$A$2:$A$301,0), Skills!M25+1)</f>
        <v/>
      </c>
      <c r="F579">
        <f>IF(Skills!N25=TRUE,(Skills!L25/10)*(E579/1000),Skills!L25/10)+Skills!O25</f>
        <v/>
      </c>
      <c r="G579">
        <f>Calc!G25</f>
        <v/>
      </c>
      <c r="H579">
        <f>Calc!H25</f>
        <v/>
      </c>
      <c r="I579">
        <f>IF(Skills!X25&lt;&gt;"",1+(Skills!X25/10)*(Z557/1000)/100,1)</f>
        <v/>
      </c>
      <c r="J579" t="inlineStr"/>
      <c r="K579" t="inlineStr"/>
      <c r="L579" t="inlineStr"/>
      <c r="M579" t="inlineStr"/>
      <c r="N579" t="inlineStr"/>
      <c r="O579">
        <f>(1-Summary!$B$11)*S579+Summary!$B$11*U579</f>
        <v/>
      </c>
      <c r="P579">
        <f>IF(B595=0,0,O579/B595)</f>
        <v/>
      </c>
      <c r="Q579">
        <f>IFERROR(1/(IF(Inputs!$B$38="pvp",15,MAX(0.1,Skills!E25-IF(Skills!F25=TRUE,Inputs!$B$32,0)))*(1-IF(AND(ArtifactsInput!$M$27,Inputs!$B$4="Chapter Hunt"),CHOOSE(ArtifactsInput!$N$27+1,20,24,28,32,36,40),0)/100)),0)</f>
        <v/>
      </c>
      <c r="R579" t="n">
        <v>0</v>
      </c>
      <c r="S579" t="n">
        <v>0</v>
      </c>
      <c r="U579" t="n">
        <v>0</v>
      </c>
    </row>
    <row r="580">
      <c r="A580">
        <f>Skills!A26</f>
        <v/>
      </c>
      <c r="B580">
        <f>Skills!B26</f>
        <v/>
      </c>
      <c r="C580">
        <f>Inputs!$B$3&gt;=120</f>
        <v/>
      </c>
      <c r="D580">
        <f>IF(Skills!C26=1,60+Inputs!$B$25+Inputs!$B$29,IF(Skills!C26=2,90+Inputs!$B$26+Inputs!$B$29,IF(Skills!C26=3,120+Inputs!$B$27+Inputs!$B$29,MAX(0,(Inputs!$B$3-100)*3)+Inputs!$B$28+Inputs!$B$29)))</f>
        <v/>
      </c>
      <c r="E580">
        <f>INDEX(FactorTable!$B$2:$Y$301, MATCH(ROUND(MIN(300,MAX(1,D580)),0), FactorTable!$A$2:$A$301,0), Skills!M26+1)</f>
        <v/>
      </c>
      <c r="F580">
        <f>IF(Skills!N26=TRUE,(Skills!L26/10)*(E580/1000),Skills!L26/10)+Skills!O26</f>
        <v/>
      </c>
      <c r="G580">
        <f>Calc!G26</f>
        <v/>
      </c>
      <c r="H580">
        <f>Calc!H26</f>
        <v/>
      </c>
      <c r="I580">
        <f>IF(Skills!X26&lt;&gt;"",1+(Skills!X26/10)*(Z557/1000)/100,1)</f>
        <v/>
      </c>
      <c r="J580" t="inlineStr"/>
      <c r="K580" t="inlineStr"/>
      <c r="L580" t="inlineStr"/>
      <c r="M580" t="inlineStr"/>
      <c r="N580" t="inlineStr"/>
      <c r="O580">
        <f>(1-Summary!$B$11)*S580+Summary!$B$11*U580</f>
        <v/>
      </c>
      <c r="P580">
        <f>IF(B595=0,0,O580/B595)</f>
        <v/>
      </c>
      <c r="Q580">
        <f>IFERROR(1/(IF(Inputs!$B$38="pvp",15,MAX(0.1,Skills!E26-IF(Skills!F26=TRUE,Inputs!$B$32,0)))*(1-IF(AND(ArtifactsInput!$M$27,Inputs!$B$4="Chapter Hunt"),CHOOSE(ArtifactsInput!$N$27+1,20,24,28,32,36,40),0)/100)),0)</f>
        <v/>
      </c>
      <c r="R580" t="n">
        <v>0</v>
      </c>
      <c r="S580" t="n">
        <v>0</v>
      </c>
      <c r="U580" t="n">
        <v>0</v>
      </c>
    </row>
    <row r="581">
      <c r="A581">
        <f>Skills!A27</f>
        <v/>
      </c>
      <c r="B581">
        <f>Skills!B27</f>
        <v/>
      </c>
      <c r="C581">
        <f>Inputs!$B$3&gt;=125</f>
        <v/>
      </c>
      <c r="D581">
        <f>IF(Skills!C27=1,60+Inputs!$B$25+Inputs!$B$29,IF(Skills!C27=2,90+Inputs!$B$26+Inputs!$B$29,IF(Skills!C27=3,120+Inputs!$B$27+Inputs!$B$29,MAX(0,(Inputs!$B$3-100)*3)+Inputs!$B$28+Inputs!$B$29)))</f>
        <v/>
      </c>
      <c r="E581">
        <f>INDEX(FactorTable!$B$2:$Y$301, MATCH(ROUND(MIN(300,MAX(1,D581)),0), FactorTable!$A$2:$A$301,0), Skills!M27+1)</f>
        <v/>
      </c>
      <c r="F581">
        <f>IF(Skills!N27=TRUE,(Skills!L27/10)*(E581/1000),Skills!L27/10)+Skills!O27</f>
        <v/>
      </c>
      <c r="G581">
        <f>Calc!G27</f>
        <v/>
      </c>
      <c r="H581">
        <f>Calc!H27</f>
        <v/>
      </c>
      <c r="I581">
        <f>IF(Skills!X27&lt;&gt;"",1+(Skills!X27/10)*(Z557/1000)/100,1)</f>
        <v/>
      </c>
      <c r="J581" t="inlineStr"/>
      <c r="K581" t="inlineStr"/>
      <c r="L581" t="inlineStr"/>
      <c r="M581" t="inlineStr"/>
      <c r="N581" t="inlineStr"/>
      <c r="O581">
        <f>(1-Summary!$B$11)*S581+Summary!$B$11*U581</f>
        <v/>
      </c>
      <c r="P581">
        <f>IF(B595=0,0,O581/B595)</f>
        <v/>
      </c>
      <c r="Q581">
        <f>IFERROR(1/(IF(Inputs!$B$38="pvp",15,MAX(0.1,Skills!E27-IF(Skills!F27=TRUE,Inputs!$B$32,0)))*(1-IF(AND(ArtifactsInput!$M$27,Inputs!$B$4="Chapter Hunt"),CHOOSE(ArtifactsInput!$N$27+1,20,24,28,32,36,40),0)/100)),0)</f>
        <v/>
      </c>
      <c r="R581" t="n">
        <v>0</v>
      </c>
      <c r="S581" t="n">
        <v>0</v>
      </c>
      <c r="U581" t="n">
        <v>0</v>
      </c>
    </row>
    <row r="582">
      <c r="A582">
        <f>Skills!A28</f>
        <v/>
      </c>
      <c r="B582">
        <f>Skills!B28</f>
        <v/>
      </c>
      <c r="C582">
        <f>Inputs!$B$3&gt;=118</f>
        <v/>
      </c>
      <c r="D582">
        <f>IF(Skills!C28=1,60+Inputs!$B$25+Inputs!$B$29,IF(Skills!C28=2,90+Inputs!$B$26+Inputs!$B$29,IF(Skills!C28=3,120+Inputs!$B$27+Inputs!$B$29,MAX(0,(Inputs!$B$3-100)*3)+Inputs!$B$28+Inputs!$B$29)))</f>
        <v/>
      </c>
      <c r="E582">
        <f>INDEX(FactorTable!$B$2:$Y$301, MATCH(ROUND(MIN(300,MAX(1,D582)),0), FactorTable!$A$2:$A$301,0), Skills!M28+1)</f>
        <v/>
      </c>
      <c r="F582">
        <f>IF(Skills!N28=TRUE,(Skills!L28/10)*(E582/1000),Skills!L28/10)+Skills!O28</f>
        <v/>
      </c>
      <c r="G582">
        <f>Calc!G28</f>
        <v/>
      </c>
      <c r="H582">
        <f>Calc!H28</f>
        <v/>
      </c>
      <c r="I582">
        <f>IF(Skills!X28&lt;&gt;"",1+(Skills!X28/10)*(Z557/1000)/100,1)</f>
        <v/>
      </c>
      <c r="J582">
        <f>((Inputs!$B$6*(1+Inputs!$B$7/100))+(((Inputs!$B$12*(1+Inputs!$B$13/100))-(Inputs!$B$12*(1+Inputs!$B$13/100)))+0.25*(Inputs!$B$14-Inputs!$B$14))*(1+Inputs!$B$7/100))*(F582/100)</f>
        <v/>
      </c>
      <c r="K582">
        <f>J582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F577/100)*(1+IF(Inputs!$B$3&gt;=120,F580,0)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581*5,0)))/100)*(B584*B585*B586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582)</f>
        <v/>
      </c>
      <c r="L582">
        <f>K582*(MIN(Inputs!$B$22+(F576-Calc!F22),(Inputs!$B$23+(IF(ArtifactsInput!$M$15,CHOOSE(ArtifactsInput!$N$15+1,25,30,35,40,45,50)/100*(((1-(1-Inputs!$B$11/150)*(1-1/150))*150)-Inputs!$B$11),0))))/100+(Inputs!$B$23+(IF(ArtifactsInput!$M$15,CHOOSE(ArtifactsInput!$N$15+1,25,30,35,40,45,50)/100*(((1-(1-Inputs!$B$11/150)*(1-1/150))*150)-Inputs!$B$11),0)))/100)/2</f>
        <v/>
      </c>
      <c r="M582">
        <f>L582*(1+(Inputs!$B$10+(F575-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82">
        <f>L582*(1-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582*(MIN((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82">
        <f>(1-Summary!$B$11)*S582+Summary!$B$11*U582</f>
        <v/>
      </c>
      <c r="P582">
        <f>IF(B595=0,0,O582/B595)</f>
        <v/>
      </c>
      <c r="Q582">
        <f>IFERROR(1/(IF(Inputs!$B$38="pvp",15,MAX(0.1,Skills!E28-IF(Skills!F28=TRUE,Inputs!$B$32,0)))*(1-IF(AND(ArtifactsInput!$M$27,Inputs!$B$4="Chapter Hunt"),CHOOSE(ArtifactsInput!$N$27+1,20,24,28,32,36,40),0)/100)),0)</f>
        <v/>
      </c>
      <c r="R582">
        <f>IF(AND(Inputs!$B$38&lt;&gt;"pvp",Inputs!$B$43&gt;0),IF(MAX(0,Inputs!$B$43-B592)&lt;=0,0,(INT(MAX(0,Inputs!$B$43-B592)/(IF(Inputs!$B$38="pvp",15,MAX(0.1,Skills!E28-IF(Skills!F28=TRUE,Inputs!$B$32,0)))*(1-IF(AND(ArtifactsInput!$M$27,Inputs!$B$4="Chapter Hunt"),CHOOSE(ArtifactsInput!$N$27+1,20,24,28,32,36,40),0)/100)))+1)),0)</f>
        <v/>
      </c>
      <c r="S582">
        <f>IF(C582,(H582*N582*IF(AND(Inputs!$B$38&lt;&gt;"pvp",Inputs!$B$43&gt;0),((Skills!G28*((R582-1)*IF(Skills!H28&gt;0,Skills!I28/Skills!H28,1)+IF(Skills!H28&gt;0,MIN(Skills!I28,MAX(0,MAX(0,Inputs!$B$43-B592)-((R582-1)*(IF(Inputs!$B$38="pvp",15,MAX(0.1,Skills!E28-IF(Skills!F28=TRUE,Inputs!$B$32,0)))*(1-IF(AND(ArtifactsInput!$M$27,Inputs!$B$4="Chapter Hunt"),CHOOSE(ArtifactsInput!$N$27+1,20,24,28,32,36,40),0)/100)))))/Skills!H28,1)))/Inputs!$B$43),G582*Q582)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582*(1-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582*(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582*(1-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582*(MIN(100,(Inputs!$B$9+(F574-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82">
        <f>IF(C582,(H582*N582*IF(AND(Inputs!$B$38&lt;&gt;"pvp",Inputs!$B$43&gt;0),((Skills!G28*((R582-1)*IF(Skills!H28&gt;0,Skills!I28/Skills!H28,1)+IF(Skills!H28&gt;0,MIN(Skills!I28,MAX(0,MAX(0,Inputs!$B$43-B592)-((R582-1)*(IF(Inputs!$B$38="pvp",15,MAX(0.1,Skills!E28-IF(Skills!F28=TRUE,Inputs!$B$32,0)))*(1-IF(AND(ArtifactsInput!$M$27,Inputs!$B$4="Chapter Hunt"),CHOOSE(ArtifactsInput!$N$27+1,20,24,28,32,36,40),0)/100)))))/Skills!H28,1)))/Inputs!$B$43),G582*Q582)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84">
      <c r="A584" t="inlineStr">
        <is>
          <t>Burning Magic Multiplier</t>
        </is>
      </c>
      <c r="B584">
        <f>1+(F565*Skills!Z11)/100</f>
        <v/>
      </c>
    </row>
    <row r="585">
      <c r="A585" t="inlineStr">
        <is>
          <t>Elemental Decrease Multiplier (always-on)</t>
        </is>
      </c>
      <c r="B585">
        <f>1+(F566+(IF(AND(ArtifactsInput!$M$35,Inputs!$B$4&lt;&gt;"Chapter Hunt"),CHOOSE(ArtifactsInput!$N$35+1,15,18,21,24,27,30)*(1-EXP(-(0.2*B588)*5)),0)+IF(AND(ArtifactsInput!$M$22,Inputs!$B$4&lt;&gt;"Chapter Hunt"),CHOOSE(ArtifactsInput!$N$22+1,10,12,14,16,18,20)*((0*(((0.15*B588*5))^0/1)+1*(((0.15*B588*5))^1/1)+2*(((0.15*B588*5))^2/2)+3*(((0.15*B588*5))^3/6)+4*(((0.15*B588*5))^4/24)+5*(((0.15*B588*5))^5/120))/((((0.15*B588*5))^0/1)+(((0.15*B588*5))^1/1)+(((0.15*B588*5))^2/2)+(((0.15*B588*5))^3/6)+(((0.15*B588*5))^4/24)+(((0.15*B588*5))^5/120))),0)))/100</f>
        <v/>
      </c>
    </row>
    <row r="586">
      <c r="A586" t="inlineStr">
        <is>
          <t>Average Buff Multiplier (Magic Guard + Meditation + Artifact Attack%, summed; then Infinity)</t>
        </is>
      </c>
      <c r="B586">
        <f>(1+(F560*IF(AND(Inputs!$B$38&lt;&gt;"pvp",Inputs!$B$43&gt;0),(((R560-1)*(Skills!T6*(1+((Inputs!$B$34+(ArtifactsInput!$M$7-ArtifactsInput!$M$7)*CHOOSE(ArtifactsInput!$N$7+1,6,7.2,8.4,9.6,10.8,12)))/100))+MIN((Skills!T6*(1+((Inputs!$B$34+(ArtifactsInput!$M$7-ArtifactsInput!$M$7)*CHOOSE(ArtifactsInput!$N$7+1,6,7.2,8.4,9.6,10.8,12)))/100)),MAX(0,Inputs!$B$43-((R560-1)*Skills!E6))))/Inputs!$B$43),IF(Inputs!$B$38="pvp",MIN((Skills!T6*(1+((Inputs!$B$34+(ArtifactsInput!$M$7-ArtifactsInput!$M$7)*CHOOSE(ArtifactsInput!$N$7+1,6,7.2,8.4,9.6,10.8,12)))/100)),15)/15,(Skills!T6*(1+((Inputs!$B$34+(ArtifactsInput!$M$7-ArtifactsInput!$M$7)*CHOOSE(ArtifactsInput!$N$7+1,6,7.2,8.4,9.6,10.8,12)))/100))/Skills!E6))+F571*IF(AND(Inputs!$B$38&lt;&gt;"pvp",Inputs!$B$43&gt;0),(((R571-1)*(Skills!T17*(1+((Inputs!$B$34+(ArtifactsInput!$M$7-ArtifactsInput!$M$7)*CHOOSE(ArtifactsInput!$N$7+1,6,7.2,8.4,9.6,10.8,12)))/100))+MIN((Skills!T17*(1+((Inputs!$B$34+(ArtifactsInput!$M$7-ArtifactsInput!$M$7)*CHOOSE(ArtifactsInput!$N$7+1,6,7.2,8.4,9.6,10.8,12)))/100)),MAX(0,Inputs!$B$43-((R571-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573=TRUE,(1+F573*IF(AND(Inputs!$B$38&lt;&gt;"pvp",Inputs!$B$43&gt;0),(((R573-1)*(Skills!T19*(1+((Inputs!$B$34+(ArtifactsInput!$M$7-ArtifactsInput!$M$7)*CHOOSE(ArtifactsInput!$N$7+1,6,7.2,8.4,9.6,10.8,12)))/100))+MIN((Skills!T19*(1+((Inputs!$B$34+(ArtifactsInput!$M$7-ArtifactsInput!$M$7)*CHOOSE(ArtifactsInput!$N$7+1,6,7.2,8.4,9.6,10.8,12)))/100)),MAX(0,Inputs!$B$43-((R573-1)*Skills!E19))))/Inputs!$B$43),IF(Inputs!$B$38="pvp",MIN((Skills!T19*(1+((Inputs!$B$34+(ArtifactsInput!$M$7-ArtifactsInput!$M$7)*CHOOSE(ArtifactsInput!$N$7+1,6,7.2,8.4,9.6,10.8,12)))/100)),15)/15,(Skills!T19*(1+((Inputs!$B$34+(ArtifactsInput!$M$7-ArtifactsInput!$M$7)*CHOOSE(ArtifactsInput!$N$7+1,6,7.2,8.4,9.6,10.8,12)))/100))/Skills!E19))/100),1)</f>
        <v/>
      </c>
    </row>
    <row r="587">
      <c r="A587" t="inlineStr">
        <is>
          <t>Attack Speed Buff Bonus % (Nimble Feet, averaged)</t>
        </is>
      </c>
      <c r="B587">
        <f>F572*IF(AND(Inputs!$B$38&lt;&gt;"pvp",Inputs!$B$43&gt;0),(((R572-1)*(Skills!T18*(1+((Inputs!$B$34+(ArtifactsInput!$M$7-ArtifactsInput!$M$7)*CHOOSE(ArtifactsInput!$N$7+1,6,7.2,8.4,9.6,10.8,12)))/100))+MIN((Skills!T18*(1+((Inputs!$B$34+(ArtifactsInput!$M$7-ArtifactsInput!$M$7)*CHOOSE(ArtifactsInput!$N$7+1,6,7.2,8.4,9.6,10.8,12)))/100)),MAX(0,Inputs!$B$43-((R572-1)*Skills!E18))))/Inputs!$B$43),IF(Inputs!$B$38="pvp",MIN((Skills!T18*(1+((Inputs!$B$34+(ArtifactsInput!$M$7-ArtifactsInput!$M$7)*CHOOSE(ArtifactsInput!$N$7+1,6,7.2,8.4,9.6,10.8,12)))/100)),15)/15,(Skills!T18*(1+((Inputs!$B$34+(ArtifactsInput!$M$7-ArtifactsInput!$M$7)*CHOOSE(ArtifactsInput!$N$7+1,6,7.2,8.4,9.6,10.8,12)))/100))/Skills!E18))</f>
        <v/>
      </c>
    </row>
    <row r="588">
      <c r="A588" t="inlineStr">
        <is>
          <t>Actions Per Second</t>
        </is>
      </c>
      <c r="B588">
        <f>1+MIN(150,150*(1-(1-(((1-(1-Inputs!$B$11/150)*(1-1/150))*150)+(ArtifactsInput!$M$15-ArtifactsInput!$M$15)*CHOOSE(ArtifactsInput!$N$15+1,8,9.6,11.2,12.8,14.4,16))/150)*(1-B587/150)))/100</f>
        <v/>
      </c>
    </row>
    <row r="589">
      <c r="A589" t="inlineStr">
        <is>
          <t>Skill + Buff Cast Rate</t>
        </is>
      </c>
      <c r="B589">
        <f>IF(AND(Inputs!$B$38&lt;&gt;"pvp",Inputs!$B$43&gt;0),SUMPRODUCT((Skills!F2:F28=TRUE)*(C556:C582=TRUE)*R556:R582)/Inputs!$B$43,SUMPRODUCT((Skills!F2:F28=TRUE)*(C556:C582=TRUE)*Q556:Q582))</f>
        <v/>
      </c>
    </row>
    <row r="590">
      <c r="A590" t="inlineStr">
        <is>
          <t>Basic Attacks Per Second</t>
        </is>
      </c>
      <c r="B590">
        <f>MAX(0,B588-B589)</f>
        <v/>
      </c>
    </row>
    <row r="591">
      <c r="A591" t="inlineStr">
        <is>
          <t>Meteor Proc — combined trigger cast rate</t>
        </is>
      </c>
      <c r="B591">
        <f>IF(AND(Inputs!$B$38&lt;&gt;"pvp",Inputs!$B$43&gt;0),SUMPRODUCT((Skills!V2:V28=TRUE)*(C556:C582=TRUE)*R556:R582*Skills!W2:W28)/Inputs!$B$43,SUMPRODUCT((Skills!V2:V28=TRUE)*(C556:C582=TRUE)*Q556:Q582*Skills!W2:W28))+B590</f>
        <v/>
      </c>
    </row>
    <row r="592">
      <c r="A592" t="inlineStr">
        <is>
          <t>Buff-Casting Startup Delay (s, fixed-duration only)</t>
        </is>
      </c>
      <c r="B592">
        <f>IF(AND(Inputs!$B$38&lt;&gt;"pvp",Inputs!$B$43&gt;0),SUMPRODUCT((Skills!T2:T28&gt;0)*(Skills!F2:F28=TRUE)*(C556:C582=TRUE))/B588,0)</f>
        <v/>
      </c>
    </row>
    <row r="593">
      <c r="A593" t="inlineStr">
        <is>
          <t>Boss-Only Total DPS (this block's swept value)</t>
        </is>
      </c>
      <c r="B593">
        <f>SUM(S556:S582)</f>
        <v/>
      </c>
    </row>
    <row r="594">
      <c r="A594" t="inlineStr">
        <is>
          <t>Normal-Only Total DPS (this block's swept value)</t>
        </is>
      </c>
      <c r="B594">
        <f>SUM(U556:U582)</f>
        <v/>
      </c>
    </row>
    <row r="595">
      <c r="A595" s="6" t="inlineStr">
        <is>
          <t>TOTAL DPS</t>
        </is>
      </c>
      <c r="B595" s="6">
        <f>SUM(O556:O582)</f>
        <v/>
      </c>
    </row>
    <row r="598">
      <c r="A598" s="6" t="inlineStr">
        <is>
          <t>Stat: DEF_PEN % (diminishing returns, factor 100)</t>
        </is>
      </c>
    </row>
    <row r="599">
      <c r="A599" s="5" t="inlineStr">
        <is>
          <t>Key</t>
        </is>
      </c>
      <c r="B599" s="5" t="inlineStr">
        <is>
          <t>Name</t>
        </is>
      </c>
      <c r="C599" s="5" t="inlineStr">
        <is>
          <t>Unlocked</t>
        </is>
      </c>
      <c r="D599" s="5" t="inlineStr">
        <is>
          <t>InputLevel</t>
        </is>
      </c>
      <c r="E599" s="5" t="inlineStr">
        <is>
          <t>Factor</t>
        </is>
      </c>
      <c r="F599" s="5" t="inlineStr">
        <is>
          <t>CoefficientPercent</t>
        </is>
      </c>
      <c r="G599" s="5" t="inlineStr">
        <is>
          <t>EffectiveHits</t>
        </is>
      </c>
      <c r="H599" s="5" t="inlineStr">
        <is>
          <t>ProcProbability</t>
        </is>
      </c>
      <c r="I599" s="5" t="inlineStr">
        <is>
          <t>MapleHeroMultiplier</t>
        </is>
      </c>
      <c r="J599" s="5" t="inlineStr">
        <is>
          <t>BaseDamage</t>
        </is>
      </c>
      <c r="K599" s="5" t="inlineStr">
        <is>
          <t>BaseHitDamage</t>
        </is>
      </c>
      <c r="L599" s="5" t="inlineStr">
        <is>
          <t>NonCritAvg</t>
        </is>
      </c>
      <c r="M599" s="5" t="inlineStr">
        <is>
          <t>CritAvg</t>
        </is>
      </c>
      <c r="N599" s="5" t="inlineStr">
        <is>
          <t>ExpectedDamage(perHit)</t>
        </is>
      </c>
      <c r="O599" s="5" t="inlineStr">
        <is>
          <t>DPS</t>
        </is>
      </c>
      <c r="P599" s="5" t="inlineStr">
        <is>
          <t>% of Total</t>
        </is>
      </c>
      <c r="R599" t="inlineStr">
        <is>
          <t>helpers</t>
        </is>
      </c>
    </row>
    <row r="600">
      <c r="A600">
        <f>Skills!A2</f>
        <v/>
      </c>
      <c r="B600">
        <f>Skills!B2</f>
        <v/>
      </c>
      <c r="C600">
        <f>TRUE</f>
        <v/>
      </c>
      <c r="D600" t="inlineStr"/>
      <c r="E600" t="inlineStr"/>
      <c r="F600">
        <f>T602+Skills!O2</f>
        <v/>
      </c>
      <c r="G600">
        <f>Calc!G2</f>
        <v/>
      </c>
      <c r="H600">
        <f>Calc!H2</f>
        <v/>
      </c>
      <c r="I600">
        <f>IF(Skills!X2&lt;&gt;"",1+(Skills!X2/10)*(Z601/1000)/100,1)</f>
        <v/>
      </c>
      <c r="J600">
        <f>((Inputs!$B$6*(1+Inputs!$B$7/100))+(((Inputs!$B$12*(1+Inputs!$B$13/100))-(Inputs!$B$12*(1+Inputs!$B$13/100)))+0.25*(Inputs!$B$14-Inputs!$B$14))*(1+Inputs!$B$7/100))*(F600/100)</f>
        <v/>
      </c>
      <c r="K600">
        <f>J600*(1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600)</f>
        <v/>
      </c>
      <c r="L600">
        <f>K600*(MIN(Inputs!$B$22+(F620-Calc!F22),(Inputs!$B$23+(IF(ArtifactsInput!$M$15,CHOOSE(ArtifactsInput!$N$15+1,25,30,35,40,45,50)/100*(Inputs!$B$11-Inputs!$B$11),0))))/100+(Inputs!$B$23+(IF(ArtifactsInput!$M$15,CHOOSE(ArtifactsInput!$N$15+1,25,30,35,40,45,50)/100*(Inputs!$B$11-Inputs!$B$11),0)))/100)/2</f>
        <v/>
      </c>
      <c r="M600">
        <f>L600*(1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0">
        <f>L600*(1-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600*(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0">
        <f>(1-Summary!$B$11)*S600+Summary!$B$11*U600</f>
        <v/>
      </c>
      <c r="P600">
        <f>IF(B639=0,0,O600/B639)</f>
        <v/>
      </c>
      <c r="Q600">
        <f>IFERROR(1/(IF(Inputs!$B$38="pvp",15,MAX(0.1,Skills!E2-IF(Skills!F2=TRUE,Inputs!$B$32,0)))*(1-IF(AND(ArtifactsInput!$M$27,Inputs!$B$4="Chapter Hunt"),CHOOSE(ArtifactsInput!$N$27+1,20,24,28,32,36,40),0)/100)),0)</f>
        <v/>
      </c>
      <c r="R600" t="n">
        <v>0</v>
      </c>
      <c r="S600">
        <f>(Skills!G2*N600*B634)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600*(1-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600*(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600*(1-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600*(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600">
        <f>MAX(0,(Inputs!$B$3-100)*3)+Inputs!$B$28+Inputs!$B$29</f>
        <v/>
      </c>
      <c r="U600">
        <f>(Skills!G2*N600*B634)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600">
        <f>MAX(0,(Inputs!$B$3-100)*3)+Inputs!$B$28+Inputs!$B$29</f>
        <v/>
      </c>
    </row>
    <row r="601">
      <c r="A601">
        <f>Skills!A3</f>
        <v/>
      </c>
      <c r="B601">
        <f>Skills!B3</f>
        <v/>
      </c>
      <c r="C601">
        <f>TRUE</f>
        <v/>
      </c>
      <c r="D601">
        <f>IF(Skills!C3=1,60+Inputs!$B$25+Inputs!$B$29,IF(Skills!C3=2,90+Inputs!$B$26+Inputs!$B$29,IF(Skills!C3=3,120+Inputs!$B$27+Inputs!$B$29,MAX(0,(Inputs!$B$3-100)*3)+Inputs!$B$28+Inputs!$B$29)))</f>
        <v/>
      </c>
      <c r="E601">
        <f>INDEX(FactorTable!$B$2:$Y$301, MATCH(ROUND(MIN(300,MAX(1,D601)),0), FactorTable!$A$2:$A$301,0), Skills!M3+1)</f>
        <v/>
      </c>
      <c r="F601">
        <f>IF(Skills!N3=TRUE,(Skills!L3/10)*(E601/1000),Skills!L3/10)+Skills!O3</f>
        <v/>
      </c>
      <c r="G601">
        <f>Calc!G3</f>
        <v/>
      </c>
      <c r="H601">
        <f>Calc!H3</f>
        <v/>
      </c>
      <c r="I601">
        <f>IF(Skills!X3&lt;&gt;"",1+(Skills!X3/10)*(Z601/1000)/100,1)</f>
        <v/>
      </c>
      <c r="J601">
        <f>((Inputs!$B$6*(1+Inputs!$B$7/100))+(((Inputs!$B$12*(1+Inputs!$B$13/100))-(Inputs!$B$12*(1+Inputs!$B$13/100)))+0.25*(Inputs!$B$14-Inputs!$B$14))*(1+Inputs!$B$7/100))*(F601/100)</f>
        <v/>
      </c>
      <c r="K601">
        <f>J601*(1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601)</f>
        <v/>
      </c>
      <c r="L601">
        <f>K601*(MIN(Inputs!$B$22+(F620-Calc!F22),(Inputs!$B$23+(IF(ArtifactsInput!$M$15,CHOOSE(ArtifactsInput!$N$15+1,25,30,35,40,45,50)/100*(Inputs!$B$11-Inputs!$B$11),0))))/100+(Inputs!$B$23+(IF(ArtifactsInput!$M$15,CHOOSE(ArtifactsInput!$N$15+1,25,30,35,40,45,50)/100*(Inputs!$B$11-Inputs!$B$11),0)))/100)/2</f>
        <v/>
      </c>
      <c r="M601">
        <f>L601*(1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1">
        <f>L601*(1-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1">
        <f>(1-Summary!$B$11)*S601+Summary!$B$11*U601</f>
        <v/>
      </c>
      <c r="P601">
        <f>IF(B639=0,0,O601/B639)</f>
        <v/>
      </c>
      <c r="Q601">
        <f>IFERROR(1/(IF(Inputs!$B$38="pvp",15,MAX(0.1,Skills!E3-IF(Skills!F3=TRUE,Inputs!$B$32,0)))*(1-IF(AND(ArtifactsInput!$M$27,Inputs!$B$4="Chapter Hunt"),CHOOSE(ArtifactsInput!$N$27+1,20,24,28,32,36,40),0)/100)),0)</f>
        <v/>
      </c>
      <c r="R601">
        <f>IF(AND(Inputs!$B$38&lt;&gt;"pvp",Inputs!$B$43&gt;0),IF(MAX(0,Inputs!$B$43-B636)&lt;=0,0,(INT(MAX(0,Inputs!$B$43-B636)/(IF(Inputs!$B$38="pvp",15,MAX(0.1,Skills!E3-IF(Skills!F3=TRUE,Inputs!$B$32,0)))*(1-IF(AND(ArtifactsInput!$M$27,Inputs!$B$4="Chapter Hunt"),CHOOSE(ArtifactsInput!$N$27+1,20,24,28,32,36,40),0)/100)))+1)),0)</f>
        <v/>
      </c>
      <c r="S601">
        <f>IF(C601,(H601*N601*IF(AND(Inputs!$B$38&lt;&gt;"pvp",Inputs!$B$43&gt;0),((Skills!G3*((R601-1)*IF(Skills!H3&gt;0,Skills!I3/Skills!H3,1)+IF(Skills!H3&gt;0,MIN(Skills!I3,MAX(0,MAX(0,Inputs!$B$43-B636)-((R601-1)*(IF(Inputs!$B$38="pvp",15,MAX(0.1,Skills!E3-IF(Skills!F3=TRUE,Inputs!$B$32,0)))*(1-IF(AND(ArtifactsInput!$M$27,Inputs!$B$4="Chapter Hunt"),CHOOSE(ArtifactsInput!$N$27+1,20,24,28,32,36,40),0)/100)))))/Skills!H3,1)))/Inputs!$B$43),G601*Q601)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601*(1-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601*(1-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01">
        <f>INDEX(FactorTable!$B$2:$Y$301, MATCH(ROUND(MIN(300,MAX(1,T600)),0), FactorTable!$A$2:$A$301,0), 22)</f>
        <v/>
      </c>
      <c r="U601">
        <f>IF(C601,(H601*N601*IF(AND(Inputs!$B$38&lt;&gt;"pvp",Inputs!$B$43&gt;0),((Skills!G3*((R601-1)*IF(Skills!H3&gt;0,Skills!I3/Skills!H3,1)+IF(Skills!H3&gt;0,MIN(Skills!I3,MAX(0,MAX(0,Inputs!$B$43-B636)-((R601-1)*(IF(Inputs!$B$38="pvp",15,MAX(0.1,Skills!E3-IF(Skills!F3=TRUE,Inputs!$B$32,0)))*(1-IF(AND(ArtifactsInput!$M$27,Inputs!$B$4="Chapter Hunt"),CHOOSE(ArtifactsInput!$N$27+1,20,24,28,32,36,40),0)/100)))))/Skills!H3,1)))/Inputs!$B$43),G601*Q601)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601">
        <f>INDEX(FactorTable!$B$2:$Y$301, MATCH(ROUND(MIN(300,MAX(1,Z600)),0), FactorTable!$A$2:$A$301,0), 24)</f>
        <v/>
      </c>
    </row>
    <row r="602">
      <c r="A602">
        <f>Skills!A4</f>
        <v/>
      </c>
      <c r="B602">
        <f>Skills!B4</f>
        <v/>
      </c>
      <c r="C602">
        <f>TRUE</f>
        <v/>
      </c>
      <c r="D602">
        <f>IF(Skills!C4=1,60+Inputs!$B$25+Inputs!$B$29,IF(Skills!C4=2,90+Inputs!$B$26+Inputs!$B$29,IF(Skills!C4=3,120+Inputs!$B$27+Inputs!$B$29,MAX(0,(Inputs!$B$3-100)*3)+Inputs!$B$28+Inputs!$B$29)))</f>
        <v/>
      </c>
      <c r="E602">
        <f>INDEX(FactorTable!$B$2:$Y$301, MATCH(ROUND(MIN(300,MAX(1,D602)),0), FactorTable!$A$2:$A$301,0), Skills!M4+1)</f>
        <v/>
      </c>
      <c r="F602">
        <f>IF(Skills!N4=TRUE,(Skills!L4/10)*(E602/1000),Skills!L4/10)+Skills!O4</f>
        <v/>
      </c>
      <c r="G602">
        <f>Calc!G4</f>
        <v/>
      </c>
      <c r="H602">
        <f>Calc!H4</f>
        <v/>
      </c>
      <c r="I602">
        <f>IF(Skills!X4&lt;&gt;"",1+(Skills!X4/10)*(Z601/1000)/100,1)</f>
        <v/>
      </c>
      <c r="J602">
        <f>((Inputs!$B$6*(1+Inputs!$B$7/100))+(((Inputs!$B$12*(1+Inputs!$B$13/100))-(Inputs!$B$12*(1+Inputs!$B$13/100)))+0.25*(Inputs!$B$14-Inputs!$B$14))*(1+Inputs!$B$7/100))*(F602/100)</f>
        <v/>
      </c>
      <c r="K602">
        <f>J602*(1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602)</f>
        <v/>
      </c>
      <c r="L602">
        <f>K602*(MIN(Inputs!$B$22+(F620-Calc!F22),(Inputs!$B$23+(IF(ArtifactsInput!$M$15,CHOOSE(ArtifactsInput!$N$15+1,25,30,35,40,45,50)/100*(Inputs!$B$11-Inputs!$B$11),0))))/100+(Inputs!$B$23+(IF(ArtifactsInput!$M$15,CHOOSE(ArtifactsInput!$N$15+1,25,30,35,40,45,50)/100*(Inputs!$B$11-Inputs!$B$11),0)))/100)/2</f>
        <v/>
      </c>
      <c r="M602">
        <f>L602*(1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2">
        <f>L602*(1-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602*(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2">
        <f>(1-Summary!$B$11)*S602+Summary!$B$11*U602</f>
        <v/>
      </c>
      <c r="P602">
        <f>IF(B639=0,0,O602/B639)</f>
        <v/>
      </c>
      <c r="Q602">
        <f>IFERROR(1/(IF(Inputs!$B$38="pvp",15,MAX(0.1,Skills!E4-IF(Skills!F4=TRUE,Inputs!$B$32,0)))*(1-IF(AND(ArtifactsInput!$M$27,Inputs!$B$4="Chapter Hunt"),CHOOSE(ArtifactsInput!$N$27+1,20,24,28,32,36,40),0)/100)),0)</f>
        <v/>
      </c>
      <c r="R602">
        <f>IF(AND(Inputs!$B$38&lt;&gt;"pvp",Inputs!$B$43&gt;0),IF(MAX(0,Inputs!$B$43-B636)&lt;=0,0,(INT(MAX(0,Inputs!$B$43-B636)/(IF(Inputs!$B$38="pvp",15,MAX(0.1,Skills!E4-IF(Skills!F4=TRUE,Inputs!$B$32,0)))*(1-IF(AND(ArtifactsInput!$M$27,Inputs!$B$4="Chapter Hunt"),CHOOSE(ArtifactsInput!$N$27+1,20,24,28,32,36,40),0)/100)))+1)),0)</f>
        <v/>
      </c>
      <c r="S602">
        <f>IF(C602,(H602*N602*IF(AND(Inputs!$B$38&lt;&gt;"pvp",Inputs!$B$43&gt;0),((Skills!G4*((R602-1)*IF(Skills!H4&gt;0,Skills!I4/Skills!H4,1)+IF(Skills!H4&gt;0,MIN(Skills!I4,MAX(0,MAX(0,Inputs!$B$43-B636)-((R602-1)*(IF(Inputs!$B$38="pvp",15,MAX(0.1,Skills!E4-IF(Skills!F4=TRUE,Inputs!$B$32,0)))*(1-IF(AND(ArtifactsInput!$M$27,Inputs!$B$4="Chapter Hunt"),CHOOSE(ArtifactsInput!$N$27+1,20,24,28,32,36,40),0)/100)))))/Skills!H4,1)))/Inputs!$B$43),G602*Q602)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602*(1-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602*(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602*(1-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602*(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02">
        <f>290*T601/1000</f>
        <v/>
      </c>
      <c r="U602">
        <f>IF(C602,(H602*N602*IF(AND(Inputs!$B$38&lt;&gt;"pvp",Inputs!$B$43&gt;0),((Skills!G4*((R602-1)*IF(Skills!H4&gt;0,Skills!I4/Skills!H4,1)+IF(Skills!H4&gt;0,MIN(Skills!I4,MAX(0,MAX(0,Inputs!$B$43-B636)-((R602-1)*(IF(Inputs!$B$38="pvp",15,MAX(0.1,Skills!E4-IF(Skills!F4=TRUE,Inputs!$B$32,0)))*(1-IF(AND(ArtifactsInput!$M$27,Inputs!$B$4="Chapter Hunt"),CHOOSE(ArtifactsInput!$N$27+1,20,24,28,32,36,40),0)/100)))))/Skills!H4,1)))/Inputs!$B$43),G602*Q602)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3">
      <c r="A603">
        <f>Skills!A5</f>
        <v/>
      </c>
      <c r="B603">
        <f>Skills!B5</f>
        <v/>
      </c>
      <c r="C603">
        <f>TRUE</f>
        <v/>
      </c>
      <c r="D603">
        <f>IF(Skills!C5=1,60+Inputs!$B$25+Inputs!$B$29,IF(Skills!C5=2,90+Inputs!$B$26+Inputs!$B$29,IF(Skills!C5=3,120+Inputs!$B$27+Inputs!$B$29,MAX(0,(Inputs!$B$3-100)*3)+Inputs!$B$28+Inputs!$B$29)))</f>
        <v/>
      </c>
      <c r="E603">
        <f>INDEX(FactorTable!$B$2:$Y$301, MATCH(ROUND(MIN(300,MAX(1,D603)),0), FactorTable!$A$2:$A$301,0), Skills!M5+1)</f>
        <v/>
      </c>
      <c r="F603">
        <f>IF(Skills!N5=TRUE,(Skills!L5/10)*(E603/1000),Skills!L5/10)+Skills!O5</f>
        <v/>
      </c>
      <c r="G603">
        <f>Calc!G5</f>
        <v/>
      </c>
      <c r="H603">
        <f>Calc!H5</f>
        <v/>
      </c>
      <c r="I603">
        <f>IF(Skills!X5&lt;&gt;"",1+(Skills!X5/10)*(Z601/1000)/100,1)</f>
        <v/>
      </c>
      <c r="J603">
        <f>((Inputs!$B$6*(1+Inputs!$B$7/100))+(((Inputs!$B$12*(1+Inputs!$B$13/100))-(Inputs!$B$12*(1+Inputs!$B$13/100)))+0.25*(Inputs!$B$14-Inputs!$B$14))*(1+Inputs!$B$7/100))*(F603/100)</f>
        <v/>
      </c>
      <c r="K603">
        <f>J603*(1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603)</f>
        <v/>
      </c>
      <c r="L603">
        <f>K603*(MIN(Inputs!$B$22+(F620-Calc!F22),(Inputs!$B$23+(IF(ArtifactsInput!$M$15,CHOOSE(ArtifactsInput!$N$15+1,25,30,35,40,45,50)/100*(Inputs!$B$11-Inputs!$B$11),0))))/100+(Inputs!$B$23+(IF(ArtifactsInput!$M$15,CHOOSE(ArtifactsInput!$N$15+1,25,30,35,40,45,50)/100*(Inputs!$B$11-Inputs!$B$11),0)))/100)/2</f>
        <v/>
      </c>
      <c r="M603">
        <f>L603*(1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3">
        <f>L603*(1-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603*(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3">
        <f>(1-Summary!$B$11)*S603+Summary!$B$11*U603</f>
        <v/>
      </c>
      <c r="P603">
        <f>IF(B639=0,0,O603/B639)</f>
        <v/>
      </c>
      <c r="Q603">
        <f>IFERROR(1/(IF(Inputs!$B$38="pvp",15,MAX(0.1,Skills!E5-IF(Skills!F5=TRUE,Inputs!$B$32,0)))*(1-IF(AND(ArtifactsInput!$M$27,Inputs!$B$4="Chapter Hunt"),CHOOSE(ArtifactsInput!$N$27+1,20,24,28,32,36,40),0)/100)),0)</f>
        <v/>
      </c>
      <c r="R603">
        <f>IF(AND(Inputs!$B$38&lt;&gt;"pvp",Inputs!$B$43&gt;0),IF(MAX(0,Inputs!$B$43-B636)&lt;=0,0,(INT(MAX(0,Inputs!$B$43-B636)/(IF(Inputs!$B$38="pvp",15,MAX(0.1,Skills!E5-IF(Skills!F5=TRUE,Inputs!$B$32,0)))*(1-IF(AND(ArtifactsInput!$M$27,Inputs!$B$4="Chapter Hunt"),CHOOSE(ArtifactsInput!$N$27+1,20,24,28,32,36,40),0)/100)))+1)),0)</f>
        <v/>
      </c>
      <c r="S603">
        <f>IF(C603,(H603*N603*IF(AND(Inputs!$B$38&lt;&gt;"pvp",Inputs!$B$43&gt;0),((Skills!G5*((R603-1)*IF(Skills!H5&gt;0,Skills!I5/Skills!H5,1)+IF(Skills!H5&gt;0,MIN(Skills!I5,MAX(0,MAX(0,Inputs!$B$43-B636)-((R603-1)*(IF(Inputs!$B$38="pvp",15,MAX(0.1,Skills!E5-IF(Skills!F5=TRUE,Inputs!$B$32,0)))*(1-IF(AND(ArtifactsInput!$M$27,Inputs!$B$4="Chapter Hunt"),CHOOSE(ArtifactsInput!$N$27+1,20,24,28,32,36,40),0)/100)))))/Skills!H5,1)))/Inputs!$B$43),G603*Q603)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603*(1-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603*(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603*(1-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603*(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03">
        <f>IF(C603,(H603*N603*IF(AND(Inputs!$B$38&lt;&gt;"pvp",Inputs!$B$43&gt;0),((Skills!G5*((R603-1)*IF(Skills!H5&gt;0,Skills!I5/Skills!H5,1)+IF(Skills!H5&gt;0,MIN(Skills!I5,MAX(0,MAX(0,Inputs!$B$43-B636)-((R603-1)*(IF(Inputs!$B$38="pvp",15,MAX(0.1,Skills!E5-IF(Skills!F5=TRUE,Inputs!$B$32,0)))*(1-IF(AND(ArtifactsInput!$M$27,Inputs!$B$4="Chapter Hunt"),CHOOSE(ArtifactsInput!$N$27+1,20,24,28,32,36,40),0)/100)))))/Skills!H5,1)))/Inputs!$B$43),G603*Q603)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4">
      <c r="A604">
        <f>Skills!A6</f>
        <v/>
      </c>
      <c r="B604">
        <f>Skills!B6</f>
        <v/>
      </c>
      <c r="C604">
        <f>TRUE</f>
        <v/>
      </c>
      <c r="D604">
        <f>IF(Skills!C6=1,60+Inputs!$B$25+Inputs!$B$29,IF(Skills!C6=2,90+Inputs!$B$26+Inputs!$B$29,IF(Skills!C6=3,120+Inputs!$B$27+Inputs!$B$29,MAX(0,(Inputs!$B$3-100)*3)+Inputs!$B$28+Inputs!$B$29)))</f>
        <v/>
      </c>
      <c r="E604">
        <f>INDEX(FactorTable!$B$2:$Y$301, MATCH(ROUND(MIN(300,MAX(1,D604)),0), FactorTable!$A$2:$A$301,0), Skills!M6+1)</f>
        <v/>
      </c>
      <c r="F604">
        <f>IF(Skills!N6=TRUE,(Skills!L6/10)*(E604/1000),Skills!L6/10)+Skills!O6</f>
        <v/>
      </c>
      <c r="G604">
        <f>Calc!G6</f>
        <v/>
      </c>
      <c r="H604">
        <f>Calc!H6</f>
        <v/>
      </c>
      <c r="I604">
        <f>IF(Skills!X6&lt;&gt;"",1+(Skills!X6/10)*(Z601/1000)/100,1)</f>
        <v/>
      </c>
      <c r="J604" t="inlineStr"/>
      <c r="K604" t="inlineStr"/>
      <c r="L604" t="inlineStr"/>
      <c r="M604" t="inlineStr"/>
      <c r="N604" t="inlineStr"/>
      <c r="O604">
        <f>(1-Summary!$B$11)*S604+Summary!$B$11*U604</f>
        <v/>
      </c>
      <c r="P604">
        <f>IF(B639=0,0,O604/B639)</f>
        <v/>
      </c>
      <c r="Q604">
        <f>IFERROR(1/(IF(Inputs!$B$38="pvp",15,MAX(0.1,Skills!E6-IF(Skills!F6=TRUE,Inputs!$B$32,0)))*(1-IF(AND(ArtifactsInput!$M$27,Inputs!$B$4="Chapter Hunt"),CHOOSE(ArtifactsInput!$N$27+1,20,24,28,32,36,40),0)/100)),0)</f>
        <v/>
      </c>
      <c r="R604">
        <f>IF(AND(Inputs!$B$38&lt;&gt;"pvp",Inputs!$B$43&gt;0),IF(Inputs!$B$43&lt;=0,0,(INT(Inputs!$B$43/(IF(Inputs!$B$38="pvp",15,MAX(0.1,Skills!E6-IF(Skills!F6=TRUE,Inputs!$B$32,0)))*(1-IF(AND(ArtifactsInput!$M$27,Inputs!$B$4="Chapter Hunt"),CHOOSE(ArtifactsInput!$N$27+1,20,24,28,32,36,40),0)/100)))+1)),0)</f>
        <v/>
      </c>
      <c r="S604" t="n">
        <v>0</v>
      </c>
      <c r="U604" t="n">
        <v>0</v>
      </c>
    </row>
    <row r="605">
      <c r="A605">
        <f>Skills!A7</f>
        <v/>
      </c>
      <c r="B605">
        <f>Skills!B7</f>
        <v/>
      </c>
      <c r="C605">
        <f>TRUE</f>
        <v/>
      </c>
      <c r="D605">
        <f>IF(Skills!C7=1,60+Inputs!$B$25+Inputs!$B$29,IF(Skills!C7=2,90+Inputs!$B$26+Inputs!$B$29,IF(Skills!C7=3,120+Inputs!$B$27+Inputs!$B$29,MAX(0,(Inputs!$B$3-100)*3)+Inputs!$B$28+Inputs!$B$29)))</f>
        <v/>
      </c>
      <c r="E605">
        <f>INDEX(FactorTable!$B$2:$Y$301, MATCH(ROUND(MIN(300,MAX(1,D605)),0), FactorTable!$A$2:$A$301,0), Skills!M7+1)</f>
        <v/>
      </c>
      <c r="F605">
        <f>IF(Skills!N7=TRUE,(Skills!L7/10)*(E605/1000),Skills!L7/10)+Skills!O7</f>
        <v/>
      </c>
      <c r="G605">
        <f>Calc!G7</f>
        <v/>
      </c>
      <c r="H605">
        <f>Calc!H7</f>
        <v/>
      </c>
      <c r="I605">
        <f>IF(Skills!X7&lt;&gt;"",1+(Skills!X7/10)*(Z601/1000)/100,1)</f>
        <v/>
      </c>
      <c r="J605">
        <f>((Inputs!$B$6*(1+Inputs!$B$7/100))+(((Inputs!$B$12*(1+Inputs!$B$13/100))-(Inputs!$B$12*(1+Inputs!$B$13/100)))+0.25*(Inputs!$B$14-Inputs!$B$14))*(1+Inputs!$B$7/100))*(F605/100)</f>
        <v/>
      </c>
      <c r="K605">
        <f>J605*(1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605)</f>
        <v/>
      </c>
      <c r="L605">
        <f>K605*(MIN(Inputs!$B$22+(F620-Calc!F22),(Inputs!$B$23+(IF(ArtifactsInput!$M$15,CHOOSE(ArtifactsInput!$N$15+1,25,30,35,40,45,50)/100*(Inputs!$B$11-Inputs!$B$11),0))))/100+(Inputs!$B$23+(IF(ArtifactsInput!$M$15,CHOOSE(ArtifactsInput!$N$15+1,25,30,35,40,45,50)/100*(Inputs!$B$11-Inputs!$B$11),0)))/100)/2</f>
        <v/>
      </c>
      <c r="M605">
        <f>L605*(1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5">
        <f>L605*(1-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605*(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5">
        <f>(1-Summary!$B$11)*S605+Summary!$B$11*U605</f>
        <v/>
      </c>
      <c r="P605">
        <f>IF(B639=0,0,O605/B639)</f>
        <v/>
      </c>
      <c r="Q605">
        <f>IFERROR(1/(IF(Inputs!$B$38="pvp",15,MAX(0.1,Skills!E7-IF(Skills!F7=TRUE,Inputs!$B$32,0)))*(1-IF(AND(ArtifactsInput!$M$27,Inputs!$B$4="Chapter Hunt"),CHOOSE(ArtifactsInput!$N$27+1,20,24,28,32,36,40),0)/100)),0)</f>
        <v/>
      </c>
      <c r="R605">
        <f>IF(AND(Inputs!$B$38&lt;&gt;"pvp",Inputs!$B$43&gt;0),IF(MAX(0,Inputs!$B$43-B636)&lt;=0,0,(INT(MAX(0,Inputs!$B$43-B636)/(IF(Inputs!$B$38="pvp",15,MAX(0.1,Skills!E7-IF(Skills!F7=TRUE,Inputs!$B$32,0)))*(1-IF(AND(ArtifactsInput!$M$27,Inputs!$B$4="Chapter Hunt"),CHOOSE(ArtifactsInput!$N$27+1,20,24,28,32,36,40),0)/100)))+1)),0)</f>
        <v/>
      </c>
      <c r="S605">
        <f>IF(C605,(H605*N605*IF(AND(Inputs!$B$38&lt;&gt;"pvp",Inputs!$B$43&gt;0),((Skills!G7*((R605-1)*IF(Skills!H7&gt;0,Skills!I7/Skills!H7,1)+IF(Skills!H7&gt;0,MIN(Skills!I7,MAX(0,MAX(0,Inputs!$B$43-B636)-((R605-1)*(IF(Inputs!$B$38="pvp",15,MAX(0.1,Skills!E7-IF(Skills!F7=TRUE,Inputs!$B$32,0)))*(1-IF(AND(ArtifactsInput!$M$27,Inputs!$B$4="Chapter Hunt"),CHOOSE(ArtifactsInput!$N$27+1,20,24,28,32,36,40),0)/100)))))/Skills!H7,1)))/Inputs!$B$43),G605*Q605)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605*(1-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605*(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605*(1-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605*(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05">
        <f>IF(C605,(H605*N605*IF(AND(Inputs!$B$38&lt;&gt;"pvp",Inputs!$B$43&gt;0),((Skills!G7*((R605-1)*IF(Skills!H7&gt;0,Skills!I7/Skills!H7,1)+IF(Skills!H7&gt;0,MIN(Skills!I7,MAX(0,MAX(0,Inputs!$B$43-B636)-((R605-1)*(IF(Inputs!$B$38="pvp",15,MAX(0.1,Skills!E7-IF(Skills!F7=TRUE,Inputs!$B$32,0)))*(1-IF(AND(ArtifactsInput!$M$27,Inputs!$B$4="Chapter Hunt"),CHOOSE(ArtifactsInput!$N$27+1,20,24,28,32,36,40),0)/100)))))/Skills!H7,1)))/Inputs!$B$43),G605*Q605)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6">
      <c r="A606">
        <f>Skills!A8</f>
        <v/>
      </c>
      <c r="B606">
        <f>Skills!B8</f>
        <v/>
      </c>
      <c r="C606">
        <f>TRUE</f>
        <v/>
      </c>
      <c r="D606">
        <f>IF(Skills!C8=1,60+Inputs!$B$25+Inputs!$B$29,IF(Skills!C8=2,90+Inputs!$B$26+Inputs!$B$29,IF(Skills!C8=3,120+Inputs!$B$27+Inputs!$B$29,MAX(0,(Inputs!$B$3-100)*3)+Inputs!$B$28+Inputs!$B$29)))</f>
        <v/>
      </c>
      <c r="E606">
        <f>INDEX(FactorTable!$B$2:$Y$301, MATCH(ROUND(MIN(300,MAX(1,D606)),0), FactorTable!$A$2:$A$301,0), Skills!M8+1)</f>
        <v/>
      </c>
      <c r="F606">
        <f>IF(Skills!N8=TRUE,(Skills!L8/10)*(E606/1000),Skills!L8/10)+Skills!O8</f>
        <v/>
      </c>
      <c r="G606">
        <f>Calc!G8</f>
        <v/>
      </c>
      <c r="H606">
        <f>Calc!H8</f>
        <v/>
      </c>
      <c r="I606">
        <f>IF(Skills!X8&lt;&gt;"",1+(Skills!X8/10)*(Z601/1000)/100,1)</f>
        <v/>
      </c>
      <c r="J606">
        <f>((Inputs!$B$6*(1+Inputs!$B$7/100))+(((Inputs!$B$12*(1+Inputs!$B$13/100))-(Inputs!$B$12*(1+Inputs!$B$13/100)))+0.25*(Inputs!$B$14-Inputs!$B$14))*(1+Inputs!$B$7/100))*(F606/100)</f>
        <v/>
      </c>
      <c r="K606">
        <f>J606*(1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606)</f>
        <v/>
      </c>
      <c r="L606">
        <f>K606*(MIN(Inputs!$B$22+(F620-Calc!F22),(Inputs!$B$23+(IF(ArtifactsInput!$M$15,CHOOSE(ArtifactsInput!$N$15+1,25,30,35,40,45,50)/100*(Inputs!$B$11-Inputs!$B$11),0))))/100+(Inputs!$B$23+(IF(ArtifactsInput!$M$15,CHOOSE(ArtifactsInput!$N$15+1,25,30,35,40,45,50)/100*(Inputs!$B$11-Inputs!$B$11),0)))/100)/2</f>
        <v/>
      </c>
      <c r="M606">
        <f>L606*(1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6">
        <f>L606*(1-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606*(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6">
        <f>(1-Summary!$B$11)*S606+Summary!$B$11*U606</f>
        <v/>
      </c>
      <c r="P606">
        <f>IF(B639=0,0,O606/B639)</f>
        <v/>
      </c>
      <c r="Q606">
        <f>IFERROR(1/(IF(Inputs!$B$38="pvp",15,MAX(0.1,Skills!E8-IF(Skills!F8=TRUE,Inputs!$B$32,0)))*(1-IF(AND(ArtifactsInput!$M$27,Inputs!$B$4="Chapter Hunt"),CHOOSE(ArtifactsInput!$N$27+1,20,24,28,32,36,40),0)/100)),0)</f>
        <v/>
      </c>
      <c r="R606">
        <f>IF(AND(Inputs!$B$38&lt;&gt;"pvp",Inputs!$B$43&gt;0),IF(MAX(0,Inputs!$B$43-B636)&lt;=0,0,(INT(MAX(0,Inputs!$B$43-B636)/(IF(Inputs!$B$38="pvp",15,MAX(0.1,Skills!E8-IF(Skills!F8=TRUE,Inputs!$B$32,0)))*(1-IF(AND(ArtifactsInput!$M$27,Inputs!$B$4="Chapter Hunt"),CHOOSE(ArtifactsInput!$N$27+1,20,24,28,32,36,40),0)/100)))+1)),0)</f>
        <v/>
      </c>
      <c r="S606">
        <f>IF(C606,(H606*N606*IF(AND(Inputs!$B$38&lt;&gt;"pvp",Inputs!$B$43&gt;0),((Skills!G8*((R606-1)*IF(Skills!H8&gt;0,Skills!I8/Skills!H8,1)+IF(Skills!H8&gt;0,MIN(Skills!I8,MAX(0,MAX(0,Inputs!$B$43-B636)-((R606-1)*(IF(Inputs!$B$38="pvp",15,MAX(0.1,Skills!E8-IF(Skills!F8=TRUE,Inputs!$B$32,0)))*(1-IF(AND(ArtifactsInput!$M$27,Inputs!$B$4="Chapter Hunt"),CHOOSE(ArtifactsInput!$N$27+1,20,24,28,32,36,40),0)/100)))))/Skills!H8,1)))/Inputs!$B$43),G606*Q606)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606*(1-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606*(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606*(1-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606*(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06">
        <f>IF(C606,(H606*N606*IF(AND(Inputs!$B$38&lt;&gt;"pvp",Inputs!$B$43&gt;0),((Skills!G8*((R606-1)*IF(Skills!H8&gt;0,Skills!I8/Skills!H8,1)+IF(Skills!H8&gt;0,MIN(Skills!I8,MAX(0,MAX(0,Inputs!$B$43-B636)-((R606-1)*(IF(Inputs!$B$38="pvp",15,MAX(0.1,Skills!E8-IF(Skills!F8=TRUE,Inputs!$B$32,0)))*(1-IF(AND(ArtifactsInput!$M$27,Inputs!$B$4="Chapter Hunt"),CHOOSE(ArtifactsInput!$N$27+1,20,24,28,32,36,40),0)/100)))))/Skills!H8,1)))/Inputs!$B$43),G606*Q606)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7">
      <c r="A607">
        <f>Skills!A9</f>
        <v/>
      </c>
      <c r="B607">
        <f>Skills!B9</f>
        <v/>
      </c>
      <c r="C607">
        <f>Inputs!$B$3&gt;=103</f>
        <v/>
      </c>
      <c r="D607">
        <f>IF(Skills!C9=1,60+Inputs!$B$25+Inputs!$B$29,IF(Skills!C9=2,90+Inputs!$B$26+Inputs!$B$29,IF(Skills!C9=3,120+Inputs!$B$27+Inputs!$B$29,MAX(0,(Inputs!$B$3-100)*3)+Inputs!$B$28+Inputs!$B$29)))</f>
        <v/>
      </c>
      <c r="E607">
        <f>INDEX(FactorTable!$B$2:$Y$301, MATCH(ROUND(MIN(300,MAX(1,D607)),0), FactorTable!$A$2:$A$301,0), Skills!M9+1)</f>
        <v/>
      </c>
      <c r="F607">
        <f>IF(Skills!N9=TRUE,(Skills!L9/10)*(E607/1000),Skills!L9/10)+Skills!O9</f>
        <v/>
      </c>
      <c r="G607">
        <f>Calc!G9</f>
        <v/>
      </c>
      <c r="H607">
        <f>Calc!H9</f>
        <v/>
      </c>
      <c r="I607">
        <f>IF(Skills!X9&lt;&gt;"",1+(Skills!X9/10)*(Z601/1000)/100,1)</f>
        <v/>
      </c>
      <c r="J607">
        <f>((Inputs!$B$6*(1+Inputs!$B$7/100))+(((Inputs!$B$12*(1+Inputs!$B$13/100))-(Inputs!$B$12*(1+Inputs!$B$13/100)))+0.25*(Inputs!$B$14-Inputs!$B$14))*(1+Inputs!$B$7/100))*(F607/100)</f>
        <v/>
      </c>
      <c r="K607">
        <f>J607*(1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607)</f>
        <v/>
      </c>
      <c r="L607">
        <f>K607*(MIN(Inputs!$B$22+(F620-Calc!F22),(Inputs!$B$23+(IF(ArtifactsInput!$M$15,CHOOSE(ArtifactsInput!$N$15+1,25,30,35,40,45,50)/100*(Inputs!$B$11-Inputs!$B$11),0))))/100+(Inputs!$B$23+(IF(ArtifactsInput!$M$15,CHOOSE(ArtifactsInput!$N$15+1,25,30,35,40,45,50)/100*(Inputs!$B$11-Inputs!$B$11),0)))/100)/2</f>
        <v/>
      </c>
      <c r="M607">
        <f>L607*(1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7">
        <f>L607*(1-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607*(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7">
        <f>(1-Summary!$B$11)*S607+Summary!$B$11*U607</f>
        <v/>
      </c>
      <c r="P607">
        <f>IF(B639=0,0,O607/B639)</f>
        <v/>
      </c>
      <c r="Q607">
        <f>IFERROR(1/(IF(Inputs!$B$38="pvp",15,MAX(0.1,Skills!E9-IF(Skills!F7=TRUE,Inputs!$B$32,0)))*(1-IF(AND(ArtifactsInput!$M$27,Inputs!$B$4="Chapter Hunt"),CHOOSE(ArtifactsInput!$N$27+1,20,24,28,32,36,40),0)/100)),0)</f>
        <v/>
      </c>
      <c r="R607">
        <f>IF(AND(Inputs!$B$38&lt;&gt;"pvp",Inputs!$B$43&gt;0),IF(MAX(0,Inputs!$B$43-B636)&lt;=0,0,(INT(MAX(0,Inputs!$B$43-B636)/(IF(Inputs!$B$38="pvp",15,MAX(0.1,Skills!E9-IF(Skills!F7=TRUE,Inputs!$B$32,0)))*(1-IF(AND(ArtifactsInput!$M$27,Inputs!$B$4="Chapter Hunt"),CHOOSE(ArtifactsInput!$N$27+1,20,24,28,32,36,40),0)/100)))+1)),0)</f>
        <v/>
      </c>
      <c r="S607">
        <f>IF(C607,(H607*N607*IF(AND(Inputs!$B$38&lt;&gt;"pvp",Inputs!$B$43&gt;0),((Skills!G9*((R607-1)*IF(Skills!H9&gt;0,Skills!I9/Skills!H9,1)+IF(Skills!H9&gt;0,MIN(Skills!I9,MAX(0,MAX(0,Inputs!$B$43-B636)-((R607-1)*(IF(Inputs!$B$38="pvp",15,MAX(0.1,Skills!E9-IF(Skills!F7=TRUE,Inputs!$B$32,0)))*(1-IF(AND(ArtifactsInput!$M$27,Inputs!$B$4="Chapter Hunt"),CHOOSE(ArtifactsInput!$N$27+1,20,24,28,32,36,40),0)/100)))))/Skills!H9,1)))/Inputs!$B$43),G607*Q607)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607*(1-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607*(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607*(1-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607*(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07">
        <f>IF(C607,(H607*N607*IF(AND(Inputs!$B$38&lt;&gt;"pvp",Inputs!$B$43&gt;0),((Skills!G9*((R607-1)*IF(Skills!H9&gt;0,Skills!I9/Skills!H9,1)+IF(Skills!H9&gt;0,MIN(Skills!I9,MAX(0,MAX(0,Inputs!$B$43-B636)-((R607-1)*(IF(Inputs!$B$38="pvp",15,MAX(0.1,Skills!E9-IF(Skills!F7=TRUE,Inputs!$B$32,0)))*(1-IF(AND(ArtifactsInput!$M$27,Inputs!$B$4="Chapter Hunt"),CHOOSE(ArtifactsInput!$N$27+1,20,24,28,32,36,40),0)/100)))))/Skills!H9,1)))/Inputs!$B$43),G607*Q607)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8">
      <c r="A608">
        <f>Skills!A10</f>
        <v/>
      </c>
      <c r="B608">
        <f>Skills!B10</f>
        <v/>
      </c>
      <c r="C608">
        <f>TRUE</f>
        <v/>
      </c>
      <c r="D608">
        <f>IF(Skills!C10=1,60+Inputs!$B$25+Inputs!$B$29,IF(Skills!C10=2,90+Inputs!$B$26+Inputs!$B$29,IF(Skills!C10=3,120+Inputs!$B$27+Inputs!$B$29,MAX(0,(Inputs!$B$3-100)*3)+Inputs!$B$28+Inputs!$B$29)))</f>
        <v/>
      </c>
      <c r="E608">
        <f>INDEX(FactorTable!$B$2:$Y$301, MATCH(ROUND(MIN(300,MAX(1,D608)),0), FactorTable!$A$2:$A$301,0), Skills!M10+1)</f>
        <v/>
      </c>
      <c r="F608">
        <f>IF(Skills!N10=TRUE,(Skills!L10/10)*(E608/1000),Skills!L10/10)+Skills!O10</f>
        <v/>
      </c>
      <c r="G608">
        <f>Calc!G10</f>
        <v/>
      </c>
      <c r="H608">
        <f>Calc!H10</f>
        <v/>
      </c>
      <c r="I608">
        <f>IF(Skills!X10&lt;&gt;"",1+(Skills!X10/10)*(Z601/1000)/100,1)</f>
        <v/>
      </c>
      <c r="J608">
        <f>((Inputs!$B$6*(1+Inputs!$B$7/100))+(((Inputs!$B$12*(1+Inputs!$B$13/100))-(Inputs!$B$12*(1+Inputs!$B$13/100)))+0.25*(Inputs!$B$14-Inputs!$B$14))*(1+Inputs!$B$7/100))*(F608/100)</f>
        <v/>
      </c>
      <c r="K608">
        <f>J608*(1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608)</f>
        <v/>
      </c>
      <c r="L608">
        <f>K608*(MIN(Inputs!$B$22+(F620-Calc!F22),(Inputs!$B$23+(IF(ArtifactsInput!$M$15,CHOOSE(ArtifactsInput!$N$15+1,25,30,35,40,45,50)/100*(Inputs!$B$11-Inputs!$B$11),0))))/100+(Inputs!$B$23+(IF(ArtifactsInput!$M$15,CHOOSE(ArtifactsInput!$N$15+1,25,30,35,40,45,50)/100*(Inputs!$B$11-Inputs!$B$11),0)))/100)/2</f>
        <v/>
      </c>
      <c r="M608">
        <f>L608*(1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8">
        <f>L608*(1-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608*(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8">
        <f>(1-Summary!$B$11)*S608+Summary!$B$11*U608</f>
        <v/>
      </c>
      <c r="P608">
        <f>IF(B639=0,0,O608/B639)</f>
        <v/>
      </c>
      <c r="Q608">
        <f>IFERROR(1/(IF(Inputs!$B$38="pvp",15,MAX(0.1,Skills!E10-IF(Skills!F10=TRUE,Inputs!$B$32,0)))*(1-IF(AND(ArtifactsInput!$M$27,Inputs!$B$4="Chapter Hunt"),CHOOSE(ArtifactsInput!$N$27+1,20,24,28,32,36,40),0)/100)),0)</f>
        <v/>
      </c>
      <c r="R608">
        <f>IF(AND(Inputs!$B$38&lt;&gt;"pvp",Inputs!$B$43&gt;0),IF(MAX(0,Inputs!$B$43-B636)&lt;=0,0,(INT(MAX(0,Inputs!$B$43-B636)/(IF(Inputs!$B$38="pvp",15,MAX(0.1,Skills!E10-IF(Skills!F10=TRUE,Inputs!$B$32,0)))*(1-IF(AND(ArtifactsInput!$M$27,Inputs!$B$4="Chapter Hunt"),CHOOSE(ArtifactsInput!$N$27+1,20,24,28,32,36,40),0)/100)))+1)),0)</f>
        <v/>
      </c>
      <c r="S608">
        <f>IF(C608,(H608*N608*IF(AND(Inputs!$B$38&lt;&gt;"pvp",Inputs!$B$43&gt;0),((Skills!G10*((R608-1)*IF(Skills!H10&gt;0,Skills!I10/Skills!H10,1)+IF(Skills!H10&gt;0,MIN(Skills!I10,MAX(0,MAX(0,Inputs!$B$43-B636)-((R608-1)*(IF(Inputs!$B$38="pvp",15,MAX(0.1,Skills!E10-IF(Skills!F10=TRUE,Inputs!$B$32,0)))*(1-IF(AND(ArtifactsInput!$M$27,Inputs!$B$4="Chapter Hunt"),CHOOSE(ArtifactsInput!$N$27+1,20,24,28,32,36,40),0)/100)))))/Skills!H10,1)))/Inputs!$B$43),G608*Q608)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608*(1-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608*(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608*(1-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608*(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08">
        <f>IF(C608,(H608*N608*IF(AND(Inputs!$B$38&lt;&gt;"pvp",Inputs!$B$43&gt;0),((Skills!G10*((R608-1)*IF(Skills!H10&gt;0,Skills!I10/Skills!H10,1)+IF(Skills!H10&gt;0,MIN(Skills!I10,MAX(0,MAX(0,Inputs!$B$43-B636)-((R608-1)*(IF(Inputs!$B$38="pvp",15,MAX(0.1,Skills!E10-IF(Skills!F10=TRUE,Inputs!$B$32,0)))*(1-IF(AND(ArtifactsInput!$M$27,Inputs!$B$4="Chapter Hunt"),CHOOSE(ArtifactsInput!$N$27+1,20,24,28,32,36,40),0)/100)))))/Skills!H10,1)))/Inputs!$B$43),G608*Q608)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9">
      <c r="A609">
        <f>Skills!A11</f>
        <v/>
      </c>
      <c r="B609">
        <f>Skills!B11</f>
        <v/>
      </c>
      <c r="C609">
        <f>TRUE</f>
        <v/>
      </c>
      <c r="D609">
        <f>IF(Skills!C11=1,60+Inputs!$B$25+Inputs!$B$29,IF(Skills!C11=2,90+Inputs!$B$26+Inputs!$B$29,IF(Skills!C11=3,120+Inputs!$B$27+Inputs!$B$29,MAX(0,(Inputs!$B$3-100)*3)+Inputs!$B$28+Inputs!$B$29)))</f>
        <v/>
      </c>
      <c r="E609">
        <f>INDEX(FactorTable!$B$2:$Y$301, MATCH(ROUND(MIN(300,MAX(1,D609)),0), FactorTable!$A$2:$A$301,0), Skills!M11+1)</f>
        <v/>
      </c>
      <c r="F609">
        <f>IF(Skills!N11=TRUE,(Skills!L11/10)*(E609/1000),Skills!L11/10)+Skills!O11</f>
        <v/>
      </c>
      <c r="G609">
        <f>Calc!G11</f>
        <v/>
      </c>
      <c r="H609">
        <f>Calc!H11</f>
        <v/>
      </c>
      <c r="I609">
        <f>IF(Skills!X11&lt;&gt;"",1+(Skills!X11/10)*(Z601/1000)/100,1)</f>
        <v/>
      </c>
      <c r="J609" t="inlineStr"/>
      <c r="K609" t="inlineStr"/>
      <c r="L609" t="inlineStr"/>
      <c r="M609" t="inlineStr"/>
      <c r="N609" t="inlineStr"/>
      <c r="O609">
        <f>(1-Summary!$B$11)*S609+Summary!$B$11*U609</f>
        <v/>
      </c>
      <c r="P609">
        <f>IF(B639=0,0,O609/B639)</f>
        <v/>
      </c>
      <c r="Q609">
        <f>IFERROR(1/(IF(Inputs!$B$38="pvp",15,MAX(0.1,Skills!E11-IF(Skills!F11=TRUE,Inputs!$B$32,0)))*(1-IF(AND(ArtifactsInput!$M$27,Inputs!$B$4="Chapter Hunt"),CHOOSE(ArtifactsInput!$N$27+1,20,24,28,32,36,40),0)/100)),0)</f>
        <v/>
      </c>
      <c r="R609" t="n">
        <v>0</v>
      </c>
      <c r="S609" t="n">
        <v>0</v>
      </c>
      <c r="U609" t="n">
        <v>0</v>
      </c>
    </row>
    <row r="610">
      <c r="A610">
        <f>Skills!A12</f>
        <v/>
      </c>
      <c r="B610">
        <f>Skills!B12</f>
        <v/>
      </c>
      <c r="C610">
        <f>TRUE</f>
        <v/>
      </c>
      <c r="D610">
        <f>IF(Skills!C12=1,60+Inputs!$B$25+Inputs!$B$29,IF(Skills!C12=2,90+Inputs!$B$26+Inputs!$B$29,IF(Skills!C12=3,120+Inputs!$B$27+Inputs!$B$29,MAX(0,(Inputs!$B$3-100)*3)+Inputs!$B$28+Inputs!$B$29)))</f>
        <v/>
      </c>
      <c r="E610">
        <f>INDEX(FactorTable!$B$2:$Y$301, MATCH(ROUND(MIN(300,MAX(1,D610)),0), FactorTable!$A$2:$A$301,0), Skills!M12+1)</f>
        <v/>
      </c>
      <c r="F610">
        <f>IF(Skills!N12=TRUE,(Skills!L12/10)*(E610/1000),Skills!L12/10)+Skills!O12</f>
        <v/>
      </c>
      <c r="G610">
        <f>Calc!G12</f>
        <v/>
      </c>
      <c r="H610">
        <f>Calc!H12</f>
        <v/>
      </c>
      <c r="I610">
        <f>IF(Skills!X12&lt;&gt;"",1+(Skills!X12/10)*(Z601/1000)/100,1)</f>
        <v/>
      </c>
      <c r="J610" t="inlineStr"/>
      <c r="K610" t="inlineStr"/>
      <c r="L610" t="inlineStr"/>
      <c r="M610" t="inlineStr"/>
      <c r="N610" t="inlineStr"/>
      <c r="O610">
        <f>(1-Summary!$B$11)*S610+Summary!$B$11*U610</f>
        <v/>
      </c>
      <c r="P610">
        <f>IF(B639=0,0,O610/B639)</f>
        <v/>
      </c>
      <c r="Q610">
        <f>IFERROR(1/(IF(Inputs!$B$38="pvp",15,MAX(0.1,Skills!E12-IF(Skills!F12=TRUE,Inputs!$B$32,0)))*(1-IF(AND(ArtifactsInput!$M$27,Inputs!$B$4="Chapter Hunt"),CHOOSE(ArtifactsInput!$N$27+1,20,24,28,32,36,40),0)/100)),0)</f>
        <v/>
      </c>
      <c r="R610" t="n">
        <v>0</v>
      </c>
      <c r="S610" t="n">
        <v>0</v>
      </c>
      <c r="U610" t="n">
        <v>0</v>
      </c>
    </row>
    <row r="611">
      <c r="A611">
        <f>Skills!A13</f>
        <v/>
      </c>
      <c r="B611">
        <f>Skills!B13</f>
        <v/>
      </c>
      <c r="C611">
        <f>Inputs!$B$3&gt;=105</f>
        <v/>
      </c>
      <c r="D611">
        <f>IF(Skills!C13=1,60+Inputs!$B$25+Inputs!$B$29,IF(Skills!C13=2,90+Inputs!$B$26+Inputs!$B$29,IF(Skills!C13=3,120+Inputs!$B$27+Inputs!$B$29,MAX(0,(Inputs!$B$3-100)*3)+Inputs!$B$28+Inputs!$B$29)))</f>
        <v/>
      </c>
      <c r="E611">
        <f>INDEX(FactorTable!$B$2:$Y$301, MATCH(ROUND(MIN(300,MAX(1,D611)),0), FactorTable!$A$2:$A$301,0), Skills!M13+1)</f>
        <v/>
      </c>
      <c r="F611">
        <f>IF(Skills!N13=TRUE,(Skills!L13/10)*(E611/1000),Skills!L13/10)+Skills!O13</f>
        <v/>
      </c>
      <c r="G611">
        <f>Calc!G13</f>
        <v/>
      </c>
      <c r="H611">
        <f>Calc!H13</f>
        <v/>
      </c>
      <c r="I611">
        <f>IF(Skills!X13&lt;&gt;"",1+(Skills!X13/10)*(Z601/1000)/100,1)</f>
        <v/>
      </c>
      <c r="J611">
        <f>((Inputs!$B$6*(1+Inputs!$B$7/100))+(((Inputs!$B$12*(1+Inputs!$B$13/100))-(Inputs!$B$12*(1+Inputs!$B$13/100)))+0.25*(Inputs!$B$14-Inputs!$B$14))*(1+Inputs!$B$7/100))*(F611/100)</f>
        <v/>
      </c>
      <c r="K611">
        <f>J611*(1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611)</f>
        <v/>
      </c>
      <c r="L611">
        <f>K611*(MIN(Inputs!$B$22+(F620-Calc!F22),(Inputs!$B$23+(IF(ArtifactsInput!$M$15,CHOOSE(ArtifactsInput!$N$15+1,25,30,35,40,45,50)/100*(Inputs!$B$11-Inputs!$B$11),0))))/100+(Inputs!$B$23+(IF(ArtifactsInput!$M$15,CHOOSE(ArtifactsInput!$N$15+1,25,30,35,40,45,50)/100*(Inputs!$B$11-Inputs!$B$11),0)))/100)/2</f>
        <v/>
      </c>
      <c r="M611">
        <f>L611*(1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1">
        <f>L611*(1-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1">
        <f>(1-Summary!$B$11)*S611+Summary!$B$11*U611</f>
        <v/>
      </c>
      <c r="P611">
        <f>IF(B639=0,0,O611/B639)</f>
        <v/>
      </c>
      <c r="Q611">
        <f>IFERROR(1/(IF(Inputs!$B$38="pvp",15,MAX(0.1,Skills!E13-IF(Skills!F13=TRUE,Inputs!$B$32,0)))*(1-IF(AND(ArtifactsInput!$M$27,Inputs!$B$4="Chapter Hunt"),CHOOSE(ArtifactsInput!$N$27+1,20,24,28,32,36,40),0)/100)),0)</f>
        <v/>
      </c>
      <c r="R611">
        <f>IF(AND(Inputs!$B$38&lt;&gt;"pvp",Inputs!$B$43&gt;0),IF(MAX(0,Inputs!$B$43-B636)&lt;=0,0,(INT(MAX(0,Inputs!$B$43-B636)/(IF(Inputs!$B$38="pvp",15,MAX(0.1,Skills!E13-IF(Skills!F13=TRUE,Inputs!$B$32,0)))*(1-IF(AND(ArtifactsInput!$M$27,Inputs!$B$4="Chapter Hunt"),CHOOSE(ArtifactsInput!$N$27+1,20,24,28,32,36,40),0)/100)))+1)),0)</f>
        <v/>
      </c>
      <c r="S611">
        <f>IF(C611,(H611*N611*IF(AND(Inputs!$B$38&lt;&gt;"pvp",Inputs!$B$43&gt;0),((Skills!G13*((R611-1)*IF(Skills!H13&gt;0,Skills!I13/Skills!H13,1)+IF(Skills!H13&gt;0,MIN(Skills!I13,MAX(0,MAX(0,Inputs!$B$43-B636)-((R611-1)*(IF(Inputs!$B$38="pvp",15,MAX(0.1,Skills!E13-IF(Skills!F13=TRUE,Inputs!$B$32,0)))*(1-IF(AND(ArtifactsInput!$M$27,Inputs!$B$4="Chapter Hunt"),CHOOSE(ArtifactsInput!$N$27+1,20,24,28,32,36,40),0)/100)))))/Skills!H13,1)))/Inputs!$B$43),G611*Q611)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611*(1-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611*(1-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1">
        <f>IF(C611,(H611*N611*IF(AND(Inputs!$B$38&lt;&gt;"pvp",Inputs!$B$43&gt;0),((Skills!G13*((R611-1)*IF(Skills!H13&gt;0,Skills!I13/Skills!H13,1)+IF(Skills!H13&gt;0,MIN(Skills!I13,MAX(0,MAX(0,Inputs!$B$43-B636)-((R611-1)*(IF(Inputs!$B$38="pvp",15,MAX(0.1,Skills!E13-IF(Skills!F13=TRUE,Inputs!$B$32,0)))*(1-IF(AND(ArtifactsInput!$M$27,Inputs!$B$4="Chapter Hunt"),CHOOSE(ArtifactsInput!$N$27+1,20,24,28,32,36,40),0)/100)))))/Skills!H13,1)))/Inputs!$B$43),G611*Q611)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2">
      <c r="A612">
        <f>Skills!A14</f>
        <v/>
      </c>
      <c r="B612">
        <f>Skills!B14</f>
        <v/>
      </c>
      <c r="C612">
        <f>Inputs!$B$3&gt;=113</f>
        <v/>
      </c>
      <c r="D612">
        <f>IF(Skills!C14=1,60+Inputs!$B$25+Inputs!$B$29,IF(Skills!C14=2,90+Inputs!$B$26+Inputs!$B$29,IF(Skills!C14=3,120+Inputs!$B$27+Inputs!$B$29,MAX(0,(Inputs!$B$3-100)*3)+Inputs!$B$28+Inputs!$B$29)))</f>
        <v/>
      </c>
      <c r="E612">
        <f>INDEX(FactorTable!$B$2:$Y$301, MATCH(ROUND(MIN(300,MAX(1,D612)),0), FactorTable!$A$2:$A$301,0), Skills!M14+1)</f>
        <v/>
      </c>
      <c r="F612">
        <f>IF(Skills!N14=TRUE,(Skills!L14/10)*(E612/1000),Skills!L14/10)+Skills!O14</f>
        <v/>
      </c>
      <c r="G612">
        <f>Calc!G14</f>
        <v/>
      </c>
      <c r="H612">
        <f>Calc!H14</f>
        <v/>
      </c>
      <c r="I612">
        <f>IF(Skills!X14&lt;&gt;"",1+(Skills!X14/10)*(Z601/1000)/100,1)</f>
        <v/>
      </c>
      <c r="J612">
        <f>((Inputs!$B$6*(1+Inputs!$B$7/100))+(((Inputs!$B$12*(1+Inputs!$B$13/100))-(Inputs!$B$12*(1+Inputs!$B$13/100)))+0.25*(Inputs!$B$14-Inputs!$B$14))*(1+Inputs!$B$7/100))*(F612/100)</f>
        <v/>
      </c>
      <c r="K612">
        <f>J612*(1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612)</f>
        <v/>
      </c>
      <c r="L612">
        <f>K612*(MIN(Inputs!$B$22+(F620-Calc!F22),(Inputs!$B$23+(IF(ArtifactsInput!$M$15,CHOOSE(ArtifactsInput!$N$15+1,25,30,35,40,45,50)/100*(Inputs!$B$11-Inputs!$B$11),0))))/100+(Inputs!$B$23+(IF(ArtifactsInput!$M$15,CHOOSE(ArtifactsInput!$N$15+1,25,30,35,40,45,50)/100*(Inputs!$B$11-Inputs!$B$11),0)))/100)/2</f>
        <v/>
      </c>
      <c r="M612">
        <f>L612*(1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2">
        <f>L612*(1-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612*(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2">
        <f>(1-Summary!$B$11)*S612+Summary!$B$11*U612</f>
        <v/>
      </c>
      <c r="P612">
        <f>IF(B639=0,0,O612/B639)</f>
        <v/>
      </c>
      <c r="Q612">
        <f>IFERROR(1/(IF(Inputs!$B$38="pvp",15,MAX(0.1,Skills!E14-IF(Skills!F14=TRUE,Inputs!$B$32,0)))*(1-IF(AND(ArtifactsInput!$M$27,Inputs!$B$4="Chapter Hunt"),CHOOSE(ArtifactsInput!$N$27+1,20,24,28,32,36,40),0)/100)),0)</f>
        <v/>
      </c>
      <c r="R612" t="n">
        <v>0</v>
      </c>
      <c r="S612">
        <f>IF(C612,((H612*B635)/(1+Skills!H14*H612*B635)*N612)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612*(1-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612*(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612*(1-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612*(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2">
        <f>IF(C612,((H612*B635)/(1+Skills!H14*H612*B635)*N612)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3">
      <c r="A613">
        <f>Skills!A15</f>
        <v/>
      </c>
      <c r="B613">
        <f>Skills!B15</f>
        <v/>
      </c>
      <c r="C613">
        <f>Inputs!$B$3&gt;=107</f>
        <v/>
      </c>
      <c r="D613">
        <f>IF(Skills!C15=1,60+Inputs!$B$25+Inputs!$B$29,IF(Skills!C15=2,90+Inputs!$B$26+Inputs!$B$29,IF(Skills!C15=3,120+Inputs!$B$27+Inputs!$B$29,MAX(0,(Inputs!$B$3-100)*3)+Inputs!$B$28+Inputs!$B$29)))</f>
        <v/>
      </c>
      <c r="E613">
        <f>INDEX(FactorTable!$B$2:$Y$301, MATCH(ROUND(MIN(300,MAX(1,D613)),0), FactorTable!$A$2:$A$301,0), Skills!M15+1)</f>
        <v/>
      </c>
      <c r="F613">
        <f>IF(Skills!N15=TRUE,(Skills!L15/10)*(E613/1000),Skills!L15/10)+Skills!O15</f>
        <v/>
      </c>
      <c r="G613">
        <f>Calc!G15</f>
        <v/>
      </c>
      <c r="H613">
        <f>Calc!H15</f>
        <v/>
      </c>
      <c r="I613">
        <f>IF(Skills!X15&lt;&gt;"",1+(Skills!X15/10)*(Z601/1000)/100,1)</f>
        <v/>
      </c>
      <c r="J613">
        <f>((Inputs!$B$6*(1+Inputs!$B$7/100))+(((Inputs!$B$12*(1+Inputs!$B$13/100))-(Inputs!$B$12*(1+Inputs!$B$13/100)))+0.25*(Inputs!$B$14-Inputs!$B$14))*(1+Inputs!$B$7/100))*(F613/100)</f>
        <v/>
      </c>
      <c r="K613">
        <f>J613*(1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613)</f>
        <v/>
      </c>
      <c r="L613">
        <f>K613*(MIN(Inputs!$B$22+(F620-Calc!F22),(Inputs!$B$23+(IF(ArtifactsInput!$M$15,CHOOSE(ArtifactsInput!$N$15+1,25,30,35,40,45,50)/100*(Inputs!$B$11-Inputs!$B$11),0))))/100+(Inputs!$B$23+(IF(ArtifactsInput!$M$15,CHOOSE(ArtifactsInput!$N$15+1,25,30,35,40,45,50)/100*(Inputs!$B$11-Inputs!$B$11),0)))/100)/2</f>
        <v/>
      </c>
      <c r="M613">
        <f>L613*(1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3">
        <f>L613*(1-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613*(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3">
        <f>(1-Summary!$B$11)*S613+Summary!$B$11*U613</f>
        <v/>
      </c>
      <c r="P613">
        <f>IF(B639=0,0,O613/B639)</f>
        <v/>
      </c>
      <c r="Q613">
        <f>IFERROR(1/(IF(Inputs!$B$38="pvp",15,MAX(0.1,Skills!E15-IF(Skills!F15=TRUE,Inputs!$B$32,0)))*(1-IF(AND(ArtifactsInput!$M$27,Inputs!$B$4="Chapter Hunt"),CHOOSE(ArtifactsInput!$N$27+1,20,24,28,32,36,40),0)/100)),0)</f>
        <v/>
      </c>
      <c r="R613">
        <f>IF(AND(Inputs!$B$38&lt;&gt;"pvp",Inputs!$B$43&gt;0),IF(MAX(0,Inputs!$B$43-B636)&lt;=0,0,(INT(MAX(0,Inputs!$B$43-B636)/(IF(Inputs!$B$38="pvp",15,MAX(0.1,Skills!E15-IF(Skills!F15=TRUE,Inputs!$B$32,0)))*(1-IF(AND(ArtifactsInput!$M$27,Inputs!$B$4="Chapter Hunt"),CHOOSE(ArtifactsInput!$N$27+1,20,24,28,32,36,40),0)/100)))+1)),0)</f>
        <v/>
      </c>
      <c r="S613">
        <f>IF(C613,(H613*N613*IF(AND(Inputs!$B$38&lt;&gt;"pvp",Inputs!$B$43&gt;0),((Skills!G15*((R613-1)*IF(Skills!H15&gt;0,Skills!I15/Skills!H15,1)+IF(Skills!H15&gt;0,MIN(Skills!I15,MAX(0,MAX(0,Inputs!$B$43-B636)-((R613-1)*(IF(Inputs!$B$38="pvp",15,MAX(0.1,Skills!E15-IF(Skills!F15=TRUE,Inputs!$B$32,0)))*(1-IF(AND(ArtifactsInput!$M$27,Inputs!$B$4="Chapter Hunt"),CHOOSE(ArtifactsInput!$N$27+1,20,24,28,32,36,40),0)/100)))))/Skills!H15,1)))/Inputs!$B$43),G613*Q613)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613*(1-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613*(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613*(1-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613*(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3">
        <f>IF(C613,(H613*N613*IF(AND(Inputs!$B$38&lt;&gt;"pvp",Inputs!$B$43&gt;0),((Skills!G15*((R613-1)*IF(Skills!H15&gt;0,Skills!I15/Skills!H15,1)+IF(Skills!H15&gt;0,MIN(Skills!I15,MAX(0,MAX(0,Inputs!$B$43-B636)-((R613-1)*(IF(Inputs!$B$38="pvp",15,MAX(0.1,Skills!E15-IF(Skills!F15=TRUE,Inputs!$B$32,0)))*(1-IF(AND(ArtifactsInput!$M$27,Inputs!$B$4="Chapter Hunt"),CHOOSE(ArtifactsInput!$N$27+1,20,24,28,32,36,40),0)/100)))))/Skills!H15,1)))/Inputs!$B$43),G613*Q613)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4">
      <c r="A614">
        <f>Skills!A16</f>
        <v/>
      </c>
      <c r="B614">
        <f>Skills!B16</f>
        <v/>
      </c>
      <c r="C614">
        <f>Inputs!$B$3&gt;=107</f>
        <v/>
      </c>
      <c r="D614">
        <f>IF(Skills!C16=1,60+Inputs!$B$25+Inputs!$B$29,IF(Skills!C16=2,90+Inputs!$B$26+Inputs!$B$29,IF(Skills!C16=3,120+Inputs!$B$27+Inputs!$B$29,MAX(0,(Inputs!$B$3-100)*3)+Inputs!$B$28+Inputs!$B$29)))</f>
        <v/>
      </c>
      <c r="E614">
        <f>INDEX(FactorTable!$B$2:$Y$301, MATCH(ROUND(MIN(300,MAX(1,D614)),0), FactorTable!$A$2:$A$301,0), Skills!M16+1)</f>
        <v/>
      </c>
      <c r="F614">
        <f>IF(Skills!N16=TRUE,(Skills!L16/10)*(E614/1000),Skills!L16/10)+Skills!O16</f>
        <v/>
      </c>
      <c r="G614">
        <f>Calc!G16</f>
        <v/>
      </c>
      <c r="H614">
        <f>Calc!H16</f>
        <v/>
      </c>
      <c r="I614">
        <f>IF(Skills!X16&lt;&gt;"",1+(Skills!X16/10)*(Z601/1000)/100,1)</f>
        <v/>
      </c>
      <c r="J614">
        <f>((Inputs!$B$6*(1+Inputs!$B$7/100))+(((Inputs!$B$12*(1+Inputs!$B$13/100))-(Inputs!$B$12*(1+Inputs!$B$13/100)))+0.25*(Inputs!$B$14-Inputs!$B$14))*(1+Inputs!$B$7/100))*(F614/100)</f>
        <v/>
      </c>
      <c r="K614">
        <f>J614*(1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614)</f>
        <v/>
      </c>
      <c r="L614">
        <f>K614*(MIN(Inputs!$B$22+(F620-Calc!F22),(Inputs!$B$23+(IF(ArtifactsInput!$M$15,CHOOSE(ArtifactsInput!$N$15+1,25,30,35,40,45,50)/100*(Inputs!$B$11-Inputs!$B$11),0))))/100+(Inputs!$B$23+(IF(ArtifactsInput!$M$15,CHOOSE(ArtifactsInput!$N$15+1,25,30,35,40,45,50)/100*(Inputs!$B$11-Inputs!$B$11),0)))/100)/2</f>
        <v/>
      </c>
      <c r="M614">
        <f>L614*(1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4">
        <f>L614*(1-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614*(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4">
        <f>(1-Summary!$B$11)*S614+Summary!$B$11*U614</f>
        <v/>
      </c>
      <c r="P614">
        <f>IF(B639=0,0,O614/B639)</f>
        <v/>
      </c>
      <c r="Q614">
        <f>IFERROR(1/(IF(Inputs!$B$38="pvp",15,MAX(0.1,Skills!E16-IF(Skills!F16=TRUE,Inputs!$B$32,0)))*(1-IF(AND(ArtifactsInput!$M$27,Inputs!$B$4="Chapter Hunt"),CHOOSE(ArtifactsInput!$N$27+1,20,24,28,32,36,40),0)/100)),0)</f>
        <v/>
      </c>
      <c r="R614">
        <f>IF(AND(Inputs!$B$38&lt;&gt;"pvp",Inputs!$B$43&gt;0),IF(MAX(0,Inputs!$B$43-B636)&lt;=0,0,(INT(MAX(0,Inputs!$B$43-B636)/(IF(Inputs!$B$38="pvp",15,MAX(0.1,Skills!E16-IF(Skills!F16=TRUE,Inputs!$B$32,0)))*(1-IF(AND(ArtifactsInput!$M$27,Inputs!$B$4="Chapter Hunt"),CHOOSE(ArtifactsInput!$N$27+1,20,24,28,32,36,40),0)/100)))+1)),0)</f>
        <v/>
      </c>
      <c r="S614">
        <f>IF(C614,(H614*N614*IF(AND(Inputs!$B$38&lt;&gt;"pvp",Inputs!$B$43&gt;0),((Skills!G16*((R614-1)*IF(Skills!H16&gt;0,Skills!I16/Skills!H16,1)+IF(Skills!H16&gt;0,MIN(Skills!I16,MAX(0,MAX(0,Inputs!$B$43-B636)-((R614-1)*(IF(Inputs!$B$38="pvp",15,MAX(0.1,Skills!E16-IF(Skills!F16=TRUE,Inputs!$B$32,0)))*(1-IF(AND(ArtifactsInput!$M$27,Inputs!$B$4="Chapter Hunt"),CHOOSE(ArtifactsInput!$N$27+1,20,24,28,32,36,40),0)/100)))))/Skills!H16,1)))/Inputs!$B$43),G614*Q614)*(1+IF(Inputs!$B$3&gt;=126,0.05*(B634+Q611+(H612*B635)/(1+Skills!H14*H612*B635)+Q622)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614*(1-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614*(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614*(1-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614*(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4">
        <f>IF(C614,(H614*N614*IF(AND(Inputs!$B$38&lt;&gt;"pvp",Inputs!$B$43&gt;0),((Skills!G16*((R614-1)*IF(Skills!H16&gt;0,Skills!I16/Skills!H16,1)+IF(Skills!H16&gt;0,MIN(Skills!I16,MAX(0,MAX(0,Inputs!$B$43-B636)-((R614-1)*(IF(Inputs!$B$38="pvp",15,MAX(0.1,Skills!E16-IF(Skills!F16=TRUE,Inputs!$B$32,0)))*(1-IF(AND(ArtifactsInput!$M$27,Inputs!$B$4="Chapter Hunt"),CHOOSE(ArtifactsInput!$N$27+1,20,24,28,32,36,40),0)/100)))))/Skills!H16,1)))/Inputs!$B$43),G614*Q614)*(1+IF(Inputs!$B$3&gt;=126,0.05*(B634+Q611+(H612*B635)/(1+Skills!H14*H612*B635)+Q622)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5">
      <c r="A615">
        <f>Skills!A17</f>
        <v/>
      </c>
      <c r="B615">
        <f>Skills!B17</f>
        <v/>
      </c>
      <c r="C615">
        <f>TRUE</f>
        <v/>
      </c>
      <c r="D615">
        <f>IF(Skills!C17=1,60+Inputs!$B$25+Inputs!$B$29,IF(Skills!C17=2,90+Inputs!$B$26+Inputs!$B$29,IF(Skills!C17=3,120+Inputs!$B$27+Inputs!$B$29,MAX(0,(Inputs!$B$3-100)*3)+Inputs!$B$28+Inputs!$B$29)))</f>
        <v/>
      </c>
      <c r="E615">
        <f>INDEX(FactorTable!$B$2:$Y$301, MATCH(ROUND(MIN(300,MAX(1,D615)),0), FactorTable!$A$2:$A$301,0), Skills!M17+1)</f>
        <v/>
      </c>
      <c r="F615">
        <f>IF(Skills!N17=TRUE,(Skills!L17/10)*(E615/1000),Skills!L17/10)+Skills!O17</f>
        <v/>
      </c>
      <c r="G615">
        <f>Calc!G17</f>
        <v/>
      </c>
      <c r="H615">
        <f>Calc!H17</f>
        <v/>
      </c>
      <c r="I615">
        <f>IF(Skills!X17&lt;&gt;"",1+(Skills!X17/10)*(Z601/1000)/100,1)</f>
        <v/>
      </c>
      <c r="J615" t="inlineStr"/>
      <c r="K615" t="inlineStr"/>
      <c r="L615" t="inlineStr"/>
      <c r="M615" t="inlineStr"/>
      <c r="N615" t="inlineStr"/>
      <c r="O615">
        <f>(1-Summary!$B$11)*S615+Summary!$B$11*U615</f>
        <v/>
      </c>
      <c r="P615">
        <f>IF(B639=0,0,O615/B639)</f>
        <v/>
      </c>
      <c r="Q615">
        <f>IFERROR(1/(IF(Inputs!$B$38="pvp",15,MAX(0.1,Skills!E17-IF(Skills!F17=TRUE,Inputs!$B$32,0)))*(1-IF(AND(ArtifactsInput!$M$27,Inputs!$B$4="Chapter Hunt"),CHOOSE(ArtifactsInput!$N$27+1,20,24,28,32,36,40),0)/100)),0)</f>
        <v/>
      </c>
      <c r="R615">
        <f>IF(AND(Inputs!$B$38&lt;&gt;"pvp",Inputs!$B$43&gt;0),IF(Inputs!$B$43&lt;=0,0,(INT(Inputs!$B$43/(IF(Inputs!$B$38="pvp",15,MAX(0.1,Skills!E17-IF(Skills!F17=TRUE,Inputs!$B$32,0)))*(1-IF(AND(ArtifactsInput!$M$27,Inputs!$B$4="Chapter Hunt"),CHOOSE(ArtifactsInput!$N$27+1,20,24,28,32,36,40),0)/100)))+1)),0)</f>
        <v/>
      </c>
      <c r="S615" t="n">
        <v>0</v>
      </c>
      <c r="U615" t="n">
        <v>0</v>
      </c>
    </row>
    <row r="616">
      <c r="A616">
        <f>Skills!A18</f>
        <v/>
      </c>
      <c r="B616">
        <f>Skills!B18</f>
        <v/>
      </c>
      <c r="C616">
        <f>TRUE</f>
        <v/>
      </c>
      <c r="D616">
        <f>IF(Skills!C18=1,60+Inputs!$B$25+Inputs!$B$29,IF(Skills!C18=2,90+Inputs!$B$26+Inputs!$B$29,IF(Skills!C18=3,120+Inputs!$B$27+Inputs!$B$29,MAX(0,(Inputs!$B$3-100)*3)+Inputs!$B$28+Inputs!$B$29)))</f>
        <v/>
      </c>
      <c r="E616">
        <f>INDEX(FactorTable!$B$2:$Y$301, MATCH(ROUND(MIN(300,MAX(1,D616)),0), FactorTable!$A$2:$A$301,0), Skills!M18+1)</f>
        <v/>
      </c>
      <c r="F616">
        <f>IF(Skills!N18=TRUE,(Skills!L18/10)*(E616/1000),Skills!L18/10)+Skills!O18</f>
        <v/>
      </c>
      <c r="G616">
        <f>Calc!G18</f>
        <v/>
      </c>
      <c r="H616">
        <f>Calc!H18</f>
        <v/>
      </c>
      <c r="I616">
        <f>IF(Skills!X18&lt;&gt;"",1+(Skills!X18/10)*(Z601/1000)/100,1)</f>
        <v/>
      </c>
      <c r="J616" t="inlineStr"/>
      <c r="K616" t="inlineStr"/>
      <c r="L616" t="inlineStr"/>
      <c r="M616" t="inlineStr"/>
      <c r="N616" t="inlineStr"/>
      <c r="O616">
        <f>(1-Summary!$B$11)*S616+Summary!$B$11*U616</f>
        <v/>
      </c>
      <c r="P616">
        <f>IF(B639=0,0,O616/B639)</f>
        <v/>
      </c>
      <c r="Q616">
        <f>IFERROR(1/(IF(Inputs!$B$38="pvp",15,MAX(0.1,Skills!E18-IF(Skills!F18=TRUE,Inputs!$B$32,0)))*(1-IF(AND(ArtifactsInput!$M$27,Inputs!$B$4="Chapter Hunt"),CHOOSE(ArtifactsInput!$N$27+1,20,24,28,32,36,40),0)/100)),0)</f>
        <v/>
      </c>
      <c r="R616">
        <f>IF(AND(Inputs!$B$38&lt;&gt;"pvp",Inputs!$B$43&gt;0),IF(Inputs!$B$43&lt;=0,0,(INT(Inputs!$B$43/(IF(Inputs!$B$38="pvp",15,MAX(0.1,Skills!E18-IF(Skills!F18=TRUE,Inputs!$B$32,0)))*(1-IF(AND(ArtifactsInput!$M$27,Inputs!$B$4="Chapter Hunt"),CHOOSE(ArtifactsInput!$N$27+1,20,24,28,32,36,40),0)/100)))+1)),0)</f>
        <v/>
      </c>
      <c r="S616" t="n">
        <v>0</v>
      </c>
      <c r="U616" t="n">
        <v>0</v>
      </c>
    </row>
    <row r="617">
      <c r="A617">
        <f>Skills!A19</f>
        <v/>
      </c>
      <c r="B617">
        <f>Skills!B19</f>
        <v/>
      </c>
      <c r="C617">
        <f>Inputs!$B$3&gt;=110</f>
        <v/>
      </c>
      <c r="D617">
        <f>IF(Skills!C19=1,60+Inputs!$B$25+Inputs!$B$29,IF(Skills!C19=2,90+Inputs!$B$26+Inputs!$B$29,IF(Skills!C19=3,120+Inputs!$B$27+Inputs!$B$29,MAX(0,(Inputs!$B$3-100)*3)+Inputs!$B$28+Inputs!$B$29)))</f>
        <v/>
      </c>
      <c r="E617">
        <f>INDEX(FactorTable!$B$2:$Y$301, MATCH(ROUND(MIN(300,MAX(1,D617)),0), FactorTable!$A$2:$A$301,0), Skills!M19+1)</f>
        <v/>
      </c>
      <c r="F617">
        <f>IF(Skills!N19=TRUE,(Skills!L19/10)*(E617/1000),Skills!L19/10)+Skills!O19</f>
        <v/>
      </c>
      <c r="G617">
        <f>Calc!G19</f>
        <v/>
      </c>
      <c r="H617">
        <f>Calc!H19</f>
        <v/>
      </c>
      <c r="I617">
        <f>IF(Skills!X19&lt;&gt;"",1+(Skills!X19/10)*(Z601/1000)/100,1)</f>
        <v/>
      </c>
      <c r="J617" t="inlineStr"/>
      <c r="K617" t="inlineStr"/>
      <c r="L617" t="inlineStr"/>
      <c r="M617" t="inlineStr"/>
      <c r="N617" t="inlineStr"/>
      <c r="O617">
        <f>(1-Summary!$B$11)*S617+Summary!$B$11*U617</f>
        <v/>
      </c>
      <c r="P617">
        <f>IF(B639=0,0,O617/B639)</f>
        <v/>
      </c>
      <c r="Q617">
        <f>IFERROR(1/(IF(Inputs!$B$38="pvp",15,MAX(0.1,Skills!E19-IF(Skills!F19=TRUE,Inputs!$B$32,0)))*(1-IF(AND(ArtifactsInput!$M$27,Inputs!$B$4="Chapter Hunt"),CHOOSE(ArtifactsInput!$N$27+1,20,24,28,32,36,40),0)/100)),0)</f>
        <v/>
      </c>
      <c r="R617">
        <f>IF(AND(Inputs!$B$38&lt;&gt;"pvp",Inputs!$B$43&gt;0),IF(Inputs!$B$43&lt;=0,0,(INT(Inputs!$B$43/(IF(Inputs!$B$38="pvp",15,MAX(0.1,Skills!E19-IF(Skills!F19=TRUE,Inputs!$B$32,0)))*(1-IF(AND(ArtifactsInput!$M$27,Inputs!$B$4="Chapter Hunt"),CHOOSE(ArtifactsInput!$N$27+1,20,24,28,32,36,40),0)/100)))+1)),0)</f>
        <v/>
      </c>
      <c r="S617" t="n">
        <v>0</v>
      </c>
      <c r="U617" t="n">
        <v>0</v>
      </c>
    </row>
    <row r="618">
      <c r="A618">
        <f>Skills!A20</f>
        <v/>
      </c>
      <c r="B618">
        <f>Skills!B20</f>
        <v/>
      </c>
      <c r="C618">
        <f>TRUE</f>
        <v/>
      </c>
      <c r="D618">
        <f>IF(Skills!C20=1,60+Inputs!$B$25+Inputs!$B$29,IF(Skills!C20=2,90+Inputs!$B$26+Inputs!$B$29,IF(Skills!C20=3,120+Inputs!$B$27+Inputs!$B$29,MAX(0,(Inputs!$B$3-100)*3)+Inputs!$B$28+Inputs!$B$29)))</f>
        <v/>
      </c>
      <c r="E618">
        <f>INDEX(FactorTable!$B$2:$Y$301, MATCH(ROUND(MIN(300,MAX(1,D618)),0), FactorTable!$A$2:$A$301,0), Skills!M20+1)</f>
        <v/>
      </c>
      <c r="F618">
        <f>IF(Skills!N20=TRUE,(Skills!L20/10)*(E618/1000),Skills!L20/10)+Skills!O20</f>
        <v/>
      </c>
      <c r="G618">
        <f>Calc!G20</f>
        <v/>
      </c>
      <c r="H618">
        <f>Calc!H20</f>
        <v/>
      </c>
      <c r="I618">
        <f>IF(Skills!X20&lt;&gt;"",1+(Skills!X20/10)*(Z601/1000)/100,1)</f>
        <v/>
      </c>
      <c r="J618" t="inlineStr"/>
      <c r="K618" t="inlineStr"/>
      <c r="L618" t="inlineStr"/>
      <c r="M618" t="inlineStr"/>
      <c r="N618" t="inlineStr"/>
      <c r="O618">
        <f>(1-Summary!$B$11)*S618+Summary!$B$11*U618</f>
        <v/>
      </c>
      <c r="P618">
        <f>IF(B639=0,0,O618/B639)</f>
        <v/>
      </c>
      <c r="Q618">
        <f>IFERROR(1/(IF(Inputs!$B$38="pvp",15,MAX(0.1,Skills!E20-IF(Skills!F20=TRUE,Inputs!$B$32,0)))*(1-IF(AND(ArtifactsInput!$M$27,Inputs!$B$4="Chapter Hunt"),CHOOSE(ArtifactsInput!$N$27+1,20,24,28,32,36,40),0)/100)),0)</f>
        <v/>
      </c>
      <c r="R618" t="n">
        <v>0</v>
      </c>
      <c r="S618" t="n">
        <v>0</v>
      </c>
      <c r="U618" t="n">
        <v>0</v>
      </c>
    </row>
    <row r="619">
      <c r="A619">
        <f>Skills!A21</f>
        <v/>
      </c>
      <c r="B619">
        <f>Skills!B21</f>
        <v/>
      </c>
      <c r="C619">
        <f>TRUE</f>
        <v/>
      </c>
      <c r="D619">
        <f>IF(Skills!C21=1,60+Inputs!$B$25+Inputs!$B$29,IF(Skills!C21=2,90+Inputs!$B$26+Inputs!$B$29,IF(Skills!C21=3,120+Inputs!$B$27+Inputs!$B$29,MAX(0,(Inputs!$B$3-100)*3)+Inputs!$B$28+Inputs!$B$29)))</f>
        <v/>
      </c>
      <c r="E619">
        <f>INDEX(FactorTable!$B$2:$Y$301, MATCH(ROUND(MIN(300,MAX(1,D619)),0), FactorTable!$A$2:$A$301,0), Skills!M21+1)</f>
        <v/>
      </c>
      <c r="F619">
        <f>IF(Skills!N21=TRUE,(Skills!L21/10)*(E619/1000),Skills!L21/10)+Skills!O21</f>
        <v/>
      </c>
      <c r="G619">
        <f>Calc!G21</f>
        <v/>
      </c>
      <c r="H619">
        <f>Calc!H21</f>
        <v/>
      </c>
      <c r="I619">
        <f>IF(Skills!X21&lt;&gt;"",1+(Skills!X21/10)*(Z601/1000)/100,1)</f>
        <v/>
      </c>
      <c r="J619" t="inlineStr"/>
      <c r="K619" t="inlineStr"/>
      <c r="L619" t="inlineStr"/>
      <c r="M619" t="inlineStr"/>
      <c r="N619" t="inlineStr"/>
      <c r="O619">
        <f>(1-Summary!$B$11)*S619+Summary!$B$11*U619</f>
        <v/>
      </c>
      <c r="P619">
        <f>IF(B639=0,0,O619/B639)</f>
        <v/>
      </c>
      <c r="Q619">
        <f>IFERROR(1/(IF(Inputs!$B$38="pvp",15,MAX(0.1,Skills!E21-IF(Skills!F21=TRUE,Inputs!$B$32,0)))*(1-IF(AND(ArtifactsInput!$M$27,Inputs!$B$4="Chapter Hunt"),CHOOSE(ArtifactsInput!$N$27+1,20,24,28,32,36,40),0)/100)),0)</f>
        <v/>
      </c>
      <c r="R619" t="n">
        <v>0</v>
      </c>
      <c r="S619" t="n">
        <v>0</v>
      </c>
      <c r="U619" t="n">
        <v>0</v>
      </c>
    </row>
    <row r="620">
      <c r="A620">
        <f>Skills!A22</f>
        <v/>
      </c>
      <c r="B620">
        <f>Skills!B22</f>
        <v/>
      </c>
      <c r="C620">
        <f>TRUE</f>
        <v/>
      </c>
      <c r="D620">
        <f>IF(Skills!C22=1,60+Inputs!$B$25+Inputs!$B$29,IF(Skills!C22=2,90+Inputs!$B$26+Inputs!$B$29,IF(Skills!C22=3,120+Inputs!$B$27+Inputs!$B$29,MAX(0,(Inputs!$B$3-100)*3)+Inputs!$B$28+Inputs!$B$29)))</f>
        <v/>
      </c>
      <c r="E620">
        <f>INDEX(FactorTable!$B$2:$Y$301, MATCH(ROUND(MIN(300,MAX(1,D620)),0), FactorTable!$A$2:$A$301,0), Skills!M22+1)</f>
        <v/>
      </c>
      <c r="F620">
        <f>IF(Skills!N22=TRUE,(Skills!L22/10)*(E620/1000),Skills!L22/10)+Skills!O22</f>
        <v/>
      </c>
      <c r="G620">
        <f>Calc!G22</f>
        <v/>
      </c>
      <c r="H620">
        <f>Calc!H22</f>
        <v/>
      </c>
      <c r="I620">
        <f>IF(Skills!X22&lt;&gt;"",1+(Skills!X22/10)*(Z601/1000)/100,1)</f>
        <v/>
      </c>
      <c r="J620" t="inlineStr"/>
      <c r="K620" t="inlineStr"/>
      <c r="L620" t="inlineStr"/>
      <c r="M620" t="inlineStr"/>
      <c r="N620" t="inlineStr"/>
      <c r="O620">
        <f>(1-Summary!$B$11)*S620+Summary!$B$11*U620</f>
        <v/>
      </c>
      <c r="P620">
        <f>IF(B639=0,0,O620/B639)</f>
        <v/>
      </c>
      <c r="Q620">
        <f>IFERROR(1/(IF(Inputs!$B$38="pvp",15,MAX(0.1,Skills!E22-IF(Skills!F22=TRUE,Inputs!$B$32,0)))*(1-IF(AND(ArtifactsInput!$M$27,Inputs!$B$4="Chapter Hunt"),CHOOSE(ArtifactsInput!$N$27+1,20,24,28,32,36,40),0)/100)),0)</f>
        <v/>
      </c>
      <c r="R620" t="n">
        <v>0</v>
      </c>
      <c r="S620" t="n">
        <v>0</v>
      </c>
      <c r="U620" t="n">
        <v>0</v>
      </c>
    </row>
    <row r="621">
      <c r="A621">
        <f>Skills!A23</f>
        <v/>
      </c>
      <c r="B621">
        <f>Skills!B23</f>
        <v/>
      </c>
      <c r="C621">
        <f>TRUE</f>
        <v/>
      </c>
      <c r="D621">
        <f>IF(Skills!C23=1,60+Inputs!$B$25+Inputs!$B$29,IF(Skills!C23=2,90+Inputs!$B$26+Inputs!$B$29,IF(Skills!C23=3,120+Inputs!$B$27+Inputs!$B$29,MAX(0,(Inputs!$B$3-100)*3)+Inputs!$B$28+Inputs!$B$29)))</f>
        <v/>
      </c>
      <c r="E621">
        <f>INDEX(FactorTable!$B$2:$Y$301, MATCH(ROUND(MIN(300,MAX(1,D621)),0), FactorTable!$A$2:$A$301,0), Skills!M23+1)</f>
        <v/>
      </c>
      <c r="F621">
        <f>IF(Skills!N23=TRUE,(Skills!L23/10)*(E621/1000),Skills!L23/10)+Skills!O23</f>
        <v/>
      </c>
      <c r="G621">
        <f>Calc!G23</f>
        <v/>
      </c>
      <c r="H621">
        <f>Calc!H23</f>
        <v/>
      </c>
      <c r="I621">
        <f>IF(Skills!X23&lt;&gt;"",1+(Skills!X23/10)*(Z601/1000)/100,1)</f>
        <v/>
      </c>
      <c r="J621" t="inlineStr"/>
      <c r="K621" t="inlineStr"/>
      <c r="L621" t="inlineStr"/>
      <c r="M621" t="inlineStr"/>
      <c r="N621" t="inlineStr"/>
      <c r="O621">
        <f>(1-Summary!$B$11)*S621+Summary!$B$11*U621</f>
        <v/>
      </c>
      <c r="P621">
        <f>IF(B639=0,0,O621/B639)</f>
        <v/>
      </c>
      <c r="Q621">
        <f>IFERROR(1/(IF(Inputs!$B$38="pvp",15,MAX(0.1,Skills!E23-IF(Skills!F23=TRUE,Inputs!$B$32,0)))*(1-IF(AND(ArtifactsInput!$M$27,Inputs!$B$4="Chapter Hunt"),CHOOSE(ArtifactsInput!$N$27+1,20,24,28,32,36,40),0)/100)),0)</f>
        <v/>
      </c>
      <c r="R621" t="n">
        <v>0</v>
      </c>
      <c r="S621" t="n">
        <v>0</v>
      </c>
      <c r="U621" t="n">
        <v>0</v>
      </c>
    </row>
    <row r="622">
      <c r="A622">
        <f>Skills!A24</f>
        <v/>
      </c>
      <c r="B622">
        <f>Skills!B24</f>
        <v/>
      </c>
      <c r="C622">
        <f>Inputs!$B$3&gt;=115</f>
        <v/>
      </c>
      <c r="D622">
        <f>IF(Skills!C24=1,60+Inputs!$B$25+Inputs!$B$29,IF(Skills!C24=2,90+Inputs!$B$26+Inputs!$B$29,IF(Skills!C24=3,120+Inputs!$B$27+Inputs!$B$29,MAX(0,(Inputs!$B$3-100)*3)+Inputs!$B$28+Inputs!$B$29)))</f>
        <v/>
      </c>
      <c r="E622">
        <f>INDEX(FactorTable!$B$2:$Y$301, MATCH(ROUND(MIN(300,MAX(1,D622)),0), FactorTable!$A$2:$A$301,0), Skills!M24+1)</f>
        <v/>
      </c>
      <c r="F622">
        <f>IF(Skills!N24=TRUE,(Skills!L24/10)*(E622/1000),Skills!L24/10)+Skills!O24</f>
        <v/>
      </c>
      <c r="G622">
        <f>Calc!G24</f>
        <v/>
      </c>
      <c r="H622">
        <f>Calc!H24</f>
        <v/>
      </c>
      <c r="I622">
        <f>IF(Skills!X24&lt;&gt;"",1+(Skills!X24/10)*(Z601/1000)/100,1)</f>
        <v/>
      </c>
      <c r="J622">
        <f>((Inputs!$B$6*(1+Inputs!$B$7/100))+(((Inputs!$B$12*(1+Inputs!$B$13/100))-(Inputs!$B$12*(1+Inputs!$B$13/100)))+0.25*(Inputs!$B$14-Inputs!$B$14))*(1+Inputs!$B$7/100))*(F622/100)</f>
        <v/>
      </c>
      <c r="K622">
        <f>J622*(1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622)</f>
        <v/>
      </c>
      <c r="L622">
        <f>K622*(MIN(Inputs!$B$22+(F620-Calc!F22),(Inputs!$B$23+(IF(ArtifactsInput!$M$15,CHOOSE(ArtifactsInput!$N$15+1,25,30,35,40,45,50)/100*(Inputs!$B$11-Inputs!$B$11),0))))/100+(Inputs!$B$23+(IF(ArtifactsInput!$M$15,CHOOSE(ArtifactsInput!$N$15+1,25,30,35,40,45,50)/100*(Inputs!$B$11-Inputs!$B$11),0)))/100)/2</f>
        <v/>
      </c>
      <c r="M622">
        <f>L622*(1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2">
        <f>L622*(1-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622*(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2">
        <f>(1-Summary!$B$11)*S622+Summary!$B$11*U622</f>
        <v/>
      </c>
      <c r="P622">
        <f>IF(B639=0,0,O622/B639)</f>
        <v/>
      </c>
      <c r="Q622">
        <f>IFERROR(1/(IF(Inputs!$B$38="pvp",15,MAX(0.1,Skills!E24-IF(Skills!F24=TRUE,Inputs!$B$32,0)))*(1-IF(AND(ArtifactsInput!$M$27,Inputs!$B$4="Chapter Hunt"),CHOOSE(ArtifactsInput!$N$27+1,20,24,28,32,36,40),0)/100)),0)</f>
        <v/>
      </c>
      <c r="R622">
        <f>IF(AND(Inputs!$B$38&lt;&gt;"pvp",Inputs!$B$43&gt;0),IF(MAX(0,Inputs!$B$43-B636)&lt;=0,0,(INT(MAX(0,Inputs!$B$43-B636)/(IF(Inputs!$B$38="pvp",15,MAX(0.1,Skills!E24-IF(Skills!F24=TRUE,Inputs!$B$32,0)))*(1-IF(AND(ArtifactsInput!$M$27,Inputs!$B$4="Chapter Hunt"),CHOOSE(ArtifactsInput!$N$27+1,20,24,28,32,36,40),0)/100)))+1)),0)</f>
        <v/>
      </c>
      <c r="S622">
        <f>IF(C622,(H622*N622*IF(AND(Inputs!$B$38&lt;&gt;"pvp",Inputs!$B$43&gt;0),((Skills!G24*((R622-1)*IF(Skills!H24&gt;0,Skills!I24/Skills!H24,1)+IF(Skills!H24&gt;0,MIN(Skills!I24,MAX(0,MAX(0,Inputs!$B$43-B636)-((R622-1)*(IF(Inputs!$B$38="pvp",15,MAX(0.1,Skills!E24-IF(Skills!F24=TRUE,Inputs!$B$32,0)))*(1-IF(AND(ArtifactsInput!$M$27,Inputs!$B$4="Chapter Hunt"),CHOOSE(ArtifactsInput!$N$27+1,20,24,28,32,36,40),0)/100)))))/Skills!H24,1)))/Inputs!$B$43),G622*Q622)*(1+IF(Inputs!$B$3&gt;=130,0.2*(Skills!I16/Skills!E15+IF(Inputs!$B$3&gt;=126,0.05*(B634+Q611+(H612*B635)/(1+Skills!H14*H612*B635)+Q622)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622*(1-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622*(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622*(1-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622*(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22">
        <f>IF(C622,(H622*N622*IF(AND(Inputs!$B$38&lt;&gt;"pvp",Inputs!$B$43&gt;0),((Skills!G24*((R622-1)*IF(Skills!H24&gt;0,Skills!I24/Skills!H24,1)+IF(Skills!H24&gt;0,MIN(Skills!I24,MAX(0,MAX(0,Inputs!$B$43-B636)-((R622-1)*(IF(Inputs!$B$38="pvp",15,MAX(0.1,Skills!E24-IF(Skills!F24=TRUE,Inputs!$B$32,0)))*(1-IF(AND(ArtifactsInput!$M$27,Inputs!$B$4="Chapter Hunt"),CHOOSE(ArtifactsInput!$N$27+1,20,24,28,32,36,40),0)/100)))))/Skills!H24,1)))/Inputs!$B$43),G622*Q622)*(1+IF(Inputs!$B$3&gt;=130,0.2*(Skills!I16/Skills!E15+IF(Inputs!$B$3&gt;=126,0.05*(B634+Q611+(H612*B635)/(1+Skills!H14*H612*B635)+Q622)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3">
      <c r="A623">
        <f>Skills!A25</f>
        <v/>
      </c>
      <c r="B623">
        <f>Skills!B25</f>
        <v/>
      </c>
      <c r="C623">
        <f>Inputs!$B$3&gt;=117</f>
        <v/>
      </c>
      <c r="D623">
        <f>IF(Skills!C25=1,60+Inputs!$B$25+Inputs!$B$29,IF(Skills!C25=2,90+Inputs!$B$26+Inputs!$B$29,IF(Skills!C25=3,120+Inputs!$B$27+Inputs!$B$29,MAX(0,(Inputs!$B$3-100)*3)+Inputs!$B$28+Inputs!$B$29)))</f>
        <v/>
      </c>
      <c r="E623">
        <f>INDEX(FactorTable!$B$2:$Y$301, MATCH(ROUND(MIN(300,MAX(1,D623)),0), FactorTable!$A$2:$A$301,0), Skills!M25+1)</f>
        <v/>
      </c>
      <c r="F623">
        <f>IF(Skills!N25=TRUE,(Skills!L25/10)*(E623/1000),Skills!L25/10)+Skills!O25</f>
        <v/>
      </c>
      <c r="G623">
        <f>Calc!G25</f>
        <v/>
      </c>
      <c r="H623">
        <f>Calc!H25</f>
        <v/>
      </c>
      <c r="I623">
        <f>IF(Skills!X25&lt;&gt;"",1+(Skills!X25/10)*(Z601/1000)/100,1)</f>
        <v/>
      </c>
      <c r="J623" t="inlineStr"/>
      <c r="K623" t="inlineStr"/>
      <c r="L623" t="inlineStr"/>
      <c r="M623" t="inlineStr"/>
      <c r="N623" t="inlineStr"/>
      <c r="O623">
        <f>(1-Summary!$B$11)*S623+Summary!$B$11*U623</f>
        <v/>
      </c>
      <c r="P623">
        <f>IF(B639=0,0,O623/B639)</f>
        <v/>
      </c>
      <c r="Q623">
        <f>IFERROR(1/(IF(Inputs!$B$38="pvp",15,MAX(0.1,Skills!E25-IF(Skills!F25=TRUE,Inputs!$B$32,0)))*(1-IF(AND(ArtifactsInput!$M$27,Inputs!$B$4="Chapter Hunt"),CHOOSE(ArtifactsInput!$N$27+1,20,24,28,32,36,40),0)/100)),0)</f>
        <v/>
      </c>
      <c r="R623" t="n">
        <v>0</v>
      </c>
      <c r="S623" t="n">
        <v>0</v>
      </c>
      <c r="U623" t="n">
        <v>0</v>
      </c>
    </row>
    <row r="624">
      <c r="A624">
        <f>Skills!A26</f>
        <v/>
      </c>
      <c r="B624">
        <f>Skills!B26</f>
        <v/>
      </c>
      <c r="C624">
        <f>Inputs!$B$3&gt;=120</f>
        <v/>
      </c>
      <c r="D624">
        <f>IF(Skills!C26=1,60+Inputs!$B$25+Inputs!$B$29,IF(Skills!C26=2,90+Inputs!$B$26+Inputs!$B$29,IF(Skills!C26=3,120+Inputs!$B$27+Inputs!$B$29,MAX(0,(Inputs!$B$3-100)*3)+Inputs!$B$28+Inputs!$B$29)))</f>
        <v/>
      </c>
      <c r="E624">
        <f>INDEX(FactorTable!$B$2:$Y$301, MATCH(ROUND(MIN(300,MAX(1,D624)),0), FactorTable!$A$2:$A$301,0), Skills!M26+1)</f>
        <v/>
      </c>
      <c r="F624">
        <f>IF(Skills!N26=TRUE,(Skills!L26/10)*(E624/1000),Skills!L26/10)+Skills!O26</f>
        <v/>
      </c>
      <c r="G624">
        <f>Calc!G26</f>
        <v/>
      </c>
      <c r="H624">
        <f>Calc!H26</f>
        <v/>
      </c>
      <c r="I624">
        <f>IF(Skills!X26&lt;&gt;"",1+(Skills!X26/10)*(Z601/1000)/100,1)</f>
        <v/>
      </c>
      <c r="J624" t="inlineStr"/>
      <c r="K624" t="inlineStr"/>
      <c r="L624" t="inlineStr"/>
      <c r="M624" t="inlineStr"/>
      <c r="N624" t="inlineStr"/>
      <c r="O624">
        <f>(1-Summary!$B$11)*S624+Summary!$B$11*U624</f>
        <v/>
      </c>
      <c r="P624">
        <f>IF(B639=0,0,O624/B639)</f>
        <v/>
      </c>
      <c r="Q624">
        <f>IFERROR(1/(IF(Inputs!$B$38="pvp",15,MAX(0.1,Skills!E26-IF(Skills!F26=TRUE,Inputs!$B$32,0)))*(1-IF(AND(ArtifactsInput!$M$27,Inputs!$B$4="Chapter Hunt"),CHOOSE(ArtifactsInput!$N$27+1,20,24,28,32,36,40),0)/100)),0)</f>
        <v/>
      </c>
      <c r="R624" t="n">
        <v>0</v>
      </c>
      <c r="S624" t="n">
        <v>0</v>
      </c>
      <c r="U624" t="n">
        <v>0</v>
      </c>
    </row>
    <row r="625">
      <c r="A625">
        <f>Skills!A27</f>
        <v/>
      </c>
      <c r="B625">
        <f>Skills!B27</f>
        <v/>
      </c>
      <c r="C625">
        <f>Inputs!$B$3&gt;=125</f>
        <v/>
      </c>
      <c r="D625">
        <f>IF(Skills!C27=1,60+Inputs!$B$25+Inputs!$B$29,IF(Skills!C27=2,90+Inputs!$B$26+Inputs!$B$29,IF(Skills!C27=3,120+Inputs!$B$27+Inputs!$B$29,MAX(0,(Inputs!$B$3-100)*3)+Inputs!$B$28+Inputs!$B$29)))</f>
        <v/>
      </c>
      <c r="E625">
        <f>INDEX(FactorTable!$B$2:$Y$301, MATCH(ROUND(MIN(300,MAX(1,D625)),0), FactorTable!$A$2:$A$301,0), Skills!M27+1)</f>
        <v/>
      </c>
      <c r="F625">
        <f>IF(Skills!N27=TRUE,(Skills!L27/10)*(E625/1000),Skills!L27/10)+Skills!O27</f>
        <v/>
      </c>
      <c r="G625">
        <f>Calc!G27</f>
        <v/>
      </c>
      <c r="H625">
        <f>Calc!H27</f>
        <v/>
      </c>
      <c r="I625">
        <f>IF(Skills!X27&lt;&gt;"",1+(Skills!X27/10)*(Z601/1000)/100,1)</f>
        <v/>
      </c>
      <c r="J625" t="inlineStr"/>
      <c r="K625" t="inlineStr"/>
      <c r="L625" t="inlineStr"/>
      <c r="M625" t="inlineStr"/>
      <c r="N625" t="inlineStr"/>
      <c r="O625">
        <f>(1-Summary!$B$11)*S625+Summary!$B$11*U625</f>
        <v/>
      </c>
      <c r="P625">
        <f>IF(B639=0,0,O625/B639)</f>
        <v/>
      </c>
      <c r="Q625">
        <f>IFERROR(1/(IF(Inputs!$B$38="pvp",15,MAX(0.1,Skills!E27-IF(Skills!F27=TRUE,Inputs!$B$32,0)))*(1-IF(AND(ArtifactsInput!$M$27,Inputs!$B$4="Chapter Hunt"),CHOOSE(ArtifactsInput!$N$27+1,20,24,28,32,36,40),0)/100)),0)</f>
        <v/>
      </c>
      <c r="R625" t="n">
        <v>0</v>
      </c>
      <c r="S625" t="n">
        <v>0</v>
      </c>
      <c r="U625" t="n">
        <v>0</v>
      </c>
    </row>
    <row r="626">
      <c r="A626">
        <f>Skills!A28</f>
        <v/>
      </c>
      <c r="B626">
        <f>Skills!B28</f>
        <v/>
      </c>
      <c r="C626">
        <f>Inputs!$B$3&gt;=118</f>
        <v/>
      </c>
      <c r="D626">
        <f>IF(Skills!C28=1,60+Inputs!$B$25+Inputs!$B$29,IF(Skills!C28=2,90+Inputs!$B$26+Inputs!$B$29,IF(Skills!C28=3,120+Inputs!$B$27+Inputs!$B$29,MAX(0,(Inputs!$B$3-100)*3)+Inputs!$B$28+Inputs!$B$29)))</f>
        <v/>
      </c>
      <c r="E626">
        <f>INDEX(FactorTable!$B$2:$Y$301, MATCH(ROUND(MIN(300,MAX(1,D626)),0), FactorTable!$A$2:$A$301,0), Skills!M28+1)</f>
        <v/>
      </c>
      <c r="F626">
        <f>IF(Skills!N28=TRUE,(Skills!L28/10)*(E626/1000),Skills!L28/10)+Skills!O28</f>
        <v/>
      </c>
      <c r="G626">
        <f>Calc!G28</f>
        <v/>
      </c>
      <c r="H626">
        <f>Calc!H28</f>
        <v/>
      </c>
      <c r="I626">
        <f>IF(Skills!X28&lt;&gt;"",1+(Skills!X28/10)*(Z601/1000)/100,1)</f>
        <v/>
      </c>
      <c r="J626">
        <f>((Inputs!$B$6*(1+Inputs!$B$7/100))+(((Inputs!$B$12*(1+Inputs!$B$13/100))-(Inputs!$B$12*(1+Inputs!$B$13/100)))+0.25*(Inputs!$B$14-Inputs!$B$14))*(1+Inputs!$B$7/100))*(F626/100)</f>
        <v/>
      </c>
      <c r="K626">
        <f>J626*(1+((Inputs!$B$12*(1+Inputs!$B$13/100))*0.01+Inputs!$B$14*0.0025)/100)*(1+Inputs!$B$15/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621/100)*(1+IF(Inputs!$B$3&gt;=120,F624,0)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625*5,0)))/100)*(B628*B629*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626)</f>
        <v/>
      </c>
      <c r="L626">
        <f>K626*(MIN(Inputs!$B$22+(F620-Calc!F22),(Inputs!$B$23+(IF(ArtifactsInput!$M$15,CHOOSE(ArtifactsInput!$N$15+1,25,30,35,40,45,50)/100*(Inputs!$B$11-Inputs!$B$11),0))))/100+(Inputs!$B$23+(IF(ArtifactsInput!$M$15,CHOOSE(ArtifactsInput!$N$15+1,25,30,35,40,45,50)/100*(Inputs!$B$11-Inputs!$B$11),0)))/100)/2</f>
        <v/>
      </c>
      <c r="M626">
        <f>L626*(1+(Inputs!$B$10+(F619-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6">
        <f>L626*(1-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626*(MIN((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6">
        <f>(1-Summary!$B$11)*S626+Summary!$B$11*U626</f>
        <v/>
      </c>
      <c r="P626">
        <f>IF(B639=0,0,O626/B639)</f>
        <v/>
      </c>
      <c r="Q626">
        <f>IFERROR(1/(IF(Inputs!$B$38="pvp",15,MAX(0.1,Skills!E28-IF(Skills!F28=TRUE,Inputs!$B$32,0)))*(1-IF(AND(ArtifactsInput!$M$27,Inputs!$B$4="Chapter Hunt"),CHOOSE(ArtifactsInput!$N$27+1,20,24,28,32,36,40),0)/100)),0)</f>
        <v/>
      </c>
      <c r="R626">
        <f>IF(AND(Inputs!$B$38&lt;&gt;"pvp",Inputs!$B$43&gt;0),IF(MAX(0,Inputs!$B$43-B636)&lt;=0,0,(INT(MAX(0,Inputs!$B$43-B636)/(IF(Inputs!$B$38="pvp",15,MAX(0.1,Skills!E28-IF(Skills!F28=TRUE,Inputs!$B$32,0)))*(1-IF(AND(ArtifactsInput!$M$27,Inputs!$B$4="Chapter Hunt"),CHOOSE(ArtifactsInput!$N$27+1,20,24,28,32,36,40),0)/100)))+1)),0)</f>
        <v/>
      </c>
      <c r="S626">
        <f>IF(C626,(H626*N626*IF(AND(Inputs!$B$38&lt;&gt;"pvp",Inputs!$B$43&gt;0),((Skills!G28*((R626-1)*IF(Skills!H28&gt;0,Skills!I28/Skills!H28,1)+IF(Skills!H28&gt;0,MIN(Skills!I28,MAX(0,MAX(0,Inputs!$B$43-B636)-((R626-1)*(IF(Inputs!$B$38="pvp",15,MAX(0.1,Skills!E28-IF(Skills!F28=TRUE,Inputs!$B$32,0)))*(1-IF(AND(ArtifactsInput!$M$27,Inputs!$B$4="Chapter Hunt"),CHOOSE(ArtifactsInput!$N$27+1,20,24,28,32,36,40),0)/100)))))/Skills!H28,1)))/Inputs!$B$43),G626*Q626)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626*(1-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626*(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626*(1-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626*(MIN(100,(Inputs!$B$9+(F618-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26">
        <f>IF(C626,(H626*N626*IF(AND(Inputs!$B$38&lt;&gt;"pvp",Inputs!$B$43&gt;0),((Skills!G28*((R626-1)*IF(Skills!H28&gt;0,Skills!I28/Skills!H28,1)+IF(Skills!H28&gt;0,MIN(Skills!I28,MAX(0,MAX(0,Inputs!$B$43-B636)-((R626-1)*(IF(Inputs!$B$38="pvp",15,MAX(0.1,Skills!E28-IF(Skills!F28=TRUE,Inputs!$B$32,0)))*(1-IF(AND(ArtifactsInput!$M$27,Inputs!$B$4="Chapter Hunt"),CHOOSE(ArtifactsInput!$N$27+1,20,24,28,32,36,40),0)/100)))))/Skills!H28,1)))/Inputs!$B$43),G626*Q626)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8">
      <c r="A628" t="inlineStr">
        <is>
          <t>Burning Magic Multiplier</t>
        </is>
      </c>
      <c r="B628">
        <f>1+(F609*Skills!Z11)/100</f>
        <v/>
      </c>
    </row>
    <row r="629">
      <c r="A629" t="inlineStr">
        <is>
          <t>Elemental Decrease Multiplier (always-on)</t>
        </is>
      </c>
      <c r="B629">
        <f>1+(F610+(IF(AND(ArtifactsInput!$M$35,Inputs!$B$4&lt;&gt;"Chapter Hunt"),CHOOSE(ArtifactsInput!$N$35+1,15,18,21,24,27,30)*(1-EXP(-(0.2*B632)*5)),0)+IF(AND(ArtifactsInput!$M$22,Inputs!$B$4&lt;&gt;"Chapter Hunt"),CHOOSE(ArtifactsInput!$N$22+1,10,12,14,16,18,20)*((0*(((0.15*B632*5))^0/1)+1*(((0.15*B632*5))^1/1)+2*(((0.15*B632*5))^2/2)+3*(((0.15*B632*5))^3/6)+4*(((0.15*B632*5))^4/24)+5*(((0.15*B632*5))^5/120))/((((0.15*B632*5))^0/1)+(((0.15*B632*5))^1/1)+(((0.15*B632*5))^2/2)+(((0.15*B632*5))^3/6)+(((0.15*B632*5))^4/24)+(((0.15*B632*5))^5/120))),0)))/100</f>
        <v/>
      </c>
    </row>
    <row r="630">
      <c r="A630" t="inlineStr">
        <is>
          <t>Average Buff Multiplier (Magic Guard + Meditation + Artifact Attack%, summed; then Infinity)</t>
        </is>
      </c>
      <c r="B630">
        <f>(1+(F604*IF(AND(Inputs!$B$38&lt;&gt;"pvp",Inputs!$B$43&gt;0),(((R604-1)*(Skills!T6*(1+((Inputs!$B$34+(ArtifactsInput!$M$7-ArtifactsInput!$M$7)*CHOOSE(ArtifactsInput!$N$7+1,6,7.2,8.4,9.6,10.8,12)))/100))+MIN((Skills!T6*(1+((Inputs!$B$34+(ArtifactsInput!$M$7-ArtifactsInput!$M$7)*CHOOSE(ArtifactsInput!$N$7+1,6,7.2,8.4,9.6,10.8,12)))/100)),MAX(0,Inputs!$B$43-((R604-1)*Skills!E6))))/Inputs!$B$43),IF(Inputs!$B$38="pvp",MIN((Skills!T6*(1+((Inputs!$B$34+(ArtifactsInput!$M$7-ArtifactsInput!$M$7)*CHOOSE(ArtifactsInput!$N$7+1,6,7.2,8.4,9.6,10.8,12)))/100)),15)/15,(Skills!T6*(1+((Inputs!$B$34+(ArtifactsInput!$M$7-ArtifactsInput!$M$7)*CHOOSE(ArtifactsInput!$N$7+1,6,7.2,8.4,9.6,10.8,12)))/100))/Skills!E6))+F615*IF(AND(Inputs!$B$38&lt;&gt;"pvp",Inputs!$B$43&gt;0),(((R615-1)*(Skills!T17*(1+((Inputs!$B$34+(ArtifactsInput!$M$7-ArtifactsInput!$M$7)*CHOOSE(ArtifactsInput!$N$7+1,6,7.2,8.4,9.6,10.8,12)))/100))+MIN((Skills!T17*(1+((Inputs!$B$34+(ArtifactsInput!$M$7-ArtifactsInput!$M$7)*CHOOSE(ArtifactsInput!$N$7+1,6,7.2,8.4,9.6,10.8,12)))/100)),MAX(0,Inputs!$B$43-((R615-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617=TRUE,(1+F617*IF(AND(Inputs!$B$38&lt;&gt;"pvp",Inputs!$B$43&gt;0),(((R617-1)*(Skills!T19*(1+((Inputs!$B$34+(ArtifactsInput!$M$7-ArtifactsInput!$M$7)*CHOOSE(ArtifactsInput!$N$7+1,6,7.2,8.4,9.6,10.8,12)))/100))+MIN((Skills!T19*(1+((Inputs!$B$34+(ArtifactsInput!$M$7-ArtifactsInput!$M$7)*CHOOSE(ArtifactsInput!$N$7+1,6,7.2,8.4,9.6,10.8,12)))/100)),MAX(0,Inputs!$B$43-((R617-1)*Skills!E19))))/Inputs!$B$43),IF(Inputs!$B$38="pvp",MIN((Skills!T19*(1+((Inputs!$B$34+(ArtifactsInput!$M$7-ArtifactsInput!$M$7)*CHOOSE(ArtifactsInput!$N$7+1,6,7.2,8.4,9.6,10.8,12)))/100)),15)/15,(Skills!T19*(1+((Inputs!$B$34+(ArtifactsInput!$M$7-ArtifactsInput!$M$7)*CHOOSE(ArtifactsInput!$N$7+1,6,7.2,8.4,9.6,10.8,12)))/100))/Skills!E19))/100),1)</f>
        <v/>
      </c>
    </row>
    <row r="631">
      <c r="A631" t="inlineStr">
        <is>
          <t>Attack Speed Buff Bonus % (Nimble Feet, averaged)</t>
        </is>
      </c>
      <c r="B631">
        <f>F616*IF(AND(Inputs!$B$38&lt;&gt;"pvp",Inputs!$B$43&gt;0),(((R616-1)*(Skills!T18*(1+((Inputs!$B$34+(ArtifactsInput!$M$7-ArtifactsInput!$M$7)*CHOOSE(ArtifactsInput!$N$7+1,6,7.2,8.4,9.6,10.8,12)))/100))+MIN((Skills!T18*(1+((Inputs!$B$34+(ArtifactsInput!$M$7-ArtifactsInput!$M$7)*CHOOSE(ArtifactsInput!$N$7+1,6,7.2,8.4,9.6,10.8,12)))/100)),MAX(0,Inputs!$B$43-((R616-1)*Skills!E18))))/Inputs!$B$43),IF(Inputs!$B$38="pvp",MIN((Skills!T18*(1+((Inputs!$B$34+(ArtifactsInput!$M$7-ArtifactsInput!$M$7)*CHOOSE(ArtifactsInput!$N$7+1,6,7.2,8.4,9.6,10.8,12)))/100)),15)/15,(Skills!T18*(1+((Inputs!$B$34+(ArtifactsInput!$M$7-ArtifactsInput!$M$7)*CHOOSE(ArtifactsInput!$N$7+1,6,7.2,8.4,9.6,10.8,12)))/100))/Skills!E18))</f>
        <v/>
      </c>
    </row>
    <row r="632">
      <c r="A632" t="inlineStr">
        <is>
          <t>Actions Per Second</t>
        </is>
      </c>
      <c r="B632">
        <f>1+MIN(150,150*(1-(1-(Inputs!$B$11+(ArtifactsInput!$M$15-ArtifactsInput!$M$15)*CHOOSE(ArtifactsInput!$N$15+1,8,9.6,11.2,12.8,14.4,16))/150)*(1-B631/150)))/100</f>
        <v/>
      </c>
    </row>
    <row r="633">
      <c r="A633" t="inlineStr">
        <is>
          <t>Skill + Buff Cast Rate</t>
        </is>
      </c>
      <c r="B633">
        <f>IF(AND(Inputs!$B$38&lt;&gt;"pvp",Inputs!$B$43&gt;0),SUMPRODUCT((Skills!F2:F28=TRUE)*(C600:C626=TRUE)*R600:R626)/Inputs!$B$43,SUMPRODUCT((Skills!F2:F28=TRUE)*(C600:C626=TRUE)*Q600:Q626))</f>
        <v/>
      </c>
    </row>
    <row r="634">
      <c r="A634" t="inlineStr">
        <is>
          <t>Basic Attacks Per Second</t>
        </is>
      </c>
      <c r="B634">
        <f>MAX(0,B632-B633)</f>
        <v/>
      </c>
    </row>
    <row r="635">
      <c r="A635" t="inlineStr">
        <is>
          <t>Meteor Proc — combined trigger cast rate</t>
        </is>
      </c>
      <c r="B635">
        <f>IF(AND(Inputs!$B$38&lt;&gt;"pvp",Inputs!$B$43&gt;0),SUMPRODUCT((Skills!V2:V28=TRUE)*(C600:C626=TRUE)*R600:R626*Skills!W2:W28)/Inputs!$B$43,SUMPRODUCT((Skills!V2:V28=TRUE)*(C600:C626=TRUE)*Q600:Q626*Skills!W2:W28))+B634</f>
        <v/>
      </c>
    </row>
    <row r="636">
      <c r="A636" t="inlineStr">
        <is>
          <t>Buff-Casting Startup Delay (s, fixed-duration only)</t>
        </is>
      </c>
      <c r="B636">
        <f>IF(AND(Inputs!$B$38&lt;&gt;"pvp",Inputs!$B$43&gt;0),SUMPRODUCT((Skills!T2:T28&gt;0)*(Skills!F2:F28=TRUE)*(C600:C626=TRUE))/B632,0)</f>
        <v/>
      </c>
    </row>
    <row r="637">
      <c r="A637" t="inlineStr">
        <is>
          <t>Boss-Only Total DPS (this block's swept value)</t>
        </is>
      </c>
      <c r="B637">
        <f>SUM(S600:S626)</f>
        <v/>
      </c>
    </row>
    <row r="638">
      <c r="A638" t="inlineStr">
        <is>
          <t>Normal-Only Total DPS (this block's swept value)</t>
        </is>
      </c>
      <c r="B638">
        <f>SUM(U600:U626)</f>
        <v/>
      </c>
    </row>
    <row r="639">
      <c r="A639" s="6" t="inlineStr">
        <is>
          <t>TOTAL DPS</t>
        </is>
      </c>
      <c r="B639" s="6">
        <f>SUM(O600:O626)</f>
        <v/>
      </c>
    </row>
    <row r="642">
      <c r="A642" s="6" t="inlineStr">
        <is>
          <t>Stat: BASIC_ATTACK_DAMAGE %</t>
        </is>
      </c>
    </row>
    <row r="643">
      <c r="A643" s="5" t="inlineStr">
        <is>
          <t>Key</t>
        </is>
      </c>
      <c r="B643" s="5" t="inlineStr">
        <is>
          <t>Name</t>
        </is>
      </c>
      <c r="C643" s="5" t="inlineStr">
        <is>
          <t>Unlocked</t>
        </is>
      </c>
      <c r="D643" s="5" t="inlineStr">
        <is>
          <t>InputLevel</t>
        </is>
      </c>
      <c r="E643" s="5" t="inlineStr">
        <is>
          <t>Factor</t>
        </is>
      </c>
      <c r="F643" s="5" t="inlineStr">
        <is>
          <t>CoefficientPercent</t>
        </is>
      </c>
      <c r="G643" s="5" t="inlineStr">
        <is>
          <t>EffectiveHits</t>
        </is>
      </c>
      <c r="H643" s="5" t="inlineStr">
        <is>
          <t>ProcProbability</t>
        </is>
      </c>
      <c r="I643" s="5" t="inlineStr">
        <is>
          <t>MapleHeroMultiplier</t>
        </is>
      </c>
      <c r="J643" s="5" t="inlineStr">
        <is>
          <t>BaseDamage</t>
        </is>
      </c>
      <c r="K643" s="5" t="inlineStr">
        <is>
          <t>BaseHitDamage</t>
        </is>
      </c>
      <c r="L643" s="5" t="inlineStr">
        <is>
          <t>NonCritAvg</t>
        </is>
      </c>
      <c r="M643" s="5" t="inlineStr">
        <is>
          <t>CritAvg</t>
        </is>
      </c>
      <c r="N643" s="5" t="inlineStr">
        <is>
          <t>ExpectedDamage(perHit)</t>
        </is>
      </c>
      <c r="O643" s="5" t="inlineStr">
        <is>
          <t>DPS</t>
        </is>
      </c>
      <c r="P643" s="5" t="inlineStr">
        <is>
          <t>% of Total</t>
        </is>
      </c>
      <c r="R643" t="inlineStr">
        <is>
          <t>helpers</t>
        </is>
      </c>
    </row>
    <row r="644">
      <c r="A644">
        <f>Skills!A2</f>
        <v/>
      </c>
      <c r="B644">
        <f>Skills!B2</f>
        <v/>
      </c>
      <c r="C644">
        <f>TRUE</f>
        <v/>
      </c>
      <c r="D644" t="inlineStr"/>
      <c r="E644" t="inlineStr"/>
      <c r="F644">
        <f>T646+Skills!O2</f>
        <v/>
      </c>
      <c r="G644">
        <f>Calc!G2</f>
        <v/>
      </c>
      <c r="H644">
        <f>Calc!H2</f>
        <v/>
      </c>
      <c r="I644">
        <f>IF(Skills!X2&lt;&gt;"",1+(Skills!X2/10)*(Z645/1000)/100,1)</f>
        <v/>
      </c>
      <c r="J644">
        <f>((Inputs!$B$6*(1+Inputs!$B$7/100))+(((Inputs!$B$12*(1+Inputs!$B$13/100))-(Inputs!$B$12*(1+Inputs!$B$13/100)))+0.25*(Inputs!$B$14-Inputs!$B$14))*(1+Inputs!$B$7/100))*(F644/100)</f>
        <v/>
      </c>
      <c r="K644">
        <f>J644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2="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644)</f>
        <v/>
      </c>
      <c r="L644">
        <f>K644*(MIN(Inputs!$B$22+(F664-Calc!F22),(Inputs!$B$23+(IF(ArtifactsInput!$M$15,CHOOSE(ArtifactsInput!$N$15+1,25,30,35,40,45,50)/100*(Inputs!$B$11-Inputs!$B$11),0))))/100+(Inputs!$B$23+(IF(ArtifactsInput!$M$15,CHOOSE(ArtifactsInput!$N$15+1,25,30,35,40,45,50)/100*(Inputs!$B$11-Inputs!$B$11),0)))/100)/2</f>
        <v/>
      </c>
      <c r="M644">
        <f>L644*(1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4">
        <f>L644*(1-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644*(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4">
        <f>(1-Summary!$B$11)*S644+Summary!$B$11*U644</f>
        <v/>
      </c>
      <c r="P644">
        <f>IF(B683=0,0,O644/B683)</f>
        <v/>
      </c>
      <c r="Q644">
        <f>IFERROR(1/(IF(Inputs!$B$38="pvp",15,MAX(0.1,Skills!E2-IF(Skills!F2=TRUE,Inputs!$B$32,0)))*(1-IF(AND(ArtifactsInput!$M$27,Inputs!$B$4="Chapter Hunt"),CHOOSE(ArtifactsInput!$N$27+1,20,24,28,32,36,40),0)/100)),0)</f>
        <v/>
      </c>
      <c r="R644" t="n">
        <v>0</v>
      </c>
      <c r="S644">
        <f>(Skills!G2*N644*B678)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644*(1-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644*(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644*(1-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644*(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644">
        <f>MAX(0,(Inputs!$B$3-100)*3)+Inputs!$B$28+Inputs!$B$29</f>
        <v/>
      </c>
      <c r="U644">
        <f>(Skills!G2*N644*B678)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644">
        <f>MAX(0,(Inputs!$B$3-100)*3)+Inputs!$B$28+Inputs!$B$29</f>
        <v/>
      </c>
    </row>
    <row r="645">
      <c r="A645">
        <f>Skills!A3</f>
        <v/>
      </c>
      <c r="B645">
        <f>Skills!B3</f>
        <v/>
      </c>
      <c r="C645">
        <f>TRUE</f>
        <v/>
      </c>
      <c r="D645">
        <f>IF(Skills!C3=1,60+Inputs!$B$25+Inputs!$B$29,IF(Skills!C3=2,90+Inputs!$B$26+Inputs!$B$29,IF(Skills!C3=3,120+Inputs!$B$27+Inputs!$B$29,MAX(0,(Inputs!$B$3-100)*3)+Inputs!$B$28+Inputs!$B$29)))</f>
        <v/>
      </c>
      <c r="E645">
        <f>INDEX(FactorTable!$B$2:$Y$301, MATCH(ROUND(MIN(300,MAX(1,D645)),0), FactorTable!$A$2:$A$301,0), Skills!M3+1)</f>
        <v/>
      </c>
      <c r="F645">
        <f>IF(Skills!N3=TRUE,(Skills!L3/10)*(E645/1000),Skills!L3/10)+Skills!O3</f>
        <v/>
      </c>
      <c r="G645">
        <f>Calc!G3</f>
        <v/>
      </c>
      <c r="H645">
        <f>Calc!H3</f>
        <v/>
      </c>
      <c r="I645">
        <f>IF(Skills!X3&lt;&gt;"",1+(Skills!X3/10)*(Z645/1000)/100,1)</f>
        <v/>
      </c>
      <c r="J645">
        <f>((Inputs!$B$6*(1+Inputs!$B$7/100))+(((Inputs!$B$12*(1+Inputs!$B$13/100))-(Inputs!$B$12*(1+Inputs!$B$13/100)))+0.25*(Inputs!$B$14-Inputs!$B$14))*(1+Inputs!$B$7/100))*(F645/100)</f>
        <v/>
      </c>
      <c r="K645">
        <f>J645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3="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645)</f>
        <v/>
      </c>
      <c r="L645">
        <f>K645*(MIN(Inputs!$B$22+(F664-Calc!F22),(Inputs!$B$23+(IF(ArtifactsInput!$M$15,CHOOSE(ArtifactsInput!$N$15+1,25,30,35,40,45,50)/100*(Inputs!$B$11-Inputs!$B$11),0))))/100+(Inputs!$B$23+(IF(ArtifactsInput!$M$15,CHOOSE(ArtifactsInput!$N$15+1,25,30,35,40,45,50)/100*(Inputs!$B$11-Inputs!$B$11),0)))/100)/2</f>
        <v/>
      </c>
      <c r="M645">
        <f>L645*(1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5">
        <f>L645*(1-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645*(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5">
        <f>(1-Summary!$B$11)*S645+Summary!$B$11*U645</f>
        <v/>
      </c>
      <c r="P645">
        <f>IF(B683=0,0,O645/B683)</f>
        <v/>
      </c>
      <c r="Q645">
        <f>IFERROR(1/(IF(Inputs!$B$38="pvp",15,MAX(0.1,Skills!E3-IF(Skills!F3=TRUE,Inputs!$B$32,0)))*(1-IF(AND(ArtifactsInput!$M$27,Inputs!$B$4="Chapter Hunt"),CHOOSE(ArtifactsInput!$N$27+1,20,24,28,32,36,40),0)/100)),0)</f>
        <v/>
      </c>
      <c r="R645">
        <f>IF(AND(Inputs!$B$38&lt;&gt;"pvp",Inputs!$B$43&gt;0),IF(MAX(0,Inputs!$B$43-B680)&lt;=0,0,(INT(MAX(0,Inputs!$B$43-B680)/(IF(Inputs!$B$38="pvp",15,MAX(0.1,Skills!E3-IF(Skills!F3=TRUE,Inputs!$B$32,0)))*(1-IF(AND(ArtifactsInput!$M$27,Inputs!$B$4="Chapter Hunt"),CHOOSE(ArtifactsInput!$N$27+1,20,24,28,32,36,40),0)/100)))+1)),0)</f>
        <v/>
      </c>
      <c r="S645">
        <f>IF(C645,(H645*N645*IF(AND(Inputs!$B$38&lt;&gt;"pvp",Inputs!$B$43&gt;0),((Skills!G3*((R645-1)*IF(Skills!H3&gt;0,Skills!I3/Skills!H3,1)+IF(Skills!H3&gt;0,MIN(Skills!I3,MAX(0,MAX(0,Inputs!$B$43-B680)-((R645-1)*(IF(Inputs!$B$38="pvp",15,MAX(0.1,Skills!E3-IF(Skills!F3=TRUE,Inputs!$B$32,0)))*(1-IF(AND(ArtifactsInput!$M$27,Inputs!$B$4="Chapter Hunt"),CHOOSE(ArtifactsInput!$N$27+1,20,24,28,32,36,40),0)/100)))))/Skills!H3,1)))/Inputs!$B$43),G645*Q645)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645*(1-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645*(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645*(1-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645*(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45">
        <f>INDEX(FactorTable!$B$2:$Y$301, MATCH(ROUND(MIN(300,MAX(1,T644)),0), FactorTable!$A$2:$A$301,0), 22)</f>
        <v/>
      </c>
      <c r="U645">
        <f>IF(C645,(H645*N645*IF(AND(Inputs!$B$38&lt;&gt;"pvp",Inputs!$B$43&gt;0),((Skills!G3*((R645-1)*IF(Skills!H3&gt;0,Skills!I3/Skills!H3,1)+IF(Skills!H3&gt;0,MIN(Skills!I3,MAX(0,MAX(0,Inputs!$B$43-B680)-((R645-1)*(IF(Inputs!$B$38="pvp",15,MAX(0.1,Skills!E3-IF(Skills!F3=TRUE,Inputs!$B$32,0)))*(1-IF(AND(ArtifactsInput!$M$27,Inputs!$B$4="Chapter Hunt"),CHOOSE(ArtifactsInput!$N$27+1,20,24,28,32,36,40),0)/100)))))/Skills!H3,1)))/Inputs!$B$43),G645*Q645)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645">
        <f>INDEX(FactorTable!$B$2:$Y$301, MATCH(ROUND(MIN(300,MAX(1,Z644)),0), FactorTable!$A$2:$A$301,0), 24)</f>
        <v/>
      </c>
    </row>
    <row r="646">
      <c r="A646">
        <f>Skills!A4</f>
        <v/>
      </c>
      <c r="B646">
        <f>Skills!B4</f>
        <v/>
      </c>
      <c r="C646">
        <f>TRUE</f>
        <v/>
      </c>
      <c r="D646">
        <f>IF(Skills!C4=1,60+Inputs!$B$25+Inputs!$B$29,IF(Skills!C4=2,90+Inputs!$B$26+Inputs!$B$29,IF(Skills!C4=3,120+Inputs!$B$27+Inputs!$B$29,MAX(0,(Inputs!$B$3-100)*3)+Inputs!$B$28+Inputs!$B$29)))</f>
        <v/>
      </c>
      <c r="E646">
        <f>INDEX(FactorTable!$B$2:$Y$301, MATCH(ROUND(MIN(300,MAX(1,D646)),0), FactorTable!$A$2:$A$301,0), Skills!M4+1)</f>
        <v/>
      </c>
      <c r="F646">
        <f>IF(Skills!N4=TRUE,(Skills!L4/10)*(E646/1000),Skills!L4/10)+Skills!O4</f>
        <v/>
      </c>
      <c r="G646">
        <f>Calc!G4</f>
        <v/>
      </c>
      <c r="H646">
        <f>Calc!H4</f>
        <v/>
      </c>
      <c r="I646">
        <f>IF(Skills!X4&lt;&gt;"",1+(Skills!X4/10)*(Z645/1000)/100,1)</f>
        <v/>
      </c>
      <c r="J646">
        <f>((Inputs!$B$6*(1+Inputs!$B$7/100))+(((Inputs!$B$12*(1+Inputs!$B$13/100))-(Inputs!$B$12*(1+Inputs!$B$13/100)))+0.25*(Inputs!$B$14-Inputs!$B$14))*(1+Inputs!$B$7/100))*(F646/100)</f>
        <v/>
      </c>
      <c r="K646">
        <f>J646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4="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646)</f>
        <v/>
      </c>
      <c r="L646">
        <f>K646*(MIN(Inputs!$B$22+(F664-Calc!F22),(Inputs!$B$23+(IF(ArtifactsInput!$M$15,CHOOSE(ArtifactsInput!$N$15+1,25,30,35,40,45,50)/100*(Inputs!$B$11-Inputs!$B$11),0))))/100+(Inputs!$B$23+(IF(ArtifactsInput!$M$15,CHOOSE(ArtifactsInput!$N$15+1,25,30,35,40,45,50)/100*(Inputs!$B$11-Inputs!$B$11),0)))/100)/2</f>
        <v/>
      </c>
      <c r="M646">
        <f>L646*(1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6">
        <f>L646*(1-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646*(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6">
        <f>(1-Summary!$B$11)*S646+Summary!$B$11*U646</f>
        <v/>
      </c>
      <c r="P646">
        <f>IF(B683=0,0,O646/B683)</f>
        <v/>
      </c>
      <c r="Q646">
        <f>IFERROR(1/(IF(Inputs!$B$38="pvp",15,MAX(0.1,Skills!E4-IF(Skills!F4=TRUE,Inputs!$B$32,0)))*(1-IF(AND(ArtifactsInput!$M$27,Inputs!$B$4="Chapter Hunt"),CHOOSE(ArtifactsInput!$N$27+1,20,24,28,32,36,40),0)/100)),0)</f>
        <v/>
      </c>
      <c r="R646">
        <f>IF(AND(Inputs!$B$38&lt;&gt;"pvp",Inputs!$B$43&gt;0),IF(MAX(0,Inputs!$B$43-B680)&lt;=0,0,(INT(MAX(0,Inputs!$B$43-B680)/(IF(Inputs!$B$38="pvp",15,MAX(0.1,Skills!E4-IF(Skills!F4=TRUE,Inputs!$B$32,0)))*(1-IF(AND(ArtifactsInput!$M$27,Inputs!$B$4="Chapter Hunt"),CHOOSE(ArtifactsInput!$N$27+1,20,24,28,32,36,40),0)/100)))+1)),0)</f>
        <v/>
      </c>
      <c r="S646">
        <f>IF(C646,(H646*N646*IF(AND(Inputs!$B$38&lt;&gt;"pvp",Inputs!$B$43&gt;0),((Skills!G4*((R646-1)*IF(Skills!H4&gt;0,Skills!I4/Skills!H4,1)+IF(Skills!H4&gt;0,MIN(Skills!I4,MAX(0,MAX(0,Inputs!$B$43-B680)-((R646-1)*(IF(Inputs!$B$38="pvp",15,MAX(0.1,Skills!E4-IF(Skills!F4=TRUE,Inputs!$B$32,0)))*(1-IF(AND(ArtifactsInput!$M$27,Inputs!$B$4="Chapter Hunt"),CHOOSE(ArtifactsInput!$N$27+1,20,24,28,32,36,40),0)/100)))))/Skills!H4,1)))/Inputs!$B$43),G646*Q646)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646*(1-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646*(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646*(1-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646*(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46">
        <f>290*T645/1000</f>
        <v/>
      </c>
      <c r="U646">
        <f>IF(C646,(H646*N646*IF(AND(Inputs!$B$38&lt;&gt;"pvp",Inputs!$B$43&gt;0),((Skills!G4*((R646-1)*IF(Skills!H4&gt;0,Skills!I4/Skills!H4,1)+IF(Skills!H4&gt;0,MIN(Skills!I4,MAX(0,MAX(0,Inputs!$B$43-B680)-((R646-1)*(IF(Inputs!$B$38="pvp",15,MAX(0.1,Skills!E4-IF(Skills!F4=TRUE,Inputs!$B$32,0)))*(1-IF(AND(ArtifactsInput!$M$27,Inputs!$B$4="Chapter Hunt"),CHOOSE(ArtifactsInput!$N$27+1,20,24,28,32,36,40),0)/100)))))/Skills!H4,1)))/Inputs!$B$43),G646*Q646)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7">
      <c r="A647">
        <f>Skills!A5</f>
        <v/>
      </c>
      <c r="B647">
        <f>Skills!B5</f>
        <v/>
      </c>
      <c r="C647">
        <f>TRUE</f>
        <v/>
      </c>
      <c r="D647">
        <f>IF(Skills!C5=1,60+Inputs!$B$25+Inputs!$B$29,IF(Skills!C5=2,90+Inputs!$B$26+Inputs!$B$29,IF(Skills!C5=3,120+Inputs!$B$27+Inputs!$B$29,MAX(0,(Inputs!$B$3-100)*3)+Inputs!$B$28+Inputs!$B$29)))</f>
        <v/>
      </c>
      <c r="E647">
        <f>INDEX(FactorTable!$B$2:$Y$301, MATCH(ROUND(MIN(300,MAX(1,D647)),0), FactorTable!$A$2:$A$301,0), Skills!M5+1)</f>
        <v/>
      </c>
      <c r="F647">
        <f>IF(Skills!N5=TRUE,(Skills!L5/10)*(E647/1000),Skills!L5/10)+Skills!O5</f>
        <v/>
      </c>
      <c r="G647">
        <f>Calc!G5</f>
        <v/>
      </c>
      <c r="H647">
        <f>Calc!H5</f>
        <v/>
      </c>
      <c r="I647">
        <f>IF(Skills!X5&lt;&gt;"",1+(Skills!X5/10)*(Z645/1000)/100,1)</f>
        <v/>
      </c>
      <c r="J647">
        <f>((Inputs!$B$6*(1+Inputs!$B$7/100))+(((Inputs!$B$12*(1+Inputs!$B$13/100))-(Inputs!$B$12*(1+Inputs!$B$13/100)))+0.25*(Inputs!$B$14-Inputs!$B$14))*(1+Inputs!$B$7/100))*(F647/100)</f>
        <v/>
      </c>
      <c r="K647">
        <f>J647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5="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647)</f>
        <v/>
      </c>
      <c r="L647">
        <f>K647*(MIN(Inputs!$B$22+(F664-Calc!F22),(Inputs!$B$23+(IF(ArtifactsInput!$M$15,CHOOSE(ArtifactsInput!$N$15+1,25,30,35,40,45,50)/100*(Inputs!$B$11-Inputs!$B$11),0))))/100+(Inputs!$B$23+(IF(ArtifactsInput!$M$15,CHOOSE(ArtifactsInput!$N$15+1,25,30,35,40,45,50)/100*(Inputs!$B$11-Inputs!$B$11),0)))/100)/2</f>
        <v/>
      </c>
      <c r="M647">
        <f>L647*(1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7">
        <f>L647*(1-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647*(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7">
        <f>(1-Summary!$B$11)*S647+Summary!$B$11*U647</f>
        <v/>
      </c>
      <c r="P647">
        <f>IF(B683=0,0,O647/B683)</f>
        <v/>
      </c>
      <c r="Q647">
        <f>IFERROR(1/(IF(Inputs!$B$38="pvp",15,MAX(0.1,Skills!E5-IF(Skills!F5=TRUE,Inputs!$B$32,0)))*(1-IF(AND(ArtifactsInput!$M$27,Inputs!$B$4="Chapter Hunt"),CHOOSE(ArtifactsInput!$N$27+1,20,24,28,32,36,40),0)/100)),0)</f>
        <v/>
      </c>
      <c r="R647">
        <f>IF(AND(Inputs!$B$38&lt;&gt;"pvp",Inputs!$B$43&gt;0),IF(MAX(0,Inputs!$B$43-B680)&lt;=0,0,(INT(MAX(0,Inputs!$B$43-B680)/(IF(Inputs!$B$38="pvp",15,MAX(0.1,Skills!E5-IF(Skills!F5=TRUE,Inputs!$B$32,0)))*(1-IF(AND(ArtifactsInput!$M$27,Inputs!$B$4="Chapter Hunt"),CHOOSE(ArtifactsInput!$N$27+1,20,24,28,32,36,40),0)/100)))+1)),0)</f>
        <v/>
      </c>
      <c r="S647">
        <f>IF(C647,(H647*N647*IF(AND(Inputs!$B$38&lt;&gt;"pvp",Inputs!$B$43&gt;0),((Skills!G5*((R647-1)*IF(Skills!H5&gt;0,Skills!I5/Skills!H5,1)+IF(Skills!H5&gt;0,MIN(Skills!I5,MAX(0,MAX(0,Inputs!$B$43-B680)-((R647-1)*(IF(Inputs!$B$38="pvp",15,MAX(0.1,Skills!E5-IF(Skills!F5=TRUE,Inputs!$B$32,0)))*(1-IF(AND(ArtifactsInput!$M$27,Inputs!$B$4="Chapter Hunt"),CHOOSE(ArtifactsInput!$N$27+1,20,24,28,32,36,40),0)/100)))))/Skills!H5,1)))/Inputs!$B$43),G647*Q647)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647*(1-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647*(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647*(1-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647*(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47">
        <f>IF(C647,(H647*N647*IF(AND(Inputs!$B$38&lt;&gt;"pvp",Inputs!$B$43&gt;0),((Skills!G5*((R647-1)*IF(Skills!H5&gt;0,Skills!I5/Skills!H5,1)+IF(Skills!H5&gt;0,MIN(Skills!I5,MAX(0,MAX(0,Inputs!$B$43-B680)-((R647-1)*(IF(Inputs!$B$38="pvp",15,MAX(0.1,Skills!E5-IF(Skills!F5=TRUE,Inputs!$B$32,0)))*(1-IF(AND(ArtifactsInput!$M$27,Inputs!$B$4="Chapter Hunt"),CHOOSE(ArtifactsInput!$N$27+1,20,24,28,32,36,40),0)/100)))))/Skills!H5,1)))/Inputs!$B$43),G647*Q647)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8">
      <c r="A648">
        <f>Skills!A6</f>
        <v/>
      </c>
      <c r="B648">
        <f>Skills!B6</f>
        <v/>
      </c>
      <c r="C648">
        <f>TRUE</f>
        <v/>
      </c>
      <c r="D648">
        <f>IF(Skills!C6=1,60+Inputs!$B$25+Inputs!$B$29,IF(Skills!C6=2,90+Inputs!$B$26+Inputs!$B$29,IF(Skills!C6=3,120+Inputs!$B$27+Inputs!$B$29,MAX(0,(Inputs!$B$3-100)*3)+Inputs!$B$28+Inputs!$B$29)))</f>
        <v/>
      </c>
      <c r="E648">
        <f>INDEX(FactorTable!$B$2:$Y$301, MATCH(ROUND(MIN(300,MAX(1,D648)),0), FactorTable!$A$2:$A$301,0), Skills!M6+1)</f>
        <v/>
      </c>
      <c r="F648">
        <f>IF(Skills!N6=TRUE,(Skills!L6/10)*(E648/1000),Skills!L6/10)+Skills!O6</f>
        <v/>
      </c>
      <c r="G648">
        <f>Calc!G6</f>
        <v/>
      </c>
      <c r="H648">
        <f>Calc!H6</f>
        <v/>
      </c>
      <c r="I648">
        <f>IF(Skills!X6&lt;&gt;"",1+(Skills!X6/10)*(Z645/1000)/100,1)</f>
        <v/>
      </c>
      <c r="J648" t="inlineStr"/>
      <c r="K648" t="inlineStr"/>
      <c r="L648" t="inlineStr"/>
      <c r="M648" t="inlineStr"/>
      <c r="N648" t="inlineStr"/>
      <c r="O648">
        <f>(1-Summary!$B$11)*S648+Summary!$B$11*U648</f>
        <v/>
      </c>
      <c r="P648">
        <f>IF(B683=0,0,O648/B683)</f>
        <v/>
      </c>
      <c r="Q648">
        <f>IFERROR(1/(IF(Inputs!$B$38="pvp",15,MAX(0.1,Skills!E6-IF(Skills!F6=TRUE,Inputs!$B$32,0)))*(1-IF(AND(ArtifactsInput!$M$27,Inputs!$B$4="Chapter Hunt"),CHOOSE(ArtifactsInput!$N$27+1,20,24,28,32,36,40),0)/100)),0)</f>
        <v/>
      </c>
      <c r="R648">
        <f>IF(AND(Inputs!$B$38&lt;&gt;"pvp",Inputs!$B$43&gt;0),IF(Inputs!$B$43&lt;=0,0,(INT(Inputs!$B$43/(IF(Inputs!$B$38="pvp",15,MAX(0.1,Skills!E6-IF(Skills!F6=TRUE,Inputs!$B$32,0)))*(1-IF(AND(ArtifactsInput!$M$27,Inputs!$B$4="Chapter Hunt"),CHOOSE(ArtifactsInput!$N$27+1,20,24,28,32,36,40),0)/100)))+1)),0)</f>
        <v/>
      </c>
      <c r="S648" t="n">
        <v>0</v>
      </c>
      <c r="U648" t="n">
        <v>0</v>
      </c>
    </row>
    <row r="649">
      <c r="A649">
        <f>Skills!A7</f>
        <v/>
      </c>
      <c r="B649">
        <f>Skills!B7</f>
        <v/>
      </c>
      <c r="C649">
        <f>TRUE</f>
        <v/>
      </c>
      <c r="D649">
        <f>IF(Skills!C7=1,60+Inputs!$B$25+Inputs!$B$29,IF(Skills!C7=2,90+Inputs!$B$26+Inputs!$B$29,IF(Skills!C7=3,120+Inputs!$B$27+Inputs!$B$29,MAX(0,(Inputs!$B$3-100)*3)+Inputs!$B$28+Inputs!$B$29)))</f>
        <v/>
      </c>
      <c r="E649">
        <f>INDEX(FactorTable!$B$2:$Y$301, MATCH(ROUND(MIN(300,MAX(1,D649)),0), FactorTable!$A$2:$A$301,0), Skills!M7+1)</f>
        <v/>
      </c>
      <c r="F649">
        <f>IF(Skills!N7=TRUE,(Skills!L7/10)*(E649/1000),Skills!L7/10)+Skills!O7</f>
        <v/>
      </c>
      <c r="G649">
        <f>Calc!G7</f>
        <v/>
      </c>
      <c r="H649">
        <f>Calc!H7</f>
        <v/>
      </c>
      <c r="I649">
        <f>IF(Skills!X7&lt;&gt;"",1+(Skills!X7/10)*(Z645/1000)/100,1)</f>
        <v/>
      </c>
      <c r="J649">
        <f>((Inputs!$B$6*(1+Inputs!$B$7/100))+(((Inputs!$B$12*(1+Inputs!$B$13/100))-(Inputs!$B$12*(1+Inputs!$B$13/100)))+0.25*(Inputs!$B$14-Inputs!$B$14))*(1+Inputs!$B$7/100))*(F649/100)</f>
        <v/>
      </c>
      <c r="K649">
        <f>J649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7="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649)</f>
        <v/>
      </c>
      <c r="L649">
        <f>K649*(MIN(Inputs!$B$22+(F664-Calc!F22),(Inputs!$B$23+(IF(ArtifactsInput!$M$15,CHOOSE(ArtifactsInput!$N$15+1,25,30,35,40,45,50)/100*(Inputs!$B$11-Inputs!$B$11),0))))/100+(Inputs!$B$23+(IF(ArtifactsInput!$M$15,CHOOSE(ArtifactsInput!$N$15+1,25,30,35,40,45,50)/100*(Inputs!$B$11-Inputs!$B$11),0)))/100)/2</f>
        <v/>
      </c>
      <c r="M649">
        <f>L649*(1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9">
        <f>L649*(1-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649*(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9">
        <f>(1-Summary!$B$11)*S649+Summary!$B$11*U649</f>
        <v/>
      </c>
      <c r="P649">
        <f>IF(B683=0,0,O649/B683)</f>
        <v/>
      </c>
      <c r="Q649">
        <f>IFERROR(1/(IF(Inputs!$B$38="pvp",15,MAX(0.1,Skills!E7-IF(Skills!F7=TRUE,Inputs!$B$32,0)))*(1-IF(AND(ArtifactsInput!$M$27,Inputs!$B$4="Chapter Hunt"),CHOOSE(ArtifactsInput!$N$27+1,20,24,28,32,36,40),0)/100)),0)</f>
        <v/>
      </c>
      <c r="R649">
        <f>IF(AND(Inputs!$B$38&lt;&gt;"pvp",Inputs!$B$43&gt;0),IF(MAX(0,Inputs!$B$43-B680)&lt;=0,0,(INT(MAX(0,Inputs!$B$43-B680)/(IF(Inputs!$B$38="pvp",15,MAX(0.1,Skills!E7-IF(Skills!F7=TRUE,Inputs!$B$32,0)))*(1-IF(AND(ArtifactsInput!$M$27,Inputs!$B$4="Chapter Hunt"),CHOOSE(ArtifactsInput!$N$27+1,20,24,28,32,36,40),0)/100)))+1)),0)</f>
        <v/>
      </c>
      <c r="S649">
        <f>IF(C649,(H649*N649*IF(AND(Inputs!$B$38&lt;&gt;"pvp",Inputs!$B$43&gt;0),((Skills!G7*((R649-1)*IF(Skills!H7&gt;0,Skills!I7/Skills!H7,1)+IF(Skills!H7&gt;0,MIN(Skills!I7,MAX(0,MAX(0,Inputs!$B$43-B680)-((R649-1)*(IF(Inputs!$B$38="pvp",15,MAX(0.1,Skills!E7-IF(Skills!F7=TRUE,Inputs!$B$32,0)))*(1-IF(AND(ArtifactsInput!$M$27,Inputs!$B$4="Chapter Hunt"),CHOOSE(ArtifactsInput!$N$27+1,20,24,28,32,36,40),0)/100)))))/Skills!H7,1)))/Inputs!$B$43),G649*Q649)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649*(1-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649*(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649*(1-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649*(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49">
        <f>IF(C649,(H649*N649*IF(AND(Inputs!$B$38&lt;&gt;"pvp",Inputs!$B$43&gt;0),((Skills!G7*((R649-1)*IF(Skills!H7&gt;0,Skills!I7/Skills!H7,1)+IF(Skills!H7&gt;0,MIN(Skills!I7,MAX(0,MAX(0,Inputs!$B$43-B680)-((R649-1)*(IF(Inputs!$B$38="pvp",15,MAX(0.1,Skills!E7-IF(Skills!F7=TRUE,Inputs!$B$32,0)))*(1-IF(AND(ArtifactsInput!$M$27,Inputs!$B$4="Chapter Hunt"),CHOOSE(ArtifactsInput!$N$27+1,20,24,28,32,36,40),0)/100)))))/Skills!H7,1)))/Inputs!$B$43),G649*Q649)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0">
      <c r="A650">
        <f>Skills!A8</f>
        <v/>
      </c>
      <c r="B650">
        <f>Skills!B8</f>
        <v/>
      </c>
      <c r="C650">
        <f>TRUE</f>
        <v/>
      </c>
      <c r="D650">
        <f>IF(Skills!C8=1,60+Inputs!$B$25+Inputs!$B$29,IF(Skills!C8=2,90+Inputs!$B$26+Inputs!$B$29,IF(Skills!C8=3,120+Inputs!$B$27+Inputs!$B$29,MAX(0,(Inputs!$B$3-100)*3)+Inputs!$B$28+Inputs!$B$29)))</f>
        <v/>
      </c>
      <c r="E650">
        <f>INDEX(FactorTable!$B$2:$Y$301, MATCH(ROUND(MIN(300,MAX(1,D650)),0), FactorTable!$A$2:$A$301,0), Skills!M8+1)</f>
        <v/>
      </c>
      <c r="F650">
        <f>IF(Skills!N8=TRUE,(Skills!L8/10)*(E650/1000),Skills!L8/10)+Skills!O8</f>
        <v/>
      </c>
      <c r="G650">
        <f>Calc!G8</f>
        <v/>
      </c>
      <c r="H650">
        <f>Calc!H8</f>
        <v/>
      </c>
      <c r="I650">
        <f>IF(Skills!X8&lt;&gt;"",1+(Skills!X8/10)*(Z645/1000)/100,1)</f>
        <v/>
      </c>
      <c r="J650">
        <f>((Inputs!$B$6*(1+Inputs!$B$7/100))+(((Inputs!$B$12*(1+Inputs!$B$13/100))-(Inputs!$B$12*(1+Inputs!$B$13/100)))+0.25*(Inputs!$B$14-Inputs!$B$14))*(1+Inputs!$B$7/100))*(F650/100)</f>
        <v/>
      </c>
      <c r="K650">
        <f>J650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8="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650)</f>
        <v/>
      </c>
      <c r="L650">
        <f>K650*(MIN(Inputs!$B$22+(F664-Calc!F22),(Inputs!$B$23+(IF(ArtifactsInput!$M$15,CHOOSE(ArtifactsInput!$N$15+1,25,30,35,40,45,50)/100*(Inputs!$B$11-Inputs!$B$11),0))))/100+(Inputs!$B$23+(IF(ArtifactsInput!$M$15,CHOOSE(ArtifactsInput!$N$15+1,25,30,35,40,45,50)/100*(Inputs!$B$11-Inputs!$B$11),0)))/100)/2</f>
        <v/>
      </c>
      <c r="M650">
        <f>L650*(1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0">
        <f>L650*(1-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650*(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0">
        <f>(1-Summary!$B$11)*S650+Summary!$B$11*U650</f>
        <v/>
      </c>
      <c r="P650">
        <f>IF(B683=0,0,O650/B683)</f>
        <v/>
      </c>
      <c r="Q650">
        <f>IFERROR(1/(IF(Inputs!$B$38="pvp",15,MAX(0.1,Skills!E8-IF(Skills!F8=TRUE,Inputs!$B$32,0)))*(1-IF(AND(ArtifactsInput!$M$27,Inputs!$B$4="Chapter Hunt"),CHOOSE(ArtifactsInput!$N$27+1,20,24,28,32,36,40),0)/100)),0)</f>
        <v/>
      </c>
      <c r="R650">
        <f>IF(AND(Inputs!$B$38&lt;&gt;"pvp",Inputs!$B$43&gt;0),IF(MAX(0,Inputs!$B$43-B680)&lt;=0,0,(INT(MAX(0,Inputs!$B$43-B680)/(IF(Inputs!$B$38="pvp",15,MAX(0.1,Skills!E8-IF(Skills!F8=TRUE,Inputs!$B$32,0)))*(1-IF(AND(ArtifactsInput!$M$27,Inputs!$B$4="Chapter Hunt"),CHOOSE(ArtifactsInput!$N$27+1,20,24,28,32,36,40),0)/100)))+1)),0)</f>
        <v/>
      </c>
      <c r="S650">
        <f>IF(C650,(H650*N650*IF(AND(Inputs!$B$38&lt;&gt;"pvp",Inputs!$B$43&gt;0),((Skills!G8*((R650-1)*IF(Skills!H8&gt;0,Skills!I8/Skills!H8,1)+IF(Skills!H8&gt;0,MIN(Skills!I8,MAX(0,MAX(0,Inputs!$B$43-B680)-((R650-1)*(IF(Inputs!$B$38="pvp",15,MAX(0.1,Skills!E8-IF(Skills!F8=TRUE,Inputs!$B$32,0)))*(1-IF(AND(ArtifactsInput!$M$27,Inputs!$B$4="Chapter Hunt"),CHOOSE(ArtifactsInput!$N$27+1,20,24,28,32,36,40),0)/100)))))/Skills!H8,1)))/Inputs!$B$43),G650*Q650)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650*(1-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650*(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650*(1-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650*(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0">
        <f>IF(C650,(H650*N650*IF(AND(Inputs!$B$38&lt;&gt;"pvp",Inputs!$B$43&gt;0),((Skills!G8*((R650-1)*IF(Skills!H8&gt;0,Skills!I8/Skills!H8,1)+IF(Skills!H8&gt;0,MIN(Skills!I8,MAX(0,MAX(0,Inputs!$B$43-B680)-((R650-1)*(IF(Inputs!$B$38="pvp",15,MAX(0.1,Skills!E8-IF(Skills!F8=TRUE,Inputs!$B$32,0)))*(1-IF(AND(ArtifactsInput!$M$27,Inputs!$B$4="Chapter Hunt"),CHOOSE(ArtifactsInput!$N$27+1,20,24,28,32,36,40),0)/100)))))/Skills!H8,1)))/Inputs!$B$43),G650*Q650)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1">
      <c r="A651">
        <f>Skills!A9</f>
        <v/>
      </c>
      <c r="B651">
        <f>Skills!B9</f>
        <v/>
      </c>
      <c r="C651">
        <f>Inputs!$B$3&gt;=103</f>
        <v/>
      </c>
      <c r="D651">
        <f>IF(Skills!C9=1,60+Inputs!$B$25+Inputs!$B$29,IF(Skills!C9=2,90+Inputs!$B$26+Inputs!$B$29,IF(Skills!C9=3,120+Inputs!$B$27+Inputs!$B$29,MAX(0,(Inputs!$B$3-100)*3)+Inputs!$B$28+Inputs!$B$29)))</f>
        <v/>
      </c>
      <c r="E651">
        <f>INDEX(FactorTable!$B$2:$Y$301, MATCH(ROUND(MIN(300,MAX(1,D651)),0), FactorTable!$A$2:$A$301,0), Skills!M9+1)</f>
        <v/>
      </c>
      <c r="F651">
        <f>IF(Skills!N9=TRUE,(Skills!L9/10)*(E651/1000),Skills!L9/10)+Skills!O9</f>
        <v/>
      </c>
      <c r="G651">
        <f>Calc!G9</f>
        <v/>
      </c>
      <c r="H651">
        <f>Calc!H9</f>
        <v/>
      </c>
      <c r="I651">
        <f>IF(Skills!X9&lt;&gt;"",1+(Skills!X9/10)*(Z645/1000)/100,1)</f>
        <v/>
      </c>
      <c r="J651">
        <f>((Inputs!$B$6*(1+Inputs!$B$7/100))+(((Inputs!$B$12*(1+Inputs!$B$13/100))-(Inputs!$B$12*(1+Inputs!$B$13/100)))+0.25*(Inputs!$B$14-Inputs!$B$14))*(1+Inputs!$B$7/100))*(F651/100)</f>
        <v/>
      </c>
      <c r="K651">
        <f>J651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9="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651)</f>
        <v/>
      </c>
      <c r="L651">
        <f>K651*(MIN(Inputs!$B$22+(F664-Calc!F22),(Inputs!$B$23+(IF(ArtifactsInput!$M$15,CHOOSE(ArtifactsInput!$N$15+1,25,30,35,40,45,50)/100*(Inputs!$B$11-Inputs!$B$11),0))))/100+(Inputs!$B$23+(IF(ArtifactsInput!$M$15,CHOOSE(ArtifactsInput!$N$15+1,25,30,35,40,45,50)/100*(Inputs!$B$11-Inputs!$B$11),0)))/100)/2</f>
        <v/>
      </c>
      <c r="M651">
        <f>L651*(1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1">
        <f>L651*(1-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1">
        <f>(1-Summary!$B$11)*S651+Summary!$B$11*U651</f>
        <v/>
      </c>
      <c r="P651">
        <f>IF(B683=0,0,O651/B683)</f>
        <v/>
      </c>
      <c r="Q651">
        <f>IFERROR(1/(IF(Inputs!$B$38="pvp",15,MAX(0.1,Skills!E9-IF(Skills!F7=TRUE,Inputs!$B$32,0)))*(1-IF(AND(ArtifactsInput!$M$27,Inputs!$B$4="Chapter Hunt"),CHOOSE(ArtifactsInput!$N$27+1,20,24,28,32,36,40),0)/100)),0)</f>
        <v/>
      </c>
      <c r="R651">
        <f>IF(AND(Inputs!$B$38&lt;&gt;"pvp",Inputs!$B$43&gt;0),IF(MAX(0,Inputs!$B$43-B680)&lt;=0,0,(INT(MAX(0,Inputs!$B$43-B680)/(IF(Inputs!$B$38="pvp",15,MAX(0.1,Skills!E9-IF(Skills!F7=TRUE,Inputs!$B$32,0)))*(1-IF(AND(ArtifactsInput!$M$27,Inputs!$B$4="Chapter Hunt"),CHOOSE(ArtifactsInput!$N$27+1,20,24,28,32,36,40),0)/100)))+1)),0)</f>
        <v/>
      </c>
      <c r="S651">
        <f>IF(C651,(H651*N651*IF(AND(Inputs!$B$38&lt;&gt;"pvp",Inputs!$B$43&gt;0),((Skills!G9*((R651-1)*IF(Skills!H9&gt;0,Skills!I9/Skills!H9,1)+IF(Skills!H9&gt;0,MIN(Skills!I9,MAX(0,MAX(0,Inputs!$B$43-B680)-((R651-1)*(IF(Inputs!$B$38="pvp",15,MAX(0.1,Skills!E9-IF(Skills!F7=TRUE,Inputs!$B$32,0)))*(1-IF(AND(ArtifactsInput!$M$27,Inputs!$B$4="Chapter Hunt"),CHOOSE(ArtifactsInput!$N$27+1,20,24,28,32,36,40),0)/100)))))/Skills!H9,1)))/Inputs!$B$43),G651*Q651)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651*(1-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651*(1-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1">
        <f>IF(C651,(H651*N651*IF(AND(Inputs!$B$38&lt;&gt;"pvp",Inputs!$B$43&gt;0),((Skills!G9*((R651-1)*IF(Skills!H9&gt;0,Skills!I9/Skills!H9,1)+IF(Skills!H9&gt;0,MIN(Skills!I9,MAX(0,MAX(0,Inputs!$B$43-B680)-((R651-1)*(IF(Inputs!$B$38="pvp",15,MAX(0.1,Skills!E9-IF(Skills!F7=TRUE,Inputs!$B$32,0)))*(1-IF(AND(ArtifactsInput!$M$27,Inputs!$B$4="Chapter Hunt"),CHOOSE(ArtifactsInput!$N$27+1,20,24,28,32,36,40),0)/100)))))/Skills!H9,1)))/Inputs!$B$43),G651*Q651)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2">
      <c r="A652">
        <f>Skills!A10</f>
        <v/>
      </c>
      <c r="B652">
        <f>Skills!B10</f>
        <v/>
      </c>
      <c r="C652">
        <f>TRUE</f>
        <v/>
      </c>
      <c r="D652">
        <f>IF(Skills!C10=1,60+Inputs!$B$25+Inputs!$B$29,IF(Skills!C10=2,90+Inputs!$B$26+Inputs!$B$29,IF(Skills!C10=3,120+Inputs!$B$27+Inputs!$B$29,MAX(0,(Inputs!$B$3-100)*3)+Inputs!$B$28+Inputs!$B$29)))</f>
        <v/>
      </c>
      <c r="E652">
        <f>INDEX(FactorTable!$B$2:$Y$301, MATCH(ROUND(MIN(300,MAX(1,D652)),0), FactorTable!$A$2:$A$301,0), Skills!M10+1)</f>
        <v/>
      </c>
      <c r="F652">
        <f>IF(Skills!N10=TRUE,(Skills!L10/10)*(E652/1000),Skills!L10/10)+Skills!O10</f>
        <v/>
      </c>
      <c r="G652">
        <f>Calc!G10</f>
        <v/>
      </c>
      <c r="H652">
        <f>Calc!H10</f>
        <v/>
      </c>
      <c r="I652">
        <f>IF(Skills!X10&lt;&gt;"",1+(Skills!X10/10)*(Z645/1000)/100,1)</f>
        <v/>
      </c>
      <c r="J652">
        <f>((Inputs!$B$6*(1+Inputs!$B$7/100))+(((Inputs!$B$12*(1+Inputs!$B$13/100))-(Inputs!$B$12*(1+Inputs!$B$13/100)))+0.25*(Inputs!$B$14-Inputs!$B$14))*(1+Inputs!$B$7/100))*(F652/100)</f>
        <v/>
      </c>
      <c r="K652">
        <f>J652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10="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652)</f>
        <v/>
      </c>
      <c r="L652">
        <f>K652*(MIN(Inputs!$B$22+(F664-Calc!F22),(Inputs!$B$23+(IF(ArtifactsInput!$M$15,CHOOSE(ArtifactsInput!$N$15+1,25,30,35,40,45,50)/100*(Inputs!$B$11-Inputs!$B$11),0))))/100+(Inputs!$B$23+(IF(ArtifactsInput!$M$15,CHOOSE(ArtifactsInput!$N$15+1,25,30,35,40,45,50)/100*(Inputs!$B$11-Inputs!$B$11),0)))/100)/2</f>
        <v/>
      </c>
      <c r="M652">
        <f>L652*(1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2">
        <f>L652*(1-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652*(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2">
        <f>(1-Summary!$B$11)*S652+Summary!$B$11*U652</f>
        <v/>
      </c>
      <c r="P652">
        <f>IF(B683=0,0,O652/B683)</f>
        <v/>
      </c>
      <c r="Q652">
        <f>IFERROR(1/(IF(Inputs!$B$38="pvp",15,MAX(0.1,Skills!E10-IF(Skills!F10=TRUE,Inputs!$B$32,0)))*(1-IF(AND(ArtifactsInput!$M$27,Inputs!$B$4="Chapter Hunt"),CHOOSE(ArtifactsInput!$N$27+1,20,24,28,32,36,40),0)/100)),0)</f>
        <v/>
      </c>
      <c r="R652">
        <f>IF(AND(Inputs!$B$38&lt;&gt;"pvp",Inputs!$B$43&gt;0),IF(MAX(0,Inputs!$B$43-B680)&lt;=0,0,(INT(MAX(0,Inputs!$B$43-B680)/(IF(Inputs!$B$38="pvp",15,MAX(0.1,Skills!E10-IF(Skills!F10=TRUE,Inputs!$B$32,0)))*(1-IF(AND(ArtifactsInput!$M$27,Inputs!$B$4="Chapter Hunt"),CHOOSE(ArtifactsInput!$N$27+1,20,24,28,32,36,40),0)/100)))+1)),0)</f>
        <v/>
      </c>
      <c r="S652">
        <f>IF(C652,(H652*N652*IF(AND(Inputs!$B$38&lt;&gt;"pvp",Inputs!$B$43&gt;0),((Skills!G10*((R652-1)*IF(Skills!H10&gt;0,Skills!I10/Skills!H10,1)+IF(Skills!H10&gt;0,MIN(Skills!I10,MAX(0,MAX(0,Inputs!$B$43-B680)-((R652-1)*(IF(Inputs!$B$38="pvp",15,MAX(0.1,Skills!E10-IF(Skills!F10=TRUE,Inputs!$B$32,0)))*(1-IF(AND(ArtifactsInput!$M$27,Inputs!$B$4="Chapter Hunt"),CHOOSE(ArtifactsInput!$N$27+1,20,24,28,32,36,40),0)/100)))))/Skills!H10,1)))/Inputs!$B$43),G652*Q652)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652*(1-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652*(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652*(1-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652*(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2">
        <f>IF(C652,(H652*N652*IF(AND(Inputs!$B$38&lt;&gt;"pvp",Inputs!$B$43&gt;0),((Skills!G10*((R652-1)*IF(Skills!H10&gt;0,Skills!I10/Skills!H10,1)+IF(Skills!H10&gt;0,MIN(Skills!I10,MAX(0,MAX(0,Inputs!$B$43-B680)-((R652-1)*(IF(Inputs!$B$38="pvp",15,MAX(0.1,Skills!E10-IF(Skills!F10=TRUE,Inputs!$B$32,0)))*(1-IF(AND(ArtifactsInput!$M$27,Inputs!$B$4="Chapter Hunt"),CHOOSE(ArtifactsInput!$N$27+1,20,24,28,32,36,40),0)/100)))))/Skills!H10,1)))/Inputs!$B$43),G652*Q652)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3">
      <c r="A653">
        <f>Skills!A11</f>
        <v/>
      </c>
      <c r="B653">
        <f>Skills!B11</f>
        <v/>
      </c>
      <c r="C653">
        <f>TRUE</f>
        <v/>
      </c>
      <c r="D653">
        <f>IF(Skills!C11=1,60+Inputs!$B$25+Inputs!$B$29,IF(Skills!C11=2,90+Inputs!$B$26+Inputs!$B$29,IF(Skills!C11=3,120+Inputs!$B$27+Inputs!$B$29,MAX(0,(Inputs!$B$3-100)*3)+Inputs!$B$28+Inputs!$B$29)))</f>
        <v/>
      </c>
      <c r="E653">
        <f>INDEX(FactorTable!$B$2:$Y$301, MATCH(ROUND(MIN(300,MAX(1,D653)),0), FactorTable!$A$2:$A$301,0), Skills!M11+1)</f>
        <v/>
      </c>
      <c r="F653">
        <f>IF(Skills!N11=TRUE,(Skills!L11/10)*(E653/1000),Skills!L11/10)+Skills!O11</f>
        <v/>
      </c>
      <c r="G653">
        <f>Calc!G11</f>
        <v/>
      </c>
      <c r="H653">
        <f>Calc!H11</f>
        <v/>
      </c>
      <c r="I653">
        <f>IF(Skills!X11&lt;&gt;"",1+(Skills!X11/10)*(Z645/1000)/100,1)</f>
        <v/>
      </c>
      <c r="J653" t="inlineStr"/>
      <c r="K653" t="inlineStr"/>
      <c r="L653" t="inlineStr"/>
      <c r="M653" t="inlineStr"/>
      <c r="N653" t="inlineStr"/>
      <c r="O653">
        <f>(1-Summary!$B$11)*S653+Summary!$B$11*U653</f>
        <v/>
      </c>
      <c r="P653">
        <f>IF(B683=0,0,O653/B683)</f>
        <v/>
      </c>
      <c r="Q653">
        <f>IFERROR(1/(IF(Inputs!$B$38="pvp",15,MAX(0.1,Skills!E11-IF(Skills!F11=TRUE,Inputs!$B$32,0)))*(1-IF(AND(ArtifactsInput!$M$27,Inputs!$B$4="Chapter Hunt"),CHOOSE(ArtifactsInput!$N$27+1,20,24,28,32,36,40),0)/100)),0)</f>
        <v/>
      </c>
      <c r="R653" t="n">
        <v>0</v>
      </c>
      <c r="S653" t="n">
        <v>0</v>
      </c>
      <c r="U653" t="n">
        <v>0</v>
      </c>
    </row>
    <row r="654">
      <c r="A654">
        <f>Skills!A12</f>
        <v/>
      </c>
      <c r="B654">
        <f>Skills!B12</f>
        <v/>
      </c>
      <c r="C654">
        <f>TRUE</f>
        <v/>
      </c>
      <c r="D654">
        <f>IF(Skills!C12=1,60+Inputs!$B$25+Inputs!$B$29,IF(Skills!C12=2,90+Inputs!$B$26+Inputs!$B$29,IF(Skills!C12=3,120+Inputs!$B$27+Inputs!$B$29,MAX(0,(Inputs!$B$3-100)*3)+Inputs!$B$28+Inputs!$B$29)))</f>
        <v/>
      </c>
      <c r="E654">
        <f>INDEX(FactorTable!$B$2:$Y$301, MATCH(ROUND(MIN(300,MAX(1,D654)),0), FactorTable!$A$2:$A$301,0), Skills!M12+1)</f>
        <v/>
      </c>
      <c r="F654">
        <f>IF(Skills!N12=TRUE,(Skills!L12/10)*(E654/1000),Skills!L12/10)+Skills!O12</f>
        <v/>
      </c>
      <c r="G654">
        <f>Calc!G12</f>
        <v/>
      </c>
      <c r="H654">
        <f>Calc!H12</f>
        <v/>
      </c>
      <c r="I654">
        <f>IF(Skills!X12&lt;&gt;"",1+(Skills!X12/10)*(Z645/1000)/100,1)</f>
        <v/>
      </c>
      <c r="J654" t="inlineStr"/>
      <c r="K654" t="inlineStr"/>
      <c r="L654" t="inlineStr"/>
      <c r="M654" t="inlineStr"/>
      <c r="N654" t="inlineStr"/>
      <c r="O654">
        <f>(1-Summary!$B$11)*S654+Summary!$B$11*U654</f>
        <v/>
      </c>
      <c r="P654">
        <f>IF(B683=0,0,O654/B683)</f>
        <v/>
      </c>
      <c r="Q654">
        <f>IFERROR(1/(IF(Inputs!$B$38="pvp",15,MAX(0.1,Skills!E12-IF(Skills!F12=TRUE,Inputs!$B$32,0)))*(1-IF(AND(ArtifactsInput!$M$27,Inputs!$B$4="Chapter Hunt"),CHOOSE(ArtifactsInput!$N$27+1,20,24,28,32,36,40),0)/100)),0)</f>
        <v/>
      </c>
      <c r="R654" t="n">
        <v>0</v>
      </c>
      <c r="S654" t="n">
        <v>0</v>
      </c>
      <c r="U654" t="n">
        <v>0</v>
      </c>
    </row>
    <row r="655">
      <c r="A655">
        <f>Skills!A13</f>
        <v/>
      </c>
      <c r="B655">
        <f>Skills!B13</f>
        <v/>
      </c>
      <c r="C655">
        <f>Inputs!$B$3&gt;=105</f>
        <v/>
      </c>
      <c r="D655">
        <f>IF(Skills!C13=1,60+Inputs!$B$25+Inputs!$B$29,IF(Skills!C13=2,90+Inputs!$B$26+Inputs!$B$29,IF(Skills!C13=3,120+Inputs!$B$27+Inputs!$B$29,MAX(0,(Inputs!$B$3-100)*3)+Inputs!$B$28+Inputs!$B$29)))</f>
        <v/>
      </c>
      <c r="E655">
        <f>INDEX(FactorTable!$B$2:$Y$301, MATCH(ROUND(MIN(300,MAX(1,D655)),0), FactorTable!$A$2:$A$301,0), Skills!M13+1)</f>
        <v/>
      </c>
      <c r="F655">
        <f>IF(Skills!N13=TRUE,(Skills!L13/10)*(E655/1000),Skills!L13/10)+Skills!O13</f>
        <v/>
      </c>
      <c r="G655">
        <f>Calc!G13</f>
        <v/>
      </c>
      <c r="H655">
        <f>Calc!H13</f>
        <v/>
      </c>
      <c r="I655">
        <f>IF(Skills!X13&lt;&gt;"",1+(Skills!X13/10)*(Z645/1000)/100,1)</f>
        <v/>
      </c>
      <c r="J655">
        <f>((Inputs!$B$6*(1+Inputs!$B$7/100))+(((Inputs!$B$12*(1+Inputs!$B$13/100))-(Inputs!$B$12*(1+Inputs!$B$13/100)))+0.25*(Inputs!$B$14-Inputs!$B$14))*(1+Inputs!$B$7/100))*(F655/100)</f>
        <v/>
      </c>
      <c r="K655">
        <f>J655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13="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655)</f>
        <v/>
      </c>
      <c r="L655">
        <f>K655*(MIN(Inputs!$B$22+(F664-Calc!F22),(Inputs!$B$23+(IF(ArtifactsInput!$M$15,CHOOSE(ArtifactsInput!$N$15+1,25,30,35,40,45,50)/100*(Inputs!$B$11-Inputs!$B$11),0))))/100+(Inputs!$B$23+(IF(ArtifactsInput!$M$15,CHOOSE(ArtifactsInput!$N$15+1,25,30,35,40,45,50)/100*(Inputs!$B$11-Inputs!$B$11),0)))/100)/2</f>
        <v/>
      </c>
      <c r="M655">
        <f>L655*(1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5">
        <f>L655*(1-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655*(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5">
        <f>(1-Summary!$B$11)*S655+Summary!$B$11*U655</f>
        <v/>
      </c>
      <c r="P655">
        <f>IF(B683=0,0,O655/B683)</f>
        <v/>
      </c>
      <c r="Q655">
        <f>IFERROR(1/(IF(Inputs!$B$38="pvp",15,MAX(0.1,Skills!E13-IF(Skills!F13=TRUE,Inputs!$B$32,0)))*(1-IF(AND(ArtifactsInput!$M$27,Inputs!$B$4="Chapter Hunt"),CHOOSE(ArtifactsInput!$N$27+1,20,24,28,32,36,40),0)/100)),0)</f>
        <v/>
      </c>
      <c r="R655">
        <f>IF(AND(Inputs!$B$38&lt;&gt;"pvp",Inputs!$B$43&gt;0),IF(MAX(0,Inputs!$B$43-B680)&lt;=0,0,(INT(MAX(0,Inputs!$B$43-B680)/(IF(Inputs!$B$38="pvp",15,MAX(0.1,Skills!E13-IF(Skills!F13=TRUE,Inputs!$B$32,0)))*(1-IF(AND(ArtifactsInput!$M$27,Inputs!$B$4="Chapter Hunt"),CHOOSE(ArtifactsInput!$N$27+1,20,24,28,32,36,40),0)/100)))+1)),0)</f>
        <v/>
      </c>
      <c r="S655">
        <f>IF(C655,(H655*N655*IF(AND(Inputs!$B$38&lt;&gt;"pvp",Inputs!$B$43&gt;0),((Skills!G13*((R655-1)*IF(Skills!H13&gt;0,Skills!I13/Skills!H13,1)+IF(Skills!H13&gt;0,MIN(Skills!I13,MAX(0,MAX(0,Inputs!$B$43-B680)-((R655-1)*(IF(Inputs!$B$38="pvp",15,MAX(0.1,Skills!E13-IF(Skills!F13=TRUE,Inputs!$B$32,0)))*(1-IF(AND(ArtifactsInput!$M$27,Inputs!$B$4="Chapter Hunt"),CHOOSE(ArtifactsInput!$N$27+1,20,24,28,32,36,40),0)/100)))))/Skills!H13,1)))/Inputs!$B$43),G655*Q655)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655*(1-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655*(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655*(1-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655*(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5">
        <f>IF(C655,(H655*N655*IF(AND(Inputs!$B$38&lt;&gt;"pvp",Inputs!$B$43&gt;0),((Skills!G13*((R655-1)*IF(Skills!H13&gt;0,Skills!I13/Skills!H13,1)+IF(Skills!H13&gt;0,MIN(Skills!I13,MAX(0,MAX(0,Inputs!$B$43-B680)-((R655-1)*(IF(Inputs!$B$38="pvp",15,MAX(0.1,Skills!E13-IF(Skills!F13=TRUE,Inputs!$B$32,0)))*(1-IF(AND(ArtifactsInput!$M$27,Inputs!$B$4="Chapter Hunt"),CHOOSE(ArtifactsInput!$N$27+1,20,24,28,32,36,40),0)/100)))))/Skills!H13,1)))/Inputs!$B$43),G655*Q655)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6">
      <c r="A656">
        <f>Skills!A14</f>
        <v/>
      </c>
      <c r="B656">
        <f>Skills!B14</f>
        <v/>
      </c>
      <c r="C656">
        <f>Inputs!$B$3&gt;=113</f>
        <v/>
      </c>
      <c r="D656">
        <f>IF(Skills!C14=1,60+Inputs!$B$25+Inputs!$B$29,IF(Skills!C14=2,90+Inputs!$B$26+Inputs!$B$29,IF(Skills!C14=3,120+Inputs!$B$27+Inputs!$B$29,MAX(0,(Inputs!$B$3-100)*3)+Inputs!$B$28+Inputs!$B$29)))</f>
        <v/>
      </c>
      <c r="E656">
        <f>INDEX(FactorTable!$B$2:$Y$301, MATCH(ROUND(MIN(300,MAX(1,D656)),0), FactorTable!$A$2:$A$301,0), Skills!M14+1)</f>
        <v/>
      </c>
      <c r="F656">
        <f>IF(Skills!N14=TRUE,(Skills!L14/10)*(E656/1000),Skills!L14/10)+Skills!O14</f>
        <v/>
      </c>
      <c r="G656">
        <f>Calc!G14</f>
        <v/>
      </c>
      <c r="H656">
        <f>Calc!H14</f>
        <v/>
      </c>
      <c r="I656">
        <f>IF(Skills!X14&lt;&gt;"",1+(Skills!X14/10)*(Z645/1000)/100,1)</f>
        <v/>
      </c>
      <c r="J656">
        <f>((Inputs!$B$6*(1+Inputs!$B$7/100))+(((Inputs!$B$12*(1+Inputs!$B$13/100))-(Inputs!$B$12*(1+Inputs!$B$13/100)))+0.25*(Inputs!$B$14-Inputs!$B$14))*(1+Inputs!$B$7/100))*(F656/100)</f>
        <v/>
      </c>
      <c r="K656">
        <f>J656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14="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656)</f>
        <v/>
      </c>
      <c r="L656">
        <f>K656*(MIN(Inputs!$B$22+(F664-Calc!F22),(Inputs!$B$23+(IF(ArtifactsInput!$M$15,CHOOSE(ArtifactsInput!$N$15+1,25,30,35,40,45,50)/100*(Inputs!$B$11-Inputs!$B$11),0))))/100+(Inputs!$B$23+(IF(ArtifactsInput!$M$15,CHOOSE(ArtifactsInput!$N$15+1,25,30,35,40,45,50)/100*(Inputs!$B$11-Inputs!$B$11),0)))/100)/2</f>
        <v/>
      </c>
      <c r="M656">
        <f>L656*(1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6">
        <f>L656*(1-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656*(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6">
        <f>(1-Summary!$B$11)*S656+Summary!$B$11*U656</f>
        <v/>
      </c>
      <c r="P656">
        <f>IF(B683=0,0,O656/B683)</f>
        <v/>
      </c>
      <c r="Q656">
        <f>IFERROR(1/(IF(Inputs!$B$38="pvp",15,MAX(0.1,Skills!E14-IF(Skills!F14=TRUE,Inputs!$B$32,0)))*(1-IF(AND(ArtifactsInput!$M$27,Inputs!$B$4="Chapter Hunt"),CHOOSE(ArtifactsInput!$N$27+1,20,24,28,32,36,40),0)/100)),0)</f>
        <v/>
      </c>
      <c r="R656" t="n">
        <v>0</v>
      </c>
      <c r="S656">
        <f>IF(C656,((H656*B679)/(1+Skills!H14*H656*B679)*N656)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656*(1-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656*(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656*(1-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656*(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6">
        <f>IF(C656,((H656*B679)/(1+Skills!H14*H656*B679)*N656)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7">
      <c r="A657">
        <f>Skills!A15</f>
        <v/>
      </c>
      <c r="B657">
        <f>Skills!B15</f>
        <v/>
      </c>
      <c r="C657">
        <f>Inputs!$B$3&gt;=107</f>
        <v/>
      </c>
      <c r="D657">
        <f>IF(Skills!C15=1,60+Inputs!$B$25+Inputs!$B$29,IF(Skills!C15=2,90+Inputs!$B$26+Inputs!$B$29,IF(Skills!C15=3,120+Inputs!$B$27+Inputs!$B$29,MAX(0,(Inputs!$B$3-100)*3)+Inputs!$B$28+Inputs!$B$29)))</f>
        <v/>
      </c>
      <c r="E657">
        <f>INDEX(FactorTable!$B$2:$Y$301, MATCH(ROUND(MIN(300,MAX(1,D657)),0), FactorTable!$A$2:$A$301,0), Skills!M15+1)</f>
        <v/>
      </c>
      <c r="F657">
        <f>IF(Skills!N15=TRUE,(Skills!L15/10)*(E657/1000),Skills!L15/10)+Skills!O15</f>
        <v/>
      </c>
      <c r="G657">
        <f>Calc!G15</f>
        <v/>
      </c>
      <c r="H657">
        <f>Calc!H15</f>
        <v/>
      </c>
      <c r="I657">
        <f>IF(Skills!X15&lt;&gt;"",1+(Skills!X15/10)*(Z645/1000)/100,1)</f>
        <v/>
      </c>
      <c r="J657">
        <f>((Inputs!$B$6*(1+Inputs!$B$7/100))+(((Inputs!$B$12*(1+Inputs!$B$13/100))-(Inputs!$B$12*(1+Inputs!$B$13/100)))+0.25*(Inputs!$B$14-Inputs!$B$14))*(1+Inputs!$B$7/100))*(F657/100)</f>
        <v/>
      </c>
      <c r="K657">
        <f>J657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15="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657)</f>
        <v/>
      </c>
      <c r="L657">
        <f>K657*(MIN(Inputs!$B$22+(F664-Calc!F22),(Inputs!$B$23+(IF(ArtifactsInput!$M$15,CHOOSE(ArtifactsInput!$N$15+1,25,30,35,40,45,50)/100*(Inputs!$B$11-Inputs!$B$11),0))))/100+(Inputs!$B$23+(IF(ArtifactsInput!$M$15,CHOOSE(ArtifactsInput!$N$15+1,25,30,35,40,45,50)/100*(Inputs!$B$11-Inputs!$B$11),0)))/100)/2</f>
        <v/>
      </c>
      <c r="M657">
        <f>L657*(1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7">
        <f>L657*(1-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657*(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7">
        <f>(1-Summary!$B$11)*S657+Summary!$B$11*U657</f>
        <v/>
      </c>
      <c r="P657">
        <f>IF(B683=0,0,O657/B683)</f>
        <v/>
      </c>
      <c r="Q657">
        <f>IFERROR(1/(IF(Inputs!$B$38="pvp",15,MAX(0.1,Skills!E15-IF(Skills!F15=TRUE,Inputs!$B$32,0)))*(1-IF(AND(ArtifactsInput!$M$27,Inputs!$B$4="Chapter Hunt"),CHOOSE(ArtifactsInput!$N$27+1,20,24,28,32,36,40),0)/100)),0)</f>
        <v/>
      </c>
      <c r="R657">
        <f>IF(AND(Inputs!$B$38&lt;&gt;"pvp",Inputs!$B$43&gt;0),IF(MAX(0,Inputs!$B$43-B680)&lt;=0,0,(INT(MAX(0,Inputs!$B$43-B680)/(IF(Inputs!$B$38="pvp",15,MAX(0.1,Skills!E15-IF(Skills!F15=TRUE,Inputs!$B$32,0)))*(1-IF(AND(ArtifactsInput!$M$27,Inputs!$B$4="Chapter Hunt"),CHOOSE(ArtifactsInput!$N$27+1,20,24,28,32,36,40),0)/100)))+1)),0)</f>
        <v/>
      </c>
      <c r="S657">
        <f>IF(C657,(H657*N657*IF(AND(Inputs!$B$38&lt;&gt;"pvp",Inputs!$B$43&gt;0),((Skills!G15*((R657-1)*IF(Skills!H15&gt;0,Skills!I15/Skills!H15,1)+IF(Skills!H15&gt;0,MIN(Skills!I15,MAX(0,MAX(0,Inputs!$B$43-B680)-((R657-1)*(IF(Inputs!$B$38="pvp",15,MAX(0.1,Skills!E15-IF(Skills!F15=TRUE,Inputs!$B$32,0)))*(1-IF(AND(ArtifactsInput!$M$27,Inputs!$B$4="Chapter Hunt"),CHOOSE(ArtifactsInput!$N$27+1,20,24,28,32,36,40),0)/100)))))/Skills!H15,1)))/Inputs!$B$43),G657*Q657)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657*(1-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657*(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657*(1-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657*(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7">
        <f>IF(C657,(H657*N657*IF(AND(Inputs!$B$38&lt;&gt;"pvp",Inputs!$B$43&gt;0),((Skills!G15*((R657-1)*IF(Skills!H15&gt;0,Skills!I15/Skills!H15,1)+IF(Skills!H15&gt;0,MIN(Skills!I15,MAX(0,MAX(0,Inputs!$B$43-B680)-((R657-1)*(IF(Inputs!$B$38="pvp",15,MAX(0.1,Skills!E15-IF(Skills!F15=TRUE,Inputs!$B$32,0)))*(1-IF(AND(ArtifactsInput!$M$27,Inputs!$B$4="Chapter Hunt"),CHOOSE(ArtifactsInput!$N$27+1,20,24,28,32,36,40),0)/100)))))/Skills!H15,1)))/Inputs!$B$43),G657*Q657)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8">
      <c r="A658">
        <f>Skills!A16</f>
        <v/>
      </c>
      <c r="B658">
        <f>Skills!B16</f>
        <v/>
      </c>
      <c r="C658">
        <f>Inputs!$B$3&gt;=107</f>
        <v/>
      </c>
      <c r="D658">
        <f>IF(Skills!C16=1,60+Inputs!$B$25+Inputs!$B$29,IF(Skills!C16=2,90+Inputs!$B$26+Inputs!$B$29,IF(Skills!C16=3,120+Inputs!$B$27+Inputs!$B$29,MAX(0,(Inputs!$B$3-100)*3)+Inputs!$B$28+Inputs!$B$29)))</f>
        <v/>
      </c>
      <c r="E658">
        <f>INDEX(FactorTable!$B$2:$Y$301, MATCH(ROUND(MIN(300,MAX(1,D658)),0), FactorTable!$A$2:$A$301,0), Skills!M16+1)</f>
        <v/>
      </c>
      <c r="F658">
        <f>IF(Skills!N16=TRUE,(Skills!L16/10)*(E658/1000),Skills!L16/10)+Skills!O16</f>
        <v/>
      </c>
      <c r="G658">
        <f>Calc!G16</f>
        <v/>
      </c>
      <c r="H658">
        <f>Calc!H16</f>
        <v/>
      </c>
      <c r="I658">
        <f>IF(Skills!X16&lt;&gt;"",1+(Skills!X16/10)*(Z645/1000)/100,1)</f>
        <v/>
      </c>
      <c r="J658">
        <f>((Inputs!$B$6*(1+Inputs!$B$7/100))+(((Inputs!$B$12*(1+Inputs!$B$13/100))-(Inputs!$B$12*(1+Inputs!$B$13/100)))+0.25*(Inputs!$B$14-Inputs!$B$14))*(1+Inputs!$B$7/100))*(F658/100)</f>
        <v/>
      </c>
      <c r="K658">
        <f>J658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16="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658)</f>
        <v/>
      </c>
      <c r="L658">
        <f>K658*(MIN(Inputs!$B$22+(F664-Calc!F22),(Inputs!$B$23+(IF(ArtifactsInput!$M$15,CHOOSE(ArtifactsInput!$N$15+1,25,30,35,40,45,50)/100*(Inputs!$B$11-Inputs!$B$11),0))))/100+(Inputs!$B$23+(IF(ArtifactsInput!$M$15,CHOOSE(ArtifactsInput!$N$15+1,25,30,35,40,45,50)/100*(Inputs!$B$11-Inputs!$B$11),0)))/100)/2</f>
        <v/>
      </c>
      <c r="M658">
        <f>L658*(1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8">
        <f>L658*(1-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658*(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8">
        <f>(1-Summary!$B$11)*S658+Summary!$B$11*U658</f>
        <v/>
      </c>
      <c r="P658">
        <f>IF(B683=0,0,O658/B683)</f>
        <v/>
      </c>
      <c r="Q658">
        <f>IFERROR(1/(IF(Inputs!$B$38="pvp",15,MAX(0.1,Skills!E16-IF(Skills!F16=TRUE,Inputs!$B$32,0)))*(1-IF(AND(ArtifactsInput!$M$27,Inputs!$B$4="Chapter Hunt"),CHOOSE(ArtifactsInput!$N$27+1,20,24,28,32,36,40),0)/100)),0)</f>
        <v/>
      </c>
      <c r="R658">
        <f>IF(AND(Inputs!$B$38&lt;&gt;"pvp",Inputs!$B$43&gt;0),IF(MAX(0,Inputs!$B$43-B680)&lt;=0,0,(INT(MAX(0,Inputs!$B$43-B680)/(IF(Inputs!$B$38="pvp",15,MAX(0.1,Skills!E16-IF(Skills!F16=TRUE,Inputs!$B$32,0)))*(1-IF(AND(ArtifactsInput!$M$27,Inputs!$B$4="Chapter Hunt"),CHOOSE(ArtifactsInput!$N$27+1,20,24,28,32,36,40),0)/100)))+1)),0)</f>
        <v/>
      </c>
      <c r="S658">
        <f>IF(C658,(H658*N658*IF(AND(Inputs!$B$38&lt;&gt;"pvp",Inputs!$B$43&gt;0),((Skills!G16*((R658-1)*IF(Skills!H16&gt;0,Skills!I16/Skills!H16,1)+IF(Skills!H16&gt;0,MIN(Skills!I16,MAX(0,MAX(0,Inputs!$B$43-B680)-((R658-1)*(IF(Inputs!$B$38="pvp",15,MAX(0.1,Skills!E16-IF(Skills!F16=TRUE,Inputs!$B$32,0)))*(1-IF(AND(ArtifactsInput!$M$27,Inputs!$B$4="Chapter Hunt"),CHOOSE(ArtifactsInput!$N$27+1,20,24,28,32,36,40),0)/100)))))/Skills!H16,1)))/Inputs!$B$43),G658*Q658)*(1+IF(Inputs!$B$3&gt;=126,0.05*(B678+Q655+(H656*B679)/(1+Skills!H14*H656*B679)+Q666)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658*(1-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658*(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658*(1-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658*(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8">
        <f>IF(C658,(H658*N658*IF(AND(Inputs!$B$38&lt;&gt;"pvp",Inputs!$B$43&gt;0),((Skills!G16*((R658-1)*IF(Skills!H16&gt;0,Skills!I16/Skills!H16,1)+IF(Skills!H16&gt;0,MIN(Skills!I16,MAX(0,MAX(0,Inputs!$B$43-B680)-((R658-1)*(IF(Inputs!$B$38="pvp",15,MAX(0.1,Skills!E16-IF(Skills!F16=TRUE,Inputs!$B$32,0)))*(1-IF(AND(ArtifactsInput!$M$27,Inputs!$B$4="Chapter Hunt"),CHOOSE(ArtifactsInput!$N$27+1,20,24,28,32,36,40),0)/100)))))/Skills!H16,1)))/Inputs!$B$43),G658*Q658)*(1+IF(Inputs!$B$3&gt;=126,0.05*(B678+Q655+(H656*B679)/(1+Skills!H14*H656*B679)+Q666)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9">
      <c r="A659">
        <f>Skills!A17</f>
        <v/>
      </c>
      <c r="B659">
        <f>Skills!B17</f>
        <v/>
      </c>
      <c r="C659">
        <f>TRUE</f>
        <v/>
      </c>
      <c r="D659">
        <f>IF(Skills!C17=1,60+Inputs!$B$25+Inputs!$B$29,IF(Skills!C17=2,90+Inputs!$B$26+Inputs!$B$29,IF(Skills!C17=3,120+Inputs!$B$27+Inputs!$B$29,MAX(0,(Inputs!$B$3-100)*3)+Inputs!$B$28+Inputs!$B$29)))</f>
        <v/>
      </c>
      <c r="E659">
        <f>INDEX(FactorTable!$B$2:$Y$301, MATCH(ROUND(MIN(300,MAX(1,D659)),0), FactorTable!$A$2:$A$301,0), Skills!M17+1)</f>
        <v/>
      </c>
      <c r="F659">
        <f>IF(Skills!N17=TRUE,(Skills!L17/10)*(E659/1000),Skills!L17/10)+Skills!O17</f>
        <v/>
      </c>
      <c r="G659">
        <f>Calc!G17</f>
        <v/>
      </c>
      <c r="H659">
        <f>Calc!H17</f>
        <v/>
      </c>
      <c r="I659">
        <f>IF(Skills!X17&lt;&gt;"",1+(Skills!X17/10)*(Z645/1000)/100,1)</f>
        <v/>
      </c>
      <c r="J659" t="inlineStr"/>
      <c r="K659" t="inlineStr"/>
      <c r="L659" t="inlineStr"/>
      <c r="M659" t="inlineStr"/>
      <c r="N659" t="inlineStr"/>
      <c r="O659">
        <f>(1-Summary!$B$11)*S659+Summary!$B$11*U659</f>
        <v/>
      </c>
      <c r="P659">
        <f>IF(B683=0,0,O659/B683)</f>
        <v/>
      </c>
      <c r="Q659">
        <f>IFERROR(1/(IF(Inputs!$B$38="pvp",15,MAX(0.1,Skills!E17-IF(Skills!F17=TRUE,Inputs!$B$32,0)))*(1-IF(AND(ArtifactsInput!$M$27,Inputs!$B$4="Chapter Hunt"),CHOOSE(ArtifactsInput!$N$27+1,20,24,28,32,36,40),0)/100)),0)</f>
        <v/>
      </c>
      <c r="R659">
        <f>IF(AND(Inputs!$B$38&lt;&gt;"pvp",Inputs!$B$43&gt;0),IF(Inputs!$B$43&lt;=0,0,(INT(Inputs!$B$43/(IF(Inputs!$B$38="pvp",15,MAX(0.1,Skills!E17-IF(Skills!F17=TRUE,Inputs!$B$32,0)))*(1-IF(AND(ArtifactsInput!$M$27,Inputs!$B$4="Chapter Hunt"),CHOOSE(ArtifactsInput!$N$27+1,20,24,28,32,36,40),0)/100)))+1)),0)</f>
        <v/>
      </c>
      <c r="S659" t="n">
        <v>0</v>
      </c>
      <c r="U659" t="n">
        <v>0</v>
      </c>
    </row>
    <row r="660">
      <c r="A660">
        <f>Skills!A18</f>
        <v/>
      </c>
      <c r="B660">
        <f>Skills!B18</f>
        <v/>
      </c>
      <c r="C660">
        <f>TRUE</f>
        <v/>
      </c>
      <c r="D660">
        <f>IF(Skills!C18=1,60+Inputs!$B$25+Inputs!$B$29,IF(Skills!C18=2,90+Inputs!$B$26+Inputs!$B$29,IF(Skills!C18=3,120+Inputs!$B$27+Inputs!$B$29,MAX(0,(Inputs!$B$3-100)*3)+Inputs!$B$28+Inputs!$B$29)))</f>
        <v/>
      </c>
      <c r="E660">
        <f>INDEX(FactorTable!$B$2:$Y$301, MATCH(ROUND(MIN(300,MAX(1,D660)),0), FactorTable!$A$2:$A$301,0), Skills!M18+1)</f>
        <v/>
      </c>
      <c r="F660">
        <f>IF(Skills!N18=TRUE,(Skills!L18/10)*(E660/1000),Skills!L18/10)+Skills!O18</f>
        <v/>
      </c>
      <c r="G660">
        <f>Calc!G18</f>
        <v/>
      </c>
      <c r="H660">
        <f>Calc!H18</f>
        <v/>
      </c>
      <c r="I660">
        <f>IF(Skills!X18&lt;&gt;"",1+(Skills!X18/10)*(Z645/1000)/100,1)</f>
        <v/>
      </c>
      <c r="J660" t="inlineStr"/>
      <c r="K660" t="inlineStr"/>
      <c r="L660" t="inlineStr"/>
      <c r="M660" t="inlineStr"/>
      <c r="N660" t="inlineStr"/>
      <c r="O660">
        <f>(1-Summary!$B$11)*S660+Summary!$B$11*U660</f>
        <v/>
      </c>
      <c r="P660">
        <f>IF(B683=0,0,O660/B683)</f>
        <v/>
      </c>
      <c r="Q660">
        <f>IFERROR(1/(IF(Inputs!$B$38="pvp",15,MAX(0.1,Skills!E18-IF(Skills!F18=TRUE,Inputs!$B$32,0)))*(1-IF(AND(ArtifactsInput!$M$27,Inputs!$B$4="Chapter Hunt"),CHOOSE(ArtifactsInput!$N$27+1,20,24,28,32,36,40),0)/100)),0)</f>
        <v/>
      </c>
      <c r="R660">
        <f>IF(AND(Inputs!$B$38&lt;&gt;"pvp",Inputs!$B$43&gt;0),IF(Inputs!$B$43&lt;=0,0,(INT(Inputs!$B$43/(IF(Inputs!$B$38="pvp",15,MAX(0.1,Skills!E18-IF(Skills!F18=TRUE,Inputs!$B$32,0)))*(1-IF(AND(ArtifactsInput!$M$27,Inputs!$B$4="Chapter Hunt"),CHOOSE(ArtifactsInput!$N$27+1,20,24,28,32,36,40),0)/100)))+1)),0)</f>
        <v/>
      </c>
      <c r="S660" t="n">
        <v>0</v>
      </c>
      <c r="U660" t="n">
        <v>0</v>
      </c>
    </row>
    <row r="661">
      <c r="A661">
        <f>Skills!A19</f>
        <v/>
      </c>
      <c r="B661">
        <f>Skills!B19</f>
        <v/>
      </c>
      <c r="C661">
        <f>Inputs!$B$3&gt;=110</f>
        <v/>
      </c>
      <c r="D661">
        <f>IF(Skills!C19=1,60+Inputs!$B$25+Inputs!$B$29,IF(Skills!C19=2,90+Inputs!$B$26+Inputs!$B$29,IF(Skills!C19=3,120+Inputs!$B$27+Inputs!$B$29,MAX(0,(Inputs!$B$3-100)*3)+Inputs!$B$28+Inputs!$B$29)))</f>
        <v/>
      </c>
      <c r="E661">
        <f>INDEX(FactorTable!$B$2:$Y$301, MATCH(ROUND(MIN(300,MAX(1,D661)),0), FactorTable!$A$2:$A$301,0), Skills!M19+1)</f>
        <v/>
      </c>
      <c r="F661">
        <f>IF(Skills!N19=TRUE,(Skills!L19/10)*(E661/1000),Skills!L19/10)+Skills!O19</f>
        <v/>
      </c>
      <c r="G661">
        <f>Calc!G19</f>
        <v/>
      </c>
      <c r="H661">
        <f>Calc!H19</f>
        <v/>
      </c>
      <c r="I661">
        <f>IF(Skills!X19&lt;&gt;"",1+(Skills!X19/10)*(Z645/1000)/100,1)</f>
        <v/>
      </c>
      <c r="J661" t="inlineStr"/>
      <c r="K661" t="inlineStr"/>
      <c r="L661" t="inlineStr"/>
      <c r="M661" t="inlineStr"/>
      <c r="N661" t="inlineStr"/>
      <c r="O661">
        <f>(1-Summary!$B$11)*S661+Summary!$B$11*U661</f>
        <v/>
      </c>
      <c r="P661">
        <f>IF(B683=0,0,O661/B683)</f>
        <v/>
      </c>
      <c r="Q661">
        <f>IFERROR(1/(IF(Inputs!$B$38="pvp",15,MAX(0.1,Skills!E19-IF(Skills!F19=TRUE,Inputs!$B$32,0)))*(1-IF(AND(ArtifactsInput!$M$27,Inputs!$B$4="Chapter Hunt"),CHOOSE(ArtifactsInput!$N$27+1,20,24,28,32,36,40),0)/100)),0)</f>
        <v/>
      </c>
      <c r="R661">
        <f>IF(AND(Inputs!$B$38&lt;&gt;"pvp",Inputs!$B$43&gt;0),IF(Inputs!$B$43&lt;=0,0,(INT(Inputs!$B$43/(IF(Inputs!$B$38="pvp",15,MAX(0.1,Skills!E19-IF(Skills!F19=TRUE,Inputs!$B$32,0)))*(1-IF(AND(ArtifactsInput!$M$27,Inputs!$B$4="Chapter Hunt"),CHOOSE(ArtifactsInput!$N$27+1,20,24,28,32,36,40),0)/100)))+1)),0)</f>
        <v/>
      </c>
      <c r="S661" t="n">
        <v>0</v>
      </c>
      <c r="U661" t="n">
        <v>0</v>
      </c>
    </row>
    <row r="662">
      <c r="A662">
        <f>Skills!A20</f>
        <v/>
      </c>
      <c r="B662">
        <f>Skills!B20</f>
        <v/>
      </c>
      <c r="C662">
        <f>TRUE</f>
        <v/>
      </c>
      <c r="D662">
        <f>IF(Skills!C20=1,60+Inputs!$B$25+Inputs!$B$29,IF(Skills!C20=2,90+Inputs!$B$26+Inputs!$B$29,IF(Skills!C20=3,120+Inputs!$B$27+Inputs!$B$29,MAX(0,(Inputs!$B$3-100)*3)+Inputs!$B$28+Inputs!$B$29)))</f>
        <v/>
      </c>
      <c r="E662">
        <f>INDEX(FactorTable!$B$2:$Y$301, MATCH(ROUND(MIN(300,MAX(1,D662)),0), FactorTable!$A$2:$A$301,0), Skills!M20+1)</f>
        <v/>
      </c>
      <c r="F662">
        <f>IF(Skills!N20=TRUE,(Skills!L20/10)*(E662/1000),Skills!L20/10)+Skills!O20</f>
        <v/>
      </c>
      <c r="G662">
        <f>Calc!G20</f>
        <v/>
      </c>
      <c r="H662">
        <f>Calc!H20</f>
        <v/>
      </c>
      <c r="I662">
        <f>IF(Skills!X20&lt;&gt;"",1+(Skills!X20/10)*(Z645/1000)/100,1)</f>
        <v/>
      </c>
      <c r="J662" t="inlineStr"/>
      <c r="K662" t="inlineStr"/>
      <c r="L662" t="inlineStr"/>
      <c r="M662" t="inlineStr"/>
      <c r="N662" t="inlineStr"/>
      <c r="O662">
        <f>(1-Summary!$B$11)*S662+Summary!$B$11*U662</f>
        <v/>
      </c>
      <c r="P662">
        <f>IF(B683=0,0,O662/B683)</f>
        <v/>
      </c>
      <c r="Q662">
        <f>IFERROR(1/(IF(Inputs!$B$38="pvp",15,MAX(0.1,Skills!E20-IF(Skills!F20=TRUE,Inputs!$B$32,0)))*(1-IF(AND(ArtifactsInput!$M$27,Inputs!$B$4="Chapter Hunt"),CHOOSE(ArtifactsInput!$N$27+1,20,24,28,32,36,40),0)/100)),0)</f>
        <v/>
      </c>
      <c r="R662" t="n">
        <v>0</v>
      </c>
      <c r="S662" t="n">
        <v>0</v>
      </c>
      <c r="U662" t="n">
        <v>0</v>
      </c>
    </row>
    <row r="663">
      <c r="A663">
        <f>Skills!A21</f>
        <v/>
      </c>
      <c r="B663">
        <f>Skills!B21</f>
        <v/>
      </c>
      <c r="C663">
        <f>TRUE</f>
        <v/>
      </c>
      <c r="D663">
        <f>IF(Skills!C21=1,60+Inputs!$B$25+Inputs!$B$29,IF(Skills!C21=2,90+Inputs!$B$26+Inputs!$B$29,IF(Skills!C21=3,120+Inputs!$B$27+Inputs!$B$29,MAX(0,(Inputs!$B$3-100)*3)+Inputs!$B$28+Inputs!$B$29)))</f>
        <v/>
      </c>
      <c r="E663">
        <f>INDEX(FactorTable!$B$2:$Y$301, MATCH(ROUND(MIN(300,MAX(1,D663)),0), FactorTable!$A$2:$A$301,0), Skills!M21+1)</f>
        <v/>
      </c>
      <c r="F663">
        <f>IF(Skills!N21=TRUE,(Skills!L21/10)*(E663/1000),Skills!L21/10)+Skills!O21</f>
        <v/>
      </c>
      <c r="G663">
        <f>Calc!G21</f>
        <v/>
      </c>
      <c r="H663">
        <f>Calc!H21</f>
        <v/>
      </c>
      <c r="I663">
        <f>IF(Skills!X21&lt;&gt;"",1+(Skills!X21/10)*(Z645/1000)/100,1)</f>
        <v/>
      </c>
      <c r="J663" t="inlineStr"/>
      <c r="K663" t="inlineStr"/>
      <c r="L663" t="inlineStr"/>
      <c r="M663" t="inlineStr"/>
      <c r="N663" t="inlineStr"/>
      <c r="O663">
        <f>(1-Summary!$B$11)*S663+Summary!$B$11*U663</f>
        <v/>
      </c>
      <c r="P663">
        <f>IF(B683=0,0,O663/B683)</f>
        <v/>
      </c>
      <c r="Q663">
        <f>IFERROR(1/(IF(Inputs!$B$38="pvp",15,MAX(0.1,Skills!E21-IF(Skills!F21=TRUE,Inputs!$B$32,0)))*(1-IF(AND(ArtifactsInput!$M$27,Inputs!$B$4="Chapter Hunt"),CHOOSE(ArtifactsInput!$N$27+1,20,24,28,32,36,40),0)/100)),0)</f>
        <v/>
      </c>
      <c r="R663" t="n">
        <v>0</v>
      </c>
      <c r="S663" t="n">
        <v>0</v>
      </c>
      <c r="U663" t="n">
        <v>0</v>
      </c>
    </row>
    <row r="664">
      <c r="A664">
        <f>Skills!A22</f>
        <v/>
      </c>
      <c r="B664">
        <f>Skills!B22</f>
        <v/>
      </c>
      <c r="C664">
        <f>TRUE</f>
        <v/>
      </c>
      <c r="D664">
        <f>IF(Skills!C22=1,60+Inputs!$B$25+Inputs!$B$29,IF(Skills!C22=2,90+Inputs!$B$26+Inputs!$B$29,IF(Skills!C22=3,120+Inputs!$B$27+Inputs!$B$29,MAX(0,(Inputs!$B$3-100)*3)+Inputs!$B$28+Inputs!$B$29)))</f>
        <v/>
      </c>
      <c r="E664">
        <f>INDEX(FactorTable!$B$2:$Y$301, MATCH(ROUND(MIN(300,MAX(1,D664)),0), FactorTable!$A$2:$A$301,0), Skills!M22+1)</f>
        <v/>
      </c>
      <c r="F664">
        <f>IF(Skills!N22=TRUE,(Skills!L22/10)*(E664/1000),Skills!L22/10)+Skills!O22</f>
        <v/>
      </c>
      <c r="G664">
        <f>Calc!G22</f>
        <v/>
      </c>
      <c r="H664">
        <f>Calc!H22</f>
        <v/>
      </c>
      <c r="I664">
        <f>IF(Skills!X22&lt;&gt;"",1+(Skills!X22/10)*(Z645/1000)/100,1)</f>
        <v/>
      </c>
      <c r="J664" t="inlineStr"/>
      <c r="K664" t="inlineStr"/>
      <c r="L664" t="inlineStr"/>
      <c r="M664" t="inlineStr"/>
      <c r="N664" t="inlineStr"/>
      <c r="O664">
        <f>(1-Summary!$B$11)*S664+Summary!$B$11*U664</f>
        <v/>
      </c>
      <c r="P664">
        <f>IF(B683=0,0,O664/B683)</f>
        <v/>
      </c>
      <c r="Q664">
        <f>IFERROR(1/(IF(Inputs!$B$38="pvp",15,MAX(0.1,Skills!E22-IF(Skills!F22=TRUE,Inputs!$B$32,0)))*(1-IF(AND(ArtifactsInput!$M$27,Inputs!$B$4="Chapter Hunt"),CHOOSE(ArtifactsInput!$N$27+1,20,24,28,32,36,40),0)/100)),0)</f>
        <v/>
      </c>
      <c r="R664" t="n">
        <v>0</v>
      </c>
      <c r="S664" t="n">
        <v>0</v>
      </c>
      <c r="U664" t="n">
        <v>0</v>
      </c>
    </row>
    <row r="665">
      <c r="A665">
        <f>Skills!A23</f>
        <v/>
      </c>
      <c r="B665">
        <f>Skills!B23</f>
        <v/>
      </c>
      <c r="C665">
        <f>TRUE</f>
        <v/>
      </c>
      <c r="D665">
        <f>IF(Skills!C23=1,60+Inputs!$B$25+Inputs!$B$29,IF(Skills!C23=2,90+Inputs!$B$26+Inputs!$B$29,IF(Skills!C23=3,120+Inputs!$B$27+Inputs!$B$29,MAX(0,(Inputs!$B$3-100)*3)+Inputs!$B$28+Inputs!$B$29)))</f>
        <v/>
      </c>
      <c r="E665">
        <f>INDEX(FactorTable!$B$2:$Y$301, MATCH(ROUND(MIN(300,MAX(1,D665)),0), FactorTable!$A$2:$A$301,0), Skills!M23+1)</f>
        <v/>
      </c>
      <c r="F665">
        <f>IF(Skills!N23=TRUE,(Skills!L23/10)*(E665/1000),Skills!L23/10)+Skills!O23</f>
        <v/>
      </c>
      <c r="G665">
        <f>Calc!G23</f>
        <v/>
      </c>
      <c r="H665">
        <f>Calc!H23</f>
        <v/>
      </c>
      <c r="I665">
        <f>IF(Skills!X23&lt;&gt;"",1+(Skills!X23/10)*(Z645/1000)/100,1)</f>
        <v/>
      </c>
      <c r="J665" t="inlineStr"/>
      <c r="K665" t="inlineStr"/>
      <c r="L665" t="inlineStr"/>
      <c r="M665" t="inlineStr"/>
      <c r="N665" t="inlineStr"/>
      <c r="O665">
        <f>(1-Summary!$B$11)*S665+Summary!$B$11*U665</f>
        <v/>
      </c>
      <c r="P665">
        <f>IF(B683=0,0,O665/B683)</f>
        <v/>
      </c>
      <c r="Q665">
        <f>IFERROR(1/(IF(Inputs!$B$38="pvp",15,MAX(0.1,Skills!E23-IF(Skills!F23=TRUE,Inputs!$B$32,0)))*(1-IF(AND(ArtifactsInput!$M$27,Inputs!$B$4="Chapter Hunt"),CHOOSE(ArtifactsInput!$N$27+1,20,24,28,32,36,40),0)/100)),0)</f>
        <v/>
      </c>
      <c r="R665" t="n">
        <v>0</v>
      </c>
      <c r="S665" t="n">
        <v>0</v>
      </c>
      <c r="U665" t="n">
        <v>0</v>
      </c>
    </row>
    <row r="666">
      <c r="A666">
        <f>Skills!A24</f>
        <v/>
      </c>
      <c r="B666">
        <f>Skills!B24</f>
        <v/>
      </c>
      <c r="C666">
        <f>Inputs!$B$3&gt;=115</f>
        <v/>
      </c>
      <c r="D666">
        <f>IF(Skills!C24=1,60+Inputs!$B$25+Inputs!$B$29,IF(Skills!C24=2,90+Inputs!$B$26+Inputs!$B$29,IF(Skills!C24=3,120+Inputs!$B$27+Inputs!$B$29,MAX(0,(Inputs!$B$3-100)*3)+Inputs!$B$28+Inputs!$B$29)))</f>
        <v/>
      </c>
      <c r="E666">
        <f>INDEX(FactorTable!$B$2:$Y$301, MATCH(ROUND(MIN(300,MAX(1,D666)),0), FactorTable!$A$2:$A$301,0), Skills!M24+1)</f>
        <v/>
      </c>
      <c r="F666">
        <f>IF(Skills!N24=TRUE,(Skills!L24/10)*(E666/1000),Skills!L24/10)+Skills!O24</f>
        <v/>
      </c>
      <c r="G666">
        <f>Calc!G24</f>
        <v/>
      </c>
      <c r="H666">
        <f>Calc!H24</f>
        <v/>
      </c>
      <c r="I666">
        <f>IF(Skills!X24&lt;&gt;"",1+(Skills!X24/10)*(Z645/1000)/100,1)</f>
        <v/>
      </c>
      <c r="J666">
        <f>((Inputs!$B$6*(1+Inputs!$B$7/100))+(((Inputs!$B$12*(1+Inputs!$B$13/100))-(Inputs!$B$12*(1+Inputs!$B$13/100)))+0.25*(Inputs!$B$14-Inputs!$B$14))*(1+Inputs!$B$7/100))*(F666/100)</f>
        <v/>
      </c>
      <c r="K666">
        <f>J666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24="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666)</f>
        <v/>
      </c>
      <c r="L666">
        <f>K666*(MIN(Inputs!$B$22+(F664-Calc!F22),(Inputs!$B$23+(IF(ArtifactsInput!$M$15,CHOOSE(ArtifactsInput!$N$15+1,25,30,35,40,45,50)/100*(Inputs!$B$11-Inputs!$B$11),0))))/100+(Inputs!$B$23+(IF(ArtifactsInput!$M$15,CHOOSE(ArtifactsInput!$N$15+1,25,30,35,40,45,50)/100*(Inputs!$B$11-Inputs!$B$11),0)))/100)/2</f>
        <v/>
      </c>
      <c r="M666">
        <f>L666*(1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6">
        <f>L666*(1-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666*(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6">
        <f>(1-Summary!$B$11)*S666+Summary!$B$11*U666</f>
        <v/>
      </c>
      <c r="P666">
        <f>IF(B683=0,0,O666/B683)</f>
        <v/>
      </c>
      <c r="Q666">
        <f>IFERROR(1/(IF(Inputs!$B$38="pvp",15,MAX(0.1,Skills!E24-IF(Skills!F24=TRUE,Inputs!$B$32,0)))*(1-IF(AND(ArtifactsInput!$M$27,Inputs!$B$4="Chapter Hunt"),CHOOSE(ArtifactsInput!$N$27+1,20,24,28,32,36,40),0)/100)),0)</f>
        <v/>
      </c>
      <c r="R666">
        <f>IF(AND(Inputs!$B$38&lt;&gt;"pvp",Inputs!$B$43&gt;0),IF(MAX(0,Inputs!$B$43-B680)&lt;=0,0,(INT(MAX(0,Inputs!$B$43-B680)/(IF(Inputs!$B$38="pvp",15,MAX(0.1,Skills!E24-IF(Skills!F24=TRUE,Inputs!$B$32,0)))*(1-IF(AND(ArtifactsInput!$M$27,Inputs!$B$4="Chapter Hunt"),CHOOSE(ArtifactsInput!$N$27+1,20,24,28,32,36,40),0)/100)))+1)),0)</f>
        <v/>
      </c>
      <c r="S666">
        <f>IF(C666,(H666*N666*IF(AND(Inputs!$B$38&lt;&gt;"pvp",Inputs!$B$43&gt;0),((Skills!G24*((R666-1)*IF(Skills!H24&gt;0,Skills!I24/Skills!H24,1)+IF(Skills!H24&gt;0,MIN(Skills!I24,MAX(0,MAX(0,Inputs!$B$43-B680)-((R666-1)*(IF(Inputs!$B$38="pvp",15,MAX(0.1,Skills!E24-IF(Skills!F24=TRUE,Inputs!$B$32,0)))*(1-IF(AND(ArtifactsInput!$M$27,Inputs!$B$4="Chapter Hunt"),CHOOSE(ArtifactsInput!$N$27+1,20,24,28,32,36,40),0)/100)))))/Skills!H24,1)))/Inputs!$B$43),G666*Q666)*(1+IF(Inputs!$B$3&gt;=130,0.2*(Skills!I16/Skills!E15+IF(Inputs!$B$3&gt;=126,0.05*(B678+Q655+(H656*B679)/(1+Skills!H14*H656*B679)+Q666)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666*(1-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666*(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666*(1-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666*(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66">
        <f>IF(C666,(H666*N666*IF(AND(Inputs!$B$38&lt;&gt;"pvp",Inputs!$B$43&gt;0),((Skills!G24*((R666-1)*IF(Skills!H24&gt;0,Skills!I24/Skills!H24,1)+IF(Skills!H24&gt;0,MIN(Skills!I24,MAX(0,MAX(0,Inputs!$B$43-B680)-((R666-1)*(IF(Inputs!$B$38="pvp",15,MAX(0.1,Skills!E24-IF(Skills!F24=TRUE,Inputs!$B$32,0)))*(1-IF(AND(ArtifactsInput!$M$27,Inputs!$B$4="Chapter Hunt"),CHOOSE(ArtifactsInput!$N$27+1,20,24,28,32,36,40),0)/100)))))/Skills!H24,1)))/Inputs!$B$43),G666*Q666)*(1+IF(Inputs!$B$3&gt;=130,0.2*(Skills!I16/Skills!E15+IF(Inputs!$B$3&gt;=126,0.05*(B678+Q655+(H656*B679)/(1+Skills!H14*H656*B679)+Q666)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7">
      <c r="A667">
        <f>Skills!A25</f>
        <v/>
      </c>
      <c r="B667">
        <f>Skills!B25</f>
        <v/>
      </c>
      <c r="C667">
        <f>Inputs!$B$3&gt;=117</f>
        <v/>
      </c>
      <c r="D667">
        <f>IF(Skills!C25=1,60+Inputs!$B$25+Inputs!$B$29,IF(Skills!C25=2,90+Inputs!$B$26+Inputs!$B$29,IF(Skills!C25=3,120+Inputs!$B$27+Inputs!$B$29,MAX(0,(Inputs!$B$3-100)*3)+Inputs!$B$28+Inputs!$B$29)))</f>
        <v/>
      </c>
      <c r="E667">
        <f>INDEX(FactorTable!$B$2:$Y$301, MATCH(ROUND(MIN(300,MAX(1,D667)),0), FactorTable!$A$2:$A$301,0), Skills!M25+1)</f>
        <v/>
      </c>
      <c r="F667">
        <f>IF(Skills!N25=TRUE,(Skills!L25/10)*(E667/1000),Skills!L25/10)+Skills!O25</f>
        <v/>
      </c>
      <c r="G667">
        <f>Calc!G25</f>
        <v/>
      </c>
      <c r="H667">
        <f>Calc!H25</f>
        <v/>
      </c>
      <c r="I667">
        <f>IF(Skills!X25&lt;&gt;"",1+(Skills!X25/10)*(Z645/1000)/100,1)</f>
        <v/>
      </c>
      <c r="J667" t="inlineStr"/>
      <c r="K667" t="inlineStr"/>
      <c r="L667" t="inlineStr"/>
      <c r="M667" t="inlineStr"/>
      <c r="N667" t="inlineStr"/>
      <c r="O667">
        <f>(1-Summary!$B$11)*S667+Summary!$B$11*U667</f>
        <v/>
      </c>
      <c r="P667">
        <f>IF(B683=0,0,O667/B683)</f>
        <v/>
      </c>
      <c r="Q667">
        <f>IFERROR(1/(IF(Inputs!$B$38="pvp",15,MAX(0.1,Skills!E25-IF(Skills!F25=TRUE,Inputs!$B$32,0)))*(1-IF(AND(ArtifactsInput!$M$27,Inputs!$B$4="Chapter Hunt"),CHOOSE(ArtifactsInput!$N$27+1,20,24,28,32,36,40),0)/100)),0)</f>
        <v/>
      </c>
      <c r="R667" t="n">
        <v>0</v>
      </c>
      <c r="S667" t="n">
        <v>0</v>
      </c>
      <c r="U667" t="n">
        <v>0</v>
      </c>
    </row>
    <row r="668">
      <c r="A668">
        <f>Skills!A26</f>
        <v/>
      </c>
      <c r="B668">
        <f>Skills!B26</f>
        <v/>
      </c>
      <c r="C668">
        <f>Inputs!$B$3&gt;=120</f>
        <v/>
      </c>
      <c r="D668">
        <f>IF(Skills!C26=1,60+Inputs!$B$25+Inputs!$B$29,IF(Skills!C26=2,90+Inputs!$B$26+Inputs!$B$29,IF(Skills!C26=3,120+Inputs!$B$27+Inputs!$B$29,MAX(0,(Inputs!$B$3-100)*3)+Inputs!$B$28+Inputs!$B$29)))</f>
        <v/>
      </c>
      <c r="E668">
        <f>INDEX(FactorTable!$B$2:$Y$301, MATCH(ROUND(MIN(300,MAX(1,D668)),0), FactorTable!$A$2:$A$301,0), Skills!M26+1)</f>
        <v/>
      </c>
      <c r="F668">
        <f>IF(Skills!N26=TRUE,(Skills!L26/10)*(E668/1000),Skills!L26/10)+Skills!O26</f>
        <v/>
      </c>
      <c r="G668">
        <f>Calc!G26</f>
        <v/>
      </c>
      <c r="H668">
        <f>Calc!H26</f>
        <v/>
      </c>
      <c r="I668">
        <f>IF(Skills!X26&lt;&gt;"",1+(Skills!X26/10)*(Z645/1000)/100,1)</f>
        <v/>
      </c>
      <c r="J668" t="inlineStr"/>
      <c r="K668" t="inlineStr"/>
      <c r="L668" t="inlineStr"/>
      <c r="M668" t="inlineStr"/>
      <c r="N668" t="inlineStr"/>
      <c r="O668">
        <f>(1-Summary!$B$11)*S668+Summary!$B$11*U668</f>
        <v/>
      </c>
      <c r="P668">
        <f>IF(B683=0,0,O668/B683)</f>
        <v/>
      </c>
      <c r="Q668">
        <f>IFERROR(1/(IF(Inputs!$B$38="pvp",15,MAX(0.1,Skills!E26-IF(Skills!F26=TRUE,Inputs!$B$32,0)))*(1-IF(AND(ArtifactsInput!$M$27,Inputs!$B$4="Chapter Hunt"),CHOOSE(ArtifactsInput!$N$27+1,20,24,28,32,36,40),0)/100)),0)</f>
        <v/>
      </c>
      <c r="R668" t="n">
        <v>0</v>
      </c>
      <c r="S668" t="n">
        <v>0</v>
      </c>
      <c r="U668" t="n">
        <v>0</v>
      </c>
    </row>
    <row r="669">
      <c r="A669">
        <f>Skills!A27</f>
        <v/>
      </c>
      <c r="B669">
        <f>Skills!B27</f>
        <v/>
      </c>
      <c r="C669">
        <f>Inputs!$B$3&gt;=125</f>
        <v/>
      </c>
      <c r="D669">
        <f>IF(Skills!C27=1,60+Inputs!$B$25+Inputs!$B$29,IF(Skills!C27=2,90+Inputs!$B$26+Inputs!$B$29,IF(Skills!C27=3,120+Inputs!$B$27+Inputs!$B$29,MAX(0,(Inputs!$B$3-100)*3)+Inputs!$B$28+Inputs!$B$29)))</f>
        <v/>
      </c>
      <c r="E669">
        <f>INDEX(FactorTable!$B$2:$Y$301, MATCH(ROUND(MIN(300,MAX(1,D669)),0), FactorTable!$A$2:$A$301,0), Skills!M27+1)</f>
        <v/>
      </c>
      <c r="F669">
        <f>IF(Skills!N27=TRUE,(Skills!L27/10)*(E669/1000),Skills!L27/10)+Skills!O27</f>
        <v/>
      </c>
      <c r="G669">
        <f>Calc!G27</f>
        <v/>
      </c>
      <c r="H669">
        <f>Calc!H27</f>
        <v/>
      </c>
      <c r="I669">
        <f>IF(Skills!X27&lt;&gt;"",1+(Skills!X27/10)*(Z645/1000)/100,1)</f>
        <v/>
      </c>
      <c r="J669" t="inlineStr"/>
      <c r="K669" t="inlineStr"/>
      <c r="L669" t="inlineStr"/>
      <c r="M669" t="inlineStr"/>
      <c r="N669" t="inlineStr"/>
      <c r="O669">
        <f>(1-Summary!$B$11)*S669+Summary!$B$11*U669</f>
        <v/>
      </c>
      <c r="P669">
        <f>IF(B683=0,0,O669/B683)</f>
        <v/>
      </c>
      <c r="Q669">
        <f>IFERROR(1/(IF(Inputs!$B$38="pvp",15,MAX(0.1,Skills!E27-IF(Skills!F27=TRUE,Inputs!$B$32,0)))*(1-IF(AND(ArtifactsInput!$M$27,Inputs!$B$4="Chapter Hunt"),CHOOSE(ArtifactsInput!$N$27+1,20,24,28,32,36,40),0)/100)),0)</f>
        <v/>
      </c>
      <c r="R669" t="n">
        <v>0</v>
      </c>
      <c r="S669" t="n">
        <v>0</v>
      </c>
      <c r="U669" t="n">
        <v>0</v>
      </c>
    </row>
    <row r="670">
      <c r="A670">
        <f>Skills!A28</f>
        <v/>
      </c>
      <c r="B670">
        <f>Skills!B28</f>
        <v/>
      </c>
      <c r="C670">
        <f>Inputs!$B$3&gt;=118</f>
        <v/>
      </c>
      <c r="D670">
        <f>IF(Skills!C28=1,60+Inputs!$B$25+Inputs!$B$29,IF(Skills!C28=2,90+Inputs!$B$26+Inputs!$B$29,IF(Skills!C28=3,120+Inputs!$B$27+Inputs!$B$29,MAX(0,(Inputs!$B$3-100)*3)+Inputs!$B$28+Inputs!$B$29)))</f>
        <v/>
      </c>
      <c r="E670">
        <f>INDEX(FactorTable!$B$2:$Y$301, MATCH(ROUND(MIN(300,MAX(1,D670)),0), FactorTable!$A$2:$A$301,0), Skills!M28+1)</f>
        <v/>
      </c>
      <c r="F670">
        <f>IF(Skills!N28=TRUE,(Skills!L28/10)*(E670/1000),Skills!L28/10)+Skills!O28</f>
        <v/>
      </c>
      <c r="G670">
        <f>Calc!G28</f>
        <v/>
      </c>
      <c r="H670">
        <f>Calc!H28</f>
        <v/>
      </c>
      <c r="I670">
        <f>IF(Skills!X28&lt;&gt;"",1+(Skills!X28/10)*(Z645/1000)/100,1)</f>
        <v/>
      </c>
      <c r="J670">
        <f>((Inputs!$B$6*(1+Inputs!$B$7/100))+(((Inputs!$B$12*(1+Inputs!$B$13/100))-(Inputs!$B$12*(1+Inputs!$B$13/100)))+0.25*(Inputs!$B$14-Inputs!$B$14))*(1+Inputs!$B$7/100))*(F670/100)</f>
        <v/>
      </c>
      <c r="K670">
        <f>J670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665/100)*(1+IF(Inputs!$B$3&gt;=120,F668,0)/100)^5*(1+(IF(Skills!A28="BASIC_ATTACK",(Inputs!$B$17+1)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669*5,0)))/100)*(B672*B673*B674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670)</f>
        <v/>
      </c>
      <c r="L670">
        <f>K670*(MIN(Inputs!$B$22+(F664-Calc!F22),(Inputs!$B$23+(IF(ArtifactsInput!$M$15,CHOOSE(ArtifactsInput!$N$15+1,25,30,35,40,45,50)/100*(Inputs!$B$11-Inputs!$B$11),0))))/100+(Inputs!$B$23+(IF(ArtifactsInput!$M$15,CHOOSE(ArtifactsInput!$N$15+1,25,30,35,40,45,50)/100*(Inputs!$B$11-Inputs!$B$11),0)))/100)/2</f>
        <v/>
      </c>
      <c r="M670">
        <f>L670*(1+(Inputs!$B$10+(F663-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0">
        <f>L670*(1-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670*(MIN((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0">
        <f>(1-Summary!$B$11)*S670+Summary!$B$11*U670</f>
        <v/>
      </c>
      <c r="P670">
        <f>IF(B683=0,0,O670/B683)</f>
        <v/>
      </c>
      <c r="Q670">
        <f>IFERROR(1/(IF(Inputs!$B$38="pvp",15,MAX(0.1,Skills!E28-IF(Skills!F28=TRUE,Inputs!$B$32,0)))*(1-IF(AND(ArtifactsInput!$M$27,Inputs!$B$4="Chapter Hunt"),CHOOSE(ArtifactsInput!$N$27+1,20,24,28,32,36,40),0)/100)),0)</f>
        <v/>
      </c>
      <c r="R670">
        <f>IF(AND(Inputs!$B$38&lt;&gt;"pvp",Inputs!$B$43&gt;0),IF(MAX(0,Inputs!$B$43-B680)&lt;=0,0,(INT(MAX(0,Inputs!$B$43-B680)/(IF(Inputs!$B$38="pvp",15,MAX(0.1,Skills!E28-IF(Skills!F28=TRUE,Inputs!$B$32,0)))*(1-IF(AND(ArtifactsInput!$M$27,Inputs!$B$4="Chapter Hunt"),CHOOSE(ArtifactsInput!$N$27+1,20,24,28,32,36,40),0)/100)))+1)),0)</f>
        <v/>
      </c>
      <c r="S670">
        <f>IF(C670,(H670*N670*IF(AND(Inputs!$B$38&lt;&gt;"pvp",Inputs!$B$43&gt;0),((Skills!G28*((R670-1)*IF(Skills!H28&gt;0,Skills!I28/Skills!H28,1)+IF(Skills!H28&gt;0,MIN(Skills!I28,MAX(0,MAX(0,Inputs!$B$43-B680)-((R670-1)*(IF(Inputs!$B$38="pvp",15,MAX(0.1,Skills!E28-IF(Skills!F28=TRUE,Inputs!$B$32,0)))*(1-IF(AND(ArtifactsInput!$M$27,Inputs!$B$4="Chapter Hunt"),CHOOSE(ArtifactsInput!$N$27+1,20,24,28,32,36,40),0)/100)))))/Skills!H28,1)))/Inputs!$B$43),G670*Q670)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670*(1-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670*(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670*(1-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670*(MIN(100,(Inputs!$B$9+(F662-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70">
        <f>IF(C670,(H670*N670*IF(AND(Inputs!$B$38&lt;&gt;"pvp",Inputs!$B$43&gt;0),((Skills!G28*((R670-1)*IF(Skills!H28&gt;0,Skills!I28/Skills!H28,1)+IF(Skills!H28&gt;0,MIN(Skills!I28,MAX(0,MAX(0,Inputs!$B$43-B680)-((R670-1)*(IF(Inputs!$B$38="pvp",15,MAX(0.1,Skills!E28-IF(Skills!F28=TRUE,Inputs!$B$32,0)))*(1-IF(AND(ArtifactsInput!$M$27,Inputs!$B$4="Chapter Hunt"),CHOOSE(ArtifactsInput!$N$27+1,20,24,28,32,36,40),0)/100)))))/Skills!H28,1)))/Inputs!$B$43),G670*Q670)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2">
      <c r="A672" t="inlineStr">
        <is>
          <t>Burning Magic Multiplier</t>
        </is>
      </c>
      <c r="B672">
        <f>1+(F653*Skills!Z11)/100</f>
        <v/>
      </c>
    </row>
    <row r="673">
      <c r="A673" t="inlineStr">
        <is>
          <t>Elemental Decrease Multiplier (always-on)</t>
        </is>
      </c>
      <c r="B673">
        <f>1+(F654+(IF(AND(ArtifactsInput!$M$35,Inputs!$B$4&lt;&gt;"Chapter Hunt"),CHOOSE(ArtifactsInput!$N$35+1,15,18,21,24,27,30)*(1-EXP(-(0.2*B676)*5)),0)+IF(AND(ArtifactsInput!$M$22,Inputs!$B$4&lt;&gt;"Chapter Hunt"),CHOOSE(ArtifactsInput!$N$22+1,10,12,14,16,18,20)*((0*(((0.15*B676*5))^0/1)+1*(((0.15*B676*5))^1/1)+2*(((0.15*B676*5))^2/2)+3*(((0.15*B676*5))^3/6)+4*(((0.15*B676*5))^4/24)+5*(((0.15*B676*5))^5/120))/((((0.15*B676*5))^0/1)+(((0.15*B676*5))^1/1)+(((0.15*B676*5))^2/2)+(((0.15*B676*5))^3/6)+(((0.15*B676*5))^4/24)+(((0.15*B676*5))^5/120))),0)))/100</f>
        <v/>
      </c>
    </row>
    <row r="674">
      <c r="A674" t="inlineStr">
        <is>
          <t>Average Buff Multiplier (Magic Guard + Meditation + Artifact Attack%, summed; then Infinity)</t>
        </is>
      </c>
      <c r="B674">
        <f>(1+(F648*IF(AND(Inputs!$B$38&lt;&gt;"pvp",Inputs!$B$43&gt;0),(((R648-1)*(Skills!T6*(1+((Inputs!$B$34+(ArtifactsInput!$M$7-ArtifactsInput!$M$7)*CHOOSE(ArtifactsInput!$N$7+1,6,7.2,8.4,9.6,10.8,12)))/100))+MIN((Skills!T6*(1+((Inputs!$B$34+(ArtifactsInput!$M$7-ArtifactsInput!$M$7)*CHOOSE(ArtifactsInput!$N$7+1,6,7.2,8.4,9.6,10.8,12)))/100)),MAX(0,Inputs!$B$43-((R648-1)*Skills!E6))))/Inputs!$B$43),IF(Inputs!$B$38="pvp",MIN((Skills!T6*(1+((Inputs!$B$34+(ArtifactsInput!$M$7-ArtifactsInput!$M$7)*CHOOSE(ArtifactsInput!$N$7+1,6,7.2,8.4,9.6,10.8,12)))/100)),15)/15,(Skills!T6*(1+((Inputs!$B$34+(ArtifactsInput!$M$7-ArtifactsInput!$M$7)*CHOOSE(ArtifactsInput!$N$7+1,6,7.2,8.4,9.6,10.8,12)))/100))/Skills!E6))+F659*IF(AND(Inputs!$B$38&lt;&gt;"pvp",Inputs!$B$43&gt;0),(((R659-1)*(Skills!T17*(1+((Inputs!$B$34+(ArtifactsInput!$M$7-ArtifactsInput!$M$7)*CHOOSE(ArtifactsInput!$N$7+1,6,7.2,8.4,9.6,10.8,12)))/100))+MIN((Skills!T17*(1+((Inputs!$B$34+(ArtifactsInput!$M$7-ArtifactsInput!$M$7)*CHOOSE(ArtifactsInput!$N$7+1,6,7.2,8.4,9.6,10.8,12)))/100)),MAX(0,Inputs!$B$43-((R659-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661=TRUE,(1+F661*IF(AND(Inputs!$B$38&lt;&gt;"pvp",Inputs!$B$43&gt;0),(((R661-1)*(Skills!T19*(1+((Inputs!$B$34+(ArtifactsInput!$M$7-ArtifactsInput!$M$7)*CHOOSE(ArtifactsInput!$N$7+1,6,7.2,8.4,9.6,10.8,12)))/100))+MIN((Skills!T19*(1+((Inputs!$B$34+(ArtifactsInput!$M$7-ArtifactsInput!$M$7)*CHOOSE(ArtifactsInput!$N$7+1,6,7.2,8.4,9.6,10.8,12)))/100)),MAX(0,Inputs!$B$43-((R661-1)*Skills!E19))))/Inputs!$B$43),IF(Inputs!$B$38="pvp",MIN((Skills!T19*(1+((Inputs!$B$34+(ArtifactsInput!$M$7-ArtifactsInput!$M$7)*CHOOSE(ArtifactsInput!$N$7+1,6,7.2,8.4,9.6,10.8,12)))/100)),15)/15,(Skills!T19*(1+((Inputs!$B$34+(ArtifactsInput!$M$7-ArtifactsInput!$M$7)*CHOOSE(ArtifactsInput!$N$7+1,6,7.2,8.4,9.6,10.8,12)))/100))/Skills!E19))/100),1)</f>
        <v/>
      </c>
    </row>
    <row r="675">
      <c r="A675" t="inlineStr">
        <is>
          <t>Attack Speed Buff Bonus % (Nimble Feet, averaged)</t>
        </is>
      </c>
      <c r="B675">
        <f>F660*IF(AND(Inputs!$B$38&lt;&gt;"pvp",Inputs!$B$43&gt;0),(((R660-1)*(Skills!T18*(1+((Inputs!$B$34+(ArtifactsInput!$M$7-ArtifactsInput!$M$7)*CHOOSE(ArtifactsInput!$N$7+1,6,7.2,8.4,9.6,10.8,12)))/100))+MIN((Skills!T18*(1+((Inputs!$B$34+(ArtifactsInput!$M$7-ArtifactsInput!$M$7)*CHOOSE(ArtifactsInput!$N$7+1,6,7.2,8.4,9.6,10.8,12)))/100)),MAX(0,Inputs!$B$43-((R660-1)*Skills!E18))))/Inputs!$B$43),IF(Inputs!$B$38="pvp",MIN((Skills!T18*(1+((Inputs!$B$34+(ArtifactsInput!$M$7-ArtifactsInput!$M$7)*CHOOSE(ArtifactsInput!$N$7+1,6,7.2,8.4,9.6,10.8,12)))/100)),15)/15,(Skills!T18*(1+((Inputs!$B$34+(ArtifactsInput!$M$7-ArtifactsInput!$M$7)*CHOOSE(ArtifactsInput!$N$7+1,6,7.2,8.4,9.6,10.8,12)))/100))/Skills!E18))</f>
        <v/>
      </c>
    </row>
    <row r="676">
      <c r="A676" t="inlineStr">
        <is>
          <t>Actions Per Second</t>
        </is>
      </c>
      <c r="B676">
        <f>1+MIN(150,150*(1-(1-(Inputs!$B$11+(ArtifactsInput!$M$15-ArtifactsInput!$M$15)*CHOOSE(ArtifactsInput!$N$15+1,8,9.6,11.2,12.8,14.4,16))/150)*(1-B675/150)))/100</f>
        <v/>
      </c>
    </row>
    <row r="677">
      <c r="A677" t="inlineStr">
        <is>
          <t>Skill + Buff Cast Rate</t>
        </is>
      </c>
      <c r="B677">
        <f>IF(AND(Inputs!$B$38&lt;&gt;"pvp",Inputs!$B$43&gt;0),SUMPRODUCT((Skills!F2:F28=TRUE)*(C644:C670=TRUE)*R644:R670)/Inputs!$B$43,SUMPRODUCT((Skills!F2:F28=TRUE)*(C644:C670=TRUE)*Q644:Q670))</f>
        <v/>
      </c>
    </row>
    <row r="678">
      <c r="A678" t="inlineStr">
        <is>
          <t>Basic Attacks Per Second</t>
        </is>
      </c>
      <c r="B678">
        <f>MAX(0,B676-B677)</f>
        <v/>
      </c>
    </row>
    <row r="679">
      <c r="A679" t="inlineStr">
        <is>
          <t>Meteor Proc — combined trigger cast rate</t>
        </is>
      </c>
      <c r="B679">
        <f>IF(AND(Inputs!$B$38&lt;&gt;"pvp",Inputs!$B$43&gt;0),SUMPRODUCT((Skills!V2:V28=TRUE)*(C644:C670=TRUE)*R644:R670*Skills!W2:W28)/Inputs!$B$43,SUMPRODUCT((Skills!V2:V28=TRUE)*(C644:C670=TRUE)*Q644:Q670*Skills!W2:W28))+B678</f>
        <v/>
      </c>
    </row>
    <row r="680">
      <c r="A680" t="inlineStr">
        <is>
          <t>Buff-Casting Startup Delay (s, fixed-duration only)</t>
        </is>
      </c>
      <c r="B680">
        <f>IF(AND(Inputs!$B$38&lt;&gt;"pvp",Inputs!$B$43&gt;0),SUMPRODUCT((Skills!T2:T28&gt;0)*(Skills!F2:F28=TRUE)*(C644:C670=TRUE))/B676,0)</f>
        <v/>
      </c>
    </row>
    <row r="681">
      <c r="A681" t="inlineStr">
        <is>
          <t>Boss-Only Total DPS (this block's swept value)</t>
        </is>
      </c>
      <c r="B681">
        <f>SUM(S644:S670)</f>
        <v/>
      </c>
    </row>
    <row r="682">
      <c r="A682" t="inlineStr">
        <is>
          <t>Normal-Only Total DPS (this block's swept value)</t>
        </is>
      </c>
      <c r="B682">
        <f>SUM(U644:U670)</f>
        <v/>
      </c>
    </row>
    <row r="683">
      <c r="A683" s="6" t="inlineStr">
        <is>
          <t>TOTAL DPS</t>
        </is>
      </c>
      <c r="B683" s="6">
        <f>SUM(O644:O670)</f>
        <v/>
      </c>
    </row>
    <row r="686">
      <c r="A686" s="6" t="inlineStr">
        <is>
          <t>Stat: SKILL_DAMAGE %</t>
        </is>
      </c>
    </row>
    <row r="687">
      <c r="A687" s="5" t="inlineStr">
        <is>
          <t>Key</t>
        </is>
      </c>
      <c r="B687" s="5" t="inlineStr">
        <is>
          <t>Name</t>
        </is>
      </c>
      <c r="C687" s="5" t="inlineStr">
        <is>
          <t>Unlocked</t>
        </is>
      </c>
      <c r="D687" s="5" t="inlineStr">
        <is>
          <t>InputLevel</t>
        </is>
      </c>
      <c r="E687" s="5" t="inlineStr">
        <is>
          <t>Factor</t>
        </is>
      </c>
      <c r="F687" s="5" t="inlineStr">
        <is>
          <t>CoefficientPercent</t>
        </is>
      </c>
      <c r="G687" s="5" t="inlineStr">
        <is>
          <t>EffectiveHits</t>
        </is>
      </c>
      <c r="H687" s="5" t="inlineStr">
        <is>
          <t>ProcProbability</t>
        </is>
      </c>
      <c r="I687" s="5" t="inlineStr">
        <is>
          <t>MapleHeroMultiplier</t>
        </is>
      </c>
      <c r="J687" s="5" t="inlineStr">
        <is>
          <t>BaseDamage</t>
        </is>
      </c>
      <c r="K687" s="5" t="inlineStr">
        <is>
          <t>BaseHitDamage</t>
        </is>
      </c>
      <c r="L687" s="5" t="inlineStr">
        <is>
          <t>NonCritAvg</t>
        </is>
      </c>
      <c r="M687" s="5" t="inlineStr">
        <is>
          <t>CritAvg</t>
        </is>
      </c>
      <c r="N687" s="5" t="inlineStr">
        <is>
          <t>ExpectedDamage(perHit)</t>
        </is>
      </c>
      <c r="O687" s="5" t="inlineStr">
        <is>
          <t>DPS</t>
        </is>
      </c>
      <c r="P687" s="5" t="inlineStr">
        <is>
          <t>% of Total</t>
        </is>
      </c>
      <c r="R687" t="inlineStr">
        <is>
          <t>helpers</t>
        </is>
      </c>
    </row>
    <row r="688">
      <c r="A688">
        <f>Skills!A2</f>
        <v/>
      </c>
      <c r="B688">
        <f>Skills!B2</f>
        <v/>
      </c>
      <c r="C688">
        <f>TRUE</f>
        <v/>
      </c>
      <c r="D688" t="inlineStr"/>
      <c r="E688" t="inlineStr"/>
      <c r="F688">
        <f>T690+Skills!O2</f>
        <v/>
      </c>
      <c r="G688">
        <f>Calc!G2</f>
        <v/>
      </c>
      <c r="H688">
        <f>Calc!H2</f>
        <v/>
      </c>
      <c r="I688">
        <f>IF(Skills!X2&lt;&gt;"",1+(Skills!X2/10)*(Z689/1000)/100,1)</f>
        <v/>
      </c>
      <c r="J688">
        <f>((Inputs!$B$6*(1+Inputs!$B$7/100))+(((Inputs!$B$12*(1+Inputs!$B$13/100))-(Inputs!$B$12*(1+Inputs!$B$13/100)))+0.25*(Inputs!$B$14-Inputs!$B$14))*(1+Inputs!$B$7/100))*(F688/100)</f>
        <v/>
      </c>
      <c r="K688">
        <f>J688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688)</f>
        <v/>
      </c>
      <c r="L688">
        <f>K688*(MIN(Inputs!$B$22+(F708-Calc!F22),(Inputs!$B$23+(IF(ArtifactsInput!$M$15,CHOOSE(ArtifactsInput!$N$15+1,25,30,35,40,45,50)/100*(Inputs!$B$11-Inputs!$B$11),0))))/100+(Inputs!$B$23+(IF(ArtifactsInput!$M$15,CHOOSE(ArtifactsInput!$N$15+1,25,30,35,40,45,50)/100*(Inputs!$B$11-Inputs!$B$11),0)))/100)/2</f>
        <v/>
      </c>
      <c r="M688">
        <f>L688*(1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8">
        <f>L688*(1-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688*(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8">
        <f>(1-Summary!$B$11)*S688+Summary!$B$11*U688</f>
        <v/>
      </c>
      <c r="P688">
        <f>IF(B727=0,0,O688/B727)</f>
        <v/>
      </c>
      <c r="Q688">
        <f>IFERROR(1/(IF(Inputs!$B$38="pvp",15,MAX(0.1,Skills!E2-IF(Skills!F2=TRUE,Inputs!$B$32,0)))*(1-IF(AND(ArtifactsInput!$M$27,Inputs!$B$4="Chapter Hunt"),CHOOSE(ArtifactsInput!$N$27+1,20,24,28,32,36,40),0)/100)),0)</f>
        <v/>
      </c>
      <c r="R688" t="n">
        <v>0</v>
      </c>
      <c r="S688">
        <f>(Skills!G2*N688*B722)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688*(1-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688*(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688*(1-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688*(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688">
        <f>MAX(0,(Inputs!$B$3-100)*3)+Inputs!$B$28+Inputs!$B$29</f>
        <v/>
      </c>
      <c r="U688">
        <f>(Skills!G2*N688*B722)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688">
        <f>MAX(0,(Inputs!$B$3-100)*3)+Inputs!$B$28+Inputs!$B$29</f>
        <v/>
      </c>
    </row>
    <row r="689">
      <c r="A689">
        <f>Skills!A3</f>
        <v/>
      </c>
      <c r="B689">
        <f>Skills!B3</f>
        <v/>
      </c>
      <c r="C689">
        <f>TRUE</f>
        <v/>
      </c>
      <c r="D689">
        <f>IF(Skills!C3=1,60+Inputs!$B$25+Inputs!$B$29,IF(Skills!C3=2,90+Inputs!$B$26+Inputs!$B$29,IF(Skills!C3=3,120+Inputs!$B$27+Inputs!$B$29,MAX(0,(Inputs!$B$3-100)*3)+Inputs!$B$28+Inputs!$B$29)))</f>
        <v/>
      </c>
      <c r="E689">
        <f>INDEX(FactorTable!$B$2:$Y$301, MATCH(ROUND(MIN(300,MAX(1,D689)),0), FactorTable!$A$2:$A$301,0), Skills!M3+1)</f>
        <v/>
      </c>
      <c r="F689">
        <f>IF(Skills!N3=TRUE,(Skills!L3/10)*(E689/1000),Skills!L3/10)+Skills!O3</f>
        <v/>
      </c>
      <c r="G689">
        <f>Calc!G3</f>
        <v/>
      </c>
      <c r="H689">
        <f>Calc!H3</f>
        <v/>
      </c>
      <c r="I689">
        <f>IF(Skills!X3&lt;&gt;"",1+(Skills!X3/10)*(Z689/1000)/100,1)</f>
        <v/>
      </c>
      <c r="J689">
        <f>((Inputs!$B$6*(1+Inputs!$B$7/100))+(((Inputs!$B$12*(1+Inputs!$B$13/100))-(Inputs!$B$12*(1+Inputs!$B$13/100)))+0.25*(Inputs!$B$14-Inputs!$B$14))*(1+Inputs!$B$7/100))*(F689/100)</f>
        <v/>
      </c>
      <c r="K689">
        <f>J689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689)</f>
        <v/>
      </c>
      <c r="L689">
        <f>K689*(MIN(Inputs!$B$22+(F708-Calc!F22),(Inputs!$B$23+(IF(ArtifactsInput!$M$15,CHOOSE(ArtifactsInput!$N$15+1,25,30,35,40,45,50)/100*(Inputs!$B$11-Inputs!$B$11),0))))/100+(Inputs!$B$23+(IF(ArtifactsInput!$M$15,CHOOSE(ArtifactsInput!$N$15+1,25,30,35,40,45,50)/100*(Inputs!$B$11-Inputs!$B$11),0)))/100)/2</f>
        <v/>
      </c>
      <c r="M689">
        <f>L689*(1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9">
        <f>L689*(1-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689*(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9">
        <f>(1-Summary!$B$11)*S689+Summary!$B$11*U689</f>
        <v/>
      </c>
      <c r="P689">
        <f>IF(B727=0,0,O689/B727)</f>
        <v/>
      </c>
      <c r="Q689">
        <f>IFERROR(1/(IF(Inputs!$B$38="pvp",15,MAX(0.1,Skills!E3-IF(Skills!F3=TRUE,Inputs!$B$32,0)))*(1-IF(AND(ArtifactsInput!$M$27,Inputs!$B$4="Chapter Hunt"),CHOOSE(ArtifactsInput!$N$27+1,20,24,28,32,36,40),0)/100)),0)</f>
        <v/>
      </c>
      <c r="R689">
        <f>IF(AND(Inputs!$B$38&lt;&gt;"pvp",Inputs!$B$43&gt;0),IF(MAX(0,Inputs!$B$43-B724)&lt;=0,0,(INT(MAX(0,Inputs!$B$43-B724)/(IF(Inputs!$B$38="pvp",15,MAX(0.1,Skills!E3-IF(Skills!F3=TRUE,Inputs!$B$32,0)))*(1-IF(AND(ArtifactsInput!$M$27,Inputs!$B$4="Chapter Hunt"),CHOOSE(ArtifactsInput!$N$27+1,20,24,28,32,36,40),0)/100)))+1)),0)</f>
        <v/>
      </c>
      <c r="S689">
        <f>IF(C689,(H689*N689*IF(AND(Inputs!$B$38&lt;&gt;"pvp",Inputs!$B$43&gt;0),((Skills!G3*((R689-1)*IF(Skills!H3&gt;0,Skills!I3/Skills!H3,1)+IF(Skills!H3&gt;0,MIN(Skills!I3,MAX(0,MAX(0,Inputs!$B$43-B724)-((R689-1)*(IF(Inputs!$B$38="pvp",15,MAX(0.1,Skills!E3-IF(Skills!F3=TRUE,Inputs!$B$32,0)))*(1-IF(AND(ArtifactsInput!$M$27,Inputs!$B$4="Chapter Hunt"),CHOOSE(ArtifactsInput!$N$27+1,20,24,28,32,36,40),0)/100)))))/Skills!H3,1)))/Inputs!$B$43),G689*Q689)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689*(1-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689*(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689*(1-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689*(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89">
        <f>INDEX(FactorTable!$B$2:$Y$301, MATCH(ROUND(MIN(300,MAX(1,T688)),0), FactorTable!$A$2:$A$301,0), 22)</f>
        <v/>
      </c>
      <c r="U689">
        <f>IF(C689,(H689*N689*IF(AND(Inputs!$B$38&lt;&gt;"pvp",Inputs!$B$43&gt;0),((Skills!G3*((R689-1)*IF(Skills!H3&gt;0,Skills!I3/Skills!H3,1)+IF(Skills!H3&gt;0,MIN(Skills!I3,MAX(0,MAX(0,Inputs!$B$43-B724)-((R689-1)*(IF(Inputs!$B$38="pvp",15,MAX(0.1,Skills!E3-IF(Skills!F3=TRUE,Inputs!$B$32,0)))*(1-IF(AND(ArtifactsInput!$M$27,Inputs!$B$4="Chapter Hunt"),CHOOSE(ArtifactsInput!$N$27+1,20,24,28,32,36,40),0)/100)))))/Skills!H3,1)))/Inputs!$B$43),G689*Q689)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689">
        <f>INDEX(FactorTable!$B$2:$Y$301, MATCH(ROUND(MIN(300,MAX(1,Z688)),0), FactorTable!$A$2:$A$301,0), 24)</f>
        <v/>
      </c>
    </row>
    <row r="690">
      <c r="A690">
        <f>Skills!A4</f>
        <v/>
      </c>
      <c r="B690">
        <f>Skills!B4</f>
        <v/>
      </c>
      <c r="C690">
        <f>TRUE</f>
        <v/>
      </c>
      <c r="D690">
        <f>IF(Skills!C4=1,60+Inputs!$B$25+Inputs!$B$29,IF(Skills!C4=2,90+Inputs!$B$26+Inputs!$B$29,IF(Skills!C4=3,120+Inputs!$B$27+Inputs!$B$29,MAX(0,(Inputs!$B$3-100)*3)+Inputs!$B$28+Inputs!$B$29)))</f>
        <v/>
      </c>
      <c r="E690">
        <f>INDEX(FactorTable!$B$2:$Y$301, MATCH(ROUND(MIN(300,MAX(1,D690)),0), FactorTable!$A$2:$A$301,0), Skills!M4+1)</f>
        <v/>
      </c>
      <c r="F690">
        <f>IF(Skills!N4=TRUE,(Skills!L4/10)*(E690/1000),Skills!L4/10)+Skills!O4</f>
        <v/>
      </c>
      <c r="G690">
        <f>Calc!G4</f>
        <v/>
      </c>
      <c r="H690">
        <f>Calc!H4</f>
        <v/>
      </c>
      <c r="I690">
        <f>IF(Skills!X4&lt;&gt;"",1+(Skills!X4/10)*(Z689/1000)/100,1)</f>
        <v/>
      </c>
      <c r="J690">
        <f>((Inputs!$B$6*(1+Inputs!$B$7/100))+(((Inputs!$B$12*(1+Inputs!$B$13/100))-(Inputs!$B$12*(1+Inputs!$B$13/100)))+0.25*(Inputs!$B$14-Inputs!$B$14))*(1+Inputs!$B$7/100))*(F690/100)</f>
        <v/>
      </c>
      <c r="K690">
        <f>J690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690)</f>
        <v/>
      </c>
      <c r="L690">
        <f>K690*(MIN(Inputs!$B$22+(F708-Calc!F22),(Inputs!$B$23+(IF(ArtifactsInput!$M$15,CHOOSE(ArtifactsInput!$N$15+1,25,30,35,40,45,50)/100*(Inputs!$B$11-Inputs!$B$11),0))))/100+(Inputs!$B$23+(IF(ArtifactsInput!$M$15,CHOOSE(ArtifactsInput!$N$15+1,25,30,35,40,45,50)/100*(Inputs!$B$11-Inputs!$B$11),0)))/100)/2</f>
        <v/>
      </c>
      <c r="M690">
        <f>L690*(1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0">
        <f>L690*(1-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690*(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0">
        <f>(1-Summary!$B$11)*S690+Summary!$B$11*U690</f>
        <v/>
      </c>
      <c r="P690">
        <f>IF(B727=0,0,O690/B727)</f>
        <v/>
      </c>
      <c r="Q690">
        <f>IFERROR(1/(IF(Inputs!$B$38="pvp",15,MAX(0.1,Skills!E4-IF(Skills!F4=TRUE,Inputs!$B$32,0)))*(1-IF(AND(ArtifactsInput!$M$27,Inputs!$B$4="Chapter Hunt"),CHOOSE(ArtifactsInput!$N$27+1,20,24,28,32,36,40),0)/100)),0)</f>
        <v/>
      </c>
      <c r="R690">
        <f>IF(AND(Inputs!$B$38&lt;&gt;"pvp",Inputs!$B$43&gt;0),IF(MAX(0,Inputs!$B$43-B724)&lt;=0,0,(INT(MAX(0,Inputs!$B$43-B724)/(IF(Inputs!$B$38="pvp",15,MAX(0.1,Skills!E4-IF(Skills!F4=TRUE,Inputs!$B$32,0)))*(1-IF(AND(ArtifactsInput!$M$27,Inputs!$B$4="Chapter Hunt"),CHOOSE(ArtifactsInput!$N$27+1,20,24,28,32,36,40),0)/100)))+1)),0)</f>
        <v/>
      </c>
      <c r="S690">
        <f>IF(C690,(H690*N690*IF(AND(Inputs!$B$38&lt;&gt;"pvp",Inputs!$B$43&gt;0),((Skills!G4*((R690-1)*IF(Skills!H4&gt;0,Skills!I4/Skills!H4,1)+IF(Skills!H4&gt;0,MIN(Skills!I4,MAX(0,MAX(0,Inputs!$B$43-B724)-((R690-1)*(IF(Inputs!$B$38="pvp",15,MAX(0.1,Skills!E4-IF(Skills!F4=TRUE,Inputs!$B$32,0)))*(1-IF(AND(ArtifactsInput!$M$27,Inputs!$B$4="Chapter Hunt"),CHOOSE(ArtifactsInput!$N$27+1,20,24,28,32,36,40),0)/100)))))/Skills!H4,1)))/Inputs!$B$43),G690*Q690)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690*(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690*(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90">
        <f>290*T689/1000</f>
        <v/>
      </c>
      <c r="U690">
        <f>IF(C690,(H690*N690*IF(AND(Inputs!$B$38&lt;&gt;"pvp",Inputs!$B$43&gt;0),((Skills!G4*((R690-1)*IF(Skills!H4&gt;0,Skills!I4/Skills!H4,1)+IF(Skills!H4&gt;0,MIN(Skills!I4,MAX(0,MAX(0,Inputs!$B$43-B724)-((R690-1)*(IF(Inputs!$B$38="pvp",15,MAX(0.1,Skills!E4-IF(Skills!F4=TRUE,Inputs!$B$32,0)))*(1-IF(AND(ArtifactsInput!$M$27,Inputs!$B$4="Chapter Hunt"),CHOOSE(ArtifactsInput!$N$27+1,20,24,28,32,36,40),0)/100)))))/Skills!H4,1)))/Inputs!$B$43),G690*Q690)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1">
      <c r="A691">
        <f>Skills!A5</f>
        <v/>
      </c>
      <c r="B691">
        <f>Skills!B5</f>
        <v/>
      </c>
      <c r="C691">
        <f>TRUE</f>
        <v/>
      </c>
      <c r="D691">
        <f>IF(Skills!C5=1,60+Inputs!$B$25+Inputs!$B$29,IF(Skills!C5=2,90+Inputs!$B$26+Inputs!$B$29,IF(Skills!C5=3,120+Inputs!$B$27+Inputs!$B$29,MAX(0,(Inputs!$B$3-100)*3)+Inputs!$B$28+Inputs!$B$29)))</f>
        <v/>
      </c>
      <c r="E691">
        <f>INDEX(FactorTable!$B$2:$Y$301, MATCH(ROUND(MIN(300,MAX(1,D691)),0), FactorTable!$A$2:$A$301,0), Skills!M5+1)</f>
        <v/>
      </c>
      <c r="F691">
        <f>IF(Skills!N5=TRUE,(Skills!L5/10)*(E691/1000),Skills!L5/10)+Skills!O5</f>
        <v/>
      </c>
      <c r="G691">
        <f>Calc!G5</f>
        <v/>
      </c>
      <c r="H691">
        <f>Calc!H5</f>
        <v/>
      </c>
      <c r="I691">
        <f>IF(Skills!X5&lt;&gt;"",1+(Skills!X5/10)*(Z689/1000)/100,1)</f>
        <v/>
      </c>
      <c r="J691">
        <f>((Inputs!$B$6*(1+Inputs!$B$7/100))+(((Inputs!$B$12*(1+Inputs!$B$13/100))-(Inputs!$B$12*(1+Inputs!$B$13/100)))+0.25*(Inputs!$B$14-Inputs!$B$14))*(1+Inputs!$B$7/100))*(F691/100)</f>
        <v/>
      </c>
      <c r="K691">
        <f>J691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691)</f>
        <v/>
      </c>
      <c r="L691">
        <f>K691*(MIN(Inputs!$B$22+(F708-Calc!F22),(Inputs!$B$23+(IF(ArtifactsInput!$M$15,CHOOSE(ArtifactsInput!$N$15+1,25,30,35,40,45,50)/100*(Inputs!$B$11-Inputs!$B$11),0))))/100+(Inputs!$B$23+(IF(ArtifactsInput!$M$15,CHOOSE(ArtifactsInput!$N$15+1,25,30,35,40,45,50)/100*(Inputs!$B$11-Inputs!$B$11),0)))/100)/2</f>
        <v/>
      </c>
      <c r="M691">
        <f>L691*(1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1">
        <f>L691*(1-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1">
        <f>(1-Summary!$B$11)*S691+Summary!$B$11*U691</f>
        <v/>
      </c>
      <c r="P691">
        <f>IF(B727=0,0,O691/B727)</f>
        <v/>
      </c>
      <c r="Q691">
        <f>IFERROR(1/(IF(Inputs!$B$38="pvp",15,MAX(0.1,Skills!E5-IF(Skills!F5=TRUE,Inputs!$B$32,0)))*(1-IF(AND(ArtifactsInput!$M$27,Inputs!$B$4="Chapter Hunt"),CHOOSE(ArtifactsInput!$N$27+1,20,24,28,32,36,40),0)/100)),0)</f>
        <v/>
      </c>
      <c r="R691">
        <f>IF(AND(Inputs!$B$38&lt;&gt;"pvp",Inputs!$B$43&gt;0),IF(MAX(0,Inputs!$B$43-B724)&lt;=0,0,(INT(MAX(0,Inputs!$B$43-B724)/(IF(Inputs!$B$38="pvp",15,MAX(0.1,Skills!E5-IF(Skills!F5=TRUE,Inputs!$B$32,0)))*(1-IF(AND(ArtifactsInput!$M$27,Inputs!$B$4="Chapter Hunt"),CHOOSE(ArtifactsInput!$N$27+1,20,24,28,32,36,40),0)/100)))+1)),0)</f>
        <v/>
      </c>
      <c r="S691">
        <f>IF(C691,(H691*N691*IF(AND(Inputs!$B$38&lt;&gt;"pvp",Inputs!$B$43&gt;0),((Skills!G5*((R691-1)*IF(Skills!H5&gt;0,Skills!I5/Skills!H5,1)+IF(Skills!H5&gt;0,MIN(Skills!I5,MAX(0,MAX(0,Inputs!$B$43-B724)-((R691-1)*(IF(Inputs!$B$38="pvp",15,MAX(0.1,Skills!E5-IF(Skills!F5=TRUE,Inputs!$B$32,0)))*(1-IF(AND(ArtifactsInput!$M$27,Inputs!$B$4="Chapter Hunt"),CHOOSE(ArtifactsInput!$N$27+1,20,24,28,32,36,40),0)/100)))))/Skills!H5,1)))/Inputs!$B$43),G691*Q691)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691*(1-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691*(1-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1">
        <f>IF(C691,(H691*N691*IF(AND(Inputs!$B$38&lt;&gt;"pvp",Inputs!$B$43&gt;0),((Skills!G5*((R691-1)*IF(Skills!H5&gt;0,Skills!I5/Skills!H5,1)+IF(Skills!H5&gt;0,MIN(Skills!I5,MAX(0,MAX(0,Inputs!$B$43-B724)-((R691-1)*(IF(Inputs!$B$38="pvp",15,MAX(0.1,Skills!E5-IF(Skills!F5=TRUE,Inputs!$B$32,0)))*(1-IF(AND(ArtifactsInput!$M$27,Inputs!$B$4="Chapter Hunt"),CHOOSE(ArtifactsInput!$N$27+1,20,24,28,32,36,40),0)/100)))))/Skills!H5,1)))/Inputs!$B$43),G691*Q691)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2">
      <c r="A692">
        <f>Skills!A6</f>
        <v/>
      </c>
      <c r="B692">
        <f>Skills!B6</f>
        <v/>
      </c>
      <c r="C692">
        <f>TRUE</f>
        <v/>
      </c>
      <c r="D692">
        <f>IF(Skills!C6=1,60+Inputs!$B$25+Inputs!$B$29,IF(Skills!C6=2,90+Inputs!$B$26+Inputs!$B$29,IF(Skills!C6=3,120+Inputs!$B$27+Inputs!$B$29,MAX(0,(Inputs!$B$3-100)*3)+Inputs!$B$28+Inputs!$B$29)))</f>
        <v/>
      </c>
      <c r="E692">
        <f>INDEX(FactorTable!$B$2:$Y$301, MATCH(ROUND(MIN(300,MAX(1,D692)),0), FactorTable!$A$2:$A$301,0), Skills!M6+1)</f>
        <v/>
      </c>
      <c r="F692">
        <f>IF(Skills!N6=TRUE,(Skills!L6/10)*(E692/1000),Skills!L6/10)+Skills!O6</f>
        <v/>
      </c>
      <c r="G692">
        <f>Calc!G6</f>
        <v/>
      </c>
      <c r="H692">
        <f>Calc!H6</f>
        <v/>
      </c>
      <c r="I692">
        <f>IF(Skills!X6&lt;&gt;"",1+(Skills!X6/10)*(Z689/1000)/100,1)</f>
        <v/>
      </c>
      <c r="J692" t="inlineStr"/>
      <c r="K692" t="inlineStr"/>
      <c r="L692" t="inlineStr"/>
      <c r="M692" t="inlineStr"/>
      <c r="N692" t="inlineStr"/>
      <c r="O692">
        <f>(1-Summary!$B$11)*S692+Summary!$B$11*U692</f>
        <v/>
      </c>
      <c r="P692">
        <f>IF(B727=0,0,O692/B727)</f>
        <v/>
      </c>
      <c r="Q692">
        <f>IFERROR(1/(IF(Inputs!$B$38="pvp",15,MAX(0.1,Skills!E6-IF(Skills!F6=TRUE,Inputs!$B$32,0)))*(1-IF(AND(ArtifactsInput!$M$27,Inputs!$B$4="Chapter Hunt"),CHOOSE(ArtifactsInput!$N$27+1,20,24,28,32,36,40),0)/100)),0)</f>
        <v/>
      </c>
      <c r="R692">
        <f>IF(AND(Inputs!$B$38&lt;&gt;"pvp",Inputs!$B$43&gt;0),IF(Inputs!$B$43&lt;=0,0,(INT(Inputs!$B$43/(IF(Inputs!$B$38="pvp",15,MAX(0.1,Skills!E6-IF(Skills!F6=TRUE,Inputs!$B$32,0)))*(1-IF(AND(ArtifactsInput!$M$27,Inputs!$B$4="Chapter Hunt"),CHOOSE(ArtifactsInput!$N$27+1,20,24,28,32,36,40),0)/100)))+1)),0)</f>
        <v/>
      </c>
      <c r="S692" t="n">
        <v>0</v>
      </c>
      <c r="U692" t="n">
        <v>0</v>
      </c>
    </row>
    <row r="693">
      <c r="A693">
        <f>Skills!A7</f>
        <v/>
      </c>
      <c r="B693">
        <f>Skills!B7</f>
        <v/>
      </c>
      <c r="C693">
        <f>TRUE</f>
        <v/>
      </c>
      <c r="D693">
        <f>IF(Skills!C7=1,60+Inputs!$B$25+Inputs!$B$29,IF(Skills!C7=2,90+Inputs!$B$26+Inputs!$B$29,IF(Skills!C7=3,120+Inputs!$B$27+Inputs!$B$29,MAX(0,(Inputs!$B$3-100)*3)+Inputs!$B$28+Inputs!$B$29)))</f>
        <v/>
      </c>
      <c r="E693">
        <f>INDEX(FactorTable!$B$2:$Y$301, MATCH(ROUND(MIN(300,MAX(1,D693)),0), FactorTable!$A$2:$A$301,0), Skills!M7+1)</f>
        <v/>
      </c>
      <c r="F693">
        <f>IF(Skills!N7=TRUE,(Skills!L7/10)*(E693/1000),Skills!L7/10)+Skills!O7</f>
        <v/>
      </c>
      <c r="G693">
        <f>Calc!G7</f>
        <v/>
      </c>
      <c r="H693">
        <f>Calc!H7</f>
        <v/>
      </c>
      <c r="I693">
        <f>IF(Skills!X7&lt;&gt;"",1+(Skills!X7/10)*(Z689/1000)/100,1)</f>
        <v/>
      </c>
      <c r="J693">
        <f>((Inputs!$B$6*(1+Inputs!$B$7/100))+(((Inputs!$B$12*(1+Inputs!$B$13/100))-(Inputs!$B$12*(1+Inputs!$B$13/100)))+0.25*(Inputs!$B$14-Inputs!$B$14))*(1+Inputs!$B$7/100))*(F693/100)</f>
        <v/>
      </c>
      <c r="K693">
        <f>J693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693)</f>
        <v/>
      </c>
      <c r="L693">
        <f>K693*(MIN(Inputs!$B$22+(F708-Calc!F22),(Inputs!$B$23+(IF(ArtifactsInput!$M$15,CHOOSE(ArtifactsInput!$N$15+1,25,30,35,40,45,50)/100*(Inputs!$B$11-Inputs!$B$11),0))))/100+(Inputs!$B$23+(IF(ArtifactsInput!$M$15,CHOOSE(ArtifactsInput!$N$15+1,25,30,35,40,45,50)/100*(Inputs!$B$11-Inputs!$B$11),0)))/100)/2</f>
        <v/>
      </c>
      <c r="M693">
        <f>L693*(1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3">
        <f>L693*(1-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693*(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3">
        <f>(1-Summary!$B$11)*S693+Summary!$B$11*U693</f>
        <v/>
      </c>
      <c r="P693">
        <f>IF(B727=0,0,O693/B727)</f>
        <v/>
      </c>
      <c r="Q693">
        <f>IFERROR(1/(IF(Inputs!$B$38="pvp",15,MAX(0.1,Skills!E7-IF(Skills!F7=TRUE,Inputs!$B$32,0)))*(1-IF(AND(ArtifactsInput!$M$27,Inputs!$B$4="Chapter Hunt"),CHOOSE(ArtifactsInput!$N$27+1,20,24,28,32,36,40),0)/100)),0)</f>
        <v/>
      </c>
      <c r="R693">
        <f>IF(AND(Inputs!$B$38&lt;&gt;"pvp",Inputs!$B$43&gt;0),IF(MAX(0,Inputs!$B$43-B724)&lt;=0,0,(INT(MAX(0,Inputs!$B$43-B724)/(IF(Inputs!$B$38="pvp",15,MAX(0.1,Skills!E7-IF(Skills!F7=TRUE,Inputs!$B$32,0)))*(1-IF(AND(ArtifactsInput!$M$27,Inputs!$B$4="Chapter Hunt"),CHOOSE(ArtifactsInput!$N$27+1,20,24,28,32,36,40),0)/100)))+1)),0)</f>
        <v/>
      </c>
      <c r="S693">
        <f>IF(C693,(H693*N693*IF(AND(Inputs!$B$38&lt;&gt;"pvp",Inputs!$B$43&gt;0),((Skills!G7*((R693-1)*IF(Skills!H7&gt;0,Skills!I7/Skills!H7,1)+IF(Skills!H7&gt;0,MIN(Skills!I7,MAX(0,MAX(0,Inputs!$B$43-B724)-((R693-1)*(IF(Inputs!$B$38="pvp",15,MAX(0.1,Skills!E7-IF(Skills!F7=TRUE,Inputs!$B$32,0)))*(1-IF(AND(ArtifactsInput!$M$27,Inputs!$B$4="Chapter Hunt"),CHOOSE(ArtifactsInput!$N$27+1,20,24,28,32,36,40),0)/100)))))/Skills!H7,1)))/Inputs!$B$43),G693*Q693)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693*(1-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693*(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693*(1-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693*(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3">
        <f>IF(C693,(H693*N693*IF(AND(Inputs!$B$38&lt;&gt;"pvp",Inputs!$B$43&gt;0),((Skills!G7*((R693-1)*IF(Skills!H7&gt;0,Skills!I7/Skills!H7,1)+IF(Skills!H7&gt;0,MIN(Skills!I7,MAX(0,MAX(0,Inputs!$B$43-B724)-((R693-1)*(IF(Inputs!$B$38="pvp",15,MAX(0.1,Skills!E7-IF(Skills!F7=TRUE,Inputs!$B$32,0)))*(1-IF(AND(ArtifactsInput!$M$27,Inputs!$B$4="Chapter Hunt"),CHOOSE(ArtifactsInput!$N$27+1,20,24,28,32,36,40),0)/100)))))/Skills!H7,1)))/Inputs!$B$43),G693*Q693)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4">
      <c r="A694">
        <f>Skills!A8</f>
        <v/>
      </c>
      <c r="B694">
        <f>Skills!B8</f>
        <v/>
      </c>
      <c r="C694">
        <f>TRUE</f>
        <v/>
      </c>
      <c r="D694">
        <f>IF(Skills!C8=1,60+Inputs!$B$25+Inputs!$B$29,IF(Skills!C8=2,90+Inputs!$B$26+Inputs!$B$29,IF(Skills!C8=3,120+Inputs!$B$27+Inputs!$B$29,MAX(0,(Inputs!$B$3-100)*3)+Inputs!$B$28+Inputs!$B$29)))</f>
        <v/>
      </c>
      <c r="E694">
        <f>INDEX(FactorTable!$B$2:$Y$301, MATCH(ROUND(MIN(300,MAX(1,D694)),0), FactorTable!$A$2:$A$301,0), Skills!M8+1)</f>
        <v/>
      </c>
      <c r="F694">
        <f>IF(Skills!N8=TRUE,(Skills!L8/10)*(E694/1000),Skills!L8/10)+Skills!O8</f>
        <v/>
      </c>
      <c r="G694">
        <f>Calc!G8</f>
        <v/>
      </c>
      <c r="H694">
        <f>Calc!H8</f>
        <v/>
      </c>
      <c r="I694">
        <f>IF(Skills!X8&lt;&gt;"",1+(Skills!X8/10)*(Z689/1000)/100,1)</f>
        <v/>
      </c>
      <c r="J694">
        <f>((Inputs!$B$6*(1+Inputs!$B$7/100))+(((Inputs!$B$12*(1+Inputs!$B$13/100))-(Inputs!$B$12*(1+Inputs!$B$13/100)))+0.25*(Inputs!$B$14-Inputs!$B$14))*(1+Inputs!$B$7/100))*(F694/100)</f>
        <v/>
      </c>
      <c r="K694">
        <f>J694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694)</f>
        <v/>
      </c>
      <c r="L694">
        <f>K694*(MIN(Inputs!$B$22+(F708-Calc!F22),(Inputs!$B$23+(IF(ArtifactsInput!$M$15,CHOOSE(ArtifactsInput!$N$15+1,25,30,35,40,45,50)/100*(Inputs!$B$11-Inputs!$B$11),0))))/100+(Inputs!$B$23+(IF(ArtifactsInput!$M$15,CHOOSE(ArtifactsInput!$N$15+1,25,30,35,40,45,50)/100*(Inputs!$B$11-Inputs!$B$11),0)))/100)/2</f>
        <v/>
      </c>
      <c r="M694">
        <f>L694*(1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4">
        <f>L694*(1-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694*(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4">
        <f>(1-Summary!$B$11)*S694+Summary!$B$11*U694</f>
        <v/>
      </c>
      <c r="P694">
        <f>IF(B727=0,0,O694/B727)</f>
        <v/>
      </c>
      <c r="Q694">
        <f>IFERROR(1/(IF(Inputs!$B$38="pvp",15,MAX(0.1,Skills!E8-IF(Skills!F8=TRUE,Inputs!$B$32,0)))*(1-IF(AND(ArtifactsInput!$M$27,Inputs!$B$4="Chapter Hunt"),CHOOSE(ArtifactsInput!$N$27+1,20,24,28,32,36,40),0)/100)),0)</f>
        <v/>
      </c>
      <c r="R694">
        <f>IF(AND(Inputs!$B$38&lt;&gt;"pvp",Inputs!$B$43&gt;0),IF(MAX(0,Inputs!$B$43-B724)&lt;=0,0,(INT(MAX(0,Inputs!$B$43-B724)/(IF(Inputs!$B$38="pvp",15,MAX(0.1,Skills!E8-IF(Skills!F8=TRUE,Inputs!$B$32,0)))*(1-IF(AND(ArtifactsInput!$M$27,Inputs!$B$4="Chapter Hunt"),CHOOSE(ArtifactsInput!$N$27+1,20,24,28,32,36,40),0)/100)))+1)),0)</f>
        <v/>
      </c>
      <c r="S694">
        <f>IF(C694,(H694*N694*IF(AND(Inputs!$B$38&lt;&gt;"pvp",Inputs!$B$43&gt;0),((Skills!G8*((R694-1)*IF(Skills!H8&gt;0,Skills!I8/Skills!H8,1)+IF(Skills!H8&gt;0,MIN(Skills!I8,MAX(0,MAX(0,Inputs!$B$43-B724)-((R694-1)*(IF(Inputs!$B$38="pvp",15,MAX(0.1,Skills!E8-IF(Skills!F8=TRUE,Inputs!$B$32,0)))*(1-IF(AND(ArtifactsInput!$M$27,Inputs!$B$4="Chapter Hunt"),CHOOSE(ArtifactsInput!$N$27+1,20,24,28,32,36,40),0)/100)))))/Skills!H8,1)))/Inputs!$B$43),G694*Q694)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694*(1-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694*(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694*(1-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694*(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4">
        <f>IF(C694,(H694*N694*IF(AND(Inputs!$B$38&lt;&gt;"pvp",Inputs!$B$43&gt;0),((Skills!G8*((R694-1)*IF(Skills!H8&gt;0,Skills!I8/Skills!H8,1)+IF(Skills!H8&gt;0,MIN(Skills!I8,MAX(0,MAX(0,Inputs!$B$43-B724)-((R694-1)*(IF(Inputs!$B$38="pvp",15,MAX(0.1,Skills!E8-IF(Skills!F8=TRUE,Inputs!$B$32,0)))*(1-IF(AND(ArtifactsInput!$M$27,Inputs!$B$4="Chapter Hunt"),CHOOSE(ArtifactsInput!$N$27+1,20,24,28,32,36,40),0)/100)))))/Skills!H8,1)))/Inputs!$B$43),G694*Q694)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5">
      <c r="A695">
        <f>Skills!A9</f>
        <v/>
      </c>
      <c r="B695">
        <f>Skills!B9</f>
        <v/>
      </c>
      <c r="C695">
        <f>Inputs!$B$3&gt;=103</f>
        <v/>
      </c>
      <c r="D695">
        <f>IF(Skills!C9=1,60+Inputs!$B$25+Inputs!$B$29,IF(Skills!C9=2,90+Inputs!$B$26+Inputs!$B$29,IF(Skills!C9=3,120+Inputs!$B$27+Inputs!$B$29,MAX(0,(Inputs!$B$3-100)*3)+Inputs!$B$28+Inputs!$B$29)))</f>
        <v/>
      </c>
      <c r="E695">
        <f>INDEX(FactorTable!$B$2:$Y$301, MATCH(ROUND(MIN(300,MAX(1,D695)),0), FactorTable!$A$2:$A$301,0), Skills!M9+1)</f>
        <v/>
      </c>
      <c r="F695">
        <f>IF(Skills!N9=TRUE,(Skills!L9/10)*(E695/1000),Skills!L9/10)+Skills!O9</f>
        <v/>
      </c>
      <c r="G695">
        <f>Calc!G9</f>
        <v/>
      </c>
      <c r="H695">
        <f>Calc!H9</f>
        <v/>
      </c>
      <c r="I695">
        <f>IF(Skills!X9&lt;&gt;"",1+(Skills!X9/10)*(Z689/1000)/100,1)</f>
        <v/>
      </c>
      <c r="J695">
        <f>((Inputs!$B$6*(1+Inputs!$B$7/100))+(((Inputs!$B$12*(1+Inputs!$B$13/100))-(Inputs!$B$12*(1+Inputs!$B$13/100)))+0.25*(Inputs!$B$14-Inputs!$B$14))*(1+Inputs!$B$7/100))*(F695/100)</f>
        <v/>
      </c>
      <c r="K695">
        <f>J695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695)</f>
        <v/>
      </c>
      <c r="L695">
        <f>K695*(MIN(Inputs!$B$22+(F708-Calc!F22),(Inputs!$B$23+(IF(ArtifactsInput!$M$15,CHOOSE(ArtifactsInput!$N$15+1,25,30,35,40,45,50)/100*(Inputs!$B$11-Inputs!$B$11),0))))/100+(Inputs!$B$23+(IF(ArtifactsInput!$M$15,CHOOSE(ArtifactsInput!$N$15+1,25,30,35,40,45,50)/100*(Inputs!$B$11-Inputs!$B$11),0)))/100)/2</f>
        <v/>
      </c>
      <c r="M695">
        <f>L695*(1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5">
        <f>L695*(1-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695*(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5">
        <f>(1-Summary!$B$11)*S695+Summary!$B$11*U695</f>
        <v/>
      </c>
      <c r="P695">
        <f>IF(B727=0,0,O695/B727)</f>
        <v/>
      </c>
      <c r="Q695">
        <f>IFERROR(1/(IF(Inputs!$B$38="pvp",15,MAX(0.1,Skills!E9-IF(Skills!F7=TRUE,Inputs!$B$32,0)))*(1-IF(AND(ArtifactsInput!$M$27,Inputs!$B$4="Chapter Hunt"),CHOOSE(ArtifactsInput!$N$27+1,20,24,28,32,36,40),0)/100)),0)</f>
        <v/>
      </c>
      <c r="R695">
        <f>IF(AND(Inputs!$B$38&lt;&gt;"pvp",Inputs!$B$43&gt;0),IF(MAX(0,Inputs!$B$43-B724)&lt;=0,0,(INT(MAX(0,Inputs!$B$43-B724)/(IF(Inputs!$B$38="pvp",15,MAX(0.1,Skills!E9-IF(Skills!F7=TRUE,Inputs!$B$32,0)))*(1-IF(AND(ArtifactsInput!$M$27,Inputs!$B$4="Chapter Hunt"),CHOOSE(ArtifactsInput!$N$27+1,20,24,28,32,36,40),0)/100)))+1)),0)</f>
        <v/>
      </c>
      <c r="S695">
        <f>IF(C695,(H695*N695*IF(AND(Inputs!$B$38&lt;&gt;"pvp",Inputs!$B$43&gt;0),((Skills!G9*((R695-1)*IF(Skills!H9&gt;0,Skills!I9/Skills!H9,1)+IF(Skills!H9&gt;0,MIN(Skills!I9,MAX(0,MAX(0,Inputs!$B$43-B724)-((R695-1)*(IF(Inputs!$B$38="pvp",15,MAX(0.1,Skills!E9-IF(Skills!F7=TRUE,Inputs!$B$32,0)))*(1-IF(AND(ArtifactsInput!$M$27,Inputs!$B$4="Chapter Hunt"),CHOOSE(ArtifactsInput!$N$27+1,20,24,28,32,36,40),0)/100)))))/Skills!H9,1)))/Inputs!$B$43),G695*Q695)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695*(1-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695*(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695*(1-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695*(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5">
        <f>IF(C695,(H695*N695*IF(AND(Inputs!$B$38&lt;&gt;"pvp",Inputs!$B$43&gt;0),((Skills!G9*((R695-1)*IF(Skills!H9&gt;0,Skills!I9/Skills!H9,1)+IF(Skills!H9&gt;0,MIN(Skills!I9,MAX(0,MAX(0,Inputs!$B$43-B724)-((R695-1)*(IF(Inputs!$B$38="pvp",15,MAX(0.1,Skills!E9-IF(Skills!F7=TRUE,Inputs!$B$32,0)))*(1-IF(AND(ArtifactsInput!$M$27,Inputs!$B$4="Chapter Hunt"),CHOOSE(ArtifactsInput!$N$27+1,20,24,28,32,36,40),0)/100)))))/Skills!H9,1)))/Inputs!$B$43),G695*Q695)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6">
      <c r="A696">
        <f>Skills!A10</f>
        <v/>
      </c>
      <c r="B696">
        <f>Skills!B10</f>
        <v/>
      </c>
      <c r="C696">
        <f>TRUE</f>
        <v/>
      </c>
      <c r="D696">
        <f>IF(Skills!C10=1,60+Inputs!$B$25+Inputs!$B$29,IF(Skills!C10=2,90+Inputs!$B$26+Inputs!$B$29,IF(Skills!C10=3,120+Inputs!$B$27+Inputs!$B$29,MAX(0,(Inputs!$B$3-100)*3)+Inputs!$B$28+Inputs!$B$29)))</f>
        <v/>
      </c>
      <c r="E696">
        <f>INDEX(FactorTable!$B$2:$Y$301, MATCH(ROUND(MIN(300,MAX(1,D696)),0), FactorTable!$A$2:$A$301,0), Skills!M10+1)</f>
        <v/>
      </c>
      <c r="F696">
        <f>IF(Skills!N10=TRUE,(Skills!L10/10)*(E696/1000),Skills!L10/10)+Skills!O10</f>
        <v/>
      </c>
      <c r="G696">
        <f>Calc!G10</f>
        <v/>
      </c>
      <c r="H696">
        <f>Calc!H10</f>
        <v/>
      </c>
      <c r="I696">
        <f>IF(Skills!X10&lt;&gt;"",1+(Skills!X10/10)*(Z689/1000)/100,1)</f>
        <v/>
      </c>
      <c r="J696">
        <f>((Inputs!$B$6*(1+Inputs!$B$7/100))+(((Inputs!$B$12*(1+Inputs!$B$13/100))-(Inputs!$B$12*(1+Inputs!$B$13/100)))+0.25*(Inputs!$B$14-Inputs!$B$14))*(1+Inputs!$B$7/100))*(F696/100)</f>
        <v/>
      </c>
      <c r="K696">
        <f>J696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696)</f>
        <v/>
      </c>
      <c r="L696">
        <f>K696*(MIN(Inputs!$B$22+(F708-Calc!F22),(Inputs!$B$23+(IF(ArtifactsInput!$M$15,CHOOSE(ArtifactsInput!$N$15+1,25,30,35,40,45,50)/100*(Inputs!$B$11-Inputs!$B$11),0))))/100+(Inputs!$B$23+(IF(ArtifactsInput!$M$15,CHOOSE(ArtifactsInput!$N$15+1,25,30,35,40,45,50)/100*(Inputs!$B$11-Inputs!$B$11),0)))/100)/2</f>
        <v/>
      </c>
      <c r="M696">
        <f>L696*(1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6">
        <f>L696*(1-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696*(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6">
        <f>(1-Summary!$B$11)*S696+Summary!$B$11*U696</f>
        <v/>
      </c>
      <c r="P696">
        <f>IF(B727=0,0,O696/B727)</f>
        <v/>
      </c>
      <c r="Q696">
        <f>IFERROR(1/(IF(Inputs!$B$38="pvp",15,MAX(0.1,Skills!E10-IF(Skills!F10=TRUE,Inputs!$B$32,0)))*(1-IF(AND(ArtifactsInput!$M$27,Inputs!$B$4="Chapter Hunt"),CHOOSE(ArtifactsInput!$N$27+1,20,24,28,32,36,40),0)/100)),0)</f>
        <v/>
      </c>
      <c r="R696">
        <f>IF(AND(Inputs!$B$38&lt;&gt;"pvp",Inputs!$B$43&gt;0),IF(MAX(0,Inputs!$B$43-B724)&lt;=0,0,(INT(MAX(0,Inputs!$B$43-B724)/(IF(Inputs!$B$38="pvp",15,MAX(0.1,Skills!E10-IF(Skills!F10=TRUE,Inputs!$B$32,0)))*(1-IF(AND(ArtifactsInput!$M$27,Inputs!$B$4="Chapter Hunt"),CHOOSE(ArtifactsInput!$N$27+1,20,24,28,32,36,40),0)/100)))+1)),0)</f>
        <v/>
      </c>
      <c r="S696">
        <f>IF(C696,(H696*N696*IF(AND(Inputs!$B$38&lt;&gt;"pvp",Inputs!$B$43&gt;0),((Skills!G10*((R696-1)*IF(Skills!H10&gt;0,Skills!I10/Skills!H10,1)+IF(Skills!H10&gt;0,MIN(Skills!I10,MAX(0,MAX(0,Inputs!$B$43-B724)-((R696-1)*(IF(Inputs!$B$38="pvp",15,MAX(0.1,Skills!E10-IF(Skills!F10=TRUE,Inputs!$B$32,0)))*(1-IF(AND(ArtifactsInput!$M$27,Inputs!$B$4="Chapter Hunt"),CHOOSE(ArtifactsInput!$N$27+1,20,24,28,32,36,40),0)/100)))))/Skills!H10,1)))/Inputs!$B$43),G696*Q696)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696*(1-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696*(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696*(1-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696*(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6">
        <f>IF(C696,(H696*N696*IF(AND(Inputs!$B$38&lt;&gt;"pvp",Inputs!$B$43&gt;0),((Skills!G10*((R696-1)*IF(Skills!H10&gt;0,Skills!I10/Skills!H10,1)+IF(Skills!H10&gt;0,MIN(Skills!I10,MAX(0,MAX(0,Inputs!$B$43-B724)-((R696-1)*(IF(Inputs!$B$38="pvp",15,MAX(0.1,Skills!E10-IF(Skills!F10=TRUE,Inputs!$B$32,0)))*(1-IF(AND(ArtifactsInput!$M$27,Inputs!$B$4="Chapter Hunt"),CHOOSE(ArtifactsInput!$N$27+1,20,24,28,32,36,40),0)/100)))))/Skills!H10,1)))/Inputs!$B$43),G696*Q696)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7">
      <c r="A697">
        <f>Skills!A11</f>
        <v/>
      </c>
      <c r="B697">
        <f>Skills!B11</f>
        <v/>
      </c>
      <c r="C697">
        <f>TRUE</f>
        <v/>
      </c>
      <c r="D697">
        <f>IF(Skills!C11=1,60+Inputs!$B$25+Inputs!$B$29,IF(Skills!C11=2,90+Inputs!$B$26+Inputs!$B$29,IF(Skills!C11=3,120+Inputs!$B$27+Inputs!$B$29,MAX(0,(Inputs!$B$3-100)*3)+Inputs!$B$28+Inputs!$B$29)))</f>
        <v/>
      </c>
      <c r="E697">
        <f>INDEX(FactorTable!$B$2:$Y$301, MATCH(ROUND(MIN(300,MAX(1,D697)),0), FactorTable!$A$2:$A$301,0), Skills!M11+1)</f>
        <v/>
      </c>
      <c r="F697">
        <f>IF(Skills!N11=TRUE,(Skills!L11/10)*(E697/1000),Skills!L11/10)+Skills!O11</f>
        <v/>
      </c>
      <c r="G697">
        <f>Calc!G11</f>
        <v/>
      </c>
      <c r="H697">
        <f>Calc!H11</f>
        <v/>
      </c>
      <c r="I697">
        <f>IF(Skills!X11&lt;&gt;"",1+(Skills!X11/10)*(Z689/1000)/100,1)</f>
        <v/>
      </c>
      <c r="J697" t="inlineStr"/>
      <c r="K697" t="inlineStr"/>
      <c r="L697" t="inlineStr"/>
      <c r="M697" t="inlineStr"/>
      <c r="N697" t="inlineStr"/>
      <c r="O697">
        <f>(1-Summary!$B$11)*S697+Summary!$B$11*U697</f>
        <v/>
      </c>
      <c r="P697">
        <f>IF(B727=0,0,O697/B727)</f>
        <v/>
      </c>
      <c r="Q697">
        <f>IFERROR(1/(IF(Inputs!$B$38="pvp",15,MAX(0.1,Skills!E11-IF(Skills!F11=TRUE,Inputs!$B$32,0)))*(1-IF(AND(ArtifactsInput!$M$27,Inputs!$B$4="Chapter Hunt"),CHOOSE(ArtifactsInput!$N$27+1,20,24,28,32,36,40),0)/100)),0)</f>
        <v/>
      </c>
      <c r="R697" t="n">
        <v>0</v>
      </c>
      <c r="S697" t="n">
        <v>0</v>
      </c>
      <c r="U697" t="n">
        <v>0</v>
      </c>
    </row>
    <row r="698">
      <c r="A698">
        <f>Skills!A12</f>
        <v/>
      </c>
      <c r="B698">
        <f>Skills!B12</f>
        <v/>
      </c>
      <c r="C698">
        <f>TRUE</f>
        <v/>
      </c>
      <c r="D698">
        <f>IF(Skills!C12=1,60+Inputs!$B$25+Inputs!$B$29,IF(Skills!C12=2,90+Inputs!$B$26+Inputs!$B$29,IF(Skills!C12=3,120+Inputs!$B$27+Inputs!$B$29,MAX(0,(Inputs!$B$3-100)*3)+Inputs!$B$28+Inputs!$B$29)))</f>
        <v/>
      </c>
      <c r="E698">
        <f>INDEX(FactorTable!$B$2:$Y$301, MATCH(ROUND(MIN(300,MAX(1,D698)),0), FactorTable!$A$2:$A$301,0), Skills!M12+1)</f>
        <v/>
      </c>
      <c r="F698">
        <f>IF(Skills!N12=TRUE,(Skills!L12/10)*(E698/1000),Skills!L12/10)+Skills!O12</f>
        <v/>
      </c>
      <c r="G698">
        <f>Calc!G12</f>
        <v/>
      </c>
      <c r="H698">
        <f>Calc!H12</f>
        <v/>
      </c>
      <c r="I698">
        <f>IF(Skills!X12&lt;&gt;"",1+(Skills!X12/10)*(Z689/1000)/100,1)</f>
        <v/>
      </c>
      <c r="J698" t="inlineStr"/>
      <c r="K698" t="inlineStr"/>
      <c r="L698" t="inlineStr"/>
      <c r="M698" t="inlineStr"/>
      <c r="N698" t="inlineStr"/>
      <c r="O698">
        <f>(1-Summary!$B$11)*S698+Summary!$B$11*U698</f>
        <v/>
      </c>
      <c r="P698">
        <f>IF(B727=0,0,O698/B727)</f>
        <v/>
      </c>
      <c r="Q698">
        <f>IFERROR(1/(IF(Inputs!$B$38="pvp",15,MAX(0.1,Skills!E12-IF(Skills!F12=TRUE,Inputs!$B$32,0)))*(1-IF(AND(ArtifactsInput!$M$27,Inputs!$B$4="Chapter Hunt"),CHOOSE(ArtifactsInput!$N$27+1,20,24,28,32,36,40),0)/100)),0)</f>
        <v/>
      </c>
      <c r="R698" t="n">
        <v>0</v>
      </c>
      <c r="S698" t="n">
        <v>0</v>
      </c>
      <c r="U698" t="n">
        <v>0</v>
      </c>
    </row>
    <row r="699">
      <c r="A699">
        <f>Skills!A13</f>
        <v/>
      </c>
      <c r="B699">
        <f>Skills!B13</f>
        <v/>
      </c>
      <c r="C699">
        <f>Inputs!$B$3&gt;=105</f>
        <v/>
      </c>
      <c r="D699">
        <f>IF(Skills!C13=1,60+Inputs!$B$25+Inputs!$B$29,IF(Skills!C13=2,90+Inputs!$B$26+Inputs!$B$29,IF(Skills!C13=3,120+Inputs!$B$27+Inputs!$B$29,MAX(0,(Inputs!$B$3-100)*3)+Inputs!$B$28+Inputs!$B$29)))</f>
        <v/>
      </c>
      <c r="E699">
        <f>INDEX(FactorTable!$B$2:$Y$301, MATCH(ROUND(MIN(300,MAX(1,D699)),0), FactorTable!$A$2:$A$301,0), Skills!M13+1)</f>
        <v/>
      </c>
      <c r="F699">
        <f>IF(Skills!N13=TRUE,(Skills!L13/10)*(E699/1000),Skills!L13/10)+Skills!O13</f>
        <v/>
      </c>
      <c r="G699">
        <f>Calc!G13</f>
        <v/>
      </c>
      <c r="H699">
        <f>Calc!H13</f>
        <v/>
      </c>
      <c r="I699">
        <f>IF(Skills!X13&lt;&gt;"",1+(Skills!X13/10)*(Z689/1000)/100,1)</f>
        <v/>
      </c>
      <c r="J699">
        <f>((Inputs!$B$6*(1+Inputs!$B$7/100))+(((Inputs!$B$12*(1+Inputs!$B$13/100))-(Inputs!$B$12*(1+Inputs!$B$13/100)))+0.25*(Inputs!$B$14-Inputs!$B$14))*(1+Inputs!$B$7/100))*(F699/100)</f>
        <v/>
      </c>
      <c r="K699">
        <f>J699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699)</f>
        <v/>
      </c>
      <c r="L699">
        <f>K699*(MIN(Inputs!$B$22+(F708-Calc!F22),(Inputs!$B$23+(IF(ArtifactsInput!$M$15,CHOOSE(ArtifactsInput!$N$15+1,25,30,35,40,45,50)/100*(Inputs!$B$11-Inputs!$B$11),0))))/100+(Inputs!$B$23+(IF(ArtifactsInput!$M$15,CHOOSE(ArtifactsInput!$N$15+1,25,30,35,40,45,50)/100*(Inputs!$B$11-Inputs!$B$11),0)))/100)/2</f>
        <v/>
      </c>
      <c r="M699">
        <f>L699*(1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9">
        <f>L699*(1-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699*(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9">
        <f>(1-Summary!$B$11)*S699+Summary!$B$11*U699</f>
        <v/>
      </c>
      <c r="P699">
        <f>IF(B727=0,0,O699/B727)</f>
        <v/>
      </c>
      <c r="Q699">
        <f>IFERROR(1/(IF(Inputs!$B$38="pvp",15,MAX(0.1,Skills!E13-IF(Skills!F13=TRUE,Inputs!$B$32,0)))*(1-IF(AND(ArtifactsInput!$M$27,Inputs!$B$4="Chapter Hunt"),CHOOSE(ArtifactsInput!$N$27+1,20,24,28,32,36,40),0)/100)),0)</f>
        <v/>
      </c>
      <c r="R699">
        <f>IF(AND(Inputs!$B$38&lt;&gt;"pvp",Inputs!$B$43&gt;0),IF(MAX(0,Inputs!$B$43-B724)&lt;=0,0,(INT(MAX(0,Inputs!$B$43-B724)/(IF(Inputs!$B$38="pvp",15,MAX(0.1,Skills!E13-IF(Skills!F13=TRUE,Inputs!$B$32,0)))*(1-IF(AND(ArtifactsInput!$M$27,Inputs!$B$4="Chapter Hunt"),CHOOSE(ArtifactsInput!$N$27+1,20,24,28,32,36,40),0)/100)))+1)),0)</f>
        <v/>
      </c>
      <c r="S699">
        <f>IF(C699,(H699*N699*IF(AND(Inputs!$B$38&lt;&gt;"pvp",Inputs!$B$43&gt;0),((Skills!G13*((R699-1)*IF(Skills!H13&gt;0,Skills!I13/Skills!H13,1)+IF(Skills!H13&gt;0,MIN(Skills!I13,MAX(0,MAX(0,Inputs!$B$43-B724)-((R699-1)*(IF(Inputs!$B$38="pvp",15,MAX(0.1,Skills!E13-IF(Skills!F13=TRUE,Inputs!$B$32,0)))*(1-IF(AND(ArtifactsInput!$M$27,Inputs!$B$4="Chapter Hunt"),CHOOSE(ArtifactsInput!$N$27+1,20,24,28,32,36,40),0)/100)))))/Skills!H13,1)))/Inputs!$B$43),G699*Q699)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699*(1-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699*(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699*(1-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699*(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9">
        <f>IF(C699,(H699*N699*IF(AND(Inputs!$B$38&lt;&gt;"pvp",Inputs!$B$43&gt;0),((Skills!G13*((R699-1)*IF(Skills!H13&gt;0,Skills!I13/Skills!H13,1)+IF(Skills!H13&gt;0,MIN(Skills!I13,MAX(0,MAX(0,Inputs!$B$43-B724)-((R699-1)*(IF(Inputs!$B$38="pvp",15,MAX(0.1,Skills!E13-IF(Skills!F13=TRUE,Inputs!$B$32,0)))*(1-IF(AND(ArtifactsInput!$M$27,Inputs!$B$4="Chapter Hunt"),CHOOSE(ArtifactsInput!$N$27+1,20,24,28,32,36,40),0)/100)))))/Skills!H13,1)))/Inputs!$B$43),G699*Q699)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0">
      <c r="A700">
        <f>Skills!A14</f>
        <v/>
      </c>
      <c r="B700">
        <f>Skills!B14</f>
        <v/>
      </c>
      <c r="C700">
        <f>Inputs!$B$3&gt;=113</f>
        <v/>
      </c>
      <c r="D700">
        <f>IF(Skills!C14=1,60+Inputs!$B$25+Inputs!$B$29,IF(Skills!C14=2,90+Inputs!$B$26+Inputs!$B$29,IF(Skills!C14=3,120+Inputs!$B$27+Inputs!$B$29,MAX(0,(Inputs!$B$3-100)*3)+Inputs!$B$28+Inputs!$B$29)))</f>
        <v/>
      </c>
      <c r="E700">
        <f>INDEX(FactorTable!$B$2:$Y$301, MATCH(ROUND(MIN(300,MAX(1,D700)),0), FactorTable!$A$2:$A$301,0), Skills!M14+1)</f>
        <v/>
      </c>
      <c r="F700">
        <f>IF(Skills!N14=TRUE,(Skills!L14/10)*(E700/1000),Skills!L14/10)+Skills!O14</f>
        <v/>
      </c>
      <c r="G700">
        <f>Calc!G14</f>
        <v/>
      </c>
      <c r="H700">
        <f>Calc!H14</f>
        <v/>
      </c>
      <c r="I700">
        <f>IF(Skills!X14&lt;&gt;"",1+(Skills!X14/10)*(Z689/1000)/100,1)</f>
        <v/>
      </c>
      <c r="J700">
        <f>((Inputs!$B$6*(1+Inputs!$B$7/100))+(((Inputs!$B$12*(1+Inputs!$B$13/100))-(Inputs!$B$12*(1+Inputs!$B$13/100)))+0.25*(Inputs!$B$14-Inputs!$B$14))*(1+Inputs!$B$7/100))*(F700/100)</f>
        <v/>
      </c>
      <c r="K700">
        <f>J700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700)</f>
        <v/>
      </c>
      <c r="L700">
        <f>K700*(MIN(Inputs!$B$22+(F708-Calc!F22),(Inputs!$B$23+(IF(ArtifactsInput!$M$15,CHOOSE(ArtifactsInput!$N$15+1,25,30,35,40,45,50)/100*(Inputs!$B$11-Inputs!$B$11),0))))/100+(Inputs!$B$23+(IF(ArtifactsInput!$M$15,CHOOSE(ArtifactsInput!$N$15+1,25,30,35,40,45,50)/100*(Inputs!$B$11-Inputs!$B$11),0)))/100)/2</f>
        <v/>
      </c>
      <c r="M700">
        <f>L700*(1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0">
        <f>L700*(1-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700*(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0">
        <f>(1-Summary!$B$11)*S700+Summary!$B$11*U700</f>
        <v/>
      </c>
      <c r="P700">
        <f>IF(B727=0,0,O700/B727)</f>
        <v/>
      </c>
      <c r="Q700">
        <f>IFERROR(1/(IF(Inputs!$B$38="pvp",15,MAX(0.1,Skills!E14-IF(Skills!F14=TRUE,Inputs!$B$32,0)))*(1-IF(AND(ArtifactsInput!$M$27,Inputs!$B$4="Chapter Hunt"),CHOOSE(ArtifactsInput!$N$27+1,20,24,28,32,36,40),0)/100)),0)</f>
        <v/>
      </c>
      <c r="R700" t="n">
        <v>0</v>
      </c>
      <c r="S700">
        <f>IF(C700,((H700*B723)/(1+Skills!H14*H700*B723)*N700)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700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700*(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700*(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0">
        <f>IF(C700,((H700*B723)/(1+Skills!H14*H700*B723)*N700)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1">
      <c r="A701">
        <f>Skills!A15</f>
        <v/>
      </c>
      <c r="B701">
        <f>Skills!B15</f>
        <v/>
      </c>
      <c r="C701">
        <f>Inputs!$B$3&gt;=107</f>
        <v/>
      </c>
      <c r="D701">
        <f>IF(Skills!C15=1,60+Inputs!$B$25+Inputs!$B$29,IF(Skills!C15=2,90+Inputs!$B$26+Inputs!$B$29,IF(Skills!C15=3,120+Inputs!$B$27+Inputs!$B$29,MAX(0,(Inputs!$B$3-100)*3)+Inputs!$B$28+Inputs!$B$29)))</f>
        <v/>
      </c>
      <c r="E701">
        <f>INDEX(FactorTable!$B$2:$Y$301, MATCH(ROUND(MIN(300,MAX(1,D701)),0), FactorTable!$A$2:$A$301,0), Skills!M15+1)</f>
        <v/>
      </c>
      <c r="F701">
        <f>IF(Skills!N15=TRUE,(Skills!L15/10)*(E701/1000),Skills!L15/10)+Skills!O15</f>
        <v/>
      </c>
      <c r="G701">
        <f>Calc!G15</f>
        <v/>
      </c>
      <c r="H701">
        <f>Calc!H15</f>
        <v/>
      </c>
      <c r="I701">
        <f>IF(Skills!X15&lt;&gt;"",1+(Skills!X15/10)*(Z689/1000)/100,1)</f>
        <v/>
      </c>
      <c r="J701">
        <f>((Inputs!$B$6*(1+Inputs!$B$7/100))+(((Inputs!$B$12*(1+Inputs!$B$13/100))-(Inputs!$B$12*(1+Inputs!$B$13/100)))+0.25*(Inputs!$B$14-Inputs!$B$14))*(1+Inputs!$B$7/100))*(F701/100)</f>
        <v/>
      </c>
      <c r="K701">
        <f>J701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701)</f>
        <v/>
      </c>
      <c r="L701">
        <f>K701*(MIN(Inputs!$B$22+(F708-Calc!F22),(Inputs!$B$23+(IF(ArtifactsInput!$M$15,CHOOSE(ArtifactsInput!$N$15+1,25,30,35,40,45,50)/100*(Inputs!$B$11-Inputs!$B$11),0))))/100+(Inputs!$B$23+(IF(ArtifactsInput!$M$15,CHOOSE(ArtifactsInput!$N$15+1,25,30,35,40,45,50)/100*(Inputs!$B$11-Inputs!$B$11),0)))/100)/2</f>
        <v/>
      </c>
      <c r="M701">
        <f>L701*(1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1">
        <f>L701*(1-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1">
        <f>(1-Summary!$B$11)*S701+Summary!$B$11*U701</f>
        <v/>
      </c>
      <c r="P701">
        <f>IF(B727=0,0,O701/B727)</f>
        <v/>
      </c>
      <c r="Q701">
        <f>IFERROR(1/(IF(Inputs!$B$38="pvp",15,MAX(0.1,Skills!E15-IF(Skills!F15=TRUE,Inputs!$B$32,0)))*(1-IF(AND(ArtifactsInput!$M$27,Inputs!$B$4="Chapter Hunt"),CHOOSE(ArtifactsInput!$N$27+1,20,24,28,32,36,40),0)/100)),0)</f>
        <v/>
      </c>
      <c r="R701">
        <f>IF(AND(Inputs!$B$38&lt;&gt;"pvp",Inputs!$B$43&gt;0),IF(MAX(0,Inputs!$B$43-B724)&lt;=0,0,(INT(MAX(0,Inputs!$B$43-B724)/(IF(Inputs!$B$38="pvp",15,MAX(0.1,Skills!E15-IF(Skills!F15=TRUE,Inputs!$B$32,0)))*(1-IF(AND(ArtifactsInput!$M$27,Inputs!$B$4="Chapter Hunt"),CHOOSE(ArtifactsInput!$N$27+1,20,24,28,32,36,40),0)/100)))+1)),0)</f>
        <v/>
      </c>
      <c r="S701">
        <f>IF(C701,(H701*N701*IF(AND(Inputs!$B$38&lt;&gt;"pvp",Inputs!$B$43&gt;0),((Skills!G15*((R701-1)*IF(Skills!H15&gt;0,Skills!I15/Skills!H15,1)+IF(Skills!H15&gt;0,MIN(Skills!I15,MAX(0,MAX(0,Inputs!$B$43-B724)-((R701-1)*(IF(Inputs!$B$38="pvp",15,MAX(0.1,Skills!E15-IF(Skills!F15=TRUE,Inputs!$B$32,0)))*(1-IF(AND(ArtifactsInput!$M$27,Inputs!$B$4="Chapter Hunt"),CHOOSE(ArtifactsInput!$N$27+1,20,24,28,32,36,40),0)/100)))))/Skills!H15,1)))/Inputs!$B$43),G701*Q701)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701*(1-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701*(1-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1">
        <f>IF(C701,(H701*N701*IF(AND(Inputs!$B$38&lt;&gt;"pvp",Inputs!$B$43&gt;0),((Skills!G15*((R701-1)*IF(Skills!H15&gt;0,Skills!I15/Skills!H15,1)+IF(Skills!H15&gt;0,MIN(Skills!I15,MAX(0,MAX(0,Inputs!$B$43-B724)-((R701-1)*(IF(Inputs!$B$38="pvp",15,MAX(0.1,Skills!E15-IF(Skills!F15=TRUE,Inputs!$B$32,0)))*(1-IF(AND(ArtifactsInput!$M$27,Inputs!$B$4="Chapter Hunt"),CHOOSE(ArtifactsInput!$N$27+1,20,24,28,32,36,40),0)/100)))))/Skills!H15,1)))/Inputs!$B$43),G701*Q701)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2">
      <c r="A702">
        <f>Skills!A16</f>
        <v/>
      </c>
      <c r="B702">
        <f>Skills!B16</f>
        <v/>
      </c>
      <c r="C702">
        <f>Inputs!$B$3&gt;=107</f>
        <v/>
      </c>
      <c r="D702">
        <f>IF(Skills!C16=1,60+Inputs!$B$25+Inputs!$B$29,IF(Skills!C16=2,90+Inputs!$B$26+Inputs!$B$29,IF(Skills!C16=3,120+Inputs!$B$27+Inputs!$B$29,MAX(0,(Inputs!$B$3-100)*3)+Inputs!$B$28+Inputs!$B$29)))</f>
        <v/>
      </c>
      <c r="E702">
        <f>INDEX(FactorTable!$B$2:$Y$301, MATCH(ROUND(MIN(300,MAX(1,D702)),0), FactorTable!$A$2:$A$301,0), Skills!M16+1)</f>
        <v/>
      </c>
      <c r="F702">
        <f>IF(Skills!N16=TRUE,(Skills!L16/10)*(E702/1000),Skills!L16/10)+Skills!O16</f>
        <v/>
      </c>
      <c r="G702">
        <f>Calc!G16</f>
        <v/>
      </c>
      <c r="H702">
        <f>Calc!H16</f>
        <v/>
      </c>
      <c r="I702">
        <f>IF(Skills!X16&lt;&gt;"",1+(Skills!X16/10)*(Z689/1000)/100,1)</f>
        <v/>
      </c>
      <c r="J702">
        <f>((Inputs!$B$6*(1+Inputs!$B$7/100))+(((Inputs!$B$12*(1+Inputs!$B$13/100))-(Inputs!$B$12*(1+Inputs!$B$13/100)))+0.25*(Inputs!$B$14-Inputs!$B$14))*(1+Inputs!$B$7/100))*(F702/100)</f>
        <v/>
      </c>
      <c r="K702">
        <f>J702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702)</f>
        <v/>
      </c>
      <c r="L702">
        <f>K702*(MIN(Inputs!$B$22+(F708-Calc!F22),(Inputs!$B$23+(IF(ArtifactsInput!$M$15,CHOOSE(ArtifactsInput!$N$15+1,25,30,35,40,45,50)/100*(Inputs!$B$11-Inputs!$B$11),0))))/100+(Inputs!$B$23+(IF(ArtifactsInput!$M$15,CHOOSE(ArtifactsInput!$N$15+1,25,30,35,40,45,50)/100*(Inputs!$B$11-Inputs!$B$11),0)))/100)/2</f>
        <v/>
      </c>
      <c r="M702">
        <f>L702*(1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2">
        <f>L702*(1-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702*(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2">
        <f>(1-Summary!$B$11)*S702+Summary!$B$11*U702</f>
        <v/>
      </c>
      <c r="P702">
        <f>IF(B727=0,0,O702/B727)</f>
        <v/>
      </c>
      <c r="Q702">
        <f>IFERROR(1/(IF(Inputs!$B$38="pvp",15,MAX(0.1,Skills!E16-IF(Skills!F16=TRUE,Inputs!$B$32,0)))*(1-IF(AND(ArtifactsInput!$M$27,Inputs!$B$4="Chapter Hunt"),CHOOSE(ArtifactsInput!$N$27+1,20,24,28,32,36,40),0)/100)),0)</f>
        <v/>
      </c>
      <c r="R702">
        <f>IF(AND(Inputs!$B$38&lt;&gt;"pvp",Inputs!$B$43&gt;0),IF(MAX(0,Inputs!$B$43-B724)&lt;=0,0,(INT(MAX(0,Inputs!$B$43-B724)/(IF(Inputs!$B$38="pvp",15,MAX(0.1,Skills!E16-IF(Skills!F16=TRUE,Inputs!$B$32,0)))*(1-IF(AND(ArtifactsInput!$M$27,Inputs!$B$4="Chapter Hunt"),CHOOSE(ArtifactsInput!$N$27+1,20,24,28,32,36,40),0)/100)))+1)),0)</f>
        <v/>
      </c>
      <c r="S702">
        <f>IF(C702,(H702*N702*IF(AND(Inputs!$B$38&lt;&gt;"pvp",Inputs!$B$43&gt;0),((Skills!G16*((R702-1)*IF(Skills!H16&gt;0,Skills!I16/Skills!H16,1)+IF(Skills!H16&gt;0,MIN(Skills!I16,MAX(0,MAX(0,Inputs!$B$43-B724)-((R702-1)*(IF(Inputs!$B$38="pvp",15,MAX(0.1,Skills!E16-IF(Skills!F16=TRUE,Inputs!$B$32,0)))*(1-IF(AND(ArtifactsInput!$M$27,Inputs!$B$4="Chapter Hunt"),CHOOSE(ArtifactsInput!$N$27+1,20,24,28,32,36,40),0)/100)))))/Skills!H16,1)))/Inputs!$B$43),G702*Q702)*(1+IF(Inputs!$B$3&gt;=126,0.05*(B722+Q699+(H700*B723)/(1+Skills!H14*H700*B723)+Q710)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702*(1-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702*(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702*(1-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702*(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2">
        <f>IF(C702,(H702*N702*IF(AND(Inputs!$B$38&lt;&gt;"pvp",Inputs!$B$43&gt;0),((Skills!G16*((R702-1)*IF(Skills!H16&gt;0,Skills!I16/Skills!H16,1)+IF(Skills!H16&gt;0,MIN(Skills!I16,MAX(0,MAX(0,Inputs!$B$43-B724)-((R702-1)*(IF(Inputs!$B$38="pvp",15,MAX(0.1,Skills!E16-IF(Skills!F16=TRUE,Inputs!$B$32,0)))*(1-IF(AND(ArtifactsInput!$M$27,Inputs!$B$4="Chapter Hunt"),CHOOSE(ArtifactsInput!$N$27+1,20,24,28,32,36,40),0)/100)))))/Skills!H16,1)))/Inputs!$B$43),G702*Q702)*(1+IF(Inputs!$B$3&gt;=126,0.05*(B722+Q699+(H700*B723)/(1+Skills!H14*H700*B723)+Q710)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3">
      <c r="A703">
        <f>Skills!A17</f>
        <v/>
      </c>
      <c r="B703">
        <f>Skills!B17</f>
        <v/>
      </c>
      <c r="C703">
        <f>TRUE</f>
        <v/>
      </c>
      <c r="D703">
        <f>IF(Skills!C17=1,60+Inputs!$B$25+Inputs!$B$29,IF(Skills!C17=2,90+Inputs!$B$26+Inputs!$B$29,IF(Skills!C17=3,120+Inputs!$B$27+Inputs!$B$29,MAX(0,(Inputs!$B$3-100)*3)+Inputs!$B$28+Inputs!$B$29)))</f>
        <v/>
      </c>
      <c r="E703">
        <f>INDEX(FactorTable!$B$2:$Y$301, MATCH(ROUND(MIN(300,MAX(1,D703)),0), FactorTable!$A$2:$A$301,0), Skills!M17+1)</f>
        <v/>
      </c>
      <c r="F703">
        <f>IF(Skills!N17=TRUE,(Skills!L17/10)*(E703/1000),Skills!L17/10)+Skills!O17</f>
        <v/>
      </c>
      <c r="G703">
        <f>Calc!G17</f>
        <v/>
      </c>
      <c r="H703">
        <f>Calc!H17</f>
        <v/>
      </c>
      <c r="I703">
        <f>IF(Skills!X17&lt;&gt;"",1+(Skills!X17/10)*(Z689/1000)/100,1)</f>
        <v/>
      </c>
      <c r="J703" t="inlineStr"/>
      <c r="K703" t="inlineStr"/>
      <c r="L703" t="inlineStr"/>
      <c r="M703" t="inlineStr"/>
      <c r="N703" t="inlineStr"/>
      <c r="O703">
        <f>(1-Summary!$B$11)*S703+Summary!$B$11*U703</f>
        <v/>
      </c>
      <c r="P703">
        <f>IF(B727=0,0,O703/B727)</f>
        <v/>
      </c>
      <c r="Q703">
        <f>IFERROR(1/(IF(Inputs!$B$38="pvp",15,MAX(0.1,Skills!E17-IF(Skills!F17=TRUE,Inputs!$B$32,0)))*(1-IF(AND(ArtifactsInput!$M$27,Inputs!$B$4="Chapter Hunt"),CHOOSE(ArtifactsInput!$N$27+1,20,24,28,32,36,40),0)/100)),0)</f>
        <v/>
      </c>
      <c r="R703">
        <f>IF(AND(Inputs!$B$38&lt;&gt;"pvp",Inputs!$B$43&gt;0),IF(Inputs!$B$43&lt;=0,0,(INT(Inputs!$B$43/(IF(Inputs!$B$38="pvp",15,MAX(0.1,Skills!E17-IF(Skills!F17=TRUE,Inputs!$B$32,0)))*(1-IF(AND(ArtifactsInput!$M$27,Inputs!$B$4="Chapter Hunt"),CHOOSE(ArtifactsInput!$N$27+1,20,24,28,32,36,40),0)/100)))+1)),0)</f>
        <v/>
      </c>
      <c r="S703" t="n">
        <v>0</v>
      </c>
      <c r="U703" t="n">
        <v>0</v>
      </c>
    </row>
    <row r="704">
      <c r="A704">
        <f>Skills!A18</f>
        <v/>
      </c>
      <c r="B704">
        <f>Skills!B18</f>
        <v/>
      </c>
      <c r="C704">
        <f>TRUE</f>
        <v/>
      </c>
      <c r="D704">
        <f>IF(Skills!C18=1,60+Inputs!$B$25+Inputs!$B$29,IF(Skills!C18=2,90+Inputs!$B$26+Inputs!$B$29,IF(Skills!C18=3,120+Inputs!$B$27+Inputs!$B$29,MAX(0,(Inputs!$B$3-100)*3)+Inputs!$B$28+Inputs!$B$29)))</f>
        <v/>
      </c>
      <c r="E704">
        <f>INDEX(FactorTable!$B$2:$Y$301, MATCH(ROUND(MIN(300,MAX(1,D704)),0), FactorTable!$A$2:$A$301,0), Skills!M18+1)</f>
        <v/>
      </c>
      <c r="F704">
        <f>IF(Skills!N18=TRUE,(Skills!L18/10)*(E704/1000),Skills!L18/10)+Skills!O18</f>
        <v/>
      </c>
      <c r="G704">
        <f>Calc!G18</f>
        <v/>
      </c>
      <c r="H704">
        <f>Calc!H18</f>
        <v/>
      </c>
      <c r="I704">
        <f>IF(Skills!X18&lt;&gt;"",1+(Skills!X18/10)*(Z689/1000)/100,1)</f>
        <v/>
      </c>
      <c r="J704" t="inlineStr"/>
      <c r="K704" t="inlineStr"/>
      <c r="L704" t="inlineStr"/>
      <c r="M704" t="inlineStr"/>
      <c r="N704" t="inlineStr"/>
      <c r="O704">
        <f>(1-Summary!$B$11)*S704+Summary!$B$11*U704</f>
        <v/>
      </c>
      <c r="P704">
        <f>IF(B727=0,0,O704/B727)</f>
        <v/>
      </c>
      <c r="Q704">
        <f>IFERROR(1/(IF(Inputs!$B$38="pvp",15,MAX(0.1,Skills!E18-IF(Skills!F18=TRUE,Inputs!$B$32,0)))*(1-IF(AND(ArtifactsInput!$M$27,Inputs!$B$4="Chapter Hunt"),CHOOSE(ArtifactsInput!$N$27+1,20,24,28,32,36,40),0)/100)),0)</f>
        <v/>
      </c>
      <c r="R704">
        <f>IF(AND(Inputs!$B$38&lt;&gt;"pvp",Inputs!$B$43&gt;0),IF(Inputs!$B$43&lt;=0,0,(INT(Inputs!$B$43/(IF(Inputs!$B$38="pvp",15,MAX(0.1,Skills!E18-IF(Skills!F18=TRUE,Inputs!$B$32,0)))*(1-IF(AND(ArtifactsInput!$M$27,Inputs!$B$4="Chapter Hunt"),CHOOSE(ArtifactsInput!$N$27+1,20,24,28,32,36,40),0)/100)))+1)),0)</f>
        <v/>
      </c>
      <c r="S704" t="n">
        <v>0</v>
      </c>
      <c r="U704" t="n">
        <v>0</v>
      </c>
    </row>
    <row r="705">
      <c r="A705">
        <f>Skills!A19</f>
        <v/>
      </c>
      <c r="B705">
        <f>Skills!B19</f>
        <v/>
      </c>
      <c r="C705">
        <f>Inputs!$B$3&gt;=110</f>
        <v/>
      </c>
      <c r="D705">
        <f>IF(Skills!C19=1,60+Inputs!$B$25+Inputs!$B$29,IF(Skills!C19=2,90+Inputs!$B$26+Inputs!$B$29,IF(Skills!C19=3,120+Inputs!$B$27+Inputs!$B$29,MAX(0,(Inputs!$B$3-100)*3)+Inputs!$B$28+Inputs!$B$29)))</f>
        <v/>
      </c>
      <c r="E705">
        <f>INDEX(FactorTable!$B$2:$Y$301, MATCH(ROUND(MIN(300,MAX(1,D705)),0), FactorTable!$A$2:$A$301,0), Skills!M19+1)</f>
        <v/>
      </c>
      <c r="F705">
        <f>IF(Skills!N19=TRUE,(Skills!L19/10)*(E705/1000),Skills!L19/10)+Skills!O19</f>
        <v/>
      </c>
      <c r="G705">
        <f>Calc!G19</f>
        <v/>
      </c>
      <c r="H705">
        <f>Calc!H19</f>
        <v/>
      </c>
      <c r="I705">
        <f>IF(Skills!X19&lt;&gt;"",1+(Skills!X19/10)*(Z689/1000)/100,1)</f>
        <v/>
      </c>
      <c r="J705" t="inlineStr"/>
      <c r="K705" t="inlineStr"/>
      <c r="L705" t="inlineStr"/>
      <c r="M705" t="inlineStr"/>
      <c r="N705" t="inlineStr"/>
      <c r="O705">
        <f>(1-Summary!$B$11)*S705+Summary!$B$11*U705</f>
        <v/>
      </c>
      <c r="P705">
        <f>IF(B727=0,0,O705/B727)</f>
        <v/>
      </c>
      <c r="Q705">
        <f>IFERROR(1/(IF(Inputs!$B$38="pvp",15,MAX(0.1,Skills!E19-IF(Skills!F19=TRUE,Inputs!$B$32,0)))*(1-IF(AND(ArtifactsInput!$M$27,Inputs!$B$4="Chapter Hunt"),CHOOSE(ArtifactsInput!$N$27+1,20,24,28,32,36,40),0)/100)),0)</f>
        <v/>
      </c>
      <c r="R705">
        <f>IF(AND(Inputs!$B$38&lt;&gt;"pvp",Inputs!$B$43&gt;0),IF(Inputs!$B$43&lt;=0,0,(INT(Inputs!$B$43/(IF(Inputs!$B$38="pvp",15,MAX(0.1,Skills!E19-IF(Skills!F19=TRUE,Inputs!$B$32,0)))*(1-IF(AND(ArtifactsInput!$M$27,Inputs!$B$4="Chapter Hunt"),CHOOSE(ArtifactsInput!$N$27+1,20,24,28,32,36,40),0)/100)))+1)),0)</f>
        <v/>
      </c>
      <c r="S705" t="n">
        <v>0</v>
      </c>
      <c r="U705" t="n">
        <v>0</v>
      </c>
    </row>
    <row r="706">
      <c r="A706">
        <f>Skills!A20</f>
        <v/>
      </c>
      <c r="B706">
        <f>Skills!B20</f>
        <v/>
      </c>
      <c r="C706">
        <f>TRUE</f>
        <v/>
      </c>
      <c r="D706">
        <f>IF(Skills!C20=1,60+Inputs!$B$25+Inputs!$B$29,IF(Skills!C20=2,90+Inputs!$B$26+Inputs!$B$29,IF(Skills!C20=3,120+Inputs!$B$27+Inputs!$B$29,MAX(0,(Inputs!$B$3-100)*3)+Inputs!$B$28+Inputs!$B$29)))</f>
        <v/>
      </c>
      <c r="E706">
        <f>INDEX(FactorTable!$B$2:$Y$301, MATCH(ROUND(MIN(300,MAX(1,D706)),0), FactorTable!$A$2:$A$301,0), Skills!M20+1)</f>
        <v/>
      </c>
      <c r="F706">
        <f>IF(Skills!N20=TRUE,(Skills!L20/10)*(E706/1000),Skills!L20/10)+Skills!O20</f>
        <v/>
      </c>
      <c r="G706">
        <f>Calc!G20</f>
        <v/>
      </c>
      <c r="H706">
        <f>Calc!H20</f>
        <v/>
      </c>
      <c r="I706">
        <f>IF(Skills!X20&lt;&gt;"",1+(Skills!X20/10)*(Z689/1000)/100,1)</f>
        <v/>
      </c>
      <c r="J706" t="inlineStr"/>
      <c r="K706" t="inlineStr"/>
      <c r="L706" t="inlineStr"/>
      <c r="M706" t="inlineStr"/>
      <c r="N706" t="inlineStr"/>
      <c r="O706">
        <f>(1-Summary!$B$11)*S706+Summary!$B$11*U706</f>
        <v/>
      </c>
      <c r="P706">
        <f>IF(B727=0,0,O706/B727)</f>
        <v/>
      </c>
      <c r="Q706">
        <f>IFERROR(1/(IF(Inputs!$B$38="pvp",15,MAX(0.1,Skills!E20-IF(Skills!F20=TRUE,Inputs!$B$32,0)))*(1-IF(AND(ArtifactsInput!$M$27,Inputs!$B$4="Chapter Hunt"),CHOOSE(ArtifactsInput!$N$27+1,20,24,28,32,36,40),0)/100)),0)</f>
        <v/>
      </c>
      <c r="R706" t="n">
        <v>0</v>
      </c>
      <c r="S706" t="n">
        <v>0</v>
      </c>
      <c r="U706" t="n">
        <v>0</v>
      </c>
    </row>
    <row r="707">
      <c r="A707">
        <f>Skills!A21</f>
        <v/>
      </c>
      <c r="B707">
        <f>Skills!B21</f>
        <v/>
      </c>
      <c r="C707">
        <f>TRUE</f>
        <v/>
      </c>
      <c r="D707">
        <f>IF(Skills!C21=1,60+Inputs!$B$25+Inputs!$B$29,IF(Skills!C21=2,90+Inputs!$B$26+Inputs!$B$29,IF(Skills!C21=3,120+Inputs!$B$27+Inputs!$B$29,MAX(0,(Inputs!$B$3-100)*3)+Inputs!$B$28+Inputs!$B$29)))</f>
        <v/>
      </c>
      <c r="E707">
        <f>INDEX(FactorTable!$B$2:$Y$301, MATCH(ROUND(MIN(300,MAX(1,D707)),0), FactorTable!$A$2:$A$301,0), Skills!M21+1)</f>
        <v/>
      </c>
      <c r="F707">
        <f>IF(Skills!N21=TRUE,(Skills!L21/10)*(E707/1000),Skills!L21/10)+Skills!O21</f>
        <v/>
      </c>
      <c r="G707">
        <f>Calc!G21</f>
        <v/>
      </c>
      <c r="H707">
        <f>Calc!H21</f>
        <v/>
      </c>
      <c r="I707">
        <f>IF(Skills!X21&lt;&gt;"",1+(Skills!X21/10)*(Z689/1000)/100,1)</f>
        <v/>
      </c>
      <c r="J707" t="inlineStr"/>
      <c r="K707" t="inlineStr"/>
      <c r="L707" t="inlineStr"/>
      <c r="M707" t="inlineStr"/>
      <c r="N707" t="inlineStr"/>
      <c r="O707">
        <f>(1-Summary!$B$11)*S707+Summary!$B$11*U707</f>
        <v/>
      </c>
      <c r="P707">
        <f>IF(B727=0,0,O707/B727)</f>
        <v/>
      </c>
      <c r="Q707">
        <f>IFERROR(1/(IF(Inputs!$B$38="pvp",15,MAX(0.1,Skills!E21-IF(Skills!F21=TRUE,Inputs!$B$32,0)))*(1-IF(AND(ArtifactsInput!$M$27,Inputs!$B$4="Chapter Hunt"),CHOOSE(ArtifactsInput!$N$27+1,20,24,28,32,36,40),0)/100)),0)</f>
        <v/>
      </c>
      <c r="R707" t="n">
        <v>0</v>
      </c>
      <c r="S707" t="n">
        <v>0</v>
      </c>
      <c r="U707" t="n">
        <v>0</v>
      </c>
    </row>
    <row r="708">
      <c r="A708">
        <f>Skills!A22</f>
        <v/>
      </c>
      <c r="B708">
        <f>Skills!B22</f>
        <v/>
      </c>
      <c r="C708">
        <f>TRUE</f>
        <v/>
      </c>
      <c r="D708">
        <f>IF(Skills!C22=1,60+Inputs!$B$25+Inputs!$B$29,IF(Skills!C22=2,90+Inputs!$B$26+Inputs!$B$29,IF(Skills!C22=3,120+Inputs!$B$27+Inputs!$B$29,MAX(0,(Inputs!$B$3-100)*3)+Inputs!$B$28+Inputs!$B$29)))</f>
        <v/>
      </c>
      <c r="E708">
        <f>INDEX(FactorTable!$B$2:$Y$301, MATCH(ROUND(MIN(300,MAX(1,D708)),0), FactorTable!$A$2:$A$301,0), Skills!M22+1)</f>
        <v/>
      </c>
      <c r="F708">
        <f>IF(Skills!N22=TRUE,(Skills!L22/10)*(E708/1000),Skills!L22/10)+Skills!O22</f>
        <v/>
      </c>
      <c r="G708">
        <f>Calc!G22</f>
        <v/>
      </c>
      <c r="H708">
        <f>Calc!H22</f>
        <v/>
      </c>
      <c r="I708">
        <f>IF(Skills!X22&lt;&gt;"",1+(Skills!X22/10)*(Z689/1000)/100,1)</f>
        <v/>
      </c>
      <c r="J708" t="inlineStr"/>
      <c r="K708" t="inlineStr"/>
      <c r="L708" t="inlineStr"/>
      <c r="M708" t="inlineStr"/>
      <c r="N708" t="inlineStr"/>
      <c r="O708">
        <f>(1-Summary!$B$11)*S708+Summary!$B$11*U708</f>
        <v/>
      </c>
      <c r="P708">
        <f>IF(B727=0,0,O708/B727)</f>
        <v/>
      </c>
      <c r="Q708">
        <f>IFERROR(1/(IF(Inputs!$B$38="pvp",15,MAX(0.1,Skills!E22-IF(Skills!F22=TRUE,Inputs!$B$32,0)))*(1-IF(AND(ArtifactsInput!$M$27,Inputs!$B$4="Chapter Hunt"),CHOOSE(ArtifactsInput!$N$27+1,20,24,28,32,36,40),0)/100)),0)</f>
        <v/>
      </c>
      <c r="R708" t="n">
        <v>0</v>
      </c>
      <c r="S708" t="n">
        <v>0</v>
      </c>
      <c r="U708" t="n">
        <v>0</v>
      </c>
    </row>
    <row r="709">
      <c r="A709">
        <f>Skills!A23</f>
        <v/>
      </c>
      <c r="B709">
        <f>Skills!B23</f>
        <v/>
      </c>
      <c r="C709">
        <f>TRUE</f>
        <v/>
      </c>
      <c r="D709">
        <f>IF(Skills!C23=1,60+Inputs!$B$25+Inputs!$B$29,IF(Skills!C23=2,90+Inputs!$B$26+Inputs!$B$29,IF(Skills!C23=3,120+Inputs!$B$27+Inputs!$B$29,MAX(0,(Inputs!$B$3-100)*3)+Inputs!$B$28+Inputs!$B$29)))</f>
        <v/>
      </c>
      <c r="E709">
        <f>INDEX(FactorTable!$B$2:$Y$301, MATCH(ROUND(MIN(300,MAX(1,D709)),0), FactorTable!$A$2:$A$301,0), Skills!M23+1)</f>
        <v/>
      </c>
      <c r="F709">
        <f>IF(Skills!N23=TRUE,(Skills!L23/10)*(E709/1000),Skills!L23/10)+Skills!O23</f>
        <v/>
      </c>
      <c r="G709">
        <f>Calc!G23</f>
        <v/>
      </c>
      <c r="H709">
        <f>Calc!H23</f>
        <v/>
      </c>
      <c r="I709">
        <f>IF(Skills!X23&lt;&gt;"",1+(Skills!X23/10)*(Z689/1000)/100,1)</f>
        <v/>
      </c>
      <c r="J709" t="inlineStr"/>
      <c r="K709" t="inlineStr"/>
      <c r="L709" t="inlineStr"/>
      <c r="M709" t="inlineStr"/>
      <c r="N709" t="inlineStr"/>
      <c r="O709">
        <f>(1-Summary!$B$11)*S709+Summary!$B$11*U709</f>
        <v/>
      </c>
      <c r="P709">
        <f>IF(B727=0,0,O709/B727)</f>
        <v/>
      </c>
      <c r="Q709">
        <f>IFERROR(1/(IF(Inputs!$B$38="pvp",15,MAX(0.1,Skills!E23-IF(Skills!F23=TRUE,Inputs!$B$32,0)))*(1-IF(AND(ArtifactsInput!$M$27,Inputs!$B$4="Chapter Hunt"),CHOOSE(ArtifactsInput!$N$27+1,20,24,28,32,36,40),0)/100)),0)</f>
        <v/>
      </c>
      <c r="R709" t="n">
        <v>0</v>
      </c>
      <c r="S709" t="n">
        <v>0</v>
      </c>
      <c r="U709" t="n">
        <v>0</v>
      </c>
    </row>
    <row r="710">
      <c r="A710">
        <f>Skills!A24</f>
        <v/>
      </c>
      <c r="B710">
        <f>Skills!B24</f>
        <v/>
      </c>
      <c r="C710">
        <f>Inputs!$B$3&gt;=115</f>
        <v/>
      </c>
      <c r="D710">
        <f>IF(Skills!C24=1,60+Inputs!$B$25+Inputs!$B$29,IF(Skills!C24=2,90+Inputs!$B$26+Inputs!$B$29,IF(Skills!C24=3,120+Inputs!$B$27+Inputs!$B$29,MAX(0,(Inputs!$B$3-100)*3)+Inputs!$B$28+Inputs!$B$29)))</f>
        <v/>
      </c>
      <c r="E710">
        <f>INDEX(FactorTable!$B$2:$Y$301, MATCH(ROUND(MIN(300,MAX(1,D710)),0), FactorTable!$A$2:$A$301,0), Skills!M24+1)</f>
        <v/>
      </c>
      <c r="F710">
        <f>IF(Skills!N24=TRUE,(Skills!L24/10)*(E710/1000),Skills!L24/10)+Skills!O24</f>
        <v/>
      </c>
      <c r="G710">
        <f>Calc!G24</f>
        <v/>
      </c>
      <c r="H710">
        <f>Calc!H24</f>
        <v/>
      </c>
      <c r="I710">
        <f>IF(Skills!X24&lt;&gt;"",1+(Skills!X24/10)*(Z689/1000)/100,1)</f>
        <v/>
      </c>
      <c r="J710">
        <f>((Inputs!$B$6*(1+Inputs!$B$7/100))+(((Inputs!$B$12*(1+Inputs!$B$13/100))-(Inputs!$B$12*(1+Inputs!$B$13/100)))+0.25*(Inputs!$B$14-Inputs!$B$14))*(1+Inputs!$B$7/100))*(F710/100)</f>
        <v/>
      </c>
      <c r="K710">
        <f>J710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710)</f>
        <v/>
      </c>
      <c r="L710">
        <f>K710*(MIN(Inputs!$B$22+(F708-Calc!F22),(Inputs!$B$23+(IF(ArtifactsInput!$M$15,CHOOSE(ArtifactsInput!$N$15+1,25,30,35,40,45,50)/100*(Inputs!$B$11-Inputs!$B$11),0))))/100+(Inputs!$B$23+(IF(ArtifactsInput!$M$15,CHOOSE(ArtifactsInput!$N$15+1,25,30,35,40,45,50)/100*(Inputs!$B$11-Inputs!$B$11),0)))/100)/2</f>
        <v/>
      </c>
      <c r="M710">
        <f>L710*(1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0">
        <f>L710*(1-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710*(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0">
        <f>(1-Summary!$B$11)*S710+Summary!$B$11*U710</f>
        <v/>
      </c>
      <c r="P710">
        <f>IF(B727=0,0,O710/B727)</f>
        <v/>
      </c>
      <c r="Q710">
        <f>IFERROR(1/(IF(Inputs!$B$38="pvp",15,MAX(0.1,Skills!E24-IF(Skills!F24=TRUE,Inputs!$B$32,0)))*(1-IF(AND(ArtifactsInput!$M$27,Inputs!$B$4="Chapter Hunt"),CHOOSE(ArtifactsInput!$N$27+1,20,24,28,32,36,40),0)/100)),0)</f>
        <v/>
      </c>
      <c r="R710">
        <f>IF(AND(Inputs!$B$38&lt;&gt;"pvp",Inputs!$B$43&gt;0),IF(MAX(0,Inputs!$B$43-B724)&lt;=0,0,(INT(MAX(0,Inputs!$B$43-B724)/(IF(Inputs!$B$38="pvp",15,MAX(0.1,Skills!E24-IF(Skills!F24=TRUE,Inputs!$B$32,0)))*(1-IF(AND(ArtifactsInput!$M$27,Inputs!$B$4="Chapter Hunt"),CHOOSE(ArtifactsInput!$N$27+1,20,24,28,32,36,40),0)/100)))+1)),0)</f>
        <v/>
      </c>
      <c r="S710">
        <f>IF(C710,(H710*N710*IF(AND(Inputs!$B$38&lt;&gt;"pvp",Inputs!$B$43&gt;0),((Skills!G24*((R710-1)*IF(Skills!H24&gt;0,Skills!I24/Skills!H24,1)+IF(Skills!H24&gt;0,MIN(Skills!I24,MAX(0,MAX(0,Inputs!$B$43-B724)-((R710-1)*(IF(Inputs!$B$38="pvp",15,MAX(0.1,Skills!E24-IF(Skills!F24=TRUE,Inputs!$B$32,0)))*(1-IF(AND(ArtifactsInput!$M$27,Inputs!$B$4="Chapter Hunt"),CHOOSE(ArtifactsInput!$N$27+1,20,24,28,32,36,40),0)/100)))))/Skills!H24,1)))/Inputs!$B$43),G710*Q710)*(1+IF(Inputs!$B$3&gt;=130,0.2*(Skills!I16/Skills!E15+IF(Inputs!$B$3&gt;=126,0.05*(B722+Q699+(H700*B723)/(1+Skills!H14*H700*B723)+Q710)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710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710*(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710*(1-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710*(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10">
        <f>IF(C710,(H710*N710*IF(AND(Inputs!$B$38&lt;&gt;"pvp",Inputs!$B$43&gt;0),((Skills!G24*((R710-1)*IF(Skills!H24&gt;0,Skills!I24/Skills!H24,1)+IF(Skills!H24&gt;0,MIN(Skills!I24,MAX(0,MAX(0,Inputs!$B$43-B724)-((R710-1)*(IF(Inputs!$B$38="pvp",15,MAX(0.1,Skills!E24-IF(Skills!F24=TRUE,Inputs!$B$32,0)))*(1-IF(AND(ArtifactsInput!$M$27,Inputs!$B$4="Chapter Hunt"),CHOOSE(ArtifactsInput!$N$27+1,20,24,28,32,36,40),0)/100)))))/Skills!H24,1)))/Inputs!$B$43),G710*Q710)*(1+IF(Inputs!$B$3&gt;=130,0.2*(Skills!I16/Skills!E15+IF(Inputs!$B$3&gt;=126,0.05*(B722+Q699+(H700*B723)/(1+Skills!H14*H700*B723)+Q710)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1">
      <c r="A711">
        <f>Skills!A25</f>
        <v/>
      </c>
      <c r="B711">
        <f>Skills!B25</f>
        <v/>
      </c>
      <c r="C711">
        <f>Inputs!$B$3&gt;=117</f>
        <v/>
      </c>
      <c r="D711">
        <f>IF(Skills!C25=1,60+Inputs!$B$25+Inputs!$B$29,IF(Skills!C25=2,90+Inputs!$B$26+Inputs!$B$29,IF(Skills!C25=3,120+Inputs!$B$27+Inputs!$B$29,MAX(0,(Inputs!$B$3-100)*3)+Inputs!$B$28+Inputs!$B$29)))</f>
        <v/>
      </c>
      <c r="E711">
        <f>INDEX(FactorTable!$B$2:$Y$301, MATCH(ROUND(MIN(300,MAX(1,D711)),0), FactorTable!$A$2:$A$301,0), Skills!M25+1)</f>
        <v/>
      </c>
      <c r="F711">
        <f>IF(Skills!N25=TRUE,(Skills!L25/10)*(E711/1000),Skills!L25/10)+Skills!O25</f>
        <v/>
      </c>
      <c r="G711">
        <f>Calc!G25</f>
        <v/>
      </c>
      <c r="H711">
        <f>Calc!H25</f>
        <v/>
      </c>
      <c r="I711">
        <f>IF(Skills!X25&lt;&gt;"",1+(Skills!X25/10)*(Z689/1000)/100,1)</f>
        <v/>
      </c>
      <c r="J711" t="inlineStr"/>
      <c r="K711" t="inlineStr"/>
      <c r="L711" t="inlineStr"/>
      <c r="M711" t="inlineStr"/>
      <c r="N711" t="inlineStr"/>
      <c r="O711">
        <f>(1-Summary!$B$11)*S711+Summary!$B$11*U711</f>
        <v/>
      </c>
      <c r="P711">
        <f>IF(B727=0,0,O711/B727)</f>
        <v/>
      </c>
      <c r="Q711">
        <f>IFERROR(1/(IF(Inputs!$B$38="pvp",15,MAX(0.1,Skills!E25-IF(Skills!F25=TRUE,Inputs!$B$32,0)))*(1-IF(AND(ArtifactsInput!$M$27,Inputs!$B$4="Chapter Hunt"),CHOOSE(ArtifactsInput!$N$27+1,20,24,28,32,36,40),0)/100)),0)</f>
        <v/>
      </c>
      <c r="R711" t="n">
        <v>0</v>
      </c>
      <c r="S711" t="n">
        <v>0</v>
      </c>
      <c r="U711" t="n">
        <v>0</v>
      </c>
    </row>
    <row r="712">
      <c r="A712">
        <f>Skills!A26</f>
        <v/>
      </c>
      <c r="B712">
        <f>Skills!B26</f>
        <v/>
      </c>
      <c r="C712">
        <f>Inputs!$B$3&gt;=120</f>
        <v/>
      </c>
      <c r="D712">
        <f>IF(Skills!C26=1,60+Inputs!$B$25+Inputs!$B$29,IF(Skills!C26=2,90+Inputs!$B$26+Inputs!$B$29,IF(Skills!C26=3,120+Inputs!$B$27+Inputs!$B$29,MAX(0,(Inputs!$B$3-100)*3)+Inputs!$B$28+Inputs!$B$29)))</f>
        <v/>
      </c>
      <c r="E712">
        <f>INDEX(FactorTable!$B$2:$Y$301, MATCH(ROUND(MIN(300,MAX(1,D712)),0), FactorTable!$A$2:$A$301,0), Skills!M26+1)</f>
        <v/>
      </c>
      <c r="F712">
        <f>IF(Skills!N26=TRUE,(Skills!L26/10)*(E712/1000),Skills!L26/10)+Skills!O26</f>
        <v/>
      </c>
      <c r="G712">
        <f>Calc!G26</f>
        <v/>
      </c>
      <c r="H712">
        <f>Calc!H26</f>
        <v/>
      </c>
      <c r="I712">
        <f>IF(Skills!X26&lt;&gt;"",1+(Skills!X26/10)*(Z689/1000)/100,1)</f>
        <v/>
      </c>
      <c r="J712" t="inlineStr"/>
      <c r="K712" t="inlineStr"/>
      <c r="L712" t="inlineStr"/>
      <c r="M712" t="inlineStr"/>
      <c r="N712" t="inlineStr"/>
      <c r="O712">
        <f>(1-Summary!$B$11)*S712+Summary!$B$11*U712</f>
        <v/>
      </c>
      <c r="P712">
        <f>IF(B727=0,0,O712/B727)</f>
        <v/>
      </c>
      <c r="Q712">
        <f>IFERROR(1/(IF(Inputs!$B$38="pvp",15,MAX(0.1,Skills!E26-IF(Skills!F26=TRUE,Inputs!$B$32,0)))*(1-IF(AND(ArtifactsInput!$M$27,Inputs!$B$4="Chapter Hunt"),CHOOSE(ArtifactsInput!$N$27+1,20,24,28,32,36,40),0)/100)),0)</f>
        <v/>
      </c>
      <c r="R712" t="n">
        <v>0</v>
      </c>
      <c r="S712" t="n">
        <v>0</v>
      </c>
      <c r="U712" t="n">
        <v>0</v>
      </c>
    </row>
    <row r="713">
      <c r="A713">
        <f>Skills!A27</f>
        <v/>
      </c>
      <c r="B713">
        <f>Skills!B27</f>
        <v/>
      </c>
      <c r="C713">
        <f>Inputs!$B$3&gt;=125</f>
        <v/>
      </c>
      <c r="D713">
        <f>IF(Skills!C27=1,60+Inputs!$B$25+Inputs!$B$29,IF(Skills!C27=2,90+Inputs!$B$26+Inputs!$B$29,IF(Skills!C27=3,120+Inputs!$B$27+Inputs!$B$29,MAX(0,(Inputs!$B$3-100)*3)+Inputs!$B$28+Inputs!$B$29)))</f>
        <v/>
      </c>
      <c r="E713">
        <f>INDEX(FactorTable!$B$2:$Y$301, MATCH(ROUND(MIN(300,MAX(1,D713)),0), FactorTable!$A$2:$A$301,0), Skills!M27+1)</f>
        <v/>
      </c>
      <c r="F713">
        <f>IF(Skills!N27=TRUE,(Skills!L27/10)*(E713/1000),Skills!L27/10)+Skills!O27</f>
        <v/>
      </c>
      <c r="G713">
        <f>Calc!G27</f>
        <v/>
      </c>
      <c r="H713">
        <f>Calc!H27</f>
        <v/>
      </c>
      <c r="I713">
        <f>IF(Skills!X27&lt;&gt;"",1+(Skills!X27/10)*(Z689/1000)/100,1)</f>
        <v/>
      </c>
      <c r="J713" t="inlineStr"/>
      <c r="K713" t="inlineStr"/>
      <c r="L713" t="inlineStr"/>
      <c r="M713" t="inlineStr"/>
      <c r="N713" t="inlineStr"/>
      <c r="O713">
        <f>(1-Summary!$B$11)*S713+Summary!$B$11*U713</f>
        <v/>
      </c>
      <c r="P713">
        <f>IF(B727=0,0,O713/B727)</f>
        <v/>
      </c>
      <c r="Q713">
        <f>IFERROR(1/(IF(Inputs!$B$38="pvp",15,MAX(0.1,Skills!E27-IF(Skills!F27=TRUE,Inputs!$B$32,0)))*(1-IF(AND(ArtifactsInput!$M$27,Inputs!$B$4="Chapter Hunt"),CHOOSE(ArtifactsInput!$N$27+1,20,24,28,32,36,40),0)/100)),0)</f>
        <v/>
      </c>
      <c r="R713" t="n">
        <v>0</v>
      </c>
      <c r="S713" t="n">
        <v>0</v>
      </c>
      <c r="U713" t="n">
        <v>0</v>
      </c>
    </row>
    <row r="714">
      <c r="A714">
        <f>Skills!A28</f>
        <v/>
      </c>
      <c r="B714">
        <f>Skills!B28</f>
        <v/>
      </c>
      <c r="C714">
        <f>Inputs!$B$3&gt;=118</f>
        <v/>
      </c>
      <c r="D714">
        <f>IF(Skills!C28=1,60+Inputs!$B$25+Inputs!$B$29,IF(Skills!C28=2,90+Inputs!$B$26+Inputs!$B$29,IF(Skills!C28=3,120+Inputs!$B$27+Inputs!$B$29,MAX(0,(Inputs!$B$3-100)*3)+Inputs!$B$28+Inputs!$B$29)))</f>
        <v/>
      </c>
      <c r="E714">
        <f>INDEX(FactorTable!$B$2:$Y$301, MATCH(ROUND(MIN(300,MAX(1,D714)),0), FactorTable!$A$2:$A$301,0), Skills!M28+1)</f>
        <v/>
      </c>
      <c r="F714">
        <f>IF(Skills!N28=TRUE,(Skills!L28/10)*(E714/1000),Skills!L28/10)+Skills!O28</f>
        <v/>
      </c>
      <c r="G714">
        <f>Calc!G28</f>
        <v/>
      </c>
      <c r="H714">
        <f>Calc!H28</f>
        <v/>
      </c>
      <c r="I714">
        <f>IF(Skills!X28&lt;&gt;"",1+(Skills!X28/10)*(Z689/1000)/100,1)</f>
        <v/>
      </c>
      <c r="J714">
        <f>((Inputs!$B$6*(1+Inputs!$B$7/100))+(((Inputs!$B$12*(1+Inputs!$B$13/100))-(Inputs!$B$12*(1+Inputs!$B$13/100)))+0.25*(Inputs!$B$14-Inputs!$B$14))*(1+Inputs!$B$7/100))*(F714/100)</f>
        <v/>
      </c>
      <c r="K714">
        <f>J714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709/100)*(1+IF(Inputs!$B$3&gt;=120,F712,0)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713*5,0)))/100)*(B716*B717*B718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714)</f>
        <v/>
      </c>
      <c r="L714">
        <f>K714*(MIN(Inputs!$B$22+(F708-Calc!F22),(Inputs!$B$23+(IF(ArtifactsInput!$M$15,CHOOSE(ArtifactsInput!$N$15+1,25,30,35,40,45,50)/100*(Inputs!$B$11-Inputs!$B$11),0))))/100+(Inputs!$B$23+(IF(ArtifactsInput!$M$15,CHOOSE(ArtifactsInput!$N$15+1,25,30,35,40,45,50)/100*(Inputs!$B$11-Inputs!$B$11),0)))/100)/2</f>
        <v/>
      </c>
      <c r="M714">
        <f>L714*(1+(Inputs!$B$10+(F707-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4">
        <f>L714*(1-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714*(MIN((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4">
        <f>(1-Summary!$B$11)*S714+Summary!$B$11*U714</f>
        <v/>
      </c>
      <c r="P714">
        <f>IF(B727=0,0,O714/B727)</f>
        <v/>
      </c>
      <c r="Q714">
        <f>IFERROR(1/(IF(Inputs!$B$38="pvp",15,MAX(0.1,Skills!E28-IF(Skills!F28=TRUE,Inputs!$B$32,0)))*(1-IF(AND(ArtifactsInput!$M$27,Inputs!$B$4="Chapter Hunt"),CHOOSE(ArtifactsInput!$N$27+1,20,24,28,32,36,40),0)/100)),0)</f>
        <v/>
      </c>
      <c r="R714">
        <f>IF(AND(Inputs!$B$38&lt;&gt;"pvp",Inputs!$B$43&gt;0),IF(MAX(0,Inputs!$B$43-B724)&lt;=0,0,(INT(MAX(0,Inputs!$B$43-B724)/(IF(Inputs!$B$38="pvp",15,MAX(0.1,Skills!E28-IF(Skills!F28=TRUE,Inputs!$B$32,0)))*(1-IF(AND(ArtifactsInput!$M$27,Inputs!$B$4="Chapter Hunt"),CHOOSE(ArtifactsInput!$N$27+1,20,24,28,32,36,40),0)/100)))+1)),0)</f>
        <v/>
      </c>
      <c r="S714">
        <f>IF(C714,(H714*N714*IF(AND(Inputs!$B$38&lt;&gt;"pvp",Inputs!$B$43&gt;0),((Skills!G28*((R714-1)*IF(Skills!H28&gt;0,Skills!I28/Skills!H28,1)+IF(Skills!H28&gt;0,MIN(Skills!I28,MAX(0,MAX(0,Inputs!$B$43-B724)-((R714-1)*(IF(Inputs!$B$38="pvp",15,MAX(0.1,Skills!E28-IF(Skills!F28=TRUE,Inputs!$B$32,0)))*(1-IF(AND(ArtifactsInput!$M$27,Inputs!$B$4="Chapter Hunt"),CHOOSE(ArtifactsInput!$N$27+1,20,24,28,32,36,40),0)/100)))))/Skills!H28,1)))/Inputs!$B$43),G714*Q714)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714*(1-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714*(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714*(1-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714*(MIN(100,(Inputs!$B$9+(F706-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14">
        <f>IF(C714,(H714*N714*IF(AND(Inputs!$B$38&lt;&gt;"pvp",Inputs!$B$43&gt;0),((Skills!G28*((R714-1)*IF(Skills!H28&gt;0,Skills!I28/Skills!H28,1)+IF(Skills!H28&gt;0,MIN(Skills!I28,MAX(0,MAX(0,Inputs!$B$43-B724)-((R714-1)*(IF(Inputs!$B$38="pvp",15,MAX(0.1,Skills!E28-IF(Skills!F28=TRUE,Inputs!$B$32,0)))*(1-IF(AND(ArtifactsInput!$M$27,Inputs!$B$4="Chapter Hunt"),CHOOSE(ArtifactsInput!$N$27+1,20,24,28,32,36,40),0)/100)))))/Skills!H28,1)))/Inputs!$B$43),G714*Q714)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6">
      <c r="A716" t="inlineStr">
        <is>
          <t>Burning Magic Multiplier</t>
        </is>
      </c>
      <c r="B716">
        <f>1+(F697*Skills!Z11)/100</f>
        <v/>
      </c>
    </row>
    <row r="717">
      <c r="A717" t="inlineStr">
        <is>
          <t>Elemental Decrease Multiplier (always-on)</t>
        </is>
      </c>
      <c r="B717">
        <f>1+(F698+(IF(AND(ArtifactsInput!$M$35,Inputs!$B$4&lt;&gt;"Chapter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f>
        <v/>
      </c>
    </row>
    <row r="718">
      <c r="A718" t="inlineStr">
        <is>
          <t>Average Buff Multiplier (Magic Guard + Meditation + Artifact Attack%, summed; then Infinity)</t>
        </is>
      </c>
      <c r="B718">
        <f>(1+(F692*IF(AND(Inputs!$B$38&lt;&gt;"pvp",Inputs!$B$43&gt;0),(((R692-1)*(Skills!T6*(1+((Inputs!$B$34+(ArtifactsInput!$M$7-ArtifactsInput!$M$7)*CHOOSE(ArtifactsInput!$N$7+1,6,7.2,8.4,9.6,10.8,12)))/100))+MIN((Skills!T6*(1+((Inputs!$B$34+(ArtifactsInput!$M$7-ArtifactsInput!$M$7)*CHOOSE(ArtifactsInput!$N$7+1,6,7.2,8.4,9.6,10.8,12)))/100)),MAX(0,Inputs!$B$43-((R692-1)*Skills!E6))))/Inputs!$B$43),IF(Inputs!$B$38="pvp",MIN((Skills!T6*(1+((Inputs!$B$34+(ArtifactsInput!$M$7-ArtifactsInput!$M$7)*CHOOSE(ArtifactsInput!$N$7+1,6,7.2,8.4,9.6,10.8,12)))/100)),15)/15,(Skills!T6*(1+((Inputs!$B$34+(ArtifactsInput!$M$7-ArtifactsInput!$M$7)*CHOOSE(ArtifactsInput!$N$7+1,6,7.2,8.4,9.6,10.8,12)))/100))/Skills!E6))+F703*IF(AND(Inputs!$B$38&lt;&gt;"pvp",Inputs!$B$43&gt;0),(((R703-1)*(Skills!T17*(1+((Inputs!$B$34+(ArtifactsInput!$M$7-ArtifactsInput!$M$7)*CHOOSE(ArtifactsInput!$N$7+1,6,7.2,8.4,9.6,10.8,12)))/100))+MIN((Skills!T17*(1+((Inputs!$B$34+(ArtifactsInput!$M$7-ArtifactsInput!$M$7)*CHOOSE(ArtifactsInput!$N$7+1,6,7.2,8.4,9.6,10.8,12)))/100)),MAX(0,Inputs!$B$43-((R703-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705=TRUE,(1+F705*IF(AND(Inputs!$B$38&lt;&gt;"pvp",Inputs!$B$43&gt;0),(((R705-1)*(Skills!T19*(1+((Inputs!$B$34+(ArtifactsInput!$M$7-ArtifactsInput!$M$7)*CHOOSE(ArtifactsInput!$N$7+1,6,7.2,8.4,9.6,10.8,12)))/100))+MIN((Skills!T19*(1+((Inputs!$B$34+(ArtifactsInput!$M$7-ArtifactsInput!$M$7)*CHOOSE(ArtifactsInput!$N$7+1,6,7.2,8.4,9.6,10.8,12)))/100)),MAX(0,Inputs!$B$43-((R705-1)*Skills!E19))))/Inputs!$B$43),IF(Inputs!$B$38="pvp",MIN((Skills!T19*(1+((Inputs!$B$34+(ArtifactsInput!$M$7-ArtifactsInput!$M$7)*CHOOSE(ArtifactsInput!$N$7+1,6,7.2,8.4,9.6,10.8,12)))/100)),15)/15,(Skills!T19*(1+((Inputs!$B$34+(ArtifactsInput!$M$7-ArtifactsInput!$M$7)*CHOOSE(ArtifactsInput!$N$7+1,6,7.2,8.4,9.6,10.8,12)))/100))/Skills!E19))/100),1)</f>
        <v/>
      </c>
    </row>
    <row r="719">
      <c r="A719" t="inlineStr">
        <is>
          <t>Attack Speed Buff Bonus % (Nimble Feet, averaged)</t>
        </is>
      </c>
      <c r="B719">
        <f>F704*IF(AND(Inputs!$B$38&lt;&gt;"pvp",Inputs!$B$43&gt;0),(((R704-1)*(Skills!T18*(1+((Inputs!$B$34+(ArtifactsInput!$M$7-ArtifactsInput!$M$7)*CHOOSE(ArtifactsInput!$N$7+1,6,7.2,8.4,9.6,10.8,12)))/100))+MIN((Skills!T18*(1+((Inputs!$B$34+(ArtifactsInput!$M$7-ArtifactsInput!$M$7)*CHOOSE(ArtifactsInput!$N$7+1,6,7.2,8.4,9.6,10.8,12)))/100)),MAX(0,Inputs!$B$43-((R704-1)*Skills!E18))))/Inputs!$B$43),IF(Inputs!$B$38="pvp",MIN((Skills!T18*(1+((Inputs!$B$34+(ArtifactsInput!$M$7-ArtifactsInput!$M$7)*CHOOSE(ArtifactsInput!$N$7+1,6,7.2,8.4,9.6,10.8,12)))/100)),15)/15,(Skills!T18*(1+((Inputs!$B$34+(ArtifactsInput!$M$7-ArtifactsInput!$M$7)*CHOOSE(ArtifactsInput!$N$7+1,6,7.2,8.4,9.6,10.8,12)))/100))/Skills!E18))</f>
        <v/>
      </c>
    </row>
    <row r="720">
      <c r="A720" t="inlineStr">
        <is>
          <t>Actions Per Second</t>
        </is>
      </c>
      <c r="B720">
        <f>1+MIN(150,150*(1-(1-(Inputs!$B$11+(ArtifactsInput!$M$15-ArtifactsInput!$M$15)*CHOOSE(ArtifactsInput!$N$15+1,8,9.6,11.2,12.8,14.4,16))/150)*(1-B719/150)))/100</f>
        <v/>
      </c>
    </row>
    <row r="721">
      <c r="A721" t="inlineStr">
        <is>
          <t>Skill + Buff Cast Rate</t>
        </is>
      </c>
      <c r="B721">
        <f>IF(AND(Inputs!$B$38&lt;&gt;"pvp",Inputs!$B$43&gt;0),SUMPRODUCT((Skills!F2:F28=TRUE)*(C688:C714=TRUE)*R688:R714)/Inputs!$B$43,SUMPRODUCT((Skills!F2:F28=TRUE)*(C688:C714=TRUE)*Q688:Q714))</f>
        <v/>
      </c>
    </row>
    <row r="722">
      <c r="A722" t="inlineStr">
        <is>
          <t>Basic Attacks Per Second</t>
        </is>
      </c>
      <c r="B722">
        <f>MAX(0,B720-B721)</f>
        <v/>
      </c>
    </row>
    <row r="723">
      <c r="A723" t="inlineStr">
        <is>
          <t>Meteor Proc — combined trigger cast rate</t>
        </is>
      </c>
      <c r="B723">
        <f>IF(AND(Inputs!$B$38&lt;&gt;"pvp",Inputs!$B$43&gt;0),SUMPRODUCT((Skills!V2:V28=TRUE)*(C688:C714=TRUE)*R688:R714*Skills!W2:W28)/Inputs!$B$43,SUMPRODUCT((Skills!V2:V28=TRUE)*(C688:C714=TRUE)*Q688:Q714*Skills!W2:W28))+B722</f>
        <v/>
      </c>
    </row>
    <row r="724">
      <c r="A724" t="inlineStr">
        <is>
          <t>Buff-Casting Startup Delay (s, fixed-duration only)</t>
        </is>
      </c>
      <c r="B724">
        <f>IF(AND(Inputs!$B$38&lt;&gt;"pvp",Inputs!$B$43&gt;0),SUMPRODUCT((Skills!T2:T28&gt;0)*(Skills!F2:F28=TRUE)*(C688:C714=TRUE))/B720,0)</f>
        <v/>
      </c>
    </row>
    <row r="725">
      <c r="A725" t="inlineStr">
        <is>
          <t>Boss-Only Total DPS (this block's swept value)</t>
        </is>
      </c>
      <c r="B725">
        <f>SUM(S688:S714)</f>
        <v/>
      </c>
    </row>
    <row r="726">
      <c r="A726" t="inlineStr">
        <is>
          <t>Normal-Only Total DPS (this block's swept value)</t>
        </is>
      </c>
      <c r="B726">
        <f>SUM(U688:U714)</f>
        <v/>
      </c>
    </row>
    <row r="727">
      <c r="A727" s="6" t="inlineStr">
        <is>
          <t>TOTAL DPS</t>
        </is>
      </c>
      <c r="B727" s="6">
        <f>SUM(O688:O714)</f>
        <v/>
      </c>
    </row>
    <row r="730">
      <c r="A730" s="6" t="inlineStr">
        <is>
          <t>Stat: Skill Level Bonus — 1st Job</t>
        </is>
      </c>
    </row>
    <row r="731">
      <c r="A731" s="5" t="inlineStr">
        <is>
          <t>Key</t>
        </is>
      </c>
      <c r="B731" s="5" t="inlineStr">
        <is>
          <t>Name</t>
        </is>
      </c>
      <c r="C731" s="5" t="inlineStr">
        <is>
          <t>Unlocked</t>
        </is>
      </c>
      <c r="D731" s="5" t="inlineStr">
        <is>
          <t>InputLevel</t>
        </is>
      </c>
      <c r="E731" s="5" t="inlineStr">
        <is>
          <t>Factor</t>
        </is>
      </c>
      <c r="F731" s="5" t="inlineStr">
        <is>
          <t>CoefficientPercent</t>
        </is>
      </c>
      <c r="G731" s="5" t="inlineStr">
        <is>
          <t>EffectiveHits</t>
        </is>
      </c>
      <c r="H731" s="5" t="inlineStr">
        <is>
          <t>ProcProbability</t>
        </is>
      </c>
      <c r="I731" s="5" t="inlineStr">
        <is>
          <t>MapleHeroMultiplier</t>
        </is>
      </c>
      <c r="J731" s="5" t="inlineStr">
        <is>
          <t>BaseDamage</t>
        </is>
      </c>
      <c r="K731" s="5" t="inlineStr">
        <is>
          <t>BaseHitDamage</t>
        </is>
      </c>
      <c r="L731" s="5" t="inlineStr">
        <is>
          <t>NonCritAvg</t>
        </is>
      </c>
      <c r="M731" s="5" t="inlineStr">
        <is>
          <t>CritAvg</t>
        </is>
      </c>
      <c r="N731" s="5" t="inlineStr">
        <is>
          <t>ExpectedDamage(perHit)</t>
        </is>
      </c>
      <c r="O731" s="5" t="inlineStr">
        <is>
          <t>DPS</t>
        </is>
      </c>
      <c r="P731" s="5" t="inlineStr">
        <is>
          <t>% of Total</t>
        </is>
      </c>
      <c r="R731" t="inlineStr">
        <is>
          <t>helpers</t>
        </is>
      </c>
    </row>
    <row r="732">
      <c r="A732">
        <f>Skills!A2</f>
        <v/>
      </c>
      <c r="B732">
        <f>Skills!B2</f>
        <v/>
      </c>
      <c r="C732">
        <f>TRUE</f>
        <v/>
      </c>
      <c r="D732" t="inlineStr"/>
      <c r="E732" t="inlineStr"/>
      <c r="F732">
        <f>T734+Skills!O2</f>
        <v/>
      </c>
      <c r="G732">
        <f>Calc!G2</f>
        <v/>
      </c>
      <c r="H732">
        <f>Calc!H2</f>
        <v/>
      </c>
      <c r="I732">
        <f>IF(Skills!X2&lt;&gt;"",1+(Skills!X2/10)*(Z733/1000)/100,1)</f>
        <v/>
      </c>
      <c r="J732">
        <f>((Inputs!$B$6*(1+Inputs!$B$7/100))+(((Inputs!$B$12*(1+Inputs!$B$13/100))-(Inputs!$B$12*(1+Inputs!$B$13/100)))+0.25*(Inputs!$B$14-Inputs!$B$14))*(1+Inputs!$B$7/100))*(F732/100)</f>
        <v/>
      </c>
      <c r="K732">
        <f>J732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732)</f>
        <v/>
      </c>
      <c r="L732">
        <f>K732*(MIN(Inputs!$B$22+(F752-Calc!F22),(Inputs!$B$23+(IF(ArtifactsInput!$M$15,CHOOSE(ArtifactsInput!$N$15+1,25,30,35,40,45,50)/100*(Inputs!$B$11-Inputs!$B$11),0))))/100+(Inputs!$B$23+(IF(ArtifactsInput!$M$15,CHOOSE(ArtifactsInput!$N$15+1,25,30,35,40,45,50)/100*(Inputs!$B$11-Inputs!$B$11),0)))/100)/2</f>
        <v/>
      </c>
      <c r="M732">
        <f>L732*(1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2">
        <f>L732*(1-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732*(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2">
        <f>(1-Summary!$B$11)*S732+Summary!$B$11*U732</f>
        <v/>
      </c>
      <c r="P732">
        <f>IF(B771=0,0,O732/B771)</f>
        <v/>
      </c>
      <c r="Q732">
        <f>IFERROR(1/(IF(Inputs!$B$38="pvp",15,MAX(0.1,Skills!E2-IF(Skills!F2=TRUE,Inputs!$B$32,0)))*(1-IF(AND(ArtifactsInput!$M$27,Inputs!$B$4="Chapter Hunt"),CHOOSE(ArtifactsInput!$N$27+1,20,24,28,32,36,40),0)/100)),0)</f>
        <v/>
      </c>
      <c r="R732" t="n">
        <v>0</v>
      </c>
      <c r="S732">
        <f>(Skills!G2*N732*B766)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732*(1-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732*(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732*(1-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732*(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732">
        <f>MAX(0,(Inputs!$B$3-100)*3)+Inputs!$B$28+Inputs!$B$29</f>
        <v/>
      </c>
      <c r="U732">
        <f>(Skills!G2*N732*B766)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732">
        <f>MAX(0,(Inputs!$B$3-100)*3)+Inputs!$B$28+Inputs!$B$29</f>
        <v/>
      </c>
    </row>
    <row r="733">
      <c r="A733">
        <f>Skills!A3</f>
        <v/>
      </c>
      <c r="B733">
        <f>Skills!B3</f>
        <v/>
      </c>
      <c r="C733">
        <f>TRUE</f>
        <v/>
      </c>
      <c r="D733">
        <f>IF(Skills!C3=1,60+(Inputs!$B$25+1)+Inputs!$B$29,IF(Skills!C3=2,90+Inputs!$B$26+Inputs!$B$29,IF(Skills!C3=3,120+Inputs!$B$27+Inputs!$B$29,MAX(0,(Inputs!$B$3-100)*3)+Inputs!$B$28+Inputs!$B$29)))</f>
        <v/>
      </c>
      <c r="E733">
        <f>INDEX(FactorTable!$B$2:$Y$301, MATCH(ROUND(MIN(300,MAX(1,D733)),0), FactorTable!$A$2:$A$301,0), Skills!M3+1)</f>
        <v/>
      </c>
      <c r="F733">
        <f>IF(Skills!N3=TRUE,(Skills!L3/10)*(E733/1000),Skills!L3/10)+Skills!O3</f>
        <v/>
      </c>
      <c r="G733">
        <f>Calc!G3</f>
        <v/>
      </c>
      <c r="H733">
        <f>Calc!H3</f>
        <v/>
      </c>
      <c r="I733">
        <f>IF(Skills!X3&lt;&gt;"",1+(Skills!X3/10)*(Z733/1000)/100,1)</f>
        <v/>
      </c>
      <c r="J733">
        <f>((Inputs!$B$6*(1+Inputs!$B$7/100))+(((Inputs!$B$12*(1+Inputs!$B$13/100))-(Inputs!$B$12*(1+Inputs!$B$13/100)))+0.25*(Inputs!$B$14-Inputs!$B$14))*(1+Inputs!$B$7/100))*(F733/100)</f>
        <v/>
      </c>
      <c r="K733">
        <f>J733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733)</f>
        <v/>
      </c>
      <c r="L733">
        <f>K733*(MIN(Inputs!$B$22+(F752-Calc!F22),(Inputs!$B$23+(IF(ArtifactsInput!$M$15,CHOOSE(ArtifactsInput!$N$15+1,25,30,35,40,45,50)/100*(Inputs!$B$11-Inputs!$B$11),0))))/100+(Inputs!$B$23+(IF(ArtifactsInput!$M$15,CHOOSE(ArtifactsInput!$N$15+1,25,30,35,40,45,50)/100*(Inputs!$B$11-Inputs!$B$11),0)))/100)/2</f>
        <v/>
      </c>
      <c r="M733">
        <f>L733*(1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3">
        <f>L733*(1-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733*(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3">
        <f>(1-Summary!$B$11)*S733+Summary!$B$11*U733</f>
        <v/>
      </c>
      <c r="P733">
        <f>IF(B771=0,0,O733/B771)</f>
        <v/>
      </c>
      <c r="Q733">
        <f>IFERROR(1/(IF(Inputs!$B$38="pvp",15,MAX(0.1,Skills!E3-IF(Skills!F3=TRUE,Inputs!$B$32,0)))*(1-IF(AND(ArtifactsInput!$M$27,Inputs!$B$4="Chapter Hunt"),CHOOSE(ArtifactsInput!$N$27+1,20,24,28,32,36,40),0)/100)),0)</f>
        <v/>
      </c>
      <c r="R733">
        <f>IF(AND(Inputs!$B$38&lt;&gt;"pvp",Inputs!$B$43&gt;0),IF(MAX(0,Inputs!$B$43-B768)&lt;=0,0,(INT(MAX(0,Inputs!$B$43-B768)/(IF(Inputs!$B$38="pvp",15,MAX(0.1,Skills!E3-IF(Skills!F3=TRUE,Inputs!$B$32,0)))*(1-IF(AND(ArtifactsInput!$M$27,Inputs!$B$4="Chapter Hunt"),CHOOSE(ArtifactsInput!$N$27+1,20,24,28,32,36,40),0)/100)))+1)),0)</f>
        <v/>
      </c>
      <c r="S733">
        <f>IF(C733,(H733*N733*IF(AND(Inputs!$B$38&lt;&gt;"pvp",Inputs!$B$43&gt;0),((Skills!G3*((R733-1)*IF(Skills!H3&gt;0,Skills!I3/Skills!H3,1)+IF(Skills!H3&gt;0,MIN(Skills!I3,MAX(0,MAX(0,Inputs!$B$43-B768)-((R733-1)*(IF(Inputs!$B$38="pvp",15,MAX(0.1,Skills!E3-IF(Skills!F3=TRUE,Inputs!$B$32,0)))*(1-IF(AND(ArtifactsInput!$M$27,Inputs!$B$4="Chapter Hunt"),CHOOSE(ArtifactsInput!$N$27+1,20,24,28,32,36,40),0)/100)))))/Skills!H3,1)))/Inputs!$B$43),G733*Q733)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733*(1-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733*(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733*(1-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733*(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33">
        <f>INDEX(FactorTable!$B$2:$Y$301, MATCH(ROUND(MIN(300,MAX(1,T732)),0), FactorTable!$A$2:$A$301,0), 22)</f>
        <v/>
      </c>
      <c r="U733">
        <f>IF(C733,(H733*N733*IF(AND(Inputs!$B$38&lt;&gt;"pvp",Inputs!$B$43&gt;0),((Skills!G3*((R733-1)*IF(Skills!H3&gt;0,Skills!I3/Skills!H3,1)+IF(Skills!H3&gt;0,MIN(Skills!I3,MAX(0,MAX(0,Inputs!$B$43-B768)-((R733-1)*(IF(Inputs!$B$38="pvp",15,MAX(0.1,Skills!E3-IF(Skills!F3=TRUE,Inputs!$B$32,0)))*(1-IF(AND(ArtifactsInput!$M$27,Inputs!$B$4="Chapter Hunt"),CHOOSE(ArtifactsInput!$N$27+1,20,24,28,32,36,40),0)/100)))))/Skills!H3,1)))/Inputs!$B$43),G733*Q733)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733">
        <f>INDEX(FactorTable!$B$2:$Y$301, MATCH(ROUND(MIN(300,MAX(1,Z732)),0), FactorTable!$A$2:$A$301,0), 24)</f>
        <v/>
      </c>
    </row>
    <row r="734">
      <c r="A734">
        <f>Skills!A4</f>
        <v/>
      </c>
      <c r="B734">
        <f>Skills!B4</f>
        <v/>
      </c>
      <c r="C734">
        <f>TRUE</f>
        <v/>
      </c>
      <c r="D734">
        <f>IF(Skills!C4=1,60+(Inputs!$B$25+1)+Inputs!$B$29,IF(Skills!C4=2,90+Inputs!$B$26+Inputs!$B$29,IF(Skills!C4=3,120+Inputs!$B$27+Inputs!$B$29,MAX(0,(Inputs!$B$3-100)*3)+Inputs!$B$28+Inputs!$B$29)))</f>
        <v/>
      </c>
      <c r="E734">
        <f>INDEX(FactorTable!$B$2:$Y$301, MATCH(ROUND(MIN(300,MAX(1,D734)),0), FactorTable!$A$2:$A$301,0), Skills!M4+1)</f>
        <v/>
      </c>
      <c r="F734">
        <f>IF(Skills!N4=TRUE,(Skills!L4/10)*(E734/1000),Skills!L4/10)+Skills!O4</f>
        <v/>
      </c>
      <c r="G734">
        <f>Calc!G4</f>
        <v/>
      </c>
      <c r="H734">
        <f>Calc!H4</f>
        <v/>
      </c>
      <c r="I734">
        <f>IF(Skills!X4&lt;&gt;"",1+(Skills!X4/10)*(Z733/1000)/100,1)</f>
        <v/>
      </c>
      <c r="J734">
        <f>((Inputs!$B$6*(1+Inputs!$B$7/100))+(((Inputs!$B$12*(1+Inputs!$B$13/100))-(Inputs!$B$12*(1+Inputs!$B$13/100)))+0.25*(Inputs!$B$14-Inputs!$B$14))*(1+Inputs!$B$7/100))*(F734/100)</f>
        <v/>
      </c>
      <c r="K734">
        <f>J734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734)</f>
        <v/>
      </c>
      <c r="L734">
        <f>K734*(MIN(Inputs!$B$22+(F752-Calc!F22),(Inputs!$B$23+(IF(ArtifactsInput!$M$15,CHOOSE(ArtifactsInput!$N$15+1,25,30,35,40,45,50)/100*(Inputs!$B$11-Inputs!$B$11),0))))/100+(Inputs!$B$23+(IF(ArtifactsInput!$M$15,CHOOSE(ArtifactsInput!$N$15+1,25,30,35,40,45,50)/100*(Inputs!$B$11-Inputs!$B$11),0)))/100)/2</f>
        <v/>
      </c>
      <c r="M734">
        <f>L734*(1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4">
        <f>L734*(1-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734*(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4">
        <f>(1-Summary!$B$11)*S734+Summary!$B$11*U734</f>
        <v/>
      </c>
      <c r="P734">
        <f>IF(B771=0,0,O734/B771)</f>
        <v/>
      </c>
      <c r="Q734">
        <f>IFERROR(1/(IF(Inputs!$B$38="pvp",15,MAX(0.1,Skills!E4-IF(Skills!F4=TRUE,Inputs!$B$32,0)))*(1-IF(AND(ArtifactsInput!$M$27,Inputs!$B$4="Chapter Hunt"),CHOOSE(ArtifactsInput!$N$27+1,20,24,28,32,36,40),0)/100)),0)</f>
        <v/>
      </c>
      <c r="R734">
        <f>IF(AND(Inputs!$B$38&lt;&gt;"pvp",Inputs!$B$43&gt;0),IF(MAX(0,Inputs!$B$43-B768)&lt;=0,0,(INT(MAX(0,Inputs!$B$43-B768)/(IF(Inputs!$B$38="pvp",15,MAX(0.1,Skills!E4-IF(Skills!F4=TRUE,Inputs!$B$32,0)))*(1-IF(AND(ArtifactsInput!$M$27,Inputs!$B$4="Chapter Hunt"),CHOOSE(ArtifactsInput!$N$27+1,20,24,28,32,36,40),0)/100)))+1)),0)</f>
        <v/>
      </c>
      <c r="S734">
        <f>IF(C734,(H734*N734*IF(AND(Inputs!$B$38&lt;&gt;"pvp",Inputs!$B$43&gt;0),((Skills!G4*((R734-1)*IF(Skills!H4&gt;0,Skills!I4/Skills!H4,1)+IF(Skills!H4&gt;0,MIN(Skills!I4,MAX(0,MAX(0,Inputs!$B$43-B768)-((R734-1)*(IF(Inputs!$B$38="pvp",15,MAX(0.1,Skills!E4-IF(Skills!F4=TRUE,Inputs!$B$32,0)))*(1-IF(AND(ArtifactsInput!$M$27,Inputs!$B$4="Chapter Hunt"),CHOOSE(ArtifactsInput!$N$27+1,20,24,28,32,36,40),0)/100)))))/Skills!H4,1)))/Inputs!$B$43),G734*Q734)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734*(1-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734*(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734*(1-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734*(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34">
        <f>290*T733/1000</f>
        <v/>
      </c>
      <c r="U734">
        <f>IF(C734,(H734*N734*IF(AND(Inputs!$B$38&lt;&gt;"pvp",Inputs!$B$43&gt;0),((Skills!G4*((R734-1)*IF(Skills!H4&gt;0,Skills!I4/Skills!H4,1)+IF(Skills!H4&gt;0,MIN(Skills!I4,MAX(0,MAX(0,Inputs!$B$43-B768)-((R734-1)*(IF(Inputs!$B$38="pvp",15,MAX(0.1,Skills!E4-IF(Skills!F4=TRUE,Inputs!$B$32,0)))*(1-IF(AND(ArtifactsInput!$M$27,Inputs!$B$4="Chapter Hunt"),CHOOSE(ArtifactsInput!$N$27+1,20,24,28,32,36,40),0)/100)))))/Skills!H4,1)))/Inputs!$B$43),G734*Q734)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5">
      <c r="A735">
        <f>Skills!A5</f>
        <v/>
      </c>
      <c r="B735">
        <f>Skills!B5</f>
        <v/>
      </c>
      <c r="C735">
        <f>TRUE</f>
        <v/>
      </c>
      <c r="D735">
        <f>IF(Skills!C5=1,60+(Inputs!$B$25+1)+Inputs!$B$29,IF(Skills!C5=2,90+Inputs!$B$26+Inputs!$B$29,IF(Skills!C5=3,120+Inputs!$B$27+Inputs!$B$29,MAX(0,(Inputs!$B$3-100)*3)+Inputs!$B$28+Inputs!$B$29)))</f>
        <v/>
      </c>
      <c r="E735">
        <f>INDEX(FactorTable!$B$2:$Y$301, MATCH(ROUND(MIN(300,MAX(1,D735)),0), FactorTable!$A$2:$A$301,0), Skills!M5+1)</f>
        <v/>
      </c>
      <c r="F735">
        <f>IF(Skills!N5=TRUE,(Skills!L5/10)*(E735/1000),Skills!L5/10)+Skills!O5</f>
        <v/>
      </c>
      <c r="G735">
        <f>Calc!G5</f>
        <v/>
      </c>
      <c r="H735">
        <f>Calc!H5</f>
        <v/>
      </c>
      <c r="I735">
        <f>IF(Skills!X5&lt;&gt;"",1+(Skills!X5/10)*(Z733/1000)/100,1)</f>
        <v/>
      </c>
      <c r="J735">
        <f>((Inputs!$B$6*(1+Inputs!$B$7/100))+(((Inputs!$B$12*(1+Inputs!$B$13/100))-(Inputs!$B$12*(1+Inputs!$B$13/100)))+0.25*(Inputs!$B$14-Inputs!$B$14))*(1+Inputs!$B$7/100))*(F735/100)</f>
        <v/>
      </c>
      <c r="K735">
        <f>J735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735)</f>
        <v/>
      </c>
      <c r="L735">
        <f>K735*(MIN(Inputs!$B$22+(F752-Calc!F22),(Inputs!$B$23+(IF(ArtifactsInput!$M$15,CHOOSE(ArtifactsInput!$N$15+1,25,30,35,40,45,50)/100*(Inputs!$B$11-Inputs!$B$11),0))))/100+(Inputs!$B$23+(IF(ArtifactsInput!$M$15,CHOOSE(ArtifactsInput!$N$15+1,25,30,35,40,45,50)/100*(Inputs!$B$11-Inputs!$B$11),0)))/100)/2</f>
        <v/>
      </c>
      <c r="M735">
        <f>L735*(1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5">
        <f>L735*(1-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735*(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5">
        <f>(1-Summary!$B$11)*S735+Summary!$B$11*U735</f>
        <v/>
      </c>
      <c r="P735">
        <f>IF(B771=0,0,O735/B771)</f>
        <v/>
      </c>
      <c r="Q735">
        <f>IFERROR(1/(IF(Inputs!$B$38="pvp",15,MAX(0.1,Skills!E5-IF(Skills!F5=TRUE,Inputs!$B$32,0)))*(1-IF(AND(ArtifactsInput!$M$27,Inputs!$B$4="Chapter Hunt"),CHOOSE(ArtifactsInput!$N$27+1,20,24,28,32,36,40),0)/100)),0)</f>
        <v/>
      </c>
      <c r="R735">
        <f>IF(AND(Inputs!$B$38&lt;&gt;"pvp",Inputs!$B$43&gt;0),IF(MAX(0,Inputs!$B$43-B768)&lt;=0,0,(INT(MAX(0,Inputs!$B$43-B768)/(IF(Inputs!$B$38="pvp",15,MAX(0.1,Skills!E5-IF(Skills!F5=TRUE,Inputs!$B$32,0)))*(1-IF(AND(ArtifactsInput!$M$27,Inputs!$B$4="Chapter Hunt"),CHOOSE(ArtifactsInput!$N$27+1,20,24,28,32,36,40),0)/100)))+1)),0)</f>
        <v/>
      </c>
      <c r="S735">
        <f>IF(C735,(H735*N735*IF(AND(Inputs!$B$38&lt;&gt;"pvp",Inputs!$B$43&gt;0),((Skills!G5*((R735-1)*IF(Skills!H5&gt;0,Skills!I5/Skills!H5,1)+IF(Skills!H5&gt;0,MIN(Skills!I5,MAX(0,MAX(0,Inputs!$B$43-B768)-((R735-1)*(IF(Inputs!$B$38="pvp",15,MAX(0.1,Skills!E5-IF(Skills!F5=TRUE,Inputs!$B$32,0)))*(1-IF(AND(ArtifactsInput!$M$27,Inputs!$B$4="Chapter Hunt"),CHOOSE(ArtifactsInput!$N$27+1,20,24,28,32,36,40),0)/100)))))/Skills!H5,1)))/Inputs!$B$43),G735*Q735)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735*(1-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735*(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735*(1-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735*(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5">
        <f>IF(C735,(H735*N735*IF(AND(Inputs!$B$38&lt;&gt;"pvp",Inputs!$B$43&gt;0),((Skills!G5*((R735-1)*IF(Skills!H5&gt;0,Skills!I5/Skills!H5,1)+IF(Skills!H5&gt;0,MIN(Skills!I5,MAX(0,MAX(0,Inputs!$B$43-B768)-((R735-1)*(IF(Inputs!$B$38="pvp",15,MAX(0.1,Skills!E5-IF(Skills!F5=TRUE,Inputs!$B$32,0)))*(1-IF(AND(ArtifactsInput!$M$27,Inputs!$B$4="Chapter Hunt"),CHOOSE(ArtifactsInput!$N$27+1,20,24,28,32,36,40),0)/100)))))/Skills!H5,1)))/Inputs!$B$43),G735*Q735)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6">
      <c r="A736">
        <f>Skills!A6</f>
        <v/>
      </c>
      <c r="B736">
        <f>Skills!B6</f>
        <v/>
      </c>
      <c r="C736">
        <f>TRUE</f>
        <v/>
      </c>
      <c r="D736">
        <f>IF(Skills!C6=1,60+(Inputs!$B$25+1)+Inputs!$B$29,IF(Skills!C6=2,90+Inputs!$B$26+Inputs!$B$29,IF(Skills!C6=3,120+Inputs!$B$27+Inputs!$B$29,MAX(0,(Inputs!$B$3-100)*3)+Inputs!$B$28+Inputs!$B$29)))</f>
        <v/>
      </c>
      <c r="E736">
        <f>INDEX(FactorTable!$B$2:$Y$301, MATCH(ROUND(MIN(300,MAX(1,D736)),0), FactorTable!$A$2:$A$301,0), Skills!M6+1)</f>
        <v/>
      </c>
      <c r="F736">
        <f>IF(Skills!N6=TRUE,(Skills!L6/10)*(E736/1000),Skills!L6/10)+Skills!O6</f>
        <v/>
      </c>
      <c r="G736">
        <f>Calc!G6</f>
        <v/>
      </c>
      <c r="H736">
        <f>Calc!H6</f>
        <v/>
      </c>
      <c r="I736">
        <f>IF(Skills!X6&lt;&gt;"",1+(Skills!X6/10)*(Z733/1000)/100,1)</f>
        <v/>
      </c>
      <c r="J736" t="inlineStr"/>
      <c r="K736" t="inlineStr"/>
      <c r="L736" t="inlineStr"/>
      <c r="M736" t="inlineStr"/>
      <c r="N736" t="inlineStr"/>
      <c r="O736">
        <f>(1-Summary!$B$11)*S736+Summary!$B$11*U736</f>
        <v/>
      </c>
      <c r="P736">
        <f>IF(B771=0,0,O736/B771)</f>
        <v/>
      </c>
      <c r="Q736">
        <f>IFERROR(1/(IF(Inputs!$B$38="pvp",15,MAX(0.1,Skills!E6-IF(Skills!F6=TRUE,Inputs!$B$32,0)))*(1-IF(AND(ArtifactsInput!$M$27,Inputs!$B$4="Chapter Hunt"),CHOOSE(ArtifactsInput!$N$27+1,20,24,28,32,36,40),0)/100)),0)</f>
        <v/>
      </c>
      <c r="R736">
        <f>IF(AND(Inputs!$B$38&lt;&gt;"pvp",Inputs!$B$43&gt;0),IF(Inputs!$B$43&lt;=0,0,(INT(Inputs!$B$43/(IF(Inputs!$B$38="pvp",15,MAX(0.1,Skills!E6-IF(Skills!F6=TRUE,Inputs!$B$32,0)))*(1-IF(AND(ArtifactsInput!$M$27,Inputs!$B$4="Chapter Hunt"),CHOOSE(ArtifactsInput!$N$27+1,20,24,28,32,36,40),0)/100)))+1)),0)</f>
        <v/>
      </c>
      <c r="S736" t="n">
        <v>0</v>
      </c>
      <c r="U736" t="n">
        <v>0</v>
      </c>
    </row>
    <row r="737">
      <c r="A737">
        <f>Skills!A7</f>
        <v/>
      </c>
      <c r="B737">
        <f>Skills!B7</f>
        <v/>
      </c>
      <c r="C737">
        <f>TRUE</f>
        <v/>
      </c>
      <c r="D737">
        <f>IF(Skills!C7=1,60+(Inputs!$B$25+1)+Inputs!$B$29,IF(Skills!C7=2,90+Inputs!$B$26+Inputs!$B$29,IF(Skills!C7=3,120+Inputs!$B$27+Inputs!$B$29,MAX(0,(Inputs!$B$3-100)*3)+Inputs!$B$28+Inputs!$B$29)))</f>
        <v/>
      </c>
      <c r="E737">
        <f>INDEX(FactorTable!$B$2:$Y$301, MATCH(ROUND(MIN(300,MAX(1,D737)),0), FactorTable!$A$2:$A$301,0), Skills!M7+1)</f>
        <v/>
      </c>
      <c r="F737">
        <f>IF(Skills!N7=TRUE,(Skills!L7/10)*(E737/1000),Skills!L7/10)+Skills!O7</f>
        <v/>
      </c>
      <c r="G737">
        <f>Calc!G7</f>
        <v/>
      </c>
      <c r="H737">
        <f>Calc!H7</f>
        <v/>
      </c>
      <c r="I737">
        <f>IF(Skills!X7&lt;&gt;"",1+(Skills!X7/10)*(Z733/1000)/100,1)</f>
        <v/>
      </c>
      <c r="J737">
        <f>((Inputs!$B$6*(1+Inputs!$B$7/100))+(((Inputs!$B$12*(1+Inputs!$B$13/100))-(Inputs!$B$12*(1+Inputs!$B$13/100)))+0.25*(Inputs!$B$14-Inputs!$B$14))*(1+Inputs!$B$7/100))*(F737/100)</f>
        <v/>
      </c>
      <c r="K737">
        <f>J737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737)</f>
        <v/>
      </c>
      <c r="L737">
        <f>K737*(MIN(Inputs!$B$22+(F752-Calc!F22),(Inputs!$B$23+(IF(ArtifactsInput!$M$15,CHOOSE(ArtifactsInput!$N$15+1,25,30,35,40,45,50)/100*(Inputs!$B$11-Inputs!$B$11),0))))/100+(Inputs!$B$23+(IF(ArtifactsInput!$M$15,CHOOSE(ArtifactsInput!$N$15+1,25,30,35,40,45,50)/100*(Inputs!$B$11-Inputs!$B$11),0)))/100)/2</f>
        <v/>
      </c>
      <c r="M737">
        <f>L737*(1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7">
        <f>L737*(1-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737*(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7">
        <f>(1-Summary!$B$11)*S737+Summary!$B$11*U737</f>
        <v/>
      </c>
      <c r="P737">
        <f>IF(B771=0,0,O737/B771)</f>
        <v/>
      </c>
      <c r="Q737">
        <f>IFERROR(1/(IF(Inputs!$B$38="pvp",15,MAX(0.1,Skills!E7-IF(Skills!F7=TRUE,Inputs!$B$32,0)))*(1-IF(AND(ArtifactsInput!$M$27,Inputs!$B$4="Chapter Hunt"),CHOOSE(ArtifactsInput!$N$27+1,20,24,28,32,36,40),0)/100)),0)</f>
        <v/>
      </c>
      <c r="R737">
        <f>IF(AND(Inputs!$B$38&lt;&gt;"pvp",Inputs!$B$43&gt;0),IF(MAX(0,Inputs!$B$43-B768)&lt;=0,0,(INT(MAX(0,Inputs!$B$43-B768)/(IF(Inputs!$B$38="pvp",15,MAX(0.1,Skills!E7-IF(Skills!F7=TRUE,Inputs!$B$32,0)))*(1-IF(AND(ArtifactsInput!$M$27,Inputs!$B$4="Chapter Hunt"),CHOOSE(ArtifactsInput!$N$27+1,20,24,28,32,36,40),0)/100)))+1)),0)</f>
        <v/>
      </c>
      <c r="S737">
        <f>IF(C737,(H737*N737*IF(AND(Inputs!$B$38&lt;&gt;"pvp",Inputs!$B$43&gt;0),((Skills!G7*((R737-1)*IF(Skills!H7&gt;0,Skills!I7/Skills!H7,1)+IF(Skills!H7&gt;0,MIN(Skills!I7,MAX(0,MAX(0,Inputs!$B$43-B768)-((R737-1)*(IF(Inputs!$B$38="pvp",15,MAX(0.1,Skills!E7-IF(Skills!F7=TRUE,Inputs!$B$32,0)))*(1-IF(AND(ArtifactsInput!$M$27,Inputs!$B$4="Chapter Hunt"),CHOOSE(ArtifactsInput!$N$27+1,20,24,28,32,36,40),0)/100)))))/Skills!H7,1)))/Inputs!$B$43),G737*Q737)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737*(1-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737*(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737*(1-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737*(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7">
        <f>IF(C737,(H737*N737*IF(AND(Inputs!$B$38&lt;&gt;"pvp",Inputs!$B$43&gt;0),((Skills!G7*((R737-1)*IF(Skills!H7&gt;0,Skills!I7/Skills!H7,1)+IF(Skills!H7&gt;0,MIN(Skills!I7,MAX(0,MAX(0,Inputs!$B$43-B768)-((R737-1)*(IF(Inputs!$B$38="pvp",15,MAX(0.1,Skills!E7-IF(Skills!F7=TRUE,Inputs!$B$32,0)))*(1-IF(AND(ArtifactsInput!$M$27,Inputs!$B$4="Chapter Hunt"),CHOOSE(ArtifactsInput!$N$27+1,20,24,28,32,36,40),0)/100)))))/Skills!H7,1)))/Inputs!$B$43),G737*Q737)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8">
      <c r="A738">
        <f>Skills!A8</f>
        <v/>
      </c>
      <c r="B738">
        <f>Skills!B8</f>
        <v/>
      </c>
      <c r="C738">
        <f>TRUE</f>
        <v/>
      </c>
      <c r="D738">
        <f>IF(Skills!C8=1,60+(Inputs!$B$25+1)+Inputs!$B$29,IF(Skills!C8=2,90+Inputs!$B$26+Inputs!$B$29,IF(Skills!C8=3,120+Inputs!$B$27+Inputs!$B$29,MAX(0,(Inputs!$B$3-100)*3)+Inputs!$B$28+Inputs!$B$29)))</f>
        <v/>
      </c>
      <c r="E738">
        <f>INDEX(FactorTable!$B$2:$Y$301, MATCH(ROUND(MIN(300,MAX(1,D738)),0), FactorTable!$A$2:$A$301,0), Skills!M8+1)</f>
        <v/>
      </c>
      <c r="F738">
        <f>IF(Skills!N8=TRUE,(Skills!L8/10)*(E738/1000),Skills!L8/10)+Skills!O8</f>
        <v/>
      </c>
      <c r="G738">
        <f>Calc!G8</f>
        <v/>
      </c>
      <c r="H738">
        <f>Calc!H8</f>
        <v/>
      </c>
      <c r="I738">
        <f>IF(Skills!X8&lt;&gt;"",1+(Skills!X8/10)*(Z733/1000)/100,1)</f>
        <v/>
      </c>
      <c r="J738">
        <f>((Inputs!$B$6*(1+Inputs!$B$7/100))+(((Inputs!$B$12*(1+Inputs!$B$13/100))-(Inputs!$B$12*(1+Inputs!$B$13/100)))+0.25*(Inputs!$B$14-Inputs!$B$14))*(1+Inputs!$B$7/100))*(F738/100)</f>
        <v/>
      </c>
      <c r="K738">
        <f>J738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738)</f>
        <v/>
      </c>
      <c r="L738">
        <f>K738*(MIN(Inputs!$B$22+(F752-Calc!F22),(Inputs!$B$23+(IF(ArtifactsInput!$M$15,CHOOSE(ArtifactsInput!$N$15+1,25,30,35,40,45,50)/100*(Inputs!$B$11-Inputs!$B$11),0))))/100+(Inputs!$B$23+(IF(ArtifactsInput!$M$15,CHOOSE(ArtifactsInput!$N$15+1,25,30,35,40,45,50)/100*(Inputs!$B$11-Inputs!$B$11),0)))/100)/2</f>
        <v/>
      </c>
      <c r="M738">
        <f>L738*(1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8">
        <f>L738*(1-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738*(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8">
        <f>(1-Summary!$B$11)*S738+Summary!$B$11*U738</f>
        <v/>
      </c>
      <c r="P738">
        <f>IF(B771=0,0,O738/B771)</f>
        <v/>
      </c>
      <c r="Q738">
        <f>IFERROR(1/(IF(Inputs!$B$38="pvp",15,MAX(0.1,Skills!E8-IF(Skills!F8=TRUE,Inputs!$B$32,0)))*(1-IF(AND(ArtifactsInput!$M$27,Inputs!$B$4="Chapter Hunt"),CHOOSE(ArtifactsInput!$N$27+1,20,24,28,32,36,40),0)/100)),0)</f>
        <v/>
      </c>
      <c r="R738">
        <f>IF(AND(Inputs!$B$38&lt;&gt;"pvp",Inputs!$B$43&gt;0),IF(MAX(0,Inputs!$B$43-B768)&lt;=0,0,(INT(MAX(0,Inputs!$B$43-B768)/(IF(Inputs!$B$38="pvp",15,MAX(0.1,Skills!E8-IF(Skills!F8=TRUE,Inputs!$B$32,0)))*(1-IF(AND(ArtifactsInput!$M$27,Inputs!$B$4="Chapter Hunt"),CHOOSE(ArtifactsInput!$N$27+1,20,24,28,32,36,40),0)/100)))+1)),0)</f>
        <v/>
      </c>
      <c r="S738">
        <f>IF(C738,(H738*N738*IF(AND(Inputs!$B$38&lt;&gt;"pvp",Inputs!$B$43&gt;0),((Skills!G8*((R738-1)*IF(Skills!H8&gt;0,Skills!I8/Skills!H8,1)+IF(Skills!H8&gt;0,MIN(Skills!I8,MAX(0,MAX(0,Inputs!$B$43-B768)-((R738-1)*(IF(Inputs!$B$38="pvp",15,MAX(0.1,Skills!E8-IF(Skills!F8=TRUE,Inputs!$B$32,0)))*(1-IF(AND(ArtifactsInput!$M$27,Inputs!$B$4="Chapter Hunt"),CHOOSE(ArtifactsInput!$N$27+1,20,24,28,32,36,40),0)/100)))))/Skills!H8,1)))/Inputs!$B$43),G738*Q738)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738*(1-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738*(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738*(1-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738*(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8">
        <f>IF(C738,(H738*N738*IF(AND(Inputs!$B$38&lt;&gt;"pvp",Inputs!$B$43&gt;0),((Skills!G8*((R738-1)*IF(Skills!H8&gt;0,Skills!I8/Skills!H8,1)+IF(Skills!H8&gt;0,MIN(Skills!I8,MAX(0,MAX(0,Inputs!$B$43-B768)-((R738-1)*(IF(Inputs!$B$38="pvp",15,MAX(0.1,Skills!E8-IF(Skills!F8=TRUE,Inputs!$B$32,0)))*(1-IF(AND(ArtifactsInput!$M$27,Inputs!$B$4="Chapter Hunt"),CHOOSE(ArtifactsInput!$N$27+1,20,24,28,32,36,40),0)/100)))))/Skills!H8,1)))/Inputs!$B$43),G738*Q738)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9">
      <c r="A739">
        <f>Skills!A9</f>
        <v/>
      </c>
      <c r="B739">
        <f>Skills!B9</f>
        <v/>
      </c>
      <c r="C739">
        <f>Inputs!$B$3&gt;=103</f>
        <v/>
      </c>
      <c r="D739">
        <f>IF(Skills!C9=1,60+(Inputs!$B$25+1)+Inputs!$B$29,IF(Skills!C9=2,90+Inputs!$B$26+Inputs!$B$29,IF(Skills!C9=3,120+Inputs!$B$27+Inputs!$B$29,MAX(0,(Inputs!$B$3-100)*3)+Inputs!$B$28+Inputs!$B$29)))</f>
        <v/>
      </c>
      <c r="E739">
        <f>INDEX(FactorTable!$B$2:$Y$301, MATCH(ROUND(MIN(300,MAX(1,D739)),0), FactorTable!$A$2:$A$301,0), Skills!M9+1)</f>
        <v/>
      </c>
      <c r="F739">
        <f>IF(Skills!N9=TRUE,(Skills!L9/10)*(E739/1000),Skills!L9/10)+Skills!O9</f>
        <v/>
      </c>
      <c r="G739">
        <f>Calc!G9</f>
        <v/>
      </c>
      <c r="H739">
        <f>Calc!H9</f>
        <v/>
      </c>
      <c r="I739">
        <f>IF(Skills!X9&lt;&gt;"",1+(Skills!X9/10)*(Z733/1000)/100,1)</f>
        <v/>
      </c>
      <c r="J739">
        <f>((Inputs!$B$6*(1+Inputs!$B$7/100))+(((Inputs!$B$12*(1+Inputs!$B$13/100))-(Inputs!$B$12*(1+Inputs!$B$13/100)))+0.25*(Inputs!$B$14-Inputs!$B$14))*(1+Inputs!$B$7/100))*(F739/100)</f>
        <v/>
      </c>
      <c r="K739">
        <f>J739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739)</f>
        <v/>
      </c>
      <c r="L739">
        <f>K739*(MIN(Inputs!$B$22+(F752-Calc!F22),(Inputs!$B$23+(IF(ArtifactsInput!$M$15,CHOOSE(ArtifactsInput!$N$15+1,25,30,35,40,45,50)/100*(Inputs!$B$11-Inputs!$B$11),0))))/100+(Inputs!$B$23+(IF(ArtifactsInput!$M$15,CHOOSE(ArtifactsInput!$N$15+1,25,30,35,40,45,50)/100*(Inputs!$B$11-Inputs!$B$11),0)))/100)/2</f>
        <v/>
      </c>
      <c r="M739">
        <f>L739*(1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9">
        <f>L739*(1-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739*(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9">
        <f>(1-Summary!$B$11)*S739+Summary!$B$11*U739</f>
        <v/>
      </c>
      <c r="P739">
        <f>IF(B771=0,0,O739/B771)</f>
        <v/>
      </c>
      <c r="Q739">
        <f>IFERROR(1/(IF(Inputs!$B$38="pvp",15,MAX(0.1,Skills!E9-IF(Skills!F7=TRUE,Inputs!$B$32,0)))*(1-IF(AND(ArtifactsInput!$M$27,Inputs!$B$4="Chapter Hunt"),CHOOSE(ArtifactsInput!$N$27+1,20,24,28,32,36,40),0)/100)),0)</f>
        <v/>
      </c>
      <c r="R739">
        <f>IF(AND(Inputs!$B$38&lt;&gt;"pvp",Inputs!$B$43&gt;0),IF(MAX(0,Inputs!$B$43-B768)&lt;=0,0,(INT(MAX(0,Inputs!$B$43-B768)/(IF(Inputs!$B$38="pvp",15,MAX(0.1,Skills!E9-IF(Skills!F7=TRUE,Inputs!$B$32,0)))*(1-IF(AND(ArtifactsInput!$M$27,Inputs!$B$4="Chapter Hunt"),CHOOSE(ArtifactsInput!$N$27+1,20,24,28,32,36,40),0)/100)))+1)),0)</f>
        <v/>
      </c>
      <c r="S739">
        <f>IF(C739,(H739*N739*IF(AND(Inputs!$B$38&lt;&gt;"pvp",Inputs!$B$43&gt;0),((Skills!G9*((R739-1)*IF(Skills!H9&gt;0,Skills!I9/Skills!H9,1)+IF(Skills!H9&gt;0,MIN(Skills!I9,MAX(0,MAX(0,Inputs!$B$43-B768)-((R739-1)*(IF(Inputs!$B$38="pvp",15,MAX(0.1,Skills!E9-IF(Skills!F7=TRUE,Inputs!$B$32,0)))*(1-IF(AND(ArtifactsInput!$M$27,Inputs!$B$4="Chapter Hunt"),CHOOSE(ArtifactsInput!$N$27+1,20,24,28,32,36,40),0)/100)))))/Skills!H9,1)))/Inputs!$B$43),G739*Q739)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739*(1-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739*(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739*(1-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739*(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9">
        <f>IF(C739,(H739*N739*IF(AND(Inputs!$B$38&lt;&gt;"pvp",Inputs!$B$43&gt;0),((Skills!G9*((R739-1)*IF(Skills!H9&gt;0,Skills!I9/Skills!H9,1)+IF(Skills!H9&gt;0,MIN(Skills!I9,MAX(0,MAX(0,Inputs!$B$43-B768)-((R739-1)*(IF(Inputs!$B$38="pvp",15,MAX(0.1,Skills!E9-IF(Skills!F7=TRUE,Inputs!$B$32,0)))*(1-IF(AND(ArtifactsInput!$M$27,Inputs!$B$4="Chapter Hunt"),CHOOSE(ArtifactsInput!$N$27+1,20,24,28,32,36,40),0)/100)))))/Skills!H9,1)))/Inputs!$B$43),G739*Q739)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0">
      <c r="A740">
        <f>Skills!A10</f>
        <v/>
      </c>
      <c r="B740">
        <f>Skills!B10</f>
        <v/>
      </c>
      <c r="C740">
        <f>TRUE</f>
        <v/>
      </c>
      <c r="D740">
        <f>IF(Skills!C10=1,60+(Inputs!$B$25+1)+Inputs!$B$29,IF(Skills!C10=2,90+Inputs!$B$26+Inputs!$B$29,IF(Skills!C10=3,120+Inputs!$B$27+Inputs!$B$29,MAX(0,(Inputs!$B$3-100)*3)+Inputs!$B$28+Inputs!$B$29)))</f>
        <v/>
      </c>
      <c r="E740">
        <f>INDEX(FactorTable!$B$2:$Y$301, MATCH(ROUND(MIN(300,MAX(1,D740)),0), FactorTable!$A$2:$A$301,0), Skills!M10+1)</f>
        <v/>
      </c>
      <c r="F740">
        <f>IF(Skills!N10=TRUE,(Skills!L10/10)*(E740/1000),Skills!L10/10)+Skills!O10</f>
        <v/>
      </c>
      <c r="G740">
        <f>Calc!G10</f>
        <v/>
      </c>
      <c r="H740">
        <f>Calc!H10</f>
        <v/>
      </c>
      <c r="I740">
        <f>IF(Skills!X10&lt;&gt;"",1+(Skills!X10/10)*(Z733/1000)/100,1)</f>
        <v/>
      </c>
      <c r="J740">
        <f>((Inputs!$B$6*(1+Inputs!$B$7/100))+(((Inputs!$B$12*(1+Inputs!$B$13/100))-(Inputs!$B$12*(1+Inputs!$B$13/100)))+0.25*(Inputs!$B$14-Inputs!$B$14))*(1+Inputs!$B$7/100))*(F740/100)</f>
        <v/>
      </c>
      <c r="K740">
        <f>J740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740)</f>
        <v/>
      </c>
      <c r="L740">
        <f>K740*(MIN(Inputs!$B$22+(F752-Calc!F22),(Inputs!$B$23+(IF(ArtifactsInput!$M$15,CHOOSE(ArtifactsInput!$N$15+1,25,30,35,40,45,50)/100*(Inputs!$B$11-Inputs!$B$11),0))))/100+(Inputs!$B$23+(IF(ArtifactsInput!$M$15,CHOOSE(ArtifactsInput!$N$15+1,25,30,35,40,45,50)/100*(Inputs!$B$11-Inputs!$B$11),0)))/100)/2</f>
        <v/>
      </c>
      <c r="M740">
        <f>L740*(1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0">
        <f>L740*(1-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740*(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0">
        <f>(1-Summary!$B$11)*S740+Summary!$B$11*U740</f>
        <v/>
      </c>
      <c r="P740">
        <f>IF(B771=0,0,O740/B771)</f>
        <v/>
      </c>
      <c r="Q740">
        <f>IFERROR(1/(IF(Inputs!$B$38="pvp",15,MAX(0.1,Skills!E10-IF(Skills!F10=TRUE,Inputs!$B$32,0)))*(1-IF(AND(ArtifactsInput!$M$27,Inputs!$B$4="Chapter Hunt"),CHOOSE(ArtifactsInput!$N$27+1,20,24,28,32,36,40),0)/100)),0)</f>
        <v/>
      </c>
      <c r="R740">
        <f>IF(AND(Inputs!$B$38&lt;&gt;"pvp",Inputs!$B$43&gt;0),IF(MAX(0,Inputs!$B$43-B768)&lt;=0,0,(INT(MAX(0,Inputs!$B$43-B768)/(IF(Inputs!$B$38="pvp",15,MAX(0.1,Skills!E10-IF(Skills!F10=TRUE,Inputs!$B$32,0)))*(1-IF(AND(ArtifactsInput!$M$27,Inputs!$B$4="Chapter Hunt"),CHOOSE(ArtifactsInput!$N$27+1,20,24,28,32,36,40),0)/100)))+1)),0)</f>
        <v/>
      </c>
      <c r="S740">
        <f>IF(C740,(H740*N740*IF(AND(Inputs!$B$38&lt;&gt;"pvp",Inputs!$B$43&gt;0),((Skills!G10*((R740-1)*IF(Skills!H10&gt;0,Skills!I10/Skills!H10,1)+IF(Skills!H10&gt;0,MIN(Skills!I10,MAX(0,MAX(0,Inputs!$B$43-B768)-((R740-1)*(IF(Inputs!$B$38="pvp",15,MAX(0.1,Skills!E10-IF(Skills!F10=TRUE,Inputs!$B$32,0)))*(1-IF(AND(ArtifactsInput!$M$27,Inputs!$B$4="Chapter Hunt"),CHOOSE(ArtifactsInput!$N$27+1,20,24,28,32,36,40),0)/100)))))/Skills!H10,1)))/Inputs!$B$43),G740*Q740)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740*(1-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740*(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740*(1-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740*(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0">
        <f>IF(C740,(H740*N740*IF(AND(Inputs!$B$38&lt;&gt;"pvp",Inputs!$B$43&gt;0),((Skills!G10*((R740-1)*IF(Skills!H10&gt;0,Skills!I10/Skills!H10,1)+IF(Skills!H10&gt;0,MIN(Skills!I10,MAX(0,MAX(0,Inputs!$B$43-B768)-((R740-1)*(IF(Inputs!$B$38="pvp",15,MAX(0.1,Skills!E10-IF(Skills!F10=TRUE,Inputs!$B$32,0)))*(1-IF(AND(ArtifactsInput!$M$27,Inputs!$B$4="Chapter Hunt"),CHOOSE(ArtifactsInput!$N$27+1,20,24,28,32,36,40),0)/100)))))/Skills!H10,1)))/Inputs!$B$43),G740*Q740)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1">
      <c r="A741">
        <f>Skills!A11</f>
        <v/>
      </c>
      <c r="B741">
        <f>Skills!B11</f>
        <v/>
      </c>
      <c r="C741">
        <f>TRUE</f>
        <v/>
      </c>
      <c r="D741">
        <f>IF(Skills!C11=1,60+(Inputs!$B$25+1)+Inputs!$B$29,IF(Skills!C11=2,90+Inputs!$B$26+Inputs!$B$29,IF(Skills!C11=3,120+Inputs!$B$27+Inputs!$B$29,MAX(0,(Inputs!$B$3-100)*3)+Inputs!$B$28+Inputs!$B$29)))</f>
        <v/>
      </c>
      <c r="E741">
        <f>INDEX(FactorTable!$B$2:$Y$301, MATCH(ROUND(MIN(300,MAX(1,D741)),0), FactorTable!$A$2:$A$301,0), Skills!M11+1)</f>
        <v/>
      </c>
      <c r="F741">
        <f>IF(Skills!N11=TRUE,(Skills!L11/10)*(E741/1000),Skills!L11/10)+Skills!O11</f>
        <v/>
      </c>
      <c r="G741">
        <f>Calc!G11</f>
        <v/>
      </c>
      <c r="H741">
        <f>Calc!H11</f>
        <v/>
      </c>
      <c r="I741">
        <f>IF(Skills!X11&lt;&gt;"",1+(Skills!X11/10)*(Z733/1000)/100,1)</f>
        <v/>
      </c>
      <c r="J741" t="inlineStr"/>
      <c r="K741" t="inlineStr"/>
      <c r="L741" t="inlineStr"/>
      <c r="M741" t="inlineStr"/>
      <c r="N741" t="inlineStr"/>
      <c r="O741">
        <f>(1-Summary!$B$11)*S741+Summary!$B$11*U741</f>
        <v/>
      </c>
      <c r="P741">
        <f>IF(B771=0,0,O741/B771)</f>
        <v/>
      </c>
      <c r="Q741">
        <f>IFERROR(1/(IF(Inputs!$B$38="pvp",15,MAX(0.1,Skills!E11-IF(Skills!F11=TRUE,Inputs!$B$32,0)))*(1-IF(AND(ArtifactsInput!$M$27,Inputs!$B$4="Chapter Hunt"),CHOOSE(ArtifactsInput!$N$27+1,20,24,28,32,36,40),0)/100)),0)</f>
        <v/>
      </c>
      <c r="R741" t="n">
        <v>0</v>
      </c>
      <c r="S741" t="n">
        <v>0</v>
      </c>
      <c r="U741" t="n">
        <v>0</v>
      </c>
    </row>
    <row r="742">
      <c r="A742">
        <f>Skills!A12</f>
        <v/>
      </c>
      <c r="B742">
        <f>Skills!B12</f>
        <v/>
      </c>
      <c r="C742">
        <f>TRUE</f>
        <v/>
      </c>
      <c r="D742">
        <f>IF(Skills!C12=1,60+(Inputs!$B$25+1)+Inputs!$B$29,IF(Skills!C12=2,90+Inputs!$B$26+Inputs!$B$29,IF(Skills!C12=3,120+Inputs!$B$27+Inputs!$B$29,MAX(0,(Inputs!$B$3-100)*3)+Inputs!$B$28+Inputs!$B$29)))</f>
        <v/>
      </c>
      <c r="E742">
        <f>INDEX(FactorTable!$B$2:$Y$301, MATCH(ROUND(MIN(300,MAX(1,D742)),0), FactorTable!$A$2:$A$301,0), Skills!M12+1)</f>
        <v/>
      </c>
      <c r="F742">
        <f>IF(Skills!N12=TRUE,(Skills!L12/10)*(E742/1000),Skills!L12/10)+Skills!O12</f>
        <v/>
      </c>
      <c r="G742">
        <f>Calc!G12</f>
        <v/>
      </c>
      <c r="H742">
        <f>Calc!H12</f>
        <v/>
      </c>
      <c r="I742">
        <f>IF(Skills!X12&lt;&gt;"",1+(Skills!X12/10)*(Z733/1000)/100,1)</f>
        <v/>
      </c>
      <c r="J742" t="inlineStr"/>
      <c r="K742" t="inlineStr"/>
      <c r="L742" t="inlineStr"/>
      <c r="M742" t="inlineStr"/>
      <c r="N742" t="inlineStr"/>
      <c r="O742">
        <f>(1-Summary!$B$11)*S742+Summary!$B$11*U742</f>
        <v/>
      </c>
      <c r="P742">
        <f>IF(B771=0,0,O742/B771)</f>
        <v/>
      </c>
      <c r="Q742">
        <f>IFERROR(1/(IF(Inputs!$B$38="pvp",15,MAX(0.1,Skills!E12-IF(Skills!F12=TRUE,Inputs!$B$32,0)))*(1-IF(AND(ArtifactsInput!$M$27,Inputs!$B$4="Chapter Hunt"),CHOOSE(ArtifactsInput!$N$27+1,20,24,28,32,36,40),0)/100)),0)</f>
        <v/>
      </c>
      <c r="R742" t="n">
        <v>0</v>
      </c>
      <c r="S742" t="n">
        <v>0</v>
      </c>
      <c r="U742" t="n">
        <v>0</v>
      </c>
    </row>
    <row r="743">
      <c r="A743">
        <f>Skills!A13</f>
        <v/>
      </c>
      <c r="B743">
        <f>Skills!B13</f>
        <v/>
      </c>
      <c r="C743">
        <f>Inputs!$B$3&gt;=105</f>
        <v/>
      </c>
      <c r="D743">
        <f>IF(Skills!C13=1,60+(Inputs!$B$25+1)+Inputs!$B$29,IF(Skills!C13=2,90+Inputs!$B$26+Inputs!$B$29,IF(Skills!C13=3,120+Inputs!$B$27+Inputs!$B$29,MAX(0,(Inputs!$B$3-100)*3)+Inputs!$B$28+Inputs!$B$29)))</f>
        <v/>
      </c>
      <c r="E743">
        <f>INDEX(FactorTable!$B$2:$Y$301, MATCH(ROUND(MIN(300,MAX(1,D743)),0), FactorTable!$A$2:$A$301,0), Skills!M13+1)</f>
        <v/>
      </c>
      <c r="F743">
        <f>IF(Skills!N13=TRUE,(Skills!L13/10)*(E743/1000),Skills!L13/10)+Skills!O13</f>
        <v/>
      </c>
      <c r="G743">
        <f>Calc!G13</f>
        <v/>
      </c>
      <c r="H743">
        <f>Calc!H13</f>
        <v/>
      </c>
      <c r="I743">
        <f>IF(Skills!X13&lt;&gt;"",1+(Skills!X13/10)*(Z733/1000)/100,1)</f>
        <v/>
      </c>
      <c r="J743">
        <f>((Inputs!$B$6*(1+Inputs!$B$7/100))+(((Inputs!$B$12*(1+Inputs!$B$13/100))-(Inputs!$B$12*(1+Inputs!$B$13/100)))+0.25*(Inputs!$B$14-Inputs!$B$14))*(1+Inputs!$B$7/100))*(F743/100)</f>
        <v/>
      </c>
      <c r="K743">
        <f>J743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743)</f>
        <v/>
      </c>
      <c r="L743">
        <f>K743*(MIN(Inputs!$B$22+(F752-Calc!F22),(Inputs!$B$23+(IF(ArtifactsInput!$M$15,CHOOSE(ArtifactsInput!$N$15+1,25,30,35,40,45,50)/100*(Inputs!$B$11-Inputs!$B$11),0))))/100+(Inputs!$B$23+(IF(ArtifactsInput!$M$15,CHOOSE(ArtifactsInput!$N$15+1,25,30,35,40,45,50)/100*(Inputs!$B$11-Inputs!$B$11),0)))/100)/2</f>
        <v/>
      </c>
      <c r="M743">
        <f>L743*(1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3">
        <f>L743*(1-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743*(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3">
        <f>(1-Summary!$B$11)*S743+Summary!$B$11*U743</f>
        <v/>
      </c>
      <c r="P743">
        <f>IF(B771=0,0,O743/B771)</f>
        <v/>
      </c>
      <c r="Q743">
        <f>IFERROR(1/(IF(Inputs!$B$38="pvp",15,MAX(0.1,Skills!E13-IF(Skills!F13=TRUE,Inputs!$B$32,0)))*(1-IF(AND(ArtifactsInput!$M$27,Inputs!$B$4="Chapter Hunt"),CHOOSE(ArtifactsInput!$N$27+1,20,24,28,32,36,40),0)/100)),0)</f>
        <v/>
      </c>
      <c r="R743">
        <f>IF(AND(Inputs!$B$38&lt;&gt;"pvp",Inputs!$B$43&gt;0),IF(MAX(0,Inputs!$B$43-B768)&lt;=0,0,(INT(MAX(0,Inputs!$B$43-B768)/(IF(Inputs!$B$38="pvp",15,MAX(0.1,Skills!E13-IF(Skills!F13=TRUE,Inputs!$B$32,0)))*(1-IF(AND(ArtifactsInput!$M$27,Inputs!$B$4="Chapter Hunt"),CHOOSE(ArtifactsInput!$N$27+1,20,24,28,32,36,40),0)/100)))+1)),0)</f>
        <v/>
      </c>
      <c r="S743">
        <f>IF(C743,(H743*N743*IF(AND(Inputs!$B$38&lt;&gt;"pvp",Inputs!$B$43&gt;0),((Skills!G13*((R743-1)*IF(Skills!H13&gt;0,Skills!I13/Skills!H13,1)+IF(Skills!H13&gt;0,MIN(Skills!I13,MAX(0,MAX(0,Inputs!$B$43-B768)-((R743-1)*(IF(Inputs!$B$38="pvp",15,MAX(0.1,Skills!E13-IF(Skills!F13=TRUE,Inputs!$B$32,0)))*(1-IF(AND(ArtifactsInput!$M$27,Inputs!$B$4="Chapter Hunt"),CHOOSE(ArtifactsInput!$N$27+1,20,24,28,32,36,40),0)/100)))))/Skills!H13,1)))/Inputs!$B$43),G743*Q743)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743*(1-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743*(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743*(1-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743*(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3">
        <f>IF(C743,(H743*N743*IF(AND(Inputs!$B$38&lt;&gt;"pvp",Inputs!$B$43&gt;0),((Skills!G13*((R743-1)*IF(Skills!H13&gt;0,Skills!I13/Skills!H13,1)+IF(Skills!H13&gt;0,MIN(Skills!I13,MAX(0,MAX(0,Inputs!$B$43-B768)-((R743-1)*(IF(Inputs!$B$38="pvp",15,MAX(0.1,Skills!E13-IF(Skills!F13=TRUE,Inputs!$B$32,0)))*(1-IF(AND(ArtifactsInput!$M$27,Inputs!$B$4="Chapter Hunt"),CHOOSE(ArtifactsInput!$N$27+1,20,24,28,32,36,40),0)/100)))))/Skills!H13,1)))/Inputs!$B$43),G743*Q743)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4">
      <c r="A744">
        <f>Skills!A14</f>
        <v/>
      </c>
      <c r="B744">
        <f>Skills!B14</f>
        <v/>
      </c>
      <c r="C744">
        <f>Inputs!$B$3&gt;=113</f>
        <v/>
      </c>
      <c r="D744">
        <f>IF(Skills!C14=1,60+(Inputs!$B$25+1)+Inputs!$B$29,IF(Skills!C14=2,90+Inputs!$B$26+Inputs!$B$29,IF(Skills!C14=3,120+Inputs!$B$27+Inputs!$B$29,MAX(0,(Inputs!$B$3-100)*3)+Inputs!$B$28+Inputs!$B$29)))</f>
        <v/>
      </c>
      <c r="E744">
        <f>INDEX(FactorTable!$B$2:$Y$301, MATCH(ROUND(MIN(300,MAX(1,D744)),0), FactorTable!$A$2:$A$301,0), Skills!M14+1)</f>
        <v/>
      </c>
      <c r="F744">
        <f>IF(Skills!N14=TRUE,(Skills!L14/10)*(E744/1000),Skills!L14/10)+Skills!O14</f>
        <v/>
      </c>
      <c r="G744">
        <f>Calc!G14</f>
        <v/>
      </c>
      <c r="H744">
        <f>Calc!H14</f>
        <v/>
      </c>
      <c r="I744">
        <f>IF(Skills!X14&lt;&gt;"",1+(Skills!X14/10)*(Z733/1000)/100,1)</f>
        <v/>
      </c>
      <c r="J744">
        <f>((Inputs!$B$6*(1+Inputs!$B$7/100))+(((Inputs!$B$12*(1+Inputs!$B$13/100))-(Inputs!$B$12*(1+Inputs!$B$13/100)))+0.25*(Inputs!$B$14-Inputs!$B$14))*(1+Inputs!$B$7/100))*(F744/100)</f>
        <v/>
      </c>
      <c r="K744">
        <f>J744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744)</f>
        <v/>
      </c>
      <c r="L744">
        <f>K744*(MIN(Inputs!$B$22+(F752-Calc!F22),(Inputs!$B$23+(IF(ArtifactsInput!$M$15,CHOOSE(ArtifactsInput!$N$15+1,25,30,35,40,45,50)/100*(Inputs!$B$11-Inputs!$B$11),0))))/100+(Inputs!$B$23+(IF(ArtifactsInput!$M$15,CHOOSE(ArtifactsInput!$N$15+1,25,30,35,40,45,50)/100*(Inputs!$B$11-Inputs!$B$11),0)))/100)/2</f>
        <v/>
      </c>
      <c r="M744">
        <f>L744*(1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4">
        <f>L744*(1-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744*(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4">
        <f>(1-Summary!$B$11)*S744+Summary!$B$11*U744</f>
        <v/>
      </c>
      <c r="P744">
        <f>IF(B771=0,0,O744/B771)</f>
        <v/>
      </c>
      <c r="Q744">
        <f>IFERROR(1/(IF(Inputs!$B$38="pvp",15,MAX(0.1,Skills!E14-IF(Skills!F14=TRUE,Inputs!$B$32,0)))*(1-IF(AND(ArtifactsInput!$M$27,Inputs!$B$4="Chapter Hunt"),CHOOSE(ArtifactsInput!$N$27+1,20,24,28,32,36,40),0)/100)),0)</f>
        <v/>
      </c>
      <c r="R744" t="n">
        <v>0</v>
      </c>
      <c r="S744">
        <f>IF(C744,((H744*B767)/(1+Skills!H14*H744*B767)*N744)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744*(1-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744*(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744*(1-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744*(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4">
        <f>IF(C744,((H744*B767)/(1+Skills!H14*H744*B767)*N744)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5">
      <c r="A745">
        <f>Skills!A15</f>
        <v/>
      </c>
      <c r="B745">
        <f>Skills!B15</f>
        <v/>
      </c>
      <c r="C745">
        <f>Inputs!$B$3&gt;=107</f>
        <v/>
      </c>
      <c r="D745">
        <f>IF(Skills!C15=1,60+(Inputs!$B$25+1)+Inputs!$B$29,IF(Skills!C15=2,90+Inputs!$B$26+Inputs!$B$29,IF(Skills!C15=3,120+Inputs!$B$27+Inputs!$B$29,MAX(0,(Inputs!$B$3-100)*3)+Inputs!$B$28+Inputs!$B$29)))</f>
        <v/>
      </c>
      <c r="E745">
        <f>INDEX(FactorTable!$B$2:$Y$301, MATCH(ROUND(MIN(300,MAX(1,D745)),0), FactorTable!$A$2:$A$301,0), Skills!M15+1)</f>
        <v/>
      </c>
      <c r="F745">
        <f>IF(Skills!N15=TRUE,(Skills!L15/10)*(E745/1000),Skills!L15/10)+Skills!O15</f>
        <v/>
      </c>
      <c r="G745">
        <f>Calc!G15</f>
        <v/>
      </c>
      <c r="H745">
        <f>Calc!H15</f>
        <v/>
      </c>
      <c r="I745">
        <f>IF(Skills!X15&lt;&gt;"",1+(Skills!X15/10)*(Z733/1000)/100,1)</f>
        <v/>
      </c>
      <c r="J745">
        <f>((Inputs!$B$6*(1+Inputs!$B$7/100))+(((Inputs!$B$12*(1+Inputs!$B$13/100))-(Inputs!$B$12*(1+Inputs!$B$13/100)))+0.25*(Inputs!$B$14-Inputs!$B$14))*(1+Inputs!$B$7/100))*(F745/100)</f>
        <v/>
      </c>
      <c r="K745">
        <f>J745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745)</f>
        <v/>
      </c>
      <c r="L745">
        <f>K745*(MIN(Inputs!$B$22+(F752-Calc!F22),(Inputs!$B$23+(IF(ArtifactsInput!$M$15,CHOOSE(ArtifactsInput!$N$15+1,25,30,35,40,45,50)/100*(Inputs!$B$11-Inputs!$B$11),0))))/100+(Inputs!$B$23+(IF(ArtifactsInput!$M$15,CHOOSE(ArtifactsInput!$N$15+1,25,30,35,40,45,50)/100*(Inputs!$B$11-Inputs!$B$11),0)))/100)/2</f>
        <v/>
      </c>
      <c r="M745">
        <f>L745*(1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5">
        <f>L745*(1-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745*(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5">
        <f>(1-Summary!$B$11)*S745+Summary!$B$11*U745</f>
        <v/>
      </c>
      <c r="P745">
        <f>IF(B771=0,0,O745/B771)</f>
        <v/>
      </c>
      <c r="Q745">
        <f>IFERROR(1/(IF(Inputs!$B$38="pvp",15,MAX(0.1,Skills!E15-IF(Skills!F15=TRUE,Inputs!$B$32,0)))*(1-IF(AND(ArtifactsInput!$M$27,Inputs!$B$4="Chapter Hunt"),CHOOSE(ArtifactsInput!$N$27+1,20,24,28,32,36,40),0)/100)),0)</f>
        <v/>
      </c>
      <c r="R745">
        <f>IF(AND(Inputs!$B$38&lt;&gt;"pvp",Inputs!$B$43&gt;0),IF(MAX(0,Inputs!$B$43-B768)&lt;=0,0,(INT(MAX(0,Inputs!$B$43-B768)/(IF(Inputs!$B$38="pvp",15,MAX(0.1,Skills!E15-IF(Skills!F15=TRUE,Inputs!$B$32,0)))*(1-IF(AND(ArtifactsInput!$M$27,Inputs!$B$4="Chapter Hunt"),CHOOSE(ArtifactsInput!$N$27+1,20,24,28,32,36,40),0)/100)))+1)),0)</f>
        <v/>
      </c>
      <c r="S745">
        <f>IF(C745,(H745*N745*IF(AND(Inputs!$B$38&lt;&gt;"pvp",Inputs!$B$43&gt;0),((Skills!G15*((R745-1)*IF(Skills!H15&gt;0,Skills!I15/Skills!H15,1)+IF(Skills!H15&gt;0,MIN(Skills!I15,MAX(0,MAX(0,Inputs!$B$43-B768)-((R745-1)*(IF(Inputs!$B$38="pvp",15,MAX(0.1,Skills!E15-IF(Skills!F15=TRUE,Inputs!$B$32,0)))*(1-IF(AND(ArtifactsInput!$M$27,Inputs!$B$4="Chapter Hunt"),CHOOSE(ArtifactsInput!$N$27+1,20,24,28,32,36,40),0)/100)))))/Skills!H15,1)))/Inputs!$B$43),G745*Q745)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745*(1-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745*(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745*(1-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745*(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5">
        <f>IF(C745,(H745*N745*IF(AND(Inputs!$B$38&lt;&gt;"pvp",Inputs!$B$43&gt;0),((Skills!G15*((R745-1)*IF(Skills!H15&gt;0,Skills!I15/Skills!H15,1)+IF(Skills!H15&gt;0,MIN(Skills!I15,MAX(0,MAX(0,Inputs!$B$43-B768)-((R745-1)*(IF(Inputs!$B$38="pvp",15,MAX(0.1,Skills!E15-IF(Skills!F15=TRUE,Inputs!$B$32,0)))*(1-IF(AND(ArtifactsInput!$M$27,Inputs!$B$4="Chapter Hunt"),CHOOSE(ArtifactsInput!$N$27+1,20,24,28,32,36,40),0)/100)))))/Skills!H15,1)))/Inputs!$B$43),G745*Q745)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6">
      <c r="A746">
        <f>Skills!A16</f>
        <v/>
      </c>
      <c r="B746">
        <f>Skills!B16</f>
        <v/>
      </c>
      <c r="C746">
        <f>Inputs!$B$3&gt;=107</f>
        <v/>
      </c>
      <c r="D746">
        <f>IF(Skills!C16=1,60+(Inputs!$B$25+1)+Inputs!$B$29,IF(Skills!C16=2,90+Inputs!$B$26+Inputs!$B$29,IF(Skills!C16=3,120+Inputs!$B$27+Inputs!$B$29,MAX(0,(Inputs!$B$3-100)*3)+Inputs!$B$28+Inputs!$B$29)))</f>
        <v/>
      </c>
      <c r="E746">
        <f>INDEX(FactorTable!$B$2:$Y$301, MATCH(ROUND(MIN(300,MAX(1,D746)),0), FactorTable!$A$2:$A$301,0), Skills!M16+1)</f>
        <v/>
      </c>
      <c r="F746">
        <f>IF(Skills!N16=TRUE,(Skills!L16/10)*(E746/1000),Skills!L16/10)+Skills!O16</f>
        <v/>
      </c>
      <c r="G746">
        <f>Calc!G16</f>
        <v/>
      </c>
      <c r="H746">
        <f>Calc!H16</f>
        <v/>
      </c>
      <c r="I746">
        <f>IF(Skills!X16&lt;&gt;"",1+(Skills!X16/10)*(Z733/1000)/100,1)</f>
        <v/>
      </c>
      <c r="J746">
        <f>((Inputs!$B$6*(1+Inputs!$B$7/100))+(((Inputs!$B$12*(1+Inputs!$B$13/100))-(Inputs!$B$12*(1+Inputs!$B$13/100)))+0.25*(Inputs!$B$14-Inputs!$B$14))*(1+Inputs!$B$7/100))*(F746/100)</f>
        <v/>
      </c>
      <c r="K746">
        <f>J746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746)</f>
        <v/>
      </c>
      <c r="L746">
        <f>K746*(MIN(Inputs!$B$22+(F752-Calc!F22),(Inputs!$B$23+(IF(ArtifactsInput!$M$15,CHOOSE(ArtifactsInput!$N$15+1,25,30,35,40,45,50)/100*(Inputs!$B$11-Inputs!$B$11),0))))/100+(Inputs!$B$23+(IF(ArtifactsInput!$M$15,CHOOSE(ArtifactsInput!$N$15+1,25,30,35,40,45,50)/100*(Inputs!$B$11-Inputs!$B$11),0)))/100)/2</f>
        <v/>
      </c>
      <c r="M746">
        <f>L746*(1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6">
        <f>L746*(1-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746*(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6">
        <f>(1-Summary!$B$11)*S746+Summary!$B$11*U746</f>
        <v/>
      </c>
      <c r="P746">
        <f>IF(B771=0,0,O746/B771)</f>
        <v/>
      </c>
      <c r="Q746">
        <f>IFERROR(1/(IF(Inputs!$B$38="pvp",15,MAX(0.1,Skills!E16-IF(Skills!F16=TRUE,Inputs!$B$32,0)))*(1-IF(AND(ArtifactsInput!$M$27,Inputs!$B$4="Chapter Hunt"),CHOOSE(ArtifactsInput!$N$27+1,20,24,28,32,36,40),0)/100)),0)</f>
        <v/>
      </c>
      <c r="R746">
        <f>IF(AND(Inputs!$B$38&lt;&gt;"pvp",Inputs!$B$43&gt;0),IF(MAX(0,Inputs!$B$43-B768)&lt;=0,0,(INT(MAX(0,Inputs!$B$43-B768)/(IF(Inputs!$B$38="pvp",15,MAX(0.1,Skills!E16-IF(Skills!F16=TRUE,Inputs!$B$32,0)))*(1-IF(AND(ArtifactsInput!$M$27,Inputs!$B$4="Chapter Hunt"),CHOOSE(ArtifactsInput!$N$27+1,20,24,28,32,36,40),0)/100)))+1)),0)</f>
        <v/>
      </c>
      <c r="S746">
        <f>IF(C746,(H746*N746*IF(AND(Inputs!$B$38&lt;&gt;"pvp",Inputs!$B$43&gt;0),((Skills!G16*((R746-1)*IF(Skills!H16&gt;0,Skills!I16/Skills!H16,1)+IF(Skills!H16&gt;0,MIN(Skills!I16,MAX(0,MAX(0,Inputs!$B$43-B768)-((R746-1)*(IF(Inputs!$B$38="pvp",15,MAX(0.1,Skills!E16-IF(Skills!F16=TRUE,Inputs!$B$32,0)))*(1-IF(AND(ArtifactsInput!$M$27,Inputs!$B$4="Chapter Hunt"),CHOOSE(ArtifactsInput!$N$27+1,20,24,28,32,36,40),0)/100)))))/Skills!H16,1)))/Inputs!$B$43),G746*Q746)*(1+IF(Inputs!$B$3&gt;=126,0.05*(B766+Q743+(H744*B767)/(1+Skills!H14*H744*B767)+Q754)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746*(1-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746*(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746*(1-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746*(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6">
        <f>IF(C746,(H746*N746*IF(AND(Inputs!$B$38&lt;&gt;"pvp",Inputs!$B$43&gt;0),((Skills!G16*((R746-1)*IF(Skills!H16&gt;0,Skills!I16/Skills!H16,1)+IF(Skills!H16&gt;0,MIN(Skills!I16,MAX(0,MAX(0,Inputs!$B$43-B768)-((R746-1)*(IF(Inputs!$B$38="pvp",15,MAX(0.1,Skills!E16-IF(Skills!F16=TRUE,Inputs!$B$32,0)))*(1-IF(AND(ArtifactsInput!$M$27,Inputs!$B$4="Chapter Hunt"),CHOOSE(ArtifactsInput!$N$27+1,20,24,28,32,36,40),0)/100)))))/Skills!H16,1)))/Inputs!$B$43),G746*Q746)*(1+IF(Inputs!$B$3&gt;=126,0.05*(B766+Q743+(H744*B767)/(1+Skills!H14*H744*B767)+Q754)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7">
      <c r="A747">
        <f>Skills!A17</f>
        <v/>
      </c>
      <c r="B747">
        <f>Skills!B17</f>
        <v/>
      </c>
      <c r="C747">
        <f>TRUE</f>
        <v/>
      </c>
      <c r="D747">
        <f>IF(Skills!C17=1,60+(Inputs!$B$25+1)+Inputs!$B$29,IF(Skills!C17=2,90+Inputs!$B$26+Inputs!$B$29,IF(Skills!C17=3,120+Inputs!$B$27+Inputs!$B$29,MAX(0,(Inputs!$B$3-100)*3)+Inputs!$B$28+Inputs!$B$29)))</f>
        <v/>
      </c>
      <c r="E747">
        <f>INDEX(FactorTable!$B$2:$Y$301, MATCH(ROUND(MIN(300,MAX(1,D747)),0), FactorTable!$A$2:$A$301,0), Skills!M17+1)</f>
        <v/>
      </c>
      <c r="F747">
        <f>IF(Skills!N17=TRUE,(Skills!L17/10)*(E747/1000),Skills!L17/10)+Skills!O17</f>
        <v/>
      </c>
      <c r="G747">
        <f>Calc!G17</f>
        <v/>
      </c>
      <c r="H747">
        <f>Calc!H17</f>
        <v/>
      </c>
      <c r="I747">
        <f>IF(Skills!X17&lt;&gt;"",1+(Skills!X17/10)*(Z733/1000)/100,1)</f>
        <v/>
      </c>
      <c r="J747" t="inlineStr"/>
      <c r="K747" t="inlineStr"/>
      <c r="L747" t="inlineStr"/>
      <c r="M747" t="inlineStr"/>
      <c r="N747" t="inlineStr"/>
      <c r="O747">
        <f>(1-Summary!$B$11)*S747+Summary!$B$11*U747</f>
        <v/>
      </c>
      <c r="P747">
        <f>IF(B771=0,0,O747/B771)</f>
        <v/>
      </c>
      <c r="Q747">
        <f>IFERROR(1/(IF(Inputs!$B$38="pvp",15,MAX(0.1,Skills!E17-IF(Skills!F17=TRUE,Inputs!$B$32,0)))*(1-IF(AND(ArtifactsInput!$M$27,Inputs!$B$4="Chapter Hunt"),CHOOSE(ArtifactsInput!$N$27+1,20,24,28,32,36,40),0)/100)),0)</f>
        <v/>
      </c>
      <c r="R747">
        <f>IF(AND(Inputs!$B$38&lt;&gt;"pvp",Inputs!$B$43&gt;0),IF(Inputs!$B$43&lt;=0,0,(INT(Inputs!$B$43/(IF(Inputs!$B$38="pvp",15,MAX(0.1,Skills!E17-IF(Skills!F17=TRUE,Inputs!$B$32,0)))*(1-IF(AND(ArtifactsInput!$M$27,Inputs!$B$4="Chapter Hunt"),CHOOSE(ArtifactsInput!$N$27+1,20,24,28,32,36,40),0)/100)))+1)),0)</f>
        <v/>
      </c>
      <c r="S747" t="n">
        <v>0</v>
      </c>
      <c r="U747" t="n">
        <v>0</v>
      </c>
    </row>
    <row r="748">
      <c r="A748">
        <f>Skills!A18</f>
        <v/>
      </c>
      <c r="B748">
        <f>Skills!B18</f>
        <v/>
      </c>
      <c r="C748">
        <f>TRUE</f>
        <v/>
      </c>
      <c r="D748">
        <f>IF(Skills!C18=1,60+(Inputs!$B$25+1)+Inputs!$B$29,IF(Skills!C18=2,90+Inputs!$B$26+Inputs!$B$29,IF(Skills!C18=3,120+Inputs!$B$27+Inputs!$B$29,MAX(0,(Inputs!$B$3-100)*3)+Inputs!$B$28+Inputs!$B$29)))</f>
        <v/>
      </c>
      <c r="E748">
        <f>INDEX(FactorTable!$B$2:$Y$301, MATCH(ROUND(MIN(300,MAX(1,D748)),0), FactorTable!$A$2:$A$301,0), Skills!M18+1)</f>
        <v/>
      </c>
      <c r="F748">
        <f>IF(Skills!N18=TRUE,(Skills!L18/10)*(E748/1000),Skills!L18/10)+Skills!O18</f>
        <v/>
      </c>
      <c r="G748">
        <f>Calc!G18</f>
        <v/>
      </c>
      <c r="H748">
        <f>Calc!H18</f>
        <v/>
      </c>
      <c r="I748">
        <f>IF(Skills!X18&lt;&gt;"",1+(Skills!X18/10)*(Z733/1000)/100,1)</f>
        <v/>
      </c>
      <c r="J748" t="inlineStr"/>
      <c r="K748" t="inlineStr"/>
      <c r="L748" t="inlineStr"/>
      <c r="M748" t="inlineStr"/>
      <c r="N748" t="inlineStr"/>
      <c r="O748">
        <f>(1-Summary!$B$11)*S748+Summary!$B$11*U748</f>
        <v/>
      </c>
      <c r="P748">
        <f>IF(B771=0,0,O748/B771)</f>
        <v/>
      </c>
      <c r="Q748">
        <f>IFERROR(1/(IF(Inputs!$B$38="pvp",15,MAX(0.1,Skills!E18-IF(Skills!F18=TRUE,Inputs!$B$32,0)))*(1-IF(AND(ArtifactsInput!$M$27,Inputs!$B$4="Chapter Hunt"),CHOOSE(ArtifactsInput!$N$27+1,20,24,28,32,36,40),0)/100)),0)</f>
        <v/>
      </c>
      <c r="R748">
        <f>IF(AND(Inputs!$B$38&lt;&gt;"pvp",Inputs!$B$43&gt;0),IF(Inputs!$B$43&lt;=0,0,(INT(Inputs!$B$43/(IF(Inputs!$B$38="pvp",15,MAX(0.1,Skills!E18-IF(Skills!F18=TRUE,Inputs!$B$32,0)))*(1-IF(AND(ArtifactsInput!$M$27,Inputs!$B$4="Chapter Hunt"),CHOOSE(ArtifactsInput!$N$27+1,20,24,28,32,36,40),0)/100)))+1)),0)</f>
        <v/>
      </c>
      <c r="S748" t="n">
        <v>0</v>
      </c>
      <c r="U748" t="n">
        <v>0</v>
      </c>
    </row>
    <row r="749">
      <c r="A749">
        <f>Skills!A19</f>
        <v/>
      </c>
      <c r="B749">
        <f>Skills!B19</f>
        <v/>
      </c>
      <c r="C749">
        <f>Inputs!$B$3&gt;=110</f>
        <v/>
      </c>
      <c r="D749">
        <f>IF(Skills!C19=1,60+(Inputs!$B$25+1)+Inputs!$B$29,IF(Skills!C19=2,90+Inputs!$B$26+Inputs!$B$29,IF(Skills!C19=3,120+Inputs!$B$27+Inputs!$B$29,MAX(0,(Inputs!$B$3-100)*3)+Inputs!$B$28+Inputs!$B$29)))</f>
        <v/>
      </c>
      <c r="E749">
        <f>INDEX(FactorTable!$B$2:$Y$301, MATCH(ROUND(MIN(300,MAX(1,D749)),0), FactorTable!$A$2:$A$301,0), Skills!M19+1)</f>
        <v/>
      </c>
      <c r="F749">
        <f>IF(Skills!N19=TRUE,(Skills!L19/10)*(E749/1000),Skills!L19/10)+Skills!O19</f>
        <v/>
      </c>
      <c r="G749">
        <f>Calc!G19</f>
        <v/>
      </c>
      <c r="H749">
        <f>Calc!H19</f>
        <v/>
      </c>
      <c r="I749">
        <f>IF(Skills!X19&lt;&gt;"",1+(Skills!X19/10)*(Z733/1000)/100,1)</f>
        <v/>
      </c>
      <c r="J749" t="inlineStr"/>
      <c r="K749" t="inlineStr"/>
      <c r="L749" t="inlineStr"/>
      <c r="M749" t="inlineStr"/>
      <c r="N749" t="inlineStr"/>
      <c r="O749">
        <f>(1-Summary!$B$11)*S749+Summary!$B$11*U749</f>
        <v/>
      </c>
      <c r="P749">
        <f>IF(B771=0,0,O749/B771)</f>
        <v/>
      </c>
      <c r="Q749">
        <f>IFERROR(1/(IF(Inputs!$B$38="pvp",15,MAX(0.1,Skills!E19-IF(Skills!F19=TRUE,Inputs!$B$32,0)))*(1-IF(AND(ArtifactsInput!$M$27,Inputs!$B$4="Chapter Hunt"),CHOOSE(ArtifactsInput!$N$27+1,20,24,28,32,36,40),0)/100)),0)</f>
        <v/>
      </c>
      <c r="R749">
        <f>IF(AND(Inputs!$B$38&lt;&gt;"pvp",Inputs!$B$43&gt;0),IF(Inputs!$B$43&lt;=0,0,(INT(Inputs!$B$43/(IF(Inputs!$B$38="pvp",15,MAX(0.1,Skills!E19-IF(Skills!F19=TRUE,Inputs!$B$32,0)))*(1-IF(AND(ArtifactsInput!$M$27,Inputs!$B$4="Chapter Hunt"),CHOOSE(ArtifactsInput!$N$27+1,20,24,28,32,36,40),0)/100)))+1)),0)</f>
        <v/>
      </c>
      <c r="S749" t="n">
        <v>0</v>
      </c>
      <c r="U749" t="n">
        <v>0</v>
      </c>
    </row>
    <row r="750">
      <c r="A750">
        <f>Skills!A20</f>
        <v/>
      </c>
      <c r="B750">
        <f>Skills!B20</f>
        <v/>
      </c>
      <c r="C750">
        <f>TRUE</f>
        <v/>
      </c>
      <c r="D750">
        <f>IF(Skills!C20=1,60+(Inputs!$B$25+1)+Inputs!$B$29,IF(Skills!C20=2,90+Inputs!$B$26+Inputs!$B$29,IF(Skills!C20=3,120+Inputs!$B$27+Inputs!$B$29,MAX(0,(Inputs!$B$3-100)*3)+Inputs!$B$28+Inputs!$B$29)))</f>
        <v/>
      </c>
      <c r="E750">
        <f>INDEX(FactorTable!$B$2:$Y$301, MATCH(ROUND(MIN(300,MAX(1,D750)),0), FactorTable!$A$2:$A$301,0), Skills!M20+1)</f>
        <v/>
      </c>
      <c r="F750">
        <f>IF(Skills!N20=TRUE,(Skills!L20/10)*(E750/1000),Skills!L20/10)+Skills!O20</f>
        <v/>
      </c>
      <c r="G750">
        <f>Calc!G20</f>
        <v/>
      </c>
      <c r="H750">
        <f>Calc!H20</f>
        <v/>
      </c>
      <c r="I750">
        <f>IF(Skills!X20&lt;&gt;"",1+(Skills!X20/10)*(Z733/1000)/100,1)</f>
        <v/>
      </c>
      <c r="J750" t="inlineStr"/>
      <c r="K750" t="inlineStr"/>
      <c r="L750" t="inlineStr"/>
      <c r="M750" t="inlineStr"/>
      <c r="N750" t="inlineStr"/>
      <c r="O750">
        <f>(1-Summary!$B$11)*S750+Summary!$B$11*U750</f>
        <v/>
      </c>
      <c r="P750">
        <f>IF(B771=0,0,O750/B771)</f>
        <v/>
      </c>
      <c r="Q750">
        <f>IFERROR(1/(IF(Inputs!$B$38="pvp",15,MAX(0.1,Skills!E20-IF(Skills!F20=TRUE,Inputs!$B$32,0)))*(1-IF(AND(ArtifactsInput!$M$27,Inputs!$B$4="Chapter Hunt"),CHOOSE(ArtifactsInput!$N$27+1,20,24,28,32,36,40),0)/100)),0)</f>
        <v/>
      </c>
      <c r="R750" t="n">
        <v>0</v>
      </c>
      <c r="S750" t="n">
        <v>0</v>
      </c>
      <c r="U750" t="n">
        <v>0</v>
      </c>
    </row>
    <row r="751">
      <c r="A751">
        <f>Skills!A21</f>
        <v/>
      </c>
      <c r="B751">
        <f>Skills!B21</f>
        <v/>
      </c>
      <c r="C751">
        <f>TRUE</f>
        <v/>
      </c>
      <c r="D751">
        <f>IF(Skills!C21=1,60+(Inputs!$B$25+1)+Inputs!$B$29,IF(Skills!C21=2,90+Inputs!$B$26+Inputs!$B$29,IF(Skills!C21=3,120+Inputs!$B$27+Inputs!$B$29,MAX(0,(Inputs!$B$3-100)*3)+Inputs!$B$28+Inputs!$B$29)))</f>
        <v/>
      </c>
      <c r="E751">
        <f>INDEX(FactorTable!$B$2:$Y$301, MATCH(ROUND(MIN(300,MAX(1,D751)),0), FactorTable!$A$2:$A$301,0), Skills!M21+1)</f>
        <v/>
      </c>
      <c r="F751">
        <f>IF(Skills!N21=TRUE,(Skills!L21/10)*(E751/1000),Skills!L21/10)+Skills!O21</f>
        <v/>
      </c>
      <c r="G751">
        <f>Calc!G21</f>
        <v/>
      </c>
      <c r="H751">
        <f>Calc!H21</f>
        <v/>
      </c>
      <c r="I751">
        <f>IF(Skills!X21&lt;&gt;"",1+(Skills!X21/10)*(Z733/1000)/100,1)</f>
        <v/>
      </c>
      <c r="J751" t="inlineStr"/>
      <c r="K751" t="inlineStr"/>
      <c r="L751" t="inlineStr"/>
      <c r="M751" t="inlineStr"/>
      <c r="N751" t="inlineStr"/>
      <c r="O751">
        <f>(1-Summary!$B$11)*S751+Summary!$B$11*U751</f>
        <v/>
      </c>
      <c r="P751">
        <f>IF(B771=0,0,O751/B771)</f>
        <v/>
      </c>
      <c r="Q751">
        <f>IFERROR(1/(IF(Inputs!$B$38="pvp",15,MAX(0.1,Skills!E21-IF(Skills!F21=TRUE,Inputs!$B$32,0)))*(1-IF(AND(ArtifactsInput!$M$27,Inputs!$B$4="Chapter Hunt"),CHOOSE(ArtifactsInput!$N$27+1,20,24,28,32,36,40),0)/100)),0)</f>
        <v/>
      </c>
      <c r="R751" t="n">
        <v>0</v>
      </c>
      <c r="S751" t="n">
        <v>0</v>
      </c>
      <c r="U751" t="n">
        <v>0</v>
      </c>
    </row>
    <row r="752">
      <c r="A752">
        <f>Skills!A22</f>
        <v/>
      </c>
      <c r="B752">
        <f>Skills!B22</f>
        <v/>
      </c>
      <c r="C752">
        <f>TRUE</f>
        <v/>
      </c>
      <c r="D752">
        <f>IF(Skills!C22=1,60+(Inputs!$B$25+1)+Inputs!$B$29,IF(Skills!C22=2,90+Inputs!$B$26+Inputs!$B$29,IF(Skills!C22=3,120+Inputs!$B$27+Inputs!$B$29,MAX(0,(Inputs!$B$3-100)*3)+Inputs!$B$28+Inputs!$B$29)))</f>
        <v/>
      </c>
      <c r="E752">
        <f>INDEX(FactorTable!$B$2:$Y$301, MATCH(ROUND(MIN(300,MAX(1,D752)),0), FactorTable!$A$2:$A$301,0), Skills!M22+1)</f>
        <v/>
      </c>
      <c r="F752">
        <f>IF(Skills!N22=TRUE,(Skills!L22/10)*(E752/1000),Skills!L22/10)+Skills!O22</f>
        <v/>
      </c>
      <c r="G752">
        <f>Calc!G22</f>
        <v/>
      </c>
      <c r="H752">
        <f>Calc!H22</f>
        <v/>
      </c>
      <c r="I752">
        <f>IF(Skills!X22&lt;&gt;"",1+(Skills!X22/10)*(Z733/1000)/100,1)</f>
        <v/>
      </c>
      <c r="J752" t="inlineStr"/>
      <c r="K752" t="inlineStr"/>
      <c r="L752" t="inlineStr"/>
      <c r="M752" t="inlineStr"/>
      <c r="N752" t="inlineStr"/>
      <c r="O752">
        <f>(1-Summary!$B$11)*S752+Summary!$B$11*U752</f>
        <v/>
      </c>
      <c r="P752">
        <f>IF(B771=0,0,O752/B771)</f>
        <v/>
      </c>
      <c r="Q752">
        <f>IFERROR(1/(IF(Inputs!$B$38="pvp",15,MAX(0.1,Skills!E22-IF(Skills!F22=TRUE,Inputs!$B$32,0)))*(1-IF(AND(ArtifactsInput!$M$27,Inputs!$B$4="Chapter Hunt"),CHOOSE(ArtifactsInput!$N$27+1,20,24,28,32,36,40),0)/100)),0)</f>
        <v/>
      </c>
      <c r="R752" t="n">
        <v>0</v>
      </c>
      <c r="S752" t="n">
        <v>0</v>
      </c>
      <c r="U752" t="n">
        <v>0</v>
      </c>
    </row>
    <row r="753">
      <c r="A753">
        <f>Skills!A23</f>
        <v/>
      </c>
      <c r="B753">
        <f>Skills!B23</f>
        <v/>
      </c>
      <c r="C753">
        <f>TRUE</f>
        <v/>
      </c>
      <c r="D753">
        <f>IF(Skills!C23=1,60+(Inputs!$B$25+1)+Inputs!$B$29,IF(Skills!C23=2,90+Inputs!$B$26+Inputs!$B$29,IF(Skills!C23=3,120+Inputs!$B$27+Inputs!$B$29,MAX(0,(Inputs!$B$3-100)*3)+Inputs!$B$28+Inputs!$B$29)))</f>
        <v/>
      </c>
      <c r="E753">
        <f>INDEX(FactorTable!$B$2:$Y$301, MATCH(ROUND(MIN(300,MAX(1,D753)),0), FactorTable!$A$2:$A$301,0), Skills!M23+1)</f>
        <v/>
      </c>
      <c r="F753">
        <f>IF(Skills!N23=TRUE,(Skills!L23/10)*(E753/1000),Skills!L23/10)+Skills!O23</f>
        <v/>
      </c>
      <c r="G753">
        <f>Calc!G23</f>
        <v/>
      </c>
      <c r="H753">
        <f>Calc!H23</f>
        <v/>
      </c>
      <c r="I753">
        <f>IF(Skills!X23&lt;&gt;"",1+(Skills!X23/10)*(Z733/1000)/100,1)</f>
        <v/>
      </c>
      <c r="J753" t="inlineStr"/>
      <c r="K753" t="inlineStr"/>
      <c r="L753" t="inlineStr"/>
      <c r="M753" t="inlineStr"/>
      <c r="N753" t="inlineStr"/>
      <c r="O753">
        <f>(1-Summary!$B$11)*S753+Summary!$B$11*U753</f>
        <v/>
      </c>
      <c r="P753">
        <f>IF(B771=0,0,O753/B771)</f>
        <v/>
      </c>
      <c r="Q753">
        <f>IFERROR(1/(IF(Inputs!$B$38="pvp",15,MAX(0.1,Skills!E23-IF(Skills!F23=TRUE,Inputs!$B$32,0)))*(1-IF(AND(ArtifactsInput!$M$27,Inputs!$B$4="Chapter Hunt"),CHOOSE(ArtifactsInput!$N$27+1,20,24,28,32,36,40),0)/100)),0)</f>
        <v/>
      </c>
      <c r="R753" t="n">
        <v>0</v>
      </c>
      <c r="S753" t="n">
        <v>0</v>
      </c>
      <c r="U753" t="n">
        <v>0</v>
      </c>
    </row>
    <row r="754">
      <c r="A754">
        <f>Skills!A24</f>
        <v/>
      </c>
      <c r="B754">
        <f>Skills!B24</f>
        <v/>
      </c>
      <c r="C754">
        <f>Inputs!$B$3&gt;=115</f>
        <v/>
      </c>
      <c r="D754">
        <f>IF(Skills!C24=1,60+(Inputs!$B$25+1)+Inputs!$B$29,IF(Skills!C24=2,90+Inputs!$B$26+Inputs!$B$29,IF(Skills!C24=3,120+Inputs!$B$27+Inputs!$B$29,MAX(0,(Inputs!$B$3-100)*3)+Inputs!$B$28+Inputs!$B$29)))</f>
        <v/>
      </c>
      <c r="E754">
        <f>INDEX(FactorTable!$B$2:$Y$301, MATCH(ROUND(MIN(300,MAX(1,D754)),0), FactorTable!$A$2:$A$301,0), Skills!M24+1)</f>
        <v/>
      </c>
      <c r="F754">
        <f>IF(Skills!N24=TRUE,(Skills!L24/10)*(E754/1000),Skills!L24/10)+Skills!O24</f>
        <v/>
      </c>
      <c r="G754">
        <f>Calc!G24</f>
        <v/>
      </c>
      <c r="H754">
        <f>Calc!H24</f>
        <v/>
      </c>
      <c r="I754">
        <f>IF(Skills!X24&lt;&gt;"",1+(Skills!X24/10)*(Z733/1000)/100,1)</f>
        <v/>
      </c>
      <c r="J754">
        <f>((Inputs!$B$6*(1+Inputs!$B$7/100))+(((Inputs!$B$12*(1+Inputs!$B$13/100))-(Inputs!$B$12*(1+Inputs!$B$13/100)))+0.25*(Inputs!$B$14-Inputs!$B$14))*(1+Inputs!$B$7/100))*(F754/100)</f>
        <v/>
      </c>
      <c r="K754">
        <f>J754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754)</f>
        <v/>
      </c>
      <c r="L754">
        <f>K754*(MIN(Inputs!$B$22+(F752-Calc!F22),(Inputs!$B$23+(IF(ArtifactsInput!$M$15,CHOOSE(ArtifactsInput!$N$15+1,25,30,35,40,45,50)/100*(Inputs!$B$11-Inputs!$B$11),0))))/100+(Inputs!$B$23+(IF(ArtifactsInput!$M$15,CHOOSE(ArtifactsInput!$N$15+1,25,30,35,40,45,50)/100*(Inputs!$B$11-Inputs!$B$11),0)))/100)/2</f>
        <v/>
      </c>
      <c r="M754">
        <f>L754*(1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4">
        <f>L754*(1-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754*(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4">
        <f>(1-Summary!$B$11)*S754+Summary!$B$11*U754</f>
        <v/>
      </c>
      <c r="P754">
        <f>IF(B771=0,0,O754/B771)</f>
        <v/>
      </c>
      <c r="Q754">
        <f>IFERROR(1/(IF(Inputs!$B$38="pvp",15,MAX(0.1,Skills!E24-IF(Skills!F24=TRUE,Inputs!$B$32,0)))*(1-IF(AND(ArtifactsInput!$M$27,Inputs!$B$4="Chapter Hunt"),CHOOSE(ArtifactsInput!$N$27+1,20,24,28,32,36,40),0)/100)),0)</f>
        <v/>
      </c>
      <c r="R754">
        <f>IF(AND(Inputs!$B$38&lt;&gt;"pvp",Inputs!$B$43&gt;0),IF(MAX(0,Inputs!$B$43-B768)&lt;=0,0,(INT(MAX(0,Inputs!$B$43-B768)/(IF(Inputs!$B$38="pvp",15,MAX(0.1,Skills!E24-IF(Skills!F24=TRUE,Inputs!$B$32,0)))*(1-IF(AND(ArtifactsInput!$M$27,Inputs!$B$4="Chapter Hunt"),CHOOSE(ArtifactsInput!$N$27+1,20,24,28,32,36,40),0)/100)))+1)),0)</f>
        <v/>
      </c>
      <c r="S754">
        <f>IF(C754,(H754*N754*IF(AND(Inputs!$B$38&lt;&gt;"pvp",Inputs!$B$43&gt;0),((Skills!G24*((R754-1)*IF(Skills!H24&gt;0,Skills!I24/Skills!H24,1)+IF(Skills!H24&gt;0,MIN(Skills!I24,MAX(0,MAX(0,Inputs!$B$43-B768)-((R754-1)*(IF(Inputs!$B$38="pvp",15,MAX(0.1,Skills!E24-IF(Skills!F24=TRUE,Inputs!$B$32,0)))*(1-IF(AND(ArtifactsInput!$M$27,Inputs!$B$4="Chapter Hunt"),CHOOSE(ArtifactsInput!$N$27+1,20,24,28,32,36,40),0)/100)))))/Skills!H24,1)))/Inputs!$B$43),G754*Q754)*(1+IF(Inputs!$B$3&gt;=130,0.2*(Skills!I16/Skills!E15+IF(Inputs!$B$3&gt;=126,0.05*(B766+Q743+(H744*B767)/(1+Skills!H14*H744*B767)+Q754)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754*(1-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754*(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754*(1-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754*(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4">
        <f>IF(C754,(H754*N754*IF(AND(Inputs!$B$38&lt;&gt;"pvp",Inputs!$B$43&gt;0),((Skills!G24*((R754-1)*IF(Skills!H24&gt;0,Skills!I24/Skills!H24,1)+IF(Skills!H24&gt;0,MIN(Skills!I24,MAX(0,MAX(0,Inputs!$B$43-B768)-((R754-1)*(IF(Inputs!$B$38="pvp",15,MAX(0.1,Skills!E24-IF(Skills!F24=TRUE,Inputs!$B$32,0)))*(1-IF(AND(ArtifactsInput!$M$27,Inputs!$B$4="Chapter Hunt"),CHOOSE(ArtifactsInput!$N$27+1,20,24,28,32,36,40),0)/100)))))/Skills!H24,1)))/Inputs!$B$43),G754*Q754)*(1+IF(Inputs!$B$3&gt;=130,0.2*(Skills!I16/Skills!E15+IF(Inputs!$B$3&gt;=126,0.05*(B766+Q743+(H744*B767)/(1+Skills!H14*H744*B767)+Q754)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5">
      <c r="A755">
        <f>Skills!A25</f>
        <v/>
      </c>
      <c r="B755">
        <f>Skills!B25</f>
        <v/>
      </c>
      <c r="C755">
        <f>Inputs!$B$3&gt;=117</f>
        <v/>
      </c>
      <c r="D755">
        <f>IF(Skills!C25=1,60+(Inputs!$B$25+1)+Inputs!$B$29,IF(Skills!C25=2,90+Inputs!$B$26+Inputs!$B$29,IF(Skills!C25=3,120+Inputs!$B$27+Inputs!$B$29,MAX(0,(Inputs!$B$3-100)*3)+Inputs!$B$28+Inputs!$B$29)))</f>
        <v/>
      </c>
      <c r="E755">
        <f>INDEX(FactorTable!$B$2:$Y$301, MATCH(ROUND(MIN(300,MAX(1,D755)),0), FactorTable!$A$2:$A$301,0), Skills!M25+1)</f>
        <v/>
      </c>
      <c r="F755">
        <f>IF(Skills!N25=TRUE,(Skills!L25/10)*(E755/1000),Skills!L25/10)+Skills!O25</f>
        <v/>
      </c>
      <c r="G755">
        <f>Calc!G25</f>
        <v/>
      </c>
      <c r="H755">
        <f>Calc!H25</f>
        <v/>
      </c>
      <c r="I755">
        <f>IF(Skills!X25&lt;&gt;"",1+(Skills!X25/10)*(Z733/1000)/100,1)</f>
        <v/>
      </c>
      <c r="J755" t="inlineStr"/>
      <c r="K755" t="inlineStr"/>
      <c r="L755" t="inlineStr"/>
      <c r="M755" t="inlineStr"/>
      <c r="N755" t="inlineStr"/>
      <c r="O755">
        <f>(1-Summary!$B$11)*S755+Summary!$B$11*U755</f>
        <v/>
      </c>
      <c r="P755">
        <f>IF(B771=0,0,O755/B771)</f>
        <v/>
      </c>
      <c r="Q755">
        <f>IFERROR(1/(IF(Inputs!$B$38="pvp",15,MAX(0.1,Skills!E25-IF(Skills!F25=TRUE,Inputs!$B$32,0)))*(1-IF(AND(ArtifactsInput!$M$27,Inputs!$B$4="Chapter Hunt"),CHOOSE(ArtifactsInput!$N$27+1,20,24,28,32,36,40),0)/100)),0)</f>
        <v/>
      </c>
      <c r="R755" t="n">
        <v>0</v>
      </c>
      <c r="S755" t="n">
        <v>0</v>
      </c>
      <c r="U755" t="n">
        <v>0</v>
      </c>
    </row>
    <row r="756">
      <c r="A756">
        <f>Skills!A26</f>
        <v/>
      </c>
      <c r="B756">
        <f>Skills!B26</f>
        <v/>
      </c>
      <c r="C756">
        <f>Inputs!$B$3&gt;=120</f>
        <v/>
      </c>
      <c r="D756">
        <f>IF(Skills!C26=1,60+(Inputs!$B$25+1)+Inputs!$B$29,IF(Skills!C26=2,90+Inputs!$B$26+Inputs!$B$29,IF(Skills!C26=3,120+Inputs!$B$27+Inputs!$B$29,MAX(0,(Inputs!$B$3-100)*3)+Inputs!$B$28+Inputs!$B$29)))</f>
        <v/>
      </c>
      <c r="E756">
        <f>INDEX(FactorTable!$B$2:$Y$301, MATCH(ROUND(MIN(300,MAX(1,D756)),0), FactorTable!$A$2:$A$301,0), Skills!M26+1)</f>
        <v/>
      </c>
      <c r="F756">
        <f>IF(Skills!N26=TRUE,(Skills!L26/10)*(E756/1000),Skills!L26/10)+Skills!O26</f>
        <v/>
      </c>
      <c r="G756">
        <f>Calc!G26</f>
        <v/>
      </c>
      <c r="H756">
        <f>Calc!H26</f>
        <v/>
      </c>
      <c r="I756">
        <f>IF(Skills!X26&lt;&gt;"",1+(Skills!X26/10)*(Z733/1000)/100,1)</f>
        <v/>
      </c>
      <c r="J756" t="inlineStr"/>
      <c r="K756" t="inlineStr"/>
      <c r="L756" t="inlineStr"/>
      <c r="M756" t="inlineStr"/>
      <c r="N756" t="inlineStr"/>
      <c r="O756">
        <f>(1-Summary!$B$11)*S756+Summary!$B$11*U756</f>
        <v/>
      </c>
      <c r="P756">
        <f>IF(B771=0,0,O756/B771)</f>
        <v/>
      </c>
      <c r="Q756">
        <f>IFERROR(1/(IF(Inputs!$B$38="pvp",15,MAX(0.1,Skills!E26-IF(Skills!F26=TRUE,Inputs!$B$32,0)))*(1-IF(AND(ArtifactsInput!$M$27,Inputs!$B$4="Chapter Hunt"),CHOOSE(ArtifactsInput!$N$27+1,20,24,28,32,36,40),0)/100)),0)</f>
        <v/>
      </c>
      <c r="R756" t="n">
        <v>0</v>
      </c>
      <c r="S756" t="n">
        <v>0</v>
      </c>
      <c r="U756" t="n">
        <v>0</v>
      </c>
    </row>
    <row r="757">
      <c r="A757">
        <f>Skills!A27</f>
        <v/>
      </c>
      <c r="B757">
        <f>Skills!B27</f>
        <v/>
      </c>
      <c r="C757">
        <f>Inputs!$B$3&gt;=125</f>
        <v/>
      </c>
      <c r="D757">
        <f>IF(Skills!C27=1,60+(Inputs!$B$25+1)+Inputs!$B$29,IF(Skills!C27=2,90+Inputs!$B$26+Inputs!$B$29,IF(Skills!C27=3,120+Inputs!$B$27+Inputs!$B$29,MAX(0,(Inputs!$B$3-100)*3)+Inputs!$B$28+Inputs!$B$29)))</f>
        <v/>
      </c>
      <c r="E757">
        <f>INDEX(FactorTable!$B$2:$Y$301, MATCH(ROUND(MIN(300,MAX(1,D757)),0), FactorTable!$A$2:$A$301,0), Skills!M27+1)</f>
        <v/>
      </c>
      <c r="F757">
        <f>IF(Skills!N27=TRUE,(Skills!L27/10)*(E757/1000),Skills!L27/10)+Skills!O27</f>
        <v/>
      </c>
      <c r="G757">
        <f>Calc!G27</f>
        <v/>
      </c>
      <c r="H757">
        <f>Calc!H27</f>
        <v/>
      </c>
      <c r="I757">
        <f>IF(Skills!X27&lt;&gt;"",1+(Skills!X27/10)*(Z733/1000)/100,1)</f>
        <v/>
      </c>
      <c r="J757" t="inlineStr"/>
      <c r="K757" t="inlineStr"/>
      <c r="L757" t="inlineStr"/>
      <c r="M757" t="inlineStr"/>
      <c r="N757" t="inlineStr"/>
      <c r="O757">
        <f>(1-Summary!$B$11)*S757+Summary!$B$11*U757</f>
        <v/>
      </c>
      <c r="P757">
        <f>IF(B771=0,0,O757/B771)</f>
        <v/>
      </c>
      <c r="Q757">
        <f>IFERROR(1/(IF(Inputs!$B$38="pvp",15,MAX(0.1,Skills!E27-IF(Skills!F27=TRUE,Inputs!$B$32,0)))*(1-IF(AND(ArtifactsInput!$M$27,Inputs!$B$4="Chapter Hunt"),CHOOSE(ArtifactsInput!$N$27+1,20,24,28,32,36,40),0)/100)),0)</f>
        <v/>
      </c>
      <c r="R757" t="n">
        <v>0</v>
      </c>
      <c r="S757" t="n">
        <v>0</v>
      </c>
      <c r="U757" t="n">
        <v>0</v>
      </c>
    </row>
    <row r="758">
      <c r="A758">
        <f>Skills!A28</f>
        <v/>
      </c>
      <c r="B758">
        <f>Skills!B28</f>
        <v/>
      </c>
      <c r="C758">
        <f>Inputs!$B$3&gt;=118</f>
        <v/>
      </c>
      <c r="D758">
        <f>IF(Skills!C28=1,60+(Inputs!$B$25+1)+Inputs!$B$29,IF(Skills!C28=2,90+Inputs!$B$26+Inputs!$B$29,IF(Skills!C28=3,120+Inputs!$B$27+Inputs!$B$29,MAX(0,(Inputs!$B$3-100)*3)+Inputs!$B$28+Inputs!$B$29)))</f>
        <v/>
      </c>
      <c r="E758">
        <f>INDEX(FactorTable!$B$2:$Y$301, MATCH(ROUND(MIN(300,MAX(1,D758)),0), FactorTable!$A$2:$A$301,0), Skills!M28+1)</f>
        <v/>
      </c>
      <c r="F758">
        <f>IF(Skills!N28=TRUE,(Skills!L28/10)*(E758/1000),Skills!L28/10)+Skills!O28</f>
        <v/>
      </c>
      <c r="G758">
        <f>Calc!G28</f>
        <v/>
      </c>
      <c r="H758">
        <f>Calc!H28</f>
        <v/>
      </c>
      <c r="I758">
        <f>IF(Skills!X28&lt;&gt;"",1+(Skills!X28/10)*(Z733/1000)/100,1)</f>
        <v/>
      </c>
      <c r="J758">
        <f>((Inputs!$B$6*(1+Inputs!$B$7/100))+(((Inputs!$B$12*(1+Inputs!$B$13/100))-(Inputs!$B$12*(1+Inputs!$B$13/100)))+0.25*(Inputs!$B$14-Inputs!$B$14))*(1+Inputs!$B$7/100))*(F758/100)</f>
        <v/>
      </c>
      <c r="K758">
        <f>J758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753/100)*(1+IF(Inputs!$B$3&gt;=120,F756,0)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757*5,0)))/100)*(B760*B761*B762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758)</f>
        <v/>
      </c>
      <c r="L758">
        <f>K758*(MIN(Inputs!$B$22+(F752-Calc!F22),(Inputs!$B$23+(IF(ArtifactsInput!$M$15,CHOOSE(ArtifactsInput!$N$15+1,25,30,35,40,45,50)/100*(Inputs!$B$11-Inputs!$B$11),0))))/100+(Inputs!$B$23+(IF(ArtifactsInput!$M$15,CHOOSE(ArtifactsInput!$N$15+1,25,30,35,40,45,50)/100*(Inputs!$B$11-Inputs!$B$11),0)))/100)/2</f>
        <v/>
      </c>
      <c r="M758">
        <f>L758*(1+(Inputs!$B$10+(F751-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8">
        <f>L758*(1-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758*(MIN((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8">
        <f>(1-Summary!$B$11)*S758+Summary!$B$11*U758</f>
        <v/>
      </c>
      <c r="P758">
        <f>IF(B771=0,0,O758/B771)</f>
        <v/>
      </c>
      <c r="Q758">
        <f>IFERROR(1/(IF(Inputs!$B$38="pvp",15,MAX(0.1,Skills!E28-IF(Skills!F28=TRUE,Inputs!$B$32,0)))*(1-IF(AND(ArtifactsInput!$M$27,Inputs!$B$4="Chapter Hunt"),CHOOSE(ArtifactsInput!$N$27+1,20,24,28,32,36,40),0)/100)),0)</f>
        <v/>
      </c>
      <c r="R758">
        <f>IF(AND(Inputs!$B$38&lt;&gt;"pvp",Inputs!$B$43&gt;0),IF(MAX(0,Inputs!$B$43-B768)&lt;=0,0,(INT(MAX(0,Inputs!$B$43-B768)/(IF(Inputs!$B$38="pvp",15,MAX(0.1,Skills!E28-IF(Skills!F28=TRUE,Inputs!$B$32,0)))*(1-IF(AND(ArtifactsInput!$M$27,Inputs!$B$4="Chapter Hunt"),CHOOSE(ArtifactsInput!$N$27+1,20,24,28,32,36,40),0)/100)))+1)),0)</f>
        <v/>
      </c>
      <c r="S758">
        <f>IF(C758,(H758*N758*IF(AND(Inputs!$B$38&lt;&gt;"pvp",Inputs!$B$43&gt;0),((Skills!G28*((R758-1)*IF(Skills!H28&gt;0,Skills!I28/Skills!H28,1)+IF(Skills!H28&gt;0,MIN(Skills!I28,MAX(0,MAX(0,Inputs!$B$43-B768)-((R758-1)*(IF(Inputs!$B$38="pvp",15,MAX(0.1,Skills!E28-IF(Skills!F28=TRUE,Inputs!$B$32,0)))*(1-IF(AND(ArtifactsInput!$M$27,Inputs!$B$4="Chapter Hunt"),CHOOSE(ArtifactsInput!$N$27+1,20,24,28,32,36,40),0)/100)))))/Skills!H28,1)))/Inputs!$B$43),G758*Q758)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758*(1-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758*(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758*(1-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758*(MIN(100,(Inputs!$B$9+(F750-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8">
        <f>IF(C758,(H758*N758*IF(AND(Inputs!$B$38&lt;&gt;"pvp",Inputs!$B$43&gt;0),((Skills!G28*((R758-1)*IF(Skills!H28&gt;0,Skills!I28/Skills!H28,1)+IF(Skills!H28&gt;0,MIN(Skills!I28,MAX(0,MAX(0,Inputs!$B$43-B768)-((R758-1)*(IF(Inputs!$B$38="pvp",15,MAX(0.1,Skills!E28-IF(Skills!F28=TRUE,Inputs!$B$32,0)))*(1-IF(AND(ArtifactsInput!$M$27,Inputs!$B$4="Chapter Hunt"),CHOOSE(ArtifactsInput!$N$27+1,20,24,28,32,36,40),0)/100)))))/Skills!H28,1)))/Inputs!$B$43),G758*Q758)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0">
      <c r="A760" t="inlineStr">
        <is>
          <t>Burning Magic Multiplier</t>
        </is>
      </c>
      <c r="B760">
        <f>1+(F741*Skills!Z11)/100</f>
        <v/>
      </c>
    </row>
    <row r="761">
      <c r="A761" t="inlineStr">
        <is>
          <t>Elemental Decrease Multiplier (always-on)</t>
        </is>
      </c>
      <c r="B761">
        <f>1+(F742+(IF(AND(ArtifactsInput!$M$35,Inputs!$B$4&lt;&gt;"Chapter Hunt"),CHOOSE(ArtifactsInput!$N$35+1,15,18,21,24,27,30)*(1-EXP(-(0.2*B764)*5)),0)+IF(AND(ArtifactsInput!$M$22,Inputs!$B$4&lt;&gt;"Chapter Hunt"),CHOOSE(ArtifactsInput!$N$22+1,10,12,14,16,18,20)*((0*(((0.15*B764*5))^0/1)+1*(((0.15*B764*5))^1/1)+2*(((0.15*B764*5))^2/2)+3*(((0.15*B764*5))^3/6)+4*(((0.15*B764*5))^4/24)+5*(((0.15*B764*5))^5/120))/((((0.15*B764*5))^0/1)+(((0.15*B764*5))^1/1)+(((0.15*B764*5))^2/2)+(((0.15*B764*5))^3/6)+(((0.15*B764*5))^4/24)+(((0.15*B764*5))^5/120))),0)))/100</f>
        <v/>
      </c>
    </row>
    <row r="762">
      <c r="A762" t="inlineStr">
        <is>
          <t>Average Buff Multiplier (Magic Guard + Meditation + Artifact Attack%, summed; then Infinity)</t>
        </is>
      </c>
      <c r="B762">
        <f>(1+(F736*IF(AND(Inputs!$B$38&lt;&gt;"pvp",Inputs!$B$43&gt;0),(((R736-1)*(Skills!T6*(1+((Inputs!$B$34+(ArtifactsInput!$M$7-ArtifactsInput!$M$7)*CHOOSE(ArtifactsInput!$N$7+1,6,7.2,8.4,9.6,10.8,12)))/100))+MIN((Skills!T6*(1+((Inputs!$B$34+(ArtifactsInput!$M$7-ArtifactsInput!$M$7)*CHOOSE(ArtifactsInput!$N$7+1,6,7.2,8.4,9.6,10.8,12)))/100)),MAX(0,Inputs!$B$43-((R736-1)*Skills!E6))))/Inputs!$B$43),IF(Inputs!$B$38="pvp",MIN((Skills!T6*(1+((Inputs!$B$34+(ArtifactsInput!$M$7-ArtifactsInput!$M$7)*CHOOSE(ArtifactsInput!$N$7+1,6,7.2,8.4,9.6,10.8,12)))/100)),15)/15,(Skills!T6*(1+((Inputs!$B$34+(ArtifactsInput!$M$7-ArtifactsInput!$M$7)*CHOOSE(ArtifactsInput!$N$7+1,6,7.2,8.4,9.6,10.8,12)))/100))/Skills!E6))+F747*IF(AND(Inputs!$B$38&lt;&gt;"pvp",Inputs!$B$43&gt;0),(((R747-1)*(Skills!T17*(1+((Inputs!$B$34+(ArtifactsInput!$M$7-ArtifactsInput!$M$7)*CHOOSE(ArtifactsInput!$N$7+1,6,7.2,8.4,9.6,10.8,12)))/100))+MIN((Skills!T17*(1+((Inputs!$B$34+(ArtifactsInput!$M$7-ArtifactsInput!$M$7)*CHOOSE(ArtifactsInput!$N$7+1,6,7.2,8.4,9.6,10.8,12)))/100)),MAX(0,Inputs!$B$43-((R747-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749=TRUE,(1+F749*IF(AND(Inputs!$B$38&lt;&gt;"pvp",Inputs!$B$43&gt;0),(((R749-1)*(Skills!T19*(1+((Inputs!$B$34+(ArtifactsInput!$M$7-ArtifactsInput!$M$7)*CHOOSE(ArtifactsInput!$N$7+1,6,7.2,8.4,9.6,10.8,12)))/100))+MIN((Skills!T19*(1+((Inputs!$B$34+(ArtifactsInput!$M$7-ArtifactsInput!$M$7)*CHOOSE(ArtifactsInput!$N$7+1,6,7.2,8.4,9.6,10.8,12)))/100)),MAX(0,Inputs!$B$43-((R749-1)*Skills!E19))))/Inputs!$B$43),IF(Inputs!$B$38="pvp",MIN((Skills!T19*(1+((Inputs!$B$34+(ArtifactsInput!$M$7-ArtifactsInput!$M$7)*CHOOSE(ArtifactsInput!$N$7+1,6,7.2,8.4,9.6,10.8,12)))/100)),15)/15,(Skills!T19*(1+((Inputs!$B$34+(ArtifactsInput!$M$7-ArtifactsInput!$M$7)*CHOOSE(ArtifactsInput!$N$7+1,6,7.2,8.4,9.6,10.8,12)))/100))/Skills!E19))/100),1)</f>
        <v/>
      </c>
    </row>
    <row r="763">
      <c r="A763" t="inlineStr">
        <is>
          <t>Attack Speed Buff Bonus % (Nimble Feet, averaged)</t>
        </is>
      </c>
      <c r="B763">
        <f>F748*IF(AND(Inputs!$B$38&lt;&gt;"pvp",Inputs!$B$43&gt;0),(((R748-1)*(Skills!T18*(1+((Inputs!$B$34+(ArtifactsInput!$M$7-ArtifactsInput!$M$7)*CHOOSE(ArtifactsInput!$N$7+1,6,7.2,8.4,9.6,10.8,12)))/100))+MIN((Skills!T18*(1+((Inputs!$B$34+(ArtifactsInput!$M$7-ArtifactsInput!$M$7)*CHOOSE(ArtifactsInput!$N$7+1,6,7.2,8.4,9.6,10.8,12)))/100)),MAX(0,Inputs!$B$43-((R748-1)*Skills!E18))))/Inputs!$B$43),IF(Inputs!$B$38="pvp",MIN((Skills!T18*(1+((Inputs!$B$34+(ArtifactsInput!$M$7-ArtifactsInput!$M$7)*CHOOSE(ArtifactsInput!$N$7+1,6,7.2,8.4,9.6,10.8,12)))/100)),15)/15,(Skills!T18*(1+((Inputs!$B$34+(ArtifactsInput!$M$7-ArtifactsInput!$M$7)*CHOOSE(ArtifactsInput!$N$7+1,6,7.2,8.4,9.6,10.8,12)))/100))/Skills!E18))</f>
        <v/>
      </c>
    </row>
    <row r="764">
      <c r="A764" t="inlineStr">
        <is>
          <t>Actions Per Second</t>
        </is>
      </c>
      <c r="B764">
        <f>1+MIN(150,150*(1-(1-(Inputs!$B$11+(ArtifactsInput!$M$15-ArtifactsInput!$M$15)*CHOOSE(ArtifactsInput!$N$15+1,8,9.6,11.2,12.8,14.4,16))/150)*(1-B763/150)))/100</f>
        <v/>
      </c>
    </row>
    <row r="765">
      <c r="A765" t="inlineStr">
        <is>
          <t>Skill + Buff Cast Rate</t>
        </is>
      </c>
      <c r="B765">
        <f>IF(AND(Inputs!$B$38&lt;&gt;"pvp",Inputs!$B$43&gt;0),SUMPRODUCT((Skills!F2:F28=TRUE)*(C732:C758=TRUE)*R732:R758)/Inputs!$B$43,SUMPRODUCT((Skills!F2:F28=TRUE)*(C732:C758=TRUE)*Q732:Q758))</f>
        <v/>
      </c>
    </row>
    <row r="766">
      <c r="A766" t="inlineStr">
        <is>
          <t>Basic Attacks Per Second</t>
        </is>
      </c>
      <c r="B766">
        <f>MAX(0,B764-B765)</f>
        <v/>
      </c>
    </row>
    <row r="767">
      <c r="A767" t="inlineStr">
        <is>
          <t>Meteor Proc — combined trigger cast rate</t>
        </is>
      </c>
      <c r="B767">
        <f>IF(AND(Inputs!$B$38&lt;&gt;"pvp",Inputs!$B$43&gt;0),SUMPRODUCT((Skills!V2:V28=TRUE)*(C732:C758=TRUE)*R732:R758*Skills!W2:W28)/Inputs!$B$43,SUMPRODUCT((Skills!V2:V28=TRUE)*(C732:C758=TRUE)*Q732:Q758*Skills!W2:W28))+B766</f>
        <v/>
      </c>
    </row>
    <row r="768">
      <c r="A768" t="inlineStr">
        <is>
          <t>Buff-Casting Startup Delay (s, fixed-duration only)</t>
        </is>
      </c>
      <c r="B768">
        <f>IF(AND(Inputs!$B$38&lt;&gt;"pvp",Inputs!$B$43&gt;0),SUMPRODUCT((Skills!T2:T28&gt;0)*(Skills!F2:F28=TRUE)*(C732:C758=TRUE))/B764,0)</f>
        <v/>
      </c>
    </row>
    <row r="769">
      <c r="A769" t="inlineStr">
        <is>
          <t>Boss-Only Total DPS (this block's swept value)</t>
        </is>
      </c>
      <c r="B769">
        <f>SUM(S732:S758)</f>
        <v/>
      </c>
    </row>
    <row r="770">
      <c r="A770" t="inlineStr">
        <is>
          <t>Normal-Only Total DPS (this block's swept value)</t>
        </is>
      </c>
      <c r="B770">
        <f>SUM(U732:U758)</f>
        <v/>
      </c>
    </row>
    <row r="771">
      <c r="A771" s="6" t="inlineStr">
        <is>
          <t>TOTAL DPS</t>
        </is>
      </c>
      <c r="B771" s="6">
        <f>SUM(O732:O758)</f>
        <v/>
      </c>
    </row>
    <row r="774">
      <c r="A774" s="6" t="inlineStr">
        <is>
          <t>Stat: Skill Level Bonus — 2nd Job</t>
        </is>
      </c>
    </row>
    <row r="775">
      <c r="A775" s="5" t="inlineStr">
        <is>
          <t>Key</t>
        </is>
      </c>
      <c r="B775" s="5" t="inlineStr">
        <is>
          <t>Name</t>
        </is>
      </c>
      <c r="C775" s="5" t="inlineStr">
        <is>
          <t>Unlocked</t>
        </is>
      </c>
      <c r="D775" s="5" t="inlineStr">
        <is>
          <t>InputLevel</t>
        </is>
      </c>
      <c r="E775" s="5" t="inlineStr">
        <is>
          <t>Factor</t>
        </is>
      </c>
      <c r="F775" s="5" t="inlineStr">
        <is>
          <t>CoefficientPercent</t>
        </is>
      </c>
      <c r="G775" s="5" t="inlineStr">
        <is>
          <t>EffectiveHits</t>
        </is>
      </c>
      <c r="H775" s="5" t="inlineStr">
        <is>
          <t>ProcProbability</t>
        </is>
      </c>
      <c r="I775" s="5" t="inlineStr">
        <is>
          <t>MapleHeroMultiplier</t>
        </is>
      </c>
      <c r="J775" s="5" t="inlineStr">
        <is>
          <t>BaseDamage</t>
        </is>
      </c>
      <c r="K775" s="5" t="inlineStr">
        <is>
          <t>BaseHitDamage</t>
        </is>
      </c>
      <c r="L775" s="5" t="inlineStr">
        <is>
          <t>NonCritAvg</t>
        </is>
      </c>
      <c r="M775" s="5" t="inlineStr">
        <is>
          <t>CritAvg</t>
        </is>
      </c>
      <c r="N775" s="5" t="inlineStr">
        <is>
          <t>ExpectedDamage(perHit)</t>
        </is>
      </c>
      <c r="O775" s="5" t="inlineStr">
        <is>
          <t>DPS</t>
        </is>
      </c>
      <c r="P775" s="5" t="inlineStr">
        <is>
          <t>% of Total</t>
        </is>
      </c>
      <c r="R775" t="inlineStr">
        <is>
          <t>helpers</t>
        </is>
      </c>
    </row>
    <row r="776">
      <c r="A776">
        <f>Skills!A2</f>
        <v/>
      </c>
      <c r="B776">
        <f>Skills!B2</f>
        <v/>
      </c>
      <c r="C776">
        <f>TRUE</f>
        <v/>
      </c>
      <c r="D776" t="inlineStr"/>
      <c r="E776" t="inlineStr"/>
      <c r="F776">
        <f>T778+Skills!O2</f>
        <v/>
      </c>
      <c r="G776">
        <f>Calc!G2</f>
        <v/>
      </c>
      <c r="H776">
        <f>Calc!H2</f>
        <v/>
      </c>
      <c r="I776">
        <f>IF(Skills!X2&lt;&gt;"",1+(Skills!X2/10)*(Z777/1000)/100,1)</f>
        <v/>
      </c>
      <c r="J776">
        <f>((Inputs!$B$6*(1+Inputs!$B$7/100))+(((Inputs!$B$12*(1+Inputs!$B$13/100))-(Inputs!$B$12*(1+Inputs!$B$13/100)))+0.25*(Inputs!$B$14-Inputs!$B$14))*(1+Inputs!$B$7/100))*(F776/100)</f>
        <v/>
      </c>
      <c r="K776">
        <f>J776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776)</f>
        <v/>
      </c>
      <c r="L776">
        <f>K776*(MIN(Inputs!$B$22+(F796-Calc!F22),(Inputs!$B$23+(IF(ArtifactsInput!$M$15,CHOOSE(ArtifactsInput!$N$15+1,25,30,35,40,45,50)/100*(Inputs!$B$11-Inputs!$B$11),0))))/100+(Inputs!$B$23+(IF(ArtifactsInput!$M$15,CHOOSE(ArtifactsInput!$N$15+1,25,30,35,40,45,50)/100*(Inputs!$B$11-Inputs!$B$11),0)))/100)/2</f>
        <v/>
      </c>
      <c r="M776">
        <f>L776*(1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6">
        <f>L776*(1-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776*(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6">
        <f>(1-Summary!$B$11)*S776+Summary!$B$11*U776</f>
        <v/>
      </c>
      <c r="P776">
        <f>IF(B815=0,0,O776/B815)</f>
        <v/>
      </c>
      <c r="Q776">
        <f>IFERROR(1/(IF(Inputs!$B$38="pvp",15,MAX(0.1,Skills!E2-IF(Skills!F2=TRUE,Inputs!$B$32,0)))*(1-IF(AND(ArtifactsInput!$M$27,Inputs!$B$4="Chapter Hunt"),CHOOSE(ArtifactsInput!$N$27+1,20,24,28,32,36,40),0)/100)),0)</f>
        <v/>
      </c>
      <c r="R776" t="n">
        <v>0</v>
      </c>
      <c r="S776">
        <f>(Skills!G2*N776*B810)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776*(1-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776*(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776*(1-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776*(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776">
        <f>MAX(0,(Inputs!$B$3-100)*3)+Inputs!$B$28+Inputs!$B$29</f>
        <v/>
      </c>
      <c r="U776">
        <f>(Skills!G2*N776*B810)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776">
        <f>MAX(0,(Inputs!$B$3-100)*3)+Inputs!$B$28+Inputs!$B$29</f>
        <v/>
      </c>
    </row>
    <row r="777">
      <c r="A777">
        <f>Skills!A3</f>
        <v/>
      </c>
      <c r="B777">
        <f>Skills!B3</f>
        <v/>
      </c>
      <c r="C777">
        <f>TRUE</f>
        <v/>
      </c>
      <c r="D777">
        <f>IF(Skills!C3=1,60+Inputs!$B$25+Inputs!$B$29,IF(Skills!C3=2,90+(Inputs!$B$26+1)+Inputs!$B$29,IF(Skills!C3=3,120+Inputs!$B$27+Inputs!$B$29,MAX(0,(Inputs!$B$3-100)*3)+Inputs!$B$28+Inputs!$B$29)))</f>
        <v/>
      </c>
      <c r="E777">
        <f>INDEX(FactorTable!$B$2:$Y$301, MATCH(ROUND(MIN(300,MAX(1,D777)),0), FactorTable!$A$2:$A$301,0), Skills!M3+1)</f>
        <v/>
      </c>
      <c r="F777">
        <f>IF(Skills!N3=TRUE,(Skills!L3/10)*(E777/1000),Skills!L3/10)+Skills!O3</f>
        <v/>
      </c>
      <c r="G777">
        <f>Calc!G3</f>
        <v/>
      </c>
      <c r="H777">
        <f>Calc!H3</f>
        <v/>
      </c>
      <c r="I777">
        <f>IF(Skills!X3&lt;&gt;"",1+(Skills!X3/10)*(Z777/1000)/100,1)</f>
        <v/>
      </c>
      <c r="J777">
        <f>((Inputs!$B$6*(1+Inputs!$B$7/100))+(((Inputs!$B$12*(1+Inputs!$B$13/100))-(Inputs!$B$12*(1+Inputs!$B$13/100)))+0.25*(Inputs!$B$14-Inputs!$B$14))*(1+Inputs!$B$7/100))*(F777/100)</f>
        <v/>
      </c>
      <c r="K777">
        <f>J777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777)</f>
        <v/>
      </c>
      <c r="L777">
        <f>K777*(MIN(Inputs!$B$22+(F796-Calc!F22),(Inputs!$B$23+(IF(ArtifactsInput!$M$15,CHOOSE(ArtifactsInput!$N$15+1,25,30,35,40,45,50)/100*(Inputs!$B$11-Inputs!$B$11),0))))/100+(Inputs!$B$23+(IF(ArtifactsInput!$M$15,CHOOSE(ArtifactsInput!$N$15+1,25,30,35,40,45,50)/100*(Inputs!$B$11-Inputs!$B$11),0)))/100)/2</f>
        <v/>
      </c>
      <c r="M777">
        <f>L777*(1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7">
        <f>L777*(1-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777*(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7">
        <f>(1-Summary!$B$11)*S777+Summary!$B$11*U777</f>
        <v/>
      </c>
      <c r="P777">
        <f>IF(B815=0,0,O777/B815)</f>
        <v/>
      </c>
      <c r="Q777">
        <f>IFERROR(1/(IF(Inputs!$B$38="pvp",15,MAX(0.1,Skills!E3-IF(Skills!F3=TRUE,Inputs!$B$32,0)))*(1-IF(AND(ArtifactsInput!$M$27,Inputs!$B$4="Chapter Hunt"),CHOOSE(ArtifactsInput!$N$27+1,20,24,28,32,36,40),0)/100)),0)</f>
        <v/>
      </c>
      <c r="R777">
        <f>IF(AND(Inputs!$B$38&lt;&gt;"pvp",Inputs!$B$43&gt;0),IF(MAX(0,Inputs!$B$43-B812)&lt;=0,0,(INT(MAX(0,Inputs!$B$43-B812)/(IF(Inputs!$B$38="pvp",15,MAX(0.1,Skills!E3-IF(Skills!F3=TRUE,Inputs!$B$32,0)))*(1-IF(AND(ArtifactsInput!$M$27,Inputs!$B$4="Chapter Hunt"),CHOOSE(ArtifactsInput!$N$27+1,20,24,28,32,36,40),0)/100)))+1)),0)</f>
        <v/>
      </c>
      <c r="S777">
        <f>IF(C777,(H777*N777*IF(AND(Inputs!$B$38&lt;&gt;"pvp",Inputs!$B$43&gt;0),((Skills!G3*((R777-1)*IF(Skills!H3&gt;0,Skills!I3/Skills!H3,1)+IF(Skills!H3&gt;0,MIN(Skills!I3,MAX(0,MAX(0,Inputs!$B$43-B812)-((R777-1)*(IF(Inputs!$B$38="pvp",15,MAX(0.1,Skills!E3-IF(Skills!F3=TRUE,Inputs!$B$32,0)))*(1-IF(AND(ArtifactsInput!$M$27,Inputs!$B$4="Chapter Hunt"),CHOOSE(ArtifactsInput!$N$27+1,20,24,28,32,36,40),0)/100)))))/Skills!H3,1)))/Inputs!$B$43),G777*Q777)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777*(1-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777*(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777*(1-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777*(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77">
        <f>INDEX(FactorTable!$B$2:$Y$301, MATCH(ROUND(MIN(300,MAX(1,T776)),0), FactorTable!$A$2:$A$301,0), 22)</f>
        <v/>
      </c>
      <c r="U777">
        <f>IF(C777,(H777*N777*IF(AND(Inputs!$B$38&lt;&gt;"pvp",Inputs!$B$43&gt;0),((Skills!G3*((R777-1)*IF(Skills!H3&gt;0,Skills!I3/Skills!H3,1)+IF(Skills!H3&gt;0,MIN(Skills!I3,MAX(0,MAX(0,Inputs!$B$43-B812)-((R777-1)*(IF(Inputs!$B$38="pvp",15,MAX(0.1,Skills!E3-IF(Skills!F3=TRUE,Inputs!$B$32,0)))*(1-IF(AND(ArtifactsInput!$M$27,Inputs!$B$4="Chapter Hunt"),CHOOSE(ArtifactsInput!$N$27+1,20,24,28,32,36,40),0)/100)))))/Skills!H3,1)))/Inputs!$B$43),G777*Q777)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777">
        <f>INDEX(FactorTable!$B$2:$Y$301, MATCH(ROUND(MIN(300,MAX(1,Z776)),0), FactorTable!$A$2:$A$301,0), 24)</f>
        <v/>
      </c>
    </row>
    <row r="778">
      <c r="A778">
        <f>Skills!A4</f>
        <v/>
      </c>
      <c r="B778">
        <f>Skills!B4</f>
        <v/>
      </c>
      <c r="C778">
        <f>TRUE</f>
        <v/>
      </c>
      <c r="D778">
        <f>IF(Skills!C4=1,60+Inputs!$B$25+Inputs!$B$29,IF(Skills!C4=2,90+(Inputs!$B$26+1)+Inputs!$B$29,IF(Skills!C4=3,120+Inputs!$B$27+Inputs!$B$29,MAX(0,(Inputs!$B$3-100)*3)+Inputs!$B$28+Inputs!$B$29)))</f>
        <v/>
      </c>
      <c r="E778">
        <f>INDEX(FactorTable!$B$2:$Y$301, MATCH(ROUND(MIN(300,MAX(1,D778)),0), FactorTable!$A$2:$A$301,0), Skills!M4+1)</f>
        <v/>
      </c>
      <c r="F778">
        <f>IF(Skills!N4=TRUE,(Skills!L4/10)*(E778/1000),Skills!L4/10)+Skills!O4</f>
        <v/>
      </c>
      <c r="G778">
        <f>Calc!G4</f>
        <v/>
      </c>
      <c r="H778">
        <f>Calc!H4</f>
        <v/>
      </c>
      <c r="I778">
        <f>IF(Skills!X4&lt;&gt;"",1+(Skills!X4/10)*(Z777/1000)/100,1)</f>
        <v/>
      </c>
      <c r="J778">
        <f>((Inputs!$B$6*(1+Inputs!$B$7/100))+(((Inputs!$B$12*(1+Inputs!$B$13/100))-(Inputs!$B$12*(1+Inputs!$B$13/100)))+0.25*(Inputs!$B$14-Inputs!$B$14))*(1+Inputs!$B$7/100))*(F778/100)</f>
        <v/>
      </c>
      <c r="K778">
        <f>J778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778)</f>
        <v/>
      </c>
      <c r="L778">
        <f>K778*(MIN(Inputs!$B$22+(F796-Calc!F22),(Inputs!$B$23+(IF(ArtifactsInput!$M$15,CHOOSE(ArtifactsInput!$N$15+1,25,30,35,40,45,50)/100*(Inputs!$B$11-Inputs!$B$11),0))))/100+(Inputs!$B$23+(IF(ArtifactsInput!$M$15,CHOOSE(ArtifactsInput!$N$15+1,25,30,35,40,45,50)/100*(Inputs!$B$11-Inputs!$B$11),0)))/100)/2</f>
        <v/>
      </c>
      <c r="M778">
        <f>L778*(1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8">
        <f>L778*(1-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778*(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8">
        <f>(1-Summary!$B$11)*S778+Summary!$B$11*U778</f>
        <v/>
      </c>
      <c r="P778">
        <f>IF(B815=0,0,O778/B815)</f>
        <v/>
      </c>
      <c r="Q778">
        <f>IFERROR(1/(IF(Inputs!$B$38="pvp",15,MAX(0.1,Skills!E4-IF(Skills!F4=TRUE,Inputs!$B$32,0)))*(1-IF(AND(ArtifactsInput!$M$27,Inputs!$B$4="Chapter Hunt"),CHOOSE(ArtifactsInput!$N$27+1,20,24,28,32,36,40),0)/100)),0)</f>
        <v/>
      </c>
      <c r="R778">
        <f>IF(AND(Inputs!$B$38&lt;&gt;"pvp",Inputs!$B$43&gt;0),IF(MAX(0,Inputs!$B$43-B812)&lt;=0,0,(INT(MAX(0,Inputs!$B$43-B812)/(IF(Inputs!$B$38="pvp",15,MAX(0.1,Skills!E4-IF(Skills!F4=TRUE,Inputs!$B$32,0)))*(1-IF(AND(ArtifactsInput!$M$27,Inputs!$B$4="Chapter Hunt"),CHOOSE(ArtifactsInput!$N$27+1,20,24,28,32,36,40),0)/100)))+1)),0)</f>
        <v/>
      </c>
      <c r="S778">
        <f>IF(C778,(H778*N778*IF(AND(Inputs!$B$38&lt;&gt;"pvp",Inputs!$B$43&gt;0),((Skills!G4*((R778-1)*IF(Skills!H4&gt;0,Skills!I4/Skills!H4,1)+IF(Skills!H4&gt;0,MIN(Skills!I4,MAX(0,MAX(0,Inputs!$B$43-B812)-((R778-1)*(IF(Inputs!$B$38="pvp",15,MAX(0.1,Skills!E4-IF(Skills!F4=TRUE,Inputs!$B$32,0)))*(1-IF(AND(ArtifactsInput!$M$27,Inputs!$B$4="Chapter Hunt"),CHOOSE(ArtifactsInput!$N$27+1,20,24,28,32,36,40),0)/100)))))/Skills!H4,1)))/Inputs!$B$43),G778*Q778)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778*(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778*(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78">
        <f>290*T777/1000</f>
        <v/>
      </c>
      <c r="U778">
        <f>IF(C778,(H778*N778*IF(AND(Inputs!$B$38&lt;&gt;"pvp",Inputs!$B$43&gt;0),((Skills!G4*((R778-1)*IF(Skills!H4&gt;0,Skills!I4/Skills!H4,1)+IF(Skills!H4&gt;0,MIN(Skills!I4,MAX(0,MAX(0,Inputs!$B$43-B812)-((R778-1)*(IF(Inputs!$B$38="pvp",15,MAX(0.1,Skills!E4-IF(Skills!F4=TRUE,Inputs!$B$32,0)))*(1-IF(AND(ArtifactsInput!$M$27,Inputs!$B$4="Chapter Hunt"),CHOOSE(ArtifactsInput!$N$27+1,20,24,28,32,36,40),0)/100)))))/Skills!H4,1)))/Inputs!$B$43),G778*Q778)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9">
      <c r="A779">
        <f>Skills!A5</f>
        <v/>
      </c>
      <c r="B779">
        <f>Skills!B5</f>
        <v/>
      </c>
      <c r="C779">
        <f>TRUE</f>
        <v/>
      </c>
      <c r="D779">
        <f>IF(Skills!C5=1,60+Inputs!$B$25+Inputs!$B$29,IF(Skills!C5=2,90+(Inputs!$B$26+1)+Inputs!$B$29,IF(Skills!C5=3,120+Inputs!$B$27+Inputs!$B$29,MAX(0,(Inputs!$B$3-100)*3)+Inputs!$B$28+Inputs!$B$29)))</f>
        <v/>
      </c>
      <c r="E779">
        <f>INDEX(FactorTable!$B$2:$Y$301, MATCH(ROUND(MIN(300,MAX(1,D779)),0), FactorTable!$A$2:$A$301,0), Skills!M5+1)</f>
        <v/>
      </c>
      <c r="F779">
        <f>IF(Skills!N5=TRUE,(Skills!L5/10)*(E779/1000),Skills!L5/10)+Skills!O5</f>
        <v/>
      </c>
      <c r="G779">
        <f>Calc!G5</f>
        <v/>
      </c>
      <c r="H779">
        <f>Calc!H5</f>
        <v/>
      </c>
      <c r="I779">
        <f>IF(Skills!X5&lt;&gt;"",1+(Skills!X5/10)*(Z777/1000)/100,1)</f>
        <v/>
      </c>
      <c r="J779">
        <f>((Inputs!$B$6*(1+Inputs!$B$7/100))+(((Inputs!$B$12*(1+Inputs!$B$13/100))-(Inputs!$B$12*(1+Inputs!$B$13/100)))+0.25*(Inputs!$B$14-Inputs!$B$14))*(1+Inputs!$B$7/100))*(F779/100)</f>
        <v/>
      </c>
      <c r="K779">
        <f>J779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779)</f>
        <v/>
      </c>
      <c r="L779">
        <f>K779*(MIN(Inputs!$B$22+(F796-Calc!F22),(Inputs!$B$23+(IF(ArtifactsInput!$M$15,CHOOSE(ArtifactsInput!$N$15+1,25,30,35,40,45,50)/100*(Inputs!$B$11-Inputs!$B$11),0))))/100+(Inputs!$B$23+(IF(ArtifactsInput!$M$15,CHOOSE(ArtifactsInput!$N$15+1,25,30,35,40,45,50)/100*(Inputs!$B$11-Inputs!$B$11),0)))/100)/2</f>
        <v/>
      </c>
      <c r="M779">
        <f>L779*(1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9">
        <f>L779*(1-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779*(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9">
        <f>(1-Summary!$B$11)*S779+Summary!$B$11*U779</f>
        <v/>
      </c>
      <c r="P779">
        <f>IF(B815=0,0,O779/B815)</f>
        <v/>
      </c>
      <c r="Q779">
        <f>IFERROR(1/(IF(Inputs!$B$38="pvp",15,MAX(0.1,Skills!E5-IF(Skills!F5=TRUE,Inputs!$B$32,0)))*(1-IF(AND(ArtifactsInput!$M$27,Inputs!$B$4="Chapter Hunt"),CHOOSE(ArtifactsInput!$N$27+1,20,24,28,32,36,40),0)/100)),0)</f>
        <v/>
      </c>
      <c r="R779">
        <f>IF(AND(Inputs!$B$38&lt;&gt;"pvp",Inputs!$B$43&gt;0),IF(MAX(0,Inputs!$B$43-B812)&lt;=0,0,(INT(MAX(0,Inputs!$B$43-B812)/(IF(Inputs!$B$38="pvp",15,MAX(0.1,Skills!E5-IF(Skills!F5=TRUE,Inputs!$B$32,0)))*(1-IF(AND(ArtifactsInput!$M$27,Inputs!$B$4="Chapter Hunt"),CHOOSE(ArtifactsInput!$N$27+1,20,24,28,32,36,40),0)/100)))+1)),0)</f>
        <v/>
      </c>
      <c r="S779">
        <f>IF(C779,(H779*N779*IF(AND(Inputs!$B$38&lt;&gt;"pvp",Inputs!$B$43&gt;0),((Skills!G5*((R779-1)*IF(Skills!H5&gt;0,Skills!I5/Skills!H5,1)+IF(Skills!H5&gt;0,MIN(Skills!I5,MAX(0,MAX(0,Inputs!$B$43-B812)-((R779-1)*(IF(Inputs!$B$38="pvp",15,MAX(0.1,Skills!E5-IF(Skills!F5=TRUE,Inputs!$B$32,0)))*(1-IF(AND(ArtifactsInput!$M$27,Inputs!$B$4="Chapter Hunt"),CHOOSE(ArtifactsInput!$N$27+1,20,24,28,32,36,40),0)/100)))))/Skills!H5,1)))/Inputs!$B$43),G779*Q779)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779*(1-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779*(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779*(1-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779*(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9">
        <f>IF(C779,(H779*N779*IF(AND(Inputs!$B$38&lt;&gt;"pvp",Inputs!$B$43&gt;0),((Skills!G5*((R779-1)*IF(Skills!H5&gt;0,Skills!I5/Skills!H5,1)+IF(Skills!H5&gt;0,MIN(Skills!I5,MAX(0,MAX(0,Inputs!$B$43-B812)-((R779-1)*(IF(Inputs!$B$38="pvp",15,MAX(0.1,Skills!E5-IF(Skills!F5=TRUE,Inputs!$B$32,0)))*(1-IF(AND(ArtifactsInput!$M$27,Inputs!$B$4="Chapter Hunt"),CHOOSE(ArtifactsInput!$N$27+1,20,24,28,32,36,40),0)/100)))))/Skills!H5,1)))/Inputs!$B$43),G779*Q779)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0">
      <c r="A780">
        <f>Skills!A6</f>
        <v/>
      </c>
      <c r="B780">
        <f>Skills!B6</f>
        <v/>
      </c>
      <c r="C780">
        <f>TRUE</f>
        <v/>
      </c>
      <c r="D780">
        <f>IF(Skills!C6=1,60+Inputs!$B$25+Inputs!$B$29,IF(Skills!C6=2,90+(Inputs!$B$26+1)+Inputs!$B$29,IF(Skills!C6=3,120+Inputs!$B$27+Inputs!$B$29,MAX(0,(Inputs!$B$3-100)*3)+Inputs!$B$28+Inputs!$B$29)))</f>
        <v/>
      </c>
      <c r="E780">
        <f>INDEX(FactorTable!$B$2:$Y$301, MATCH(ROUND(MIN(300,MAX(1,D780)),0), FactorTable!$A$2:$A$301,0), Skills!M6+1)</f>
        <v/>
      </c>
      <c r="F780">
        <f>IF(Skills!N6=TRUE,(Skills!L6/10)*(E780/1000),Skills!L6/10)+Skills!O6</f>
        <v/>
      </c>
      <c r="G780">
        <f>Calc!G6</f>
        <v/>
      </c>
      <c r="H780">
        <f>Calc!H6</f>
        <v/>
      </c>
      <c r="I780">
        <f>IF(Skills!X6&lt;&gt;"",1+(Skills!X6/10)*(Z777/1000)/100,1)</f>
        <v/>
      </c>
      <c r="J780" t="inlineStr"/>
      <c r="K780" t="inlineStr"/>
      <c r="L780" t="inlineStr"/>
      <c r="M780" t="inlineStr"/>
      <c r="N780" t="inlineStr"/>
      <c r="O780">
        <f>(1-Summary!$B$11)*S780+Summary!$B$11*U780</f>
        <v/>
      </c>
      <c r="P780">
        <f>IF(B815=0,0,O780/B815)</f>
        <v/>
      </c>
      <c r="Q780">
        <f>IFERROR(1/(IF(Inputs!$B$38="pvp",15,MAX(0.1,Skills!E6-IF(Skills!F6=TRUE,Inputs!$B$32,0)))*(1-IF(AND(ArtifactsInput!$M$27,Inputs!$B$4="Chapter Hunt"),CHOOSE(ArtifactsInput!$N$27+1,20,24,28,32,36,40),0)/100)),0)</f>
        <v/>
      </c>
      <c r="R780">
        <f>IF(AND(Inputs!$B$38&lt;&gt;"pvp",Inputs!$B$43&gt;0),IF(Inputs!$B$43&lt;=0,0,(INT(Inputs!$B$43/(IF(Inputs!$B$38="pvp",15,MAX(0.1,Skills!E6-IF(Skills!F6=TRUE,Inputs!$B$32,0)))*(1-IF(AND(ArtifactsInput!$M$27,Inputs!$B$4="Chapter Hunt"),CHOOSE(ArtifactsInput!$N$27+1,20,24,28,32,36,40),0)/100)))+1)),0)</f>
        <v/>
      </c>
      <c r="S780" t="n">
        <v>0</v>
      </c>
      <c r="U780" t="n">
        <v>0</v>
      </c>
    </row>
    <row r="781">
      <c r="A781">
        <f>Skills!A7</f>
        <v/>
      </c>
      <c r="B781">
        <f>Skills!B7</f>
        <v/>
      </c>
      <c r="C781">
        <f>TRUE</f>
        <v/>
      </c>
      <c r="D781">
        <f>IF(Skills!C7=1,60+Inputs!$B$25+Inputs!$B$29,IF(Skills!C7=2,90+(Inputs!$B$26+1)+Inputs!$B$29,IF(Skills!C7=3,120+Inputs!$B$27+Inputs!$B$29,MAX(0,(Inputs!$B$3-100)*3)+Inputs!$B$28+Inputs!$B$29)))</f>
        <v/>
      </c>
      <c r="E781">
        <f>INDEX(FactorTable!$B$2:$Y$301, MATCH(ROUND(MIN(300,MAX(1,D781)),0), FactorTable!$A$2:$A$301,0), Skills!M7+1)</f>
        <v/>
      </c>
      <c r="F781">
        <f>IF(Skills!N7=TRUE,(Skills!L7/10)*(E781/1000),Skills!L7/10)+Skills!O7</f>
        <v/>
      </c>
      <c r="G781">
        <f>Calc!G7</f>
        <v/>
      </c>
      <c r="H781">
        <f>Calc!H7</f>
        <v/>
      </c>
      <c r="I781">
        <f>IF(Skills!X7&lt;&gt;"",1+(Skills!X7/10)*(Z777/1000)/100,1)</f>
        <v/>
      </c>
      <c r="J781">
        <f>((Inputs!$B$6*(1+Inputs!$B$7/100))+(((Inputs!$B$12*(1+Inputs!$B$13/100))-(Inputs!$B$12*(1+Inputs!$B$13/100)))+0.25*(Inputs!$B$14-Inputs!$B$14))*(1+Inputs!$B$7/100))*(F781/100)</f>
        <v/>
      </c>
      <c r="K781">
        <f>J781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781)</f>
        <v/>
      </c>
      <c r="L781">
        <f>K781*(MIN(Inputs!$B$22+(F796-Calc!F22),(Inputs!$B$23+(IF(ArtifactsInput!$M$15,CHOOSE(ArtifactsInput!$N$15+1,25,30,35,40,45,50)/100*(Inputs!$B$11-Inputs!$B$11),0))))/100+(Inputs!$B$23+(IF(ArtifactsInput!$M$15,CHOOSE(ArtifactsInput!$N$15+1,25,30,35,40,45,50)/100*(Inputs!$B$11-Inputs!$B$11),0)))/100)/2</f>
        <v/>
      </c>
      <c r="M781">
        <f>L781*(1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1">
        <f>L781*(1-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1">
        <f>(1-Summary!$B$11)*S781+Summary!$B$11*U781</f>
        <v/>
      </c>
      <c r="P781">
        <f>IF(B815=0,0,O781/B815)</f>
        <v/>
      </c>
      <c r="Q781">
        <f>IFERROR(1/(IF(Inputs!$B$38="pvp",15,MAX(0.1,Skills!E7-IF(Skills!F7=TRUE,Inputs!$B$32,0)))*(1-IF(AND(ArtifactsInput!$M$27,Inputs!$B$4="Chapter Hunt"),CHOOSE(ArtifactsInput!$N$27+1,20,24,28,32,36,40),0)/100)),0)</f>
        <v/>
      </c>
      <c r="R781">
        <f>IF(AND(Inputs!$B$38&lt;&gt;"pvp",Inputs!$B$43&gt;0),IF(MAX(0,Inputs!$B$43-B812)&lt;=0,0,(INT(MAX(0,Inputs!$B$43-B812)/(IF(Inputs!$B$38="pvp",15,MAX(0.1,Skills!E7-IF(Skills!F7=TRUE,Inputs!$B$32,0)))*(1-IF(AND(ArtifactsInput!$M$27,Inputs!$B$4="Chapter Hunt"),CHOOSE(ArtifactsInput!$N$27+1,20,24,28,32,36,40),0)/100)))+1)),0)</f>
        <v/>
      </c>
      <c r="S781">
        <f>IF(C781,(H781*N781*IF(AND(Inputs!$B$38&lt;&gt;"pvp",Inputs!$B$43&gt;0),((Skills!G7*((R781-1)*IF(Skills!H7&gt;0,Skills!I7/Skills!H7,1)+IF(Skills!H7&gt;0,MIN(Skills!I7,MAX(0,MAX(0,Inputs!$B$43-B812)-((R781-1)*(IF(Inputs!$B$38="pvp",15,MAX(0.1,Skills!E7-IF(Skills!F7=TRUE,Inputs!$B$32,0)))*(1-IF(AND(ArtifactsInput!$M$27,Inputs!$B$4="Chapter Hunt"),CHOOSE(ArtifactsInput!$N$27+1,20,24,28,32,36,40),0)/100)))))/Skills!H7,1)))/Inputs!$B$43),G781*Q781)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781*(1-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1">
        <f>IF(C781,(H781*N781*IF(AND(Inputs!$B$38&lt;&gt;"pvp",Inputs!$B$43&gt;0),((Skills!G7*((R781-1)*IF(Skills!H7&gt;0,Skills!I7/Skills!H7,1)+IF(Skills!H7&gt;0,MIN(Skills!I7,MAX(0,MAX(0,Inputs!$B$43-B812)-((R781-1)*(IF(Inputs!$B$38="pvp",15,MAX(0.1,Skills!E7-IF(Skills!F7=TRUE,Inputs!$B$32,0)))*(1-IF(AND(ArtifactsInput!$M$27,Inputs!$B$4="Chapter Hunt"),CHOOSE(ArtifactsInput!$N$27+1,20,24,28,32,36,40),0)/100)))))/Skills!H7,1)))/Inputs!$B$43),G781*Q781)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2">
      <c r="A782">
        <f>Skills!A8</f>
        <v/>
      </c>
      <c r="B782">
        <f>Skills!B8</f>
        <v/>
      </c>
      <c r="C782">
        <f>TRUE</f>
        <v/>
      </c>
      <c r="D782">
        <f>IF(Skills!C8=1,60+Inputs!$B$25+Inputs!$B$29,IF(Skills!C8=2,90+(Inputs!$B$26+1)+Inputs!$B$29,IF(Skills!C8=3,120+Inputs!$B$27+Inputs!$B$29,MAX(0,(Inputs!$B$3-100)*3)+Inputs!$B$28+Inputs!$B$29)))</f>
        <v/>
      </c>
      <c r="E782">
        <f>INDEX(FactorTable!$B$2:$Y$301, MATCH(ROUND(MIN(300,MAX(1,D782)),0), FactorTable!$A$2:$A$301,0), Skills!M8+1)</f>
        <v/>
      </c>
      <c r="F782">
        <f>IF(Skills!N8=TRUE,(Skills!L8/10)*(E782/1000),Skills!L8/10)+Skills!O8</f>
        <v/>
      </c>
      <c r="G782">
        <f>Calc!G8</f>
        <v/>
      </c>
      <c r="H782">
        <f>Calc!H8</f>
        <v/>
      </c>
      <c r="I782">
        <f>IF(Skills!X8&lt;&gt;"",1+(Skills!X8/10)*(Z777/1000)/100,1)</f>
        <v/>
      </c>
      <c r="J782">
        <f>((Inputs!$B$6*(1+Inputs!$B$7/100))+(((Inputs!$B$12*(1+Inputs!$B$13/100))-(Inputs!$B$12*(1+Inputs!$B$13/100)))+0.25*(Inputs!$B$14-Inputs!$B$14))*(1+Inputs!$B$7/100))*(F782/100)</f>
        <v/>
      </c>
      <c r="K782">
        <f>J782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782)</f>
        <v/>
      </c>
      <c r="L782">
        <f>K782*(MIN(Inputs!$B$22+(F796-Calc!F22),(Inputs!$B$23+(IF(ArtifactsInput!$M$15,CHOOSE(ArtifactsInput!$N$15+1,25,30,35,40,45,50)/100*(Inputs!$B$11-Inputs!$B$11),0))))/100+(Inputs!$B$23+(IF(ArtifactsInput!$M$15,CHOOSE(ArtifactsInput!$N$15+1,25,30,35,40,45,50)/100*(Inputs!$B$11-Inputs!$B$11),0)))/100)/2</f>
        <v/>
      </c>
      <c r="M782">
        <f>L782*(1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2">
        <f>L782*(1-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782*(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2">
        <f>(1-Summary!$B$11)*S782+Summary!$B$11*U782</f>
        <v/>
      </c>
      <c r="P782">
        <f>IF(B815=0,0,O782/B815)</f>
        <v/>
      </c>
      <c r="Q782">
        <f>IFERROR(1/(IF(Inputs!$B$38="pvp",15,MAX(0.1,Skills!E8-IF(Skills!F8=TRUE,Inputs!$B$32,0)))*(1-IF(AND(ArtifactsInput!$M$27,Inputs!$B$4="Chapter Hunt"),CHOOSE(ArtifactsInput!$N$27+1,20,24,28,32,36,40),0)/100)),0)</f>
        <v/>
      </c>
      <c r="R782">
        <f>IF(AND(Inputs!$B$38&lt;&gt;"pvp",Inputs!$B$43&gt;0),IF(MAX(0,Inputs!$B$43-B812)&lt;=0,0,(INT(MAX(0,Inputs!$B$43-B812)/(IF(Inputs!$B$38="pvp",15,MAX(0.1,Skills!E8-IF(Skills!F8=TRUE,Inputs!$B$32,0)))*(1-IF(AND(ArtifactsInput!$M$27,Inputs!$B$4="Chapter Hunt"),CHOOSE(ArtifactsInput!$N$27+1,20,24,28,32,36,40),0)/100)))+1)),0)</f>
        <v/>
      </c>
      <c r="S782">
        <f>IF(C782,(H782*N782*IF(AND(Inputs!$B$38&lt;&gt;"pvp",Inputs!$B$43&gt;0),((Skills!G8*((R782-1)*IF(Skills!H8&gt;0,Skills!I8/Skills!H8,1)+IF(Skills!H8&gt;0,MIN(Skills!I8,MAX(0,MAX(0,Inputs!$B$43-B812)-((R782-1)*(IF(Inputs!$B$38="pvp",15,MAX(0.1,Skills!E8-IF(Skills!F8=TRUE,Inputs!$B$32,0)))*(1-IF(AND(ArtifactsInput!$M$27,Inputs!$B$4="Chapter Hunt"),CHOOSE(ArtifactsInput!$N$27+1,20,24,28,32,36,40),0)/100)))))/Skills!H8,1)))/Inputs!$B$43),G782*Q782)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782*(1-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782*(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782*(1-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782*(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2">
        <f>IF(C782,(H782*N782*IF(AND(Inputs!$B$38&lt;&gt;"pvp",Inputs!$B$43&gt;0),((Skills!G8*((R782-1)*IF(Skills!H8&gt;0,Skills!I8/Skills!H8,1)+IF(Skills!H8&gt;0,MIN(Skills!I8,MAX(0,MAX(0,Inputs!$B$43-B812)-((R782-1)*(IF(Inputs!$B$38="pvp",15,MAX(0.1,Skills!E8-IF(Skills!F8=TRUE,Inputs!$B$32,0)))*(1-IF(AND(ArtifactsInput!$M$27,Inputs!$B$4="Chapter Hunt"),CHOOSE(ArtifactsInput!$N$27+1,20,24,28,32,36,40),0)/100)))))/Skills!H8,1)))/Inputs!$B$43),G782*Q782)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3">
      <c r="A783">
        <f>Skills!A9</f>
        <v/>
      </c>
      <c r="B783">
        <f>Skills!B9</f>
        <v/>
      </c>
      <c r="C783">
        <f>Inputs!$B$3&gt;=103</f>
        <v/>
      </c>
      <c r="D783">
        <f>IF(Skills!C9=1,60+Inputs!$B$25+Inputs!$B$29,IF(Skills!C9=2,90+(Inputs!$B$26+1)+Inputs!$B$29,IF(Skills!C9=3,120+Inputs!$B$27+Inputs!$B$29,MAX(0,(Inputs!$B$3-100)*3)+Inputs!$B$28+Inputs!$B$29)))</f>
        <v/>
      </c>
      <c r="E783">
        <f>INDEX(FactorTable!$B$2:$Y$301, MATCH(ROUND(MIN(300,MAX(1,D783)),0), FactorTable!$A$2:$A$301,0), Skills!M9+1)</f>
        <v/>
      </c>
      <c r="F783">
        <f>IF(Skills!N9=TRUE,(Skills!L9/10)*(E783/1000),Skills!L9/10)+Skills!O9</f>
        <v/>
      </c>
      <c r="G783">
        <f>Calc!G9</f>
        <v/>
      </c>
      <c r="H783">
        <f>Calc!H9</f>
        <v/>
      </c>
      <c r="I783">
        <f>IF(Skills!X9&lt;&gt;"",1+(Skills!X9/10)*(Z777/1000)/100,1)</f>
        <v/>
      </c>
      <c r="J783">
        <f>((Inputs!$B$6*(1+Inputs!$B$7/100))+(((Inputs!$B$12*(1+Inputs!$B$13/100))-(Inputs!$B$12*(1+Inputs!$B$13/100)))+0.25*(Inputs!$B$14-Inputs!$B$14))*(1+Inputs!$B$7/100))*(F783/100)</f>
        <v/>
      </c>
      <c r="K783">
        <f>J783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783)</f>
        <v/>
      </c>
      <c r="L783">
        <f>K783*(MIN(Inputs!$B$22+(F796-Calc!F22),(Inputs!$B$23+(IF(ArtifactsInput!$M$15,CHOOSE(ArtifactsInput!$N$15+1,25,30,35,40,45,50)/100*(Inputs!$B$11-Inputs!$B$11),0))))/100+(Inputs!$B$23+(IF(ArtifactsInput!$M$15,CHOOSE(ArtifactsInput!$N$15+1,25,30,35,40,45,50)/100*(Inputs!$B$11-Inputs!$B$11),0)))/100)/2</f>
        <v/>
      </c>
      <c r="M783">
        <f>L783*(1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3">
        <f>L783*(1-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783*(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3">
        <f>(1-Summary!$B$11)*S783+Summary!$B$11*U783</f>
        <v/>
      </c>
      <c r="P783">
        <f>IF(B815=0,0,O783/B815)</f>
        <v/>
      </c>
      <c r="Q783">
        <f>IFERROR(1/(IF(Inputs!$B$38="pvp",15,MAX(0.1,Skills!E9-IF(Skills!F7=TRUE,Inputs!$B$32,0)))*(1-IF(AND(ArtifactsInput!$M$27,Inputs!$B$4="Chapter Hunt"),CHOOSE(ArtifactsInput!$N$27+1,20,24,28,32,36,40),0)/100)),0)</f>
        <v/>
      </c>
      <c r="R783">
        <f>IF(AND(Inputs!$B$38&lt;&gt;"pvp",Inputs!$B$43&gt;0),IF(MAX(0,Inputs!$B$43-B812)&lt;=0,0,(INT(MAX(0,Inputs!$B$43-B812)/(IF(Inputs!$B$38="pvp",15,MAX(0.1,Skills!E9-IF(Skills!F7=TRUE,Inputs!$B$32,0)))*(1-IF(AND(ArtifactsInput!$M$27,Inputs!$B$4="Chapter Hunt"),CHOOSE(ArtifactsInput!$N$27+1,20,24,28,32,36,40),0)/100)))+1)),0)</f>
        <v/>
      </c>
      <c r="S783">
        <f>IF(C783,(H783*N783*IF(AND(Inputs!$B$38&lt;&gt;"pvp",Inputs!$B$43&gt;0),((Skills!G9*((R783-1)*IF(Skills!H9&gt;0,Skills!I9/Skills!H9,1)+IF(Skills!H9&gt;0,MIN(Skills!I9,MAX(0,MAX(0,Inputs!$B$43-B812)-((R783-1)*(IF(Inputs!$B$38="pvp",15,MAX(0.1,Skills!E9-IF(Skills!F7=TRUE,Inputs!$B$32,0)))*(1-IF(AND(ArtifactsInput!$M$27,Inputs!$B$4="Chapter Hunt"),CHOOSE(ArtifactsInput!$N$27+1,20,24,28,32,36,40),0)/100)))))/Skills!H9,1)))/Inputs!$B$43),G783*Q783)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783*(1-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783*(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783*(1-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783*(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3">
        <f>IF(C783,(H783*N783*IF(AND(Inputs!$B$38&lt;&gt;"pvp",Inputs!$B$43&gt;0),((Skills!G9*((R783-1)*IF(Skills!H9&gt;0,Skills!I9/Skills!H9,1)+IF(Skills!H9&gt;0,MIN(Skills!I9,MAX(0,MAX(0,Inputs!$B$43-B812)-((R783-1)*(IF(Inputs!$B$38="pvp",15,MAX(0.1,Skills!E9-IF(Skills!F7=TRUE,Inputs!$B$32,0)))*(1-IF(AND(ArtifactsInput!$M$27,Inputs!$B$4="Chapter Hunt"),CHOOSE(ArtifactsInput!$N$27+1,20,24,28,32,36,40),0)/100)))))/Skills!H9,1)))/Inputs!$B$43),G783*Q783)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4">
      <c r="A784">
        <f>Skills!A10</f>
        <v/>
      </c>
      <c r="B784">
        <f>Skills!B10</f>
        <v/>
      </c>
      <c r="C784">
        <f>TRUE</f>
        <v/>
      </c>
      <c r="D784">
        <f>IF(Skills!C10=1,60+Inputs!$B$25+Inputs!$B$29,IF(Skills!C10=2,90+(Inputs!$B$26+1)+Inputs!$B$29,IF(Skills!C10=3,120+Inputs!$B$27+Inputs!$B$29,MAX(0,(Inputs!$B$3-100)*3)+Inputs!$B$28+Inputs!$B$29)))</f>
        <v/>
      </c>
      <c r="E784">
        <f>INDEX(FactorTable!$B$2:$Y$301, MATCH(ROUND(MIN(300,MAX(1,D784)),0), FactorTable!$A$2:$A$301,0), Skills!M10+1)</f>
        <v/>
      </c>
      <c r="F784">
        <f>IF(Skills!N10=TRUE,(Skills!L10/10)*(E784/1000),Skills!L10/10)+Skills!O10</f>
        <v/>
      </c>
      <c r="G784">
        <f>Calc!G10</f>
        <v/>
      </c>
      <c r="H784">
        <f>Calc!H10</f>
        <v/>
      </c>
      <c r="I784">
        <f>IF(Skills!X10&lt;&gt;"",1+(Skills!X10/10)*(Z777/1000)/100,1)</f>
        <v/>
      </c>
      <c r="J784">
        <f>((Inputs!$B$6*(1+Inputs!$B$7/100))+(((Inputs!$B$12*(1+Inputs!$B$13/100))-(Inputs!$B$12*(1+Inputs!$B$13/100)))+0.25*(Inputs!$B$14-Inputs!$B$14))*(1+Inputs!$B$7/100))*(F784/100)</f>
        <v/>
      </c>
      <c r="K784">
        <f>J784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784)</f>
        <v/>
      </c>
      <c r="L784">
        <f>K784*(MIN(Inputs!$B$22+(F796-Calc!F22),(Inputs!$B$23+(IF(ArtifactsInput!$M$15,CHOOSE(ArtifactsInput!$N$15+1,25,30,35,40,45,50)/100*(Inputs!$B$11-Inputs!$B$11),0))))/100+(Inputs!$B$23+(IF(ArtifactsInput!$M$15,CHOOSE(ArtifactsInput!$N$15+1,25,30,35,40,45,50)/100*(Inputs!$B$11-Inputs!$B$11),0)))/100)/2</f>
        <v/>
      </c>
      <c r="M784">
        <f>L784*(1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4">
        <f>L784*(1-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784*(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4">
        <f>(1-Summary!$B$11)*S784+Summary!$B$11*U784</f>
        <v/>
      </c>
      <c r="P784">
        <f>IF(B815=0,0,O784/B815)</f>
        <v/>
      </c>
      <c r="Q784">
        <f>IFERROR(1/(IF(Inputs!$B$38="pvp",15,MAX(0.1,Skills!E10-IF(Skills!F10=TRUE,Inputs!$B$32,0)))*(1-IF(AND(ArtifactsInput!$M$27,Inputs!$B$4="Chapter Hunt"),CHOOSE(ArtifactsInput!$N$27+1,20,24,28,32,36,40),0)/100)),0)</f>
        <v/>
      </c>
      <c r="R784">
        <f>IF(AND(Inputs!$B$38&lt;&gt;"pvp",Inputs!$B$43&gt;0),IF(MAX(0,Inputs!$B$43-B812)&lt;=0,0,(INT(MAX(0,Inputs!$B$43-B812)/(IF(Inputs!$B$38="pvp",15,MAX(0.1,Skills!E10-IF(Skills!F10=TRUE,Inputs!$B$32,0)))*(1-IF(AND(ArtifactsInput!$M$27,Inputs!$B$4="Chapter Hunt"),CHOOSE(ArtifactsInput!$N$27+1,20,24,28,32,36,40),0)/100)))+1)),0)</f>
        <v/>
      </c>
      <c r="S784">
        <f>IF(C784,(H784*N784*IF(AND(Inputs!$B$38&lt;&gt;"pvp",Inputs!$B$43&gt;0),((Skills!G10*((R784-1)*IF(Skills!H10&gt;0,Skills!I10/Skills!H10,1)+IF(Skills!H10&gt;0,MIN(Skills!I10,MAX(0,MAX(0,Inputs!$B$43-B812)-((R784-1)*(IF(Inputs!$B$38="pvp",15,MAX(0.1,Skills!E10-IF(Skills!F10=TRUE,Inputs!$B$32,0)))*(1-IF(AND(ArtifactsInput!$M$27,Inputs!$B$4="Chapter Hunt"),CHOOSE(ArtifactsInput!$N$27+1,20,24,28,32,36,40),0)/100)))))/Skills!H10,1)))/Inputs!$B$43),G784*Q784)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784*(1-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784*(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784*(1-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784*(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4">
        <f>IF(C784,(H784*N784*IF(AND(Inputs!$B$38&lt;&gt;"pvp",Inputs!$B$43&gt;0),((Skills!G10*((R784-1)*IF(Skills!H10&gt;0,Skills!I10/Skills!H10,1)+IF(Skills!H10&gt;0,MIN(Skills!I10,MAX(0,MAX(0,Inputs!$B$43-B812)-((R784-1)*(IF(Inputs!$B$38="pvp",15,MAX(0.1,Skills!E10-IF(Skills!F10=TRUE,Inputs!$B$32,0)))*(1-IF(AND(ArtifactsInput!$M$27,Inputs!$B$4="Chapter Hunt"),CHOOSE(ArtifactsInput!$N$27+1,20,24,28,32,36,40),0)/100)))))/Skills!H10,1)))/Inputs!$B$43),G784*Q784)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5">
      <c r="A785">
        <f>Skills!A11</f>
        <v/>
      </c>
      <c r="B785">
        <f>Skills!B11</f>
        <v/>
      </c>
      <c r="C785">
        <f>TRUE</f>
        <v/>
      </c>
      <c r="D785">
        <f>IF(Skills!C11=1,60+Inputs!$B$25+Inputs!$B$29,IF(Skills!C11=2,90+(Inputs!$B$26+1)+Inputs!$B$29,IF(Skills!C11=3,120+Inputs!$B$27+Inputs!$B$29,MAX(0,(Inputs!$B$3-100)*3)+Inputs!$B$28+Inputs!$B$29)))</f>
        <v/>
      </c>
      <c r="E785">
        <f>INDEX(FactorTable!$B$2:$Y$301, MATCH(ROUND(MIN(300,MAX(1,D785)),0), FactorTable!$A$2:$A$301,0), Skills!M11+1)</f>
        <v/>
      </c>
      <c r="F785">
        <f>IF(Skills!N11=TRUE,(Skills!L11/10)*(E785/1000),Skills!L11/10)+Skills!O11</f>
        <v/>
      </c>
      <c r="G785">
        <f>Calc!G11</f>
        <v/>
      </c>
      <c r="H785">
        <f>Calc!H11</f>
        <v/>
      </c>
      <c r="I785">
        <f>IF(Skills!X11&lt;&gt;"",1+(Skills!X11/10)*(Z777/1000)/100,1)</f>
        <v/>
      </c>
      <c r="J785" t="inlineStr"/>
      <c r="K785" t="inlineStr"/>
      <c r="L785" t="inlineStr"/>
      <c r="M785" t="inlineStr"/>
      <c r="N785" t="inlineStr"/>
      <c r="O785">
        <f>(1-Summary!$B$11)*S785+Summary!$B$11*U785</f>
        <v/>
      </c>
      <c r="P785">
        <f>IF(B815=0,0,O785/B815)</f>
        <v/>
      </c>
      <c r="Q785">
        <f>IFERROR(1/(IF(Inputs!$B$38="pvp",15,MAX(0.1,Skills!E11-IF(Skills!F11=TRUE,Inputs!$B$32,0)))*(1-IF(AND(ArtifactsInput!$M$27,Inputs!$B$4="Chapter Hunt"),CHOOSE(ArtifactsInput!$N$27+1,20,24,28,32,36,40),0)/100)),0)</f>
        <v/>
      </c>
      <c r="R785" t="n">
        <v>0</v>
      </c>
      <c r="S785" t="n">
        <v>0</v>
      </c>
      <c r="U785" t="n">
        <v>0</v>
      </c>
    </row>
    <row r="786">
      <c r="A786">
        <f>Skills!A12</f>
        <v/>
      </c>
      <c r="B786">
        <f>Skills!B12</f>
        <v/>
      </c>
      <c r="C786">
        <f>TRUE</f>
        <v/>
      </c>
      <c r="D786">
        <f>IF(Skills!C12=1,60+Inputs!$B$25+Inputs!$B$29,IF(Skills!C12=2,90+(Inputs!$B$26+1)+Inputs!$B$29,IF(Skills!C12=3,120+Inputs!$B$27+Inputs!$B$29,MAX(0,(Inputs!$B$3-100)*3)+Inputs!$B$28+Inputs!$B$29)))</f>
        <v/>
      </c>
      <c r="E786">
        <f>INDEX(FactorTable!$B$2:$Y$301, MATCH(ROUND(MIN(300,MAX(1,D786)),0), FactorTable!$A$2:$A$301,0), Skills!M12+1)</f>
        <v/>
      </c>
      <c r="F786">
        <f>IF(Skills!N12=TRUE,(Skills!L12/10)*(E786/1000),Skills!L12/10)+Skills!O12</f>
        <v/>
      </c>
      <c r="G786">
        <f>Calc!G12</f>
        <v/>
      </c>
      <c r="H786">
        <f>Calc!H12</f>
        <v/>
      </c>
      <c r="I786">
        <f>IF(Skills!X12&lt;&gt;"",1+(Skills!X12/10)*(Z777/1000)/100,1)</f>
        <v/>
      </c>
      <c r="J786" t="inlineStr"/>
      <c r="K786" t="inlineStr"/>
      <c r="L786" t="inlineStr"/>
      <c r="M786" t="inlineStr"/>
      <c r="N786" t="inlineStr"/>
      <c r="O786">
        <f>(1-Summary!$B$11)*S786+Summary!$B$11*U786</f>
        <v/>
      </c>
      <c r="P786">
        <f>IF(B815=0,0,O786/B815)</f>
        <v/>
      </c>
      <c r="Q786">
        <f>IFERROR(1/(IF(Inputs!$B$38="pvp",15,MAX(0.1,Skills!E12-IF(Skills!F12=TRUE,Inputs!$B$32,0)))*(1-IF(AND(ArtifactsInput!$M$27,Inputs!$B$4="Chapter Hunt"),CHOOSE(ArtifactsInput!$N$27+1,20,24,28,32,36,40),0)/100)),0)</f>
        <v/>
      </c>
      <c r="R786" t="n">
        <v>0</v>
      </c>
      <c r="S786" t="n">
        <v>0</v>
      </c>
      <c r="U786" t="n">
        <v>0</v>
      </c>
    </row>
    <row r="787">
      <c r="A787">
        <f>Skills!A13</f>
        <v/>
      </c>
      <c r="B787">
        <f>Skills!B13</f>
        <v/>
      </c>
      <c r="C787">
        <f>Inputs!$B$3&gt;=105</f>
        <v/>
      </c>
      <c r="D787">
        <f>IF(Skills!C13=1,60+Inputs!$B$25+Inputs!$B$29,IF(Skills!C13=2,90+(Inputs!$B$26+1)+Inputs!$B$29,IF(Skills!C13=3,120+Inputs!$B$27+Inputs!$B$29,MAX(0,(Inputs!$B$3-100)*3)+Inputs!$B$28+Inputs!$B$29)))</f>
        <v/>
      </c>
      <c r="E787">
        <f>INDEX(FactorTable!$B$2:$Y$301, MATCH(ROUND(MIN(300,MAX(1,D787)),0), FactorTable!$A$2:$A$301,0), Skills!M13+1)</f>
        <v/>
      </c>
      <c r="F787">
        <f>IF(Skills!N13=TRUE,(Skills!L13/10)*(E787/1000),Skills!L13/10)+Skills!O13</f>
        <v/>
      </c>
      <c r="G787">
        <f>Calc!G13</f>
        <v/>
      </c>
      <c r="H787">
        <f>Calc!H13</f>
        <v/>
      </c>
      <c r="I787">
        <f>IF(Skills!X13&lt;&gt;"",1+(Skills!X13/10)*(Z777/1000)/100,1)</f>
        <v/>
      </c>
      <c r="J787">
        <f>((Inputs!$B$6*(1+Inputs!$B$7/100))+(((Inputs!$B$12*(1+Inputs!$B$13/100))-(Inputs!$B$12*(1+Inputs!$B$13/100)))+0.25*(Inputs!$B$14-Inputs!$B$14))*(1+Inputs!$B$7/100))*(F787/100)</f>
        <v/>
      </c>
      <c r="K787">
        <f>J787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787)</f>
        <v/>
      </c>
      <c r="L787">
        <f>K787*(MIN(Inputs!$B$22+(F796-Calc!F22),(Inputs!$B$23+(IF(ArtifactsInput!$M$15,CHOOSE(ArtifactsInput!$N$15+1,25,30,35,40,45,50)/100*(Inputs!$B$11-Inputs!$B$11),0))))/100+(Inputs!$B$23+(IF(ArtifactsInput!$M$15,CHOOSE(ArtifactsInput!$N$15+1,25,30,35,40,45,50)/100*(Inputs!$B$11-Inputs!$B$11),0)))/100)/2</f>
        <v/>
      </c>
      <c r="M787">
        <f>L787*(1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7">
        <f>L787*(1-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787*(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7">
        <f>(1-Summary!$B$11)*S787+Summary!$B$11*U787</f>
        <v/>
      </c>
      <c r="P787">
        <f>IF(B815=0,0,O787/B815)</f>
        <v/>
      </c>
      <c r="Q787">
        <f>IFERROR(1/(IF(Inputs!$B$38="pvp",15,MAX(0.1,Skills!E13-IF(Skills!F13=TRUE,Inputs!$B$32,0)))*(1-IF(AND(ArtifactsInput!$M$27,Inputs!$B$4="Chapter Hunt"),CHOOSE(ArtifactsInput!$N$27+1,20,24,28,32,36,40),0)/100)),0)</f>
        <v/>
      </c>
      <c r="R787">
        <f>IF(AND(Inputs!$B$38&lt;&gt;"pvp",Inputs!$B$43&gt;0),IF(MAX(0,Inputs!$B$43-B812)&lt;=0,0,(INT(MAX(0,Inputs!$B$43-B812)/(IF(Inputs!$B$38="pvp",15,MAX(0.1,Skills!E13-IF(Skills!F13=TRUE,Inputs!$B$32,0)))*(1-IF(AND(ArtifactsInput!$M$27,Inputs!$B$4="Chapter Hunt"),CHOOSE(ArtifactsInput!$N$27+1,20,24,28,32,36,40),0)/100)))+1)),0)</f>
        <v/>
      </c>
      <c r="S787">
        <f>IF(C787,(H787*N787*IF(AND(Inputs!$B$38&lt;&gt;"pvp",Inputs!$B$43&gt;0),((Skills!G13*((R787-1)*IF(Skills!H13&gt;0,Skills!I13/Skills!H13,1)+IF(Skills!H13&gt;0,MIN(Skills!I13,MAX(0,MAX(0,Inputs!$B$43-B812)-((R787-1)*(IF(Inputs!$B$38="pvp",15,MAX(0.1,Skills!E13-IF(Skills!F13=TRUE,Inputs!$B$32,0)))*(1-IF(AND(ArtifactsInput!$M$27,Inputs!$B$4="Chapter Hunt"),CHOOSE(ArtifactsInput!$N$27+1,20,24,28,32,36,40),0)/100)))))/Skills!H13,1)))/Inputs!$B$43),G787*Q787)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787*(1-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787*(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787*(1-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787*(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7">
        <f>IF(C787,(H787*N787*IF(AND(Inputs!$B$38&lt;&gt;"pvp",Inputs!$B$43&gt;0),((Skills!G13*((R787-1)*IF(Skills!H13&gt;0,Skills!I13/Skills!H13,1)+IF(Skills!H13&gt;0,MIN(Skills!I13,MAX(0,MAX(0,Inputs!$B$43-B812)-((R787-1)*(IF(Inputs!$B$38="pvp",15,MAX(0.1,Skills!E13-IF(Skills!F13=TRUE,Inputs!$B$32,0)))*(1-IF(AND(ArtifactsInput!$M$27,Inputs!$B$4="Chapter Hunt"),CHOOSE(ArtifactsInput!$N$27+1,20,24,28,32,36,40),0)/100)))))/Skills!H13,1)))/Inputs!$B$43),G787*Q787)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8">
      <c r="A788">
        <f>Skills!A14</f>
        <v/>
      </c>
      <c r="B788">
        <f>Skills!B14</f>
        <v/>
      </c>
      <c r="C788">
        <f>Inputs!$B$3&gt;=113</f>
        <v/>
      </c>
      <c r="D788">
        <f>IF(Skills!C14=1,60+Inputs!$B$25+Inputs!$B$29,IF(Skills!C14=2,90+(Inputs!$B$26+1)+Inputs!$B$29,IF(Skills!C14=3,120+Inputs!$B$27+Inputs!$B$29,MAX(0,(Inputs!$B$3-100)*3)+Inputs!$B$28+Inputs!$B$29)))</f>
        <v/>
      </c>
      <c r="E788">
        <f>INDEX(FactorTable!$B$2:$Y$301, MATCH(ROUND(MIN(300,MAX(1,D788)),0), FactorTable!$A$2:$A$301,0), Skills!M14+1)</f>
        <v/>
      </c>
      <c r="F788">
        <f>IF(Skills!N14=TRUE,(Skills!L14/10)*(E788/1000),Skills!L14/10)+Skills!O14</f>
        <v/>
      </c>
      <c r="G788">
        <f>Calc!G14</f>
        <v/>
      </c>
      <c r="H788">
        <f>Calc!H14</f>
        <v/>
      </c>
      <c r="I788">
        <f>IF(Skills!X14&lt;&gt;"",1+(Skills!X14/10)*(Z777/1000)/100,1)</f>
        <v/>
      </c>
      <c r="J788">
        <f>((Inputs!$B$6*(1+Inputs!$B$7/100))+(((Inputs!$B$12*(1+Inputs!$B$13/100))-(Inputs!$B$12*(1+Inputs!$B$13/100)))+0.25*(Inputs!$B$14-Inputs!$B$14))*(1+Inputs!$B$7/100))*(F788/100)</f>
        <v/>
      </c>
      <c r="K788">
        <f>J788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788)</f>
        <v/>
      </c>
      <c r="L788">
        <f>K788*(MIN(Inputs!$B$22+(F796-Calc!F22),(Inputs!$B$23+(IF(ArtifactsInput!$M$15,CHOOSE(ArtifactsInput!$N$15+1,25,30,35,40,45,50)/100*(Inputs!$B$11-Inputs!$B$11),0))))/100+(Inputs!$B$23+(IF(ArtifactsInput!$M$15,CHOOSE(ArtifactsInput!$N$15+1,25,30,35,40,45,50)/100*(Inputs!$B$11-Inputs!$B$11),0)))/100)/2</f>
        <v/>
      </c>
      <c r="M788">
        <f>L788*(1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8">
        <f>L788*(1-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788*(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8">
        <f>(1-Summary!$B$11)*S788+Summary!$B$11*U788</f>
        <v/>
      </c>
      <c r="P788">
        <f>IF(B815=0,0,O788/B815)</f>
        <v/>
      </c>
      <c r="Q788">
        <f>IFERROR(1/(IF(Inputs!$B$38="pvp",15,MAX(0.1,Skills!E14-IF(Skills!F14=TRUE,Inputs!$B$32,0)))*(1-IF(AND(ArtifactsInput!$M$27,Inputs!$B$4="Chapter Hunt"),CHOOSE(ArtifactsInput!$N$27+1,20,24,28,32,36,40),0)/100)),0)</f>
        <v/>
      </c>
      <c r="R788" t="n">
        <v>0</v>
      </c>
      <c r="S788">
        <f>IF(C788,((H788*B811)/(1+Skills!H14*H788*B811)*N788)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788*(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788*(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8">
        <f>IF(C788,((H788*B811)/(1+Skills!H14*H788*B811)*N788)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9">
      <c r="A789">
        <f>Skills!A15</f>
        <v/>
      </c>
      <c r="B789">
        <f>Skills!B15</f>
        <v/>
      </c>
      <c r="C789">
        <f>Inputs!$B$3&gt;=107</f>
        <v/>
      </c>
      <c r="D789">
        <f>IF(Skills!C15=1,60+Inputs!$B$25+Inputs!$B$29,IF(Skills!C15=2,90+(Inputs!$B$26+1)+Inputs!$B$29,IF(Skills!C15=3,120+Inputs!$B$27+Inputs!$B$29,MAX(0,(Inputs!$B$3-100)*3)+Inputs!$B$28+Inputs!$B$29)))</f>
        <v/>
      </c>
      <c r="E789">
        <f>INDEX(FactorTable!$B$2:$Y$301, MATCH(ROUND(MIN(300,MAX(1,D789)),0), FactorTable!$A$2:$A$301,0), Skills!M15+1)</f>
        <v/>
      </c>
      <c r="F789">
        <f>IF(Skills!N15=TRUE,(Skills!L15/10)*(E789/1000),Skills!L15/10)+Skills!O15</f>
        <v/>
      </c>
      <c r="G789">
        <f>Calc!G15</f>
        <v/>
      </c>
      <c r="H789">
        <f>Calc!H15</f>
        <v/>
      </c>
      <c r="I789">
        <f>IF(Skills!X15&lt;&gt;"",1+(Skills!X15/10)*(Z777/1000)/100,1)</f>
        <v/>
      </c>
      <c r="J789">
        <f>((Inputs!$B$6*(1+Inputs!$B$7/100))+(((Inputs!$B$12*(1+Inputs!$B$13/100))-(Inputs!$B$12*(1+Inputs!$B$13/100)))+0.25*(Inputs!$B$14-Inputs!$B$14))*(1+Inputs!$B$7/100))*(F789/100)</f>
        <v/>
      </c>
      <c r="K789">
        <f>J789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789)</f>
        <v/>
      </c>
      <c r="L789">
        <f>K789*(MIN(Inputs!$B$22+(F796-Calc!F22),(Inputs!$B$23+(IF(ArtifactsInput!$M$15,CHOOSE(ArtifactsInput!$N$15+1,25,30,35,40,45,50)/100*(Inputs!$B$11-Inputs!$B$11),0))))/100+(Inputs!$B$23+(IF(ArtifactsInput!$M$15,CHOOSE(ArtifactsInput!$N$15+1,25,30,35,40,45,50)/100*(Inputs!$B$11-Inputs!$B$11),0)))/100)/2</f>
        <v/>
      </c>
      <c r="M789">
        <f>L789*(1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9">
        <f>L789*(1-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789*(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9">
        <f>(1-Summary!$B$11)*S789+Summary!$B$11*U789</f>
        <v/>
      </c>
      <c r="P789">
        <f>IF(B815=0,0,O789/B815)</f>
        <v/>
      </c>
      <c r="Q789">
        <f>IFERROR(1/(IF(Inputs!$B$38="pvp",15,MAX(0.1,Skills!E15-IF(Skills!F15=TRUE,Inputs!$B$32,0)))*(1-IF(AND(ArtifactsInput!$M$27,Inputs!$B$4="Chapter Hunt"),CHOOSE(ArtifactsInput!$N$27+1,20,24,28,32,36,40),0)/100)),0)</f>
        <v/>
      </c>
      <c r="R789">
        <f>IF(AND(Inputs!$B$38&lt;&gt;"pvp",Inputs!$B$43&gt;0),IF(MAX(0,Inputs!$B$43-B812)&lt;=0,0,(INT(MAX(0,Inputs!$B$43-B812)/(IF(Inputs!$B$38="pvp",15,MAX(0.1,Skills!E15-IF(Skills!F15=TRUE,Inputs!$B$32,0)))*(1-IF(AND(ArtifactsInput!$M$27,Inputs!$B$4="Chapter Hunt"),CHOOSE(ArtifactsInput!$N$27+1,20,24,28,32,36,40),0)/100)))+1)),0)</f>
        <v/>
      </c>
      <c r="S789">
        <f>IF(C789,(H789*N789*IF(AND(Inputs!$B$38&lt;&gt;"pvp",Inputs!$B$43&gt;0),((Skills!G15*((R789-1)*IF(Skills!H15&gt;0,Skills!I15/Skills!H15,1)+IF(Skills!H15&gt;0,MIN(Skills!I15,MAX(0,MAX(0,Inputs!$B$43-B812)-((R789-1)*(IF(Inputs!$B$38="pvp",15,MAX(0.1,Skills!E15-IF(Skills!F15=TRUE,Inputs!$B$32,0)))*(1-IF(AND(ArtifactsInput!$M$27,Inputs!$B$4="Chapter Hunt"),CHOOSE(ArtifactsInput!$N$27+1,20,24,28,32,36,40),0)/100)))))/Skills!H15,1)))/Inputs!$B$43),G789*Q789)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789*(1-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789*(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789*(1-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789*(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9">
        <f>IF(C789,(H789*N789*IF(AND(Inputs!$B$38&lt;&gt;"pvp",Inputs!$B$43&gt;0),((Skills!G15*((R789-1)*IF(Skills!H15&gt;0,Skills!I15/Skills!H15,1)+IF(Skills!H15&gt;0,MIN(Skills!I15,MAX(0,MAX(0,Inputs!$B$43-B812)-((R789-1)*(IF(Inputs!$B$38="pvp",15,MAX(0.1,Skills!E15-IF(Skills!F15=TRUE,Inputs!$B$32,0)))*(1-IF(AND(ArtifactsInput!$M$27,Inputs!$B$4="Chapter Hunt"),CHOOSE(ArtifactsInput!$N$27+1,20,24,28,32,36,40),0)/100)))))/Skills!H15,1)))/Inputs!$B$43),G789*Q789)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0">
      <c r="A790">
        <f>Skills!A16</f>
        <v/>
      </c>
      <c r="B790">
        <f>Skills!B16</f>
        <v/>
      </c>
      <c r="C790">
        <f>Inputs!$B$3&gt;=107</f>
        <v/>
      </c>
      <c r="D790">
        <f>IF(Skills!C16=1,60+Inputs!$B$25+Inputs!$B$29,IF(Skills!C16=2,90+(Inputs!$B$26+1)+Inputs!$B$29,IF(Skills!C16=3,120+Inputs!$B$27+Inputs!$B$29,MAX(0,(Inputs!$B$3-100)*3)+Inputs!$B$28+Inputs!$B$29)))</f>
        <v/>
      </c>
      <c r="E790">
        <f>INDEX(FactorTable!$B$2:$Y$301, MATCH(ROUND(MIN(300,MAX(1,D790)),0), FactorTable!$A$2:$A$301,0), Skills!M16+1)</f>
        <v/>
      </c>
      <c r="F790">
        <f>IF(Skills!N16=TRUE,(Skills!L16/10)*(E790/1000),Skills!L16/10)+Skills!O16</f>
        <v/>
      </c>
      <c r="G790">
        <f>Calc!G16</f>
        <v/>
      </c>
      <c r="H790">
        <f>Calc!H16</f>
        <v/>
      </c>
      <c r="I790">
        <f>IF(Skills!X16&lt;&gt;"",1+(Skills!X16/10)*(Z777/1000)/100,1)</f>
        <v/>
      </c>
      <c r="J790">
        <f>((Inputs!$B$6*(1+Inputs!$B$7/100))+(((Inputs!$B$12*(1+Inputs!$B$13/100))-(Inputs!$B$12*(1+Inputs!$B$13/100)))+0.25*(Inputs!$B$14-Inputs!$B$14))*(1+Inputs!$B$7/100))*(F790/100)</f>
        <v/>
      </c>
      <c r="K790">
        <f>J790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790)</f>
        <v/>
      </c>
      <c r="L790">
        <f>K790*(MIN(Inputs!$B$22+(F796-Calc!F22),(Inputs!$B$23+(IF(ArtifactsInput!$M$15,CHOOSE(ArtifactsInput!$N$15+1,25,30,35,40,45,50)/100*(Inputs!$B$11-Inputs!$B$11),0))))/100+(Inputs!$B$23+(IF(ArtifactsInput!$M$15,CHOOSE(ArtifactsInput!$N$15+1,25,30,35,40,45,50)/100*(Inputs!$B$11-Inputs!$B$11),0)))/100)/2</f>
        <v/>
      </c>
      <c r="M790">
        <f>L790*(1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0">
        <f>L790*(1-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790*(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0">
        <f>(1-Summary!$B$11)*S790+Summary!$B$11*U790</f>
        <v/>
      </c>
      <c r="P790">
        <f>IF(B815=0,0,O790/B815)</f>
        <v/>
      </c>
      <c r="Q790">
        <f>IFERROR(1/(IF(Inputs!$B$38="pvp",15,MAX(0.1,Skills!E16-IF(Skills!F16=TRUE,Inputs!$B$32,0)))*(1-IF(AND(ArtifactsInput!$M$27,Inputs!$B$4="Chapter Hunt"),CHOOSE(ArtifactsInput!$N$27+1,20,24,28,32,36,40),0)/100)),0)</f>
        <v/>
      </c>
      <c r="R790">
        <f>IF(AND(Inputs!$B$38&lt;&gt;"pvp",Inputs!$B$43&gt;0),IF(MAX(0,Inputs!$B$43-B812)&lt;=0,0,(INT(MAX(0,Inputs!$B$43-B812)/(IF(Inputs!$B$38="pvp",15,MAX(0.1,Skills!E16-IF(Skills!F16=TRUE,Inputs!$B$32,0)))*(1-IF(AND(ArtifactsInput!$M$27,Inputs!$B$4="Chapter Hunt"),CHOOSE(ArtifactsInput!$N$27+1,20,24,28,32,36,40),0)/100)))+1)),0)</f>
        <v/>
      </c>
      <c r="S790">
        <f>IF(C790,(H790*N790*IF(AND(Inputs!$B$38&lt;&gt;"pvp",Inputs!$B$43&gt;0),((Skills!G16*((R790-1)*IF(Skills!H16&gt;0,Skills!I16/Skills!H16,1)+IF(Skills!H16&gt;0,MIN(Skills!I16,MAX(0,MAX(0,Inputs!$B$43-B812)-((R790-1)*(IF(Inputs!$B$38="pvp",15,MAX(0.1,Skills!E16-IF(Skills!F16=TRUE,Inputs!$B$32,0)))*(1-IF(AND(ArtifactsInput!$M$27,Inputs!$B$4="Chapter Hunt"),CHOOSE(ArtifactsInput!$N$27+1,20,24,28,32,36,40),0)/100)))))/Skills!H16,1)))/Inputs!$B$43),G790*Q790)*(1+IF(Inputs!$B$3&gt;=126,0.05*(B810+Q787+(H788*B811)/(1+Skills!H14*H788*B811)+Q798)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790*(1-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790*(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790*(1-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790*(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0">
        <f>IF(C790,(H790*N790*IF(AND(Inputs!$B$38&lt;&gt;"pvp",Inputs!$B$43&gt;0),((Skills!G16*((R790-1)*IF(Skills!H16&gt;0,Skills!I16/Skills!H16,1)+IF(Skills!H16&gt;0,MIN(Skills!I16,MAX(0,MAX(0,Inputs!$B$43-B812)-((R790-1)*(IF(Inputs!$B$38="pvp",15,MAX(0.1,Skills!E16-IF(Skills!F16=TRUE,Inputs!$B$32,0)))*(1-IF(AND(ArtifactsInput!$M$27,Inputs!$B$4="Chapter Hunt"),CHOOSE(ArtifactsInput!$N$27+1,20,24,28,32,36,40),0)/100)))))/Skills!H16,1)))/Inputs!$B$43),G790*Q790)*(1+IF(Inputs!$B$3&gt;=126,0.05*(B810+Q787+(H788*B811)/(1+Skills!H14*H788*B811)+Q798)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1">
      <c r="A791">
        <f>Skills!A17</f>
        <v/>
      </c>
      <c r="B791">
        <f>Skills!B17</f>
        <v/>
      </c>
      <c r="C791">
        <f>TRUE</f>
        <v/>
      </c>
      <c r="D791">
        <f>IF(Skills!C17=1,60+Inputs!$B$25+Inputs!$B$29,IF(Skills!C17=2,90+(Inputs!$B$26+1)+Inputs!$B$29,IF(Skills!C17=3,120+Inputs!$B$27+Inputs!$B$29,MAX(0,(Inputs!$B$3-100)*3)+Inputs!$B$28+Inputs!$B$29)))</f>
        <v/>
      </c>
      <c r="E791">
        <f>INDEX(FactorTable!$B$2:$Y$301, MATCH(ROUND(MIN(300,MAX(1,D791)),0), FactorTable!$A$2:$A$301,0), Skills!M17+1)</f>
        <v/>
      </c>
      <c r="F791">
        <f>IF(Skills!N17=TRUE,(Skills!L17/10)*(E791/1000),Skills!L17/10)+Skills!O17</f>
        <v/>
      </c>
      <c r="G791">
        <f>Calc!G17</f>
        <v/>
      </c>
      <c r="H791">
        <f>Calc!H17</f>
        <v/>
      </c>
      <c r="I791">
        <f>IF(Skills!X17&lt;&gt;"",1+(Skills!X17/10)*(Z777/1000)/100,1)</f>
        <v/>
      </c>
      <c r="J791" t="inlineStr"/>
      <c r="K791" t="inlineStr"/>
      <c r="L791" t="inlineStr"/>
      <c r="M791" t="inlineStr"/>
      <c r="N791" t="inlineStr"/>
      <c r="O791">
        <f>(1-Summary!$B$11)*S791+Summary!$B$11*U791</f>
        <v/>
      </c>
      <c r="P791">
        <f>IF(B815=0,0,O791/B815)</f>
        <v/>
      </c>
      <c r="Q791">
        <f>IFERROR(1/(IF(Inputs!$B$38="pvp",15,MAX(0.1,Skills!E17-IF(Skills!F17=TRUE,Inputs!$B$32,0)))*(1-IF(AND(ArtifactsInput!$M$27,Inputs!$B$4="Chapter Hunt"),CHOOSE(ArtifactsInput!$N$27+1,20,24,28,32,36,40),0)/100)),0)</f>
        <v/>
      </c>
      <c r="R791">
        <f>IF(AND(Inputs!$B$38&lt;&gt;"pvp",Inputs!$B$43&gt;0),IF(Inputs!$B$43&lt;=0,0,(INT(Inputs!$B$43/(IF(Inputs!$B$38="pvp",15,MAX(0.1,Skills!E17-IF(Skills!F17=TRUE,Inputs!$B$32,0)))*(1-IF(AND(ArtifactsInput!$M$27,Inputs!$B$4="Chapter Hunt"),CHOOSE(ArtifactsInput!$N$27+1,20,24,28,32,36,40),0)/100)))+1)),0)</f>
        <v/>
      </c>
      <c r="S791" t="n">
        <v>0</v>
      </c>
      <c r="U791" t="n">
        <v>0</v>
      </c>
    </row>
    <row r="792">
      <c r="A792">
        <f>Skills!A18</f>
        <v/>
      </c>
      <c r="B792">
        <f>Skills!B18</f>
        <v/>
      </c>
      <c r="C792">
        <f>TRUE</f>
        <v/>
      </c>
      <c r="D792">
        <f>IF(Skills!C18=1,60+Inputs!$B$25+Inputs!$B$29,IF(Skills!C18=2,90+(Inputs!$B$26+1)+Inputs!$B$29,IF(Skills!C18=3,120+Inputs!$B$27+Inputs!$B$29,MAX(0,(Inputs!$B$3-100)*3)+Inputs!$B$28+Inputs!$B$29)))</f>
        <v/>
      </c>
      <c r="E792">
        <f>INDEX(FactorTable!$B$2:$Y$301, MATCH(ROUND(MIN(300,MAX(1,D792)),0), FactorTable!$A$2:$A$301,0), Skills!M18+1)</f>
        <v/>
      </c>
      <c r="F792">
        <f>IF(Skills!N18=TRUE,(Skills!L18/10)*(E792/1000),Skills!L18/10)+Skills!O18</f>
        <v/>
      </c>
      <c r="G792">
        <f>Calc!G18</f>
        <v/>
      </c>
      <c r="H792">
        <f>Calc!H18</f>
        <v/>
      </c>
      <c r="I792">
        <f>IF(Skills!X18&lt;&gt;"",1+(Skills!X18/10)*(Z777/1000)/100,1)</f>
        <v/>
      </c>
      <c r="J792" t="inlineStr"/>
      <c r="K792" t="inlineStr"/>
      <c r="L792" t="inlineStr"/>
      <c r="M792" t="inlineStr"/>
      <c r="N792" t="inlineStr"/>
      <c r="O792">
        <f>(1-Summary!$B$11)*S792+Summary!$B$11*U792</f>
        <v/>
      </c>
      <c r="P792">
        <f>IF(B815=0,0,O792/B815)</f>
        <v/>
      </c>
      <c r="Q792">
        <f>IFERROR(1/(IF(Inputs!$B$38="pvp",15,MAX(0.1,Skills!E18-IF(Skills!F18=TRUE,Inputs!$B$32,0)))*(1-IF(AND(ArtifactsInput!$M$27,Inputs!$B$4="Chapter Hunt"),CHOOSE(ArtifactsInput!$N$27+1,20,24,28,32,36,40),0)/100)),0)</f>
        <v/>
      </c>
      <c r="R792">
        <f>IF(AND(Inputs!$B$38&lt;&gt;"pvp",Inputs!$B$43&gt;0),IF(Inputs!$B$43&lt;=0,0,(INT(Inputs!$B$43/(IF(Inputs!$B$38="pvp",15,MAX(0.1,Skills!E18-IF(Skills!F18=TRUE,Inputs!$B$32,0)))*(1-IF(AND(ArtifactsInput!$M$27,Inputs!$B$4="Chapter Hunt"),CHOOSE(ArtifactsInput!$N$27+1,20,24,28,32,36,40),0)/100)))+1)),0)</f>
        <v/>
      </c>
      <c r="S792" t="n">
        <v>0</v>
      </c>
      <c r="U792" t="n">
        <v>0</v>
      </c>
    </row>
    <row r="793">
      <c r="A793">
        <f>Skills!A19</f>
        <v/>
      </c>
      <c r="B793">
        <f>Skills!B19</f>
        <v/>
      </c>
      <c r="C793">
        <f>Inputs!$B$3&gt;=110</f>
        <v/>
      </c>
      <c r="D793">
        <f>IF(Skills!C19=1,60+Inputs!$B$25+Inputs!$B$29,IF(Skills!C19=2,90+(Inputs!$B$26+1)+Inputs!$B$29,IF(Skills!C19=3,120+Inputs!$B$27+Inputs!$B$29,MAX(0,(Inputs!$B$3-100)*3)+Inputs!$B$28+Inputs!$B$29)))</f>
        <v/>
      </c>
      <c r="E793">
        <f>INDEX(FactorTable!$B$2:$Y$301, MATCH(ROUND(MIN(300,MAX(1,D793)),0), FactorTable!$A$2:$A$301,0), Skills!M19+1)</f>
        <v/>
      </c>
      <c r="F793">
        <f>IF(Skills!N19=TRUE,(Skills!L19/10)*(E793/1000),Skills!L19/10)+Skills!O19</f>
        <v/>
      </c>
      <c r="G793">
        <f>Calc!G19</f>
        <v/>
      </c>
      <c r="H793">
        <f>Calc!H19</f>
        <v/>
      </c>
      <c r="I793">
        <f>IF(Skills!X19&lt;&gt;"",1+(Skills!X19/10)*(Z777/1000)/100,1)</f>
        <v/>
      </c>
      <c r="J793" t="inlineStr"/>
      <c r="K793" t="inlineStr"/>
      <c r="L793" t="inlineStr"/>
      <c r="M793" t="inlineStr"/>
      <c r="N793" t="inlineStr"/>
      <c r="O793">
        <f>(1-Summary!$B$11)*S793+Summary!$B$11*U793</f>
        <v/>
      </c>
      <c r="P793">
        <f>IF(B815=0,0,O793/B815)</f>
        <v/>
      </c>
      <c r="Q793">
        <f>IFERROR(1/(IF(Inputs!$B$38="pvp",15,MAX(0.1,Skills!E19-IF(Skills!F19=TRUE,Inputs!$B$32,0)))*(1-IF(AND(ArtifactsInput!$M$27,Inputs!$B$4="Chapter Hunt"),CHOOSE(ArtifactsInput!$N$27+1,20,24,28,32,36,40),0)/100)),0)</f>
        <v/>
      </c>
      <c r="R793">
        <f>IF(AND(Inputs!$B$38&lt;&gt;"pvp",Inputs!$B$43&gt;0),IF(Inputs!$B$43&lt;=0,0,(INT(Inputs!$B$43/(IF(Inputs!$B$38="pvp",15,MAX(0.1,Skills!E19-IF(Skills!F19=TRUE,Inputs!$B$32,0)))*(1-IF(AND(ArtifactsInput!$M$27,Inputs!$B$4="Chapter Hunt"),CHOOSE(ArtifactsInput!$N$27+1,20,24,28,32,36,40),0)/100)))+1)),0)</f>
        <v/>
      </c>
      <c r="S793" t="n">
        <v>0</v>
      </c>
      <c r="U793" t="n">
        <v>0</v>
      </c>
    </row>
    <row r="794">
      <c r="A794">
        <f>Skills!A20</f>
        <v/>
      </c>
      <c r="B794">
        <f>Skills!B20</f>
        <v/>
      </c>
      <c r="C794">
        <f>TRUE</f>
        <v/>
      </c>
      <c r="D794">
        <f>IF(Skills!C20=1,60+Inputs!$B$25+Inputs!$B$29,IF(Skills!C20=2,90+(Inputs!$B$26+1)+Inputs!$B$29,IF(Skills!C20=3,120+Inputs!$B$27+Inputs!$B$29,MAX(0,(Inputs!$B$3-100)*3)+Inputs!$B$28+Inputs!$B$29)))</f>
        <v/>
      </c>
      <c r="E794">
        <f>INDEX(FactorTable!$B$2:$Y$301, MATCH(ROUND(MIN(300,MAX(1,D794)),0), FactorTable!$A$2:$A$301,0), Skills!M20+1)</f>
        <v/>
      </c>
      <c r="F794">
        <f>IF(Skills!N20=TRUE,(Skills!L20/10)*(E794/1000),Skills!L20/10)+Skills!O20</f>
        <v/>
      </c>
      <c r="G794">
        <f>Calc!G20</f>
        <v/>
      </c>
      <c r="H794">
        <f>Calc!H20</f>
        <v/>
      </c>
      <c r="I794">
        <f>IF(Skills!X20&lt;&gt;"",1+(Skills!X20/10)*(Z777/1000)/100,1)</f>
        <v/>
      </c>
      <c r="J794" t="inlineStr"/>
      <c r="K794" t="inlineStr"/>
      <c r="L794" t="inlineStr"/>
      <c r="M794" t="inlineStr"/>
      <c r="N794" t="inlineStr"/>
      <c r="O794">
        <f>(1-Summary!$B$11)*S794+Summary!$B$11*U794</f>
        <v/>
      </c>
      <c r="P794">
        <f>IF(B815=0,0,O794/B815)</f>
        <v/>
      </c>
      <c r="Q794">
        <f>IFERROR(1/(IF(Inputs!$B$38="pvp",15,MAX(0.1,Skills!E20-IF(Skills!F20=TRUE,Inputs!$B$32,0)))*(1-IF(AND(ArtifactsInput!$M$27,Inputs!$B$4="Chapter Hunt"),CHOOSE(ArtifactsInput!$N$27+1,20,24,28,32,36,40),0)/100)),0)</f>
        <v/>
      </c>
      <c r="R794" t="n">
        <v>0</v>
      </c>
      <c r="S794" t="n">
        <v>0</v>
      </c>
      <c r="U794" t="n">
        <v>0</v>
      </c>
    </row>
    <row r="795">
      <c r="A795">
        <f>Skills!A21</f>
        <v/>
      </c>
      <c r="B795">
        <f>Skills!B21</f>
        <v/>
      </c>
      <c r="C795">
        <f>TRUE</f>
        <v/>
      </c>
      <c r="D795">
        <f>IF(Skills!C21=1,60+Inputs!$B$25+Inputs!$B$29,IF(Skills!C21=2,90+(Inputs!$B$26+1)+Inputs!$B$29,IF(Skills!C21=3,120+Inputs!$B$27+Inputs!$B$29,MAX(0,(Inputs!$B$3-100)*3)+Inputs!$B$28+Inputs!$B$29)))</f>
        <v/>
      </c>
      <c r="E795">
        <f>INDEX(FactorTable!$B$2:$Y$301, MATCH(ROUND(MIN(300,MAX(1,D795)),0), FactorTable!$A$2:$A$301,0), Skills!M21+1)</f>
        <v/>
      </c>
      <c r="F795">
        <f>IF(Skills!N21=TRUE,(Skills!L21/10)*(E795/1000),Skills!L21/10)+Skills!O21</f>
        <v/>
      </c>
      <c r="G795">
        <f>Calc!G21</f>
        <v/>
      </c>
      <c r="H795">
        <f>Calc!H21</f>
        <v/>
      </c>
      <c r="I795">
        <f>IF(Skills!X21&lt;&gt;"",1+(Skills!X21/10)*(Z777/1000)/100,1)</f>
        <v/>
      </c>
      <c r="J795" t="inlineStr"/>
      <c r="K795" t="inlineStr"/>
      <c r="L795" t="inlineStr"/>
      <c r="M795" t="inlineStr"/>
      <c r="N795" t="inlineStr"/>
      <c r="O795">
        <f>(1-Summary!$B$11)*S795+Summary!$B$11*U795</f>
        <v/>
      </c>
      <c r="P795">
        <f>IF(B815=0,0,O795/B815)</f>
        <v/>
      </c>
      <c r="Q795">
        <f>IFERROR(1/(IF(Inputs!$B$38="pvp",15,MAX(0.1,Skills!E21-IF(Skills!F21=TRUE,Inputs!$B$32,0)))*(1-IF(AND(ArtifactsInput!$M$27,Inputs!$B$4="Chapter Hunt"),CHOOSE(ArtifactsInput!$N$27+1,20,24,28,32,36,40),0)/100)),0)</f>
        <v/>
      </c>
      <c r="R795" t="n">
        <v>0</v>
      </c>
      <c r="S795" t="n">
        <v>0</v>
      </c>
      <c r="U795" t="n">
        <v>0</v>
      </c>
    </row>
    <row r="796">
      <c r="A796">
        <f>Skills!A22</f>
        <v/>
      </c>
      <c r="B796">
        <f>Skills!B22</f>
        <v/>
      </c>
      <c r="C796">
        <f>TRUE</f>
        <v/>
      </c>
      <c r="D796">
        <f>IF(Skills!C22=1,60+Inputs!$B$25+Inputs!$B$29,IF(Skills!C22=2,90+(Inputs!$B$26+1)+Inputs!$B$29,IF(Skills!C22=3,120+Inputs!$B$27+Inputs!$B$29,MAX(0,(Inputs!$B$3-100)*3)+Inputs!$B$28+Inputs!$B$29)))</f>
        <v/>
      </c>
      <c r="E796">
        <f>INDEX(FactorTable!$B$2:$Y$301, MATCH(ROUND(MIN(300,MAX(1,D796)),0), FactorTable!$A$2:$A$301,0), Skills!M22+1)</f>
        <v/>
      </c>
      <c r="F796">
        <f>IF(Skills!N22=TRUE,(Skills!L22/10)*(E796/1000),Skills!L22/10)+Skills!O22</f>
        <v/>
      </c>
      <c r="G796">
        <f>Calc!G22</f>
        <v/>
      </c>
      <c r="H796">
        <f>Calc!H22</f>
        <v/>
      </c>
      <c r="I796">
        <f>IF(Skills!X22&lt;&gt;"",1+(Skills!X22/10)*(Z777/1000)/100,1)</f>
        <v/>
      </c>
      <c r="J796" t="inlineStr"/>
      <c r="K796" t="inlineStr"/>
      <c r="L796" t="inlineStr"/>
      <c r="M796" t="inlineStr"/>
      <c r="N796" t="inlineStr"/>
      <c r="O796">
        <f>(1-Summary!$B$11)*S796+Summary!$B$11*U796</f>
        <v/>
      </c>
      <c r="P796">
        <f>IF(B815=0,0,O796/B815)</f>
        <v/>
      </c>
      <c r="Q796">
        <f>IFERROR(1/(IF(Inputs!$B$38="pvp",15,MAX(0.1,Skills!E22-IF(Skills!F22=TRUE,Inputs!$B$32,0)))*(1-IF(AND(ArtifactsInput!$M$27,Inputs!$B$4="Chapter Hunt"),CHOOSE(ArtifactsInput!$N$27+1,20,24,28,32,36,40),0)/100)),0)</f>
        <v/>
      </c>
      <c r="R796" t="n">
        <v>0</v>
      </c>
      <c r="S796" t="n">
        <v>0</v>
      </c>
      <c r="U796" t="n">
        <v>0</v>
      </c>
    </row>
    <row r="797">
      <c r="A797">
        <f>Skills!A23</f>
        <v/>
      </c>
      <c r="B797">
        <f>Skills!B23</f>
        <v/>
      </c>
      <c r="C797">
        <f>TRUE</f>
        <v/>
      </c>
      <c r="D797">
        <f>IF(Skills!C23=1,60+Inputs!$B$25+Inputs!$B$29,IF(Skills!C23=2,90+(Inputs!$B$26+1)+Inputs!$B$29,IF(Skills!C23=3,120+Inputs!$B$27+Inputs!$B$29,MAX(0,(Inputs!$B$3-100)*3)+Inputs!$B$28+Inputs!$B$29)))</f>
        <v/>
      </c>
      <c r="E797">
        <f>INDEX(FactorTable!$B$2:$Y$301, MATCH(ROUND(MIN(300,MAX(1,D797)),0), FactorTable!$A$2:$A$301,0), Skills!M23+1)</f>
        <v/>
      </c>
      <c r="F797">
        <f>IF(Skills!N23=TRUE,(Skills!L23/10)*(E797/1000),Skills!L23/10)+Skills!O23</f>
        <v/>
      </c>
      <c r="G797">
        <f>Calc!G23</f>
        <v/>
      </c>
      <c r="H797">
        <f>Calc!H23</f>
        <v/>
      </c>
      <c r="I797">
        <f>IF(Skills!X23&lt;&gt;"",1+(Skills!X23/10)*(Z777/1000)/100,1)</f>
        <v/>
      </c>
      <c r="J797" t="inlineStr"/>
      <c r="K797" t="inlineStr"/>
      <c r="L797" t="inlineStr"/>
      <c r="M797" t="inlineStr"/>
      <c r="N797" t="inlineStr"/>
      <c r="O797">
        <f>(1-Summary!$B$11)*S797+Summary!$B$11*U797</f>
        <v/>
      </c>
      <c r="P797">
        <f>IF(B815=0,0,O797/B815)</f>
        <v/>
      </c>
      <c r="Q797">
        <f>IFERROR(1/(IF(Inputs!$B$38="pvp",15,MAX(0.1,Skills!E23-IF(Skills!F23=TRUE,Inputs!$B$32,0)))*(1-IF(AND(ArtifactsInput!$M$27,Inputs!$B$4="Chapter Hunt"),CHOOSE(ArtifactsInput!$N$27+1,20,24,28,32,36,40),0)/100)),0)</f>
        <v/>
      </c>
      <c r="R797" t="n">
        <v>0</v>
      </c>
      <c r="S797" t="n">
        <v>0</v>
      </c>
      <c r="U797" t="n">
        <v>0</v>
      </c>
    </row>
    <row r="798">
      <c r="A798">
        <f>Skills!A24</f>
        <v/>
      </c>
      <c r="B798">
        <f>Skills!B24</f>
        <v/>
      </c>
      <c r="C798">
        <f>Inputs!$B$3&gt;=115</f>
        <v/>
      </c>
      <c r="D798">
        <f>IF(Skills!C24=1,60+Inputs!$B$25+Inputs!$B$29,IF(Skills!C24=2,90+(Inputs!$B$26+1)+Inputs!$B$29,IF(Skills!C24=3,120+Inputs!$B$27+Inputs!$B$29,MAX(0,(Inputs!$B$3-100)*3)+Inputs!$B$28+Inputs!$B$29)))</f>
        <v/>
      </c>
      <c r="E798">
        <f>INDEX(FactorTable!$B$2:$Y$301, MATCH(ROUND(MIN(300,MAX(1,D798)),0), FactorTable!$A$2:$A$301,0), Skills!M24+1)</f>
        <v/>
      </c>
      <c r="F798">
        <f>IF(Skills!N24=TRUE,(Skills!L24/10)*(E798/1000),Skills!L24/10)+Skills!O24</f>
        <v/>
      </c>
      <c r="G798">
        <f>Calc!G24</f>
        <v/>
      </c>
      <c r="H798">
        <f>Calc!H24</f>
        <v/>
      </c>
      <c r="I798">
        <f>IF(Skills!X24&lt;&gt;"",1+(Skills!X24/10)*(Z777/1000)/100,1)</f>
        <v/>
      </c>
      <c r="J798">
        <f>((Inputs!$B$6*(1+Inputs!$B$7/100))+(((Inputs!$B$12*(1+Inputs!$B$13/100))-(Inputs!$B$12*(1+Inputs!$B$13/100)))+0.25*(Inputs!$B$14-Inputs!$B$14))*(1+Inputs!$B$7/100))*(F798/100)</f>
        <v/>
      </c>
      <c r="K798">
        <f>J798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798)</f>
        <v/>
      </c>
      <c r="L798">
        <f>K798*(MIN(Inputs!$B$22+(F796-Calc!F22),(Inputs!$B$23+(IF(ArtifactsInput!$M$15,CHOOSE(ArtifactsInput!$N$15+1,25,30,35,40,45,50)/100*(Inputs!$B$11-Inputs!$B$11),0))))/100+(Inputs!$B$23+(IF(ArtifactsInput!$M$15,CHOOSE(ArtifactsInput!$N$15+1,25,30,35,40,45,50)/100*(Inputs!$B$11-Inputs!$B$11),0)))/100)/2</f>
        <v/>
      </c>
      <c r="M798">
        <f>L798*(1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8">
        <f>L798*(1-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798*(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8">
        <f>(1-Summary!$B$11)*S798+Summary!$B$11*U798</f>
        <v/>
      </c>
      <c r="P798">
        <f>IF(B815=0,0,O798/B815)</f>
        <v/>
      </c>
      <c r="Q798">
        <f>IFERROR(1/(IF(Inputs!$B$38="pvp",15,MAX(0.1,Skills!E24-IF(Skills!F24=TRUE,Inputs!$B$32,0)))*(1-IF(AND(ArtifactsInput!$M$27,Inputs!$B$4="Chapter Hunt"),CHOOSE(ArtifactsInput!$N$27+1,20,24,28,32,36,40),0)/100)),0)</f>
        <v/>
      </c>
      <c r="R798">
        <f>IF(AND(Inputs!$B$38&lt;&gt;"pvp",Inputs!$B$43&gt;0),IF(MAX(0,Inputs!$B$43-B812)&lt;=0,0,(INT(MAX(0,Inputs!$B$43-B812)/(IF(Inputs!$B$38="pvp",15,MAX(0.1,Skills!E24-IF(Skills!F24=TRUE,Inputs!$B$32,0)))*(1-IF(AND(ArtifactsInput!$M$27,Inputs!$B$4="Chapter Hunt"),CHOOSE(ArtifactsInput!$N$27+1,20,24,28,32,36,40),0)/100)))+1)),0)</f>
        <v/>
      </c>
      <c r="S798">
        <f>IF(C798,(H798*N798*IF(AND(Inputs!$B$38&lt;&gt;"pvp",Inputs!$B$43&gt;0),((Skills!G24*((R798-1)*IF(Skills!H24&gt;0,Skills!I24/Skills!H24,1)+IF(Skills!H24&gt;0,MIN(Skills!I24,MAX(0,MAX(0,Inputs!$B$43-B812)-((R798-1)*(IF(Inputs!$B$38="pvp",15,MAX(0.1,Skills!E24-IF(Skills!F24=TRUE,Inputs!$B$32,0)))*(1-IF(AND(ArtifactsInput!$M$27,Inputs!$B$4="Chapter Hunt"),CHOOSE(ArtifactsInput!$N$27+1,20,24,28,32,36,40),0)/100)))))/Skills!H24,1)))/Inputs!$B$43),G798*Q798)*(1+IF(Inputs!$B$3&gt;=130,0.2*(Skills!I16/Skills!E15+IF(Inputs!$B$3&gt;=126,0.05*(B810+Q787+(H788*B811)/(1+Skills!H14*H788*B811)+Q798)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798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798*(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798*(1-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798*(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8">
        <f>IF(C798,(H798*N798*IF(AND(Inputs!$B$38&lt;&gt;"pvp",Inputs!$B$43&gt;0),((Skills!G24*((R798-1)*IF(Skills!H24&gt;0,Skills!I24/Skills!H24,1)+IF(Skills!H24&gt;0,MIN(Skills!I24,MAX(0,MAX(0,Inputs!$B$43-B812)-((R798-1)*(IF(Inputs!$B$38="pvp",15,MAX(0.1,Skills!E24-IF(Skills!F24=TRUE,Inputs!$B$32,0)))*(1-IF(AND(ArtifactsInput!$M$27,Inputs!$B$4="Chapter Hunt"),CHOOSE(ArtifactsInput!$N$27+1,20,24,28,32,36,40),0)/100)))))/Skills!H24,1)))/Inputs!$B$43),G798*Q798)*(1+IF(Inputs!$B$3&gt;=130,0.2*(Skills!I16/Skills!E15+IF(Inputs!$B$3&gt;=126,0.05*(B810+Q787+(H788*B811)/(1+Skills!H14*H788*B811)+Q798)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9">
      <c r="A799">
        <f>Skills!A25</f>
        <v/>
      </c>
      <c r="B799">
        <f>Skills!B25</f>
        <v/>
      </c>
      <c r="C799">
        <f>Inputs!$B$3&gt;=117</f>
        <v/>
      </c>
      <c r="D799">
        <f>IF(Skills!C25=1,60+Inputs!$B$25+Inputs!$B$29,IF(Skills!C25=2,90+(Inputs!$B$26+1)+Inputs!$B$29,IF(Skills!C25=3,120+Inputs!$B$27+Inputs!$B$29,MAX(0,(Inputs!$B$3-100)*3)+Inputs!$B$28+Inputs!$B$29)))</f>
        <v/>
      </c>
      <c r="E799">
        <f>INDEX(FactorTable!$B$2:$Y$301, MATCH(ROUND(MIN(300,MAX(1,D799)),0), FactorTable!$A$2:$A$301,0), Skills!M25+1)</f>
        <v/>
      </c>
      <c r="F799">
        <f>IF(Skills!N25=TRUE,(Skills!L25/10)*(E799/1000),Skills!L25/10)+Skills!O25</f>
        <v/>
      </c>
      <c r="G799">
        <f>Calc!G25</f>
        <v/>
      </c>
      <c r="H799">
        <f>Calc!H25</f>
        <v/>
      </c>
      <c r="I799">
        <f>IF(Skills!X25&lt;&gt;"",1+(Skills!X25/10)*(Z777/1000)/100,1)</f>
        <v/>
      </c>
      <c r="J799" t="inlineStr"/>
      <c r="K799" t="inlineStr"/>
      <c r="L799" t="inlineStr"/>
      <c r="M799" t="inlineStr"/>
      <c r="N799" t="inlineStr"/>
      <c r="O799">
        <f>(1-Summary!$B$11)*S799+Summary!$B$11*U799</f>
        <v/>
      </c>
      <c r="P799">
        <f>IF(B815=0,0,O799/B815)</f>
        <v/>
      </c>
      <c r="Q799">
        <f>IFERROR(1/(IF(Inputs!$B$38="pvp",15,MAX(0.1,Skills!E25-IF(Skills!F25=TRUE,Inputs!$B$32,0)))*(1-IF(AND(ArtifactsInput!$M$27,Inputs!$B$4="Chapter Hunt"),CHOOSE(ArtifactsInput!$N$27+1,20,24,28,32,36,40),0)/100)),0)</f>
        <v/>
      </c>
      <c r="R799" t="n">
        <v>0</v>
      </c>
      <c r="S799" t="n">
        <v>0</v>
      </c>
      <c r="U799" t="n">
        <v>0</v>
      </c>
    </row>
    <row r="800">
      <c r="A800">
        <f>Skills!A26</f>
        <v/>
      </c>
      <c r="B800">
        <f>Skills!B26</f>
        <v/>
      </c>
      <c r="C800">
        <f>Inputs!$B$3&gt;=120</f>
        <v/>
      </c>
      <c r="D800">
        <f>IF(Skills!C26=1,60+Inputs!$B$25+Inputs!$B$29,IF(Skills!C26=2,90+(Inputs!$B$26+1)+Inputs!$B$29,IF(Skills!C26=3,120+Inputs!$B$27+Inputs!$B$29,MAX(0,(Inputs!$B$3-100)*3)+Inputs!$B$28+Inputs!$B$29)))</f>
        <v/>
      </c>
      <c r="E800">
        <f>INDEX(FactorTable!$B$2:$Y$301, MATCH(ROUND(MIN(300,MAX(1,D800)),0), FactorTable!$A$2:$A$301,0), Skills!M26+1)</f>
        <v/>
      </c>
      <c r="F800">
        <f>IF(Skills!N26=TRUE,(Skills!L26/10)*(E800/1000),Skills!L26/10)+Skills!O26</f>
        <v/>
      </c>
      <c r="G800">
        <f>Calc!G26</f>
        <v/>
      </c>
      <c r="H800">
        <f>Calc!H26</f>
        <v/>
      </c>
      <c r="I800">
        <f>IF(Skills!X26&lt;&gt;"",1+(Skills!X26/10)*(Z777/1000)/100,1)</f>
        <v/>
      </c>
      <c r="J800" t="inlineStr"/>
      <c r="K800" t="inlineStr"/>
      <c r="L800" t="inlineStr"/>
      <c r="M800" t="inlineStr"/>
      <c r="N800" t="inlineStr"/>
      <c r="O800">
        <f>(1-Summary!$B$11)*S800+Summary!$B$11*U800</f>
        <v/>
      </c>
      <c r="P800">
        <f>IF(B815=0,0,O800/B815)</f>
        <v/>
      </c>
      <c r="Q800">
        <f>IFERROR(1/(IF(Inputs!$B$38="pvp",15,MAX(0.1,Skills!E26-IF(Skills!F26=TRUE,Inputs!$B$32,0)))*(1-IF(AND(ArtifactsInput!$M$27,Inputs!$B$4="Chapter Hunt"),CHOOSE(ArtifactsInput!$N$27+1,20,24,28,32,36,40),0)/100)),0)</f>
        <v/>
      </c>
      <c r="R800" t="n">
        <v>0</v>
      </c>
      <c r="S800" t="n">
        <v>0</v>
      </c>
      <c r="U800" t="n">
        <v>0</v>
      </c>
    </row>
    <row r="801">
      <c r="A801">
        <f>Skills!A27</f>
        <v/>
      </c>
      <c r="B801">
        <f>Skills!B27</f>
        <v/>
      </c>
      <c r="C801">
        <f>Inputs!$B$3&gt;=125</f>
        <v/>
      </c>
      <c r="D801">
        <f>IF(Skills!C27=1,60+Inputs!$B$25+Inputs!$B$29,IF(Skills!C27=2,90+(Inputs!$B$26+1)+Inputs!$B$29,IF(Skills!C27=3,120+Inputs!$B$27+Inputs!$B$29,MAX(0,(Inputs!$B$3-100)*3)+Inputs!$B$28+Inputs!$B$29)))</f>
        <v/>
      </c>
      <c r="E801">
        <f>INDEX(FactorTable!$B$2:$Y$301, MATCH(ROUND(MIN(300,MAX(1,D801)),0), FactorTable!$A$2:$A$301,0), Skills!M27+1)</f>
        <v/>
      </c>
      <c r="F801">
        <f>IF(Skills!N27=TRUE,(Skills!L27/10)*(E801/1000),Skills!L27/10)+Skills!O27</f>
        <v/>
      </c>
      <c r="G801">
        <f>Calc!G27</f>
        <v/>
      </c>
      <c r="H801">
        <f>Calc!H27</f>
        <v/>
      </c>
      <c r="I801">
        <f>IF(Skills!X27&lt;&gt;"",1+(Skills!X27/10)*(Z777/1000)/100,1)</f>
        <v/>
      </c>
      <c r="J801" t="inlineStr"/>
      <c r="K801" t="inlineStr"/>
      <c r="L801" t="inlineStr"/>
      <c r="M801" t="inlineStr"/>
      <c r="N801" t="inlineStr"/>
      <c r="O801">
        <f>(1-Summary!$B$11)*S801+Summary!$B$11*U801</f>
        <v/>
      </c>
      <c r="P801">
        <f>IF(B815=0,0,O801/B815)</f>
        <v/>
      </c>
      <c r="Q801">
        <f>IFERROR(1/(IF(Inputs!$B$38="pvp",15,MAX(0.1,Skills!E27-IF(Skills!F27=TRUE,Inputs!$B$32,0)))*(1-IF(AND(ArtifactsInput!$M$27,Inputs!$B$4="Chapter Hunt"),CHOOSE(ArtifactsInput!$N$27+1,20,24,28,32,36,40),0)/100)),0)</f>
        <v/>
      </c>
      <c r="R801" t="n">
        <v>0</v>
      </c>
      <c r="S801" t="n">
        <v>0</v>
      </c>
      <c r="U801" t="n">
        <v>0</v>
      </c>
    </row>
    <row r="802">
      <c r="A802">
        <f>Skills!A28</f>
        <v/>
      </c>
      <c r="B802">
        <f>Skills!B28</f>
        <v/>
      </c>
      <c r="C802">
        <f>Inputs!$B$3&gt;=118</f>
        <v/>
      </c>
      <c r="D802">
        <f>IF(Skills!C28=1,60+Inputs!$B$25+Inputs!$B$29,IF(Skills!C28=2,90+(Inputs!$B$26+1)+Inputs!$B$29,IF(Skills!C28=3,120+Inputs!$B$27+Inputs!$B$29,MAX(0,(Inputs!$B$3-100)*3)+Inputs!$B$28+Inputs!$B$29)))</f>
        <v/>
      </c>
      <c r="E802">
        <f>INDEX(FactorTable!$B$2:$Y$301, MATCH(ROUND(MIN(300,MAX(1,D802)),0), FactorTable!$A$2:$A$301,0), Skills!M28+1)</f>
        <v/>
      </c>
      <c r="F802">
        <f>IF(Skills!N28=TRUE,(Skills!L28/10)*(E802/1000),Skills!L28/10)+Skills!O28</f>
        <v/>
      </c>
      <c r="G802">
        <f>Calc!G28</f>
        <v/>
      </c>
      <c r="H802">
        <f>Calc!H28</f>
        <v/>
      </c>
      <c r="I802">
        <f>IF(Skills!X28&lt;&gt;"",1+(Skills!X28/10)*(Z777/1000)/100,1)</f>
        <v/>
      </c>
      <c r="J802">
        <f>((Inputs!$B$6*(1+Inputs!$B$7/100))+(((Inputs!$B$12*(1+Inputs!$B$13/100))-(Inputs!$B$12*(1+Inputs!$B$13/100)))+0.25*(Inputs!$B$14-Inputs!$B$14))*(1+Inputs!$B$7/100))*(F802/100)</f>
        <v/>
      </c>
      <c r="K802">
        <f>J802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797/100)*(1+IF(Inputs!$B$3&gt;=120,F800,0)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801*5,0)))/100)*(B804*B805*B806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802)</f>
        <v/>
      </c>
      <c r="L802">
        <f>K802*(MIN(Inputs!$B$22+(F796-Calc!F22),(Inputs!$B$23+(IF(ArtifactsInput!$M$15,CHOOSE(ArtifactsInput!$N$15+1,25,30,35,40,45,50)/100*(Inputs!$B$11-Inputs!$B$11),0))))/100+(Inputs!$B$23+(IF(ArtifactsInput!$M$15,CHOOSE(ArtifactsInput!$N$15+1,25,30,35,40,45,50)/100*(Inputs!$B$11-Inputs!$B$11),0)))/100)/2</f>
        <v/>
      </c>
      <c r="M802">
        <f>L802*(1+(Inputs!$B$10+(F795-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2">
        <f>L802*(1-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802*(MIN((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2">
        <f>(1-Summary!$B$11)*S802+Summary!$B$11*U802</f>
        <v/>
      </c>
      <c r="P802">
        <f>IF(B815=0,0,O802/B815)</f>
        <v/>
      </c>
      <c r="Q802">
        <f>IFERROR(1/(IF(Inputs!$B$38="pvp",15,MAX(0.1,Skills!E28-IF(Skills!F28=TRUE,Inputs!$B$32,0)))*(1-IF(AND(ArtifactsInput!$M$27,Inputs!$B$4="Chapter Hunt"),CHOOSE(ArtifactsInput!$N$27+1,20,24,28,32,36,40),0)/100)),0)</f>
        <v/>
      </c>
      <c r="R802">
        <f>IF(AND(Inputs!$B$38&lt;&gt;"pvp",Inputs!$B$43&gt;0),IF(MAX(0,Inputs!$B$43-B812)&lt;=0,0,(INT(MAX(0,Inputs!$B$43-B812)/(IF(Inputs!$B$38="pvp",15,MAX(0.1,Skills!E28-IF(Skills!F28=TRUE,Inputs!$B$32,0)))*(1-IF(AND(ArtifactsInput!$M$27,Inputs!$B$4="Chapter Hunt"),CHOOSE(ArtifactsInput!$N$27+1,20,24,28,32,36,40),0)/100)))+1)),0)</f>
        <v/>
      </c>
      <c r="S802">
        <f>IF(C802,(H802*N802*IF(AND(Inputs!$B$38&lt;&gt;"pvp",Inputs!$B$43&gt;0),((Skills!G28*((R802-1)*IF(Skills!H28&gt;0,Skills!I28/Skills!H28,1)+IF(Skills!H28&gt;0,MIN(Skills!I28,MAX(0,MAX(0,Inputs!$B$43-B812)-((R802-1)*(IF(Inputs!$B$38="pvp",15,MAX(0.1,Skills!E28-IF(Skills!F28=TRUE,Inputs!$B$32,0)))*(1-IF(AND(ArtifactsInput!$M$27,Inputs!$B$4="Chapter Hunt"),CHOOSE(ArtifactsInput!$N$27+1,20,24,28,32,36,40),0)/100)))))/Skills!H28,1)))/Inputs!$B$43),G802*Q802)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802*(1-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802*(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802*(1-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802*(MIN(100,(Inputs!$B$9+(F794-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02">
        <f>IF(C802,(H802*N802*IF(AND(Inputs!$B$38&lt;&gt;"pvp",Inputs!$B$43&gt;0),((Skills!G28*((R802-1)*IF(Skills!H28&gt;0,Skills!I28/Skills!H28,1)+IF(Skills!H28&gt;0,MIN(Skills!I28,MAX(0,MAX(0,Inputs!$B$43-B812)-((R802-1)*(IF(Inputs!$B$38="pvp",15,MAX(0.1,Skills!E28-IF(Skills!F28=TRUE,Inputs!$B$32,0)))*(1-IF(AND(ArtifactsInput!$M$27,Inputs!$B$4="Chapter Hunt"),CHOOSE(ArtifactsInput!$N$27+1,20,24,28,32,36,40),0)/100)))))/Skills!H28,1)))/Inputs!$B$43),G802*Q802)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4">
      <c r="A804" t="inlineStr">
        <is>
          <t>Burning Magic Multiplier</t>
        </is>
      </c>
      <c r="B804">
        <f>1+(F785*Skills!Z11)/100</f>
        <v/>
      </c>
    </row>
    <row r="805">
      <c r="A805" t="inlineStr">
        <is>
          <t>Elemental Decrease Multiplier (always-on)</t>
        </is>
      </c>
      <c r="B805">
        <f>1+(F786+(IF(AND(ArtifactsInput!$M$35,Inputs!$B$4&lt;&gt;"Chapter Hunt"),CHOOSE(ArtifactsInput!$N$35+1,15,18,21,24,27,30)*(1-EXP(-(0.2*B808)*5)),0)+IF(AND(ArtifactsInput!$M$22,Inputs!$B$4&lt;&gt;"Chapter Hunt"),CHOOSE(ArtifactsInput!$N$22+1,10,12,14,16,18,20)*((0*(((0.15*B808*5))^0/1)+1*(((0.15*B808*5))^1/1)+2*(((0.15*B808*5))^2/2)+3*(((0.15*B808*5))^3/6)+4*(((0.15*B808*5))^4/24)+5*(((0.15*B808*5))^5/120))/((((0.15*B808*5))^0/1)+(((0.15*B808*5))^1/1)+(((0.15*B808*5))^2/2)+(((0.15*B808*5))^3/6)+(((0.15*B808*5))^4/24)+(((0.15*B808*5))^5/120))),0)))/100</f>
        <v/>
      </c>
    </row>
    <row r="806">
      <c r="A806" t="inlineStr">
        <is>
          <t>Average Buff Multiplier (Magic Guard + Meditation + Artifact Attack%, summed; then Infinity)</t>
        </is>
      </c>
      <c r="B806">
        <f>(1+(F780*IF(AND(Inputs!$B$38&lt;&gt;"pvp",Inputs!$B$43&gt;0),(((R780-1)*(Skills!T6*(1+((Inputs!$B$34+(ArtifactsInput!$M$7-ArtifactsInput!$M$7)*CHOOSE(ArtifactsInput!$N$7+1,6,7.2,8.4,9.6,10.8,12)))/100))+MIN((Skills!T6*(1+((Inputs!$B$34+(ArtifactsInput!$M$7-ArtifactsInput!$M$7)*CHOOSE(ArtifactsInput!$N$7+1,6,7.2,8.4,9.6,10.8,12)))/100)),MAX(0,Inputs!$B$43-((R780-1)*Skills!E6))))/Inputs!$B$43),IF(Inputs!$B$38="pvp",MIN((Skills!T6*(1+((Inputs!$B$34+(ArtifactsInput!$M$7-ArtifactsInput!$M$7)*CHOOSE(ArtifactsInput!$N$7+1,6,7.2,8.4,9.6,10.8,12)))/100)),15)/15,(Skills!T6*(1+((Inputs!$B$34+(ArtifactsInput!$M$7-ArtifactsInput!$M$7)*CHOOSE(ArtifactsInput!$N$7+1,6,7.2,8.4,9.6,10.8,12)))/100))/Skills!E6))+F791*IF(AND(Inputs!$B$38&lt;&gt;"pvp",Inputs!$B$43&gt;0),(((R791-1)*(Skills!T17*(1+((Inputs!$B$34+(ArtifactsInput!$M$7-ArtifactsInput!$M$7)*CHOOSE(ArtifactsInput!$N$7+1,6,7.2,8.4,9.6,10.8,12)))/100))+MIN((Skills!T17*(1+((Inputs!$B$34+(ArtifactsInput!$M$7-ArtifactsInput!$M$7)*CHOOSE(ArtifactsInput!$N$7+1,6,7.2,8.4,9.6,10.8,12)))/100)),MAX(0,Inputs!$B$43-((R791-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793=TRUE,(1+F793*IF(AND(Inputs!$B$38&lt;&gt;"pvp",Inputs!$B$43&gt;0),(((R793-1)*(Skills!T19*(1+((Inputs!$B$34+(ArtifactsInput!$M$7-ArtifactsInput!$M$7)*CHOOSE(ArtifactsInput!$N$7+1,6,7.2,8.4,9.6,10.8,12)))/100))+MIN((Skills!T19*(1+((Inputs!$B$34+(ArtifactsInput!$M$7-ArtifactsInput!$M$7)*CHOOSE(ArtifactsInput!$N$7+1,6,7.2,8.4,9.6,10.8,12)))/100)),MAX(0,Inputs!$B$43-((R793-1)*Skills!E19))))/Inputs!$B$43),IF(Inputs!$B$38="pvp",MIN((Skills!T19*(1+((Inputs!$B$34+(ArtifactsInput!$M$7-ArtifactsInput!$M$7)*CHOOSE(ArtifactsInput!$N$7+1,6,7.2,8.4,9.6,10.8,12)))/100)),15)/15,(Skills!T19*(1+((Inputs!$B$34+(ArtifactsInput!$M$7-ArtifactsInput!$M$7)*CHOOSE(ArtifactsInput!$N$7+1,6,7.2,8.4,9.6,10.8,12)))/100))/Skills!E19))/100),1)</f>
        <v/>
      </c>
    </row>
    <row r="807">
      <c r="A807" t="inlineStr">
        <is>
          <t>Attack Speed Buff Bonus % (Nimble Feet, averaged)</t>
        </is>
      </c>
      <c r="B807">
        <f>F792*IF(AND(Inputs!$B$38&lt;&gt;"pvp",Inputs!$B$43&gt;0),(((R792-1)*(Skills!T18*(1+((Inputs!$B$34+(ArtifactsInput!$M$7-ArtifactsInput!$M$7)*CHOOSE(ArtifactsInput!$N$7+1,6,7.2,8.4,9.6,10.8,12)))/100))+MIN((Skills!T18*(1+((Inputs!$B$34+(ArtifactsInput!$M$7-ArtifactsInput!$M$7)*CHOOSE(ArtifactsInput!$N$7+1,6,7.2,8.4,9.6,10.8,12)))/100)),MAX(0,Inputs!$B$43-((R792-1)*Skills!E18))))/Inputs!$B$43),IF(Inputs!$B$38="pvp",MIN((Skills!T18*(1+((Inputs!$B$34+(ArtifactsInput!$M$7-ArtifactsInput!$M$7)*CHOOSE(ArtifactsInput!$N$7+1,6,7.2,8.4,9.6,10.8,12)))/100)),15)/15,(Skills!T18*(1+((Inputs!$B$34+(ArtifactsInput!$M$7-ArtifactsInput!$M$7)*CHOOSE(ArtifactsInput!$N$7+1,6,7.2,8.4,9.6,10.8,12)))/100))/Skills!E18))</f>
        <v/>
      </c>
    </row>
    <row r="808">
      <c r="A808" t="inlineStr">
        <is>
          <t>Actions Per Second</t>
        </is>
      </c>
      <c r="B808">
        <f>1+MIN(150,150*(1-(1-(Inputs!$B$11+(ArtifactsInput!$M$15-ArtifactsInput!$M$15)*CHOOSE(ArtifactsInput!$N$15+1,8,9.6,11.2,12.8,14.4,16))/150)*(1-B807/150)))/100</f>
        <v/>
      </c>
    </row>
    <row r="809">
      <c r="A809" t="inlineStr">
        <is>
          <t>Skill + Buff Cast Rate</t>
        </is>
      </c>
      <c r="B809">
        <f>IF(AND(Inputs!$B$38&lt;&gt;"pvp",Inputs!$B$43&gt;0),SUMPRODUCT((Skills!F2:F28=TRUE)*(C776:C802=TRUE)*R776:R802)/Inputs!$B$43,SUMPRODUCT((Skills!F2:F28=TRUE)*(C776:C802=TRUE)*Q776:Q802))</f>
        <v/>
      </c>
    </row>
    <row r="810">
      <c r="A810" t="inlineStr">
        <is>
          <t>Basic Attacks Per Second</t>
        </is>
      </c>
      <c r="B810">
        <f>MAX(0,B808-B809)</f>
        <v/>
      </c>
    </row>
    <row r="811">
      <c r="A811" t="inlineStr">
        <is>
          <t>Meteor Proc — combined trigger cast rate</t>
        </is>
      </c>
      <c r="B811">
        <f>IF(AND(Inputs!$B$38&lt;&gt;"pvp",Inputs!$B$43&gt;0),SUMPRODUCT((Skills!V2:V28=TRUE)*(C776:C802=TRUE)*R776:R802*Skills!W2:W28)/Inputs!$B$43,SUMPRODUCT((Skills!V2:V28=TRUE)*(C776:C802=TRUE)*Q776:Q802*Skills!W2:W28))+B810</f>
        <v/>
      </c>
    </row>
    <row r="812">
      <c r="A812" t="inlineStr">
        <is>
          <t>Buff-Casting Startup Delay (s, fixed-duration only)</t>
        </is>
      </c>
      <c r="B812">
        <f>IF(AND(Inputs!$B$38&lt;&gt;"pvp",Inputs!$B$43&gt;0),SUMPRODUCT((Skills!T2:T28&gt;0)*(Skills!F2:F28=TRUE)*(C776:C802=TRUE))/B808,0)</f>
        <v/>
      </c>
    </row>
    <row r="813">
      <c r="A813" t="inlineStr">
        <is>
          <t>Boss-Only Total DPS (this block's swept value)</t>
        </is>
      </c>
      <c r="B813">
        <f>SUM(S776:S802)</f>
        <v/>
      </c>
    </row>
    <row r="814">
      <c r="A814" t="inlineStr">
        <is>
          <t>Normal-Only Total DPS (this block's swept value)</t>
        </is>
      </c>
      <c r="B814">
        <f>SUM(U776:U802)</f>
        <v/>
      </c>
    </row>
    <row r="815">
      <c r="A815" s="6" t="inlineStr">
        <is>
          <t>TOTAL DPS</t>
        </is>
      </c>
      <c r="B815" s="6">
        <f>SUM(O776:O802)</f>
        <v/>
      </c>
    </row>
    <row r="818">
      <c r="A818" s="6" t="inlineStr">
        <is>
          <t>Stat: Skill Level Bonus — 3rd Job</t>
        </is>
      </c>
    </row>
    <row r="819">
      <c r="A819" s="5" t="inlineStr">
        <is>
          <t>Key</t>
        </is>
      </c>
      <c r="B819" s="5" t="inlineStr">
        <is>
          <t>Name</t>
        </is>
      </c>
      <c r="C819" s="5" t="inlineStr">
        <is>
          <t>Unlocked</t>
        </is>
      </c>
      <c r="D819" s="5" t="inlineStr">
        <is>
          <t>InputLevel</t>
        </is>
      </c>
      <c r="E819" s="5" t="inlineStr">
        <is>
          <t>Factor</t>
        </is>
      </c>
      <c r="F819" s="5" t="inlineStr">
        <is>
          <t>CoefficientPercent</t>
        </is>
      </c>
      <c r="G819" s="5" t="inlineStr">
        <is>
          <t>EffectiveHits</t>
        </is>
      </c>
      <c r="H819" s="5" t="inlineStr">
        <is>
          <t>ProcProbability</t>
        </is>
      </c>
      <c r="I819" s="5" t="inlineStr">
        <is>
          <t>MapleHeroMultiplier</t>
        </is>
      </c>
      <c r="J819" s="5" t="inlineStr">
        <is>
          <t>BaseDamage</t>
        </is>
      </c>
      <c r="K819" s="5" t="inlineStr">
        <is>
          <t>BaseHitDamage</t>
        </is>
      </c>
      <c r="L819" s="5" t="inlineStr">
        <is>
          <t>NonCritAvg</t>
        </is>
      </c>
      <c r="M819" s="5" t="inlineStr">
        <is>
          <t>CritAvg</t>
        </is>
      </c>
      <c r="N819" s="5" t="inlineStr">
        <is>
          <t>ExpectedDamage(perHit)</t>
        </is>
      </c>
      <c r="O819" s="5" t="inlineStr">
        <is>
          <t>DPS</t>
        </is>
      </c>
      <c r="P819" s="5" t="inlineStr">
        <is>
          <t>% of Total</t>
        </is>
      </c>
      <c r="R819" t="inlineStr">
        <is>
          <t>helpers</t>
        </is>
      </c>
    </row>
    <row r="820">
      <c r="A820">
        <f>Skills!A2</f>
        <v/>
      </c>
      <c r="B820">
        <f>Skills!B2</f>
        <v/>
      </c>
      <c r="C820">
        <f>TRUE</f>
        <v/>
      </c>
      <c r="D820" t="inlineStr"/>
      <c r="E820" t="inlineStr"/>
      <c r="F820">
        <f>T822+Skills!O2</f>
        <v/>
      </c>
      <c r="G820">
        <f>Calc!G2</f>
        <v/>
      </c>
      <c r="H820">
        <f>Calc!H2</f>
        <v/>
      </c>
      <c r="I820">
        <f>IF(Skills!X2&lt;&gt;"",1+(Skills!X2/10)*(Z821/1000)/100,1)</f>
        <v/>
      </c>
      <c r="J820">
        <f>((Inputs!$B$6*(1+Inputs!$B$7/100))+(((Inputs!$B$12*(1+Inputs!$B$13/100))-(Inputs!$B$12*(1+Inputs!$B$13/100)))+0.25*(Inputs!$B$14-Inputs!$B$14))*(1+Inputs!$B$7/100))*(F820/100)</f>
        <v/>
      </c>
      <c r="K820">
        <f>J820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820)</f>
        <v/>
      </c>
      <c r="L820">
        <f>K820*(MIN(Inputs!$B$22+(F840-Calc!F22),(Inputs!$B$23+(IF(ArtifactsInput!$M$15,CHOOSE(ArtifactsInput!$N$15+1,25,30,35,40,45,50)/100*(Inputs!$B$11-Inputs!$B$11),0))))/100+(Inputs!$B$23+(IF(ArtifactsInput!$M$15,CHOOSE(ArtifactsInput!$N$15+1,25,30,35,40,45,50)/100*(Inputs!$B$11-Inputs!$B$11),0)))/100)/2</f>
        <v/>
      </c>
      <c r="M820">
        <f>L820*(1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0">
        <f>L820*(1-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820*(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0">
        <f>(1-Summary!$B$11)*S820+Summary!$B$11*U820</f>
        <v/>
      </c>
      <c r="P820">
        <f>IF(B859=0,0,O820/B859)</f>
        <v/>
      </c>
      <c r="Q820">
        <f>IFERROR(1/(IF(Inputs!$B$38="pvp",15,MAX(0.1,Skills!E2-IF(Skills!F2=TRUE,Inputs!$B$32,0)))*(1-IF(AND(ArtifactsInput!$M$27,Inputs!$B$4="Chapter Hunt"),CHOOSE(ArtifactsInput!$N$27+1,20,24,28,32,36,40),0)/100)),0)</f>
        <v/>
      </c>
      <c r="R820" t="n">
        <v>0</v>
      </c>
      <c r="S820">
        <f>(Skills!G2*N820*B854)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820*(1-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820*(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820*(1-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820*(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820">
        <f>MAX(0,(Inputs!$B$3-100)*3)+Inputs!$B$28+Inputs!$B$29</f>
        <v/>
      </c>
      <c r="U820">
        <f>(Skills!G2*N820*B854)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820">
        <f>MAX(0,(Inputs!$B$3-100)*3)+Inputs!$B$28+Inputs!$B$29</f>
        <v/>
      </c>
    </row>
    <row r="821">
      <c r="A821">
        <f>Skills!A3</f>
        <v/>
      </c>
      <c r="B821">
        <f>Skills!B3</f>
        <v/>
      </c>
      <c r="C821">
        <f>TRUE</f>
        <v/>
      </c>
      <c r="D821">
        <f>IF(Skills!C3=1,60+Inputs!$B$25+Inputs!$B$29,IF(Skills!C3=2,90+Inputs!$B$26+Inputs!$B$29,IF(Skills!C3=3,120+(Inputs!$B$27+1)+Inputs!$B$29,MAX(0,(Inputs!$B$3-100)*3)+Inputs!$B$28+Inputs!$B$29)))</f>
        <v/>
      </c>
      <c r="E821">
        <f>INDEX(FactorTable!$B$2:$Y$301, MATCH(ROUND(MIN(300,MAX(1,D821)),0), FactorTable!$A$2:$A$301,0), Skills!M3+1)</f>
        <v/>
      </c>
      <c r="F821">
        <f>IF(Skills!N3=TRUE,(Skills!L3/10)*(E821/1000),Skills!L3/10)+Skills!O3</f>
        <v/>
      </c>
      <c r="G821">
        <f>Calc!G3</f>
        <v/>
      </c>
      <c r="H821">
        <f>Calc!H3</f>
        <v/>
      </c>
      <c r="I821">
        <f>IF(Skills!X3&lt;&gt;"",1+(Skills!X3/10)*(Z821/1000)/100,1)</f>
        <v/>
      </c>
      <c r="J821">
        <f>((Inputs!$B$6*(1+Inputs!$B$7/100))+(((Inputs!$B$12*(1+Inputs!$B$13/100))-(Inputs!$B$12*(1+Inputs!$B$13/100)))+0.25*(Inputs!$B$14-Inputs!$B$14))*(1+Inputs!$B$7/100))*(F821/100)</f>
        <v/>
      </c>
      <c r="K821">
        <f>J821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821)</f>
        <v/>
      </c>
      <c r="L821">
        <f>K821*(MIN(Inputs!$B$22+(F840-Calc!F22),(Inputs!$B$23+(IF(ArtifactsInput!$M$15,CHOOSE(ArtifactsInput!$N$15+1,25,30,35,40,45,50)/100*(Inputs!$B$11-Inputs!$B$11),0))))/100+(Inputs!$B$23+(IF(ArtifactsInput!$M$15,CHOOSE(ArtifactsInput!$N$15+1,25,30,35,40,45,50)/100*(Inputs!$B$11-Inputs!$B$11),0)))/100)/2</f>
        <v/>
      </c>
      <c r="M821">
        <f>L821*(1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1">
        <f>L821*(1-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1">
        <f>(1-Summary!$B$11)*S821+Summary!$B$11*U821</f>
        <v/>
      </c>
      <c r="P821">
        <f>IF(B859=0,0,O821/B859)</f>
        <v/>
      </c>
      <c r="Q821">
        <f>IFERROR(1/(IF(Inputs!$B$38="pvp",15,MAX(0.1,Skills!E3-IF(Skills!F3=TRUE,Inputs!$B$32,0)))*(1-IF(AND(ArtifactsInput!$M$27,Inputs!$B$4="Chapter Hunt"),CHOOSE(ArtifactsInput!$N$27+1,20,24,28,32,36,40),0)/100)),0)</f>
        <v/>
      </c>
      <c r="R821">
        <f>IF(AND(Inputs!$B$38&lt;&gt;"pvp",Inputs!$B$43&gt;0),IF(MAX(0,Inputs!$B$43-B856)&lt;=0,0,(INT(MAX(0,Inputs!$B$43-B856)/(IF(Inputs!$B$38="pvp",15,MAX(0.1,Skills!E3-IF(Skills!F3=TRUE,Inputs!$B$32,0)))*(1-IF(AND(ArtifactsInput!$M$27,Inputs!$B$4="Chapter Hunt"),CHOOSE(ArtifactsInput!$N$27+1,20,24,28,32,36,40),0)/100)))+1)),0)</f>
        <v/>
      </c>
      <c r="S821">
        <f>IF(C821,(H821*N821*IF(AND(Inputs!$B$38&lt;&gt;"pvp",Inputs!$B$43&gt;0),((Skills!G3*((R821-1)*IF(Skills!H3&gt;0,Skills!I3/Skills!H3,1)+IF(Skills!H3&gt;0,MIN(Skills!I3,MAX(0,MAX(0,Inputs!$B$43-B856)-((R821-1)*(IF(Inputs!$B$38="pvp",15,MAX(0.1,Skills!E3-IF(Skills!F3=TRUE,Inputs!$B$32,0)))*(1-IF(AND(ArtifactsInput!$M$27,Inputs!$B$4="Chapter Hunt"),CHOOSE(ArtifactsInput!$N$27+1,20,24,28,32,36,40),0)/100)))))/Skills!H3,1)))/Inputs!$B$43),G821*Q821)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821*(1-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821">
        <f>INDEX(FactorTable!$B$2:$Y$301, MATCH(ROUND(MIN(300,MAX(1,T820)),0), FactorTable!$A$2:$A$301,0), 22)</f>
        <v/>
      </c>
      <c r="U821">
        <f>IF(C821,(H821*N821*IF(AND(Inputs!$B$38&lt;&gt;"pvp",Inputs!$B$43&gt;0),((Skills!G3*((R821-1)*IF(Skills!H3&gt;0,Skills!I3/Skills!H3,1)+IF(Skills!H3&gt;0,MIN(Skills!I3,MAX(0,MAX(0,Inputs!$B$43-B856)-((R821-1)*(IF(Inputs!$B$38="pvp",15,MAX(0.1,Skills!E3-IF(Skills!F3=TRUE,Inputs!$B$32,0)))*(1-IF(AND(ArtifactsInput!$M$27,Inputs!$B$4="Chapter Hunt"),CHOOSE(ArtifactsInput!$N$27+1,20,24,28,32,36,40),0)/100)))))/Skills!H3,1)))/Inputs!$B$43),G821*Q821)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821">
        <f>INDEX(FactorTable!$B$2:$Y$301, MATCH(ROUND(MIN(300,MAX(1,Z820)),0), FactorTable!$A$2:$A$301,0), 24)</f>
        <v/>
      </c>
    </row>
    <row r="822">
      <c r="A822">
        <f>Skills!A4</f>
        <v/>
      </c>
      <c r="B822">
        <f>Skills!B4</f>
        <v/>
      </c>
      <c r="C822">
        <f>TRUE</f>
        <v/>
      </c>
      <c r="D822">
        <f>IF(Skills!C4=1,60+Inputs!$B$25+Inputs!$B$29,IF(Skills!C4=2,90+Inputs!$B$26+Inputs!$B$29,IF(Skills!C4=3,120+(Inputs!$B$27+1)+Inputs!$B$29,MAX(0,(Inputs!$B$3-100)*3)+Inputs!$B$28+Inputs!$B$29)))</f>
        <v/>
      </c>
      <c r="E822">
        <f>INDEX(FactorTable!$B$2:$Y$301, MATCH(ROUND(MIN(300,MAX(1,D822)),0), FactorTable!$A$2:$A$301,0), Skills!M4+1)</f>
        <v/>
      </c>
      <c r="F822">
        <f>IF(Skills!N4=TRUE,(Skills!L4/10)*(E822/1000),Skills!L4/10)+Skills!O4</f>
        <v/>
      </c>
      <c r="G822">
        <f>Calc!G4</f>
        <v/>
      </c>
      <c r="H822">
        <f>Calc!H4</f>
        <v/>
      </c>
      <c r="I822">
        <f>IF(Skills!X4&lt;&gt;"",1+(Skills!X4/10)*(Z821/1000)/100,1)</f>
        <v/>
      </c>
      <c r="J822">
        <f>((Inputs!$B$6*(1+Inputs!$B$7/100))+(((Inputs!$B$12*(1+Inputs!$B$13/100))-(Inputs!$B$12*(1+Inputs!$B$13/100)))+0.25*(Inputs!$B$14-Inputs!$B$14))*(1+Inputs!$B$7/100))*(F822/100)</f>
        <v/>
      </c>
      <c r="K822">
        <f>J822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822)</f>
        <v/>
      </c>
      <c r="L822">
        <f>K822*(MIN(Inputs!$B$22+(F840-Calc!F22),(Inputs!$B$23+(IF(ArtifactsInput!$M$15,CHOOSE(ArtifactsInput!$N$15+1,25,30,35,40,45,50)/100*(Inputs!$B$11-Inputs!$B$11),0))))/100+(Inputs!$B$23+(IF(ArtifactsInput!$M$15,CHOOSE(ArtifactsInput!$N$15+1,25,30,35,40,45,50)/100*(Inputs!$B$11-Inputs!$B$11),0)))/100)/2</f>
        <v/>
      </c>
      <c r="M822">
        <f>L822*(1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2">
        <f>L822*(1-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822*(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2">
        <f>(1-Summary!$B$11)*S822+Summary!$B$11*U822</f>
        <v/>
      </c>
      <c r="P822">
        <f>IF(B859=0,0,O822/B859)</f>
        <v/>
      </c>
      <c r="Q822">
        <f>IFERROR(1/(IF(Inputs!$B$38="pvp",15,MAX(0.1,Skills!E4-IF(Skills!F4=TRUE,Inputs!$B$32,0)))*(1-IF(AND(ArtifactsInput!$M$27,Inputs!$B$4="Chapter Hunt"),CHOOSE(ArtifactsInput!$N$27+1,20,24,28,32,36,40),0)/100)),0)</f>
        <v/>
      </c>
      <c r="R822">
        <f>IF(AND(Inputs!$B$38&lt;&gt;"pvp",Inputs!$B$43&gt;0),IF(MAX(0,Inputs!$B$43-B856)&lt;=0,0,(INT(MAX(0,Inputs!$B$43-B856)/(IF(Inputs!$B$38="pvp",15,MAX(0.1,Skills!E4-IF(Skills!F4=TRUE,Inputs!$B$32,0)))*(1-IF(AND(ArtifactsInput!$M$27,Inputs!$B$4="Chapter Hunt"),CHOOSE(ArtifactsInput!$N$27+1,20,24,28,32,36,40),0)/100)))+1)),0)</f>
        <v/>
      </c>
      <c r="S822">
        <f>IF(C822,(H822*N822*IF(AND(Inputs!$B$38&lt;&gt;"pvp",Inputs!$B$43&gt;0),((Skills!G4*((R822-1)*IF(Skills!H4&gt;0,Skills!I4/Skills!H4,1)+IF(Skills!H4&gt;0,MIN(Skills!I4,MAX(0,MAX(0,Inputs!$B$43-B856)-((R822-1)*(IF(Inputs!$B$38="pvp",15,MAX(0.1,Skills!E4-IF(Skills!F4=TRUE,Inputs!$B$32,0)))*(1-IF(AND(ArtifactsInput!$M$27,Inputs!$B$4="Chapter Hunt"),CHOOSE(ArtifactsInput!$N$27+1,20,24,28,32,36,40),0)/100)))))/Skills!H4,1)))/Inputs!$B$43),G822*Q822)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822*(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822*(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822">
        <f>290*T821/1000</f>
        <v/>
      </c>
      <c r="U822">
        <f>IF(C822,(H822*N822*IF(AND(Inputs!$B$38&lt;&gt;"pvp",Inputs!$B$43&gt;0),((Skills!G4*((R822-1)*IF(Skills!H4&gt;0,Skills!I4/Skills!H4,1)+IF(Skills!H4&gt;0,MIN(Skills!I4,MAX(0,MAX(0,Inputs!$B$43-B856)-((R822-1)*(IF(Inputs!$B$38="pvp",15,MAX(0.1,Skills!E4-IF(Skills!F4=TRUE,Inputs!$B$32,0)))*(1-IF(AND(ArtifactsInput!$M$27,Inputs!$B$4="Chapter Hunt"),CHOOSE(ArtifactsInput!$N$27+1,20,24,28,32,36,40),0)/100)))))/Skills!H4,1)))/Inputs!$B$43),G822*Q822)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3">
      <c r="A823">
        <f>Skills!A5</f>
        <v/>
      </c>
      <c r="B823">
        <f>Skills!B5</f>
        <v/>
      </c>
      <c r="C823">
        <f>TRUE</f>
        <v/>
      </c>
      <c r="D823">
        <f>IF(Skills!C5=1,60+Inputs!$B$25+Inputs!$B$29,IF(Skills!C5=2,90+Inputs!$B$26+Inputs!$B$29,IF(Skills!C5=3,120+(Inputs!$B$27+1)+Inputs!$B$29,MAX(0,(Inputs!$B$3-100)*3)+Inputs!$B$28+Inputs!$B$29)))</f>
        <v/>
      </c>
      <c r="E823">
        <f>INDEX(FactorTable!$B$2:$Y$301, MATCH(ROUND(MIN(300,MAX(1,D823)),0), FactorTable!$A$2:$A$301,0), Skills!M5+1)</f>
        <v/>
      </c>
      <c r="F823">
        <f>IF(Skills!N5=TRUE,(Skills!L5/10)*(E823/1000),Skills!L5/10)+Skills!O5</f>
        <v/>
      </c>
      <c r="G823">
        <f>Calc!G5</f>
        <v/>
      </c>
      <c r="H823">
        <f>Calc!H5</f>
        <v/>
      </c>
      <c r="I823">
        <f>IF(Skills!X5&lt;&gt;"",1+(Skills!X5/10)*(Z821/1000)/100,1)</f>
        <v/>
      </c>
      <c r="J823">
        <f>((Inputs!$B$6*(1+Inputs!$B$7/100))+(((Inputs!$B$12*(1+Inputs!$B$13/100))-(Inputs!$B$12*(1+Inputs!$B$13/100)))+0.25*(Inputs!$B$14-Inputs!$B$14))*(1+Inputs!$B$7/100))*(F823/100)</f>
        <v/>
      </c>
      <c r="K823">
        <f>J823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823)</f>
        <v/>
      </c>
      <c r="L823">
        <f>K823*(MIN(Inputs!$B$22+(F840-Calc!F22),(Inputs!$B$23+(IF(ArtifactsInput!$M$15,CHOOSE(ArtifactsInput!$N$15+1,25,30,35,40,45,50)/100*(Inputs!$B$11-Inputs!$B$11),0))))/100+(Inputs!$B$23+(IF(ArtifactsInput!$M$15,CHOOSE(ArtifactsInput!$N$15+1,25,30,35,40,45,50)/100*(Inputs!$B$11-Inputs!$B$11),0)))/100)/2</f>
        <v/>
      </c>
      <c r="M823">
        <f>L823*(1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3">
        <f>L823*(1-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823*(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3">
        <f>(1-Summary!$B$11)*S823+Summary!$B$11*U823</f>
        <v/>
      </c>
      <c r="P823">
        <f>IF(B859=0,0,O823/B859)</f>
        <v/>
      </c>
      <c r="Q823">
        <f>IFERROR(1/(IF(Inputs!$B$38="pvp",15,MAX(0.1,Skills!E5-IF(Skills!F5=TRUE,Inputs!$B$32,0)))*(1-IF(AND(ArtifactsInput!$M$27,Inputs!$B$4="Chapter Hunt"),CHOOSE(ArtifactsInput!$N$27+1,20,24,28,32,36,40),0)/100)),0)</f>
        <v/>
      </c>
      <c r="R823">
        <f>IF(AND(Inputs!$B$38&lt;&gt;"pvp",Inputs!$B$43&gt;0),IF(MAX(0,Inputs!$B$43-B856)&lt;=0,0,(INT(MAX(0,Inputs!$B$43-B856)/(IF(Inputs!$B$38="pvp",15,MAX(0.1,Skills!E5-IF(Skills!F5=TRUE,Inputs!$B$32,0)))*(1-IF(AND(ArtifactsInput!$M$27,Inputs!$B$4="Chapter Hunt"),CHOOSE(ArtifactsInput!$N$27+1,20,24,28,32,36,40),0)/100)))+1)),0)</f>
        <v/>
      </c>
      <c r="S823">
        <f>IF(C823,(H823*N823*IF(AND(Inputs!$B$38&lt;&gt;"pvp",Inputs!$B$43&gt;0),((Skills!G5*((R823-1)*IF(Skills!H5&gt;0,Skills!I5/Skills!H5,1)+IF(Skills!H5&gt;0,MIN(Skills!I5,MAX(0,MAX(0,Inputs!$B$43-B856)-((R823-1)*(IF(Inputs!$B$38="pvp",15,MAX(0.1,Skills!E5-IF(Skills!F5=TRUE,Inputs!$B$32,0)))*(1-IF(AND(ArtifactsInput!$M$27,Inputs!$B$4="Chapter Hunt"),CHOOSE(ArtifactsInput!$N$27+1,20,24,28,32,36,40),0)/100)))))/Skills!H5,1)))/Inputs!$B$43),G823*Q823)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823*(1-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823*(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823*(1-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823*(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3">
        <f>IF(C823,(H823*N823*IF(AND(Inputs!$B$38&lt;&gt;"pvp",Inputs!$B$43&gt;0),((Skills!G5*((R823-1)*IF(Skills!H5&gt;0,Skills!I5/Skills!H5,1)+IF(Skills!H5&gt;0,MIN(Skills!I5,MAX(0,MAX(0,Inputs!$B$43-B856)-((R823-1)*(IF(Inputs!$B$38="pvp",15,MAX(0.1,Skills!E5-IF(Skills!F5=TRUE,Inputs!$B$32,0)))*(1-IF(AND(ArtifactsInput!$M$27,Inputs!$B$4="Chapter Hunt"),CHOOSE(ArtifactsInput!$N$27+1,20,24,28,32,36,40),0)/100)))))/Skills!H5,1)))/Inputs!$B$43),G823*Q823)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4">
      <c r="A824">
        <f>Skills!A6</f>
        <v/>
      </c>
      <c r="B824">
        <f>Skills!B6</f>
        <v/>
      </c>
      <c r="C824">
        <f>TRUE</f>
        <v/>
      </c>
      <c r="D824">
        <f>IF(Skills!C6=1,60+Inputs!$B$25+Inputs!$B$29,IF(Skills!C6=2,90+Inputs!$B$26+Inputs!$B$29,IF(Skills!C6=3,120+(Inputs!$B$27+1)+Inputs!$B$29,MAX(0,(Inputs!$B$3-100)*3)+Inputs!$B$28+Inputs!$B$29)))</f>
        <v/>
      </c>
      <c r="E824">
        <f>INDEX(FactorTable!$B$2:$Y$301, MATCH(ROUND(MIN(300,MAX(1,D824)),0), FactorTable!$A$2:$A$301,0), Skills!M6+1)</f>
        <v/>
      </c>
      <c r="F824">
        <f>IF(Skills!N6=TRUE,(Skills!L6/10)*(E824/1000),Skills!L6/10)+Skills!O6</f>
        <v/>
      </c>
      <c r="G824">
        <f>Calc!G6</f>
        <v/>
      </c>
      <c r="H824">
        <f>Calc!H6</f>
        <v/>
      </c>
      <c r="I824">
        <f>IF(Skills!X6&lt;&gt;"",1+(Skills!X6/10)*(Z821/1000)/100,1)</f>
        <v/>
      </c>
      <c r="J824" t="inlineStr"/>
      <c r="K824" t="inlineStr"/>
      <c r="L824" t="inlineStr"/>
      <c r="M824" t="inlineStr"/>
      <c r="N824" t="inlineStr"/>
      <c r="O824">
        <f>(1-Summary!$B$11)*S824+Summary!$B$11*U824</f>
        <v/>
      </c>
      <c r="P824">
        <f>IF(B859=0,0,O824/B859)</f>
        <v/>
      </c>
      <c r="Q824">
        <f>IFERROR(1/(IF(Inputs!$B$38="pvp",15,MAX(0.1,Skills!E6-IF(Skills!F6=TRUE,Inputs!$B$32,0)))*(1-IF(AND(ArtifactsInput!$M$27,Inputs!$B$4="Chapter Hunt"),CHOOSE(ArtifactsInput!$N$27+1,20,24,28,32,36,40),0)/100)),0)</f>
        <v/>
      </c>
      <c r="R824">
        <f>IF(AND(Inputs!$B$38&lt;&gt;"pvp",Inputs!$B$43&gt;0),IF(Inputs!$B$43&lt;=0,0,(INT(Inputs!$B$43/(IF(Inputs!$B$38="pvp",15,MAX(0.1,Skills!E6-IF(Skills!F6=TRUE,Inputs!$B$32,0)))*(1-IF(AND(ArtifactsInput!$M$27,Inputs!$B$4="Chapter Hunt"),CHOOSE(ArtifactsInput!$N$27+1,20,24,28,32,36,40),0)/100)))+1)),0)</f>
        <v/>
      </c>
      <c r="S824" t="n">
        <v>0</v>
      </c>
      <c r="U824" t="n">
        <v>0</v>
      </c>
    </row>
    <row r="825">
      <c r="A825">
        <f>Skills!A7</f>
        <v/>
      </c>
      <c r="B825">
        <f>Skills!B7</f>
        <v/>
      </c>
      <c r="C825">
        <f>TRUE</f>
        <v/>
      </c>
      <c r="D825">
        <f>IF(Skills!C7=1,60+Inputs!$B$25+Inputs!$B$29,IF(Skills!C7=2,90+Inputs!$B$26+Inputs!$B$29,IF(Skills!C7=3,120+(Inputs!$B$27+1)+Inputs!$B$29,MAX(0,(Inputs!$B$3-100)*3)+Inputs!$B$28+Inputs!$B$29)))</f>
        <v/>
      </c>
      <c r="E825">
        <f>INDEX(FactorTable!$B$2:$Y$301, MATCH(ROUND(MIN(300,MAX(1,D825)),0), FactorTable!$A$2:$A$301,0), Skills!M7+1)</f>
        <v/>
      </c>
      <c r="F825">
        <f>IF(Skills!N7=TRUE,(Skills!L7/10)*(E825/1000),Skills!L7/10)+Skills!O7</f>
        <v/>
      </c>
      <c r="G825">
        <f>Calc!G7</f>
        <v/>
      </c>
      <c r="H825">
        <f>Calc!H7</f>
        <v/>
      </c>
      <c r="I825">
        <f>IF(Skills!X7&lt;&gt;"",1+(Skills!X7/10)*(Z821/1000)/100,1)</f>
        <v/>
      </c>
      <c r="J825">
        <f>((Inputs!$B$6*(1+Inputs!$B$7/100))+(((Inputs!$B$12*(1+Inputs!$B$13/100))-(Inputs!$B$12*(1+Inputs!$B$13/100)))+0.25*(Inputs!$B$14-Inputs!$B$14))*(1+Inputs!$B$7/100))*(F825/100)</f>
        <v/>
      </c>
      <c r="K825">
        <f>J825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825)</f>
        <v/>
      </c>
      <c r="L825">
        <f>K825*(MIN(Inputs!$B$22+(F840-Calc!F22),(Inputs!$B$23+(IF(ArtifactsInput!$M$15,CHOOSE(ArtifactsInput!$N$15+1,25,30,35,40,45,50)/100*(Inputs!$B$11-Inputs!$B$11),0))))/100+(Inputs!$B$23+(IF(ArtifactsInput!$M$15,CHOOSE(ArtifactsInput!$N$15+1,25,30,35,40,45,50)/100*(Inputs!$B$11-Inputs!$B$11),0)))/100)/2</f>
        <v/>
      </c>
      <c r="M825">
        <f>L825*(1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5">
        <f>L825*(1-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825*(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5">
        <f>(1-Summary!$B$11)*S825+Summary!$B$11*U825</f>
        <v/>
      </c>
      <c r="P825">
        <f>IF(B859=0,0,O825/B859)</f>
        <v/>
      </c>
      <c r="Q825">
        <f>IFERROR(1/(IF(Inputs!$B$38="pvp",15,MAX(0.1,Skills!E7-IF(Skills!F7=TRUE,Inputs!$B$32,0)))*(1-IF(AND(ArtifactsInput!$M$27,Inputs!$B$4="Chapter Hunt"),CHOOSE(ArtifactsInput!$N$27+1,20,24,28,32,36,40),0)/100)),0)</f>
        <v/>
      </c>
      <c r="R825">
        <f>IF(AND(Inputs!$B$38&lt;&gt;"pvp",Inputs!$B$43&gt;0),IF(MAX(0,Inputs!$B$43-B856)&lt;=0,0,(INT(MAX(0,Inputs!$B$43-B856)/(IF(Inputs!$B$38="pvp",15,MAX(0.1,Skills!E7-IF(Skills!F7=TRUE,Inputs!$B$32,0)))*(1-IF(AND(ArtifactsInput!$M$27,Inputs!$B$4="Chapter Hunt"),CHOOSE(ArtifactsInput!$N$27+1,20,24,28,32,36,40),0)/100)))+1)),0)</f>
        <v/>
      </c>
      <c r="S825">
        <f>IF(C825,(H825*N825*IF(AND(Inputs!$B$38&lt;&gt;"pvp",Inputs!$B$43&gt;0),((Skills!G7*((R825-1)*IF(Skills!H7&gt;0,Skills!I7/Skills!H7,1)+IF(Skills!H7&gt;0,MIN(Skills!I7,MAX(0,MAX(0,Inputs!$B$43-B856)-((R825-1)*(IF(Inputs!$B$38="pvp",15,MAX(0.1,Skills!E7-IF(Skills!F7=TRUE,Inputs!$B$32,0)))*(1-IF(AND(ArtifactsInput!$M$27,Inputs!$B$4="Chapter Hunt"),CHOOSE(ArtifactsInput!$N$27+1,20,24,28,32,36,40),0)/100)))))/Skills!H7,1)))/Inputs!$B$43),G825*Q825)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825*(1-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825*(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825*(1-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825*(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5">
        <f>IF(C825,(H825*N825*IF(AND(Inputs!$B$38&lt;&gt;"pvp",Inputs!$B$43&gt;0),((Skills!G7*((R825-1)*IF(Skills!H7&gt;0,Skills!I7/Skills!H7,1)+IF(Skills!H7&gt;0,MIN(Skills!I7,MAX(0,MAX(0,Inputs!$B$43-B856)-((R825-1)*(IF(Inputs!$B$38="pvp",15,MAX(0.1,Skills!E7-IF(Skills!F7=TRUE,Inputs!$B$32,0)))*(1-IF(AND(ArtifactsInput!$M$27,Inputs!$B$4="Chapter Hunt"),CHOOSE(ArtifactsInput!$N$27+1,20,24,28,32,36,40),0)/100)))))/Skills!H7,1)))/Inputs!$B$43),G825*Q825)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6">
      <c r="A826">
        <f>Skills!A8</f>
        <v/>
      </c>
      <c r="B826">
        <f>Skills!B8</f>
        <v/>
      </c>
      <c r="C826">
        <f>TRUE</f>
        <v/>
      </c>
      <c r="D826">
        <f>IF(Skills!C8=1,60+Inputs!$B$25+Inputs!$B$29,IF(Skills!C8=2,90+Inputs!$B$26+Inputs!$B$29,IF(Skills!C8=3,120+(Inputs!$B$27+1)+Inputs!$B$29,MAX(0,(Inputs!$B$3-100)*3)+Inputs!$B$28+Inputs!$B$29)))</f>
        <v/>
      </c>
      <c r="E826">
        <f>INDEX(FactorTable!$B$2:$Y$301, MATCH(ROUND(MIN(300,MAX(1,D826)),0), FactorTable!$A$2:$A$301,0), Skills!M8+1)</f>
        <v/>
      </c>
      <c r="F826">
        <f>IF(Skills!N8=TRUE,(Skills!L8/10)*(E826/1000),Skills!L8/10)+Skills!O8</f>
        <v/>
      </c>
      <c r="G826">
        <f>Calc!G8</f>
        <v/>
      </c>
      <c r="H826">
        <f>Calc!H8</f>
        <v/>
      </c>
      <c r="I826">
        <f>IF(Skills!X8&lt;&gt;"",1+(Skills!X8/10)*(Z821/1000)/100,1)</f>
        <v/>
      </c>
      <c r="J826">
        <f>((Inputs!$B$6*(1+Inputs!$B$7/100))+(((Inputs!$B$12*(1+Inputs!$B$13/100))-(Inputs!$B$12*(1+Inputs!$B$13/100)))+0.25*(Inputs!$B$14-Inputs!$B$14))*(1+Inputs!$B$7/100))*(F826/100)</f>
        <v/>
      </c>
      <c r="K826">
        <f>J826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826)</f>
        <v/>
      </c>
      <c r="L826">
        <f>K826*(MIN(Inputs!$B$22+(F840-Calc!F22),(Inputs!$B$23+(IF(ArtifactsInput!$M$15,CHOOSE(ArtifactsInput!$N$15+1,25,30,35,40,45,50)/100*(Inputs!$B$11-Inputs!$B$11),0))))/100+(Inputs!$B$23+(IF(ArtifactsInput!$M$15,CHOOSE(ArtifactsInput!$N$15+1,25,30,35,40,45,50)/100*(Inputs!$B$11-Inputs!$B$11),0)))/100)/2</f>
        <v/>
      </c>
      <c r="M826">
        <f>L826*(1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6">
        <f>L826*(1-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826*(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6">
        <f>(1-Summary!$B$11)*S826+Summary!$B$11*U826</f>
        <v/>
      </c>
      <c r="P826">
        <f>IF(B859=0,0,O826/B859)</f>
        <v/>
      </c>
      <c r="Q826">
        <f>IFERROR(1/(IF(Inputs!$B$38="pvp",15,MAX(0.1,Skills!E8-IF(Skills!F8=TRUE,Inputs!$B$32,0)))*(1-IF(AND(ArtifactsInput!$M$27,Inputs!$B$4="Chapter Hunt"),CHOOSE(ArtifactsInput!$N$27+1,20,24,28,32,36,40),0)/100)),0)</f>
        <v/>
      </c>
      <c r="R826">
        <f>IF(AND(Inputs!$B$38&lt;&gt;"pvp",Inputs!$B$43&gt;0),IF(MAX(0,Inputs!$B$43-B856)&lt;=0,0,(INT(MAX(0,Inputs!$B$43-B856)/(IF(Inputs!$B$38="pvp",15,MAX(0.1,Skills!E8-IF(Skills!F8=TRUE,Inputs!$B$32,0)))*(1-IF(AND(ArtifactsInput!$M$27,Inputs!$B$4="Chapter Hunt"),CHOOSE(ArtifactsInput!$N$27+1,20,24,28,32,36,40),0)/100)))+1)),0)</f>
        <v/>
      </c>
      <c r="S826">
        <f>IF(C826,(H826*N826*IF(AND(Inputs!$B$38&lt;&gt;"pvp",Inputs!$B$43&gt;0),((Skills!G8*((R826-1)*IF(Skills!H8&gt;0,Skills!I8/Skills!H8,1)+IF(Skills!H8&gt;0,MIN(Skills!I8,MAX(0,MAX(0,Inputs!$B$43-B856)-((R826-1)*(IF(Inputs!$B$38="pvp",15,MAX(0.1,Skills!E8-IF(Skills!F8=TRUE,Inputs!$B$32,0)))*(1-IF(AND(ArtifactsInput!$M$27,Inputs!$B$4="Chapter Hunt"),CHOOSE(ArtifactsInput!$N$27+1,20,24,28,32,36,40),0)/100)))))/Skills!H8,1)))/Inputs!$B$43),G826*Q826)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826*(1-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826*(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826*(1-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826*(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6">
        <f>IF(C826,(H826*N826*IF(AND(Inputs!$B$38&lt;&gt;"pvp",Inputs!$B$43&gt;0),((Skills!G8*((R826-1)*IF(Skills!H8&gt;0,Skills!I8/Skills!H8,1)+IF(Skills!H8&gt;0,MIN(Skills!I8,MAX(0,MAX(0,Inputs!$B$43-B856)-((R826-1)*(IF(Inputs!$B$38="pvp",15,MAX(0.1,Skills!E8-IF(Skills!F8=TRUE,Inputs!$B$32,0)))*(1-IF(AND(ArtifactsInput!$M$27,Inputs!$B$4="Chapter Hunt"),CHOOSE(ArtifactsInput!$N$27+1,20,24,28,32,36,40),0)/100)))))/Skills!H8,1)))/Inputs!$B$43),G826*Q826)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7">
      <c r="A827">
        <f>Skills!A9</f>
        <v/>
      </c>
      <c r="B827">
        <f>Skills!B9</f>
        <v/>
      </c>
      <c r="C827">
        <f>Inputs!$B$3&gt;=103</f>
        <v/>
      </c>
      <c r="D827">
        <f>IF(Skills!C9=1,60+Inputs!$B$25+Inputs!$B$29,IF(Skills!C9=2,90+Inputs!$B$26+Inputs!$B$29,IF(Skills!C9=3,120+(Inputs!$B$27+1)+Inputs!$B$29,MAX(0,(Inputs!$B$3-100)*3)+Inputs!$B$28+Inputs!$B$29)))</f>
        <v/>
      </c>
      <c r="E827">
        <f>INDEX(FactorTable!$B$2:$Y$301, MATCH(ROUND(MIN(300,MAX(1,D827)),0), FactorTable!$A$2:$A$301,0), Skills!M9+1)</f>
        <v/>
      </c>
      <c r="F827">
        <f>IF(Skills!N9=TRUE,(Skills!L9/10)*(E827/1000),Skills!L9/10)+Skills!O9</f>
        <v/>
      </c>
      <c r="G827">
        <f>Calc!G9</f>
        <v/>
      </c>
      <c r="H827">
        <f>Calc!H9</f>
        <v/>
      </c>
      <c r="I827">
        <f>IF(Skills!X9&lt;&gt;"",1+(Skills!X9/10)*(Z821/1000)/100,1)</f>
        <v/>
      </c>
      <c r="J827">
        <f>((Inputs!$B$6*(1+Inputs!$B$7/100))+(((Inputs!$B$12*(1+Inputs!$B$13/100))-(Inputs!$B$12*(1+Inputs!$B$13/100)))+0.25*(Inputs!$B$14-Inputs!$B$14))*(1+Inputs!$B$7/100))*(F827/100)</f>
        <v/>
      </c>
      <c r="K827">
        <f>J827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827)</f>
        <v/>
      </c>
      <c r="L827">
        <f>K827*(MIN(Inputs!$B$22+(F840-Calc!F22),(Inputs!$B$23+(IF(ArtifactsInput!$M$15,CHOOSE(ArtifactsInput!$N$15+1,25,30,35,40,45,50)/100*(Inputs!$B$11-Inputs!$B$11),0))))/100+(Inputs!$B$23+(IF(ArtifactsInput!$M$15,CHOOSE(ArtifactsInput!$N$15+1,25,30,35,40,45,50)/100*(Inputs!$B$11-Inputs!$B$11),0)))/100)/2</f>
        <v/>
      </c>
      <c r="M827">
        <f>L827*(1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7">
        <f>L827*(1-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827*(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7">
        <f>(1-Summary!$B$11)*S827+Summary!$B$11*U827</f>
        <v/>
      </c>
      <c r="P827">
        <f>IF(B859=0,0,O827/B859)</f>
        <v/>
      </c>
      <c r="Q827">
        <f>IFERROR(1/(IF(Inputs!$B$38="pvp",15,MAX(0.1,Skills!E9-IF(Skills!F7=TRUE,Inputs!$B$32,0)))*(1-IF(AND(ArtifactsInput!$M$27,Inputs!$B$4="Chapter Hunt"),CHOOSE(ArtifactsInput!$N$27+1,20,24,28,32,36,40),0)/100)),0)</f>
        <v/>
      </c>
      <c r="R827">
        <f>IF(AND(Inputs!$B$38&lt;&gt;"pvp",Inputs!$B$43&gt;0),IF(MAX(0,Inputs!$B$43-B856)&lt;=0,0,(INT(MAX(0,Inputs!$B$43-B856)/(IF(Inputs!$B$38="pvp",15,MAX(0.1,Skills!E9-IF(Skills!F7=TRUE,Inputs!$B$32,0)))*(1-IF(AND(ArtifactsInput!$M$27,Inputs!$B$4="Chapter Hunt"),CHOOSE(ArtifactsInput!$N$27+1,20,24,28,32,36,40),0)/100)))+1)),0)</f>
        <v/>
      </c>
      <c r="S827">
        <f>IF(C827,(H827*N827*IF(AND(Inputs!$B$38&lt;&gt;"pvp",Inputs!$B$43&gt;0),((Skills!G9*((R827-1)*IF(Skills!H9&gt;0,Skills!I9/Skills!H9,1)+IF(Skills!H9&gt;0,MIN(Skills!I9,MAX(0,MAX(0,Inputs!$B$43-B856)-((R827-1)*(IF(Inputs!$B$38="pvp",15,MAX(0.1,Skills!E9-IF(Skills!F7=TRUE,Inputs!$B$32,0)))*(1-IF(AND(ArtifactsInput!$M$27,Inputs!$B$4="Chapter Hunt"),CHOOSE(ArtifactsInput!$N$27+1,20,24,28,32,36,40),0)/100)))))/Skills!H9,1)))/Inputs!$B$43),G827*Q827)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827*(1-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827*(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827*(1-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827*(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7">
        <f>IF(C827,(H827*N827*IF(AND(Inputs!$B$38&lt;&gt;"pvp",Inputs!$B$43&gt;0),((Skills!G9*((R827-1)*IF(Skills!H9&gt;0,Skills!I9/Skills!H9,1)+IF(Skills!H9&gt;0,MIN(Skills!I9,MAX(0,MAX(0,Inputs!$B$43-B856)-((R827-1)*(IF(Inputs!$B$38="pvp",15,MAX(0.1,Skills!E9-IF(Skills!F7=TRUE,Inputs!$B$32,0)))*(1-IF(AND(ArtifactsInput!$M$27,Inputs!$B$4="Chapter Hunt"),CHOOSE(ArtifactsInput!$N$27+1,20,24,28,32,36,40),0)/100)))))/Skills!H9,1)))/Inputs!$B$43),G827*Q827)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8">
      <c r="A828">
        <f>Skills!A10</f>
        <v/>
      </c>
      <c r="B828">
        <f>Skills!B10</f>
        <v/>
      </c>
      <c r="C828">
        <f>TRUE</f>
        <v/>
      </c>
      <c r="D828">
        <f>IF(Skills!C10=1,60+Inputs!$B$25+Inputs!$B$29,IF(Skills!C10=2,90+Inputs!$B$26+Inputs!$B$29,IF(Skills!C10=3,120+(Inputs!$B$27+1)+Inputs!$B$29,MAX(0,(Inputs!$B$3-100)*3)+Inputs!$B$28+Inputs!$B$29)))</f>
        <v/>
      </c>
      <c r="E828">
        <f>INDEX(FactorTable!$B$2:$Y$301, MATCH(ROUND(MIN(300,MAX(1,D828)),0), FactorTable!$A$2:$A$301,0), Skills!M10+1)</f>
        <v/>
      </c>
      <c r="F828">
        <f>IF(Skills!N10=TRUE,(Skills!L10/10)*(E828/1000),Skills!L10/10)+Skills!O10</f>
        <v/>
      </c>
      <c r="G828">
        <f>Calc!G10</f>
        <v/>
      </c>
      <c r="H828">
        <f>Calc!H10</f>
        <v/>
      </c>
      <c r="I828">
        <f>IF(Skills!X10&lt;&gt;"",1+(Skills!X10/10)*(Z821/1000)/100,1)</f>
        <v/>
      </c>
      <c r="J828">
        <f>((Inputs!$B$6*(1+Inputs!$B$7/100))+(((Inputs!$B$12*(1+Inputs!$B$13/100))-(Inputs!$B$12*(1+Inputs!$B$13/100)))+0.25*(Inputs!$B$14-Inputs!$B$14))*(1+Inputs!$B$7/100))*(F828/100)</f>
        <v/>
      </c>
      <c r="K828">
        <f>J828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828)</f>
        <v/>
      </c>
      <c r="L828">
        <f>K828*(MIN(Inputs!$B$22+(F840-Calc!F22),(Inputs!$B$23+(IF(ArtifactsInput!$M$15,CHOOSE(ArtifactsInput!$N$15+1,25,30,35,40,45,50)/100*(Inputs!$B$11-Inputs!$B$11),0))))/100+(Inputs!$B$23+(IF(ArtifactsInput!$M$15,CHOOSE(ArtifactsInput!$N$15+1,25,30,35,40,45,50)/100*(Inputs!$B$11-Inputs!$B$11),0)))/100)/2</f>
        <v/>
      </c>
      <c r="M828">
        <f>L828*(1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8">
        <f>L828*(1-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828*(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8">
        <f>(1-Summary!$B$11)*S828+Summary!$B$11*U828</f>
        <v/>
      </c>
      <c r="P828">
        <f>IF(B859=0,0,O828/B859)</f>
        <v/>
      </c>
      <c r="Q828">
        <f>IFERROR(1/(IF(Inputs!$B$38="pvp",15,MAX(0.1,Skills!E10-IF(Skills!F10=TRUE,Inputs!$B$32,0)))*(1-IF(AND(ArtifactsInput!$M$27,Inputs!$B$4="Chapter Hunt"),CHOOSE(ArtifactsInput!$N$27+1,20,24,28,32,36,40),0)/100)),0)</f>
        <v/>
      </c>
      <c r="R828">
        <f>IF(AND(Inputs!$B$38&lt;&gt;"pvp",Inputs!$B$43&gt;0),IF(MAX(0,Inputs!$B$43-B856)&lt;=0,0,(INT(MAX(0,Inputs!$B$43-B856)/(IF(Inputs!$B$38="pvp",15,MAX(0.1,Skills!E10-IF(Skills!F10=TRUE,Inputs!$B$32,0)))*(1-IF(AND(ArtifactsInput!$M$27,Inputs!$B$4="Chapter Hunt"),CHOOSE(ArtifactsInput!$N$27+1,20,24,28,32,36,40),0)/100)))+1)),0)</f>
        <v/>
      </c>
      <c r="S828">
        <f>IF(C828,(H828*N828*IF(AND(Inputs!$B$38&lt;&gt;"pvp",Inputs!$B$43&gt;0),((Skills!G10*((R828-1)*IF(Skills!H10&gt;0,Skills!I10/Skills!H10,1)+IF(Skills!H10&gt;0,MIN(Skills!I10,MAX(0,MAX(0,Inputs!$B$43-B856)-((R828-1)*(IF(Inputs!$B$38="pvp",15,MAX(0.1,Skills!E10-IF(Skills!F10=TRUE,Inputs!$B$32,0)))*(1-IF(AND(ArtifactsInput!$M$27,Inputs!$B$4="Chapter Hunt"),CHOOSE(ArtifactsInput!$N$27+1,20,24,28,32,36,40),0)/100)))))/Skills!H10,1)))/Inputs!$B$43),G828*Q828)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828*(1-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828*(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828*(1-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828*(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8">
        <f>IF(C828,(H828*N828*IF(AND(Inputs!$B$38&lt;&gt;"pvp",Inputs!$B$43&gt;0),((Skills!G10*((R828-1)*IF(Skills!H10&gt;0,Skills!I10/Skills!H10,1)+IF(Skills!H10&gt;0,MIN(Skills!I10,MAX(0,MAX(0,Inputs!$B$43-B856)-((R828-1)*(IF(Inputs!$B$38="pvp",15,MAX(0.1,Skills!E10-IF(Skills!F10=TRUE,Inputs!$B$32,0)))*(1-IF(AND(ArtifactsInput!$M$27,Inputs!$B$4="Chapter Hunt"),CHOOSE(ArtifactsInput!$N$27+1,20,24,28,32,36,40),0)/100)))))/Skills!H10,1)))/Inputs!$B$43),G828*Q828)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9">
      <c r="A829">
        <f>Skills!A11</f>
        <v/>
      </c>
      <c r="B829">
        <f>Skills!B11</f>
        <v/>
      </c>
      <c r="C829">
        <f>TRUE</f>
        <v/>
      </c>
      <c r="D829">
        <f>IF(Skills!C11=1,60+Inputs!$B$25+Inputs!$B$29,IF(Skills!C11=2,90+Inputs!$B$26+Inputs!$B$29,IF(Skills!C11=3,120+(Inputs!$B$27+1)+Inputs!$B$29,MAX(0,(Inputs!$B$3-100)*3)+Inputs!$B$28+Inputs!$B$29)))</f>
        <v/>
      </c>
      <c r="E829">
        <f>INDEX(FactorTable!$B$2:$Y$301, MATCH(ROUND(MIN(300,MAX(1,D829)),0), FactorTable!$A$2:$A$301,0), Skills!M11+1)</f>
        <v/>
      </c>
      <c r="F829">
        <f>IF(Skills!N11=TRUE,(Skills!L11/10)*(E829/1000),Skills!L11/10)+Skills!O11</f>
        <v/>
      </c>
      <c r="G829">
        <f>Calc!G11</f>
        <v/>
      </c>
      <c r="H829">
        <f>Calc!H11</f>
        <v/>
      </c>
      <c r="I829">
        <f>IF(Skills!X11&lt;&gt;"",1+(Skills!X11/10)*(Z821/1000)/100,1)</f>
        <v/>
      </c>
      <c r="J829" t="inlineStr"/>
      <c r="K829" t="inlineStr"/>
      <c r="L829" t="inlineStr"/>
      <c r="M829" t="inlineStr"/>
      <c r="N829" t="inlineStr"/>
      <c r="O829">
        <f>(1-Summary!$B$11)*S829+Summary!$B$11*U829</f>
        <v/>
      </c>
      <c r="P829">
        <f>IF(B859=0,0,O829/B859)</f>
        <v/>
      </c>
      <c r="Q829">
        <f>IFERROR(1/(IF(Inputs!$B$38="pvp",15,MAX(0.1,Skills!E11-IF(Skills!F11=TRUE,Inputs!$B$32,0)))*(1-IF(AND(ArtifactsInput!$M$27,Inputs!$B$4="Chapter Hunt"),CHOOSE(ArtifactsInput!$N$27+1,20,24,28,32,36,40),0)/100)),0)</f>
        <v/>
      </c>
      <c r="R829" t="n">
        <v>0</v>
      </c>
      <c r="S829" t="n">
        <v>0</v>
      </c>
      <c r="U829" t="n">
        <v>0</v>
      </c>
    </row>
    <row r="830">
      <c r="A830">
        <f>Skills!A12</f>
        <v/>
      </c>
      <c r="B830">
        <f>Skills!B12</f>
        <v/>
      </c>
      <c r="C830">
        <f>TRUE</f>
        <v/>
      </c>
      <c r="D830">
        <f>IF(Skills!C12=1,60+Inputs!$B$25+Inputs!$B$29,IF(Skills!C12=2,90+Inputs!$B$26+Inputs!$B$29,IF(Skills!C12=3,120+(Inputs!$B$27+1)+Inputs!$B$29,MAX(0,(Inputs!$B$3-100)*3)+Inputs!$B$28+Inputs!$B$29)))</f>
        <v/>
      </c>
      <c r="E830">
        <f>INDEX(FactorTable!$B$2:$Y$301, MATCH(ROUND(MIN(300,MAX(1,D830)),0), FactorTable!$A$2:$A$301,0), Skills!M12+1)</f>
        <v/>
      </c>
      <c r="F830">
        <f>IF(Skills!N12=TRUE,(Skills!L12/10)*(E830/1000),Skills!L12/10)+Skills!O12</f>
        <v/>
      </c>
      <c r="G830">
        <f>Calc!G12</f>
        <v/>
      </c>
      <c r="H830">
        <f>Calc!H12</f>
        <v/>
      </c>
      <c r="I830">
        <f>IF(Skills!X12&lt;&gt;"",1+(Skills!X12/10)*(Z821/1000)/100,1)</f>
        <v/>
      </c>
      <c r="J830" t="inlineStr"/>
      <c r="K830" t="inlineStr"/>
      <c r="L830" t="inlineStr"/>
      <c r="M830" t="inlineStr"/>
      <c r="N830" t="inlineStr"/>
      <c r="O830">
        <f>(1-Summary!$B$11)*S830+Summary!$B$11*U830</f>
        <v/>
      </c>
      <c r="P830">
        <f>IF(B859=0,0,O830/B859)</f>
        <v/>
      </c>
      <c r="Q830">
        <f>IFERROR(1/(IF(Inputs!$B$38="pvp",15,MAX(0.1,Skills!E12-IF(Skills!F12=TRUE,Inputs!$B$32,0)))*(1-IF(AND(ArtifactsInput!$M$27,Inputs!$B$4="Chapter Hunt"),CHOOSE(ArtifactsInput!$N$27+1,20,24,28,32,36,40),0)/100)),0)</f>
        <v/>
      </c>
      <c r="R830" t="n">
        <v>0</v>
      </c>
      <c r="S830" t="n">
        <v>0</v>
      </c>
      <c r="U830" t="n">
        <v>0</v>
      </c>
    </row>
    <row r="831">
      <c r="A831">
        <f>Skills!A13</f>
        <v/>
      </c>
      <c r="B831">
        <f>Skills!B13</f>
        <v/>
      </c>
      <c r="C831">
        <f>Inputs!$B$3&gt;=105</f>
        <v/>
      </c>
      <c r="D831">
        <f>IF(Skills!C13=1,60+Inputs!$B$25+Inputs!$B$29,IF(Skills!C13=2,90+Inputs!$B$26+Inputs!$B$29,IF(Skills!C13=3,120+(Inputs!$B$27+1)+Inputs!$B$29,MAX(0,(Inputs!$B$3-100)*3)+Inputs!$B$28+Inputs!$B$29)))</f>
        <v/>
      </c>
      <c r="E831">
        <f>INDEX(FactorTable!$B$2:$Y$301, MATCH(ROUND(MIN(300,MAX(1,D831)),0), FactorTable!$A$2:$A$301,0), Skills!M13+1)</f>
        <v/>
      </c>
      <c r="F831">
        <f>IF(Skills!N13=TRUE,(Skills!L13/10)*(E831/1000),Skills!L13/10)+Skills!O13</f>
        <v/>
      </c>
      <c r="G831">
        <f>Calc!G13</f>
        <v/>
      </c>
      <c r="H831">
        <f>Calc!H13</f>
        <v/>
      </c>
      <c r="I831">
        <f>IF(Skills!X13&lt;&gt;"",1+(Skills!X13/10)*(Z821/1000)/100,1)</f>
        <v/>
      </c>
      <c r="J831">
        <f>((Inputs!$B$6*(1+Inputs!$B$7/100))+(((Inputs!$B$12*(1+Inputs!$B$13/100))-(Inputs!$B$12*(1+Inputs!$B$13/100)))+0.25*(Inputs!$B$14-Inputs!$B$14))*(1+Inputs!$B$7/100))*(F831/100)</f>
        <v/>
      </c>
      <c r="K831">
        <f>J831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831)</f>
        <v/>
      </c>
      <c r="L831">
        <f>K831*(MIN(Inputs!$B$22+(F840-Calc!F22),(Inputs!$B$23+(IF(ArtifactsInput!$M$15,CHOOSE(ArtifactsInput!$N$15+1,25,30,35,40,45,50)/100*(Inputs!$B$11-Inputs!$B$11),0))))/100+(Inputs!$B$23+(IF(ArtifactsInput!$M$15,CHOOSE(ArtifactsInput!$N$15+1,25,30,35,40,45,50)/100*(Inputs!$B$11-Inputs!$B$11),0)))/100)/2</f>
        <v/>
      </c>
      <c r="M831">
        <f>L831*(1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1">
        <f>L831*(1-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1">
        <f>(1-Summary!$B$11)*S831+Summary!$B$11*U831</f>
        <v/>
      </c>
      <c r="P831">
        <f>IF(B859=0,0,O831/B859)</f>
        <v/>
      </c>
      <c r="Q831">
        <f>IFERROR(1/(IF(Inputs!$B$38="pvp",15,MAX(0.1,Skills!E13-IF(Skills!F13=TRUE,Inputs!$B$32,0)))*(1-IF(AND(ArtifactsInput!$M$27,Inputs!$B$4="Chapter Hunt"),CHOOSE(ArtifactsInput!$N$27+1,20,24,28,32,36,40),0)/100)),0)</f>
        <v/>
      </c>
      <c r="R831">
        <f>IF(AND(Inputs!$B$38&lt;&gt;"pvp",Inputs!$B$43&gt;0),IF(MAX(0,Inputs!$B$43-B856)&lt;=0,0,(INT(MAX(0,Inputs!$B$43-B856)/(IF(Inputs!$B$38="pvp",15,MAX(0.1,Skills!E13-IF(Skills!F13=TRUE,Inputs!$B$32,0)))*(1-IF(AND(ArtifactsInput!$M$27,Inputs!$B$4="Chapter Hunt"),CHOOSE(ArtifactsInput!$N$27+1,20,24,28,32,36,40),0)/100)))+1)),0)</f>
        <v/>
      </c>
      <c r="S831">
        <f>IF(C831,(H831*N831*IF(AND(Inputs!$B$38&lt;&gt;"pvp",Inputs!$B$43&gt;0),((Skills!G13*((R831-1)*IF(Skills!H13&gt;0,Skills!I13/Skills!H13,1)+IF(Skills!H13&gt;0,MIN(Skills!I13,MAX(0,MAX(0,Inputs!$B$43-B856)-((R831-1)*(IF(Inputs!$B$38="pvp",15,MAX(0.1,Skills!E13-IF(Skills!F13=TRUE,Inputs!$B$32,0)))*(1-IF(AND(ArtifactsInput!$M$27,Inputs!$B$4="Chapter Hunt"),CHOOSE(ArtifactsInput!$N$27+1,20,24,28,32,36,40),0)/100)))))/Skills!H13,1)))/Inputs!$B$43),G831*Q831)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831*(1-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831*(1-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1">
        <f>IF(C831,(H831*N831*IF(AND(Inputs!$B$38&lt;&gt;"pvp",Inputs!$B$43&gt;0),((Skills!G13*((R831-1)*IF(Skills!H13&gt;0,Skills!I13/Skills!H13,1)+IF(Skills!H13&gt;0,MIN(Skills!I13,MAX(0,MAX(0,Inputs!$B$43-B856)-((R831-1)*(IF(Inputs!$B$38="pvp",15,MAX(0.1,Skills!E13-IF(Skills!F13=TRUE,Inputs!$B$32,0)))*(1-IF(AND(ArtifactsInput!$M$27,Inputs!$B$4="Chapter Hunt"),CHOOSE(ArtifactsInput!$N$27+1,20,24,28,32,36,40),0)/100)))))/Skills!H13,1)))/Inputs!$B$43),G831*Q831)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2">
      <c r="A832">
        <f>Skills!A14</f>
        <v/>
      </c>
      <c r="B832">
        <f>Skills!B14</f>
        <v/>
      </c>
      <c r="C832">
        <f>Inputs!$B$3&gt;=113</f>
        <v/>
      </c>
      <c r="D832">
        <f>IF(Skills!C14=1,60+Inputs!$B$25+Inputs!$B$29,IF(Skills!C14=2,90+Inputs!$B$26+Inputs!$B$29,IF(Skills!C14=3,120+(Inputs!$B$27+1)+Inputs!$B$29,MAX(0,(Inputs!$B$3-100)*3)+Inputs!$B$28+Inputs!$B$29)))</f>
        <v/>
      </c>
      <c r="E832">
        <f>INDEX(FactorTable!$B$2:$Y$301, MATCH(ROUND(MIN(300,MAX(1,D832)),0), FactorTable!$A$2:$A$301,0), Skills!M14+1)</f>
        <v/>
      </c>
      <c r="F832">
        <f>IF(Skills!N14=TRUE,(Skills!L14/10)*(E832/1000),Skills!L14/10)+Skills!O14</f>
        <v/>
      </c>
      <c r="G832">
        <f>Calc!G14</f>
        <v/>
      </c>
      <c r="H832">
        <f>Calc!H14</f>
        <v/>
      </c>
      <c r="I832">
        <f>IF(Skills!X14&lt;&gt;"",1+(Skills!X14/10)*(Z821/1000)/100,1)</f>
        <v/>
      </c>
      <c r="J832">
        <f>((Inputs!$B$6*(1+Inputs!$B$7/100))+(((Inputs!$B$12*(1+Inputs!$B$13/100))-(Inputs!$B$12*(1+Inputs!$B$13/100)))+0.25*(Inputs!$B$14-Inputs!$B$14))*(1+Inputs!$B$7/100))*(F832/100)</f>
        <v/>
      </c>
      <c r="K832">
        <f>J832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832)</f>
        <v/>
      </c>
      <c r="L832">
        <f>K832*(MIN(Inputs!$B$22+(F840-Calc!F22),(Inputs!$B$23+(IF(ArtifactsInput!$M$15,CHOOSE(ArtifactsInput!$N$15+1,25,30,35,40,45,50)/100*(Inputs!$B$11-Inputs!$B$11),0))))/100+(Inputs!$B$23+(IF(ArtifactsInput!$M$15,CHOOSE(ArtifactsInput!$N$15+1,25,30,35,40,45,50)/100*(Inputs!$B$11-Inputs!$B$11),0)))/100)/2</f>
        <v/>
      </c>
      <c r="M832">
        <f>L832*(1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2">
        <f>L832*(1-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832*(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2">
        <f>(1-Summary!$B$11)*S832+Summary!$B$11*U832</f>
        <v/>
      </c>
      <c r="P832">
        <f>IF(B859=0,0,O832/B859)</f>
        <v/>
      </c>
      <c r="Q832">
        <f>IFERROR(1/(IF(Inputs!$B$38="pvp",15,MAX(0.1,Skills!E14-IF(Skills!F14=TRUE,Inputs!$B$32,0)))*(1-IF(AND(ArtifactsInput!$M$27,Inputs!$B$4="Chapter Hunt"),CHOOSE(ArtifactsInput!$N$27+1,20,24,28,32,36,40),0)/100)),0)</f>
        <v/>
      </c>
      <c r="R832" t="n">
        <v>0</v>
      </c>
      <c r="S832">
        <f>IF(C832,((H832*B855)/(1+Skills!H14*H832*B855)*N832)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832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832*(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832*(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2">
        <f>IF(C832,((H832*B855)/(1+Skills!H14*H832*B855)*N832)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3">
      <c r="A833">
        <f>Skills!A15</f>
        <v/>
      </c>
      <c r="B833">
        <f>Skills!B15</f>
        <v/>
      </c>
      <c r="C833">
        <f>Inputs!$B$3&gt;=107</f>
        <v/>
      </c>
      <c r="D833">
        <f>IF(Skills!C15=1,60+Inputs!$B$25+Inputs!$B$29,IF(Skills!C15=2,90+Inputs!$B$26+Inputs!$B$29,IF(Skills!C15=3,120+(Inputs!$B$27+1)+Inputs!$B$29,MAX(0,(Inputs!$B$3-100)*3)+Inputs!$B$28+Inputs!$B$29)))</f>
        <v/>
      </c>
      <c r="E833">
        <f>INDEX(FactorTable!$B$2:$Y$301, MATCH(ROUND(MIN(300,MAX(1,D833)),0), FactorTable!$A$2:$A$301,0), Skills!M15+1)</f>
        <v/>
      </c>
      <c r="F833">
        <f>IF(Skills!N15=TRUE,(Skills!L15/10)*(E833/1000),Skills!L15/10)+Skills!O15</f>
        <v/>
      </c>
      <c r="G833">
        <f>Calc!G15</f>
        <v/>
      </c>
      <c r="H833">
        <f>Calc!H15</f>
        <v/>
      </c>
      <c r="I833">
        <f>IF(Skills!X15&lt;&gt;"",1+(Skills!X15/10)*(Z821/1000)/100,1)</f>
        <v/>
      </c>
      <c r="J833">
        <f>((Inputs!$B$6*(1+Inputs!$B$7/100))+(((Inputs!$B$12*(1+Inputs!$B$13/100))-(Inputs!$B$12*(1+Inputs!$B$13/100)))+0.25*(Inputs!$B$14-Inputs!$B$14))*(1+Inputs!$B$7/100))*(F833/100)</f>
        <v/>
      </c>
      <c r="K833">
        <f>J833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833)</f>
        <v/>
      </c>
      <c r="L833">
        <f>K833*(MIN(Inputs!$B$22+(F840-Calc!F22),(Inputs!$B$23+(IF(ArtifactsInput!$M$15,CHOOSE(ArtifactsInput!$N$15+1,25,30,35,40,45,50)/100*(Inputs!$B$11-Inputs!$B$11),0))))/100+(Inputs!$B$23+(IF(ArtifactsInput!$M$15,CHOOSE(ArtifactsInput!$N$15+1,25,30,35,40,45,50)/100*(Inputs!$B$11-Inputs!$B$11),0)))/100)/2</f>
        <v/>
      </c>
      <c r="M833">
        <f>L833*(1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3">
        <f>L833*(1-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833*(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3">
        <f>(1-Summary!$B$11)*S833+Summary!$B$11*U833</f>
        <v/>
      </c>
      <c r="P833">
        <f>IF(B859=0,0,O833/B859)</f>
        <v/>
      </c>
      <c r="Q833">
        <f>IFERROR(1/(IF(Inputs!$B$38="pvp",15,MAX(0.1,Skills!E15-IF(Skills!F15=TRUE,Inputs!$B$32,0)))*(1-IF(AND(ArtifactsInput!$M$27,Inputs!$B$4="Chapter Hunt"),CHOOSE(ArtifactsInput!$N$27+1,20,24,28,32,36,40),0)/100)),0)</f>
        <v/>
      </c>
      <c r="R833">
        <f>IF(AND(Inputs!$B$38&lt;&gt;"pvp",Inputs!$B$43&gt;0),IF(MAX(0,Inputs!$B$43-B856)&lt;=0,0,(INT(MAX(0,Inputs!$B$43-B856)/(IF(Inputs!$B$38="pvp",15,MAX(0.1,Skills!E15-IF(Skills!F15=TRUE,Inputs!$B$32,0)))*(1-IF(AND(ArtifactsInput!$M$27,Inputs!$B$4="Chapter Hunt"),CHOOSE(ArtifactsInput!$N$27+1,20,24,28,32,36,40),0)/100)))+1)),0)</f>
        <v/>
      </c>
      <c r="S833">
        <f>IF(C833,(H833*N833*IF(AND(Inputs!$B$38&lt;&gt;"pvp",Inputs!$B$43&gt;0),((Skills!G15*((R833-1)*IF(Skills!H15&gt;0,Skills!I15/Skills!H15,1)+IF(Skills!H15&gt;0,MIN(Skills!I15,MAX(0,MAX(0,Inputs!$B$43-B856)-((R833-1)*(IF(Inputs!$B$38="pvp",15,MAX(0.1,Skills!E15-IF(Skills!F15=TRUE,Inputs!$B$32,0)))*(1-IF(AND(ArtifactsInput!$M$27,Inputs!$B$4="Chapter Hunt"),CHOOSE(ArtifactsInput!$N$27+1,20,24,28,32,36,40),0)/100)))))/Skills!H15,1)))/Inputs!$B$43),G833*Q833)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833*(1-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833*(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833*(1-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833*(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3">
        <f>IF(C833,(H833*N833*IF(AND(Inputs!$B$38&lt;&gt;"pvp",Inputs!$B$43&gt;0),((Skills!G15*((R833-1)*IF(Skills!H15&gt;0,Skills!I15/Skills!H15,1)+IF(Skills!H15&gt;0,MIN(Skills!I15,MAX(0,MAX(0,Inputs!$B$43-B856)-((R833-1)*(IF(Inputs!$B$38="pvp",15,MAX(0.1,Skills!E15-IF(Skills!F15=TRUE,Inputs!$B$32,0)))*(1-IF(AND(ArtifactsInput!$M$27,Inputs!$B$4="Chapter Hunt"),CHOOSE(ArtifactsInput!$N$27+1,20,24,28,32,36,40),0)/100)))))/Skills!H15,1)))/Inputs!$B$43),G833*Q833)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4">
      <c r="A834">
        <f>Skills!A16</f>
        <v/>
      </c>
      <c r="B834">
        <f>Skills!B16</f>
        <v/>
      </c>
      <c r="C834">
        <f>Inputs!$B$3&gt;=107</f>
        <v/>
      </c>
      <c r="D834">
        <f>IF(Skills!C16=1,60+Inputs!$B$25+Inputs!$B$29,IF(Skills!C16=2,90+Inputs!$B$26+Inputs!$B$29,IF(Skills!C16=3,120+(Inputs!$B$27+1)+Inputs!$B$29,MAX(0,(Inputs!$B$3-100)*3)+Inputs!$B$28+Inputs!$B$29)))</f>
        <v/>
      </c>
      <c r="E834">
        <f>INDEX(FactorTable!$B$2:$Y$301, MATCH(ROUND(MIN(300,MAX(1,D834)),0), FactorTable!$A$2:$A$301,0), Skills!M16+1)</f>
        <v/>
      </c>
      <c r="F834">
        <f>IF(Skills!N16=TRUE,(Skills!L16/10)*(E834/1000),Skills!L16/10)+Skills!O16</f>
        <v/>
      </c>
      <c r="G834">
        <f>Calc!G16</f>
        <v/>
      </c>
      <c r="H834">
        <f>Calc!H16</f>
        <v/>
      </c>
      <c r="I834">
        <f>IF(Skills!X16&lt;&gt;"",1+(Skills!X16/10)*(Z821/1000)/100,1)</f>
        <v/>
      </c>
      <c r="J834">
        <f>((Inputs!$B$6*(1+Inputs!$B$7/100))+(((Inputs!$B$12*(1+Inputs!$B$13/100))-(Inputs!$B$12*(1+Inputs!$B$13/100)))+0.25*(Inputs!$B$14-Inputs!$B$14))*(1+Inputs!$B$7/100))*(F834/100)</f>
        <v/>
      </c>
      <c r="K834">
        <f>J834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834)</f>
        <v/>
      </c>
      <c r="L834">
        <f>K834*(MIN(Inputs!$B$22+(F840-Calc!F22),(Inputs!$B$23+(IF(ArtifactsInput!$M$15,CHOOSE(ArtifactsInput!$N$15+1,25,30,35,40,45,50)/100*(Inputs!$B$11-Inputs!$B$11),0))))/100+(Inputs!$B$23+(IF(ArtifactsInput!$M$15,CHOOSE(ArtifactsInput!$N$15+1,25,30,35,40,45,50)/100*(Inputs!$B$11-Inputs!$B$11),0)))/100)/2</f>
        <v/>
      </c>
      <c r="M834">
        <f>L834*(1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4">
        <f>L834*(1-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834*(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4">
        <f>(1-Summary!$B$11)*S834+Summary!$B$11*U834</f>
        <v/>
      </c>
      <c r="P834">
        <f>IF(B859=0,0,O834/B859)</f>
        <v/>
      </c>
      <c r="Q834">
        <f>IFERROR(1/(IF(Inputs!$B$38="pvp",15,MAX(0.1,Skills!E16-IF(Skills!F16=TRUE,Inputs!$B$32,0)))*(1-IF(AND(ArtifactsInput!$M$27,Inputs!$B$4="Chapter Hunt"),CHOOSE(ArtifactsInput!$N$27+1,20,24,28,32,36,40),0)/100)),0)</f>
        <v/>
      </c>
      <c r="R834">
        <f>IF(AND(Inputs!$B$38&lt;&gt;"pvp",Inputs!$B$43&gt;0),IF(MAX(0,Inputs!$B$43-B856)&lt;=0,0,(INT(MAX(0,Inputs!$B$43-B856)/(IF(Inputs!$B$38="pvp",15,MAX(0.1,Skills!E16-IF(Skills!F16=TRUE,Inputs!$B$32,0)))*(1-IF(AND(ArtifactsInput!$M$27,Inputs!$B$4="Chapter Hunt"),CHOOSE(ArtifactsInput!$N$27+1,20,24,28,32,36,40),0)/100)))+1)),0)</f>
        <v/>
      </c>
      <c r="S834">
        <f>IF(C834,(H834*N834*IF(AND(Inputs!$B$38&lt;&gt;"pvp",Inputs!$B$43&gt;0),((Skills!G16*((R834-1)*IF(Skills!H16&gt;0,Skills!I16/Skills!H16,1)+IF(Skills!H16&gt;0,MIN(Skills!I16,MAX(0,MAX(0,Inputs!$B$43-B856)-((R834-1)*(IF(Inputs!$B$38="pvp",15,MAX(0.1,Skills!E16-IF(Skills!F16=TRUE,Inputs!$B$32,0)))*(1-IF(AND(ArtifactsInput!$M$27,Inputs!$B$4="Chapter Hunt"),CHOOSE(ArtifactsInput!$N$27+1,20,24,28,32,36,40),0)/100)))))/Skills!H16,1)))/Inputs!$B$43),G834*Q834)*(1+IF(Inputs!$B$3&gt;=126,0.05*(B854+Q831+(H832*B855)/(1+Skills!H14*H832*B855)+Q842)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834*(1-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834*(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834*(1-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834*(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4">
        <f>IF(C834,(H834*N834*IF(AND(Inputs!$B$38&lt;&gt;"pvp",Inputs!$B$43&gt;0),((Skills!G16*((R834-1)*IF(Skills!H16&gt;0,Skills!I16/Skills!H16,1)+IF(Skills!H16&gt;0,MIN(Skills!I16,MAX(0,MAX(0,Inputs!$B$43-B856)-((R834-1)*(IF(Inputs!$B$38="pvp",15,MAX(0.1,Skills!E16-IF(Skills!F16=TRUE,Inputs!$B$32,0)))*(1-IF(AND(ArtifactsInput!$M$27,Inputs!$B$4="Chapter Hunt"),CHOOSE(ArtifactsInput!$N$27+1,20,24,28,32,36,40),0)/100)))))/Skills!H16,1)))/Inputs!$B$43),G834*Q834)*(1+IF(Inputs!$B$3&gt;=126,0.05*(B854+Q831+(H832*B855)/(1+Skills!H14*H832*B855)+Q842)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5">
      <c r="A835">
        <f>Skills!A17</f>
        <v/>
      </c>
      <c r="B835">
        <f>Skills!B17</f>
        <v/>
      </c>
      <c r="C835">
        <f>TRUE</f>
        <v/>
      </c>
      <c r="D835">
        <f>IF(Skills!C17=1,60+Inputs!$B$25+Inputs!$B$29,IF(Skills!C17=2,90+Inputs!$B$26+Inputs!$B$29,IF(Skills!C17=3,120+(Inputs!$B$27+1)+Inputs!$B$29,MAX(0,(Inputs!$B$3-100)*3)+Inputs!$B$28+Inputs!$B$29)))</f>
        <v/>
      </c>
      <c r="E835">
        <f>INDEX(FactorTable!$B$2:$Y$301, MATCH(ROUND(MIN(300,MAX(1,D835)),0), FactorTable!$A$2:$A$301,0), Skills!M17+1)</f>
        <v/>
      </c>
      <c r="F835">
        <f>IF(Skills!N17=TRUE,(Skills!L17/10)*(E835/1000),Skills!L17/10)+Skills!O17</f>
        <v/>
      </c>
      <c r="G835">
        <f>Calc!G17</f>
        <v/>
      </c>
      <c r="H835">
        <f>Calc!H17</f>
        <v/>
      </c>
      <c r="I835">
        <f>IF(Skills!X17&lt;&gt;"",1+(Skills!X17/10)*(Z821/1000)/100,1)</f>
        <v/>
      </c>
      <c r="J835" t="inlineStr"/>
      <c r="K835" t="inlineStr"/>
      <c r="L835" t="inlineStr"/>
      <c r="M835" t="inlineStr"/>
      <c r="N835" t="inlineStr"/>
      <c r="O835">
        <f>(1-Summary!$B$11)*S835+Summary!$B$11*U835</f>
        <v/>
      </c>
      <c r="P835">
        <f>IF(B859=0,0,O835/B859)</f>
        <v/>
      </c>
      <c r="Q835">
        <f>IFERROR(1/(IF(Inputs!$B$38="pvp",15,MAX(0.1,Skills!E17-IF(Skills!F17=TRUE,Inputs!$B$32,0)))*(1-IF(AND(ArtifactsInput!$M$27,Inputs!$B$4="Chapter Hunt"),CHOOSE(ArtifactsInput!$N$27+1,20,24,28,32,36,40),0)/100)),0)</f>
        <v/>
      </c>
      <c r="R835">
        <f>IF(AND(Inputs!$B$38&lt;&gt;"pvp",Inputs!$B$43&gt;0),IF(Inputs!$B$43&lt;=0,0,(INT(Inputs!$B$43/(IF(Inputs!$B$38="pvp",15,MAX(0.1,Skills!E17-IF(Skills!F17=TRUE,Inputs!$B$32,0)))*(1-IF(AND(ArtifactsInput!$M$27,Inputs!$B$4="Chapter Hunt"),CHOOSE(ArtifactsInput!$N$27+1,20,24,28,32,36,40),0)/100)))+1)),0)</f>
        <v/>
      </c>
      <c r="S835" t="n">
        <v>0</v>
      </c>
      <c r="U835" t="n">
        <v>0</v>
      </c>
    </row>
    <row r="836">
      <c r="A836">
        <f>Skills!A18</f>
        <v/>
      </c>
      <c r="B836">
        <f>Skills!B18</f>
        <v/>
      </c>
      <c r="C836">
        <f>TRUE</f>
        <v/>
      </c>
      <c r="D836">
        <f>IF(Skills!C18=1,60+Inputs!$B$25+Inputs!$B$29,IF(Skills!C18=2,90+Inputs!$B$26+Inputs!$B$29,IF(Skills!C18=3,120+(Inputs!$B$27+1)+Inputs!$B$29,MAX(0,(Inputs!$B$3-100)*3)+Inputs!$B$28+Inputs!$B$29)))</f>
        <v/>
      </c>
      <c r="E836">
        <f>INDEX(FactorTable!$B$2:$Y$301, MATCH(ROUND(MIN(300,MAX(1,D836)),0), FactorTable!$A$2:$A$301,0), Skills!M18+1)</f>
        <v/>
      </c>
      <c r="F836">
        <f>IF(Skills!N18=TRUE,(Skills!L18/10)*(E836/1000),Skills!L18/10)+Skills!O18</f>
        <v/>
      </c>
      <c r="G836">
        <f>Calc!G18</f>
        <v/>
      </c>
      <c r="H836">
        <f>Calc!H18</f>
        <v/>
      </c>
      <c r="I836">
        <f>IF(Skills!X18&lt;&gt;"",1+(Skills!X18/10)*(Z821/1000)/100,1)</f>
        <v/>
      </c>
      <c r="J836" t="inlineStr"/>
      <c r="K836" t="inlineStr"/>
      <c r="L836" t="inlineStr"/>
      <c r="M836" t="inlineStr"/>
      <c r="N836" t="inlineStr"/>
      <c r="O836">
        <f>(1-Summary!$B$11)*S836+Summary!$B$11*U836</f>
        <v/>
      </c>
      <c r="P836">
        <f>IF(B859=0,0,O836/B859)</f>
        <v/>
      </c>
      <c r="Q836">
        <f>IFERROR(1/(IF(Inputs!$B$38="pvp",15,MAX(0.1,Skills!E18-IF(Skills!F18=TRUE,Inputs!$B$32,0)))*(1-IF(AND(ArtifactsInput!$M$27,Inputs!$B$4="Chapter Hunt"),CHOOSE(ArtifactsInput!$N$27+1,20,24,28,32,36,40),0)/100)),0)</f>
        <v/>
      </c>
      <c r="R836">
        <f>IF(AND(Inputs!$B$38&lt;&gt;"pvp",Inputs!$B$43&gt;0),IF(Inputs!$B$43&lt;=0,0,(INT(Inputs!$B$43/(IF(Inputs!$B$38="pvp",15,MAX(0.1,Skills!E18-IF(Skills!F18=TRUE,Inputs!$B$32,0)))*(1-IF(AND(ArtifactsInput!$M$27,Inputs!$B$4="Chapter Hunt"),CHOOSE(ArtifactsInput!$N$27+1,20,24,28,32,36,40),0)/100)))+1)),0)</f>
        <v/>
      </c>
      <c r="S836" t="n">
        <v>0</v>
      </c>
      <c r="U836" t="n">
        <v>0</v>
      </c>
    </row>
    <row r="837">
      <c r="A837">
        <f>Skills!A19</f>
        <v/>
      </c>
      <c r="B837">
        <f>Skills!B19</f>
        <v/>
      </c>
      <c r="C837">
        <f>Inputs!$B$3&gt;=110</f>
        <v/>
      </c>
      <c r="D837">
        <f>IF(Skills!C19=1,60+Inputs!$B$25+Inputs!$B$29,IF(Skills!C19=2,90+Inputs!$B$26+Inputs!$B$29,IF(Skills!C19=3,120+(Inputs!$B$27+1)+Inputs!$B$29,MAX(0,(Inputs!$B$3-100)*3)+Inputs!$B$28+Inputs!$B$29)))</f>
        <v/>
      </c>
      <c r="E837">
        <f>INDEX(FactorTable!$B$2:$Y$301, MATCH(ROUND(MIN(300,MAX(1,D837)),0), FactorTable!$A$2:$A$301,0), Skills!M19+1)</f>
        <v/>
      </c>
      <c r="F837">
        <f>IF(Skills!N19=TRUE,(Skills!L19/10)*(E837/1000),Skills!L19/10)+Skills!O19</f>
        <v/>
      </c>
      <c r="G837">
        <f>Calc!G19</f>
        <v/>
      </c>
      <c r="H837">
        <f>Calc!H19</f>
        <v/>
      </c>
      <c r="I837">
        <f>IF(Skills!X19&lt;&gt;"",1+(Skills!X19/10)*(Z821/1000)/100,1)</f>
        <v/>
      </c>
      <c r="J837" t="inlineStr"/>
      <c r="K837" t="inlineStr"/>
      <c r="L837" t="inlineStr"/>
      <c r="M837" t="inlineStr"/>
      <c r="N837" t="inlineStr"/>
      <c r="O837">
        <f>(1-Summary!$B$11)*S837+Summary!$B$11*U837</f>
        <v/>
      </c>
      <c r="P837">
        <f>IF(B859=0,0,O837/B859)</f>
        <v/>
      </c>
      <c r="Q837">
        <f>IFERROR(1/(IF(Inputs!$B$38="pvp",15,MAX(0.1,Skills!E19-IF(Skills!F19=TRUE,Inputs!$B$32,0)))*(1-IF(AND(ArtifactsInput!$M$27,Inputs!$B$4="Chapter Hunt"),CHOOSE(ArtifactsInput!$N$27+1,20,24,28,32,36,40),0)/100)),0)</f>
        <v/>
      </c>
      <c r="R837">
        <f>IF(AND(Inputs!$B$38&lt;&gt;"pvp",Inputs!$B$43&gt;0),IF(Inputs!$B$43&lt;=0,0,(INT(Inputs!$B$43/(IF(Inputs!$B$38="pvp",15,MAX(0.1,Skills!E19-IF(Skills!F19=TRUE,Inputs!$B$32,0)))*(1-IF(AND(ArtifactsInput!$M$27,Inputs!$B$4="Chapter Hunt"),CHOOSE(ArtifactsInput!$N$27+1,20,24,28,32,36,40),0)/100)))+1)),0)</f>
        <v/>
      </c>
      <c r="S837" t="n">
        <v>0</v>
      </c>
      <c r="U837" t="n">
        <v>0</v>
      </c>
    </row>
    <row r="838">
      <c r="A838">
        <f>Skills!A20</f>
        <v/>
      </c>
      <c r="B838">
        <f>Skills!B20</f>
        <v/>
      </c>
      <c r="C838">
        <f>TRUE</f>
        <v/>
      </c>
      <c r="D838">
        <f>IF(Skills!C20=1,60+Inputs!$B$25+Inputs!$B$29,IF(Skills!C20=2,90+Inputs!$B$26+Inputs!$B$29,IF(Skills!C20=3,120+(Inputs!$B$27+1)+Inputs!$B$29,MAX(0,(Inputs!$B$3-100)*3)+Inputs!$B$28+Inputs!$B$29)))</f>
        <v/>
      </c>
      <c r="E838">
        <f>INDEX(FactorTable!$B$2:$Y$301, MATCH(ROUND(MIN(300,MAX(1,D838)),0), FactorTable!$A$2:$A$301,0), Skills!M20+1)</f>
        <v/>
      </c>
      <c r="F838">
        <f>IF(Skills!N20=TRUE,(Skills!L20/10)*(E838/1000),Skills!L20/10)+Skills!O20</f>
        <v/>
      </c>
      <c r="G838">
        <f>Calc!G20</f>
        <v/>
      </c>
      <c r="H838">
        <f>Calc!H20</f>
        <v/>
      </c>
      <c r="I838">
        <f>IF(Skills!X20&lt;&gt;"",1+(Skills!X20/10)*(Z821/1000)/100,1)</f>
        <v/>
      </c>
      <c r="J838" t="inlineStr"/>
      <c r="K838" t="inlineStr"/>
      <c r="L838" t="inlineStr"/>
      <c r="M838" t="inlineStr"/>
      <c r="N838" t="inlineStr"/>
      <c r="O838">
        <f>(1-Summary!$B$11)*S838+Summary!$B$11*U838</f>
        <v/>
      </c>
      <c r="P838">
        <f>IF(B859=0,0,O838/B859)</f>
        <v/>
      </c>
      <c r="Q838">
        <f>IFERROR(1/(IF(Inputs!$B$38="pvp",15,MAX(0.1,Skills!E20-IF(Skills!F20=TRUE,Inputs!$B$32,0)))*(1-IF(AND(ArtifactsInput!$M$27,Inputs!$B$4="Chapter Hunt"),CHOOSE(ArtifactsInput!$N$27+1,20,24,28,32,36,40),0)/100)),0)</f>
        <v/>
      </c>
      <c r="R838" t="n">
        <v>0</v>
      </c>
      <c r="S838" t="n">
        <v>0</v>
      </c>
      <c r="U838" t="n">
        <v>0</v>
      </c>
    </row>
    <row r="839">
      <c r="A839">
        <f>Skills!A21</f>
        <v/>
      </c>
      <c r="B839">
        <f>Skills!B21</f>
        <v/>
      </c>
      <c r="C839">
        <f>TRUE</f>
        <v/>
      </c>
      <c r="D839">
        <f>IF(Skills!C21=1,60+Inputs!$B$25+Inputs!$B$29,IF(Skills!C21=2,90+Inputs!$B$26+Inputs!$B$29,IF(Skills!C21=3,120+(Inputs!$B$27+1)+Inputs!$B$29,MAX(0,(Inputs!$B$3-100)*3)+Inputs!$B$28+Inputs!$B$29)))</f>
        <v/>
      </c>
      <c r="E839">
        <f>INDEX(FactorTable!$B$2:$Y$301, MATCH(ROUND(MIN(300,MAX(1,D839)),0), FactorTable!$A$2:$A$301,0), Skills!M21+1)</f>
        <v/>
      </c>
      <c r="F839">
        <f>IF(Skills!N21=TRUE,(Skills!L21/10)*(E839/1000),Skills!L21/10)+Skills!O21</f>
        <v/>
      </c>
      <c r="G839">
        <f>Calc!G21</f>
        <v/>
      </c>
      <c r="H839">
        <f>Calc!H21</f>
        <v/>
      </c>
      <c r="I839">
        <f>IF(Skills!X21&lt;&gt;"",1+(Skills!X21/10)*(Z821/1000)/100,1)</f>
        <v/>
      </c>
      <c r="J839" t="inlineStr"/>
      <c r="K839" t="inlineStr"/>
      <c r="L839" t="inlineStr"/>
      <c r="M839" t="inlineStr"/>
      <c r="N839" t="inlineStr"/>
      <c r="O839">
        <f>(1-Summary!$B$11)*S839+Summary!$B$11*U839</f>
        <v/>
      </c>
      <c r="P839">
        <f>IF(B859=0,0,O839/B859)</f>
        <v/>
      </c>
      <c r="Q839">
        <f>IFERROR(1/(IF(Inputs!$B$38="pvp",15,MAX(0.1,Skills!E21-IF(Skills!F21=TRUE,Inputs!$B$32,0)))*(1-IF(AND(ArtifactsInput!$M$27,Inputs!$B$4="Chapter Hunt"),CHOOSE(ArtifactsInput!$N$27+1,20,24,28,32,36,40),0)/100)),0)</f>
        <v/>
      </c>
      <c r="R839" t="n">
        <v>0</v>
      </c>
      <c r="S839" t="n">
        <v>0</v>
      </c>
      <c r="U839" t="n">
        <v>0</v>
      </c>
    </row>
    <row r="840">
      <c r="A840">
        <f>Skills!A22</f>
        <v/>
      </c>
      <c r="B840">
        <f>Skills!B22</f>
        <v/>
      </c>
      <c r="C840">
        <f>TRUE</f>
        <v/>
      </c>
      <c r="D840">
        <f>IF(Skills!C22=1,60+Inputs!$B$25+Inputs!$B$29,IF(Skills!C22=2,90+Inputs!$B$26+Inputs!$B$29,IF(Skills!C22=3,120+(Inputs!$B$27+1)+Inputs!$B$29,MAX(0,(Inputs!$B$3-100)*3)+Inputs!$B$28+Inputs!$B$29)))</f>
        <v/>
      </c>
      <c r="E840">
        <f>INDEX(FactorTable!$B$2:$Y$301, MATCH(ROUND(MIN(300,MAX(1,D840)),0), FactorTable!$A$2:$A$301,0), Skills!M22+1)</f>
        <v/>
      </c>
      <c r="F840">
        <f>IF(Skills!N22=TRUE,(Skills!L22/10)*(E840/1000),Skills!L22/10)+Skills!O22</f>
        <v/>
      </c>
      <c r="G840">
        <f>Calc!G22</f>
        <v/>
      </c>
      <c r="H840">
        <f>Calc!H22</f>
        <v/>
      </c>
      <c r="I840">
        <f>IF(Skills!X22&lt;&gt;"",1+(Skills!X22/10)*(Z821/1000)/100,1)</f>
        <v/>
      </c>
      <c r="J840" t="inlineStr"/>
      <c r="K840" t="inlineStr"/>
      <c r="L840" t="inlineStr"/>
      <c r="M840" t="inlineStr"/>
      <c r="N840" t="inlineStr"/>
      <c r="O840">
        <f>(1-Summary!$B$11)*S840+Summary!$B$11*U840</f>
        <v/>
      </c>
      <c r="P840">
        <f>IF(B859=0,0,O840/B859)</f>
        <v/>
      </c>
      <c r="Q840">
        <f>IFERROR(1/(IF(Inputs!$B$38="pvp",15,MAX(0.1,Skills!E22-IF(Skills!F22=TRUE,Inputs!$B$32,0)))*(1-IF(AND(ArtifactsInput!$M$27,Inputs!$B$4="Chapter Hunt"),CHOOSE(ArtifactsInput!$N$27+1,20,24,28,32,36,40),0)/100)),0)</f>
        <v/>
      </c>
      <c r="R840" t="n">
        <v>0</v>
      </c>
      <c r="S840" t="n">
        <v>0</v>
      </c>
      <c r="U840" t="n">
        <v>0</v>
      </c>
    </row>
    <row r="841">
      <c r="A841">
        <f>Skills!A23</f>
        <v/>
      </c>
      <c r="B841">
        <f>Skills!B23</f>
        <v/>
      </c>
      <c r="C841">
        <f>TRUE</f>
        <v/>
      </c>
      <c r="D841">
        <f>IF(Skills!C23=1,60+Inputs!$B$25+Inputs!$B$29,IF(Skills!C23=2,90+Inputs!$B$26+Inputs!$B$29,IF(Skills!C23=3,120+(Inputs!$B$27+1)+Inputs!$B$29,MAX(0,(Inputs!$B$3-100)*3)+Inputs!$B$28+Inputs!$B$29)))</f>
        <v/>
      </c>
      <c r="E841">
        <f>INDEX(FactorTable!$B$2:$Y$301, MATCH(ROUND(MIN(300,MAX(1,D841)),0), FactorTable!$A$2:$A$301,0), Skills!M23+1)</f>
        <v/>
      </c>
      <c r="F841">
        <f>IF(Skills!N23=TRUE,(Skills!L23/10)*(E841/1000),Skills!L23/10)+Skills!O23</f>
        <v/>
      </c>
      <c r="G841">
        <f>Calc!G23</f>
        <v/>
      </c>
      <c r="H841">
        <f>Calc!H23</f>
        <v/>
      </c>
      <c r="I841">
        <f>IF(Skills!X23&lt;&gt;"",1+(Skills!X23/10)*(Z821/1000)/100,1)</f>
        <v/>
      </c>
      <c r="J841" t="inlineStr"/>
      <c r="K841" t="inlineStr"/>
      <c r="L841" t="inlineStr"/>
      <c r="M841" t="inlineStr"/>
      <c r="N841" t="inlineStr"/>
      <c r="O841">
        <f>(1-Summary!$B$11)*S841+Summary!$B$11*U841</f>
        <v/>
      </c>
      <c r="P841">
        <f>IF(B859=0,0,O841/B859)</f>
        <v/>
      </c>
      <c r="Q841">
        <f>IFERROR(1/(IF(Inputs!$B$38="pvp",15,MAX(0.1,Skills!E23-IF(Skills!F23=TRUE,Inputs!$B$32,0)))*(1-IF(AND(ArtifactsInput!$M$27,Inputs!$B$4="Chapter Hunt"),CHOOSE(ArtifactsInput!$N$27+1,20,24,28,32,36,40),0)/100)),0)</f>
        <v/>
      </c>
      <c r="R841" t="n">
        <v>0</v>
      </c>
      <c r="S841" t="n">
        <v>0</v>
      </c>
      <c r="U841" t="n">
        <v>0</v>
      </c>
    </row>
    <row r="842">
      <c r="A842">
        <f>Skills!A24</f>
        <v/>
      </c>
      <c r="B842">
        <f>Skills!B24</f>
        <v/>
      </c>
      <c r="C842">
        <f>Inputs!$B$3&gt;=115</f>
        <v/>
      </c>
      <c r="D842">
        <f>IF(Skills!C24=1,60+Inputs!$B$25+Inputs!$B$29,IF(Skills!C24=2,90+Inputs!$B$26+Inputs!$B$29,IF(Skills!C24=3,120+(Inputs!$B$27+1)+Inputs!$B$29,MAX(0,(Inputs!$B$3-100)*3)+Inputs!$B$28+Inputs!$B$29)))</f>
        <v/>
      </c>
      <c r="E842">
        <f>INDEX(FactorTable!$B$2:$Y$301, MATCH(ROUND(MIN(300,MAX(1,D842)),0), FactorTable!$A$2:$A$301,0), Skills!M24+1)</f>
        <v/>
      </c>
      <c r="F842">
        <f>IF(Skills!N24=TRUE,(Skills!L24/10)*(E842/1000),Skills!L24/10)+Skills!O24</f>
        <v/>
      </c>
      <c r="G842">
        <f>Calc!G24</f>
        <v/>
      </c>
      <c r="H842">
        <f>Calc!H24</f>
        <v/>
      </c>
      <c r="I842">
        <f>IF(Skills!X24&lt;&gt;"",1+(Skills!X24/10)*(Z821/1000)/100,1)</f>
        <v/>
      </c>
      <c r="J842">
        <f>((Inputs!$B$6*(1+Inputs!$B$7/100))+(((Inputs!$B$12*(1+Inputs!$B$13/100))-(Inputs!$B$12*(1+Inputs!$B$13/100)))+0.25*(Inputs!$B$14-Inputs!$B$14))*(1+Inputs!$B$7/100))*(F842/100)</f>
        <v/>
      </c>
      <c r="K842">
        <f>J842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842)</f>
        <v/>
      </c>
      <c r="L842">
        <f>K842*(MIN(Inputs!$B$22+(F840-Calc!F22),(Inputs!$B$23+(IF(ArtifactsInput!$M$15,CHOOSE(ArtifactsInput!$N$15+1,25,30,35,40,45,50)/100*(Inputs!$B$11-Inputs!$B$11),0))))/100+(Inputs!$B$23+(IF(ArtifactsInput!$M$15,CHOOSE(ArtifactsInput!$N$15+1,25,30,35,40,45,50)/100*(Inputs!$B$11-Inputs!$B$11),0)))/100)/2</f>
        <v/>
      </c>
      <c r="M842">
        <f>L842*(1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2">
        <f>L842*(1-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842*(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2">
        <f>(1-Summary!$B$11)*S842+Summary!$B$11*U842</f>
        <v/>
      </c>
      <c r="P842">
        <f>IF(B859=0,0,O842/B859)</f>
        <v/>
      </c>
      <c r="Q842">
        <f>IFERROR(1/(IF(Inputs!$B$38="pvp",15,MAX(0.1,Skills!E24-IF(Skills!F24=TRUE,Inputs!$B$32,0)))*(1-IF(AND(ArtifactsInput!$M$27,Inputs!$B$4="Chapter Hunt"),CHOOSE(ArtifactsInput!$N$27+1,20,24,28,32,36,40),0)/100)),0)</f>
        <v/>
      </c>
      <c r="R842">
        <f>IF(AND(Inputs!$B$38&lt;&gt;"pvp",Inputs!$B$43&gt;0),IF(MAX(0,Inputs!$B$43-B856)&lt;=0,0,(INT(MAX(0,Inputs!$B$43-B856)/(IF(Inputs!$B$38="pvp",15,MAX(0.1,Skills!E24-IF(Skills!F24=TRUE,Inputs!$B$32,0)))*(1-IF(AND(ArtifactsInput!$M$27,Inputs!$B$4="Chapter Hunt"),CHOOSE(ArtifactsInput!$N$27+1,20,24,28,32,36,40),0)/100)))+1)),0)</f>
        <v/>
      </c>
      <c r="S842">
        <f>IF(C842,(H842*N842*IF(AND(Inputs!$B$38&lt;&gt;"pvp",Inputs!$B$43&gt;0),((Skills!G24*((R842-1)*IF(Skills!H24&gt;0,Skills!I24/Skills!H24,1)+IF(Skills!H24&gt;0,MIN(Skills!I24,MAX(0,MAX(0,Inputs!$B$43-B856)-((R842-1)*(IF(Inputs!$B$38="pvp",15,MAX(0.1,Skills!E24-IF(Skills!F24=TRUE,Inputs!$B$32,0)))*(1-IF(AND(ArtifactsInput!$M$27,Inputs!$B$4="Chapter Hunt"),CHOOSE(ArtifactsInput!$N$27+1,20,24,28,32,36,40),0)/100)))))/Skills!H24,1)))/Inputs!$B$43),G842*Q842)*(1+IF(Inputs!$B$3&gt;=130,0.2*(Skills!I16/Skills!E15+IF(Inputs!$B$3&gt;=126,0.05*(B854+Q831+(H832*B855)/(1+Skills!H14*H832*B855)+Q842)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842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842*(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842*(1-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842*(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42">
        <f>IF(C842,(H842*N842*IF(AND(Inputs!$B$38&lt;&gt;"pvp",Inputs!$B$43&gt;0),((Skills!G24*((R842-1)*IF(Skills!H24&gt;0,Skills!I24/Skills!H24,1)+IF(Skills!H24&gt;0,MIN(Skills!I24,MAX(0,MAX(0,Inputs!$B$43-B856)-((R842-1)*(IF(Inputs!$B$38="pvp",15,MAX(0.1,Skills!E24-IF(Skills!F24=TRUE,Inputs!$B$32,0)))*(1-IF(AND(ArtifactsInput!$M$27,Inputs!$B$4="Chapter Hunt"),CHOOSE(ArtifactsInput!$N$27+1,20,24,28,32,36,40),0)/100)))))/Skills!H24,1)))/Inputs!$B$43),G842*Q842)*(1+IF(Inputs!$B$3&gt;=130,0.2*(Skills!I16/Skills!E15+IF(Inputs!$B$3&gt;=126,0.05*(B854+Q831+(H832*B855)/(1+Skills!H14*H832*B855)+Q842)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3">
      <c r="A843">
        <f>Skills!A25</f>
        <v/>
      </c>
      <c r="B843">
        <f>Skills!B25</f>
        <v/>
      </c>
      <c r="C843">
        <f>Inputs!$B$3&gt;=117</f>
        <v/>
      </c>
      <c r="D843">
        <f>IF(Skills!C25=1,60+Inputs!$B$25+Inputs!$B$29,IF(Skills!C25=2,90+Inputs!$B$26+Inputs!$B$29,IF(Skills!C25=3,120+(Inputs!$B$27+1)+Inputs!$B$29,MAX(0,(Inputs!$B$3-100)*3)+Inputs!$B$28+Inputs!$B$29)))</f>
        <v/>
      </c>
      <c r="E843">
        <f>INDEX(FactorTable!$B$2:$Y$301, MATCH(ROUND(MIN(300,MAX(1,D843)),0), FactorTable!$A$2:$A$301,0), Skills!M25+1)</f>
        <v/>
      </c>
      <c r="F843">
        <f>IF(Skills!N25=TRUE,(Skills!L25/10)*(E843/1000),Skills!L25/10)+Skills!O25</f>
        <v/>
      </c>
      <c r="G843">
        <f>Calc!G25</f>
        <v/>
      </c>
      <c r="H843">
        <f>Calc!H25</f>
        <v/>
      </c>
      <c r="I843">
        <f>IF(Skills!X25&lt;&gt;"",1+(Skills!X25/10)*(Z821/1000)/100,1)</f>
        <v/>
      </c>
      <c r="J843" t="inlineStr"/>
      <c r="K843" t="inlineStr"/>
      <c r="L843" t="inlineStr"/>
      <c r="M843" t="inlineStr"/>
      <c r="N843" t="inlineStr"/>
      <c r="O843">
        <f>(1-Summary!$B$11)*S843+Summary!$B$11*U843</f>
        <v/>
      </c>
      <c r="P843">
        <f>IF(B859=0,0,O843/B859)</f>
        <v/>
      </c>
      <c r="Q843">
        <f>IFERROR(1/(IF(Inputs!$B$38="pvp",15,MAX(0.1,Skills!E25-IF(Skills!F25=TRUE,Inputs!$B$32,0)))*(1-IF(AND(ArtifactsInput!$M$27,Inputs!$B$4="Chapter Hunt"),CHOOSE(ArtifactsInput!$N$27+1,20,24,28,32,36,40),0)/100)),0)</f>
        <v/>
      </c>
      <c r="R843" t="n">
        <v>0</v>
      </c>
      <c r="S843" t="n">
        <v>0</v>
      </c>
      <c r="U843" t="n">
        <v>0</v>
      </c>
    </row>
    <row r="844">
      <c r="A844">
        <f>Skills!A26</f>
        <v/>
      </c>
      <c r="B844">
        <f>Skills!B26</f>
        <v/>
      </c>
      <c r="C844">
        <f>Inputs!$B$3&gt;=120</f>
        <v/>
      </c>
      <c r="D844">
        <f>IF(Skills!C26=1,60+Inputs!$B$25+Inputs!$B$29,IF(Skills!C26=2,90+Inputs!$B$26+Inputs!$B$29,IF(Skills!C26=3,120+(Inputs!$B$27+1)+Inputs!$B$29,MAX(0,(Inputs!$B$3-100)*3)+Inputs!$B$28+Inputs!$B$29)))</f>
        <v/>
      </c>
      <c r="E844">
        <f>INDEX(FactorTable!$B$2:$Y$301, MATCH(ROUND(MIN(300,MAX(1,D844)),0), FactorTable!$A$2:$A$301,0), Skills!M26+1)</f>
        <v/>
      </c>
      <c r="F844">
        <f>IF(Skills!N26=TRUE,(Skills!L26/10)*(E844/1000),Skills!L26/10)+Skills!O26</f>
        <v/>
      </c>
      <c r="G844">
        <f>Calc!G26</f>
        <v/>
      </c>
      <c r="H844">
        <f>Calc!H26</f>
        <v/>
      </c>
      <c r="I844">
        <f>IF(Skills!X26&lt;&gt;"",1+(Skills!X26/10)*(Z821/1000)/100,1)</f>
        <v/>
      </c>
      <c r="J844" t="inlineStr"/>
      <c r="K844" t="inlineStr"/>
      <c r="L844" t="inlineStr"/>
      <c r="M844" t="inlineStr"/>
      <c r="N844" t="inlineStr"/>
      <c r="O844">
        <f>(1-Summary!$B$11)*S844+Summary!$B$11*U844</f>
        <v/>
      </c>
      <c r="P844">
        <f>IF(B859=0,0,O844/B859)</f>
        <v/>
      </c>
      <c r="Q844">
        <f>IFERROR(1/(IF(Inputs!$B$38="pvp",15,MAX(0.1,Skills!E26-IF(Skills!F26=TRUE,Inputs!$B$32,0)))*(1-IF(AND(ArtifactsInput!$M$27,Inputs!$B$4="Chapter Hunt"),CHOOSE(ArtifactsInput!$N$27+1,20,24,28,32,36,40),0)/100)),0)</f>
        <v/>
      </c>
      <c r="R844" t="n">
        <v>0</v>
      </c>
      <c r="S844" t="n">
        <v>0</v>
      </c>
      <c r="U844" t="n">
        <v>0</v>
      </c>
    </row>
    <row r="845">
      <c r="A845">
        <f>Skills!A27</f>
        <v/>
      </c>
      <c r="B845">
        <f>Skills!B27</f>
        <v/>
      </c>
      <c r="C845">
        <f>Inputs!$B$3&gt;=125</f>
        <v/>
      </c>
      <c r="D845">
        <f>IF(Skills!C27=1,60+Inputs!$B$25+Inputs!$B$29,IF(Skills!C27=2,90+Inputs!$B$26+Inputs!$B$29,IF(Skills!C27=3,120+(Inputs!$B$27+1)+Inputs!$B$29,MAX(0,(Inputs!$B$3-100)*3)+Inputs!$B$28+Inputs!$B$29)))</f>
        <v/>
      </c>
      <c r="E845">
        <f>INDEX(FactorTable!$B$2:$Y$301, MATCH(ROUND(MIN(300,MAX(1,D845)),0), FactorTable!$A$2:$A$301,0), Skills!M27+1)</f>
        <v/>
      </c>
      <c r="F845">
        <f>IF(Skills!N27=TRUE,(Skills!L27/10)*(E845/1000),Skills!L27/10)+Skills!O27</f>
        <v/>
      </c>
      <c r="G845">
        <f>Calc!G27</f>
        <v/>
      </c>
      <c r="H845">
        <f>Calc!H27</f>
        <v/>
      </c>
      <c r="I845">
        <f>IF(Skills!X27&lt;&gt;"",1+(Skills!X27/10)*(Z821/1000)/100,1)</f>
        <v/>
      </c>
      <c r="J845" t="inlineStr"/>
      <c r="K845" t="inlineStr"/>
      <c r="L845" t="inlineStr"/>
      <c r="M845" t="inlineStr"/>
      <c r="N845" t="inlineStr"/>
      <c r="O845">
        <f>(1-Summary!$B$11)*S845+Summary!$B$11*U845</f>
        <v/>
      </c>
      <c r="P845">
        <f>IF(B859=0,0,O845/B859)</f>
        <v/>
      </c>
      <c r="Q845">
        <f>IFERROR(1/(IF(Inputs!$B$38="pvp",15,MAX(0.1,Skills!E27-IF(Skills!F27=TRUE,Inputs!$B$32,0)))*(1-IF(AND(ArtifactsInput!$M$27,Inputs!$B$4="Chapter Hunt"),CHOOSE(ArtifactsInput!$N$27+1,20,24,28,32,36,40),0)/100)),0)</f>
        <v/>
      </c>
      <c r="R845" t="n">
        <v>0</v>
      </c>
      <c r="S845" t="n">
        <v>0</v>
      </c>
      <c r="U845" t="n">
        <v>0</v>
      </c>
    </row>
    <row r="846">
      <c r="A846">
        <f>Skills!A28</f>
        <v/>
      </c>
      <c r="B846">
        <f>Skills!B28</f>
        <v/>
      </c>
      <c r="C846">
        <f>Inputs!$B$3&gt;=118</f>
        <v/>
      </c>
      <c r="D846">
        <f>IF(Skills!C28=1,60+Inputs!$B$25+Inputs!$B$29,IF(Skills!C28=2,90+Inputs!$B$26+Inputs!$B$29,IF(Skills!C28=3,120+(Inputs!$B$27+1)+Inputs!$B$29,MAX(0,(Inputs!$B$3-100)*3)+Inputs!$B$28+Inputs!$B$29)))</f>
        <v/>
      </c>
      <c r="E846">
        <f>INDEX(FactorTable!$B$2:$Y$301, MATCH(ROUND(MIN(300,MAX(1,D846)),0), FactorTable!$A$2:$A$301,0), Skills!M28+1)</f>
        <v/>
      </c>
      <c r="F846">
        <f>IF(Skills!N28=TRUE,(Skills!L28/10)*(E846/1000),Skills!L28/10)+Skills!O28</f>
        <v/>
      </c>
      <c r="G846">
        <f>Calc!G28</f>
        <v/>
      </c>
      <c r="H846">
        <f>Calc!H28</f>
        <v/>
      </c>
      <c r="I846">
        <f>IF(Skills!X28&lt;&gt;"",1+(Skills!X28/10)*(Z821/1000)/100,1)</f>
        <v/>
      </c>
      <c r="J846">
        <f>((Inputs!$B$6*(1+Inputs!$B$7/100))+(((Inputs!$B$12*(1+Inputs!$B$13/100))-(Inputs!$B$12*(1+Inputs!$B$13/100)))+0.25*(Inputs!$B$14-Inputs!$B$14))*(1+Inputs!$B$7/100))*(F846/100)</f>
        <v/>
      </c>
      <c r="K846">
        <f>J846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841/100)*(1+IF(Inputs!$B$3&gt;=120,F844,0)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845*5,0)))/100)*(B848*B849*B850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846)</f>
        <v/>
      </c>
      <c r="L846">
        <f>K846*(MIN(Inputs!$B$22+(F840-Calc!F22),(Inputs!$B$23+(IF(ArtifactsInput!$M$15,CHOOSE(ArtifactsInput!$N$15+1,25,30,35,40,45,50)/100*(Inputs!$B$11-Inputs!$B$11),0))))/100+(Inputs!$B$23+(IF(ArtifactsInput!$M$15,CHOOSE(ArtifactsInput!$N$15+1,25,30,35,40,45,50)/100*(Inputs!$B$11-Inputs!$B$11),0)))/100)/2</f>
        <v/>
      </c>
      <c r="M846">
        <f>L846*(1+(Inputs!$B$10+(F839-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6">
        <f>L846*(1-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846*(MIN((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6">
        <f>(1-Summary!$B$11)*S846+Summary!$B$11*U846</f>
        <v/>
      </c>
      <c r="P846">
        <f>IF(B859=0,0,O846/B859)</f>
        <v/>
      </c>
      <c r="Q846">
        <f>IFERROR(1/(IF(Inputs!$B$38="pvp",15,MAX(0.1,Skills!E28-IF(Skills!F28=TRUE,Inputs!$B$32,0)))*(1-IF(AND(ArtifactsInput!$M$27,Inputs!$B$4="Chapter Hunt"),CHOOSE(ArtifactsInput!$N$27+1,20,24,28,32,36,40),0)/100)),0)</f>
        <v/>
      </c>
      <c r="R846">
        <f>IF(AND(Inputs!$B$38&lt;&gt;"pvp",Inputs!$B$43&gt;0),IF(MAX(0,Inputs!$B$43-B856)&lt;=0,0,(INT(MAX(0,Inputs!$B$43-B856)/(IF(Inputs!$B$38="pvp",15,MAX(0.1,Skills!E28-IF(Skills!F28=TRUE,Inputs!$B$32,0)))*(1-IF(AND(ArtifactsInput!$M$27,Inputs!$B$4="Chapter Hunt"),CHOOSE(ArtifactsInput!$N$27+1,20,24,28,32,36,40),0)/100)))+1)),0)</f>
        <v/>
      </c>
      <c r="S846">
        <f>IF(C846,(H846*N846*IF(AND(Inputs!$B$38&lt;&gt;"pvp",Inputs!$B$43&gt;0),((Skills!G28*((R846-1)*IF(Skills!H28&gt;0,Skills!I28/Skills!H28,1)+IF(Skills!H28&gt;0,MIN(Skills!I28,MAX(0,MAX(0,Inputs!$B$43-B856)-((R846-1)*(IF(Inputs!$B$38="pvp",15,MAX(0.1,Skills!E28-IF(Skills!F28=TRUE,Inputs!$B$32,0)))*(1-IF(AND(ArtifactsInput!$M$27,Inputs!$B$4="Chapter Hunt"),CHOOSE(ArtifactsInput!$N$27+1,20,24,28,32,36,40),0)/100)))))/Skills!H28,1)))/Inputs!$B$43),G846*Q846)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846*(1-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846*(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846*(1-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846*(MIN(100,(Inputs!$B$9+(F838-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46">
        <f>IF(C846,(H846*N846*IF(AND(Inputs!$B$38&lt;&gt;"pvp",Inputs!$B$43&gt;0),((Skills!G28*((R846-1)*IF(Skills!H28&gt;0,Skills!I28/Skills!H28,1)+IF(Skills!H28&gt;0,MIN(Skills!I28,MAX(0,MAX(0,Inputs!$B$43-B856)-((R846-1)*(IF(Inputs!$B$38="pvp",15,MAX(0.1,Skills!E28-IF(Skills!F28=TRUE,Inputs!$B$32,0)))*(1-IF(AND(ArtifactsInput!$M$27,Inputs!$B$4="Chapter Hunt"),CHOOSE(ArtifactsInput!$N$27+1,20,24,28,32,36,40),0)/100)))))/Skills!H28,1)))/Inputs!$B$43),G846*Q846)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8">
      <c r="A848" t="inlineStr">
        <is>
          <t>Burning Magic Multiplier</t>
        </is>
      </c>
      <c r="B848">
        <f>1+(F829*Skills!Z11)/100</f>
        <v/>
      </c>
    </row>
    <row r="849">
      <c r="A849" t="inlineStr">
        <is>
          <t>Elemental Decrease Multiplier (always-on)</t>
        </is>
      </c>
      <c r="B849">
        <f>1+(F830+(IF(AND(ArtifactsInput!$M$35,Inputs!$B$4&lt;&gt;"Chapter Hunt"),CHOOSE(ArtifactsInput!$N$35+1,15,18,21,24,27,30)*(1-EXP(-(0.2*B852)*5)),0)+IF(AND(ArtifactsInput!$M$22,Inputs!$B$4&lt;&gt;"Chapter Hunt"),CHOOSE(ArtifactsInput!$N$22+1,10,12,14,16,18,20)*((0*(((0.15*B852*5))^0/1)+1*(((0.15*B852*5))^1/1)+2*(((0.15*B852*5))^2/2)+3*(((0.15*B852*5))^3/6)+4*(((0.15*B852*5))^4/24)+5*(((0.15*B852*5))^5/120))/((((0.15*B852*5))^0/1)+(((0.15*B852*5))^1/1)+(((0.15*B852*5))^2/2)+(((0.15*B852*5))^3/6)+(((0.15*B852*5))^4/24)+(((0.15*B852*5))^5/120))),0)))/100</f>
        <v/>
      </c>
    </row>
    <row r="850">
      <c r="A850" t="inlineStr">
        <is>
          <t>Average Buff Multiplier (Magic Guard + Meditation + Artifact Attack%, summed; then Infinity)</t>
        </is>
      </c>
      <c r="B850">
        <f>(1+(F824*IF(AND(Inputs!$B$38&lt;&gt;"pvp",Inputs!$B$43&gt;0),(((R824-1)*(Skills!T6*(1+((Inputs!$B$34+(ArtifactsInput!$M$7-ArtifactsInput!$M$7)*CHOOSE(ArtifactsInput!$N$7+1,6,7.2,8.4,9.6,10.8,12)))/100))+MIN((Skills!T6*(1+((Inputs!$B$34+(ArtifactsInput!$M$7-ArtifactsInput!$M$7)*CHOOSE(ArtifactsInput!$N$7+1,6,7.2,8.4,9.6,10.8,12)))/100)),MAX(0,Inputs!$B$43-((R824-1)*Skills!E6))))/Inputs!$B$43),IF(Inputs!$B$38="pvp",MIN((Skills!T6*(1+((Inputs!$B$34+(ArtifactsInput!$M$7-ArtifactsInput!$M$7)*CHOOSE(ArtifactsInput!$N$7+1,6,7.2,8.4,9.6,10.8,12)))/100)),15)/15,(Skills!T6*(1+((Inputs!$B$34+(ArtifactsInput!$M$7-ArtifactsInput!$M$7)*CHOOSE(ArtifactsInput!$N$7+1,6,7.2,8.4,9.6,10.8,12)))/100))/Skills!E6))+F835*IF(AND(Inputs!$B$38&lt;&gt;"pvp",Inputs!$B$43&gt;0),(((R835-1)*(Skills!T17*(1+((Inputs!$B$34+(ArtifactsInput!$M$7-ArtifactsInput!$M$7)*CHOOSE(ArtifactsInput!$N$7+1,6,7.2,8.4,9.6,10.8,12)))/100))+MIN((Skills!T17*(1+((Inputs!$B$34+(ArtifactsInput!$M$7-ArtifactsInput!$M$7)*CHOOSE(ArtifactsInput!$N$7+1,6,7.2,8.4,9.6,10.8,12)))/100)),MAX(0,Inputs!$B$43-((R835-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837=TRUE,(1+F837*IF(AND(Inputs!$B$38&lt;&gt;"pvp",Inputs!$B$43&gt;0),(((R837-1)*(Skills!T19*(1+((Inputs!$B$34+(ArtifactsInput!$M$7-ArtifactsInput!$M$7)*CHOOSE(ArtifactsInput!$N$7+1,6,7.2,8.4,9.6,10.8,12)))/100))+MIN((Skills!T19*(1+((Inputs!$B$34+(ArtifactsInput!$M$7-ArtifactsInput!$M$7)*CHOOSE(ArtifactsInput!$N$7+1,6,7.2,8.4,9.6,10.8,12)))/100)),MAX(0,Inputs!$B$43-((R837-1)*Skills!E19))))/Inputs!$B$43),IF(Inputs!$B$38="pvp",MIN((Skills!T19*(1+((Inputs!$B$34+(ArtifactsInput!$M$7-ArtifactsInput!$M$7)*CHOOSE(ArtifactsInput!$N$7+1,6,7.2,8.4,9.6,10.8,12)))/100)),15)/15,(Skills!T19*(1+((Inputs!$B$34+(ArtifactsInput!$M$7-ArtifactsInput!$M$7)*CHOOSE(ArtifactsInput!$N$7+1,6,7.2,8.4,9.6,10.8,12)))/100))/Skills!E19))/100),1)</f>
        <v/>
      </c>
    </row>
    <row r="851">
      <c r="A851" t="inlineStr">
        <is>
          <t>Attack Speed Buff Bonus % (Nimble Feet, averaged)</t>
        </is>
      </c>
      <c r="B851">
        <f>F836*IF(AND(Inputs!$B$38&lt;&gt;"pvp",Inputs!$B$43&gt;0),(((R836-1)*(Skills!T18*(1+((Inputs!$B$34+(ArtifactsInput!$M$7-ArtifactsInput!$M$7)*CHOOSE(ArtifactsInput!$N$7+1,6,7.2,8.4,9.6,10.8,12)))/100))+MIN((Skills!T18*(1+((Inputs!$B$34+(ArtifactsInput!$M$7-ArtifactsInput!$M$7)*CHOOSE(ArtifactsInput!$N$7+1,6,7.2,8.4,9.6,10.8,12)))/100)),MAX(0,Inputs!$B$43-((R836-1)*Skills!E18))))/Inputs!$B$43),IF(Inputs!$B$38="pvp",MIN((Skills!T18*(1+((Inputs!$B$34+(ArtifactsInput!$M$7-ArtifactsInput!$M$7)*CHOOSE(ArtifactsInput!$N$7+1,6,7.2,8.4,9.6,10.8,12)))/100)),15)/15,(Skills!T18*(1+((Inputs!$B$34+(ArtifactsInput!$M$7-ArtifactsInput!$M$7)*CHOOSE(ArtifactsInput!$N$7+1,6,7.2,8.4,9.6,10.8,12)))/100))/Skills!E18))</f>
        <v/>
      </c>
    </row>
    <row r="852">
      <c r="A852" t="inlineStr">
        <is>
          <t>Actions Per Second</t>
        </is>
      </c>
      <c r="B852">
        <f>1+MIN(150,150*(1-(1-(Inputs!$B$11+(ArtifactsInput!$M$15-ArtifactsInput!$M$15)*CHOOSE(ArtifactsInput!$N$15+1,8,9.6,11.2,12.8,14.4,16))/150)*(1-B851/150)))/100</f>
        <v/>
      </c>
    </row>
    <row r="853">
      <c r="A853" t="inlineStr">
        <is>
          <t>Skill + Buff Cast Rate</t>
        </is>
      </c>
      <c r="B853">
        <f>IF(AND(Inputs!$B$38&lt;&gt;"pvp",Inputs!$B$43&gt;0),SUMPRODUCT((Skills!F2:F28=TRUE)*(C820:C846=TRUE)*R820:R846)/Inputs!$B$43,SUMPRODUCT((Skills!F2:F28=TRUE)*(C820:C846=TRUE)*Q820:Q846))</f>
        <v/>
      </c>
    </row>
    <row r="854">
      <c r="A854" t="inlineStr">
        <is>
          <t>Basic Attacks Per Second</t>
        </is>
      </c>
      <c r="B854">
        <f>MAX(0,B852-B853)</f>
        <v/>
      </c>
    </row>
    <row r="855">
      <c r="A855" t="inlineStr">
        <is>
          <t>Meteor Proc — combined trigger cast rate</t>
        </is>
      </c>
      <c r="B855">
        <f>IF(AND(Inputs!$B$38&lt;&gt;"pvp",Inputs!$B$43&gt;0),SUMPRODUCT((Skills!V2:V28=TRUE)*(C820:C846=TRUE)*R820:R846*Skills!W2:W28)/Inputs!$B$43,SUMPRODUCT((Skills!V2:V28=TRUE)*(C820:C846=TRUE)*Q820:Q846*Skills!W2:W28))+B854</f>
        <v/>
      </c>
    </row>
    <row r="856">
      <c r="A856" t="inlineStr">
        <is>
          <t>Buff-Casting Startup Delay (s, fixed-duration only)</t>
        </is>
      </c>
      <c r="B856">
        <f>IF(AND(Inputs!$B$38&lt;&gt;"pvp",Inputs!$B$43&gt;0),SUMPRODUCT((Skills!T2:T28&gt;0)*(Skills!F2:F28=TRUE)*(C820:C846=TRUE))/B852,0)</f>
        <v/>
      </c>
    </row>
    <row r="857">
      <c r="A857" t="inlineStr">
        <is>
          <t>Boss-Only Total DPS (this block's swept value)</t>
        </is>
      </c>
      <c r="B857">
        <f>SUM(S820:S846)</f>
        <v/>
      </c>
    </row>
    <row r="858">
      <c r="A858" t="inlineStr">
        <is>
          <t>Normal-Only Total DPS (this block's swept value)</t>
        </is>
      </c>
      <c r="B858">
        <f>SUM(U820:U846)</f>
        <v/>
      </c>
    </row>
    <row r="859">
      <c r="A859" s="6" t="inlineStr">
        <is>
          <t>TOTAL DPS</t>
        </is>
      </c>
      <c r="B859" s="6">
        <f>SUM(O820:O846)</f>
        <v/>
      </c>
    </row>
    <row r="862">
      <c r="A862" s="6" t="inlineStr">
        <is>
          <t>Stat: Skill Level Bonus — 4th Job</t>
        </is>
      </c>
    </row>
    <row r="863">
      <c r="A863" s="5" t="inlineStr">
        <is>
          <t>Key</t>
        </is>
      </c>
      <c r="B863" s="5" t="inlineStr">
        <is>
          <t>Name</t>
        </is>
      </c>
      <c r="C863" s="5" t="inlineStr">
        <is>
          <t>Unlocked</t>
        </is>
      </c>
      <c r="D863" s="5" t="inlineStr">
        <is>
          <t>InputLevel</t>
        </is>
      </c>
      <c r="E863" s="5" t="inlineStr">
        <is>
          <t>Factor</t>
        </is>
      </c>
      <c r="F863" s="5" t="inlineStr">
        <is>
          <t>CoefficientPercent</t>
        </is>
      </c>
      <c r="G863" s="5" t="inlineStr">
        <is>
          <t>EffectiveHits</t>
        </is>
      </c>
      <c r="H863" s="5" t="inlineStr">
        <is>
          <t>ProcProbability</t>
        </is>
      </c>
      <c r="I863" s="5" t="inlineStr">
        <is>
          <t>MapleHeroMultiplier</t>
        </is>
      </c>
      <c r="J863" s="5" t="inlineStr">
        <is>
          <t>BaseDamage</t>
        </is>
      </c>
      <c r="K863" s="5" t="inlineStr">
        <is>
          <t>BaseHitDamage</t>
        </is>
      </c>
      <c r="L863" s="5" t="inlineStr">
        <is>
          <t>NonCritAvg</t>
        </is>
      </c>
      <c r="M863" s="5" t="inlineStr">
        <is>
          <t>CritAvg</t>
        </is>
      </c>
      <c r="N863" s="5" t="inlineStr">
        <is>
          <t>ExpectedDamage(perHit)</t>
        </is>
      </c>
      <c r="O863" s="5" t="inlineStr">
        <is>
          <t>DPS</t>
        </is>
      </c>
      <c r="P863" s="5" t="inlineStr">
        <is>
          <t>% of Total</t>
        </is>
      </c>
      <c r="R863" t="inlineStr">
        <is>
          <t>helpers</t>
        </is>
      </c>
    </row>
    <row r="864">
      <c r="A864">
        <f>Skills!A2</f>
        <v/>
      </c>
      <c r="B864">
        <f>Skills!B2</f>
        <v/>
      </c>
      <c r="C864">
        <f>TRUE</f>
        <v/>
      </c>
      <c r="D864" t="inlineStr"/>
      <c r="E864" t="inlineStr"/>
      <c r="F864">
        <f>T866+Skills!O2</f>
        <v/>
      </c>
      <c r="G864">
        <f>Calc!G2</f>
        <v/>
      </c>
      <c r="H864">
        <f>Calc!H2</f>
        <v/>
      </c>
      <c r="I864">
        <f>IF(Skills!X2&lt;&gt;"",1+(Skills!X2/10)*(Z865/1000)/100,1)</f>
        <v/>
      </c>
      <c r="J864">
        <f>((Inputs!$B$6*(1+Inputs!$B$7/100))+(((Inputs!$B$12*(1+Inputs!$B$13/100))-(Inputs!$B$12*(1+Inputs!$B$13/100)))+0.25*(Inputs!$B$14-Inputs!$B$14))*(1+Inputs!$B$7/100))*(F864/100)</f>
        <v/>
      </c>
      <c r="K864">
        <f>J864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864)</f>
        <v/>
      </c>
      <c r="L864">
        <f>K864*(MIN(Inputs!$B$22+(F884-Calc!F22),(Inputs!$B$23+(IF(ArtifactsInput!$M$15,CHOOSE(ArtifactsInput!$N$15+1,25,30,35,40,45,50)/100*(Inputs!$B$11-Inputs!$B$11),0))))/100+(Inputs!$B$23+(IF(ArtifactsInput!$M$15,CHOOSE(ArtifactsInput!$N$15+1,25,30,35,40,45,50)/100*(Inputs!$B$11-Inputs!$B$11),0)))/100)/2</f>
        <v/>
      </c>
      <c r="M864">
        <f>L864*(1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4">
        <f>L864*(1-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864*(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4">
        <f>(1-Summary!$B$11)*S864+Summary!$B$11*U864</f>
        <v/>
      </c>
      <c r="P864">
        <f>IF(B903=0,0,O864/B903)</f>
        <v/>
      </c>
      <c r="Q864">
        <f>IFERROR(1/(IF(Inputs!$B$38="pvp",15,MAX(0.1,Skills!E2-IF(Skills!F2=TRUE,Inputs!$B$32,0)))*(1-IF(AND(ArtifactsInput!$M$27,Inputs!$B$4="Chapter Hunt"),CHOOSE(ArtifactsInput!$N$27+1,20,24,28,32,36,40),0)/100)),0)</f>
        <v/>
      </c>
      <c r="R864" t="n">
        <v>0</v>
      </c>
      <c r="S864">
        <f>(Skills!G2*N864*B898)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864*(1-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864*(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864*(1-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864*(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864">
        <f>MAX(0,(Inputs!$B$3-100)*3)+(Inputs!$B$28+1)+Inputs!$B$29</f>
        <v/>
      </c>
      <c r="U864">
        <f>(Skills!G2*N864*B898)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864">
        <f>MAX(0,(Inputs!$B$3-100)*3)+(Inputs!$B$28+1)+Inputs!$B$29</f>
        <v/>
      </c>
    </row>
    <row r="865">
      <c r="A865">
        <f>Skills!A3</f>
        <v/>
      </c>
      <c r="B865">
        <f>Skills!B3</f>
        <v/>
      </c>
      <c r="C865">
        <f>TRUE</f>
        <v/>
      </c>
      <c r="D865">
        <f>IF(Skills!C3=1,60+Inputs!$B$25+Inputs!$B$29,IF(Skills!C3=2,90+Inputs!$B$26+Inputs!$B$29,IF(Skills!C3=3,120+Inputs!$B$27+Inputs!$B$29,MAX(0,(Inputs!$B$3-100)*3)+(Inputs!$B$28+1)+Inputs!$B$29)))</f>
        <v/>
      </c>
      <c r="E865">
        <f>INDEX(FactorTable!$B$2:$Y$301, MATCH(ROUND(MIN(300,MAX(1,D865)),0), FactorTable!$A$2:$A$301,0), Skills!M3+1)</f>
        <v/>
      </c>
      <c r="F865">
        <f>IF(Skills!N3=TRUE,(Skills!L3/10)*(E865/1000),Skills!L3/10)+Skills!O3</f>
        <v/>
      </c>
      <c r="G865">
        <f>Calc!G3</f>
        <v/>
      </c>
      <c r="H865">
        <f>Calc!H3</f>
        <v/>
      </c>
      <c r="I865">
        <f>IF(Skills!X3&lt;&gt;"",1+(Skills!X3/10)*(Z865/1000)/100,1)</f>
        <v/>
      </c>
      <c r="J865">
        <f>((Inputs!$B$6*(1+Inputs!$B$7/100))+(((Inputs!$B$12*(1+Inputs!$B$13/100))-(Inputs!$B$12*(1+Inputs!$B$13/100)))+0.25*(Inputs!$B$14-Inputs!$B$14))*(1+Inputs!$B$7/100))*(F865/100)</f>
        <v/>
      </c>
      <c r="K865">
        <f>J865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865)</f>
        <v/>
      </c>
      <c r="L865">
        <f>K865*(MIN(Inputs!$B$22+(F884-Calc!F22),(Inputs!$B$23+(IF(ArtifactsInput!$M$15,CHOOSE(ArtifactsInput!$N$15+1,25,30,35,40,45,50)/100*(Inputs!$B$11-Inputs!$B$11),0))))/100+(Inputs!$B$23+(IF(ArtifactsInput!$M$15,CHOOSE(ArtifactsInput!$N$15+1,25,30,35,40,45,50)/100*(Inputs!$B$11-Inputs!$B$11),0)))/100)/2</f>
        <v/>
      </c>
      <c r="M865">
        <f>L865*(1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5">
        <f>L865*(1-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865*(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5">
        <f>(1-Summary!$B$11)*S865+Summary!$B$11*U865</f>
        <v/>
      </c>
      <c r="P865">
        <f>IF(B903=0,0,O865/B903)</f>
        <v/>
      </c>
      <c r="Q865">
        <f>IFERROR(1/(IF(Inputs!$B$38="pvp",15,MAX(0.1,Skills!E3-IF(Skills!F3=TRUE,Inputs!$B$32,0)))*(1-IF(AND(ArtifactsInput!$M$27,Inputs!$B$4="Chapter Hunt"),CHOOSE(ArtifactsInput!$N$27+1,20,24,28,32,36,40),0)/100)),0)</f>
        <v/>
      </c>
      <c r="R865">
        <f>IF(AND(Inputs!$B$38&lt;&gt;"pvp",Inputs!$B$43&gt;0),IF(MAX(0,Inputs!$B$43-B900)&lt;=0,0,(INT(MAX(0,Inputs!$B$43-B900)/(IF(Inputs!$B$38="pvp",15,MAX(0.1,Skills!E3-IF(Skills!F3=TRUE,Inputs!$B$32,0)))*(1-IF(AND(ArtifactsInput!$M$27,Inputs!$B$4="Chapter Hunt"),CHOOSE(ArtifactsInput!$N$27+1,20,24,28,32,36,40),0)/100)))+1)),0)</f>
        <v/>
      </c>
      <c r="S865">
        <f>IF(C865,(H865*N865*IF(AND(Inputs!$B$38&lt;&gt;"pvp",Inputs!$B$43&gt;0),((Skills!G3*((R865-1)*IF(Skills!H3&gt;0,Skills!I3/Skills!H3,1)+IF(Skills!H3&gt;0,MIN(Skills!I3,MAX(0,MAX(0,Inputs!$B$43-B900)-((R865-1)*(IF(Inputs!$B$38="pvp",15,MAX(0.1,Skills!E3-IF(Skills!F3=TRUE,Inputs!$B$32,0)))*(1-IF(AND(ArtifactsInput!$M$27,Inputs!$B$4="Chapter Hunt"),CHOOSE(ArtifactsInput!$N$27+1,20,24,28,32,36,40),0)/100)))))/Skills!H3,1)))/Inputs!$B$43),G865*Q865)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865*(1-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865*(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865*(1-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865*(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865">
        <f>INDEX(FactorTable!$B$2:$Y$301, MATCH(ROUND(MIN(300,MAX(1,T864)),0), FactorTable!$A$2:$A$301,0), 22)</f>
        <v/>
      </c>
      <c r="U865">
        <f>IF(C865,(H865*N865*IF(AND(Inputs!$B$38&lt;&gt;"pvp",Inputs!$B$43&gt;0),((Skills!G3*((R865-1)*IF(Skills!H3&gt;0,Skills!I3/Skills!H3,1)+IF(Skills!H3&gt;0,MIN(Skills!I3,MAX(0,MAX(0,Inputs!$B$43-B900)-((R865-1)*(IF(Inputs!$B$38="pvp",15,MAX(0.1,Skills!E3-IF(Skills!F3=TRUE,Inputs!$B$32,0)))*(1-IF(AND(ArtifactsInput!$M$27,Inputs!$B$4="Chapter Hunt"),CHOOSE(ArtifactsInput!$N$27+1,20,24,28,32,36,40),0)/100)))))/Skills!H3,1)))/Inputs!$B$43),G865*Q865)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865">
        <f>INDEX(FactorTable!$B$2:$Y$301, MATCH(ROUND(MIN(300,MAX(1,Z864)),0), FactorTable!$A$2:$A$301,0), 24)</f>
        <v/>
      </c>
    </row>
    <row r="866">
      <c r="A866">
        <f>Skills!A4</f>
        <v/>
      </c>
      <c r="B866">
        <f>Skills!B4</f>
        <v/>
      </c>
      <c r="C866">
        <f>TRUE</f>
        <v/>
      </c>
      <c r="D866">
        <f>IF(Skills!C4=1,60+Inputs!$B$25+Inputs!$B$29,IF(Skills!C4=2,90+Inputs!$B$26+Inputs!$B$29,IF(Skills!C4=3,120+Inputs!$B$27+Inputs!$B$29,MAX(0,(Inputs!$B$3-100)*3)+(Inputs!$B$28+1)+Inputs!$B$29)))</f>
        <v/>
      </c>
      <c r="E866">
        <f>INDEX(FactorTable!$B$2:$Y$301, MATCH(ROUND(MIN(300,MAX(1,D866)),0), FactorTable!$A$2:$A$301,0), Skills!M4+1)</f>
        <v/>
      </c>
      <c r="F866">
        <f>IF(Skills!N4=TRUE,(Skills!L4/10)*(E866/1000),Skills!L4/10)+Skills!O4</f>
        <v/>
      </c>
      <c r="G866">
        <f>Calc!G4</f>
        <v/>
      </c>
      <c r="H866">
        <f>Calc!H4</f>
        <v/>
      </c>
      <c r="I866">
        <f>IF(Skills!X4&lt;&gt;"",1+(Skills!X4/10)*(Z865/1000)/100,1)</f>
        <v/>
      </c>
      <c r="J866">
        <f>((Inputs!$B$6*(1+Inputs!$B$7/100))+(((Inputs!$B$12*(1+Inputs!$B$13/100))-(Inputs!$B$12*(1+Inputs!$B$13/100)))+0.25*(Inputs!$B$14-Inputs!$B$14))*(1+Inputs!$B$7/100))*(F866/100)</f>
        <v/>
      </c>
      <c r="K866">
        <f>J866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866)</f>
        <v/>
      </c>
      <c r="L866">
        <f>K866*(MIN(Inputs!$B$22+(F884-Calc!F22),(Inputs!$B$23+(IF(ArtifactsInput!$M$15,CHOOSE(ArtifactsInput!$N$15+1,25,30,35,40,45,50)/100*(Inputs!$B$11-Inputs!$B$11),0))))/100+(Inputs!$B$23+(IF(ArtifactsInput!$M$15,CHOOSE(ArtifactsInput!$N$15+1,25,30,35,40,45,50)/100*(Inputs!$B$11-Inputs!$B$11),0)))/100)/2</f>
        <v/>
      </c>
      <c r="M866">
        <f>L866*(1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6">
        <f>L866*(1-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866*(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6">
        <f>(1-Summary!$B$11)*S866+Summary!$B$11*U866</f>
        <v/>
      </c>
      <c r="P866">
        <f>IF(B903=0,0,O866/B903)</f>
        <v/>
      </c>
      <c r="Q866">
        <f>IFERROR(1/(IF(Inputs!$B$38="pvp",15,MAX(0.1,Skills!E4-IF(Skills!F4=TRUE,Inputs!$B$32,0)))*(1-IF(AND(ArtifactsInput!$M$27,Inputs!$B$4="Chapter Hunt"),CHOOSE(ArtifactsInput!$N$27+1,20,24,28,32,36,40),0)/100)),0)</f>
        <v/>
      </c>
      <c r="R866">
        <f>IF(AND(Inputs!$B$38&lt;&gt;"pvp",Inputs!$B$43&gt;0),IF(MAX(0,Inputs!$B$43-B900)&lt;=0,0,(INT(MAX(0,Inputs!$B$43-B900)/(IF(Inputs!$B$38="pvp",15,MAX(0.1,Skills!E4-IF(Skills!F4=TRUE,Inputs!$B$32,0)))*(1-IF(AND(ArtifactsInput!$M$27,Inputs!$B$4="Chapter Hunt"),CHOOSE(ArtifactsInput!$N$27+1,20,24,28,32,36,40),0)/100)))+1)),0)</f>
        <v/>
      </c>
      <c r="S866">
        <f>IF(C866,(H866*N866*IF(AND(Inputs!$B$38&lt;&gt;"pvp",Inputs!$B$43&gt;0),((Skills!G4*((R866-1)*IF(Skills!H4&gt;0,Skills!I4/Skills!H4,1)+IF(Skills!H4&gt;0,MIN(Skills!I4,MAX(0,MAX(0,Inputs!$B$43-B900)-((R866-1)*(IF(Inputs!$B$38="pvp",15,MAX(0.1,Skills!E4-IF(Skills!F4=TRUE,Inputs!$B$32,0)))*(1-IF(AND(ArtifactsInput!$M$27,Inputs!$B$4="Chapter Hunt"),CHOOSE(ArtifactsInput!$N$27+1,20,24,28,32,36,40),0)/100)))))/Skills!H4,1)))/Inputs!$B$43),G866*Q866)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866*(1-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866*(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866*(1-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866*(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866">
        <f>290*T865/1000</f>
        <v/>
      </c>
      <c r="U866">
        <f>IF(C866,(H866*N866*IF(AND(Inputs!$B$38&lt;&gt;"pvp",Inputs!$B$43&gt;0),((Skills!G4*((R866-1)*IF(Skills!H4&gt;0,Skills!I4/Skills!H4,1)+IF(Skills!H4&gt;0,MIN(Skills!I4,MAX(0,MAX(0,Inputs!$B$43-B900)-((R866-1)*(IF(Inputs!$B$38="pvp",15,MAX(0.1,Skills!E4-IF(Skills!F4=TRUE,Inputs!$B$32,0)))*(1-IF(AND(ArtifactsInput!$M$27,Inputs!$B$4="Chapter Hunt"),CHOOSE(ArtifactsInput!$N$27+1,20,24,28,32,36,40),0)/100)))))/Skills!H4,1)))/Inputs!$B$43),G866*Q866)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7">
      <c r="A867">
        <f>Skills!A5</f>
        <v/>
      </c>
      <c r="B867">
        <f>Skills!B5</f>
        <v/>
      </c>
      <c r="C867">
        <f>TRUE</f>
        <v/>
      </c>
      <c r="D867">
        <f>IF(Skills!C5=1,60+Inputs!$B$25+Inputs!$B$29,IF(Skills!C5=2,90+Inputs!$B$26+Inputs!$B$29,IF(Skills!C5=3,120+Inputs!$B$27+Inputs!$B$29,MAX(0,(Inputs!$B$3-100)*3)+(Inputs!$B$28+1)+Inputs!$B$29)))</f>
        <v/>
      </c>
      <c r="E867">
        <f>INDEX(FactorTable!$B$2:$Y$301, MATCH(ROUND(MIN(300,MAX(1,D867)),0), FactorTable!$A$2:$A$301,0), Skills!M5+1)</f>
        <v/>
      </c>
      <c r="F867">
        <f>IF(Skills!N5=TRUE,(Skills!L5/10)*(E867/1000),Skills!L5/10)+Skills!O5</f>
        <v/>
      </c>
      <c r="G867">
        <f>Calc!G5</f>
        <v/>
      </c>
      <c r="H867">
        <f>Calc!H5</f>
        <v/>
      </c>
      <c r="I867">
        <f>IF(Skills!X5&lt;&gt;"",1+(Skills!X5/10)*(Z865/1000)/100,1)</f>
        <v/>
      </c>
      <c r="J867">
        <f>((Inputs!$B$6*(1+Inputs!$B$7/100))+(((Inputs!$B$12*(1+Inputs!$B$13/100))-(Inputs!$B$12*(1+Inputs!$B$13/100)))+0.25*(Inputs!$B$14-Inputs!$B$14))*(1+Inputs!$B$7/100))*(F867/100)</f>
        <v/>
      </c>
      <c r="K867">
        <f>J867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867)</f>
        <v/>
      </c>
      <c r="L867">
        <f>K867*(MIN(Inputs!$B$22+(F884-Calc!F22),(Inputs!$B$23+(IF(ArtifactsInput!$M$15,CHOOSE(ArtifactsInput!$N$15+1,25,30,35,40,45,50)/100*(Inputs!$B$11-Inputs!$B$11),0))))/100+(Inputs!$B$23+(IF(ArtifactsInput!$M$15,CHOOSE(ArtifactsInput!$N$15+1,25,30,35,40,45,50)/100*(Inputs!$B$11-Inputs!$B$11),0)))/100)/2</f>
        <v/>
      </c>
      <c r="M867">
        <f>L867*(1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7">
        <f>L867*(1-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867*(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7">
        <f>(1-Summary!$B$11)*S867+Summary!$B$11*U867</f>
        <v/>
      </c>
      <c r="P867">
        <f>IF(B903=0,0,O867/B903)</f>
        <v/>
      </c>
      <c r="Q867">
        <f>IFERROR(1/(IF(Inputs!$B$38="pvp",15,MAX(0.1,Skills!E5-IF(Skills!F5=TRUE,Inputs!$B$32,0)))*(1-IF(AND(ArtifactsInput!$M$27,Inputs!$B$4="Chapter Hunt"),CHOOSE(ArtifactsInput!$N$27+1,20,24,28,32,36,40),0)/100)),0)</f>
        <v/>
      </c>
      <c r="R867">
        <f>IF(AND(Inputs!$B$38&lt;&gt;"pvp",Inputs!$B$43&gt;0),IF(MAX(0,Inputs!$B$43-B900)&lt;=0,0,(INT(MAX(0,Inputs!$B$43-B900)/(IF(Inputs!$B$38="pvp",15,MAX(0.1,Skills!E5-IF(Skills!F5=TRUE,Inputs!$B$32,0)))*(1-IF(AND(ArtifactsInput!$M$27,Inputs!$B$4="Chapter Hunt"),CHOOSE(ArtifactsInput!$N$27+1,20,24,28,32,36,40),0)/100)))+1)),0)</f>
        <v/>
      </c>
      <c r="S867">
        <f>IF(C867,(H867*N867*IF(AND(Inputs!$B$38&lt;&gt;"pvp",Inputs!$B$43&gt;0),((Skills!G5*((R867-1)*IF(Skills!H5&gt;0,Skills!I5/Skills!H5,1)+IF(Skills!H5&gt;0,MIN(Skills!I5,MAX(0,MAX(0,Inputs!$B$43-B900)-((R867-1)*(IF(Inputs!$B$38="pvp",15,MAX(0.1,Skills!E5-IF(Skills!F5=TRUE,Inputs!$B$32,0)))*(1-IF(AND(ArtifactsInput!$M$27,Inputs!$B$4="Chapter Hunt"),CHOOSE(ArtifactsInput!$N$27+1,20,24,28,32,36,40),0)/100)))))/Skills!H5,1)))/Inputs!$B$43),G867*Q867)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867*(1-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867*(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867*(1-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867*(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67">
        <f>IF(C867,(H867*N867*IF(AND(Inputs!$B$38&lt;&gt;"pvp",Inputs!$B$43&gt;0),((Skills!G5*((R867-1)*IF(Skills!H5&gt;0,Skills!I5/Skills!H5,1)+IF(Skills!H5&gt;0,MIN(Skills!I5,MAX(0,MAX(0,Inputs!$B$43-B900)-((R867-1)*(IF(Inputs!$B$38="pvp",15,MAX(0.1,Skills!E5-IF(Skills!F5=TRUE,Inputs!$B$32,0)))*(1-IF(AND(ArtifactsInput!$M$27,Inputs!$B$4="Chapter Hunt"),CHOOSE(ArtifactsInput!$N$27+1,20,24,28,32,36,40),0)/100)))))/Skills!H5,1)))/Inputs!$B$43),G867*Q867)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8">
      <c r="A868">
        <f>Skills!A6</f>
        <v/>
      </c>
      <c r="B868">
        <f>Skills!B6</f>
        <v/>
      </c>
      <c r="C868">
        <f>TRUE</f>
        <v/>
      </c>
      <c r="D868">
        <f>IF(Skills!C6=1,60+Inputs!$B$25+Inputs!$B$29,IF(Skills!C6=2,90+Inputs!$B$26+Inputs!$B$29,IF(Skills!C6=3,120+Inputs!$B$27+Inputs!$B$29,MAX(0,(Inputs!$B$3-100)*3)+(Inputs!$B$28+1)+Inputs!$B$29)))</f>
        <v/>
      </c>
      <c r="E868">
        <f>INDEX(FactorTable!$B$2:$Y$301, MATCH(ROUND(MIN(300,MAX(1,D868)),0), FactorTable!$A$2:$A$301,0), Skills!M6+1)</f>
        <v/>
      </c>
      <c r="F868">
        <f>IF(Skills!N6=TRUE,(Skills!L6/10)*(E868/1000),Skills!L6/10)+Skills!O6</f>
        <v/>
      </c>
      <c r="G868">
        <f>Calc!G6</f>
        <v/>
      </c>
      <c r="H868">
        <f>Calc!H6</f>
        <v/>
      </c>
      <c r="I868">
        <f>IF(Skills!X6&lt;&gt;"",1+(Skills!X6/10)*(Z865/1000)/100,1)</f>
        <v/>
      </c>
      <c r="J868" t="inlineStr"/>
      <c r="K868" t="inlineStr"/>
      <c r="L868" t="inlineStr"/>
      <c r="M868" t="inlineStr"/>
      <c r="N868" t="inlineStr"/>
      <c r="O868">
        <f>(1-Summary!$B$11)*S868+Summary!$B$11*U868</f>
        <v/>
      </c>
      <c r="P868">
        <f>IF(B903=0,0,O868/B903)</f>
        <v/>
      </c>
      <c r="Q868">
        <f>IFERROR(1/(IF(Inputs!$B$38="pvp",15,MAX(0.1,Skills!E6-IF(Skills!F6=TRUE,Inputs!$B$32,0)))*(1-IF(AND(ArtifactsInput!$M$27,Inputs!$B$4="Chapter Hunt"),CHOOSE(ArtifactsInput!$N$27+1,20,24,28,32,36,40),0)/100)),0)</f>
        <v/>
      </c>
      <c r="R868">
        <f>IF(AND(Inputs!$B$38&lt;&gt;"pvp",Inputs!$B$43&gt;0),IF(Inputs!$B$43&lt;=0,0,(INT(Inputs!$B$43/(IF(Inputs!$B$38="pvp",15,MAX(0.1,Skills!E6-IF(Skills!F6=TRUE,Inputs!$B$32,0)))*(1-IF(AND(ArtifactsInput!$M$27,Inputs!$B$4="Chapter Hunt"),CHOOSE(ArtifactsInput!$N$27+1,20,24,28,32,36,40),0)/100)))+1)),0)</f>
        <v/>
      </c>
      <c r="S868" t="n">
        <v>0</v>
      </c>
      <c r="U868" t="n">
        <v>0</v>
      </c>
    </row>
    <row r="869">
      <c r="A869">
        <f>Skills!A7</f>
        <v/>
      </c>
      <c r="B869">
        <f>Skills!B7</f>
        <v/>
      </c>
      <c r="C869">
        <f>TRUE</f>
        <v/>
      </c>
      <c r="D869">
        <f>IF(Skills!C7=1,60+Inputs!$B$25+Inputs!$B$29,IF(Skills!C7=2,90+Inputs!$B$26+Inputs!$B$29,IF(Skills!C7=3,120+Inputs!$B$27+Inputs!$B$29,MAX(0,(Inputs!$B$3-100)*3)+(Inputs!$B$28+1)+Inputs!$B$29)))</f>
        <v/>
      </c>
      <c r="E869">
        <f>INDEX(FactorTable!$B$2:$Y$301, MATCH(ROUND(MIN(300,MAX(1,D869)),0), FactorTable!$A$2:$A$301,0), Skills!M7+1)</f>
        <v/>
      </c>
      <c r="F869">
        <f>IF(Skills!N7=TRUE,(Skills!L7/10)*(E869/1000),Skills!L7/10)+Skills!O7</f>
        <v/>
      </c>
      <c r="G869">
        <f>Calc!G7</f>
        <v/>
      </c>
      <c r="H869">
        <f>Calc!H7</f>
        <v/>
      </c>
      <c r="I869">
        <f>IF(Skills!X7&lt;&gt;"",1+(Skills!X7/10)*(Z865/1000)/100,1)</f>
        <v/>
      </c>
      <c r="J869">
        <f>((Inputs!$B$6*(1+Inputs!$B$7/100))+(((Inputs!$B$12*(1+Inputs!$B$13/100))-(Inputs!$B$12*(1+Inputs!$B$13/100)))+0.25*(Inputs!$B$14-Inputs!$B$14))*(1+Inputs!$B$7/100))*(F869/100)</f>
        <v/>
      </c>
      <c r="K869">
        <f>J869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869)</f>
        <v/>
      </c>
      <c r="L869">
        <f>K869*(MIN(Inputs!$B$22+(F884-Calc!F22),(Inputs!$B$23+(IF(ArtifactsInput!$M$15,CHOOSE(ArtifactsInput!$N$15+1,25,30,35,40,45,50)/100*(Inputs!$B$11-Inputs!$B$11),0))))/100+(Inputs!$B$23+(IF(ArtifactsInput!$M$15,CHOOSE(ArtifactsInput!$N$15+1,25,30,35,40,45,50)/100*(Inputs!$B$11-Inputs!$B$11),0)))/100)/2</f>
        <v/>
      </c>
      <c r="M869">
        <f>L869*(1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9">
        <f>L869*(1-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869*(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9">
        <f>(1-Summary!$B$11)*S869+Summary!$B$11*U869</f>
        <v/>
      </c>
      <c r="P869">
        <f>IF(B903=0,0,O869/B903)</f>
        <v/>
      </c>
      <c r="Q869">
        <f>IFERROR(1/(IF(Inputs!$B$38="pvp",15,MAX(0.1,Skills!E7-IF(Skills!F7=TRUE,Inputs!$B$32,0)))*(1-IF(AND(ArtifactsInput!$M$27,Inputs!$B$4="Chapter Hunt"),CHOOSE(ArtifactsInput!$N$27+1,20,24,28,32,36,40),0)/100)),0)</f>
        <v/>
      </c>
      <c r="R869">
        <f>IF(AND(Inputs!$B$38&lt;&gt;"pvp",Inputs!$B$43&gt;0),IF(MAX(0,Inputs!$B$43-B900)&lt;=0,0,(INT(MAX(0,Inputs!$B$43-B900)/(IF(Inputs!$B$38="pvp",15,MAX(0.1,Skills!E7-IF(Skills!F7=TRUE,Inputs!$B$32,0)))*(1-IF(AND(ArtifactsInput!$M$27,Inputs!$B$4="Chapter Hunt"),CHOOSE(ArtifactsInput!$N$27+1,20,24,28,32,36,40),0)/100)))+1)),0)</f>
        <v/>
      </c>
      <c r="S869">
        <f>IF(C869,(H869*N869*IF(AND(Inputs!$B$38&lt;&gt;"pvp",Inputs!$B$43&gt;0),((Skills!G7*((R869-1)*IF(Skills!H7&gt;0,Skills!I7/Skills!H7,1)+IF(Skills!H7&gt;0,MIN(Skills!I7,MAX(0,MAX(0,Inputs!$B$43-B900)-((R869-1)*(IF(Inputs!$B$38="pvp",15,MAX(0.1,Skills!E7-IF(Skills!F7=TRUE,Inputs!$B$32,0)))*(1-IF(AND(ArtifactsInput!$M$27,Inputs!$B$4="Chapter Hunt"),CHOOSE(ArtifactsInput!$N$27+1,20,24,28,32,36,40),0)/100)))))/Skills!H7,1)))/Inputs!$B$43),G869*Q869)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869*(1-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869*(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869*(1-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869*(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69">
        <f>IF(C869,(H869*N869*IF(AND(Inputs!$B$38&lt;&gt;"pvp",Inputs!$B$43&gt;0),((Skills!G7*((R869-1)*IF(Skills!H7&gt;0,Skills!I7/Skills!H7,1)+IF(Skills!H7&gt;0,MIN(Skills!I7,MAX(0,MAX(0,Inputs!$B$43-B900)-((R869-1)*(IF(Inputs!$B$38="pvp",15,MAX(0.1,Skills!E7-IF(Skills!F7=TRUE,Inputs!$B$32,0)))*(1-IF(AND(ArtifactsInput!$M$27,Inputs!$B$4="Chapter Hunt"),CHOOSE(ArtifactsInput!$N$27+1,20,24,28,32,36,40),0)/100)))))/Skills!H7,1)))/Inputs!$B$43),G869*Q869)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0">
      <c r="A870">
        <f>Skills!A8</f>
        <v/>
      </c>
      <c r="B870">
        <f>Skills!B8</f>
        <v/>
      </c>
      <c r="C870">
        <f>TRUE</f>
        <v/>
      </c>
      <c r="D870">
        <f>IF(Skills!C8=1,60+Inputs!$B$25+Inputs!$B$29,IF(Skills!C8=2,90+Inputs!$B$26+Inputs!$B$29,IF(Skills!C8=3,120+Inputs!$B$27+Inputs!$B$29,MAX(0,(Inputs!$B$3-100)*3)+(Inputs!$B$28+1)+Inputs!$B$29)))</f>
        <v/>
      </c>
      <c r="E870">
        <f>INDEX(FactorTable!$B$2:$Y$301, MATCH(ROUND(MIN(300,MAX(1,D870)),0), FactorTable!$A$2:$A$301,0), Skills!M8+1)</f>
        <v/>
      </c>
      <c r="F870">
        <f>IF(Skills!N8=TRUE,(Skills!L8/10)*(E870/1000),Skills!L8/10)+Skills!O8</f>
        <v/>
      </c>
      <c r="G870">
        <f>Calc!G8</f>
        <v/>
      </c>
      <c r="H870">
        <f>Calc!H8</f>
        <v/>
      </c>
      <c r="I870">
        <f>IF(Skills!X8&lt;&gt;"",1+(Skills!X8/10)*(Z865/1000)/100,1)</f>
        <v/>
      </c>
      <c r="J870">
        <f>((Inputs!$B$6*(1+Inputs!$B$7/100))+(((Inputs!$B$12*(1+Inputs!$B$13/100))-(Inputs!$B$12*(1+Inputs!$B$13/100)))+0.25*(Inputs!$B$14-Inputs!$B$14))*(1+Inputs!$B$7/100))*(F870/100)</f>
        <v/>
      </c>
      <c r="K870">
        <f>J870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870)</f>
        <v/>
      </c>
      <c r="L870">
        <f>K870*(MIN(Inputs!$B$22+(F884-Calc!F22),(Inputs!$B$23+(IF(ArtifactsInput!$M$15,CHOOSE(ArtifactsInput!$N$15+1,25,30,35,40,45,50)/100*(Inputs!$B$11-Inputs!$B$11),0))))/100+(Inputs!$B$23+(IF(ArtifactsInput!$M$15,CHOOSE(ArtifactsInput!$N$15+1,25,30,35,40,45,50)/100*(Inputs!$B$11-Inputs!$B$11),0)))/100)/2</f>
        <v/>
      </c>
      <c r="M870">
        <f>L870*(1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0">
        <f>L870*(1-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870*(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0">
        <f>(1-Summary!$B$11)*S870+Summary!$B$11*U870</f>
        <v/>
      </c>
      <c r="P870">
        <f>IF(B903=0,0,O870/B903)</f>
        <v/>
      </c>
      <c r="Q870">
        <f>IFERROR(1/(IF(Inputs!$B$38="pvp",15,MAX(0.1,Skills!E8-IF(Skills!F8=TRUE,Inputs!$B$32,0)))*(1-IF(AND(ArtifactsInput!$M$27,Inputs!$B$4="Chapter Hunt"),CHOOSE(ArtifactsInput!$N$27+1,20,24,28,32,36,40),0)/100)),0)</f>
        <v/>
      </c>
      <c r="R870">
        <f>IF(AND(Inputs!$B$38&lt;&gt;"pvp",Inputs!$B$43&gt;0),IF(MAX(0,Inputs!$B$43-B900)&lt;=0,0,(INT(MAX(0,Inputs!$B$43-B900)/(IF(Inputs!$B$38="pvp",15,MAX(0.1,Skills!E8-IF(Skills!F8=TRUE,Inputs!$B$32,0)))*(1-IF(AND(ArtifactsInput!$M$27,Inputs!$B$4="Chapter Hunt"),CHOOSE(ArtifactsInput!$N$27+1,20,24,28,32,36,40),0)/100)))+1)),0)</f>
        <v/>
      </c>
      <c r="S870">
        <f>IF(C870,(H870*N870*IF(AND(Inputs!$B$38&lt;&gt;"pvp",Inputs!$B$43&gt;0),((Skills!G8*((R870-1)*IF(Skills!H8&gt;0,Skills!I8/Skills!H8,1)+IF(Skills!H8&gt;0,MIN(Skills!I8,MAX(0,MAX(0,Inputs!$B$43-B900)-((R870-1)*(IF(Inputs!$B$38="pvp",15,MAX(0.1,Skills!E8-IF(Skills!F8=TRUE,Inputs!$B$32,0)))*(1-IF(AND(ArtifactsInput!$M$27,Inputs!$B$4="Chapter Hunt"),CHOOSE(ArtifactsInput!$N$27+1,20,24,28,32,36,40),0)/100)))))/Skills!H8,1)))/Inputs!$B$43),G870*Q870)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870*(1-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870*(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870*(1-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870*(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0">
        <f>IF(C870,(H870*N870*IF(AND(Inputs!$B$38&lt;&gt;"pvp",Inputs!$B$43&gt;0),((Skills!G8*((R870-1)*IF(Skills!H8&gt;0,Skills!I8/Skills!H8,1)+IF(Skills!H8&gt;0,MIN(Skills!I8,MAX(0,MAX(0,Inputs!$B$43-B900)-((R870-1)*(IF(Inputs!$B$38="pvp",15,MAX(0.1,Skills!E8-IF(Skills!F8=TRUE,Inputs!$B$32,0)))*(1-IF(AND(ArtifactsInput!$M$27,Inputs!$B$4="Chapter Hunt"),CHOOSE(ArtifactsInput!$N$27+1,20,24,28,32,36,40),0)/100)))))/Skills!H8,1)))/Inputs!$B$43),G870*Q870)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1">
      <c r="A871">
        <f>Skills!A9</f>
        <v/>
      </c>
      <c r="B871">
        <f>Skills!B9</f>
        <v/>
      </c>
      <c r="C871">
        <f>Inputs!$B$3&gt;=103</f>
        <v/>
      </c>
      <c r="D871">
        <f>IF(Skills!C9=1,60+Inputs!$B$25+Inputs!$B$29,IF(Skills!C9=2,90+Inputs!$B$26+Inputs!$B$29,IF(Skills!C9=3,120+Inputs!$B$27+Inputs!$B$29,MAX(0,(Inputs!$B$3-100)*3)+(Inputs!$B$28+1)+Inputs!$B$29)))</f>
        <v/>
      </c>
      <c r="E871">
        <f>INDEX(FactorTable!$B$2:$Y$301, MATCH(ROUND(MIN(300,MAX(1,D871)),0), FactorTable!$A$2:$A$301,0), Skills!M9+1)</f>
        <v/>
      </c>
      <c r="F871">
        <f>IF(Skills!N9=TRUE,(Skills!L9/10)*(E871/1000),Skills!L9/10)+Skills!O9</f>
        <v/>
      </c>
      <c r="G871">
        <f>Calc!G9</f>
        <v/>
      </c>
      <c r="H871">
        <f>Calc!H9</f>
        <v/>
      </c>
      <c r="I871">
        <f>IF(Skills!X9&lt;&gt;"",1+(Skills!X9/10)*(Z865/1000)/100,1)</f>
        <v/>
      </c>
      <c r="J871">
        <f>((Inputs!$B$6*(1+Inputs!$B$7/100))+(((Inputs!$B$12*(1+Inputs!$B$13/100))-(Inputs!$B$12*(1+Inputs!$B$13/100)))+0.25*(Inputs!$B$14-Inputs!$B$14))*(1+Inputs!$B$7/100))*(F871/100)</f>
        <v/>
      </c>
      <c r="K871">
        <f>J871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871)</f>
        <v/>
      </c>
      <c r="L871">
        <f>K871*(MIN(Inputs!$B$22+(F884-Calc!F22),(Inputs!$B$23+(IF(ArtifactsInput!$M$15,CHOOSE(ArtifactsInput!$N$15+1,25,30,35,40,45,50)/100*(Inputs!$B$11-Inputs!$B$11),0))))/100+(Inputs!$B$23+(IF(ArtifactsInput!$M$15,CHOOSE(ArtifactsInput!$N$15+1,25,30,35,40,45,50)/100*(Inputs!$B$11-Inputs!$B$11),0)))/100)/2</f>
        <v/>
      </c>
      <c r="M871">
        <f>L871*(1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1">
        <f>L871*(1-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1">
        <f>(1-Summary!$B$11)*S871+Summary!$B$11*U871</f>
        <v/>
      </c>
      <c r="P871">
        <f>IF(B903=0,0,O871/B903)</f>
        <v/>
      </c>
      <c r="Q871">
        <f>IFERROR(1/(IF(Inputs!$B$38="pvp",15,MAX(0.1,Skills!E9-IF(Skills!F7=TRUE,Inputs!$B$32,0)))*(1-IF(AND(ArtifactsInput!$M$27,Inputs!$B$4="Chapter Hunt"),CHOOSE(ArtifactsInput!$N$27+1,20,24,28,32,36,40),0)/100)),0)</f>
        <v/>
      </c>
      <c r="R871">
        <f>IF(AND(Inputs!$B$38&lt;&gt;"pvp",Inputs!$B$43&gt;0),IF(MAX(0,Inputs!$B$43-B900)&lt;=0,0,(INT(MAX(0,Inputs!$B$43-B900)/(IF(Inputs!$B$38="pvp",15,MAX(0.1,Skills!E9-IF(Skills!F7=TRUE,Inputs!$B$32,0)))*(1-IF(AND(ArtifactsInput!$M$27,Inputs!$B$4="Chapter Hunt"),CHOOSE(ArtifactsInput!$N$27+1,20,24,28,32,36,40),0)/100)))+1)),0)</f>
        <v/>
      </c>
      <c r="S871">
        <f>IF(C871,(H871*N871*IF(AND(Inputs!$B$38&lt;&gt;"pvp",Inputs!$B$43&gt;0),((Skills!G9*((R871-1)*IF(Skills!H9&gt;0,Skills!I9/Skills!H9,1)+IF(Skills!H9&gt;0,MIN(Skills!I9,MAX(0,MAX(0,Inputs!$B$43-B900)-((R871-1)*(IF(Inputs!$B$38="pvp",15,MAX(0.1,Skills!E9-IF(Skills!F7=TRUE,Inputs!$B$32,0)))*(1-IF(AND(ArtifactsInput!$M$27,Inputs!$B$4="Chapter Hunt"),CHOOSE(ArtifactsInput!$N$27+1,20,24,28,32,36,40),0)/100)))))/Skills!H9,1)))/Inputs!$B$43),G871*Q871)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871*(1-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871*(1-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1">
        <f>IF(C871,(H871*N871*IF(AND(Inputs!$B$38&lt;&gt;"pvp",Inputs!$B$43&gt;0),((Skills!G9*((R871-1)*IF(Skills!H9&gt;0,Skills!I9/Skills!H9,1)+IF(Skills!H9&gt;0,MIN(Skills!I9,MAX(0,MAX(0,Inputs!$B$43-B900)-((R871-1)*(IF(Inputs!$B$38="pvp",15,MAX(0.1,Skills!E9-IF(Skills!F7=TRUE,Inputs!$B$32,0)))*(1-IF(AND(ArtifactsInput!$M$27,Inputs!$B$4="Chapter Hunt"),CHOOSE(ArtifactsInput!$N$27+1,20,24,28,32,36,40),0)/100)))))/Skills!H9,1)))/Inputs!$B$43),G871*Q871)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2">
      <c r="A872">
        <f>Skills!A10</f>
        <v/>
      </c>
      <c r="B872">
        <f>Skills!B10</f>
        <v/>
      </c>
      <c r="C872">
        <f>TRUE</f>
        <v/>
      </c>
      <c r="D872">
        <f>IF(Skills!C10=1,60+Inputs!$B$25+Inputs!$B$29,IF(Skills!C10=2,90+Inputs!$B$26+Inputs!$B$29,IF(Skills!C10=3,120+Inputs!$B$27+Inputs!$B$29,MAX(0,(Inputs!$B$3-100)*3)+(Inputs!$B$28+1)+Inputs!$B$29)))</f>
        <v/>
      </c>
      <c r="E872">
        <f>INDEX(FactorTable!$B$2:$Y$301, MATCH(ROUND(MIN(300,MAX(1,D872)),0), FactorTable!$A$2:$A$301,0), Skills!M10+1)</f>
        <v/>
      </c>
      <c r="F872">
        <f>IF(Skills!N10=TRUE,(Skills!L10/10)*(E872/1000),Skills!L10/10)+Skills!O10</f>
        <v/>
      </c>
      <c r="G872">
        <f>Calc!G10</f>
        <v/>
      </c>
      <c r="H872">
        <f>Calc!H10</f>
        <v/>
      </c>
      <c r="I872">
        <f>IF(Skills!X10&lt;&gt;"",1+(Skills!X10/10)*(Z865/1000)/100,1)</f>
        <v/>
      </c>
      <c r="J872">
        <f>((Inputs!$B$6*(1+Inputs!$B$7/100))+(((Inputs!$B$12*(1+Inputs!$B$13/100))-(Inputs!$B$12*(1+Inputs!$B$13/100)))+0.25*(Inputs!$B$14-Inputs!$B$14))*(1+Inputs!$B$7/100))*(F872/100)</f>
        <v/>
      </c>
      <c r="K872">
        <f>J872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872)</f>
        <v/>
      </c>
      <c r="L872">
        <f>K872*(MIN(Inputs!$B$22+(F884-Calc!F22),(Inputs!$B$23+(IF(ArtifactsInput!$M$15,CHOOSE(ArtifactsInput!$N$15+1,25,30,35,40,45,50)/100*(Inputs!$B$11-Inputs!$B$11),0))))/100+(Inputs!$B$23+(IF(ArtifactsInput!$M$15,CHOOSE(ArtifactsInput!$N$15+1,25,30,35,40,45,50)/100*(Inputs!$B$11-Inputs!$B$11),0)))/100)/2</f>
        <v/>
      </c>
      <c r="M872">
        <f>L872*(1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2">
        <f>L872*(1-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872*(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2">
        <f>(1-Summary!$B$11)*S872+Summary!$B$11*U872</f>
        <v/>
      </c>
      <c r="P872">
        <f>IF(B903=0,0,O872/B903)</f>
        <v/>
      </c>
      <c r="Q872">
        <f>IFERROR(1/(IF(Inputs!$B$38="pvp",15,MAX(0.1,Skills!E10-IF(Skills!F10=TRUE,Inputs!$B$32,0)))*(1-IF(AND(ArtifactsInput!$M$27,Inputs!$B$4="Chapter Hunt"),CHOOSE(ArtifactsInput!$N$27+1,20,24,28,32,36,40),0)/100)),0)</f>
        <v/>
      </c>
      <c r="R872">
        <f>IF(AND(Inputs!$B$38&lt;&gt;"pvp",Inputs!$B$43&gt;0),IF(MAX(0,Inputs!$B$43-B900)&lt;=0,0,(INT(MAX(0,Inputs!$B$43-B900)/(IF(Inputs!$B$38="pvp",15,MAX(0.1,Skills!E10-IF(Skills!F10=TRUE,Inputs!$B$32,0)))*(1-IF(AND(ArtifactsInput!$M$27,Inputs!$B$4="Chapter Hunt"),CHOOSE(ArtifactsInput!$N$27+1,20,24,28,32,36,40),0)/100)))+1)),0)</f>
        <v/>
      </c>
      <c r="S872">
        <f>IF(C872,(H872*N872*IF(AND(Inputs!$B$38&lt;&gt;"pvp",Inputs!$B$43&gt;0),((Skills!G10*((R872-1)*IF(Skills!H10&gt;0,Skills!I10/Skills!H10,1)+IF(Skills!H10&gt;0,MIN(Skills!I10,MAX(0,MAX(0,Inputs!$B$43-B900)-((R872-1)*(IF(Inputs!$B$38="pvp",15,MAX(0.1,Skills!E10-IF(Skills!F10=TRUE,Inputs!$B$32,0)))*(1-IF(AND(ArtifactsInput!$M$27,Inputs!$B$4="Chapter Hunt"),CHOOSE(ArtifactsInput!$N$27+1,20,24,28,32,36,40),0)/100)))))/Skills!H10,1)))/Inputs!$B$43),G872*Q872)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872*(1-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872*(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872*(1-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872*(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2">
        <f>IF(C872,(H872*N872*IF(AND(Inputs!$B$38&lt;&gt;"pvp",Inputs!$B$43&gt;0),((Skills!G10*((R872-1)*IF(Skills!H10&gt;0,Skills!I10/Skills!H10,1)+IF(Skills!H10&gt;0,MIN(Skills!I10,MAX(0,MAX(0,Inputs!$B$43-B900)-((R872-1)*(IF(Inputs!$B$38="pvp",15,MAX(0.1,Skills!E10-IF(Skills!F10=TRUE,Inputs!$B$32,0)))*(1-IF(AND(ArtifactsInput!$M$27,Inputs!$B$4="Chapter Hunt"),CHOOSE(ArtifactsInput!$N$27+1,20,24,28,32,36,40),0)/100)))))/Skills!H10,1)))/Inputs!$B$43),G872*Q872)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3">
      <c r="A873">
        <f>Skills!A11</f>
        <v/>
      </c>
      <c r="B873">
        <f>Skills!B11</f>
        <v/>
      </c>
      <c r="C873">
        <f>TRUE</f>
        <v/>
      </c>
      <c r="D873">
        <f>IF(Skills!C11=1,60+Inputs!$B$25+Inputs!$B$29,IF(Skills!C11=2,90+Inputs!$B$26+Inputs!$B$29,IF(Skills!C11=3,120+Inputs!$B$27+Inputs!$B$29,MAX(0,(Inputs!$B$3-100)*3)+(Inputs!$B$28+1)+Inputs!$B$29)))</f>
        <v/>
      </c>
      <c r="E873">
        <f>INDEX(FactorTable!$B$2:$Y$301, MATCH(ROUND(MIN(300,MAX(1,D873)),0), FactorTable!$A$2:$A$301,0), Skills!M11+1)</f>
        <v/>
      </c>
      <c r="F873">
        <f>IF(Skills!N11=TRUE,(Skills!L11/10)*(E873/1000),Skills!L11/10)+Skills!O11</f>
        <v/>
      </c>
      <c r="G873">
        <f>Calc!G11</f>
        <v/>
      </c>
      <c r="H873">
        <f>Calc!H11</f>
        <v/>
      </c>
      <c r="I873">
        <f>IF(Skills!X11&lt;&gt;"",1+(Skills!X11/10)*(Z865/1000)/100,1)</f>
        <v/>
      </c>
      <c r="J873" t="inlineStr"/>
      <c r="K873" t="inlineStr"/>
      <c r="L873" t="inlineStr"/>
      <c r="M873" t="inlineStr"/>
      <c r="N873" t="inlineStr"/>
      <c r="O873">
        <f>(1-Summary!$B$11)*S873+Summary!$B$11*U873</f>
        <v/>
      </c>
      <c r="P873">
        <f>IF(B903=0,0,O873/B903)</f>
        <v/>
      </c>
      <c r="Q873">
        <f>IFERROR(1/(IF(Inputs!$B$38="pvp",15,MAX(0.1,Skills!E11-IF(Skills!F11=TRUE,Inputs!$B$32,0)))*(1-IF(AND(ArtifactsInput!$M$27,Inputs!$B$4="Chapter Hunt"),CHOOSE(ArtifactsInput!$N$27+1,20,24,28,32,36,40),0)/100)),0)</f>
        <v/>
      </c>
      <c r="R873" t="n">
        <v>0</v>
      </c>
      <c r="S873" t="n">
        <v>0</v>
      </c>
      <c r="U873" t="n">
        <v>0</v>
      </c>
    </row>
    <row r="874">
      <c r="A874">
        <f>Skills!A12</f>
        <v/>
      </c>
      <c r="B874">
        <f>Skills!B12</f>
        <v/>
      </c>
      <c r="C874">
        <f>TRUE</f>
        <v/>
      </c>
      <c r="D874">
        <f>IF(Skills!C12=1,60+Inputs!$B$25+Inputs!$B$29,IF(Skills!C12=2,90+Inputs!$B$26+Inputs!$B$29,IF(Skills!C12=3,120+Inputs!$B$27+Inputs!$B$29,MAX(0,(Inputs!$B$3-100)*3)+(Inputs!$B$28+1)+Inputs!$B$29)))</f>
        <v/>
      </c>
      <c r="E874">
        <f>INDEX(FactorTable!$B$2:$Y$301, MATCH(ROUND(MIN(300,MAX(1,D874)),0), FactorTable!$A$2:$A$301,0), Skills!M12+1)</f>
        <v/>
      </c>
      <c r="F874">
        <f>IF(Skills!N12=TRUE,(Skills!L12/10)*(E874/1000),Skills!L12/10)+Skills!O12</f>
        <v/>
      </c>
      <c r="G874">
        <f>Calc!G12</f>
        <v/>
      </c>
      <c r="H874">
        <f>Calc!H12</f>
        <v/>
      </c>
      <c r="I874">
        <f>IF(Skills!X12&lt;&gt;"",1+(Skills!X12/10)*(Z865/1000)/100,1)</f>
        <v/>
      </c>
      <c r="J874" t="inlineStr"/>
      <c r="K874" t="inlineStr"/>
      <c r="L874" t="inlineStr"/>
      <c r="M874" t="inlineStr"/>
      <c r="N874" t="inlineStr"/>
      <c r="O874">
        <f>(1-Summary!$B$11)*S874+Summary!$B$11*U874</f>
        <v/>
      </c>
      <c r="P874">
        <f>IF(B903=0,0,O874/B903)</f>
        <v/>
      </c>
      <c r="Q874">
        <f>IFERROR(1/(IF(Inputs!$B$38="pvp",15,MAX(0.1,Skills!E12-IF(Skills!F12=TRUE,Inputs!$B$32,0)))*(1-IF(AND(ArtifactsInput!$M$27,Inputs!$B$4="Chapter Hunt"),CHOOSE(ArtifactsInput!$N$27+1,20,24,28,32,36,40),0)/100)),0)</f>
        <v/>
      </c>
      <c r="R874" t="n">
        <v>0</v>
      </c>
      <c r="S874" t="n">
        <v>0</v>
      </c>
      <c r="U874" t="n">
        <v>0</v>
      </c>
    </row>
    <row r="875">
      <c r="A875">
        <f>Skills!A13</f>
        <v/>
      </c>
      <c r="B875">
        <f>Skills!B13</f>
        <v/>
      </c>
      <c r="C875">
        <f>Inputs!$B$3&gt;=105</f>
        <v/>
      </c>
      <c r="D875">
        <f>IF(Skills!C13=1,60+Inputs!$B$25+Inputs!$B$29,IF(Skills!C13=2,90+Inputs!$B$26+Inputs!$B$29,IF(Skills!C13=3,120+Inputs!$B$27+Inputs!$B$29,MAX(0,(Inputs!$B$3-100)*3)+(Inputs!$B$28+1)+Inputs!$B$29)))</f>
        <v/>
      </c>
      <c r="E875">
        <f>INDEX(FactorTable!$B$2:$Y$301, MATCH(ROUND(MIN(300,MAX(1,D875)),0), FactorTable!$A$2:$A$301,0), Skills!M13+1)</f>
        <v/>
      </c>
      <c r="F875">
        <f>IF(Skills!N13=TRUE,(Skills!L13/10)*(E875/1000),Skills!L13/10)+Skills!O13</f>
        <v/>
      </c>
      <c r="G875">
        <f>Calc!G13</f>
        <v/>
      </c>
      <c r="H875">
        <f>Calc!H13</f>
        <v/>
      </c>
      <c r="I875">
        <f>IF(Skills!X13&lt;&gt;"",1+(Skills!X13/10)*(Z865/1000)/100,1)</f>
        <v/>
      </c>
      <c r="J875">
        <f>((Inputs!$B$6*(1+Inputs!$B$7/100))+(((Inputs!$B$12*(1+Inputs!$B$13/100))-(Inputs!$B$12*(1+Inputs!$B$13/100)))+0.25*(Inputs!$B$14-Inputs!$B$14))*(1+Inputs!$B$7/100))*(F875/100)</f>
        <v/>
      </c>
      <c r="K875">
        <f>J875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875)</f>
        <v/>
      </c>
      <c r="L875">
        <f>K875*(MIN(Inputs!$B$22+(F884-Calc!F22),(Inputs!$B$23+(IF(ArtifactsInput!$M$15,CHOOSE(ArtifactsInput!$N$15+1,25,30,35,40,45,50)/100*(Inputs!$B$11-Inputs!$B$11),0))))/100+(Inputs!$B$23+(IF(ArtifactsInput!$M$15,CHOOSE(ArtifactsInput!$N$15+1,25,30,35,40,45,50)/100*(Inputs!$B$11-Inputs!$B$11),0)))/100)/2</f>
        <v/>
      </c>
      <c r="M875">
        <f>L875*(1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5">
        <f>L875*(1-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875*(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5">
        <f>(1-Summary!$B$11)*S875+Summary!$B$11*U875</f>
        <v/>
      </c>
      <c r="P875">
        <f>IF(B903=0,0,O875/B903)</f>
        <v/>
      </c>
      <c r="Q875">
        <f>IFERROR(1/(IF(Inputs!$B$38="pvp",15,MAX(0.1,Skills!E13-IF(Skills!F13=TRUE,Inputs!$B$32,0)))*(1-IF(AND(ArtifactsInput!$M$27,Inputs!$B$4="Chapter Hunt"),CHOOSE(ArtifactsInput!$N$27+1,20,24,28,32,36,40),0)/100)),0)</f>
        <v/>
      </c>
      <c r="R875">
        <f>IF(AND(Inputs!$B$38&lt;&gt;"pvp",Inputs!$B$43&gt;0),IF(MAX(0,Inputs!$B$43-B900)&lt;=0,0,(INT(MAX(0,Inputs!$B$43-B900)/(IF(Inputs!$B$38="pvp",15,MAX(0.1,Skills!E13-IF(Skills!F13=TRUE,Inputs!$B$32,0)))*(1-IF(AND(ArtifactsInput!$M$27,Inputs!$B$4="Chapter Hunt"),CHOOSE(ArtifactsInput!$N$27+1,20,24,28,32,36,40),0)/100)))+1)),0)</f>
        <v/>
      </c>
      <c r="S875">
        <f>IF(C875,(H875*N875*IF(AND(Inputs!$B$38&lt;&gt;"pvp",Inputs!$B$43&gt;0),((Skills!G13*((R875-1)*IF(Skills!H13&gt;0,Skills!I13/Skills!H13,1)+IF(Skills!H13&gt;0,MIN(Skills!I13,MAX(0,MAX(0,Inputs!$B$43-B900)-((R875-1)*(IF(Inputs!$B$38="pvp",15,MAX(0.1,Skills!E13-IF(Skills!F13=TRUE,Inputs!$B$32,0)))*(1-IF(AND(ArtifactsInput!$M$27,Inputs!$B$4="Chapter Hunt"),CHOOSE(ArtifactsInput!$N$27+1,20,24,28,32,36,40),0)/100)))))/Skills!H13,1)))/Inputs!$B$43),G875*Q875)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875*(1-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875*(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875*(1-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875*(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5">
        <f>IF(C875,(H875*N875*IF(AND(Inputs!$B$38&lt;&gt;"pvp",Inputs!$B$43&gt;0),((Skills!G13*((R875-1)*IF(Skills!H13&gt;0,Skills!I13/Skills!H13,1)+IF(Skills!H13&gt;0,MIN(Skills!I13,MAX(0,MAX(0,Inputs!$B$43-B900)-((R875-1)*(IF(Inputs!$B$38="pvp",15,MAX(0.1,Skills!E13-IF(Skills!F13=TRUE,Inputs!$B$32,0)))*(1-IF(AND(ArtifactsInput!$M$27,Inputs!$B$4="Chapter Hunt"),CHOOSE(ArtifactsInput!$N$27+1,20,24,28,32,36,40),0)/100)))))/Skills!H13,1)))/Inputs!$B$43),G875*Q875)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6">
      <c r="A876">
        <f>Skills!A14</f>
        <v/>
      </c>
      <c r="B876">
        <f>Skills!B14</f>
        <v/>
      </c>
      <c r="C876">
        <f>Inputs!$B$3&gt;=113</f>
        <v/>
      </c>
      <c r="D876">
        <f>IF(Skills!C14=1,60+Inputs!$B$25+Inputs!$B$29,IF(Skills!C14=2,90+Inputs!$B$26+Inputs!$B$29,IF(Skills!C14=3,120+Inputs!$B$27+Inputs!$B$29,MAX(0,(Inputs!$B$3-100)*3)+(Inputs!$B$28+1)+Inputs!$B$29)))</f>
        <v/>
      </c>
      <c r="E876">
        <f>INDEX(FactorTable!$B$2:$Y$301, MATCH(ROUND(MIN(300,MAX(1,D876)),0), FactorTable!$A$2:$A$301,0), Skills!M14+1)</f>
        <v/>
      </c>
      <c r="F876">
        <f>IF(Skills!N14=TRUE,(Skills!L14/10)*(E876/1000),Skills!L14/10)+Skills!O14</f>
        <v/>
      </c>
      <c r="G876">
        <f>Calc!G14</f>
        <v/>
      </c>
      <c r="H876">
        <f>Calc!H14</f>
        <v/>
      </c>
      <c r="I876">
        <f>IF(Skills!X14&lt;&gt;"",1+(Skills!X14/10)*(Z865/1000)/100,1)</f>
        <v/>
      </c>
      <c r="J876">
        <f>((Inputs!$B$6*(1+Inputs!$B$7/100))+(((Inputs!$B$12*(1+Inputs!$B$13/100))-(Inputs!$B$12*(1+Inputs!$B$13/100)))+0.25*(Inputs!$B$14-Inputs!$B$14))*(1+Inputs!$B$7/100))*(F876/100)</f>
        <v/>
      </c>
      <c r="K876">
        <f>J876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876)</f>
        <v/>
      </c>
      <c r="L876">
        <f>K876*(MIN(Inputs!$B$22+(F884-Calc!F22),(Inputs!$B$23+(IF(ArtifactsInput!$M$15,CHOOSE(ArtifactsInput!$N$15+1,25,30,35,40,45,50)/100*(Inputs!$B$11-Inputs!$B$11),0))))/100+(Inputs!$B$23+(IF(ArtifactsInput!$M$15,CHOOSE(ArtifactsInput!$N$15+1,25,30,35,40,45,50)/100*(Inputs!$B$11-Inputs!$B$11),0)))/100)/2</f>
        <v/>
      </c>
      <c r="M876">
        <f>L876*(1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6">
        <f>L876*(1-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876*(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6">
        <f>(1-Summary!$B$11)*S876+Summary!$B$11*U876</f>
        <v/>
      </c>
      <c r="P876">
        <f>IF(B903=0,0,O876/B903)</f>
        <v/>
      </c>
      <c r="Q876">
        <f>IFERROR(1/(IF(Inputs!$B$38="pvp",15,MAX(0.1,Skills!E14-IF(Skills!F14=TRUE,Inputs!$B$32,0)))*(1-IF(AND(ArtifactsInput!$M$27,Inputs!$B$4="Chapter Hunt"),CHOOSE(ArtifactsInput!$N$27+1,20,24,28,32,36,40),0)/100)),0)</f>
        <v/>
      </c>
      <c r="R876" t="n">
        <v>0</v>
      </c>
      <c r="S876">
        <f>IF(C876,((H876*B899)/(1+Skills!H14*H876*B899)*N876)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876*(1-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876*(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876*(1-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876*(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6">
        <f>IF(C876,((H876*B899)/(1+Skills!H14*H876*B899)*N876)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7">
      <c r="A877">
        <f>Skills!A15</f>
        <v/>
      </c>
      <c r="B877">
        <f>Skills!B15</f>
        <v/>
      </c>
      <c r="C877">
        <f>Inputs!$B$3&gt;=107</f>
        <v/>
      </c>
      <c r="D877">
        <f>IF(Skills!C15=1,60+Inputs!$B$25+Inputs!$B$29,IF(Skills!C15=2,90+Inputs!$B$26+Inputs!$B$29,IF(Skills!C15=3,120+Inputs!$B$27+Inputs!$B$29,MAX(0,(Inputs!$B$3-100)*3)+(Inputs!$B$28+1)+Inputs!$B$29)))</f>
        <v/>
      </c>
      <c r="E877">
        <f>INDEX(FactorTable!$B$2:$Y$301, MATCH(ROUND(MIN(300,MAX(1,D877)),0), FactorTable!$A$2:$A$301,0), Skills!M15+1)</f>
        <v/>
      </c>
      <c r="F877">
        <f>IF(Skills!N15=TRUE,(Skills!L15/10)*(E877/1000),Skills!L15/10)+Skills!O15</f>
        <v/>
      </c>
      <c r="G877">
        <f>Calc!G15</f>
        <v/>
      </c>
      <c r="H877">
        <f>Calc!H15</f>
        <v/>
      </c>
      <c r="I877">
        <f>IF(Skills!X15&lt;&gt;"",1+(Skills!X15/10)*(Z865/1000)/100,1)</f>
        <v/>
      </c>
      <c r="J877">
        <f>((Inputs!$B$6*(1+Inputs!$B$7/100))+(((Inputs!$B$12*(1+Inputs!$B$13/100))-(Inputs!$B$12*(1+Inputs!$B$13/100)))+0.25*(Inputs!$B$14-Inputs!$B$14))*(1+Inputs!$B$7/100))*(F877/100)</f>
        <v/>
      </c>
      <c r="K877">
        <f>J877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877)</f>
        <v/>
      </c>
      <c r="L877">
        <f>K877*(MIN(Inputs!$B$22+(F884-Calc!F22),(Inputs!$B$23+(IF(ArtifactsInput!$M$15,CHOOSE(ArtifactsInput!$N$15+1,25,30,35,40,45,50)/100*(Inputs!$B$11-Inputs!$B$11),0))))/100+(Inputs!$B$23+(IF(ArtifactsInput!$M$15,CHOOSE(ArtifactsInput!$N$15+1,25,30,35,40,45,50)/100*(Inputs!$B$11-Inputs!$B$11),0)))/100)/2</f>
        <v/>
      </c>
      <c r="M877">
        <f>L877*(1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7">
        <f>L877*(1-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877*(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7">
        <f>(1-Summary!$B$11)*S877+Summary!$B$11*U877</f>
        <v/>
      </c>
      <c r="P877">
        <f>IF(B903=0,0,O877/B903)</f>
        <v/>
      </c>
      <c r="Q877">
        <f>IFERROR(1/(IF(Inputs!$B$38="pvp",15,MAX(0.1,Skills!E15-IF(Skills!F15=TRUE,Inputs!$B$32,0)))*(1-IF(AND(ArtifactsInput!$M$27,Inputs!$B$4="Chapter Hunt"),CHOOSE(ArtifactsInput!$N$27+1,20,24,28,32,36,40),0)/100)),0)</f>
        <v/>
      </c>
      <c r="R877">
        <f>IF(AND(Inputs!$B$38&lt;&gt;"pvp",Inputs!$B$43&gt;0),IF(MAX(0,Inputs!$B$43-B900)&lt;=0,0,(INT(MAX(0,Inputs!$B$43-B900)/(IF(Inputs!$B$38="pvp",15,MAX(0.1,Skills!E15-IF(Skills!F15=TRUE,Inputs!$B$32,0)))*(1-IF(AND(ArtifactsInput!$M$27,Inputs!$B$4="Chapter Hunt"),CHOOSE(ArtifactsInput!$N$27+1,20,24,28,32,36,40),0)/100)))+1)),0)</f>
        <v/>
      </c>
      <c r="S877">
        <f>IF(C877,(H877*N877*IF(AND(Inputs!$B$38&lt;&gt;"pvp",Inputs!$B$43&gt;0),((Skills!G15*((R877-1)*IF(Skills!H15&gt;0,Skills!I15/Skills!H15,1)+IF(Skills!H15&gt;0,MIN(Skills!I15,MAX(0,MAX(0,Inputs!$B$43-B900)-((R877-1)*(IF(Inputs!$B$38="pvp",15,MAX(0.1,Skills!E15-IF(Skills!F15=TRUE,Inputs!$B$32,0)))*(1-IF(AND(ArtifactsInput!$M$27,Inputs!$B$4="Chapter Hunt"),CHOOSE(ArtifactsInput!$N$27+1,20,24,28,32,36,40),0)/100)))))/Skills!H15,1)))/Inputs!$B$43),G877*Q877)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877*(1-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877*(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877*(1-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877*(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7">
        <f>IF(C877,(H877*N877*IF(AND(Inputs!$B$38&lt;&gt;"pvp",Inputs!$B$43&gt;0),((Skills!G15*((R877-1)*IF(Skills!H15&gt;0,Skills!I15/Skills!H15,1)+IF(Skills!H15&gt;0,MIN(Skills!I15,MAX(0,MAX(0,Inputs!$B$43-B900)-((R877-1)*(IF(Inputs!$B$38="pvp",15,MAX(0.1,Skills!E15-IF(Skills!F15=TRUE,Inputs!$B$32,0)))*(1-IF(AND(ArtifactsInput!$M$27,Inputs!$B$4="Chapter Hunt"),CHOOSE(ArtifactsInput!$N$27+1,20,24,28,32,36,40),0)/100)))))/Skills!H15,1)))/Inputs!$B$43),G877*Q877)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8">
      <c r="A878">
        <f>Skills!A16</f>
        <v/>
      </c>
      <c r="B878">
        <f>Skills!B16</f>
        <v/>
      </c>
      <c r="C878">
        <f>Inputs!$B$3&gt;=107</f>
        <v/>
      </c>
      <c r="D878">
        <f>IF(Skills!C16=1,60+Inputs!$B$25+Inputs!$B$29,IF(Skills!C16=2,90+Inputs!$B$26+Inputs!$B$29,IF(Skills!C16=3,120+Inputs!$B$27+Inputs!$B$29,MAX(0,(Inputs!$B$3-100)*3)+(Inputs!$B$28+1)+Inputs!$B$29)))</f>
        <v/>
      </c>
      <c r="E878">
        <f>INDEX(FactorTable!$B$2:$Y$301, MATCH(ROUND(MIN(300,MAX(1,D878)),0), FactorTable!$A$2:$A$301,0), Skills!M16+1)</f>
        <v/>
      </c>
      <c r="F878">
        <f>IF(Skills!N16=TRUE,(Skills!L16/10)*(E878/1000),Skills!L16/10)+Skills!O16</f>
        <v/>
      </c>
      <c r="G878">
        <f>Calc!G16</f>
        <v/>
      </c>
      <c r="H878">
        <f>Calc!H16</f>
        <v/>
      </c>
      <c r="I878">
        <f>IF(Skills!X16&lt;&gt;"",1+(Skills!X16/10)*(Z865/1000)/100,1)</f>
        <v/>
      </c>
      <c r="J878">
        <f>((Inputs!$B$6*(1+Inputs!$B$7/100))+(((Inputs!$B$12*(1+Inputs!$B$13/100))-(Inputs!$B$12*(1+Inputs!$B$13/100)))+0.25*(Inputs!$B$14-Inputs!$B$14))*(1+Inputs!$B$7/100))*(F878/100)</f>
        <v/>
      </c>
      <c r="K878">
        <f>J878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878)</f>
        <v/>
      </c>
      <c r="L878">
        <f>K878*(MIN(Inputs!$B$22+(F884-Calc!F22),(Inputs!$B$23+(IF(ArtifactsInput!$M$15,CHOOSE(ArtifactsInput!$N$15+1,25,30,35,40,45,50)/100*(Inputs!$B$11-Inputs!$B$11),0))))/100+(Inputs!$B$23+(IF(ArtifactsInput!$M$15,CHOOSE(ArtifactsInput!$N$15+1,25,30,35,40,45,50)/100*(Inputs!$B$11-Inputs!$B$11),0)))/100)/2</f>
        <v/>
      </c>
      <c r="M878">
        <f>L878*(1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8">
        <f>L878*(1-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878*(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8">
        <f>(1-Summary!$B$11)*S878+Summary!$B$11*U878</f>
        <v/>
      </c>
      <c r="P878">
        <f>IF(B903=0,0,O878/B903)</f>
        <v/>
      </c>
      <c r="Q878">
        <f>IFERROR(1/(IF(Inputs!$B$38="pvp",15,MAX(0.1,Skills!E16-IF(Skills!F16=TRUE,Inputs!$B$32,0)))*(1-IF(AND(ArtifactsInput!$M$27,Inputs!$B$4="Chapter Hunt"),CHOOSE(ArtifactsInput!$N$27+1,20,24,28,32,36,40),0)/100)),0)</f>
        <v/>
      </c>
      <c r="R878">
        <f>IF(AND(Inputs!$B$38&lt;&gt;"pvp",Inputs!$B$43&gt;0),IF(MAX(0,Inputs!$B$43-B900)&lt;=0,0,(INT(MAX(0,Inputs!$B$43-B900)/(IF(Inputs!$B$38="pvp",15,MAX(0.1,Skills!E16-IF(Skills!F16=TRUE,Inputs!$B$32,0)))*(1-IF(AND(ArtifactsInput!$M$27,Inputs!$B$4="Chapter Hunt"),CHOOSE(ArtifactsInput!$N$27+1,20,24,28,32,36,40),0)/100)))+1)),0)</f>
        <v/>
      </c>
      <c r="S878">
        <f>IF(C878,(H878*N878*IF(AND(Inputs!$B$38&lt;&gt;"pvp",Inputs!$B$43&gt;0),((Skills!G16*((R878-1)*IF(Skills!H16&gt;0,Skills!I16/Skills!H16,1)+IF(Skills!H16&gt;0,MIN(Skills!I16,MAX(0,MAX(0,Inputs!$B$43-B900)-((R878-1)*(IF(Inputs!$B$38="pvp",15,MAX(0.1,Skills!E16-IF(Skills!F16=TRUE,Inputs!$B$32,0)))*(1-IF(AND(ArtifactsInput!$M$27,Inputs!$B$4="Chapter Hunt"),CHOOSE(ArtifactsInput!$N$27+1,20,24,28,32,36,40),0)/100)))))/Skills!H16,1)))/Inputs!$B$43),G878*Q878)*(1+IF(Inputs!$B$3&gt;=126,0.05*(B898+Q875+(H876*B899)/(1+Skills!H14*H876*B899)+Q886)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878*(1-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878*(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878*(1-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878*(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8">
        <f>IF(C878,(H878*N878*IF(AND(Inputs!$B$38&lt;&gt;"pvp",Inputs!$B$43&gt;0),((Skills!G16*((R878-1)*IF(Skills!H16&gt;0,Skills!I16/Skills!H16,1)+IF(Skills!H16&gt;0,MIN(Skills!I16,MAX(0,MAX(0,Inputs!$B$43-B900)-((R878-1)*(IF(Inputs!$B$38="pvp",15,MAX(0.1,Skills!E16-IF(Skills!F16=TRUE,Inputs!$B$32,0)))*(1-IF(AND(ArtifactsInput!$M$27,Inputs!$B$4="Chapter Hunt"),CHOOSE(ArtifactsInput!$N$27+1,20,24,28,32,36,40),0)/100)))))/Skills!H16,1)))/Inputs!$B$43),G878*Q878)*(1+IF(Inputs!$B$3&gt;=126,0.05*(B898+Q875+(H876*B899)/(1+Skills!H14*H876*B899)+Q886)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9">
      <c r="A879">
        <f>Skills!A17</f>
        <v/>
      </c>
      <c r="B879">
        <f>Skills!B17</f>
        <v/>
      </c>
      <c r="C879">
        <f>TRUE</f>
        <v/>
      </c>
      <c r="D879">
        <f>IF(Skills!C17=1,60+Inputs!$B$25+Inputs!$B$29,IF(Skills!C17=2,90+Inputs!$B$26+Inputs!$B$29,IF(Skills!C17=3,120+Inputs!$B$27+Inputs!$B$29,MAX(0,(Inputs!$B$3-100)*3)+(Inputs!$B$28+1)+Inputs!$B$29)))</f>
        <v/>
      </c>
      <c r="E879">
        <f>INDEX(FactorTable!$B$2:$Y$301, MATCH(ROUND(MIN(300,MAX(1,D879)),0), FactorTable!$A$2:$A$301,0), Skills!M17+1)</f>
        <v/>
      </c>
      <c r="F879">
        <f>IF(Skills!N17=TRUE,(Skills!L17/10)*(E879/1000),Skills!L17/10)+Skills!O17</f>
        <v/>
      </c>
      <c r="G879">
        <f>Calc!G17</f>
        <v/>
      </c>
      <c r="H879">
        <f>Calc!H17</f>
        <v/>
      </c>
      <c r="I879">
        <f>IF(Skills!X17&lt;&gt;"",1+(Skills!X17/10)*(Z865/1000)/100,1)</f>
        <v/>
      </c>
      <c r="J879" t="inlineStr"/>
      <c r="K879" t="inlineStr"/>
      <c r="L879" t="inlineStr"/>
      <c r="M879" t="inlineStr"/>
      <c r="N879" t="inlineStr"/>
      <c r="O879">
        <f>(1-Summary!$B$11)*S879+Summary!$B$11*U879</f>
        <v/>
      </c>
      <c r="P879">
        <f>IF(B903=0,0,O879/B903)</f>
        <v/>
      </c>
      <c r="Q879">
        <f>IFERROR(1/(IF(Inputs!$B$38="pvp",15,MAX(0.1,Skills!E17-IF(Skills!F17=TRUE,Inputs!$B$32,0)))*(1-IF(AND(ArtifactsInput!$M$27,Inputs!$B$4="Chapter Hunt"),CHOOSE(ArtifactsInput!$N$27+1,20,24,28,32,36,40),0)/100)),0)</f>
        <v/>
      </c>
      <c r="R879">
        <f>IF(AND(Inputs!$B$38&lt;&gt;"pvp",Inputs!$B$43&gt;0),IF(Inputs!$B$43&lt;=0,0,(INT(Inputs!$B$43/(IF(Inputs!$B$38="pvp",15,MAX(0.1,Skills!E17-IF(Skills!F17=TRUE,Inputs!$B$32,0)))*(1-IF(AND(ArtifactsInput!$M$27,Inputs!$B$4="Chapter Hunt"),CHOOSE(ArtifactsInput!$N$27+1,20,24,28,32,36,40),0)/100)))+1)),0)</f>
        <v/>
      </c>
      <c r="S879" t="n">
        <v>0</v>
      </c>
      <c r="U879" t="n">
        <v>0</v>
      </c>
    </row>
    <row r="880">
      <c r="A880">
        <f>Skills!A18</f>
        <v/>
      </c>
      <c r="B880">
        <f>Skills!B18</f>
        <v/>
      </c>
      <c r="C880">
        <f>TRUE</f>
        <v/>
      </c>
      <c r="D880">
        <f>IF(Skills!C18=1,60+Inputs!$B$25+Inputs!$B$29,IF(Skills!C18=2,90+Inputs!$B$26+Inputs!$B$29,IF(Skills!C18=3,120+Inputs!$B$27+Inputs!$B$29,MAX(0,(Inputs!$B$3-100)*3)+(Inputs!$B$28+1)+Inputs!$B$29)))</f>
        <v/>
      </c>
      <c r="E880">
        <f>INDEX(FactorTable!$B$2:$Y$301, MATCH(ROUND(MIN(300,MAX(1,D880)),0), FactorTable!$A$2:$A$301,0), Skills!M18+1)</f>
        <v/>
      </c>
      <c r="F880">
        <f>IF(Skills!N18=TRUE,(Skills!L18/10)*(E880/1000),Skills!L18/10)+Skills!O18</f>
        <v/>
      </c>
      <c r="G880">
        <f>Calc!G18</f>
        <v/>
      </c>
      <c r="H880">
        <f>Calc!H18</f>
        <v/>
      </c>
      <c r="I880">
        <f>IF(Skills!X18&lt;&gt;"",1+(Skills!X18/10)*(Z865/1000)/100,1)</f>
        <v/>
      </c>
      <c r="J880" t="inlineStr"/>
      <c r="K880" t="inlineStr"/>
      <c r="L880" t="inlineStr"/>
      <c r="M880" t="inlineStr"/>
      <c r="N880" t="inlineStr"/>
      <c r="O880">
        <f>(1-Summary!$B$11)*S880+Summary!$B$11*U880</f>
        <v/>
      </c>
      <c r="P880">
        <f>IF(B903=0,0,O880/B903)</f>
        <v/>
      </c>
      <c r="Q880">
        <f>IFERROR(1/(IF(Inputs!$B$38="pvp",15,MAX(0.1,Skills!E18-IF(Skills!F18=TRUE,Inputs!$B$32,0)))*(1-IF(AND(ArtifactsInput!$M$27,Inputs!$B$4="Chapter Hunt"),CHOOSE(ArtifactsInput!$N$27+1,20,24,28,32,36,40),0)/100)),0)</f>
        <v/>
      </c>
      <c r="R880">
        <f>IF(AND(Inputs!$B$38&lt;&gt;"pvp",Inputs!$B$43&gt;0),IF(Inputs!$B$43&lt;=0,0,(INT(Inputs!$B$43/(IF(Inputs!$B$38="pvp",15,MAX(0.1,Skills!E18-IF(Skills!F18=TRUE,Inputs!$B$32,0)))*(1-IF(AND(ArtifactsInput!$M$27,Inputs!$B$4="Chapter Hunt"),CHOOSE(ArtifactsInput!$N$27+1,20,24,28,32,36,40),0)/100)))+1)),0)</f>
        <v/>
      </c>
      <c r="S880" t="n">
        <v>0</v>
      </c>
      <c r="U880" t="n">
        <v>0</v>
      </c>
    </row>
    <row r="881">
      <c r="A881">
        <f>Skills!A19</f>
        <v/>
      </c>
      <c r="B881">
        <f>Skills!B19</f>
        <v/>
      </c>
      <c r="C881">
        <f>Inputs!$B$3&gt;=110</f>
        <v/>
      </c>
      <c r="D881">
        <f>IF(Skills!C19=1,60+Inputs!$B$25+Inputs!$B$29,IF(Skills!C19=2,90+Inputs!$B$26+Inputs!$B$29,IF(Skills!C19=3,120+Inputs!$B$27+Inputs!$B$29,MAX(0,(Inputs!$B$3-100)*3)+(Inputs!$B$28+1)+Inputs!$B$29)))</f>
        <v/>
      </c>
      <c r="E881">
        <f>INDEX(FactorTable!$B$2:$Y$301, MATCH(ROUND(MIN(300,MAX(1,D881)),0), FactorTable!$A$2:$A$301,0), Skills!M19+1)</f>
        <v/>
      </c>
      <c r="F881">
        <f>IF(Skills!N19=TRUE,(Skills!L19/10)*(E881/1000),Skills!L19/10)+Skills!O19</f>
        <v/>
      </c>
      <c r="G881">
        <f>Calc!G19</f>
        <v/>
      </c>
      <c r="H881">
        <f>Calc!H19</f>
        <v/>
      </c>
      <c r="I881">
        <f>IF(Skills!X19&lt;&gt;"",1+(Skills!X19/10)*(Z865/1000)/100,1)</f>
        <v/>
      </c>
      <c r="J881" t="inlineStr"/>
      <c r="K881" t="inlineStr"/>
      <c r="L881" t="inlineStr"/>
      <c r="M881" t="inlineStr"/>
      <c r="N881" t="inlineStr"/>
      <c r="O881">
        <f>(1-Summary!$B$11)*S881+Summary!$B$11*U881</f>
        <v/>
      </c>
      <c r="P881">
        <f>IF(B903=0,0,O881/B903)</f>
        <v/>
      </c>
      <c r="Q881">
        <f>IFERROR(1/(IF(Inputs!$B$38="pvp",15,MAX(0.1,Skills!E19-IF(Skills!F19=TRUE,Inputs!$B$32,0)))*(1-IF(AND(ArtifactsInput!$M$27,Inputs!$B$4="Chapter Hunt"),CHOOSE(ArtifactsInput!$N$27+1,20,24,28,32,36,40),0)/100)),0)</f>
        <v/>
      </c>
      <c r="R881">
        <f>IF(AND(Inputs!$B$38&lt;&gt;"pvp",Inputs!$B$43&gt;0),IF(Inputs!$B$43&lt;=0,0,(INT(Inputs!$B$43/(IF(Inputs!$B$38="pvp",15,MAX(0.1,Skills!E19-IF(Skills!F19=TRUE,Inputs!$B$32,0)))*(1-IF(AND(ArtifactsInput!$M$27,Inputs!$B$4="Chapter Hunt"),CHOOSE(ArtifactsInput!$N$27+1,20,24,28,32,36,40),0)/100)))+1)),0)</f>
        <v/>
      </c>
      <c r="S881" t="n">
        <v>0</v>
      </c>
      <c r="U881" t="n">
        <v>0</v>
      </c>
    </row>
    <row r="882">
      <c r="A882">
        <f>Skills!A20</f>
        <v/>
      </c>
      <c r="B882">
        <f>Skills!B20</f>
        <v/>
      </c>
      <c r="C882">
        <f>TRUE</f>
        <v/>
      </c>
      <c r="D882">
        <f>IF(Skills!C20=1,60+Inputs!$B$25+Inputs!$B$29,IF(Skills!C20=2,90+Inputs!$B$26+Inputs!$B$29,IF(Skills!C20=3,120+Inputs!$B$27+Inputs!$B$29,MAX(0,(Inputs!$B$3-100)*3)+(Inputs!$B$28+1)+Inputs!$B$29)))</f>
        <v/>
      </c>
      <c r="E882">
        <f>INDEX(FactorTable!$B$2:$Y$301, MATCH(ROUND(MIN(300,MAX(1,D882)),0), FactorTable!$A$2:$A$301,0), Skills!M20+1)</f>
        <v/>
      </c>
      <c r="F882">
        <f>IF(Skills!N20=TRUE,(Skills!L20/10)*(E882/1000),Skills!L20/10)+Skills!O20</f>
        <v/>
      </c>
      <c r="G882">
        <f>Calc!G20</f>
        <v/>
      </c>
      <c r="H882">
        <f>Calc!H20</f>
        <v/>
      </c>
      <c r="I882">
        <f>IF(Skills!X20&lt;&gt;"",1+(Skills!X20/10)*(Z865/1000)/100,1)</f>
        <v/>
      </c>
      <c r="J882" t="inlineStr"/>
      <c r="K882" t="inlineStr"/>
      <c r="L882" t="inlineStr"/>
      <c r="M882" t="inlineStr"/>
      <c r="N882" t="inlineStr"/>
      <c r="O882">
        <f>(1-Summary!$B$11)*S882+Summary!$B$11*U882</f>
        <v/>
      </c>
      <c r="P882">
        <f>IF(B903=0,0,O882/B903)</f>
        <v/>
      </c>
      <c r="Q882">
        <f>IFERROR(1/(IF(Inputs!$B$38="pvp",15,MAX(0.1,Skills!E20-IF(Skills!F20=TRUE,Inputs!$B$32,0)))*(1-IF(AND(ArtifactsInput!$M$27,Inputs!$B$4="Chapter Hunt"),CHOOSE(ArtifactsInput!$N$27+1,20,24,28,32,36,40),0)/100)),0)</f>
        <v/>
      </c>
      <c r="R882" t="n">
        <v>0</v>
      </c>
      <c r="S882" t="n">
        <v>0</v>
      </c>
      <c r="U882" t="n">
        <v>0</v>
      </c>
    </row>
    <row r="883">
      <c r="A883">
        <f>Skills!A21</f>
        <v/>
      </c>
      <c r="B883">
        <f>Skills!B21</f>
        <v/>
      </c>
      <c r="C883">
        <f>TRUE</f>
        <v/>
      </c>
      <c r="D883">
        <f>IF(Skills!C21=1,60+Inputs!$B$25+Inputs!$B$29,IF(Skills!C21=2,90+Inputs!$B$26+Inputs!$B$29,IF(Skills!C21=3,120+Inputs!$B$27+Inputs!$B$29,MAX(0,(Inputs!$B$3-100)*3)+(Inputs!$B$28+1)+Inputs!$B$29)))</f>
        <v/>
      </c>
      <c r="E883">
        <f>INDEX(FactorTable!$B$2:$Y$301, MATCH(ROUND(MIN(300,MAX(1,D883)),0), FactorTable!$A$2:$A$301,0), Skills!M21+1)</f>
        <v/>
      </c>
      <c r="F883">
        <f>IF(Skills!N21=TRUE,(Skills!L21/10)*(E883/1000),Skills!L21/10)+Skills!O21</f>
        <v/>
      </c>
      <c r="G883">
        <f>Calc!G21</f>
        <v/>
      </c>
      <c r="H883">
        <f>Calc!H21</f>
        <v/>
      </c>
      <c r="I883">
        <f>IF(Skills!X21&lt;&gt;"",1+(Skills!X21/10)*(Z865/1000)/100,1)</f>
        <v/>
      </c>
      <c r="J883" t="inlineStr"/>
      <c r="K883" t="inlineStr"/>
      <c r="L883" t="inlineStr"/>
      <c r="M883" t="inlineStr"/>
      <c r="N883" t="inlineStr"/>
      <c r="O883">
        <f>(1-Summary!$B$11)*S883+Summary!$B$11*U883</f>
        <v/>
      </c>
      <c r="P883">
        <f>IF(B903=0,0,O883/B903)</f>
        <v/>
      </c>
      <c r="Q883">
        <f>IFERROR(1/(IF(Inputs!$B$38="pvp",15,MAX(0.1,Skills!E21-IF(Skills!F21=TRUE,Inputs!$B$32,0)))*(1-IF(AND(ArtifactsInput!$M$27,Inputs!$B$4="Chapter Hunt"),CHOOSE(ArtifactsInput!$N$27+1,20,24,28,32,36,40),0)/100)),0)</f>
        <v/>
      </c>
      <c r="R883" t="n">
        <v>0</v>
      </c>
      <c r="S883" t="n">
        <v>0</v>
      </c>
      <c r="U883" t="n">
        <v>0</v>
      </c>
    </row>
    <row r="884">
      <c r="A884">
        <f>Skills!A22</f>
        <v/>
      </c>
      <c r="B884">
        <f>Skills!B22</f>
        <v/>
      </c>
      <c r="C884">
        <f>TRUE</f>
        <v/>
      </c>
      <c r="D884">
        <f>IF(Skills!C22=1,60+Inputs!$B$25+Inputs!$B$29,IF(Skills!C22=2,90+Inputs!$B$26+Inputs!$B$29,IF(Skills!C22=3,120+Inputs!$B$27+Inputs!$B$29,MAX(0,(Inputs!$B$3-100)*3)+(Inputs!$B$28+1)+Inputs!$B$29)))</f>
        <v/>
      </c>
      <c r="E884">
        <f>INDEX(FactorTable!$B$2:$Y$301, MATCH(ROUND(MIN(300,MAX(1,D884)),0), FactorTable!$A$2:$A$301,0), Skills!M22+1)</f>
        <v/>
      </c>
      <c r="F884">
        <f>IF(Skills!N22=TRUE,(Skills!L22/10)*(E884/1000),Skills!L22/10)+Skills!O22</f>
        <v/>
      </c>
      <c r="G884">
        <f>Calc!G22</f>
        <v/>
      </c>
      <c r="H884">
        <f>Calc!H22</f>
        <v/>
      </c>
      <c r="I884">
        <f>IF(Skills!X22&lt;&gt;"",1+(Skills!X22/10)*(Z865/1000)/100,1)</f>
        <v/>
      </c>
      <c r="J884" t="inlineStr"/>
      <c r="K884" t="inlineStr"/>
      <c r="L884" t="inlineStr"/>
      <c r="M884" t="inlineStr"/>
      <c r="N884" t="inlineStr"/>
      <c r="O884">
        <f>(1-Summary!$B$11)*S884+Summary!$B$11*U884</f>
        <v/>
      </c>
      <c r="P884">
        <f>IF(B903=0,0,O884/B903)</f>
        <v/>
      </c>
      <c r="Q884">
        <f>IFERROR(1/(IF(Inputs!$B$38="pvp",15,MAX(0.1,Skills!E22-IF(Skills!F22=TRUE,Inputs!$B$32,0)))*(1-IF(AND(ArtifactsInput!$M$27,Inputs!$B$4="Chapter Hunt"),CHOOSE(ArtifactsInput!$N$27+1,20,24,28,32,36,40),0)/100)),0)</f>
        <v/>
      </c>
      <c r="R884" t="n">
        <v>0</v>
      </c>
      <c r="S884" t="n">
        <v>0</v>
      </c>
      <c r="U884" t="n">
        <v>0</v>
      </c>
    </row>
    <row r="885">
      <c r="A885">
        <f>Skills!A23</f>
        <v/>
      </c>
      <c r="B885">
        <f>Skills!B23</f>
        <v/>
      </c>
      <c r="C885">
        <f>TRUE</f>
        <v/>
      </c>
      <c r="D885">
        <f>IF(Skills!C23=1,60+Inputs!$B$25+Inputs!$B$29,IF(Skills!C23=2,90+Inputs!$B$26+Inputs!$B$29,IF(Skills!C23=3,120+Inputs!$B$27+Inputs!$B$29,MAX(0,(Inputs!$B$3-100)*3)+(Inputs!$B$28+1)+Inputs!$B$29)))</f>
        <v/>
      </c>
      <c r="E885">
        <f>INDEX(FactorTable!$B$2:$Y$301, MATCH(ROUND(MIN(300,MAX(1,D885)),0), FactorTable!$A$2:$A$301,0), Skills!M23+1)</f>
        <v/>
      </c>
      <c r="F885">
        <f>IF(Skills!N23=TRUE,(Skills!L23/10)*(E885/1000),Skills!L23/10)+Skills!O23</f>
        <v/>
      </c>
      <c r="G885">
        <f>Calc!G23</f>
        <v/>
      </c>
      <c r="H885">
        <f>Calc!H23</f>
        <v/>
      </c>
      <c r="I885">
        <f>IF(Skills!X23&lt;&gt;"",1+(Skills!X23/10)*(Z865/1000)/100,1)</f>
        <v/>
      </c>
      <c r="J885" t="inlineStr"/>
      <c r="K885" t="inlineStr"/>
      <c r="L885" t="inlineStr"/>
      <c r="M885" t="inlineStr"/>
      <c r="N885" t="inlineStr"/>
      <c r="O885">
        <f>(1-Summary!$B$11)*S885+Summary!$B$11*U885</f>
        <v/>
      </c>
      <c r="P885">
        <f>IF(B903=0,0,O885/B903)</f>
        <v/>
      </c>
      <c r="Q885">
        <f>IFERROR(1/(IF(Inputs!$B$38="pvp",15,MAX(0.1,Skills!E23-IF(Skills!F23=TRUE,Inputs!$B$32,0)))*(1-IF(AND(ArtifactsInput!$M$27,Inputs!$B$4="Chapter Hunt"),CHOOSE(ArtifactsInput!$N$27+1,20,24,28,32,36,40),0)/100)),0)</f>
        <v/>
      </c>
      <c r="R885" t="n">
        <v>0</v>
      </c>
      <c r="S885" t="n">
        <v>0</v>
      </c>
      <c r="U885" t="n">
        <v>0</v>
      </c>
    </row>
    <row r="886">
      <c r="A886">
        <f>Skills!A24</f>
        <v/>
      </c>
      <c r="B886">
        <f>Skills!B24</f>
        <v/>
      </c>
      <c r="C886">
        <f>Inputs!$B$3&gt;=115</f>
        <v/>
      </c>
      <c r="D886">
        <f>IF(Skills!C24=1,60+Inputs!$B$25+Inputs!$B$29,IF(Skills!C24=2,90+Inputs!$B$26+Inputs!$B$29,IF(Skills!C24=3,120+Inputs!$B$27+Inputs!$B$29,MAX(0,(Inputs!$B$3-100)*3)+(Inputs!$B$28+1)+Inputs!$B$29)))</f>
        <v/>
      </c>
      <c r="E886">
        <f>INDEX(FactorTable!$B$2:$Y$301, MATCH(ROUND(MIN(300,MAX(1,D886)),0), FactorTable!$A$2:$A$301,0), Skills!M24+1)</f>
        <v/>
      </c>
      <c r="F886">
        <f>IF(Skills!N24=TRUE,(Skills!L24/10)*(E886/1000),Skills!L24/10)+Skills!O24</f>
        <v/>
      </c>
      <c r="G886">
        <f>Calc!G24</f>
        <v/>
      </c>
      <c r="H886">
        <f>Calc!H24</f>
        <v/>
      </c>
      <c r="I886">
        <f>IF(Skills!X24&lt;&gt;"",1+(Skills!X24/10)*(Z865/1000)/100,1)</f>
        <v/>
      </c>
      <c r="J886">
        <f>((Inputs!$B$6*(1+Inputs!$B$7/100))+(((Inputs!$B$12*(1+Inputs!$B$13/100))-(Inputs!$B$12*(1+Inputs!$B$13/100)))+0.25*(Inputs!$B$14-Inputs!$B$14))*(1+Inputs!$B$7/100))*(F886/100)</f>
        <v/>
      </c>
      <c r="K886">
        <f>J886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886)</f>
        <v/>
      </c>
      <c r="L886">
        <f>K886*(MIN(Inputs!$B$22+(F884-Calc!F22),(Inputs!$B$23+(IF(ArtifactsInput!$M$15,CHOOSE(ArtifactsInput!$N$15+1,25,30,35,40,45,50)/100*(Inputs!$B$11-Inputs!$B$11),0))))/100+(Inputs!$B$23+(IF(ArtifactsInput!$M$15,CHOOSE(ArtifactsInput!$N$15+1,25,30,35,40,45,50)/100*(Inputs!$B$11-Inputs!$B$11),0)))/100)/2</f>
        <v/>
      </c>
      <c r="M886">
        <f>L886*(1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6">
        <f>L886*(1-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886*(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6">
        <f>(1-Summary!$B$11)*S886+Summary!$B$11*U886</f>
        <v/>
      </c>
      <c r="P886">
        <f>IF(B903=0,0,O886/B903)</f>
        <v/>
      </c>
      <c r="Q886">
        <f>IFERROR(1/(IF(Inputs!$B$38="pvp",15,MAX(0.1,Skills!E24-IF(Skills!F24=TRUE,Inputs!$B$32,0)))*(1-IF(AND(ArtifactsInput!$M$27,Inputs!$B$4="Chapter Hunt"),CHOOSE(ArtifactsInput!$N$27+1,20,24,28,32,36,40),0)/100)),0)</f>
        <v/>
      </c>
      <c r="R886">
        <f>IF(AND(Inputs!$B$38&lt;&gt;"pvp",Inputs!$B$43&gt;0),IF(MAX(0,Inputs!$B$43-B900)&lt;=0,0,(INT(MAX(0,Inputs!$B$43-B900)/(IF(Inputs!$B$38="pvp",15,MAX(0.1,Skills!E24-IF(Skills!F24=TRUE,Inputs!$B$32,0)))*(1-IF(AND(ArtifactsInput!$M$27,Inputs!$B$4="Chapter Hunt"),CHOOSE(ArtifactsInput!$N$27+1,20,24,28,32,36,40),0)/100)))+1)),0)</f>
        <v/>
      </c>
      <c r="S886">
        <f>IF(C886,(H886*N886*IF(AND(Inputs!$B$38&lt;&gt;"pvp",Inputs!$B$43&gt;0),((Skills!G24*((R886-1)*IF(Skills!H24&gt;0,Skills!I24/Skills!H24,1)+IF(Skills!H24&gt;0,MIN(Skills!I24,MAX(0,MAX(0,Inputs!$B$43-B900)-((R886-1)*(IF(Inputs!$B$38="pvp",15,MAX(0.1,Skills!E24-IF(Skills!F24=TRUE,Inputs!$B$32,0)))*(1-IF(AND(ArtifactsInput!$M$27,Inputs!$B$4="Chapter Hunt"),CHOOSE(ArtifactsInput!$N$27+1,20,24,28,32,36,40),0)/100)))))/Skills!H24,1)))/Inputs!$B$43),G886*Q886)*(1+IF(Inputs!$B$3&gt;=130,0.2*(Skills!I16/Skills!E15+IF(Inputs!$B$3&gt;=126,0.05*(B898+Q875+(H876*B899)/(1+Skills!H14*H876*B899)+Q886)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886*(1-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886*(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886*(1-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886*(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86">
        <f>IF(C886,(H886*N886*IF(AND(Inputs!$B$38&lt;&gt;"pvp",Inputs!$B$43&gt;0),((Skills!G24*((R886-1)*IF(Skills!H24&gt;0,Skills!I24/Skills!H24,1)+IF(Skills!H24&gt;0,MIN(Skills!I24,MAX(0,MAX(0,Inputs!$B$43-B900)-((R886-1)*(IF(Inputs!$B$38="pvp",15,MAX(0.1,Skills!E24-IF(Skills!F24=TRUE,Inputs!$B$32,0)))*(1-IF(AND(ArtifactsInput!$M$27,Inputs!$B$4="Chapter Hunt"),CHOOSE(ArtifactsInput!$N$27+1,20,24,28,32,36,40),0)/100)))))/Skills!H24,1)))/Inputs!$B$43),G886*Q886)*(1+IF(Inputs!$B$3&gt;=130,0.2*(Skills!I16/Skills!E15+IF(Inputs!$B$3&gt;=126,0.05*(B898+Q875+(H876*B899)/(1+Skills!H14*H876*B899)+Q886)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7">
      <c r="A887">
        <f>Skills!A25</f>
        <v/>
      </c>
      <c r="B887">
        <f>Skills!B25</f>
        <v/>
      </c>
      <c r="C887">
        <f>Inputs!$B$3&gt;=117</f>
        <v/>
      </c>
      <c r="D887">
        <f>IF(Skills!C25=1,60+Inputs!$B$25+Inputs!$B$29,IF(Skills!C25=2,90+Inputs!$B$26+Inputs!$B$29,IF(Skills!C25=3,120+Inputs!$B$27+Inputs!$B$29,MAX(0,(Inputs!$B$3-100)*3)+(Inputs!$B$28+1)+Inputs!$B$29)))</f>
        <v/>
      </c>
      <c r="E887">
        <f>INDEX(FactorTable!$B$2:$Y$301, MATCH(ROUND(MIN(300,MAX(1,D887)),0), FactorTable!$A$2:$A$301,0), Skills!M25+1)</f>
        <v/>
      </c>
      <c r="F887">
        <f>IF(Skills!N25=TRUE,(Skills!L25/10)*(E887/1000),Skills!L25/10)+Skills!O25</f>
        <v/>
      </c>
      <c r="G887">
        <f>Calc!G25</f>
        <v/>
      </c>
      <c r="H887">
        <f>Calc!H25</f>
        <v/>
      </c>
      <c r="I887">
        <f>IF(Skills!X25&lt;&gt;"",1+(Skills!X25/10)*(Z865/1000)/100,1)</f>
        <v/>
      </c>
      <c r="J887" t="inlineStr"/>
      <c r="K887" t="inlineStr"/>
      <c r="L887" t="inlineStr"/>
      <c r="M887" t="inlineStr"/>
      <c r="N887" t="inlineStr"/>
      <c r="O887">
        <f>(1-Summary!$B$11)*S887+Summary!$B$11*U887</f>
        <v/>
      </c>
      <c r="P887">
        <f>IF(B903=0,0,O887/B903)</f>
        <v/>
      </c>
      <c r="Q887">
        <f>IFERROR(1/(IF(Inputs!$B$38="pvp",15,MAX(0.1,Skills!E25-IF(Skills!F25=TRUE,Inputs!$B$32,0)))*(1-IF(AND(ArtifactsInput!$M$27,Inputs!$B$4="Chapter Hunt"),CHOOSE(ArtifactsInput!$N$27+1,20,24,28,32,36,40),0)/100)),0)</f>
        <v/>
      </c>
      <c r="R887" t="n">
        <v>0</v>
      </c>
      <c r="S887" t="n">
        <v>0</v>
      </c>
      <c r="U887" t="n">
        <v>0</v>
      </c>
    </row>
    <row r="888">
      <c r="A888">
        <f>Skills!A26</f>
        <v/>
      </c>
      <c r="B888">
        <f>Skills!B26</f>
        <v/>
      </c>
      <c r="C888">
        <f>Inputs!$B$3&gt;=120</f>
        <v/>
      </c>
      <c r="D888">
        <f>IF(Skills!C26=1,60+Inputs!$B$25+Inputs!$B$29,IF(Skills!C26=2,90+Inputs!$B$26+Inputs!$B$29,IF(Skills!C26=3,120+Inputs!$B$27+Inputs!$B$29,MAX(0,(Inputs!$B$3-100)*3)+(Inputs!$B$28+1)+Inputs!$B$29)))</f>
        <v/>
      </c>
      <c r="E888">
        <f>INDEX(FactorTable!$B$2:$Y$301, MATCH(ROUND(MIN(300,MAX(1,D888)),0), FactorTable!$A$2:$A$301,0), Skills!M26+1)</f>
        <v/>
      </c>
      <c r="F888">
        <f>IF(Skills!N26=TRUE,(Skills!L26/10)*(E888/1000),Skills!L26/10)+Skills!O26</f>
        <v/>
      </c>
      <c r="G888">
        <f>Calc!G26</f>
        <v/>
      </c>
      <c r="H888">
        <f>Calc!H26</f>
        <v/>
      </c>
      <c r="I888">
        <f>IF(Skills!X26&lt;&gt;"",1+(Skills!X26/10)*(Z865/1000)/100,1)</f>
        <v/>
      </c>
      <c r="J888" t="inlineStr"/>
      <c r="K888" t="inlineStr"/>
      <c r="L888" t="inlineStr"/>
      <c r="M888" t="inlineStr"/>
      <c r="N888" t="inlineStr"/>
      <c r="O888">
        <f>(1-Summary!$B$11)*S888+Summary!$B$11*U888</f>
        <v/>
      </c>
      <c r="P888">
        <f>IF(B903=0,0,O888/B903)</f>
        <v/>
      </c>
      <c r="Q888">
        <f>IFERROR(1/(IF(Inputs!$B$38="pvp",15,MAX(0.1,Skills!E26-IF(Skills!F26=TRUE,Inputs!$B$32,0)))*(1-IF(AND(ArtifactsInput!$M$27,Inputs!$B$4="Chapter Hunt"),CHOOSE(ArtifactsInput!$N$27+1,20,24,28,32,36,40),0)/100)),0)</f>
        <v/>
      </c>
      <c r="R888" t="n">
        <v>0</v>
      </c>
      <c r="S888" t="n">
        <v>0</v>
      </c>
      <c r="U888" t="n">
        <v>0</v>
      </c>
    </row>
    <row r="889">
      <c r="A889">
        <f>Skills!A27</f>
        <v/>
      </c>
      <c r="B889">
        <f>Skills!B27</f>
        <v/>
      </c>
      <c r="C889">
        <f>Inputs!$B$3&gt;=125</f>
        <v/>
      </c>
      <c r="D889">
        <f>IF(Skills!C27=1,60+Inputs!$B$25+Inputs!$B$29,IF(Skills!C27=2,90+Inputs!$B$26+Inputs!$B$29,IF(Skills!C27=3,120+Inputs!$B$27+Inputs!$B$29,MAX(0,(Inputs!$B$3-100)*3)+(Inputs!$B$28+1)+Inputs!$B$29)))</f>
        <v/>
      </c>
      <c r="E889">
        <f>INDEX(FactorTable!$B$2:$Y$301, MATCH(ROUND(MIN(300,MAX(1,D889)),0), FactorTable!$A$2:$A$301,0), Skills!M27+1)</f>
        <v/>
      </c>
      <c r="F889">
        <f>IF(Skills!N27=TRUE,(Skills!L27/10)*(E889/1000),Skills!L27/10)+Skills!O27</f>
        <v/>
      </c>
      <c r="G889">
        <f>Calc!G27</f>
        <v/>
      </c>
      <c r="H889">
        <f>Calc!H27</f>
        <v/>
      </c>
      <c r="I889">
        <f>IF(Skills!X27&lt;&gt;"",1+(Skills!X27/10)*(Z865/1000)/100,1)</f>
        <v/>
      </c>
      <c r="J889" t="inlineStr"/>
      <c r="K889" t="inlineStr"/>
      <c r="L889" t="inlineStr"/>
      <c r="M889" t="inlineStr"/>
      <c r="N889" t="inlineStr"/>
      <c r="O889">
        <f>(1-Summary!$B$11)*S889+Summary!$B$11*U889</f>
        <v/>
      </c>
      <c r="P889">
        <f>IF(B903=0,0,O889/B903)</f>
        <v/>
      </c>
      <c r="Q889">
        <f>IFERROR(1/(IF(Inputs!$B$38="pvp",15,MAX(0.1,Skills!E27-IF(Skills!F27=TRUE,Inputs!$B$32,0)))*(1-IF(AND(ArtifactsInput!$M$27,Inputs!$B$4="Chapter Hunt"),CHOOSE(ArtifactsInput!$N$27+1,20,24,28,32,36,40),0)/100)),0)</f>
        <v/>
      </c>
      <c r="R889" t="n">
        <v>0</v>
      </c>
      <c r="S889" t="n">
        <v>0</v>
      </c>
      <c r="U889" t="n">
        <v>0</v>
      </c>
    </row>
    <row r="890">
      <c r="A890">
        <f>Skills!A28</f>
        <v/>
      </c>
      <c r="B890">
        <f>Skills!B28</f>
        <v/>
      </c>
      <c r="C890">
        <f>Inputs!$B$3&gt;=118</f>
        <v/>
      </c>
      <c r="D890">
        <f>IF(Skills!C28=1,60+Inputs!$B$25+Inputs!$B$29,IF(Skills!C28=2,90+Inputs!$B$26+Inputs!$B$29,IF(Skills!C28=3,120+Inputs!$B$27+Inputs!$B$29,MAX(0,(Inputs!$B$3-100)*3)+(Inputs!$B$28+1)+Inputs!$B$29)))</f>
        <v/>
      </c>
      <c r="E890">
        <f>INDEX(FactorTable!$B$2:$Y$301, MATCH(ROUND(MIN(300,MAX(1,D890)),0), FactorTable!$A$2:$A$301,0), Skills!M28+1)</f>
        <v/>
      </c>
      <c r="F890">
        <f>IF(Skills!N28=TRUE,(Skills!L28/10)*(E890/1000),Skills!L28/10)+Skills!O28</f>
        <v/>
      </c>
      <c r="G890">
        <f>Calc!G28</f>
        <v/>
      </c>
      <c r="H890">
        <f>Calc!H28</f>
        <v/>
      </c>
      <c r="I890">
        <f>IF(Skills!X28&lt;&gt;"",1+(Skills!X28/10)*(Z865/1000)/100,1)</f>
        <v/>
      </c>
      <c r="J890">
        <f>((Inputs!$B$6*(1+Inputs!$B$7/100))+(((Inputs!$B$12*(1+Inputs!$B$13/100))-(Inputs!$B$12*(1+Inputs!$B$13/100)))+0.25*(Inputs!$B$14-Inputs!$B$14))*(1+Inputs!$B$7/100))*(F890/100)</f>
        <v/>
      </c>
      <c r="K890">
        <f>J890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885/100)*(1+IF(Inputs!$B$3&gt;=120,F888,0)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889*5,0)))/100)*(B892*B893*B894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890)</f>
        <v/>
      </c>
      <c r="L890">
        <f>K890*(MIN(Inputs!$B$22+(F884-Calc!F22),(Inputs!$B$23+(IF(ArtifactsInput!$M$15,CHOOSE(ArtifactsInput!$N$15+1,25,30,35,40,45,50)/100*(Inputs!$B$11-Inputs!$B$11),0))))/100+(Inputs!$B$23+(IF(ArtifactsInput!$M$15,CHOOSE(ArtifactsInput!$N$15+1,25,30,35,40,45,50)/100*(Inputs!$B$11-Inputs!$B$11),0)))/100)/2</f>
        <v/>
      </c>
      <c r="M890">
        <f>L890*(1+(Inputs!$B$10+(F883-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0">
        <f>L890*(1-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890*(MIN((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0">
        <f>(1-Summary!$B$11)*S890+Summary!$B$11*U890</f>
        <v/>
      </c>
      <c r="P890">
        <f>IF(B903=0,0,O890/B903)</f>
        <v/>
      </c>
      <c r="Q890">
        <f>IFERROR(1/(IF(Inputs!$B$38="pvp",15,MAX(0.1,Skills!E28-IF(Skills!F28=TRUE,Inputs!$B$32,0)))*(1-IF(AND(ArtifactsInput!$M$27,Inputs!$B$4="Chapter Hunt"),CHOOSE(ArtifactsInput!$N$27+1,20,24,28,32,36,40),0)/100)),0)</f>
        <v/>
      </c>
      <c r="R890">
        <f>IF(AND(Inputs!$B$38&lt;&gt;"pvp",Inputs!$B$43&gt;0),IF(MAX(0,Inputs!$B$43-B900)&lt;=0,0,(INT(MAX(0,Inputs!$B$43-B900)/(IF(Inputs!$B$38="pvp",15,MAX(0.1,Skills!E28-IF(Skills!F28=TRUE,Inputs!$B$32,0)))*(1-IF(AND(ArtifactsInput!$M$27,Inputs!$B$4="Chapter Hunt"),CHOOSE(ArtifactsInput!$N$27+1,20,24,28,32,36,40),0)/100)))+1)),0)</f>
        <v/>
      </c>
      <c r="S890">
        <f>IF(C890,(H890*N890*IF(AND(Inputs!$B$38&lt;&gt;"pvp",Inputs!$B$43&gt;0),((Skills!G28*((R890-1)*IF(Skills!H28&gt;0,Skills!I28/Skills!H28,1)+IF(Skills!H28&gt;0,MIN(Skills!I28,MAX(0,MAX(0,Inputs!$B$43-B900)-((R890-1)*(IF(Inputs!$B$38="pvp",15,MAX(0.1,Skills!E28-IF(Skills!F28=TRUE,Inputs!$B$32,0)))*(1-IF(AND(ArtifactsInput!$M$27,Inputs!$B$4="Chapter Hunt"),CHOOSE(ArtifactsInput!$N$27+1,20,24,28,32,36,40),0)/100)))))/Skills!H28,1)))/Inputs!$B$43),G890*Q890)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890*(1-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890*(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890*(1-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890*(MIN(100,(Inputs!$B$9+(F882-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90">
        <f>IF(C890,(H890*N890*IF(AND(Inputs!$B$38&lt;&gt;"pvp",Inputs!$B$43&gt;0),((Skills!G28*((R890-1)*IF(Skills!H28&gt;0,Skills!I28/Skills!H28,1)+IF(Skills!H28&gt;0,MIN(Skills!I28,MAX(0,MAX(0,Inputs!$B$43-B900)-((R890-1)*(IF(Inputs!$B$38="pvp",15,MAX(0.1,Skills!E28-IF(Skills!F28=TRUE,Inputs!$B$32,0)))*(1-IF(AND(ArtifactsInput!$M$27,Inputs!$B$4="Chapter Hunt"),CHOOSE(ArtifactsInput!$N$27+1,20,24,28,32,36,40),0)/100)))))/Skills!H28,1)))/Inputs!$B$43),G890*Q890)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2">
      <c r="A892" t="inlineStr">
        <is>
          <t>Burning Magic Multiplier</t>
        </is>
      </c>
      <c r="B892">
        <f>1+(F873*Skills!Z11)/100</f>
        <v/>
      </c>
    </row>
    <row r="893">
      <c r="A893" t="inlineStr">
        <is>
          <t>Elemental Decrease Multiplier (always-on)</t>
        </is>
      </c>
      <c r="B893">
        <f>1+(F874+(IF(AND(ArtifactsInput!$M$35,Inputs!$B$4&lt;&gt;"Chapter Hunt"),CHOOSE(ArtifactsInput!$N$35+1,15,18,21,24,27,30)*(1-EXP(-(0.2*B896)*5)),0)+IF(AND(ArtifactsInput!$M$22,Inputs!$B$4&lt;&gt;"Chapter Hunt"),CHOOSE(ArtifactsInput!$N$22+1,10,12,14,16,18,20)*((0*(((0.15*B896*5))^0/1)+1*(((0.15*B896*5))^1/1)+2*(((0.15*B896*5))^2/2)+3*(((0.15*B896*5))^3/6)+4*(((0.15*B896*5))^4/24)+5*(((0.15*B896*5))^5/120))/((((0.15*B896*5))^0/1)+(((0.15*B896*5))^1/1)+(((0.15*B896*5))^2/2)+(((0.15*B896*5))^3/6)+(((0.15*B896*5))^4/24)+(((0.15*B896*5))^5/120))),0)))/100</f>
        <v/>
      </c>
    </row>
    <row r="894">
      <c r="A894" t="inlineStr">
        <is>
          <t>Average Buff Multiplier (Magic Guard + Meditation + Artifact Attack%, summed; then Infinity)</t>
        </is>
      </c>
      <c r="B894">
        <f>(1+(F868*IF(AND(Inputs!$B$38&lt;&gt;"pvp",Inputs!$B$43&gt;0),(((R868-1)*(Skills!T6*(1+((Inputs!$B$34+(ArtifactsInput!$M$7-ArtifactsInput!$M$7)*CHOOSE(ArtifactsInput!$N$7+1,6,7.2,8.4,9.6,10.8,12)))/100))+MIN((Skills!T6*(1+((Inputs!$B$34+(ArtifactsInput!$M$7-ArtifactsInput!$M$7)*CHOOSE(ArtifactsInput!$N$7+1,6,7.2,8.4,9.6,10.8,12)))/100)),MAX(0,Inputs!$B$43-((R868-1)*Skills!E6))))/Inputs!$B$43),IF(Inputs!$B$38="pvp",MIN((Skills!T6*(1+((Inputs!$B$34+(ArtifactsInput!$M$7-ArtifactsInput!$M$7)*CHOOSE(ArtifactsInput!$N$7+1,6,7.2,8.4,9.6,10.8,12)))/100)),15)/15,(Skills!T6*(1+((Inputs!$B$34+(ArtifactsInput!$M$7-ArtifactsInput!$M$7)*CHOOSE(ArtifactsInput!$N$7+1,6,7.2,8.4,9.6,10.8,12)))/100))/Skills!E6))+F879*IF(AND(Inputs!$B$38&lt;&gt;"pvp",Inputs!$B$43&gt;0),(((R879-1)*(Skills!T17*(1+((Inputs!$B$34+(ArtifactsInput!$M$7-ArtifactsInput!$M$7)*CHOOSE(ArtifactsInput!$N$7+1,6,7.2,8.4,9.6,10.8,12)))/100))+MIN((Skills!T17*(1+((Inputs!$B$34+(ArtifactsInput!$M$7-ArtifactsInput!$M$7)*CHOOSE(ArtifactsInput!$N$7+1,6,7.2,8.4,9.6,10.8,12)))/100)),MAX(0,Inputs!$B$43-((R879-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881=TRUE,(1+F881*IF(AND(Inputs!$B$38&lt;&gt;"pvp",Inputs!$B$43&gt;0),(((R881-1)*(Skills!T19*(1+((Inputs!$B$34+(ArtifactsInput!$M$7-ArtifactsInput!$M$7)*CHOOSE(ArtifactsInput!$N$7+1,6,7.2,8.4,9.6,10.8,12)))/100))+MIN((Skills!T19*(1+((Inputs!$B$34+(ArtifactsInput!$M$7-ArtifactsInput!$M$7)*CHOOSE(ArtifactsInput!$N$7+1,6,7.2,8.4,9.6,10.8,12)))/100)),MAX(0,Inputs!$B$43-((R881-1)*Skills!E19))))/Inputs!$B$43),IF(Inputs!$B$38="pvp",MIN((Skills!T19*(1+((Inputs!$B$34+(ArtifactsInput!$M$7-ArtifactsInput!$M$7)*CHOOSE(ArtifactsInput!$N$7+1,6,7.2,8.4,9.6,10.8,12)))/100)),15)/15,(Skills!T19*(1+((Inputs!$B$34+(ArtifactsInput!$M$7-ArtifactsInput!$M$7)*CHOOSE(ArtifactsInput!$N$7+1,6,7.2,8.4,9.6,10.8,12)))/100))/Skills!E19))/100),1)</f>
        <v/>
      </c>
    </row>
    <row r="895">
      <c r="A895" t="inlineStr">
        <is>
          <t>Attack Speed Buff Bonus % (Nimble Feet, averaged)</t>
        </is>
      </c>
      <c r="B895">
        <f>F880*IF(AND(Inputs!$B$38&lt;&gt;"pvp",Inputs!$B$43&gt;0),(((R880-1)*(Skills!T18*(1+((Inputs!$B$34+(ArtifactsInput!$M$7-ArtifactsInput!$M$7)*CHOOSE(ArtifactsInput!$N$7+1,6,7.2,8.4,9.6,10.8,12)))/100))+MIN((Skills!T18*(1+((Inputs!$B$34+(ArtifactsInput!$M$7-ArtifactsInput!$M$7)*CHOOSE(ArtifactsInput!$N$7+1,6,7.2,8.4,9.6,10.8,12)))/100)),MAX(0,Inputs!$B$43-((R880-1)*Skills!E18))))/Inputs!$B$43),IF(Inputs!$B$38="pvp",MIN((Skills!T18*(1+((Inputs!$B$34+(ArtifactsInput!$M$7-ArtifactsInput!$M$7)*CHOOSE(ArtifactsInput!$N$7+1,6,7.2,8.4,9.6,10.8,12)))/100)),15)/15,(Skills!T18*(1+((Inputs!$B$34+(ArtifactsInput!$M$7-ArtifactsInput!$M$7)*CHOOSE(ArtifactsInput!$N$7+1,6,7.2,8.4,9.6,10.8,12)))/100))/Skills!E18))</f>
        <v/>
      </c>
    </row>
    <row r="896">
      <c r="A896" t="inlineStr">
        <is>
          <t>Actions Per Second</t>
        </is>
      </c>
      <c r="B896">
        <f>1+MIN(150,150*(1-(1-(Inputs!$B$11+(ArtifactsInput!$M$15-ArtifactsInput!$M$15)*CHOOSE(ArtifactsInput!$N$15+1,8,9.6,11.2,12.8,14.4,16))/150)*(1-B895/150)))/100</f>
        <v/>
      </c>
    </row>
    <row r="897">
      <c r="A897" t="inlineStr">
        <is>
          <t>Skill + Buff Cast Rate</t>
        </is>
      </c>
      <c r="B897">
        <f>IF(AND(Inputs!$B$38&lt;&gt;"pvp",Inputs!$B$43&gt;0),SUMPRODUCT((Skills!F2:F28=TRUE)*(C864:C890=TRUE)*R864:R890)/Inputs!$B$43,SUMPRODUCT((Skills!F2:F28=TRUE)*(C864:C890=TRUE)*Q864:Q890))</f>
        <v/>
      </c>
    </row>
    <row r="898">
      <c r="A898" t="inlineStr">
        <is>
          <t>Basic Attacks Per Second</t>
        </is>
      </c>
      <c r="B898">
        <f>MAX(0,B896-B897)</f>
        <v/>
      </c>
    </row>
    <row r="899">
      <c r="A899" t="inlineStr">
        <is>
          <t>Meteor Proc — combined trigger cast rate</t>
        </is>
      </c>
      <c r="B899">
        <f>IF(AND(Inputs!$B$38&lt;&gt;"pvp",Inputs!$B$43&gt;0),SUMPRODUCT((Skills!V2:V28=TRUE)*(C864:C890=TRUE)*R864:R890*Skills!W2:W28)/Inputs!$B$43,SUMPRODUCT((Skills!V2:V28=TRUE)*(C864:C890=TRUE)*Q864:Q890*Skills!W2:W28))+B898</f>
        <v/>
      </c>
    </row>
    <row r="900">
      <c r="A900" t="inlineStr">
        <is>
          <t>Buff-Casting Startup Delay (s, fixed-duration only)</t>
        </is>
      </c>
      <c r="B900">
        <f>IF(AND(Inputs!$B$38&lt;&gt;"pvp",Inputs!$B$43&gt;0),SUMPRODUCT((Skills!T2:T28&gt;0)*(Skills!F2:F28=TRUE)*(C864:C890=TRUE))/B896,0)</f>
        <v/>
      </c>
    </row>
    <row r="901">
      <c r="A901" t="inlineStr">
        <is>
          <t>Boss-Only Total DPS (this block's swept value)</t>
        </is>
      </c>
      <c r="B901">
        <f>SUM(S864:S890)</f>
        <v/>
      </c>
    </row>
    <row r="902">
      <c r="A902" t="inlineStr">
        <is>
          <t>Normal-Only Total DPS (this block's swept value)</t>
        </is>
      </c>
      <c r="B902">
        <f>SUM(U864:U890)</f>
        <v/>
      </c>
    </row>
    <row r="903">
      <c r="A903" s="6" t="inlineStr">
        <is>
          <t>TOTAL DPS</t>
        </is>
      </c>
      <c r="B903" s="6">
        <f>SUM(O864:O890)</f>
        <v/>
      </c>
    </row>
    <row r="906">
      <c r="A906" s="6" t="inlineStr">
        <is>
          <t>Stat: Skill Level Bonus — All Skills</t>
        </is>
      </c>
    </row>
    <row r="907">
      <c r="A907" s="5" t="inlineStr">
        <is>
          <t>Key</t>
        </is>
      </c>
      <c r="B907" s="5" t="inlineStr">
        <is>
          <t>Name</t>
        </is>
      </c>
      <c r="C907" s="5" t="inlineStr">
        <is>
          <t>Unlocked</t>
        </is>
      </c>
      <c r="D907" s="5" t="inlineStr">
        <is>
          <t>InputLevel</t>
        </is>
      </c>
      <c r="E907" s="5" t="inlineStr">
        <is>
          <t>Factor</t>
        </is>
      </c>
      <c r="F907" s="5" t="inlineStr">
        <is>
          <t>CoefficientPercent</t>
        </is>
      </c>
      <c r="G907" s="5" t="inlineStr">
        <is>
          <t>EffectiveHits</t>
        </is>
      </c>
      <c r="H907" s="5" t="inlineStr">
        <is>
          <t>ProcProbability</t>
        </is>
      </c>
      <c r="I907" s="5" t="inlineStr">
        <is>
          <t>MapleHeroMultiplier</t>
        </is>
      </c>
      <c r="J907" s="5" t="inlineStr">
        <is>
          <t>BaseDamage</t>
        </is>
      </c>
      <c r="K907" s="5" t="inlineStr">
        <is>
          <t>BaseHitDamage</t>
        </is>
      </c>
      <c r="L907" s="5" t="inlineStr">
        <is>
          <t>NonCritAvg</t>
        </is>
      </c>
      <c r="M907" s="5" t="inlineStr">
        <is>
          <t>CritAvg</t>
        </is>
      </c>
      <c r="N907" s="5" t="inlineStr">
        <is>
          <t>ExpectedDamage(perHit)</t>
        </is>
      </c>
      <c r="O907" s="5" t="inlineStr">
        <is>
          <t>DPS</t>
        </is>
      </c>
      <c r="P907" s="5" t="inlineStr">
        <is>
          <t>% of Total</t>
        </is>
      </c>
      <c r="R907" t="inlineStr">
        <is>
          <t>helpers</t>
        </is>
      </c>
    </row>
    <row r="908">
      <c r="A908">
        <f>Skills!A2</f>
        <v/>
      </c>
      <c r="B908">
        <f>Skills!B2</f>
        <v/>
      </c>
      <c r="C908">
        <f>TRUE</f>
        <v/>
      </c>
      <c r="D908" t="inlineStr"/>
      <c r="E908" t="inlineStr"/>
      <c r="F908">
        <f>T910+Skills!O2</f>
        <v/>
      </c>
      <c r="G908">
        <f>Calc!G2</f>
        <v/>
      </c>
      <c r="H908">
        <f>Calc!H2</f>
        <v/>
      </c>
      <c r="I908">
        <f>IF(Skills!X2&lt;&gt;"",1+(Skills!X2/10)*(Z909/1000)/100,1)</f>
        <v/>
      </c>
      <c r="J908">
        <f>((Inputs!$B$6*(1+Inputs!$B$7/100))+(((Inputs!$B$12*(1+Inputs!$B$13/100))-(Inputs!$B$12*(1+Inputs!$B$13/100)))+0.25*(Inputs!$B$14-Inputs!$B$14))*(1+Inputs!$B$7/100))*(F908/100)</f>
        <v/>
      </c>
      <c r="K908">
        <f>J908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908)</f>
        <v/>
      </c>
      <c r="L908">
        <f>K908*(MIN(Inputs!$B$22+(F928-Calc!F22),(Inputs!$B$23+(IF(ArtifactsInput!$M$15,CHOOSE(ArtifactsInput!$N$15+1,25,30,35,40,45,50)/100*(Inputs!$B$11-Inputs!$B$11),0))))/100+(Inputs!$B$23+(IF(ArtifactsInput!$M$15,CHOOSE(ArtifactsInput!$N$15+1,25,30,35,40,45,50)/100*(Inputs!$B$11-Inputs!$B$11),0)))/100)/2</f>
        <v/>
      </c>
      <c r="M908">
        <f>L908*(1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8">
        <f>L908*(1-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908*(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8">
        <f>(1-Summary!$B$11)*S908+Summary!$B$11*U908</f>
        <v/>
      </c>
      <c r="P908">
        <f>IF(B947=0,0,O908/B947)</f>
        <v/>
      </c>
      <c r="Q908">
        <f>IFERROR(1/(IF(Inputs!$B$38="pvp",15,MAX(0.1,Skills!E2-IF(Skills!F2=TRUE,Inputs!$B$32,0)))*(1-IF(AND(ArtifactsInput!$M$27,Inputs!$B$4="Chapter Hunt"),CHOOSE(ArtifactsInput!$N$27+1,20,24,28,32,36,40),0)/100)),0)</f>
        <v/>
      </c>
      <c r="R908" t="n">
        <v>0</v>
      </c>
      <c r="S908">
        <f>(Skills!G2*N908*B942)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908*(1-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908*(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908*(1-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908*(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908">
        <f>MAX(0,(Inputs!$B$3-100)*3)+Inputs!$B$28+(Inputs!$B$29+1)</f>
        <v/>
      </c>
      <c r="U908">
        <f>(Skills!G2*N908*B942)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908">
        <f>MAX(0,(Inputs!$B$3-100)*3)+Inputs!$B$28+(Inputs!$B$29+1)</f>
        <v/>
      </c>
    </row>
    <row r="909">
      <c r="A909">
        <f>Skills!A3</f>
        <v/>
      </c>
      <c r="B909">
        <f>Skills!B3</f>
        <v/>
      </c>
      <c r="C909">
        <f>TRUE</f>
        <v/>
      </c>
      <c r="D909">
        <f>IF(Skills!C3=1,60+Inputs!$B$25+(Inputs!$B$29+1),IF(Skills!C3=2,90+Inputs!$B$26+(Inputs!$B$29+1),IF(Skills!C3=3,120+Inputs!$B$27+(Inputs!$B$29+1),MAX(0,(Inputs!$B$3-100)*3)+Inputs!$B$28+(Inputs!$B$29+1))))</f>
        <v/>
      </c>
      <c r="E909">
        <f>INDEX(FactorTable!$B$2:$Y$301, MATCH(ROUND(MIN(300,MAX(1,D909)),0), FactorTable!$A$2:$A$301,0), Skills!M3+1)</f>
        <v/>
      </c>
      <c r="F909">
        <f>IF(Skills!N3=TRUE,(Skills!L3/10)*(E909/1000),Skills!L3/10)+Skills!O3</f>
        <v/>
      </c>
      <c r="G909">
        <f>Calc!G3</f>
        <v/>
      </c>
      <c r="H909">
        <f>Calc!H3</f>
        <v/>
      </c>
      <c r="I909">
        <f>IF(Skills!X3&lt;&gt;"",1+(Skills!X3/10)*(Z909/1000)/100,1)</f>
        <v/>
      </c>
      <c r="J909">
        <f>((Inputs!$B$6*(1+Inputs!$B$7/100))+(((Inputs!$B$12*(1+Inputs!$B$13/100))-(Inputs!$B$12*(1+Inputs!$B$13/100)))+0.25*(Inputs!$B$14-Inputs!$B$14))*(1+Inputs!$B$7/100))*(F909/100)</f>
        <v/>
      </c>
      <c r="K909">
        <f>J909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909)</f>
        <v/>
      </c>
      <c r="L909">
        <f>K909*(MIN(Inputs!$B$22+(F928-Calc!F22),(Inputs!$B$23+(IF(ArtifactsInput!$M$15,CHOOSE(ArtifactsInput!$N$15+1,25,30,35,40,45,50)/100*(Inputs!$B$11-Inputs!$B$11),0))))/100+(Inputs!$B$23+(IF(ArtifactsInput!$M$15,CHOOSE(ArtifactsInput!$N$15+1,25,30,35,40,45,50)/100*(Inputs!$B$11-Inputs!$B$11),0)))/100)/2</f>
        <v/>
      </c>
      <c r="M909">
        <f>L909*(1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9">
        <f>L909*(1-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909*(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9">
        <f>(1-Summary!$B$11)*S909+Summary!$B$11*U909</f>
        <v/>
      </c>
      <c r="P909">
        <f>IF(B947=0,0,O909/B947)</f>
        <v/>
      </c>
      <c r="Q909">
        <f>IFERROR(1/(IF(Inputs!$B$38="pvp",15,MAX(0.1,Skills!E3-IF(Skills!F3=TRUE,Inputs!$B$32,0)))*(1-IF(AND(ArtifactsInput!$M$27,Inputs!$B$4="Chapter Hunt"),CHOOSE(ArtifactsInput!$N$27+1,20,24,28,32,36,40),0)/100)),0)</f>
        <v/>
      </c>
      <c r="R909">
        <f>IF(AND(Inputs!$B$38&lt;&gt;"pvp",Inputs!$B$43&gt;0),IF(MAX(0,Inputs!$B$43-B944)&lt;=0,0,(INT(MAX(0,Inputs!$B$43-B944)/(IF(Inputs!$B$38="pvp",15,MAX(0.1,Skills!E3-IF(Skills!F3=TRUE,Inputs!$B$32,0)))*(1-IF(AND(ArtifactsInput!$M$27,Inputs!$B$4="Chapter Hunt"),CHOOSE(ArtifactsInput!$N$27+1,20,24,28,32,36,40),0)/100)))+1)),0)</f>
        <v/>
      </c>
      <c r="S909">
        <f>IF(C909,(H909*N909*IF(AND(Inputs!$B$38&lt;&gt;"pvp",Inputs!$B$43&gt;0),((Skills!G3*((R909-1)*IF(Skills!H3&gt;0,Skills!I3/Skills!H3,1)+IF(Skills!H3&gt;0,MIN(Skills!I3,MAX(0,MAX(0,Inputs!$B$43-B944)-((R909-1)*(IF(Inputs!$B$38="pvp",15,MAX(0.1,Skills!E3-IF(Skills!F3=TRUE,Inputs!$B$32,0)))*(1-IF(AND(ArtifactsInput!$M$27,Inputs!$B$4="Chapter Hunt"),CHOOSE(ArtifactsInput!$N$27+1,20,24,28,32,36,40),0)/100)))))/Skills!H3,1)))/Inputs!$B$43),G909*Q909)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909*(1-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909*(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909*(1-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909*(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09">
        <f>INDEX(FactorTable!$B$2:$Y$301, MATCH(ROUND(MIN(300,MAX(1,T908)),0), FactorTable!$A$2:$A$301,0), 22)</f>
        <v/>
      </c>
      <c r="U909">
        <f>IF(C909,(H909*N909*IF(AND(Inputs!$B$38&lt;&gt;"pvp",Inputs!$B$43&gt;0),((Skills!G3*((R909-1)*IF(Skills!H3&gt;0,Skills!I3/Skills!H3,1)+IF(Skills!H3&gt;0,MIN(Skills!I3,MAX(0,MAX(0,Inputs!$B$43-B944)-((R909-1)*(IF(Inputs!$B$38="pvp",15,MAX(0.1,Skills!E3-IF(Skills!F3=TRUE,Inputs!$B$32,0)))*(1-IF(AND(ArtifactsInput!$M$27,Inputs!$B$4="Chapter Hunt"),CHOOSE(ArtifactsInput!$N$27+1,20,24,28,32,36,40),0)/100)))))/Skills!H3,1)))/Inputs!$B$43),G909*Q909)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909">
        <f>INDEX(FactorTable!$B$2:$Y$301, MATCH(ROUND(MIN(300,MAX(1,Z908)),0), FactorTable!$A$2:$A$301,0), 24)</f>
        <v/>
      </c>
    </row>
    <row r="910">
      <c r="A910">
        <f>Skills!A4</f>
        <v/>
      </c>
      <c r="B910">
        <f>Skills!B4</f>
        <v/>
      </c>
      <c r="C910">
        <f>TRUE</f>
        <v/>
      </c>
      <c r="D910">
        <f>IF(Skills!C4=1,60+Inputs!$B$25+(Inputs!$B$29+1),IF(Skills!C4=2,90+Inputs!$B$26+(Inputs!$B$29+1),IF(Skills!C4=3,120+Inputs!$B$27+(Inputs!$B$29+1),MAX(0,(Inputs!$B$3-100)*3)+Inputs!$B$28+(Inputs!$B$29+1))))</f>
        <v/>
      </c>
      <c r="E910">
        <f>INDEX(FactorTable!$B$2:$Y$301, MATCH(ROUND(MIN(300,MAX(1,D910)),0), FactorTable!$A$2:$A$301,0), Skills!M4+1)</f>
        <v/>
      </c>
      <c r="F910">
        <f>IF(Skills!N4=TRUE,(Skills!L4/10)*(E910/1000),Skills!L4/10)+Skills!O4</f>
        <v/>
      </c>
      <c r="G910">
        <f>Calc!G4</f>
        <v/>
      </c>
      <c r="H910">
        <f>Calc!H4</f>
        <v/>
      </c>
      <c r="I910">
        <f>IF(Skills!X4&lt;&gt;"",1+(Skills!X4/10)*(Z909/1000)/100,1)</f>
        <v/>
      </c>
      <c r="J910">
        <f>((Inputs!$B$6*(1+Inputs!$B$7/100))+(((Inputs!$B$12*(1+Inputs!$B$13/100))-(Inputs!$B$12*(1+Inputs!$B$13/100)))+0.25*(Inputs!$B$14-Inputs!$B$14))*(1+Inputs!$B$7/100))*(F910/100)</f>
        <v/>
      </c>
      <c r="K910">
        <f>J910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910)</f>
        <v/>
      </c>
      <c r="L910">
        <f>K910*(MIN(Inputs!$B$22+(F928-Calc!F22),(Inputs!$B$23+(IF(ArtifactsInput!$M$15,CHOOSE(ArtifactsInput!$N$15+1,25,30,35,40,45,50)/100*(Inputs!$B$11-Inputs!$B$11),0))))/100+(Inputs!$B$23+(IF(ArtifactsInput!$M$15,CHOOSE(ArtifactsInput!$N$15+1,25,30,35,40,45,50)/100*(Inputs!$B$11-Inputs!$B$11),0)))/100)/2</f>
        <v/>
      </c>
      <c r="M910">
        <f>L910*(1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0">
        <f>L910*(1-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910*(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0">
        <f>(1-Summary!$B$11)*S910+Summary!$B$11*U910</f>
        <v/>
      </c>
      <c r="P910">
        <f>IF(B947=0,0,O910/B947)</f>
        <v/>
      </c>
      <c r="Q910">
        <f>IFERROR(1/(IF(Inputs!$B$38="pvp",15,MAX(0.1,Skills!E4-IF(Skills!F4=TRUE,Inputs!$B$32,0)))*(1-IF(AND(ArtifactsInput!$M$27,Inputs!$B$4="Chapter Hunt"),CHOOSE(ArtifactsInput!$N$27+1,20,24,28,32,36,40),0)/100)),0)</f>
        <v/>
      </c>
      <c r="R910">
        <f>IF(AND(Inputs!$B$38&lt;&gt;"pvp",Inputs!$B$43&gt;0),IF(MAX(0,Inputs!$B$43-B944)&lt;=0,0,(INT(MAX(0,Inputs!$B$43-B944)/(IF(Inputs!$B$38="pvp",15,MAX(0.1,Skills!E4-IF(Skills!F4=TRUE,Inputs!$B$32,0)))*(1-IF(AND(ArtifactsInput!$M$27,Inputs!$B$4="Chapter Hunt"),CHOOSE(ArtifactsInput!$N$27+1,20,24,28,32,36,40),0)/100)))+1)),0)</f>
        <v/>
      </c>
      <c r="S910">
        <f>IF(C910,(H910*N910*IF(AND(Inputs!$B$38&lt;&gt;"pvp",Inputs!$B$43&gt;0),((Skills!G4*((R910-1)*IF(Skills!H4&gt;0,Skills!I4/Skills!H4,1)+IF(Skills!H4&gt;0,MIN(Skills!I4,MAX(0,MAX(0,Inputs!$B$43-B944)-((R910-1)*(IF(Inputs!$B$38="pvp",15,MAX(0.1,Skills!E4-IF(Skills!F4=TRUE,Inputs!$B$32,0)))*(1-IF(AND(ArtifactsInput!$M$27,Inputs!$B$4="Chapter Hunt"),CHOOSE(ArtifactsInput!$N$27+1,20,24,28,32,36,40),0)/100)))))/Skills!H4,1)))/Inputs!$B$43),G910*Q910)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910*(1-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910*(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910*(1-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910*(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10">
        <f>290*T909/1000</f>
        <v/>
      </c>
      <c r="U910">
        <f>IF(C910,(H910*N910*IF(AND(Inputs!$B$38&lt;&gt;"pvp",Inputs!$B$43&gt;0),((Skills!G4*((R910-1)*IF(Skills!H4&gt;0,Skills!I4/Skills!H4,1)+IF(Skills!H4&gt;0,MIN(Skills!I4,MAX(0,MAX(0,Inputs!$B$43-B944)-((R910-1)*(IF(Inputs!$B$38="pvp",15,MAX(0.1,Skills!E4-IF(Skills!F4=TRUE,Inputs!$B$32,0)))*(1-IF(AND(ArtifactsInput!$M$27,Inputs!$B$4="Chapter Hunt"),CHOOSE(ArtifactsInput!$N$27+1,20,24,28,32,36,40),0)/100)))))/Skills!H4,1)))/Inputs!$B$43),G910*Q910)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1">
      <c r="A911">
        <f>Skills!A5</f>
        <v/>
      </c>
      <c r="B911">
        <f>Skills!B5</f>
        <v/>
      </c>
      <c r="C911">
        <f>TRUE</f>
        <v/>
      </c>
      <c r="D911">
        <f>IF(Skills!C5=1,60+Inputs!$B$25+(Inputs!$B$29+1),IF(Skills!C5=2,90+Inputs!$B$26+(Inputs!$B$29+1),IF(Skills!C5=3,120+Inputs!$B$27+(Inputs!$B$29+1),MAX(0,(Inputs!$B$3-100)*3)+Inputs!$B$28+(Inputs!$B$29+1))))</f>
        <v/>
      </c>
      <c r="E911">
        <f>INDEX(FactorTable!$B$2:$Y$301, MATCH(ROUND(MIN(300,MAX(1,D911)),0), FactorTable!$A$2:$A$301,0), Skills!M5+1)</f>
        <v/>
      </c>
      <c r="F911">
        <f>IF(Skills!N5=TRUE,(Skills!L5/10)*(E911/1000),Skills!L5/10)+Skills!O5</f>
        <v/>
      </c>
      <c r="G911">
        <f>Calc!G5</f>
        <v/>
      </c>
      <c r="H911">
        <f>Calc!H5</f>
        <v/>
      </c>
      <c r="I911">
        <f>IF(Skills!X5&lt;&gt;"",1+(Skills!X5/10)*(Z909/1000)/100,1)</f>
        <v/>
      </c>
      <c r="J911">
        <f>((Inputs!$B$6*(1+Inputs!$B$7/100))+(((Inputs!$B$12*(1+Inputs!$B$13/100))-(Inputs!$B$12*(1+Inputs!$B$13/100)))+0.25*(Inputs!$B$14-Inputs!$B$14))*(1+Inputs!$B$7/100))*(F911/100)</f>
        <v/>
      </c>
      <c r="K911">
        <f>J911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911)</f>
        <v/>
      </c>
      <c r="L911">
        <f>K911*(MIN(Inputs!$B$22+(F928-Calc!F22),(Inputs!$B$23+(IF(ArtifactsInput!$M$15,CHOOSE(ArtifactsInput!$N$15+1,25,30,35,40,45,50)/100*(Inputs!$B$11-Inputs!$B$11),0))))/100+(Inputs!$B$23+(IF(ArtifactsInput!$M$15,CHOOSE(ArtifactsInput!$N$15+1,25,30,35,40,45,50)/100*(Inputs!$B$11-Inputs!$B$11),0)))/100)/2</f>
        <v/>
      </c>
      <c r="M911">
        <f>L911*(1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1">
        <f>L911*(1-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1">
        <f>(1-Summary!$B$11)*S911+Summary!$B$11*U911</f>
        <v/>
      </c>
      <c r="P911">
        <f>IF(B947=0,0,O911/B947)</f>
        <v/>
      </c>
      <c r="Q911">
        <f>IFERROR(1/(IF(Inputs!$B$38="pvp",15,MAX(0.1,Skills!E5-IF(Skills!F5=TRUE,Inputs!$B$32,0)))*(1-IF(AND(ArtifactsInput!$M$27,Inputs!$B$4="Chapter Hunt"),CHOOSE(ArtifactsInput!$N$27+1,20,24,28,32,36,40),0)/100)),0)</f>
        <v/>
      </c>
      <c r="R911">
        <f>IF(AND(Inputs!$B$38&lt;&gt;"pvp",Inputs!$B$43&gt;0),IF(MAX(0,Inputs!$B$43-B944)&lt;=0,0,(INT(MAX(0,Inputs!$B$43-B944)/(IF(Inputs!$B$38="pvp",15,MAX(0.1,Skills!E5-IF(Skills!F5=TRUE,Inputs!$B$32,0)))*(1-IF(AND(ArtifactsInput!$M$27,Inputs!$B$4="Chapter Hunt"),CHOOSE(ArtifactsInput!$N$27+1,20,24,28,32,36,40),0)/100)))+1)),0)</f>
        <v/>
      </c>
      <c r="S911">
        <f>IF(C911,(H911*N911*IF(AND(Inputs!$B$38&lt;&gt;"pvp",Inputs!$B$43&gt;0),((Skills!G5*((R911-1)*IF(Skills!H5&gt;0,Skills!I5/Skills!H5,1)+IF(Skills!H5&gt;0,MIN(Skills!I5,MAX(0,MAX(0,Inputs!$B$43-B944)-((R911-1)*(IF(Inputs!$B$38="pvp",15,MAX(0.1,Skills!E5-IF(Skills!F5=TRUE,Inputs!$B$32,0)))*(1-IF(AND(ArtifactsInput!$M$27,Inputs!$B$4="Chapter Hunt"),CHOOSE(ArtifactsInput!$N$27+1,20,24,28,32,36,40),0)/100)))))/Skills!H5,1)))/Inputs!$B$43),G911*Q911)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911*(1-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911*(1-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1">
        <f>IF(C911,(H911*N911*IF(AND(Inputs!$B$38&lt;&gt;"pvp",Inputs!$B$43&gt;0),((Skills!G5*((R911-1)*IF(Skills!H5&gt;0,Skills!I5/Skills!H5,1)+IF(Skills!H5&gt;0,MIN(Skills!I5,MAX(0,MAX(0,Inputs!$B$43-B944)-((R911-1)*(IF(Inputs!$B$38="pvp",15,MAX(0.1,Skills!E5-IF(Skills!F5=TRUE,Inputs!$B$32,0)))*(1-IF(AND(ArtifactsInput!$M$27,Inputs!$B$4="Chapter Hunt"),CHOOSE(ArtifactsInput!$N$27+1,20,24,28,32,36,40),0)/100)))))/Skills!H5,1)))/Inputs!$B$43),G911*Q911)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2">
      <c r="A912">
        <f>Skills!A6</f>
        <v/>
      </c>
      <c r="B912">
        <f>Skills!B6</f>
        <v/>
      </c>
      <c r="C912">
        <f>TRUE</f>
        <v/>
      </c>
      <c r="D912">
        <f>IF(Skills!C6=1,60+Inputs!$B$25+(Inputs!$B$29+1),IF(Skills!C6=2,90+Inputs!$B$26+(Inputs!$B$29+1),IF(Skills!C6=3,120+Inputs!$B$27+(Inputs!$B$29+1),MAX(0,(Inputs!$B$3-100)*3)+Inputs!$B$28+(Inputs!$B$29+1))))</f>
        <v/>
      </c>
      <c r="E912">
        <f>INDEX(FactorTable!$B$2:$Y$301, MATCH(ROUND(MIN(300,MAX(1,D912)),0), FactorTable!$A$2:$A$301,0), Skills!M6+1)</f>
        <v/>
      </c>
      <c r="F912">
        <f>IF(Skills!N6=TRUE,(Skills!L6/10)*(E912/1000),Skills!L6/10)+Skills!O6</f>
        <v/>
      </c>
      <c r="G912">
        <f>Calc!G6</f>
        <v/>
      </c>
      <c r="H912">
        <f>Calc!H6</f>
        <v/>
      </c>
      <c r="I912">
        <f>IF(Skills!X6&lt;&gt;"",1+(Skills!X6/10)*(Z909/1000)/100,1)</f>
        <v/>
      </c>
      <c r="J912" t="inlineStr"/>
      <c r="K912" t="inlineStr"/>
      <c r="L912" t="inlineStr"/>
      <c r="M912" t="inlineStr"/>
      <c r="N912" t="inlineStr"/>
      <c r="O912">
        <f>(1-Summary!$B$11)*S912+Summary!$B$11*U912</f>
        <v/>
      </c>
      <c r="P912">
        <f>IF(B947=0,0,O912/B947)</f>
        <v/>
      </c>
      <c r="Q912">
        <f>IFERROR(1/(IF(Inputs!$B$38="pvp",15,MAX(0.1,Skills!E6-IF(Skills!F6=TRUE,Inputs!$B$32,0)))*(1-IF(AND(ArtifactsInput!$M$27,Inputs!$B$4="Chapter Hunt"),CHOOSE(ArtifactsInput!$N$27+1,20,24,28,32,36,40),0)/100)),0)</f>
        <v/>
      </c>
      <c r="R912">
        <f>IF(AND(Inputs!$B$38&lt;&gt;"pvp",Inputs!$B$43&gt;0),IF(Inputs!$B$43&lt;=0,0,(INT(Inputs!$B$43/(IF(Inputs!$B$38="pvp",15,MAX(0.1,Skills!E6-IF(Skills!F6=TRUE,Inputs!$B$32,0)))*(1-IF(AND(ArtifactsInput!$M$27,Inputs!$B$4="Chapter Hunt"),CHOOSE(ArtifactsInput!$N$27+1,20,24,28,32,36,40),0)/100)))+1)),0)</f>
        <v/>
      </c>
      <c r="S912" t="n">
        <v>0</v>
      </c>
      <c r="U912" t="n">
        <v>0</v>
      </c>
    </row>
    <row r="913">
      <c r="A913">
        <f>Skills!A7</f>
        <v/>
      </c>
      <c r="B913">
        <f>Skills!B7</f>
        <v/>
      </c>
      <c r="C913">
        <f>TRUE</f>
        <v/>
      </c>
      <c r="D913">
        <f>IF(Skills!C7=1,60+Inputs!$B$25+(Inputs!$B$29+1),IF(Skills!C7=2,90+Inputs!$B$26+(Inputs!$B$29+1),IF(Skills!C7=3,120+Inputs!$B$27+(Inputs!$B$29+1),MAX(0,(Inputs!$B$3-100)*3)+Inputs!$B$28+(Inputs!$B$29+1))))</f>
        <v/>
      </c>
      <c r="E913">
        <f>INDEX(FactorTable!$B$2:$Y$301, MATCH(ROUND(MIN(300,MAX(1,D913)),0), FactorTable!$A$2:$A$301,0), Skills!M7+1)</f>
        <v/>
      </c>
      <c r="F913">
        <f>IF(Skills!N7=TRUE,(Skills!L7/10)*(E913/1000),Skills!L7/10)+Skills!O7</f>
        <v/>
      </c>
      <c r="G913">
        <f>Calc!G7</f>
        <v/>
      </c>
      <c r="H913">
        <f>Calc!H7</f>
        <v/>
      </c>
      <c r="I913">
        <f>IF(Skills!X7&lt;&gt;"",1+(Skills!X7/10)*(Z909/1000)/100,1)</f>
        <v/>
      </c>
      <c r="J913">
        <f>((Inputs!$B$6*(1+Inputs!$B$7/100))+(((Inputs!$B$12*(1+Inputs!$B$13/100))-(Inputs!$B$12*(1+Inputs!$B$13/100)))+0.25*(Inputs!$B$14-Inputs!$B$14))*(1+Inputs!$B$7/100))*(F913/100)</f>
        <v/>
      </c>
      <c r="K913">
        <f>J913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913)</f>
        <v/>
      </c>
      <c r="L913">
        <f>K913*(MIN(Inputs!$B$22+(F928-Calc!F22),(Inputs!$B$23+(IF(ArtifactsInput!$M$15,CHOOSE(ArtifactsInput!$N$15+1,25,30,35,40,45,50)/100*(Inputs!$B$11-Inputs!$B$11),0))))/100+(Inputs!$B$23+(IF(ArtifactsInput!$M$15,CHOOSE(ArtifactsInput!$N$15+1,25,30,35,40,45,50)/100*(Inputs!$B$11-Inputs!$B$11),0)))/100)/2</f>
        <v/>
      </c>
      <c r="M913">
        <f>L913*(1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3">
        <f>L913*(1-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913*(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3">
        <f>(1-Summary!$B$11)*S913+Summary!$B$11*U913</f>
        <v/>
      </c>
      <c r="P913">
        <f>IF(B947=0,0,O913/B947)</f>
        <v/>
      </c>
      <c r="Q913">
        <f>IFERROR(1/(IF(Inputs!$B$38="pvp",15,MAX(0.1,Skills!E7-IF(Skills!F7=TRUE,Inputs!$B$32,0)))*(1-IF(AND(ArtifactsInput!$M$27,Inputs!$B$4="Chapter Hunt"),CHOOSE(ArtifactsInput!$N$27+1,20,24,28,32,36,40),0)/100)),0)</f>
        <v/>
      </c>
      <c r="R913">
        <f>IF(AND(Inputs!$B$38&lt;&gt;"pvp",Inputs!$B$43&gt;0),IF(MAX(0,Inputs!$B$43-B944)&lt;=0,0,(INT(MAX(0,Inputs!$B$43-B944)/(IF(Inputs!$B$38="pvp",15,MAX(0.1,Skills!E7-IF(Skills!F7=TRUE,Inputs!$B$32,0)))*(1-IF(AND(ArtifactsInput!$M$27,Inputs!$B$4="Chapter Hunt"),CHOOSE(ArtifactsInput!$N$27+1,20,24,28,32,36,40),0)/100)))+1)),0)</f>
        <v/>
      </c>
      <c r="S913">
        <f>IF(C913,(H913*N913*IF(AND(Inputs!$B$38&lt;&gt;"pvp",Inputs!$B$43&gt;0),((Skills!G7*((R913-1)*IF(Skills!H7&gt;0,Skills!I7/Skills!H7,1)+IF(Skills!H7&gt;0,MIN(Skills!I7,MAX(0,MAX(0,Inputs!$B$43-B944)-((R913-1)*(IF(Inputs!$B$38="pvp",15,MAX(0.1,Skills!E7-IF(Skills!F7=TRUE,Inputs!$B$32,0)))*(1-IF(AND(ArtifactsInput!$M$27,Inputs!$B$4="Chapter Hunt"),CHOOSE(ArtifactsInput!$N$27+1,20,24,28,32,36,40),0)/100)))))/Skills!H7,1)))/Inputs!$B$43),G913*Q913)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913*(1-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913*(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913*(1-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913*(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3">
        <f>IF(C913,(H913*N913*IF(AND(Inputs!$B$38&lt;&gt;"pvp",Inputs!$B$43&gt;0),((Skills!G7*((R913-1)*IF(Skills!H7&gt;0,Skills!I7/Skills!H7,1)+IF(Skills!H7&gt;0,MIN(Skills!I7,MAX(0,MAX(0,Inputs!$B$43-B944)-((R913-1)*(IF(Inputs!$B$38="pvp",15,MAX(0.1,Skills!E7-IF(Skills!F7=TRUE,Inputs!$B$32,0)))*(1-IF(AND(ArtifactsInput!$M$27,Inputs!$B$4="Chapter Hunt"),CHOOSE(ArtifactsInput!$N$27+1,20,24,28,32,36,40),0)/100)))))/Skills!H7,1)))/Inputs!$B$43),G913*Q913)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4">
      <c r="A914">
        <f>Skills!A8</f>
        <v/>
      </c>
      <c r="B914">
        <f>Skills!B8</f>
        <v/>
      </c>
      <c r="C914">
        <f>TRUE</f>
        <v/>
      </c>
      <c r="D914">
        <f>IF(Skills!C8=1,60+Inputs!$B$25+(Inputs!$B$29+1),IF(Skills!C8=2,90+Inputs!$B$26+(Inputs!$B$29+1),IF(Skills!C8=3,120+Inputs!$B$27+(Inputs!$B$29+1),MAX(0,(Inputs!$B$3-100)*3)+Inputs!$B$28+(Inputs!$B$29+1))))</f>
        <v/>
      </c>
      <c r="E914">
        <f>INDEX(FactorTable!$B$2:$Y$301, MATCH(ROUND(MIN(300,MAX(1,D914)),0), FactorTable!$A$2:$A$301,0), Skills!M8+1)</f>
        <v/>
      </c>
      <c r="F914">
        <f>IF(Skills!N8=TRUE,(Skills!L8/10)*(E914/1000),Skills!L8/10)+Skills!O8</f>
        <v/>
      </c>
      <c r="G914">
        <f>Calc!G8</f>
        <v/>
      </c>
      <c r="H914">
        <f>Calc!H8</f>
        <v/>
      </c>
      <c r="I914">
        <f>IF(Skills!X8&lt;&gt;"",1+(Skills!X8/10)*(Z909/1000)/100,1)</f>
        <v/>
      </c>
      <c r="J914">
        <f>((Inputs!$B$6*(1+Inputs!$B$7/100))+(((Inputs!$B$12*(1+Inputs!$B$13/100))-(Inputs!$B$12*(1+Inputs!$B$13/100)))+0.25*(Inputs!$B$14-Inputs!$B$14))*(1+Inputs!$B$7/100))*(F914/100)</f>
        <v/>
      </c>
      <c r="K914">
        <f>J914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914)</f>
        <v/>
      </c>
      <c r="L914">
        <f>K914*(MIN(Inputs!$B$22+(F928-Calc!F22),(Inputs!$B$23+(IF(ArtifactsInput!$M$15,CHOOSE(ArtifactsInput!$N$15+1,25,30,35,40,45,50)/100*(Inputs!$B$11-Inputs!$B$11),0))))/100+(Inputs!$B$23+(IF(ArtifactsInput!$M$15,CHOOSE(ArtifactsInput!$N$15+1,25,30,35,40,45,50)/100*(Inputs!$B$11-Inputs!$B$11),0)))/100)/2</f>
        <v/>
      </c>
      <c r="M914">
        <f>L914*(1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4">
        <f>L914*(1-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914*(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4">
        <f>(1-Summary!$B$11)*S914+Summary!$B$11*U914</f>
        <v/>
      </c>
      <c r="P914">
        <f>IF(B947=0,0,O914/B947)</f>
        <v/>
      </c>
      <c r="Q914">
        <f>IFERROR(1/(IF(Inputs!$B$38="pvp",15,MAX(0.1,Skills!E8-IF(Skills!F8=TRUE,Inputs!$B$32,0)))*(1-IF(AND(ArtifactsInput!$M$27,Inputs!$B$4="Chapter Hunt"),CHOOSE(ArtifactsInput!$N$27+1,20,24,28,32,36,40),0)/100)),0)</f>
        <v/>
      </c>
      <c r="R914">
        <f>IF(AND(Inputs!$B$38&lt;&gt;"pvp",Inputs!$B$43&gt;0),IF(MAX(0,Inputs!$B$43-B944)&lt;=0,0,(INT(MAX(0,Inputs!$B$43-B944)/(IF(Inputs!$B$38="pvp",15,MAX(0.1,Skills!E8-IF(Skills!F8=TRUE,Inputs!$B$32,0)))*(1-IF(AND(ArtifactsInput!$M$27,Inputs!$B$4="Chapter Hunt"),CHOOSE(ArtifactsInput!$N$27+1,20,24,28,32,36,40),0)/100)))+1)),0)</f>
        <v/>
      </c>
      <c r="S914">
        <f>IF(C914,(H914*N914*IF(AND(Inputs!$B$38&lt;&gt;"pvp",Inputs!$B$43&gt;0),((Skills!G8*((R914-1)*IF(Skills!H8&gt;0,Skills!I8/Skills!H8,1)+IF(Skills!H8&gt;0,MIN(Skills!I8,MAX(0,MAX(0,Inputs!$B$43-B944)-((R914-1)*(IF(Inputs!$B$38="pvp",15,MAX(0.1,Skills!E8-IF(Skills!F8=TRUE,Inputs!$B$32,0)))*(1-IF(AND(ArtifactsInput!$M$27,Inputs!$B$4="Chapter Hunt"),CHOOSE(ArtifactsInput!$N$27+1,20,24,28,32,36,40),0)/100)))))/Skills!H8,1)))/Inputs!$B$43),G914*Q914)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914*(1-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914*(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914*(1-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914*(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4">
        <f>IF(C914,(H914*N914*IF(AND(Inputs!$B$38&lt;&gt;"pvp",Inputs!$B$43&gt;0),((Skills!G8*((R914-1)*IF(Skills!H8&gt;0,Skills!I8/Skills!H8,1)+IF(Skills!H8&gt;0,MIN(Skills!I8,MAX(0,MAX(0,Inputs!$B$43-B944)-((R914-1)*(IF(Inputs!$B$38="pvp",15,MAX(0.1,Skills!E8-IF(Skills!F8=TRUE,Inputs!$B$32,0)))*(1-IF(AND(ArtifactsInput!$M$27,Inputs!$B$4="Chapter Hunt"),CHOOSE(ArtifactsInput!$N$27+1,20,24,28,32,36,40),0)/100)))))/Skills!H8,1)))/Inputs!$B$43),G914*Q914)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5">
      <c r="A915">
        <f>Skills!A9</f>
        <v/>
      </c>
      <c r="B915">
        <f>Skills!B9</f>
        <v/>
      </c>
      <c r="C915">
        <f>Inputs!$B$3&gt;=103</f>
        <v/>
      </c>
      <c r="D915">
        <f>IF(Skills!C9=1,60+Inputs!$B$25+(Inputs!$B$29+1),IF(Skills!C9=2,90+Inputs!$B$26+(Inputs!$B$29+1),IF(Skills!C9=3,120+Inputs!$B$27+(Inputs!$B$29+1),MAX(0,(Inputs!$B$3-100)*3)+Inputs!$B$28+(Inputs!$B$29+1))))</f>
        <v/>
      </c>
      <c r="E915">
        <f>INDEX(FactorTable!$B$2:$Y$301, MATCH(ROUND(MIN(300,MAX(1,D915)),0), FactorTable!$A$2:$A$301,0), Skills!M9+1)</f>
        <v/>
      </c>
      <c r="F915">
        <f>IF(Skills!N9=TRUE,(Skills!L9/10)*(E915/1000),Skills!L9/10)+Skills!O9</f>
        <v/>
      </c>
      <c r="G915">
        <f>Calc!G9</f>
        <v/>
      </c>
      <c r="H915">
        <f>Calc!H9</f>
        <v/>
      </c>
      <c r="I915">
        <f>IF(Skills!X9&lt;&gt;"",1+(Skills!X9/10)*(Z909/1000)/100,1)</f>
        <v/>
      </c>
      <c r="J915">
        <f>((Inputs!$B$6*(1+Inputs!$B$7/100))+(((Inputs!$B$12*(1+Inputs!$B$13/100))-(Inputs!$B$12*(1+Inputs!$B$13/100)))+0.25*(Inputs!$B$14-Inputs!$B$14))*(1+Inputs!$B$7/100))*(F915/100)</f>
        <v/>
      </c>
      <c r="K915">
        <f>J915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915)</f>
        <v/>
      </c>
      <c r="L915">
        <f>K915*(MIN(Inputs!$B$22+(F928-Calc!F22),(Inputs!$B$23+(IF(ArtifactsInput!$M$15,CHOOSE(ArtifactsInput!$N$15+1,25,30,35,40,45,50)/100*(Inputs!$B$11-Inputs!$B$11),0))))/100+(Inputs!$B$23+(IF(ArtifactsInput!$M$15,CHOOSE(ArtifactsInput!$N$15+1,25,30,35,40,45,50)/100*(Inputs!$B$11-Inputs!$B$11),0)))/100)/2</f>
        <v/>
      </c>
      <c r="M915">
        <f>L915*(1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5">
        <f>L915*(1-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915*(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5">
        <f>(1-Summary!$B$11)*S915+Summary!$B$11*U915</f>
        <v/>
      </c>
      <c r="P915">
        <f>IF(B947=0,0,O915/B947)</f>
        <v/>
      </c>
      <c r="Q915">
        <f>IFERROR(1/(IF(Inputs!$B$38="pvp",15,MAX(0.1,Skills!E9-IF(Skills!F7=TRUE,Inputs!$B$32,0)))*(1-IF(AND(ArtifactsInput!$M$27,Inputs!$B$4="Chapter Hunt"),CHOOSE(ArtifactsInput!$N$27+1,20,24,28,32,36,40),0)/100)),0)</f>
        <v/>
      </c>
      <c r="R915">
        <f>IF(AND(Inputs!$B$38&lt;&gt;"pvp",Inputs!$B$43&gt;0),IF(MAX(0,Inputs!$B$43-B944)&lt;=0,0,(INT(MAX(0,Inputs!$B$43-B944)/(IF(Inputs!$B$38="pvp",15,MAX(0.1,Skills!E9-IF(Skills!F7=TRUE,Inputs!$B$32,0)))*(1-IF(AND(ArtifactsInput!$M$27,Inputs!$B$4="Chapter Hunt"),CHOOSE(ArtifactsInput!$N$27+1,20,24,28,32,36,40),0)/100)))+1)),0)</f>
        <v/>
      </c>
      <c r="S915">
        <f>IF(C915,(H915*N915*IF(AND(Inputs!$B$38&lt;&gt;"pvp",Inputs!$B$43&gt;0),((Skills!G9*((R915-1)*IF(Skills!H9&gt;0,Skills!I9/Skills!H9,1)+IF(Skills!H9&gt;0,MIN(Skills!I9,MAX(0,MAX(0,Inputs!$B$43-B944)-((R915-1)*(IF(Inputs!$B$38="pvp",15,MAX(0.1,Skills!E9-IF(Skills!F7=TRUE,Inputs!$B$32,0)))*(1-IF(AND(ArtifactsInput!$M$27,Inputs!$B$4="Chapter Hunt"),CHOOSE(ArtifactsInput!$N$27+1,20,24,28,32,36,40),0)/100)))))/Skills!H9,1)))/Inputs!$B$43),G915*Q915)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915*(1-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915*(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915*(1-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915*(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5">
        <f>IF(C915,(H915*N915*IF(AND(Inputs!$B$38&lt;&gt;"pvp",Inputs!$B$43&gt;0),((Skills!G9*((R915-1)*IF(Skills!H9&gt;0,Skills!I9/Skills!H9,1)+IF(Skills!H9&gt;0,MIN(Skills!I9,MAX(0,MAX(0,Inputs!$B$43-B944)-((R915-1)*(IF(Inputs!$B$38="pvp",15,MAX(0.1,Skills!E9-IF(Skills!F7=TRUE,Inputs!$B$32,0)))*(1-IF(AND(ArtifactsInput!$M$27,Inputs!$B$4="Chapter Hunt"),CHOOSE(ArtifactsInput!$N$27+1,20,24,28,32,36,40),0)/100)))))/Skills!H9,1)))/Inputs!$B$43),G915*Q915)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6">
      <c r="A916">
        <f>Skills!A10</f>
        <v/>
      </c>
      <c r="B916">
        <f>Skills!B10</f>
        <v/>
      </c>
      <c r="C916">
        <f>TRUE</f>
        <v/>
      </c>
      <c r="D916">
        <f>IF(Skills!C10=1,60+Inputs!$B$25+(Inputs!$B$29+1),IF(Skills!C10=2,90+Inputs!$B$26+(Inputs!$B$29+1),IF(Skills!C10=3,120+Inputs!$B$27+(Inputs!$B$29+1),MAX(0,(Inputs!$B$3-100)*3)+Inputs!$B$28+(Inputs!$B$29+1))))</f>
        <v/>
      </c>
      <c r="E916">
        <f>INDEX(FactorTable!$B$2:$Y$301, MATCH(ROUND(MIN(300,MAX(1,D916)),0), FactorTable!$A$2:$A$301,0), Skills!M10+1)</f>
        <v/>
      </c>
      <c r="F916">
        <f>IF(Skills!N10=TRUE,(Skills!L10/10)*(E916/1000),Skills!L10/10)+Skills!O10</f>
        <v/>
      </c>
      <c r="G916">
        <f>Calc!G10</f>
        <v/>
      </c>
      <c r="H916">
        <f>Calc!H10</f>
        <v/>
      </c>
      <c r="I916">
        <f>IF(Skills!X10&lt;&gt;"",1+(Skills!X10/10)*(Z909/1000)/100,1)</f>
        <v/>
      </c>
      <c r="J916">
        <f>((Inputs!$B$6*(1+Inputs!$B$7/100))+(((Inputs!$B$12*(1+Inputs!$B$13/100))-(Inputs!$B$12*(1+Inputs!$B$13/100)))+0.25*(Inputs!$B$14-Inputs!$B$14))*(1+Inputs!$B$7/100))*(F916/100)</f>
        <v/>
      </c>
      <c r="K916">
        <f>J916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916)</f>
        <v/>
      </c>
      <c r="L916">
        <f>K916*(MIN(Inputs!$B$22+(F928-Calc!F22),(Inputs!$B$23+(IF(ArtifactsInput!$M$15,CHOOSE(ArtifactsInput!$N$15+1,25,30,35,40,45,50)/100*(Inputs!$B$11-Inputs!$B$11),0))))/100+(Inputs!$B$23+(IF(ArtifactsInput!$M$15,CHOOSE(ArtifactsInput!$N$15+1,25,30,35,40,45,50)/100*(Inputs!$B$11-Inputs!$B$11),0)))/100)/2</f>
        <v/>
      </c>
      <c r="M916">
        <f>L916*(1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6">
        <f>L916*(1-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916*(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6">
        <f>(1-Summary!$B$11)*S916+Summary!$B$11*U916</f>
        <v/>
      </c>
      <c r="P916">
        <f>IF(B947=0,0,O916/B947)</f>
        <v/>
      </c>
      <c r="Q916">
        <f>IFERROR(1/(IF(Inputs!$B$38="pvp",15,MAX(0.1,Skills!E10-IF(Skills!F10=TRUE,Inputs!$B$32,0)))*(1-IF(AND(ArtifactsInput!$M$27,Inputs!$B$4="Chapter Hunt"),CHOOSE(ArtifactsInput!$N$27+1,20,24,28,32,36,40),0)/100)),0)</f>
        <v/>
      </c>
      <c r="R916">
        <f>IF(AND(Inputs!$B$38&lt;&gt;"pvp",Inputs!$B$43&gt;0),IF(MAX(0,Inputs!$B$43-B944)&lt;=0,0,(INT(MAX(0,Inputs!$B$43-B944)/(IF(Inputs!$B$38="pvp",15,MAX(0.1,Skills!E10-IF(Skills!F10=TRUE,Inputs!$B$32,0)))*(1-IF(AND(ArtifactsInput!$M$27,Inputs!$B$4="Chapter Hunt"),CHOOSE(ArtifactsInput!$N$27+1,20,24,28,32,36,40),0)/100)))+1)),0)</f>
        <v/>
      </c>
      <c r="S916">
        <f>IF(C916,(H916*N916*IF(AND(Inputs!$B$38&lt;&gt;"pvp",Inputs!$B$43&gt;0),((Skills!G10*((R916-1)*IF(Skills!H10&gt;0,Skills!I10/Skills!H10,1)+IF(Skills!H10&gt;0,MIN(Skills!I10,MAX(0,MAX(0,Inputs!$B$43-B944)-((R916-1)*(IF(Inputs!$B$38="pvp",15,MAX(0.1,Skills!E10-IF(Skills!F10=TRUE,Inputs!$B$32,0)))*(1-IF(AND(ArtifactsInput!$M$27,Inputs!$B$4="Chapter Hunt"),CHOOSE(ArtifactsInput!$N$27+1,20,24,28,32,36,40),0)/100)))))/Skills!H10,1)))/Inputs!$B$43),G916*Q916)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916*(1-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916*(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916*(1-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916*(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6">
        <f>IF(C916,(H916*N916*IF(AND(Inputs!$B$38&lt;&gt;"pvp",Inputs!$B$43&gt;0),((Skills!G10*((R916-1)*IF(Skills!H10&gt;0,Skills!I10/Skills!H10,1)+IF(Skills!H10&gt;0,MIN(Skills!I10,MAX(0,MAX(0,Inputs!$B$43-B944)-((R916-1)*(IF(Inputs!$B$38="pvp",15,MAX(0.1,Skills!E10-IF(Skills!F10=TRUE,Inputs!$B$32,0)))*(1-IF(AND(ArtifactsInput!$M$27,Inputs!$B$4="Chapter Hunt"),CHOOSE(ArtifactsInput!$N$27+1,20,24,28,32,36,40),0)/100)))))/Skills!H10,1)))/Inputs!$B$43),G916*Q916)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7">
      <c r="A917">
        <f>Skills!A11</f>
        <v/>
      </c>
      <c r="B917">
        <f>Skills!B11</f>
        <v/>
      </c>
      <c r="C917">
        <f>TRUE</f>
        <v/>
      </c>
      <c r="D917">
        <f>IF(Skills!C11=1,60+Inputs!$B$25+(Inputs!$B$29+1),IF(Skills!C11=2,90+Inputs!$B$26+(Inputs!$B$29+1),IF(Skills!C11=3,120+Inputs!$B$27+(Inputs!$B$29+1),MAX(0,(Inputs!$B$3-100)*3)+Inputs!$B$28+(Inputs!$B$29+1))))</f>
        <v/>
      </c>
      <c r="E917">
        <f>INDEX(FactorTable!$B$2:$Y$301, MATCH(ROUND(MIN(300,MAX(1,D917)),0), FactorTable!$A$2:$A$301,0), Skills!M11+1)</f>
        <v/>
      </c>
      <c r="F917">
        <f>IF(Skills!N11=TRUE,(Skills!L11/10)*(E917/1000),Skills!L11/10)+Skills!O11</f>
        <v/>
      </c>
      <c r="G917">
        <f>Calc!G11</f>
        <v/>
      </c>
      <c r="H917">
        <f>Calc!H11</f>
        <v/>
      </c>
      <c r="I917">
        <f>IF(Skills!X11&lt;&gt;"",1+(Skills!X11/10)*(Z909/1000)/100,1)</f>
        <v/>
      </c>
      <c r="J917" t="inlineStr"/>
      <c r="K917" t="inlineStr"/>
      <c r="L917" t="inlineStr"/>
      <c r="M917" t="inlineStr"/>
      <c r="N917" t="inlineStr"/>
      <c r="O917">
        <f>(1-Summary!$B$11)*S917+Summary!$B$11*U917</f>
        <v/>
      </c>
      <c r="P917">
        <f>IF(B947=0,0,O917/B947)</f>
        <v/>
      </c>
      <c r="Q917">
        <f>IFERROR(1/(IF(Inputs!$B$38="pvp",15,MAX(0.1,Skills!E11-IF(Skills!F11=TRUE,Inputs!$B$32,0)))*(1-IF(AND(ArtifactsInput!$M$27,Inputs!$B$4="Chapter Hunt"),CHOOSE(ArtifactsInput!$N$27+1,20,24,28,32,36,40),0)/100)),0)</f>
        <v/>
      </c>
      <c r="R917" t="n">
        <v>0</v>
      </c>
      <c r="S917" t="n">
        <v>0</v>
      </c>
      <c r="U917" t="n">
        <v>0</v>
      </c>
    </row>
    <row r="918">
      <c r="A918">
        <f>Skills!A12</f>
        <v/>
      </c>
      <c r="B918">
        <f>Skills!B12</f>
        <v/>
      </c>
      <c r="C918">
        <f>TRUE</f>
        <v/>
      </c>
      <c r="D918">
        <f>IF(Skills!C12=1,60+Inputs!$B$25+(Inputs!$B$29+1),IF(Skills!C12=2,90+Inputs!$B$26+(Inputs!$B$29+1),IF(Skills!C12=3,120+Inputs!$B$27+(Inputs!$B$29+1),MAX(0,(Inputs!$B$3-100)*3)+Inputs!$B$28+(Inputs!$B$29+1))))</f>
        <v/>
      </c>
      <c r="E918">
        <f>INDEX(FactorTable!$B$2:$Y$301, MATCH(ROUND(MIN(300,MAX(1,D918)),0), FactorTable!$A$2:$A$301,0), Skills!M12+1)</f>
        <v/>
      </c>
      <c r="F918">
        <f>IF(Skills!N12=TRUE,(Skills!L12/10)*(E918/1000),Skills!L12/10)+Skills!O12</f>
        <v/>
      </c>
      <c r="G918">
        <f>Calc!G12</f>
        <v/>
      </c>
      <c r="H918">
        <f>Calc!H12</f>
        <v/>
      </c>
      <c r="I918">
        <f>IF(Skills!X12&lt;&gt;"",1+(Skills!X12/10)*(Z909/1000)/100,1)</f>
        <v/>
      </c>
      <c r="J918" t="inlineStr"/>
      <c r="K918" t="inlineStr"/>
      <c r="L918" t="inlineStr"/>
      <c r="M918" t="inlineStr"/>
      <c r="N918" t="inlineStr"/>
      <c r="O918">
        <f>(1-Summary!$B$11)*S918+Summary!$B$11*U918</f>
        <v/>
      </c>
      <c r="P918">
        <f>IF(B947=0,0,O918/B947)</f>
        <v/>
      </c>
      <c r="Q918">
        <f>IFERROR(1/(IF(Inputs!$B$38="pvp",15,MAX(0.1,Skills!E12-IF(Skills!F12=TRUE,Inputs!$B$32,0)))*(1-IF(AND(ArtifactsInput!$M$27,Inputs!$B$4="Chapter Hunt"),CHOOSE(ArtifactsInput!$N$27+1,20,24,28,32,36,40),0)/100)),0)</f>
        <v/>
      </c>
      <c r="R918" t="n">
        <v>0</v>
      </c>
      <c r="S918" t="n">
        <v>0</v>
      </c>
      <c r="U918" t="n">
        <v>0</v>
      </c>
    </row>
    <row r="919">
      <c r="A919">
        <f>Skills!A13</f>
        <v/>
      </c>
      <c r="B919">
        <f>Skills!B13</f>
        <v/>
      </c>
      <c r="C919">
        <f>Inputs!$B$3&gt;=105</f>
        <v/>
      </c>
      <c r="D919">
        <f>IF(Skills!C13=1,60+Inputs!$B$25+(Inputs!$B$29+1),IF(Skills!C13=2,90+Inputs!$B$26+(Inputs!$B$29+1),IF(Skills!C13=3,120+Inputs!$B$27+(Inputs!$B$29+1),MAX(0,(Inputs!$B$3-100)*3)+Inputs!$B$28+(Inputs!$B$29+1))))</f>
        <v/>
      </c>
      <c r="E919">
        <f>INDEX(FactorTable!$B$2:$Y$301, MATCH(ROUND(MIN(300,MAX(1,D919)),0), FactorTable!$A$2:$A$301,0), Skills!M13+1)</f>
        <v/>
      </c>
      <c r="F919">
        <f>IF(Skills!N13=TRUE,(Skills!L13/10)*(E919/1000),Skills!L13/10)+Skills!O13</f>
        <v/>
      </c>
      <c r="G919">
        <f>Calc!G13</f>
        <v/>
      </c>
      <c r="H919">
        <f>Calc!H13</f>
        <v/>
      </c>
      <c r="I919">
        <f>IF(Skills!X13&lt;&gt;"",1+(Skills!X13/10)*(Z909/1000)/100,1)</f>
        <v/>
      </c>
      <c r="J919">
        <f>((Inputs!$B$6*(1+Inputs!$B$7/100))+(((Inputs!$B$12*(1+Inputs!$B$13/100))-(Inputs!$B$12*(1+Inputs!$B$13/100)))+0.25*(Inputs!$B$14-Inputs!$B$14))*(1+Inputs!$B$7/100))*(F919/100)</f>
        <v/>
      </c>
      <c r="K919">
        <f>J919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919)</f>
        <v/>
      </c>
      <c r="L919">
        <f>K919*(MIN(Inputs!$B$22+(F928-Calc!F22),(Inputs!$B$23+(IF(ArtifactsInput!$M$15,CHOOSE(ArtifactsInput!$N$15+1,25,30,35,40,45,50)/100*(Inputs!$B$11-Inputs!$B$11),0))))/100+(Inputs!$B$23+(IF(ArtifactsInput!$M$15,CHOOSE(ArtifactsInput!$N$15+1,25,30,35,40,45,50)/100*(Inputs!$B$11-Inputs!$B$11),0)))/100)/2</f>
        <v/>
      </c>
      <c r="M919">
        <f>L919*(1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9">
        <f>L919*(1-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919*(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9">
        <f>(1-Summary!$B$11)*S919+Summary!$B$11*U919</f>
        <v/>
      </c>
      <c r="P919">
        <f>IF(B947=0,0,O919/B947)</f>
        <v/>
      </c>
      <c r="Q919">
        <f>IFERROR(1/(IF(Inputs!$B$38="pvp",15,MAX(0.1,Skills!E13-IF(Skills!F13=TRUE,Inputs!$B$32,0)))*(1-IF(AND(ArtifactsInput!$M$27,Inputs!$B$4="Chapter Hunt"),CHOOSE(ArtifactsInput!$N$27+1,20,24,28,32,36,40),0)/100)),0)</f>
        <v/>
      </c>
      <c r="R919">
        <f>IF(AND(Inputs!$B$38&lt;&gt;"pvp",Inputs!$B$43&gt;0),IF(MAX(0,Inputs!$B$43-B944)&lt;=0,0,(INT(MAX(0,Inputs!$B$43-B944)/(IF(Inputs!$B$38="pvp",15,MAX(0.1,Skills!E13-IF(Skills!F13=TRUE,Inputs!$B$32,0)))*(1-IF(AND(ArtifactsInput!$M$27,Inputs!$B$4="Chapter Hunt"),CHOOSE(ArtifactsInput!$N$27+1,20,24,28,32,36,40),0)/100)))+1)),0)</f>
        <v/>
      </c>
      <c r="S919">
        <f>IF(C919,(H919*N919*IF(AND(Inputs!$B$38&lt;&gt;"pvp",Inputs!$B$43&gt;0),((Skills!G13*((R919-1)*IF(Skills!H13&gt;0,Skills!I13/Skills!H13,1)+IF(Skills!H13&gt;0,MIN(Skills!I13,MAX(0,MAX(0,Inputs!$B$43-B944)-((R919-1)*(IF(Inputs!$B$38="pvp",15,MAX(0.1,Skills!E13-IF(Skills!F13=TRUE,Inputs!$B$32,0)))*(1-IF(AND(ArtifactsInput!$M$27,Inputs!$B$4="Chapter Hunt"),CHOOSE(ArtifactsInput!$N$27+1,20,24,28,32,36,40),0)/100)))))/Skills!H13,1)))/Inputs!$B$43),G919*Q919)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919*(1-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919*(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919*(1-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919*(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9">
        <f>IF(C919,(H919*N919*IF(AND(Inputs!$B$38&lt;&gt;"pvp",Inputs!$B$43&gt;0),((Skills!G13*((R919-1)*IF(Skills!H13&gt;0,Skills!I13/Skills!H13,1)+IF(Skills!H13&gt;0,MIN(Skills!I13,MAX(0,MAX(0,Inputs!$B$43-B944)-((R919-1)*(IF(Inputs!$B$38="pvp",15,MAX(0.1,Skills!E13-IF(Skills!F13=TRUE,Inputs!$B$32,0)))*(1-IF(AND(ArtifactsInput!$M$27,Inputs!$B$4="Chapter Hunt"),CHOOSE(ArtifactsInput!$N$27+1,20,24,28,32,36,40),0)/100)))))/Skills!H13,1)))/Inputs!$B$43),G919*Q919)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0">
      <c r="A920">
        <f>Skills!A14</f>
        <v/>
      </c>
      <c r="B920">
        <f>Skills!B14</f>
        <v/>
      </c>
      <c r="C920">
        <f>Inputs!$B$3&gt;=113</f>
        <v/>
      </c>
      <c r="D920">
        <f>IF(Skills!C14=1,60+Inputs!$B$25+(Inputs!$B$29+1),IF(Skills!C14=2,90+Inputs!$B$26+(Inputs!$B$29+1),IF(Skills!C14=3,120+Inputs!$B$27+(Inputs!$B$29+1),MAX(0,(Inputs!$B$3-100)*3)+Inputs!$B$28+(Inputs!$B$29+1))))</f>
        <v/>
      </c>
      <c r="E920">
        <f>INDEX(FactorTable!$B$2:$Y$301, MATCH(ROUND(MIN(300,MAX(1,D920)),0), FactorTable!$A$2:$A$301,0), Skills!M14+1)</f>
        <v/>
      </c>
      <c r="F920">
        <f>IF(Skills!N14=TRUE,(Skills!L14/10)*(E920/1000),Skills!L14/10)+Skills!O14</f>
        <v/>
      </c>
      <c r="G920">
        <f>Calc!G14</f>
        <v/>
      </c>
      <c r="H920">
        <f>Calc!H14</f>
        <v/>
      </c>
      <c r="I920">
        <f>IF(Skills!X14&lt;&gt;"",1+(Skills!X14/10)*(Z909/1000)/100,1)</f>
        <v/>
      </c>
      <c r="J920">
        <f>((Inputs!$B$6*(1+Inputs!$B$7/100))+(((Inputs!$B$12*(1+Inputs!$B$13/100))-(Inputs!$B$12*(1+Inputs!$B$13/100)))+0.25*(Inputs!$B$14-Inputs!$B$14))*(1+Inputs!$B$7/100))*(F920/100)</f>
        <v/>
      </c>
      <c r="K920">
        <f>J920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920)</f>
        <v/>
      </c>
      <c r="L920">
        <f>K920*(MIN(Inputs!$B$22+(F928-Calc!F22),(Inputs!$B$23+(IF(ArtifactsInput!$M$15,CHOOSE(ArtifactsInput!$N$15+1,25,30,35,40,45,50)/100*(Inputs!$B$11-Inputs!$B$11),0))))/100+(Inputs!$B$23+(IF(ArtifactsInput!$M$15,CHOOSE(ArtifactsInput!$N$15+1,25,30,35,40,45,50)/100*(Inputs!$B$11-Inputs!$B$11),0)))/100)/2</f>
        <v/>
      </c>
      <c r="M920">
        <f>L920*(1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0">
        <f>L920*(1-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920*(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0">
        <f>(1-Summary!$B$11)*S920+Summary!$B$11*U920</f>
        <v/>
      </c>
      <c r="P920">
        <f>IF(B947=0,0,O920/B947)</f>
        <v/>
      </c>
      <c r="Q920">
        <f>IFERROR(1/(IF(Inputs!$B$38="pvp",15,MAX(0.1,Skills!E14-IF(Skills!F14=TRUE,Inputs!$B$32,0)))*(1-IF(AND(ArtifactsInput!$M$27,Inputs!$B$4="Chapter Hunt"),CHOOSE(ArtifactsInput!$N$27+1,20,24,28,32,36,40),0)/100)),0)</f>
        <v/>
      </c>
      <c r="R920" t="n">
        <v>0</v>
      </c>
      <c r="S920">
        <f>IF(C920,((H920*B943)/(1+Skills!H14*H920*B943)*N920)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920*(1-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920*(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920*(1-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920*(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20">
        <f>IF(C920,((H920*B943)/(1+Skills!H14*H920*B943)*N920)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1">
      <c r="A921">
        <f>Skills!A15</f>
        <v/>
      </c>
      <c r="B921">
        <f>Skills!B15</f>
        <v/>
      </c>
      <c r="C921">
        <f>Inputs!$B$3&gt;=107</f>
        <v/>
      </c>
      <c r="D921">
        <f>IF(Skills!C15=1,60+Inputs!$B$25+(Inputs!$B$29+1),IF(Skills!C15=2,90+Inputs!$B$26+(Inputs!$B$29+1),IF(Skills!C15=3,120+Inputs!$B$27+(Inputs!$B$29+1),MAX(0,(Inputs!$B$3-100)*3)+Inputs!$B$28+(Inputs!$B$29+1))))</f>
        <v/>
      </c>
      <c r="E921">
        <f>INDEX(FactorTable!$B$2:$Y$301, MATCH(ROUND(MIN(300,MAX(1,D921)),0), FactorTable!$A$2:$A$301,0), Skills!M15+1)</f>
        <v/>
      </c>
      <c r="F921">
        <f>IF(Skills!N15=TRUE,(Skills!L15/10)*(E921/1000),Skills!L15/10)+Skills!O15</f>
        <v/>
      </c>
      <c r="G921">
        <f>Calc!G15</f>
        <v/>
      </c>
      <c r="H921">
        <f>Calc!H15</f>
        <v/>
      </c>
      <c r="I921">
        <f>IF(Skills!X15&lt;&gt;"",1+(Skills!X15/10)*(Z909/1000)/100,1)</f>
        <v/>
      </c>
      <c r="J921">
        <f>((Inputs!$B$6*(1+Inputs!$B$7/100))+(((Inputs!$B$12*(1+Inputs!$B$13/100))-(Inputs!$B$12*(1+Inputs!$B$13/100)))+0.25*(Inputs!$B$14-Inputs!$B$14))*(1+Inputs!$B$7/100))*(F921/100)</f>
        <v/>
      </c>
      <c r="K921">
        <f>J921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921)</f>
        <v/>
      </c>
      <c r="L921">
        <f>K921*(MIN(Inputs!$B$22+(F928-Calc!F22),(Inputs!$B$23+(IF(ArtifactsInput!$M$15,CHOOSE(ArtifactsInput!$N$15+1,25,30,35,40,45,50)/100*(Inputs!$B$11-Inputs!$B$11),0))))/100+(Inputs!$B$23+(IF(ArtifactsInput!$M$15,CHOOSE(ArtifactsInput!$N$15+1,25,30,35,40,45,50)/100*(Inputs!$B$11-Inputs!$B$11),0)))/100)/2</f>
        <v/>
      </c>
      <c r="M921">
        <f>L921*(1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1">
        <f>L921*(1-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1">
        <f>(1-Summary!$B$11)*S921+Summary!$B$11*U921</f>
        <v/>
      </c>
      <c r="P921">
        <f>IF(B947=0,0,O921/B947)</f>
        <v/>
      </c>
      <c r="Q921">
        <f>IFERROR(1/(IF(Inputs!$B$38="pvp",15,MAX(0.1,Skills!E15-IF(Skills!F15=TRUE,Inputs!$B$32,0)))*(1-IF(AND(ArtifactsInput!$M$27,Inputs!$B$4="Chapter Hunt"),CHOOSE(ArtifactsInput!$N$27+1,20,24,28,32,36,40),0)/100)),0)</f>
        <v/>
      </c>
      <c r="R921">
        <f>IF(AND(Inputs!$B$38&lt;&gt;"pvp",Inputs!$B$43&gt;0),IF(MAX(0,Inputs!$B$43-B944)&lt;=0,0,(INT(MAX(0,Inputs!$B$43-B944)/(IF(Inputs!$B$38="pvp",15,MAX(0.1,Skills!E15-IF(Skills!F15=TRUE,Inputs!$B$32,0)))*(1-IF(AND(ArtifactsInput!$M$27,Inputs!$B$4="Chapter Hunt"),CHOOSE(ArtifactsInput!$N$27+1,20,24,28,32,36,40),0)/100)))+1)),0)</f>
        <v/>
      </c>
      <c r="S921">
        <f>IF(C921,(H921*N921*IF(AND(Inputs!$B$38&lt;&gt;"pvp",Inputs!$B$43&gt;0),((Skills!G15*((R921-1)*IF(Skills!H15&gt;0,Skills!I15/Skills!H15,1)+IF(Skills!H15&gt;0,MIN(Skills!I15,MAX(0,MAX(0,Inputs!$B$43-B944)-((R921-1)*(IF(Inputs!$B$38="pvp",15,MAX(0.1,Skills!E15-IF(Skills!F15=TRUE,Inputs!$B$32,0)))*(1-IF(AND(ArtifactsInput!$M$27,Inputs!$B$4="Chapter Hunt"),CHOOSE(ArtifactsInput!$N$27+1,20,24,28,32,36,40),0)/100)))))/Skills!H15,1)))/Inputs!$B$43),G921*Q921)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921*(1-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921*(1-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21">
        <f>IF(C921,(H921*N921*IF(AND(Inputs!$B$38&lt;&gt;"pvp",Inputs!$B$43&gt;0),((Skills!G15*((R921-1)*IF(Skills!H15&gt;0,Skills!I15/Skills!H15,1)+IF(Skills!H15&gt;0,MIN(Skills!I15,MAX(0,MAX(0,Inputs!$B$43-B944)-((R921-1)*(IF(Inputs!$B$38="pvp",15,MAX(0.1,Skills!E15-IF(Skills!F15=TRUE,Inputs!$B$32,0)))*(1-IF(AND(ArtifactsInput!$M$27,Inputs!$B$4="Chapter Hunt"),CHOOSE(ArtifactsInput!$N$27+1,20,24,28,32,36,40),0)/100)))))/Skills!H15,1)))/Inputs!$B$43),G921*Q921)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2">
      <c r="A922">
        <f>Skills!A16</f>
        <v/>
      </c>
      <c r="B922">
        <f>Skills!B16</f>
        <v/>
      </c>
      <c r="C922">
        <f>Inputs!$B$3&gt;=107</f>
        <v/>
      </c>
      <c r="D922">
        <f>IF(Skills!C16=1,60+Inputs!$B$25+(Inputs!$B$29+1),IF(Skills!C16=2,90+Inputs!$B$26+(Inputs!$B$29+1),IF(Skills!C16=3,120+Inputs!$B$27+(Inputs!$B$29+1),MAX(0,(Inputs!$B$3-100)*3)+Inputs!$B$28+(Inputs!$B$29+1))))</f>
        <v/>
      </c>
      <c r="E922">
        <f>INDEX(FactorTable!$B$2:$Y$301, MATCH(ROUND(MIN(300,MAX(1,D922)),0), FactorTable!$A$2:$A$301,0), Skills!M16+1)</f>
        <v/>
      </c>
      <c r="F922">
        <f>IF(Skills!N16=TRUE,(Skills!L16/10)*(E922/1000),Skills!L16/10)+Skills!O16</f>
        <v/>
      </c>
      <c r="G922">
        <f>Calc!G16</f>
        <v/>
      </c>
      <c r="H922">
        <f>Calc!H16</f>
        <v/>
      </c>
      <c r="I922">
        <f>IF(Skills!X16&lt;&gt;"",1+(Skills!X16/10)*(Z909/1000)/100,1)</f>
        <v/>
      </c>
      <c r="J922">
        <f>((Inputs!$B$6*(1+Inputs!$B$7/100))+(((Inputs!$B$12*(1+Inputs!$B$13/100))-(Inputs!$B$12*(1+Inputs!$B$13/100)))+0.25*(Inputs!$B$14-Inputs!$B$14))*(1+Inputs!$B$7/100))*(F922/100)</f>
        <v/>
      </c>
      <c r="K922">
        <f>J922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922)</f>
        <v/>
      </c>
      <c r="L922">
        <f>K922*(MIN(Inputs!$B$22+(F928-Calc!F22),(Inputs!$B$23+(IF(ArtifactsInput!$M$15,CHOOSE(ArtifactsInput!$N$15+1,25,30,35,40,45,50)/100*(Inputs!$B$11-Inputs!$B$11),0))))/100+(Inputs!$B$23+(IF(ArtifactsInput!$M$15,CHOOSE(ArtifactsInput!$N$15+1,25,30,35,40,45,50)/100*(Inputs!$B$11-Inputs!$B$11),0)))/100)/2</f>
        <v/>
      </c>
      <c r="M922">
        <f>L922*(1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2">
        <f>L922*(1-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922*(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2">
        <f>(1-Summary!$B$11)*S922+Summary!$B$11*U922</f>
        <v/>
      </c>
      <c r="P922">
        <f>IF(B947=0,0,O922/B947)</f>
        <v/>
      </c>
      <c r="Q922">
        <f>IFERROR(1/(IF(Inputs!$B$38="pvp",15,MAX(0.1,Skills!E16-IF(Skills!F16=TRUE,Inputs!$B$32,0)))*(1-IF(AND(ArtifactsInput!$M$27,Inputs!$B$4="Chapter Hunt"),CHOOSE(ArtifactsInput!$N$27+1,20,24,28,32,36,40),0)/100)),0)</f>
        <v/>
      </c>
      <c r="R922">
        <f>IF(AND(Inputs!$B$38&lt;&gt;"pvp",Inputs!$B$43&gt;0),IF(MAX(0,Inputs!$B$43-B944)&lt;=0,0,(INT(MAX(0,Inputs!$B$43-B944)/(IF(Inputs!$B$38="pvp",15,MAX(0.1,Skills!E16-IF(Skills!F16=TRUE,Inputs!$B$32,0)))*(1-IF(AND(ArtifactsInput!$M$27,Inputs!$B$4="Chapter Hunt"),CHOOSE(ArtifactsInput!$N$27+1,20,24,28,32,36,40),0)/100)))+1)),0)</f>
        <v/>
      </c>
      <c r="S922">
        <f>IF(C922,(H922*N922*IF(AND(Inputs!$B$38&lt;&gt;"pvp",Inputs!$B$43&gt;0),((Skills!G16*((R922-1)*IF(Skills!H16&gt;0,Skills!I16/Skills!H16,1)+IF(Skills!H16&gt;0,MIN(Skills!I16,MAX(0,MAX(0,Inputs!$B$43-B944)-((R922-1)*(IF(Inputs!$B$38="pvp",15,MAX(0.1,Skills!E16-IF(Skills!F16=TRUE,Inputs!$B$32,0)))*(1-IF(AND(ArtifactsInput!$M$27,Inputs!$B$4="Chapter Hunt"),CHOOSE(ArtifactsInput!$N$27+1,20,24,28,32,36,40),0)/100)))))/Skills!H16,1)))/Inputs!$B$43),G922*Q922)*(1+IF(Inputs!$B$3&gt;=126,0.05*(B942+Q919+(H920*B943)/(1+Skills!H14*H920*B943)+Q930)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922*(1-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922*(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922*(1-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922*(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22">
        <f>IF(C922,(H922*N922*IF(AND(Inputs!$B$38&lt;&gt;"pvp",Inputs!$B$43&gt;0),((Skills!G16*((R922-1)*IF(Skills!H16&gt;0,Skills!I16/Skills!H16,1)+IF(Skills!H16&gt;0,MIN(Skills!I16,MAX(0,MAX(0,Inputs!$B$43-B944)-((R922-1)*(IF(Inputs!$B$38="pvp",15,MAX(0.1,Skills!E16-IF(Skills!F16=TRUE,Inputs!$B$32,0)))*(1-IF(AND(ArtifactsInput!$M$27,Inputs!$B$4="Chapter Hunt"),CHOOSE(ArtifactsInput!$N$27+1,20,24,28,32,36,40),0)/100)))))/Skills!H16,1)))/Inputs!$B$43),G922*Q922)*(1+IF(Inputs!$B$3&gt;=126,0.05*(B942+Q919+(H920*B943)/(1+Skills!H14*H920*B943)+Q930)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3">
      <c r="A923">
        <f>Skills!A17</f>
        <v/>
      </c>
      <c r="B923">
        <f>Skills!B17</f>
        <v/>
      </c>
      <c r="C923">
        <f>TRUE</f>
        <v/>
      </c>
      <c r="D923">
        <f>IF(Skills!C17=1,60+Inputs!$B$25+(Inputs!$B$29+1),IF(Skills!C17=2,90+Inputs!$B$26+(Inputs!$B$29+1),IF(Skills!C17=3,120+Inputs!$B$27+(Inputs!$B$29+1),MAX(0,(Inputs!$B$3-100)*3)+Inputs!$B$28+(Inputs!$B$29+1))))</f>
        <v/>
      </c>
      <c r="E923">
        <f>INDEX(FactorTable!$B$2:$Y$301, MATCH(ROUND(MIN(300,MAX(1,D923)),0), FactorTable!$A$2:$A$301,0), Skills!M17+1)</f>
        <v/>
      </c>
      <c r="F923">
        <f>IF(Skills!N17=TRUE,(Skills!L17/10)*(E923/1000),Skills!L17/10)+Skills!O17</f>
        <v/>
      </c>
      <c r="G923">
        <f>Calc!G17</f>
        <v/>
      </c>
      <c r="H923">
        <f>Calc!H17</f>
        <v/>
      </c>
      <c r="I923">
        <f>IF(Skills!X17&lt;&gt;"",1+(Skills!X17/10)*(Z909/1000)/100,1)</f>
        <v/>
      </c>
      <c r="J923" t="inlineStr"/>
      <c r="K923" t="inlineStr"/>
      <c r="L923" t="inlineStr"/>
      <c r="M923" t="inlineStr"/>
      <c r="N923" t="inlineStr"/>
      <c r="O923">
        <f>(1-Summary!$B$11)*S923+Summary!$B$11*U923</f>
        <v/>
      </c>
      <c r="P923">
        <f>IF(B947=0,0,O923/B947)</f>
        <v/>
      </c>
      <c r="Q923">
        <f>IFERROR(1/(IF(Inputs!$B$38="pvp",15,MAX(0.1,Skills!E17-IF(Skills!F17=TRUE,Inputs!$B$32,0)))*(1-IF(AND(ArtifactsInput!$M$27,Inputs!$B$4="Chapter Hunt"),CHOOSE(ArtifactsInput!$N$27+1,20,24,28,32,36,40),0)/100)),0)</f>
        <v/>
      </c>
      <c r="R923">
        <f>IF(AND(Inputs!$B$38&lt;&gt;"pvp",Inputs!$B$43&gt;0),IF(Inputs!$B$43&lt;=0,0,(INT(Inputs!$B$43/(IF(Inputs!$B$38="pvp",15,MAX(0.1,Skills!E17-IF(Skills!F17=TRUE,Inputs!$B$32,0)))*(1-IF(AND(ArtifactsInput!$M$27,Inputs!$B$4="Chapter Hunt"),CHOOSE(ArtifactsInput!$N$27+1,20,24,28,32,36,40),0)/100)))+1)),0)</f>
        <v/>
      </c>
      <c r="S923" t="n">
        <v>0</v>
      </c>
      <c r="U923" t="n">
        <v>0</v>
      </c>
    </row>
    <row r="924">
      <c r="A924">
        <f>Skills!A18</f>
        <v/>
      </c>
      <c r="B924">
        <f>Skills!B18</f>
        <v/>
      </c>
      <c r="C924">
        <f>TRUE</f>
        <v/>
      </c>
      <c r="D924">
        <f>IF(Skills!C18=1,60+Inputs!$B$25+(Inputs!$B$29+1),IF(Skills!C18=2,90+Inputs!$B$26+(Inputs!$B$29+1),IF(Skills!C18=3,120+Inputs!$B$27+(Inputs!$B$29+1),MAX(0,(Inputs!$B$3-100)*3)+Inputs!$B$28+(Inputs!$B$29+1))))</f>
        <v/>
      </c>
      <c r="E924">
        <f>INDEX(FactorTable!$B$2:$Y$301, MATCH(ROUND(MIN(300,MAX(1,D924)),0), FactorTable!$A$2:$A$301,0), Skills!M18+1)</f>
        <v/>
      </c>
      <c r="F924">
        <f>IF(Skills!N18=TRUE,(Skills!L18/10)*(E924/1000),Skills!L18/10)+Skills!O18</f>
        <v/>
      </c>
      <c r="G924">
        <f>Calc!G18</f>
        <v/>
      </c>
      <c r="H924">
        <f>Calc!H18</f>
        <v/>
      </c>
      <c r="I924">
        <f>IF(Skills!X18&lt;&gt;"",1+(Skills!X18/10)*(Z909/1000)/100,1)</f>
        <v/>
      </c>
      <c r="J924" t="inlineStr"/>
      <c r="K924" t="inlineStr"/>
      <c r="L924" t="inlineStr"/>
      <c r="M924" t="inlineStr"/>
      <c r="N924" t="inlineStr"/>
      <c r="O924">
        <f>(1-Summary!$B$11)*S924+Summary!$B$11*U924</f>
        <v/>
      </c>
      <c r="P924">
        <f>IF(B947=0,0,O924/B947)</f>
        <v/>
      </c>
      <c r="Q924">
        <f>IFERROR(1/(IF(Inputs!$B$38="pvp",15,MAX(0.1,Skills!E18-IF(Skills!F18=TRUE,Inputs!$B$32,0)))*(1-IF(AND(ArtifactsInput!$M$27,Inputs!$B$4="Chapter Hunt"),CHOOSE(ArtifactsInput!$N$27+1,20,24,28,32,36,40),0)/100)),0)</f>
        <v/>
      </c>
      <c r="R924">
        <f>IF(AND(Inputs!$B$38&lt;&gt;"pvp",Inputs!$B$43&gt;0),IF(Inputs!$B$43&lt;=0,0,(INT(Inputs!$B$43/(IF(Inputs!$B$38="pvp",15,MAX(0.1,Skills!E18-IF(Skills!F18=TRUE,Inputs!$B$32,0)))*(1-IF(AND(ArtifactsInput!$M$27,Inputs!$B$4="Chapter Hunt"),CHOOSE(ArtifactsInput!$N$27+1,20,24,28,32,36,40),0)/100)))+1)),0)</f>
        <v/>
      </c>
      <c r="S924" t="n">
        <v>0</v>
      </c>
      <c r="U924" t="n">
        <v>0</v>
      </c>
    </row>
    <row r="925">
      <c r="A925">
        <f>Skills!A19</f>
        <v/>
      </c>
      <c r="B925">
        <f>Skills!B19</f>
        <v/>
      </c>
      <c r="C925">
        <f>Inputs!$B$3&gt;=110</f>
        <v/>
      </c>
      <c r="D925">
        <f>IF(Skills!C19=1,60+Inputs!$B$25+(Inputs!$B$29+1),IF(Skills!C19=2,90+Inputs!$B$26+(Inputs!$B$29+1),IF(Skills!C19=3,120+Inputs!$B$27+(Inputs!$B$29+1),MAX(0,(Inputs!$B$3-100)*3)+Inputs!$B$28+(Inputs!$B$29+1))))</f>
        <v/>
      </c>
      <c r="E925">
        <f>INDEX(FactorTable!$B$2:$Y$301, MATCH(ROUND(MIN(300,MAX(1,D925)),0), FactorTable!$A$2:$A$301,0), Skills!M19+1)</f>
        <v/>
      </c>
      <c r="F925">
        <f>IF(Skills!N19=TRUE,(Skills!L19/10)*(E925/1000),Skills!L19/10)+Skills!O19</f>
        <v/>
      </c>
      <c r="G925">
        <f>Calc!G19</f>
        <v/>
      </c>
      <c r="H925">
        <f>Calc!H19</f>
        <v/>
      </c>
      <c r="I925">
        <f>IF(Skills!X19&lt;&gt;"",1+(Skills!X19/10)*(Z909/1000)/100,1)</f>
        <v/>
      </c>
      <c r="J925" t="inlineStr"/>
      <c r="K925" t="inlineStr"/>
      <c r="L925" t="inlineStr"/>
      <c r="M925" t="inlineStr"/>
      <c r="N925" t="inlineStr"/>
      <c r="O925">
        <f>(1-Summary!$B$11)*S925+Summary!$B$11*U925</f>
        <v/>
      </c>
      <c r="P925">
        <f>IF(B947=0,0,O925/B947)</f>
        <v/>
      </c>
      <c r="Q925">
        <f>IFERROR(1/(IF(Inputs!$B$38="pvp",15,MAX(0.1,Skills!E19-IF(Skills!F19=TRUE,Inputs!$B$32,0)))*(1-IF(AND(ArtifactsInput!$M$27,Inputs!$B$4="Chapter Hunt"),CHOOSE(ArtifactsInput!$N$27+1,20,24,28,32,36,40),0)/100)),0)</f>
        <v/>
      </c>
      <c r="R925">
        <f>IF(AND(Inputs!$B$38&lt;&gt;"pvp",Inputs!$B$43&gt;0),IF(Inputs!$B$43&lt;=0,0,(INT(Inputs!$B$43/(IF(Inputs!$B$38="pvp",15,MAX(0.1,Skills!E19-IF(Skills!F19=TRUE,Inputs!$B$32,0)))*(1-IF(AND(ArtifactsInput!$M$27,Inputs!$B$4="Chapter Hunt"),CHOOSE(ArtifactsInput!$N$27+1,20,24,28,32,36,40),0)/100)))+1)),0)</f>
        <v/>
      </c>
      <c r="S925" t="n">
        <v>0</v>
      </c>
      <c r="U925" t="n">
        <v>0</v>
      </c>
    </row>
    <row r="926">
      <c r="A926">
        <f>Skills!A20</f>
        <v/>
      </c>
      <c r="B926">
        <f>Skills!B20</f>
        <v/>
      </c>
      <c r="C926">
        <f>TRUE</f>
        <v/>
      </c>
      <c r="D926">
        <f>IF(Skills!C20=1,60+Inputs!$B$25+(Inputs!$B$29+1),IF(Skills!C20=2,90+Inputs!$B$26+(Inputs!$B$29+1),IF(Skills!C20=3,120+Inputs!$B$27+(Inputs!$B$29+1),MAX(0,(Inputs!$B$3-100)*3)+Inputs!$B$28+(Inputs!$B$29+1))))</f>
        <v/>
      </c>
      <c r="E926">
        <f>INDEX(FactorTable!$B$2:$Y$301, MATCH(ROUND(MIN(300,MAX(1,D926)),0), FactorTable!$A$2:$A$301,0), Skills!M20+1)</f>
        <v/>
      </c>
      <c r="F926">
        <f>IF(Skills!N20=TRUE,(Skills!L20/10)*(E926/1000),Skills!L20/10)+Skills!O20</f>
        <v/>
      </c>
      <c r="G926">
        <f>Calc!G20</f>
        <v/>
      </c>
      <c r="H926">
        <f>Calc!H20</f>
        <v/>
      </c>
      <c r="I926">
        <f>IF(Skills!X20&lt;&gt;"",1+(Skills!X20/10)*(Z909/1000)/100,1)</f>
        <v/>
      </c>
      <c r="J926" t="inlineStr"/>
      <c r="K926" t="inlineStr"/>
      <c r="L926" t="inlineStr"/>
      <c r="M926" t="inlineStr"/>
      <c r="N926" t="inlineStr"/>
      <c r="O926">
        <f>(1-Summary!$B$11)*S926+Summary!$B$11*U926</f>
        <v/>
      </c>
      <c r="P926">
        <f>IF(B947=0,0,O926/B947)</f>
        <v/>
      </c>
      <c r="Q926">
        <f>IFERROR(1/(IF(Inputs!$B$38="pvp",15,MAX(0.1,Skills!E20-IF(Skills!F20=TRUE,Inputs!$B$32,0)))*(1-IF(AND(ArtifactsInput!$M$27,Inputs!$B$4="Chapter Hunt"),CHOOSE(ArtifactsInput!$N$27+1,20,24,28,32,36,40),0)/100)),0)</f>
        <v/>
      </c>
      <c r="R926" t="n">
        <v>0</v>
      </c>
      <c r="S926" t="n">
        <v>0</v>
      </c>
      <c r="U926" t="n">
        <v>0</v>
      </c>
    </row>
    <row r="927">
      <c r="A927">
        <f>Skills!A21</f>
        <v/>
      </c>
      <c r="B927">
        <f>Skills!B21</f>
        <v/>
      </c>
      <c r="C927">
        <f>TRUE</f>
        <v/>
      </c>
      <c r="D927">
        <f>IF(Skills!C21=1,60+Inputs!$B$25+(Inputs!$B$29+1),IF(Skills!C21=2,90+Inputs!$B$26+(Inputs!$B$29+1),IF(Skills!C21=3,120+Inputs!$B$27+(Inputs!$B$29+1),MAX(0,(Inputs!$B$3-100)*3)+Inputs!$B$28+(Inputs!$B$29+1))))</f>
        <v/>
      </c>
      <c r="E927">
        <f>INDEX(FactorTable!$B$2:$Y$301, MATCH(ROUND(MIN(300,MAX(1,D927)),0), FactorTable!$A$2:$A$301,0), Skills!M21+1)</f>
        <v/>
      </c>
      <c r="F927">
        <f>IF(Skills!N21=TRUE,(Skills!L21/10)*(E927/1000),Skills!L21/10)+Skills!O21</f>
        <v/>
      </c>
      <c r="G927">
        <f>Calc!G21</f>
        <v/>
      </c>
      <c r="H927">
        <f>Calc!H21</f>
        <v/>
      </c>
      <c r="I927">
        <f>IF(Skills!X21&lt;&gt;"",1+(Skills!X21/10)*(Z909/1000)/100,1)</f>
        <v/>
      </c>
      <c r="J927" t="inlineStr"/>
      <c r="K927" t="inlineStr"/>
      <c r="L927" t="inlineStr"/>
      <c r="M927" t="inlineStr"/>
      <c r="N927" t="inlineStr"/>
      <c r="O927">
        <f>(1-Summary!$B$11)*S927+Summary!$B$11*U927</f>
        <v/>
      </c>
      <c r="P927">
        <f>IF(B947=0,0,O927/B947)</f>
        <v/>
      </c>
      <c r="Q927">
        <f>IFERROR(1/(IF(Inputs!$B$38="pvp",15,MAX(0.1,Skills!E21-IF(Skills!F21=TRUE,Inputs!$B$32,0)))*(1-IF(AND(ArtifactsInput!$M$27,Inputs!$B$4="Chapter Hunt"),CHOOSE(ArtifactsInput!$N$27+1,20,24,28,32,36,40),0)/100)),0)</f>
        <v/>
      </c>
      <c r="R927" t="n">
        <v>0</v>
      </c>
      <c r="S927" t="n">
        <v>0</v>
      </c>
      <c r="U927" t="n">
        <v>0</v>
      </c>
    </row>
    <row r="928">
      <c r="A928">
        <f>Skills!A22</f>
        <v/>
      </c>
      <c r="B928">
        <f>Skills!B22</f>
        <v/>
      </c>
      <c r="C928">
        <f>TRUE</f>
        <v/>
      </c>
      <c r="D928">
        <f>IF(Skills!C22=1,60+Inputs!$B$25+(Inputs!$B$29+1),IF(Skills!C22=2,90+Inputs!$B$26+(Inputs!$B$29+1),IF(Skills!C22=3,120+Inputs!$B$27+(Inputs!$B$29+1),MAX(0,(Inputs!$B$3-100)*3)+Inputs!$B$28+(Inputs!$B$29+1))))</f>
        <v/>
      </c>
      <c r="E928">
        <f>INDEX(FactorTable!$B$2:$Y$301, MATCH(ROUND(MIN(300,MAX(1,D928)),0), FactorTable!$A$2:$A$301,0), Skills!M22+1)</f>
        <v/>
      </c>
      <c r="F928">
        <f>IF(Skills!N22=TRUE,(Skills!L22/10)*(E928/1000),Skills!L22/10)+Skills!O22</f>
        <v/>
      </c>
      <c r="G928">
        <f>Calc!G22</f>
        <v/>
      </c>
      <c r="H928">
        <f>Calc!H22</f>
        <v/>
      </c>
      <c r="I928">
        <f>IF(Skills!X22&lt;&gt;"",1+(Skills!X22/10)*(Z909/1000)/100,1)</f>
        <v/>
      </c>
      <c r="J928" t="inlineStr"/>
      <c r="K928" t="inlineStr"/>
      <c r="L928" t="inlineStr"/>
      <c r="M928" t="inlineStr"/>
      <c r="N928" t="inlineStr"/>
      <c r="O928">
        <f>(1-Summary!$B$11)*S928+Summary!$B$11*U928</f>
        <v/>
      </c>
      <c r="P928">
        <f>IF(B947=0,0,O928/B947)</f>
        <v/>
      </c>
      <c r="Q928">
        <f>IFERROR(1/(IF(Inputs!$B$38="pvp",15,MAX(0.1,Skills!E22-IF(Skills!F22=TRUE,Inputs!$B$32,0)))*(1-IF(AND(ArtifactsInput!$M$27,Inputs!$B$4="Chapter Hunt"),CHOOSE(ArtifactsInput!$N$27+1,20,24,28,32,36,40),0)/100)),0)</f>
        <v/>
      </c>
      <c r="R928" t="n">
        <v>0</v>
      </c>
      <c r="S928" t="n">
        <v>0</v>
      </c>
      <c r="U928" t="n">
        <v>0</v>
      </c>
    </row>
    <row r="929">
      <c r="A929">
        <f>Skills!A23</f>
        <v/>
      </c>
      <c r="B929">
        <f>Skills!B23</f>
        <v/>
      </c>
      <c r="C929">
        <f>TRUE</f>
        <v/>
      </c>
      <c r="D929">
        <f>IF(Skills!C23=1,60+Inputs!$B$25+(Inputs!$B$29+1),IF(Skills!C23=2,90+Inputs!$B$26+(Inputs!$B$29+1),IF(Skills!C23=3,120+Inputs!$B$27+(Inputs!$B$29+1),MAX(0,(Inputs!$B$3-100)*3)+Inputs!$B$28+(Inputs!$B$29+1))))</f>
        <v/>
      </c>
      <c r="E929">
        <f>INDEX(FactorTable!$B$2:$Y$301, MATCH(ROUND(MIN(300,MAX(1,D929)),0), FactorTable!$A$2:$A$301,0), Skills!M23+1)</f>
        <v/>
      </c>
      <c r="F929">
        <f>IF(Skills!N23=TRUE,(Skills!L23/10)*(E929/1000),Skills!L23/10)+Skills!O23</f>
        <v/>
      </c>
      <c r="G929">
        <f>Calc!G23</f>
        <v/>
      </c>
      <c r="H929">
        <f>Calc!H23</f>
        <v/>
      </c>
      <c r="I929">
        <f>IF(Skills!X23&lt;&gt;"",1+(Skills!X23/10)*(Z909/1000)/100,1)</f>
        <v/>
      </c>
      <c r="J929" t="inlineStr"/>
      <c r="K929" t="inlineStr"/>
      <c r="L929" t="inlineStr"/>
      <c r="M929" t="inlineStr"/>
      <c r="N929" t="inlineStr"/>
      <c r="O929">
        <f>(1-Summary!$B$11)*S929+Summary!$B$11*U929</f>
        <v/>
      </c>
      <c r="P929">
        <f>IF(B947=0,0,O929/B947)</f>
        <v/>
      </c>
      <c r="Q929">
        <f>IFERROR(1/(IF(Inputs!$B$38="pvp",15,MAX(0.1,Skills!E23-IF(Skills!F23=TRUE,Inputs!$B$32,0)))*(1-IF(AND(ArtifactsInput!$M$27,Inputs!$B$4="Chapter Hunt"),CHOOSE(ArtifactsInput!$N$27+1,20,24,28,32,36,40),0)/100)),0)</f>
        <v/>
      </c>
      <c r="R929" t="n">
        <v>0</v>
      </c>
      <c r="S929" t="n">
        <v>0</v>
      </c>
      <c r="U929" t="n">
        <v>0</v>
      </c>
    </row>
    <row r="930">
      <c r="A930">
        <f>Skills!A24</f>
        <v/>
      </c>
      <c r="B930">
        <f>Skills!B24</f>
        <v/>
      </c>
      <c r="C930">
        <f>Inputs!$B$3&gt;=115</f>
        <v/>
      </c>
      <c r="D930">
        <f>IF(Skills!C24=1,60+Inputs!$B$25+(Inputs!$B$29+1),IF(Skills!C24=2,90+Inputs!$B$26+(Inputs!$B$29+1),IF(Skills!C24=3,120+Inputs!$B$27+(Inputs!$B$29+1),MAX(0,(Inputs!$B$3-100)*3)+Inputs!$B$28+(Inputs!$B$29+1))))</f>
        <v/>
      </c>
      <c r="E930">
        <f>INDEX(FactorTable!$B$2:$Y$301, MATCH(ROUND(MIN(300,MAX(1,D930)),0), FactorTable!$A$2:$A$301,0), Skills!M24+1)</f>
        <v/>
      </c>
      <c r="F930">
        <f>IF(Skills!N24=TRUE,(Skills!L24/10)*(E930/1000),Skills!L24/10)+Skills!O24</f>
        <v/>
      </c>
      <c r="G930">
        <f>Calc!G24</f>
        <v/>
      </c>
      <c r="H930">
        <f>Calc!H24</f>
        <v/>
      </c>
      <c r="I930">
        <f>IF(Skills!X24&lt;&gt;"",1+(Skills!X24/10)*(Z909/1000)/100,1)</f>
        <v/>
      </c>
      <c r="J930">
        <f>((Inputs!$B$6*(1+Inputs!$B$7/100))+(((Inputs!$B$12*(1+Inputs!$B$13/100))-(Inputs!$B$12*(1+Inputs!$B$13/100)))+0.25*(Inputs!$B$14-Inputs!$B$14))*(1+Inputs!$B$7/100))*(F930/100)</f>
        <v/>
      </c>
      <c r="K930">
        <f>J930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930)</f>
        <v/>
      </c>
      <c r="L930">
        <f>K930*(MIN(Inputs!$B$22+(F928-Calc!F22),(Inputs!$B$23+(IF(ArtifactsInput!$M$15,CHOOSE(ArtifactsInput!$N$15+1,25,30,35,40,45,50)/100*(Inputs!$B$11-Inputs!$B$11),0))))/100+(Inputs!$B$23+(IF(ArtifactsInput!$M$15,CHOOSE(ArtifactsInput!$N$15+1,25,30,35,40,45,50)/100*(Inputs!$B$11-Inputs!$B$11),0)))/100)/2</f>
        <v/>
      </c>
      <c r="M930">
        <f>L930*(1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0">
        <f>L930*(1-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930*(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0">
        <f>(1-Summary!$B$11)*S930+Summary!$B$11*U930</f>
        <v/>
      </c>
      <c r="P930">
        <f>IF(B947=0,0,O930/B947)</f>
        <v/>
      </c>
      <c r="Q930">
        <f>IFERROR(1/(IF(Inputs!$B$38="pvp",15,MAX(0.1,Skills!E24-IF(Skills!F24=TRUE,Inputs!$B$32,0)))*(1-IF(AND(ArtifactsInput!$M$27,Inputs!$B$4="Chapter Hunt"),CHOOSE(ArtifactsInput!$N$27+1,20,24,28,32,36,40),0)/100)),0)</f>
        <v/>
      </c>
      <c r="R930">
        <f>IF(AND(Inputs!$B$38&lt;&gt;"pvp",Inputs!$B$43&gt;0),IF(MAX(0,Inputs!$B$43-B944)&lt;=0,0,(INT(MAX(0,Inputs!$B$43-B944)/(IF(Inputs!$B$38="pvp",15,MAX(0.1,Skills!E24-IF(Skills!F24=TRUE,Inputs!$B$32,0)))*(1-IF(AND(ArtifactsInput!$M$27,Inputs!$B$4="Chapter Hunt"),CHOOSE(ArtifactsInput!$N$27+1,20,24,28,32,36,40),0)/100)))+1)),0)</f>
        <v/>
      </c>
      <c r="S930">
        <f>IF(C930,(H930*N930*IF(AND(Inputs!$B$38&lt;&gt;"pvp",Inputs!$B$43&gt;0),((Skills!G24*((R930-1)*IF(Skills!H24&gt;0,Skills!I24/Skills!H24,1)+IF(Skills!H24&gt;0,MIN(Skills!I24,MAX(0,MAX(0,Inputs!$B$43-B944)-((R930-1)*(IF(Inputs!$B$38="pvp",15,MAX(0.1,Skills!E24-IF(Skills!F24=TRUE,Inputs!$B$32,0)))*(1-IF(AND(ArtifactsInput!$M$27,Inputs!$B$4="Chapter Hunt"),CHOOSE(ArtifactsInput!$N$27+1,20,24,28,32,36,40),0)/100)))))/Skills!H24,1)))/Inputs!$B$43),G930*Q930)*(1+IF(Inputs!$B$3&gt;=130,0.2*(Skills!I16/Skills!E15+IF(Inputs!$B$3&gt;=126,0.05*(B942+Q919+(H920*B943)/(1+Skills!H14*H920*B943)+Q930)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930*(1-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930*(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930*(1-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930*(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30">
        <f>IF(C930,(H930*N930*IF(AND(Inputs!$B$38&lt;&gt;"pvp",Inputs!$B$43&gt;0),((Skills!G24*((R930-1)*IF(Skills!H24&gt;0,Skills!I24/Skills!H24,1)+IF(Skills!H24&gt;0,MIN(Skills!I24,MAX(0,MAX(0,Inputs!$B$43-B944)-((R930-1)*(IF(Inputs!$B$38="pvp",15,MAX(0.1,Skills!E24-IF(Skills!F24=TRUE,Inputs!$B$32,0)))*(1-IF(AND(ArtifactsInput!$M$27,Inputs!$B$4="Chapter Hunt"),CHOOSE(ArtifactsInput!$N$27+1,20,24,28,32,36,40),0)/100)))))/Skills!H24,1)))/Inputs!$B$43),G930*Q930)*(1+IF(Inputs!$B$3&gt;=130,0.2*(Skills!I16/Skills!E15+IF(Inputs!$B$3&gt;=126,0.05*(B942+Q919+(H920*B943)/(1+Skills!H14*H920*B943)+Q930)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1">
      <c r="A931">
        <f>Skills!A25</f>
        <v/>
      </c>
      <c r="B931">
        <f>Skills!B25</f>
        <v/>
      </c>
      <c r="C931">
        <f>Inputs!$B$3&gt;=117</f>
        <v/>
      </c>
      <c r="D931">
        <f>IF(Skills!C25=1,60+Inputs!$B$25+(Inputs!$B$29+1),IF(Skills!C25=2,90+Inputs!$B$26+(Inputs!$B$29+1),IF(Skills!C25=3,120+Inputs!$B$27+(Inputs!$B$29+1),MAX(0,(Inputs!$B$3-100)*3)+Inputs!$B$28+(Inputs!$B$29+1))))</f>
        <v/>
      </c>
      <c r="E931">
        <f>INDEX(FactorTable!$B$2:$Y$301, MATCH(ROUND(MIN(300,MAX(1,D931)),0), FactorTable!$A$2:$A$301,0), Skills!M25+1)</f>
        <v/>
      </c>
      <c r="F931">
        <f>IF(Skills!N25=TRUE,(Skills!L25/10)*(E931/1000),Skills!L25/10)+Skills!O25</f>
        <v/>
      </c>
      <c r="G931">
        <f>Calc!G25</f>
        <v/>
      </c>
      <c r="H931">
        <f>Calc!H25</f>
        <v/>
      </c>
      <c r="I931">
        <f>IF(Skills!X25&lt;&gt;"",1+(Skills!X25/10)*(Z909/1000)/100,1)</f>
        <v/>
      </c>
      <c r="J931" t="inlineStr"/>
      <c r="K931" t="inlineStr"/>
      <c r="L931" t="inlineStr"/>
      <c r="M931" t="inlineStr"/>
      <c r="N931" t="inlineStr"/>
      <c r="O931">
        <f>(1-Summary!$B$11)*S931+Summary!$B$11*U931</f>
        <v/>
      </c>
      <c r="P931">
        <f>IF(B947=0,0,O931/B947)</f>
        <v/>
      </c>
      <c r="Q931">
        <f>IFERROR(1/(IF(Inputs!$B$38="pvp",15,MAX(0.1,Skills!E25-IF(Skills!F25=TRUE,Inputs!$B$32,0)))*(1-IF(AND(ArtifactsInput!$M$27,Inputs!$B$4="Chapter Hunt"),CHOOSE(ArtifactsInput!$N$27+1,20,24,28,32,36,40),0)/100)),0)</f>
        <v/>
      </c>
      <c r="R931" t="n">
        <v>0</v>
      </c>
      <c r="S931" t="n">
        <v>0</v>
      </c>
      <c r="U931" t="n">
        <v>0</v>
      </c>
    </row>
    <row r="932">
      <c r="A932">
        <f>Skills!A26</f>
        <v/>
      </c>
      <c r="B932">
        <f>Skills!B26</f>
        <v/>
      </c>
      <c r="C932">
        <f>Inputs!$B$3&gt;=120</f>
        <v/>
      </c>
      <c r="D932">
        <f>IF(Skills!C26=1,60+Inputs!$B$25+(Inputs!$B$29+1),IF(Skills!C26=2,90+Inputs!$B$26+(Inputs!$B$29+1),IF(Skills!C26=3,120+Inputs!$B$27+(Inputs!$B$29+1),MAX(0,(Inputs!$B$3-100)*3)+Inputs!$B$28+(Inputs!$B$29+1))))</f>
        <v/>
      </c>
      <c r="E932">
        <f>INDEX(FactorTable!$B$2:$Y$301, MATCH(ROUND(MIN(300,MAX(1,D932)),0), FactorTable!$A$2:$A$301,0), Skills!M26+1)</f>
        <v/>
      </c>
      <c r="F932">
        <f>IF(Skills!N26=TRUE,(Skills!L26/10)*(E932/1000),Skills!L26/10)+Skills!O26</f>
        <v/>
      </c>
      <c r="G932">
        <f>Calc!G26</f>
        <v/>
      </c>
      <c r="H932">
        <f>Calc!H26</f>
        <v/>
      </c>
      <c r="I932">
        <f>IF(Skills!X26&lt;&gt;"",1+(Skills!X26/10)*(Z909/1000)/100,1)</f>
        <v/>
      </c>
      <c r="J932" t="inlineStr"/>
      <c r="K932" t="inlineStr"/>
      <c r="L932" t="inlineStr"/>
      <c r="M932" t="inlineStr"/>
      <c r="N932" t="inlineStr"/>
      <c r="O932">
        <f>(1-Summary!$B$11)*S932+Summary!$B$11*U932</f>
        <v/>
      </c>
      <c r="P932">
        <f>IF(B947=0,0,O932/B947)</f>
        <v/>
      </c>
      <c r="Q932">
        <f>IFERROR(1/(IF(Inputs!$B$38="pvp",15,MAX(0.1,Skills!E26-IF(Skills!F26=TRUE,Inputs!$B$32,0)))*(1-IF(AND(ArtifactsInput!$M$27,Inputs!$B$4="Chapter Hunt"),CHOOSE(ArtifactsInput!$N$27+1,20,24,28,32,36,40),0)/100)),0)</f>
        <v/>
      </c>
      <c r="R932" t="n">
        <v>0</v>
      </c>
      <c r="S932" t="n">
        <v>0</v>
      </c>
      <c r="U932" t="n">
        <v>0</v>
      </c>
    </row>
    <row r="933">
      <c r="A933">
        <f>Skills!A27</f>
        <v/>
      </c>
      <c r="B933">
        <f>Skills!B27</f>
        <v/>
      </c>
      <c r="C933">
        <f>Inputs!$B$3&gt;=125</f>
        <v/>
      </c>
      <c r="D933">
        <f>IF(Skills!C27=1,60+Inputs!$B$25+(Inputs!$B$29+1),IF(Skills!C27=2,90+Inputs!$B$26+(Inputs!$B$29+1),IF(Skills!C27=3,120+Inputs!$B$27+(Inputs!$B$29+1),MAX(0,(Inputs!$B$3-100)*3)+Inputs!$B$28+(Inputs!$B$29+1))))</f>
        <v/>
      </c>
      <c r="E933">
        <f>INDEX(FactorTable!$B$2:$Y$301, MATCH(ROUND(MIN(300,MAX(1,D933)),0), FactorTable!$A$2:$A$301,0), Skills!M27+1)</f>
        <v/>
      </c>
      <c r="F933">
        <f>IF(Skills!N27=TRUE,(Skills!L27/10)*(E933/1000),Skills!L27/10)+Skills!O27</f>
        <v/>
      </c>
      <c r="G933">
        <f>Calc!G27</f>
        <v/>
      </c>
      <c r="H933">
        <f>Calc!H27</f>
        <v/>
      </c>
      <c r="I933">
        <f>IF(Skills!X27&lt;&gt;"",1+(Skills!X27/10)*(Z909/1000)/100,1)</f>
        <v/>
      </c>
      <c r="J933" t="inlineStr"/>
      <c r="K933" t="inlineStr"/>
      <c r="L933" t="inlineStr"/>
      <c r="M933" t="inlineStr"/>
      <c r="N933" t="inlineStr"/>
      <c r="O933">
        <f>(1-Summary!$B$11)*S933+Summary!$B$11*U933</f>
        <v/>
      </c>
      <c r="P933">
        <f>IF(B947=0,0,O933/B947)</f>
        <v/>
      </c>
      <c r="Q933">
        <f>IFERROR(1/(IF(Inputs!$B$38="pvp",15,MAX(0.1,Skills!E27-IF(Skills!F27=TRUE,Inputs!$B$32,0)))*(1-IF(AND(ArtifactsInput!$M$27,Inputs!$B$4="Chapter Hunt"),CHOOSE(ArtifactsInput!$N$27+1,20,24,28,32,36,40),0)/100)),0)</f>
        <v/>
      </c>
      <c r="R933" t="n">
        <v>0</v>
      </c>
      <c r="S933" t="n">
        <v>0</v>
      </c>
      <c r="U933" t="n">
        <v>0</v>
      </c>
    </row>
    <row r="934">
      <c r="A934">
        <f>Skills!A28</f>
        <v/>
      </c>
      <c r="B934">
        <f>Skills!B28</f>
        <v/>
      </c>
      <c r="C934">
        <f>Inputs!$B$3&gt;=118</f>
        <v/>
      </c>
      <c r="D934">
        <f>IF(Skills!C28=1,60+Inputs!$B$25+(Inputs!$B$29+1),IF(Skills!C28=2,90+Inputs!$B$26+(Inputs!$B$29+1),IF(Skills!C28=3,120+Inputs!$B$27+(Inputs!$B$29+1),MAX(0,(Inputs!$B$3-100)*3)+Inputs!$B$28+(Inputs!$B$29+1))))</f>
        <v/>
      </c>
      <c r="E934">
        <f>INDEX(FactorTable!$B$2:$Y$301, MATCH(ROUND(MIN(300,MAX(1,D934)),0), FactorTable!$A$2:$A$301,0), Skills!M28+1)</f>
        <v/>
      </c>
      <c r="F934">
        <f>IF(Skills!N28=TRUE,(Skills!L28/10)*(E934/1000),Skills!L28/10)+Skills!O28</f>
        <v/>
      </c>
      <c r="G934">
        <f>Calc!G28</f>
        <v/>
      </c>
      <c r="H934">
        <f>Calc!H28</f>
        <v/>
      </c>
      <c r="I934">
        <f>IF(Skills!X28&lt;&gt;"",1+(Skills!X28/10)*(Z909/1000)/100,1)</f>
        <v/>
      </c>
      <c r="J934">
        <f>((Inputs!$B$6*(1+Inputs!$B$7/100))+(((Inputs!$B$12*(1+Inputs!$B$13/100))-(Inputs!$B$12*(1+Inputs!$B$13/100)))+0.25*(Inputs!$B$14-Inputs!$B$14))*(1+Inputs!$B$7/100))*(F934/100)</f>
        <v/>
      </c>
      <c r="K934">
        <f>J934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929/100)*(1+IF(Inputs!$B$3&gt;=120,F932,0)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933*5,0)))/100)*(B936*B937*B938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934)</f>
        <v/>
      </c>
      <c r="L934">
        <f>K934*(MIN(Inputs!$B$22+(F928-Calc!F22),(Inputs!$B$23+(IF(ArtifactsInput!$M$15,CHOOSE(ArtifactsInput!$N$15+1,25,30,35,40,45,50)/100*(Inputs!$B$11-Inputs!$B$11),0))))/100+(Inputs!$B$23+(IF(ArtifactsInput!$M$15,CHOOSE(ArtifactsInput!$N$15+1,25,30,35,40,45,50)/100*(Inputs!$B$11-Inputs!$B$11),0)))/100)/2</f>
        <v/>
      </c>
      <c r="M934">
        <f>L934*(1+(Inputs!$B$10+(F927-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4">
        <f>L934*(1-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934*(MIN((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4">
        <f>(1-Summary!$B$11)*S934+Summary!$B$11*U934</f>
        <v/>
      </c>
      <c r="P934">
        <f>IF(B947=0,0,O934/B947)</f>
        <v/>
      </c>
      <c r="Q934">
        <f>IFERROR(1/(IF(Inputs!$B$38="pvp",15,MAX(0.1,Skills!E28-IF(Skills!F28=TRUE,Inputs!$B$32,0)))*(1-IF(AND(ArtifactsInput!$M$27,Inputs!$B$4="Chapter Hunt"),CHOOSE(ArtifactsInput!$N$27+1,20,24,28,32,36,40),0)/100)),0)</f>
        <v/>
      </c>
      <c r="R934">
        <f>IF(AND(Inputs!$B$38&lt;&gt;"pvp",Inputs!$B$43&gt;0),IF(MAX(0,Inputs!$B$43-B944)&lt;=0,0,(INT(MAX(0,Inputs!$B$43-B944)/(IF(Inputs!$B$38="pvp",15,MAX(0.1,Skills!E28-IF(Skills!F28=TRUE,Inputs!$B$32,0)))*(1-IF(AND(ArtifactsInput!$M$27,Inputs!$B$4="Chapter Hunt"),CHOOSE(ArtifactsInput!$N$27+1,20,24,28,32,36,40),0)/100)))+1)),0)</f>
        <v/>
      </c>
      <c r="S934">
        <f>IF(C934,(H934*N934*IF(AND(Inputs!$B$38&lt;&gt;"pvp",Inputs!$B$43&gt;0),((Skills!G28*((R934-1)*IF(Skills!H28&gt;0,Skills!I28/Skills!H28,1)+IF(Skills!H28&gt;0,MIN(Skills!I28,MAX(0,MAX(0,Inputs!$B$43-B944)-((R934-1)*(IF(Inputs!$B$38="pvp",15,MAX(0.1,Skills!E28-IF(Skills!F28=TRUE,Inputs!$B$32,0)))*(1-IF(AND(ArtifactsInput!$M$27,Inputs!$B$4="Chapter Hunt"),CHOOSE(ArtifactsInput!$N$27+1,20,24,28,32,36,40),0)/100)))))/Skills!H28,1)))/Inputs!$B$43),G934*Q934)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934*(1-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934*(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934*(1-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934*(MIN(100,(Inputs!$B$9+(F926-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34">
        <f>IF(C934,(H934*N934*IF(AND(Inputs!$B$38&lt;&gt;"pvp",Inputs!$B$43&gt;0),((Skills!G28*((R934-1)*IF(Skills!H28&gt;0,Skills!I28/Skills!H28,1)+IF(Skills!H28&gt;0,MIN(Skills!I28,MAX(0,MAX(0,Inputs!$B$43-B944)-((R934-1)*(IF(Inputs!$B$38="pvp",15,MAX(0.1,Skills!E28-IF(Skills!F28=TRUE,Inputs!$B$32,0)))*(1-IF(AND(ArtifactsInput!$M$27,Inputs!$B$4="Chapter Hunt"),CHOOSE(ArtifactsInput!$N$27+1,20,24,28,32,36,40),0)/100)))))/Skills!H28,1)))/Inputs!$B$43),G934*Q934)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6">
      <c r="A936" t="inlineStr">
        <is>
          <t>Burning Magic Multiplier</t>
        </is>
      </c>
      <c r="B936">
        <f>1+(F917*Skills!Z11)/100</f>
        <v/>
      </c>
    </row>
    <row r="937">
      <c r="A937" t="inlineStr">
        <is>
          <t>Elemental Decrease Multiplier (always-on)</t>
        </is>
      </c>
      <c r="B937">
        <f>1+(F918+(IF(AND(ArtifactsInput!$M$35,Inputs!$B$4&lt;&gt;"Chapter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100</f>
        <v/>
      </c>
    </row>
    <row r="938">
      <c r="A938" t="inlineStr">
        <is>
          <t>Average Buff Multiplier (Magic Guard + Meditation + Artifact Attack%, summed; then Infinity)</t>
        </is>
      </c>
      <c r="B938">
        <f>(1+(F912*IF(AND(Inputs!$B$38&lt;&gt;"pvp",Inputs!$B$43&gt;0),(((R912-1)*(Skills!T6*(1+((Inputs!$B$34+(ArtifactsInput!$M$7-ArtifactsInput!$M$7)*CHOOSE(ArtifactsInput!$N$7+1,6,7.2,8.4,9.6,10.8,12)))/100))+MIN((Skills!T6*(1+((Inputs!$B$34+(ArtifactsInput!$M$7-ArtifactsInput!$M$7)*CHOOSE(ArtifactsInput!$N$7+1,6,7.2,8.4,9.6,10.8,12)))/100)),MAX(0,Inputs!$B$43-((R912-1)*Skills!E6))))/Inputs!$B$43),IF(Inputs!$B$38="pvp",MIN((Skills!T6*(1+((Inputs!$B$34+(ArtifactsInput!$M$7-ArtifactsInput!$M$7)*CHOOSE(ArtifactsInput!$N$7+1,6,7.2,8.4,9.6,10.8,12)))/100)),15)/15,(Skills!T6*(1+((Inputs!$B$34+(ArtifactsInput!$M$7-ArtifactsInput!$M$7)*CHOOSE(ArtifactsInput!$N$7+1,6,7.2,8.4,9.6,10.8,12)))/100))/Skills!E6))+F923*IF(AND(Inputs!$B$38&lt;&gt;"pvp",Inputs!$B$43&gt;0),(((R923-1)*(Skills!T17*(1+((Inputs!$B$34+(ArtifactsInput!$M$7-ArtifactsInput!$M$7)*CHOOSE(ArtifactsInput!$N$7+1,6,7.2,8.4,9.6,10.8,12)))/100))+MIN((Skills!T17*(1+((Inputs!$B$34+(ArtifactsInput!$M$7-ArtifactsInput!$M$7)*CHOOSE(ArtifactsInput!$N$7+1,6,7.2,8.4,9.6,10.8,12)))/100)),MAX(0,Inputs!$B$43-((R923-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925=TRUE,(1+F925*IF(AND(Inputs!$B$38&lt;&gt;"pvp",Inputs!$B$43&gt;0),(((R925-1)*(Skills!T19*(1+((Inputs!$B$34+(ArtifactsInput!$M$7-ArtifactsInput!$M$7)*CHOOSE(ArtifactsInput!$N$7+1,6,7.2,8.4,9.6,10.8,12)))/100))+MIN((Skills!T19*(1+((Inputs!$B$34+(ArtifactsInput!$M$7-ArtifactsInput!$M$7)*CHOOSE(ArtifactsInput!$N$7+1,6,7.2,8.4,9.6,10.8,12)))/100)),MAX(0,Inputs!$B$43-((R925-1)*Skills!E19))))/Inputs!$B$43),IF(Inputs!$B$38="pvp",MIN((Skills!T19*(1+((Inputs!$B$34+(ArtifactsInput!$M$7-ArtifactsInput!$M$7)*CHOOSE(ArtifactsInput!$N$7+1,6,7.2,8.4,9.6,10.8,12)))/100)),15)/15,(Skills!T19*(1+((Inputs!$B$34+(ArtifactsInput!$M$7-ArtifactsInput!$M$7)*CHOOSE(ArtifactsInput!$N$7+1,6,7.2,8.4,9.6,10.8,12)))/100))/Skills!E19))/100),1)</f>
        <v/>
      </c>
    </row>
    <row r="939">
      <c r="A939" t="inlineStr">
        <is>
          <t>Attack Speed Buff Bonus % (Nimble Feet, averaged)</t>
        </is>
      </c>
      <c r="B939">
        <f>F924*IF(AND(Inputs!$B$38&lt;&gt;"pvp",Inputs!$B$43&gt;0),(((R924-1)*(Skills!T18*(1+((Inputs!$B$34+(ArtifactsInput!$M$7-ArtifactsInput!$M$7)*CHOOSE(ArtifactsInput!$N$7+1,6,7.2,8.4,9.6,10.8,12)))/100))+MIN((Skills!T18*(1+((Inputs!$B$34+(ArtifactsInput!$M$7-ArtifactsInput!$M$7)*CHOOSE(ArtifactsInput!$N$7+1,6,7.2,8.4,9.6,10.8,12)))/100)),MAX(0,Inputs!$B$43-((R924-1)*Skills!E18))))/Inputs!$B$43),IF(Inputs!$B$38="pvp",MIN((Skills!T18*(1+((Inputs!$B$34+(ArtifactsInput!$M$7-ArtifactsInput!$M$7)*CHOOSE(ArtifactsInput!$N$7+1,6,7.2,8.4,9.6,10.8,12)))/100)),15)/15,(Skills!T18*(1+((Inputs!$B$34+(ArtifactsInput!$M$7-ArtifactsInput!$M$7)*CHOOSE(ArtifactsInput!$N$7+1,6,7.2,8.4,9.6,10.8,12)))/100))/Skills!E18))</f>
        <v/>
      </c>
    </row>
    <row r="940">
      <c r="A940" t="inlineStr">
        <is>
          <t>Actions Per Second</t>
        </is>
      </c>
      <c r="B940">
        <f>1+MIN(150,150*(1-(1-(Inputs!$B$11+(ArtifactsInput!$M$15-ArtifactsInput!$M$15)*CHOOSE(ArtifactsInput!$N$15+1,8,9.6,11.2,12.8,14.4,16))/150)*(1-B939/150)))/100</f>
        <v/>
      </c>
    </row>
    <row r="941">
      <c r="A941" t="inlineStr">
        <is>
          <t>Skill + Buff Cast Rate</t>
        </is>
      </c>
      <c r="B941">
        <f>IF(AND(Inputs!$B$38&lt;&gt;"pvp",Inputs!$B$43&gt;0),SUMPRODUCT((Skills!F2:F28=TRUE)*(C908:C934=TRUE)*R908:R934)/Inputs!$B$43,SUMPRODUCT((Skills!F2:F28=TRUE)*(C908:C934=TRUE)*Q908:Q934))</f>
        <v/>
      </c>
    </row>
    <row r="942">
      <c r="A942" t="inlineStr">
        <is>
          <t>Basic Attacks Per Second</t>
        </is>
      </c>
      <c r="B942">
        <f>MAX(0,B940-B941)</f>
        <v/>
      </c>
    </row>
    <row r="943">
      <c r="A943" t="inlineStr">
        <is>
          <t>Meteor Proc — combined trigger cast rate</t>
        </is>
      </c>
      <c r="B943">
        <f>IF(AND(Inputs!$B$38&lt;&gt;"pvp",Inputs!$B$43&gt;0),SUMPRODUCT((Skills!V2:V28=TRUE)*(C908:C934=TRUE)*R908:R934*Skills!W2:W28)/Inputs!$B$43,SUMPRODUCT((Skills!V2:V28=TRUE)*(C908:C934=TRUE)*Q908:Q934*Skills!W2:W28))+B942</f>
        <v/>
      </c>
    </row>
    <row r="944">
      <c r="A944" t="inlineStr">
        <is>
          <t>Buff-Casting Startup Delay (s, fixed-duration only)</t>
        </is>
      </c>
      <c r="B944">
        <f>IF(AND(Inputs!$B$38&lt;&gt;"pvp",Inputs!$B$43&gt;0),SUMPRODUCT((Skills!T2:T28&gt;0)*(Skills!F2:F28=TRUE)*(C908:C934=TRUE))/B940,0)</f>
        <v/>
      </c>
    </row>
    <row r="945">
      <c r="A945" t="inlineStr">
        <is>
          <t>Boss-Only Total DPS (this block's swept value)</t>
        </is>
      </c>
      <c r="B945">
        <f>SUM(S908:S934)</f>
        <v/>
      </c>
    </row>
    <row r="946">
      <c r="A946" t="inlineStr">
        <is>
          <t>Normal-Only Total DPS (this block's swept value)</t>
        </is>
      </c>
      <c r="B946">
        <f>SUM(U908:U934)</f>
        <v/>
      </c>
    </row>
    <row r="947">
      <c r="A947" s="6" t="inlineStr">
        <is>
          <t>TOTAL DPS</t>
        </is>
      </c>
      <c r="B947" s="6">
        <f>SUM(O908:O934)</f>
        <v/>
      </c>
    </row>
    <row r="950">
      <c r="A950" s="6" t="inlineStr">
        <is>
          <t>Stat: Flat ATTACK</t>
        </is>
      </c>
    </row>
    <row r="951">
      <c r="A951" s="5" t="inlineStr">
        <is>
          <t>Key</t>
        </is>
      </c>
      <c r="B951" s="5" t="inlineStr">
        <is>
          <t>Name</t>
        </is>
      </c>
      <c r="C951" s="5" t="inlineStr">
        <is>
          <t>Unlocked</t>
        </is>
      </c>
      <c r="D951" s="5" t="inlineStr">
        <is>
          <t>InputLevel</t>
        </is>
      </c>
      <c r="E951" s="5" t="inlineStr">
        <is>
          <t>Factor</t>
        </is>
      </c>
      <c r="F951" s="5" t="inlineStr">
        <is>
          <t>CoefficientPercent</t>
        </is>
      </c>
      <c r="G951" s="5" t="inlineStr">
        <is>
          <t>EffectiveHits</t>
        </is>
      </c>
      <c r="H951" s="5" t="inlineStr">
        <is>
          <t>ProcProbability</t>
        </is>
      </c>
      <c r="I951" s="5" t="inlineStr">
        <is>
          <t>MapleHeroMultiplier</t>
        </is>
      </c>
      <c r="J951" s="5" t="inlineStr">
        <is>
          <t>BaseDamage</t>
        </is>
      </c>
      <c r="K951" s="5" t="inlineStr">
        <is>
          <t>BaseHitDamage</t>
        </is>
      </c>
      <c r="L951" s="5" t="inlineStr">
        <is>
          <t>NonCritAvg</t>
        </is>
      </c>
      <c r="M951" s="5" t="inlineStr">
        <is>
          <t>CritAvg</t>
        </is>
      </c>
      <c r="N951" s="5" t="inlineStr">
        <is>
          <t>ExpectedDamage(perHit)</t>
        </is>
      </c>
      <c r="O951" s="5" t="inlineStr">
        <is>
          <t>DPS</t>
        </is>
      </c>
      <c r="P951" s="5" t="inlineStr">
        <is>
          <t>% of Total</t>
        </is>
      </c>
      <c r="R951" t="inlineStr">
        <is>
          <t>helpers</t>
        </is>
      </c>
    </row>
    <row r="952">
      <c r="A952">
        <f>Skills!A2</f>
        <v/>
      </c>
      <c r="B952">
        <f>Skills!B2</f>
        <v/>
      </c>
      <c r="C952">
        <f>TRUE</f>
        <v/>
      </c>
      <c r="D952" t="inlineStr"/>
      <c r="E952" t="inlineStr"/>
      <c r="F952">
        <f>T954+Skills!O2</f>
        <v/>
      </c>
      <c r="G952">
        <f>Calc!G2</f>
        <v/>
      </c>
      <c r="H952">
        <f>Calc!H2</f>
        <v/>
      </c>
      <c r="I952">
        <f>IF(Skills!X2&lt;&gt;"",1+(Skills!X2/10)*(Z953/1000)/100,1)</f>
        <v/>
      </c>
      <c r="J952">
        <f>(((Inputs!$B$6+1)*(1+Inputs!$B$7/100))+(((Inputs!$B$12*(1+Inputs!$B$13/100))-(Inputs!$B$12*(1+Inputs!$B$13/100)))+0.25*(Inputs!$B$14-Inputs!$B$14))*(1+Inputs!$B$7/100))*(F952/100)</f>
        <v/>
      </c>
      <c r="K952">
        <f>J952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952)</f>
        <v/>
      </c>
      <c r="L952">
        <f>K952*(MIN(Inputs!$B$22+(F972-Calc!F22),(Inputs!$B$23+(IF(ArtifactsInput!$M$15,CHOOSE(ArtifactsInput!$N$15+1,25,30,35,40,45,50)/100*(Inputs!$B$11-Inputs!$B$11),0))))/100+(Inputs!$B$23+(IF(ArtifactsInput!$M$15,CHOOSE(ArtifactsInput!$N$15+1,25,30,35,40,45,50)/100*(Inputs!$B$11-Inputs!$B$11),0)))/100)/2</f>
        <v/>
      </c>
      <c r="M952">
        <f>L952*(1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2">
        <f>L952*(1-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952*(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2">
        <f>(1-Summary!$B$11)*S952+Summary!$B$11*U952</f>
        <v/>
      </c>
      <c r="P952">
        <f>IF(B991=0,0,O952/B991)</f>
        <v/>
      </c>
      <c r="Q952">
        <f>IFERROR(1/(IF(Inputs!$B$38="pvp",15,MAX(0.1,Skills!E2-IF(Skills!F2=TRUE,Inputs!$B$32,0)))*(1-IF(AND(ArtifactsInput!$M$27,Inputs!$B$4="Chapter Hunt"),CHOOSE(ArtifactsInput!$N$27+1,20,24,28,32,36,40),0)/100)),0)</f>
        <v/>
      </c>
      <c r="R952" t="n">
        <v>0</v>
      </c>
      <c r="S952">
        <f>(Skills!G2*N952*B986)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952*(1-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952*(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952*(1-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952*(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952">
        <f>MAX(0,(Inputs!$B$3-100)*3)+Inputs!$B$28+Inputs!$B$29</f>
        <v/>
      </c>
      <c r="U952">
        <f>(Skills!G2*N952*B986)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952">
        <f>MAX(0,(Inputs!$B$3-100)*3)+Inputs!$B$28+Inputs!$B$29</f>
        <v/>
      </c>
    </row>
    <row r="953">
      <c r="A953">
        <f>Skills!A3</f>
        <v/>
      </c>
      <c r="B953">
        <f>Skills!B3</f>
        <v/>
      </c>
      <c r="C953">
        <f>TRUE</f>
        <v/>
      </c>
      <c r="D953">
        <f>IF(Skills!C3=1,60+Inputs!$B$25+Inputs!$B$29,IF(Skills!C3=2,90+Inputs!$B$26+Inputs!$B$29,IF(Skills!C3=3,120+Inputs!$B$27+Inputs!$B$29,MAX(0,(Inputs!$B$3-100)*3)+Inputs!$B$28+Inputs!$B$29)))</f>
        <v/>
      </c>
      <c r="E953">
        <f>INDEX(FactorTable!$B$2:$Y$301, MATCH(ROUND(MIN(300,MAX(1,D953)),0), FactorTable!$A$2:$A$301,0), Skills!M3+1)</f>
        <v/>
      </c>
      <c r="F953">
        <f>IF(Skills!N3=TRUE,(Skills!L3/10)*(E953/1000),Skills!L3/10)+Skills!O3</f>
        <v/>
      </c>
      <c r="G953">
        <f>Calc!G3</f>
        <v/>
      </c>
      <c r="H953">
        <f>Calc!H3</f>
        <v/>
      </c>
      <c r="I953">
        <f>IF(Skills!X3&lt;&gt;"",1+(Skills!X3/10)*(Z953/1000)/100,1)</f>
        <v/>
      </c>
      <c r="J953">
        <f>(((Inputs!$B$6+1)*(1+Inputs!$B$7/100))+(((Inputs!$B$12*(1+Inputs!$B$13/100))-(Inputs!$B$12*(1+Inputs!$B$13/100)))+0.25*(Inputs!$B$14-Inputs!$B$14))*(1+Inputs!$B$7/100))*(F953/100)</f>
        <v/>
      </c>
      <c r="K953">
        <f>J953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953)</f>
        <v/>
      </c>
      <c r="L953">
        <f>K953*(MIN(Inputs!$B$22+(F972-Calc!F22),(Inputs!$B$23+(IF(ArtifactsInput!$M$15,CHOOSE(ArtifactsInput!$N$15+1,25,30,35,40,45,50)/100*(Inputs!$B$11-Inputs!$B$11),0))))/100+(Inputs!$B$23+(IF(ArtifactsInput!$M$15,CHOOSE(ArtifactsInput!$N$15+1,25,30,35,40,45,50)/100*(Inputs!$B$11-Inputs!$B$11),0)))/100)/2</f>
        <v/>
      </c>
      <c r="M953">
        <f>L953*(1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3">
        <f>L953*(1-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953*(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3">
        <f>(1-Summary!$B$11)*S953+Summary!$B$11*U953</f>
        <v/>
      </c>
      <c r="P953">
        <f>IF(B991=0,0,O953/B991)</f>
        <v/>
      </c>
      <c r="Q953">
        <f>IFERROR(1/(IF(Inputs!$B$38="pvp",15,MAX(0.1,Skills!E3-IF(Skills!F3=TRUE,Inputs!$B$32,0)))*(1-IF(AND(ArtifactsInput!$M$27,Inputs!$B$4="Chapter Hunt"),CHOOSE(ArtifactsInput!$N$27+1,20,24,28,32,36,40),0)/100)),0)</f>
        <v/>
      </c>
      <c r="R953">
        <f>IF(AND(Inputs!$B$38&lt;&gt;"pvp",Inputs!$B$43&gt;0),IF(MAX(0,Inputs!$B$43-B988)&lt;=0,0,(INT(MAX(0,Inputs!$B$43-B988)/(IF(Inputs!$B$38="pvp",15,MAX(0.1,Skills!E3-IF(Skills!F3=TRUE,Inputs!$B$32,0)))*(1-IF(AND(ArtifactsInput!$M$27,Inputs!$B$4="Chapter Hunt"),CHOOSE(ArtifactsInput!$N$27+1,20,24,28,32,36,40),0)/100)))+1)),0)</f>
        <v/>
      </c>
      <c r="S953">
        <f>IF(C953,(H953*N953*IF(AND(Inputs!$B$38&lt;&gt;"pvp",Inputs!$B$43&gt;0),((Skills!G3*((R953-1)*IF(Skills!H3&gt;0,Skills!I3/Skills!H3,1)+IF(Skills!H3&gt;0,MIN(Skills!I3,MAX(0,MAX(0,Inputs!$B$43-B988)-((R953-1)*(IF(Inputs!$B$38="pvp",15,MAX(0.1,Skills!E3-IF(Skills!F3=TRUE,Inputs!$B$32,0)))*(1-IF(AND(ArtifactsInput!$M$27,Inputs!$B$4="Chapter Hunt"),CHOOSE(ArtifactsInput!$N$27+1,20,24,28,32,36,40),0)/100)))))/Skills!H3,1)))/Inputs!$B$43),G953*Q953)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953*(1-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953*(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953*(1-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953*(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53">
        <f>INDEX(FactorTable!$B$2:$Y$301, MATCH(ROUND(MIN(300,MAX(1,T952)),0), FactorTable!$A$2:$A$301,0), 22)</f>
        <v/>
      </c>
      <c r="U953">
        <f>IF(C953,(H953*N953*IF(AND(Inputs!$B$38&lt;&gt;"pvp",Inputs!$B$43&gt;0),((Skills!G3*((R953-1)*IF(Skills!H3&gt;0,Skills!I3/Skills!H3,1)+IF(Skills!H3&gt;0,MIN(Skills!I3,MAX(0,MAX(0,Inputs!$B$43-B988)-((R953-1)*(IF(Inputs!$B$38="pvp",15,MAX(0.1,Skills!E3-IF(Skills!F3=TRUE,Inputs!$B$32,0)))*(1-IF(AND(ArtifactsInput!$M$27,Inputs!$B$4="Chapter Hunt"),CHOOSE(ArtifactsInput!$N$27+1,20,24,28,32,36,40),0)/100)))))/Skills!H3,1)))/Inputs!$B$43),G953*Q953)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953">
        <f>INDEX(FactorTable!$B$2:$Y$301, MATCH(ROUND(MIN(300,MAX(1,Z952)),0), FactorTable!$A$2:$A$301,0), 24)</f>
        <v/>
      </c>
    </row>
    <row r="954">
      <c r="A954">
        <f>Skills!A4</f>
        <v/>
      </c>
      <c r="B954">
        <f>Skills!B4</f>
        <v/>
      </c>
      <c r="C954">
        <f>TRUE</f>
        <v/>
      </c>
      <c r="D954">
        <f>IF(Skills!C4=1,60+Inputs!$B$25+Inputs!$B$29,IF(Skills!C4=2,90+Inputs!$B$26+Inputs!$B$29,IF(Skills!C4=3,120+Inputs!$B$27+Inputs!$B$29,MAX(0,(Inputs!$B$3-100)*3)+Inputs!$B$28+Inputs!$B$29)))</f>
        <v/>
      </c>
      <c r="E954">
        <f>INDEX(FactorTable!$B$2:$Y$301, MATCH(ROUND(MIN(300,MAX(1,D954)),0), FactorTable!$A$2:$A$301,0), Skills!M4+1)</f>
        <v/>
      </c>
      <c r="F954">
        <f>IF(Skills!N4=TRUE,(Skills!L4/10)*(E954/1000),Skills!L4/10)+Skills!O4</f>
        <v/>
      </c>
      <c r="G954">
        <f>Calc!G4</f>
        <v/>
      </c>
      <c r="H954">
        <f>Calc!H4</f>
        <v/>
      </c>
      <c r="I954">
        <f>IF(Skills!X4&lt;&gt;"",1+(Skills!X4/10)*(Z953/1000)/100,1)</f>
        <v/>
      </c>
      <c r="J954">
        <f>(((Inputs!$B$6+1)*(1+Inputs!$B$7/100))+(((Inputs!$B$12*(1+Inputs!$B$13/100))-(Inputs!$B$12*(1+Inputs!$B$13/100)))+0.25*(Inputs!$B$14-Inputs!$B$14))*(1+Inputs!$B$7/100))*(F954/100)</f>
        <v/>
      </c>
      <c r="K954">
        <f>J954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954)</f>
        <v/>
      </c>
      <c r="L954">
        <f>K954*(MIN(Inputs!$B$22+(F972-Calc!F22),(Inputs!$B$23+(IF(ArtifactsInput!$M$15,CHOOSE(ArtifactsInput!$N$15+1,25,30,35,40,45,50)/100*(Inputs!$B$11-Inputs!$B$11),0))))/100+(Inputs!$B$23+(IF(ArtifactsInput!$M$15,CHOOSE(ArtifactsInput!$N$15+1,25,30,35,40,45,50)/100*(Inputs!$B$11-Inputs!$B$11),0)))/100)/2</f>
        <v/>
      </c>
      <c r="M954">
        <f>L954*(1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4">
        <f>L954*(1-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954*(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4">
        <f>(1-Summary!$B$11)*S954+Summary!$B$11*U954</f>
        <v/>
      </c>
      <c r="P954">
        <f>IF(B991=0,0,O954/B991)</f>
        <v/>
      </c>
      <c r="Q954">
        <f>IFERROR(1/(IF(Inputs!$B$38="pvp",15,MAX(0.1,Skills!E4-IF(Skills!F4=TRUE,Inputs!$B$32,0)))*(1-IF(AND(ArtifactsInput!$M$27,Inputs!$B$4="Chapter Hunt"),CHOOSE(ArtifactsInput!$N$27+1,20,24,28,32,36,40),0)/100)),0)</f>
        <v/>
      </c>
      <c r="R954">
        <f>IF(AND(Inputs!$B$38&lt;&gt;"pvp",Inputs!$B$43&gt;0),IF(MAX(0,Inputs!$B$43-B988)&lt;=0,0,(INT(MAX(0,Inputs!$B$43-B988)/(IF(Inputs!$B$38="pvp",15,MAX(0.1,Skills!E4-IF(Skills!F4=TRUE,Inputs!$B$32,0)))*(1-IF(AND(ArtifactsInput!$M$27,Inputs!$B$4="Chapter Hunt"),CHOOSE(ArtifactsInput!$N$27+1,20,24,28,32,36,40),0)/100)))+1)),0)</f>
        <v/>
      </c>
      <c r="S954">
        <f>IF(C954,(H954*N954*IF(AND(Inputs!$B$38&lt;&gt;"pvp",Inputs!$B$43&gt;0),((Skills!G4*((R954-1)*IF(Skills!H4&gt;0,Skills!I4/Skills!H4,1)+IF(Skills!H4&gt;0,MIN(Skills!I4,MAX(0,MAX(0,Inputs!$B$43-B988)-((R954-1)*(IF(Inputs!$B$38="pvp",15,MAX(0.1,Skills!E4-IF(Skills!F4=TRUE,Inputs!$B$32,0)))*(1-IF(AND(ArtifactsInput!$M$27,Inputs!$B$4="Chapter Hunt"),CHOOSE(ArtifactsInput!$N$27+1,20,24,28,32,36,40),0)/100)))))/Skills!H4,1)))/Inputs!$B$43),G954*Q954)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954*(1-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954*(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954*(1-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954*(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54">
        <f>290*T953/1000</f>
        <v/>
      </c>
      <c r="U954">
        <f>IF(C954,(H954*N954*IF(AND(Inputs!$B$38&lt;&gt;"pvp",Inputs!$B$43&gt;0),((Skills!G4*((R954-1)*IF(Skills!H4&gt;0,Skills!I4/Skills!H4,1)+IF(Skills!H4&gt;0,MIN(Skills!I4,MAX(0,MAX(0,Inputs!$B$43-B988)-((R954-1)*(IF(Inputs!$B$38="pvp",15,MAX(0.1,Skills!E4-IF(Skills!F4=TRUE,Inputs!$B$32,0)))*(1-IF(AND(ArtifactsInput!$M$27,Inputs!$B$4="Chapter Hunt"),CHOOSE(ArtifactsInput!$N$27+1,20,24,28,32,36,40),0)/100)))))/Skills!H4,1)))/Inputs!$B$43),G954*Q954)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5">
      <c r="A955">
        <f>Skills!A5</f>
        <v/>
      </c>
      <c r="B955">
        <f>Skills!B5</f>
        <v/>
      </c>
      <c r="C955">
        <f>TRUE</f>
        <v/>
      </c>
      <c r="D955">
        <f>IF(Skills!C5=1,60+Inputs!$B$25+Inputs!$B$29,IF(Skills!C5=2,90+Inputs!$B$26+Inputs!$B$29,IF(Skills!C5=3,120+Inputs!$B$27+Inputs!$B$29,MAX(0,(Inputs!$B$3-100)*3)+Inputs!$B$28+Inputs!$B$29)))</f>
        <v/>
      </c>
      <c r="E955">
        <f>INDEX(FactorTable!$B$2:$Y$301, MATCH(ROUND(MIN(300,MAX(1,D955)),0), FactorTable!$A$2:$A$301,0), Skills!M5+1)</f>
        <v/>
      </c>
      <c r="F955">
        <f>IF(Skills!N5=TRUE,(Skills!L5/10)*(E955/1000),Skills!L5/10)+Skills!O5</f>
        <v/>
      </c>
      <c r="G955">
        <f>Calc!G5</f>
        <v/>
      </c>
      <c r="H955">
        <f>Calc!H5</f>
        <v/>
      </c>
      <c r="I955">
        <f>IF(Skills!X5&lt;&gt;"",1+(Skills!X5/10)*(Z953/1000)/100,1)</f>
        <v/>
      </c>
      <c r="J955">
        <f>(((Inputs!$B$6+1)*(1+Inputs!$B$7/100))+(((Inputs!$B$12*(1+Inputs!$B$13/100))-(Inputs!$B$12*(1+Inputs!$B$13/100)))+0.25*(Inputs!$B$14-Inputs!$B$14))*(1+Inputs!$B$7/100))*(F955/100)</f>
        <v/>
      </c>
      <c r="K955">
        <f>J955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955)</f>
        <v/>
      </c>
      <c r="L955">
        <f>K955*(MIN(Inputs!$B$22+(F972-Calc!F22),(Inputs!$B$23+(IF(ArtifactsInput!$M$15,CHOOSE(ArtifactsInput!$N$15+1,25,30,35,40,45,50)/100*(Inputs!$B$11-Inputs!$B$11),0))))/100+(Inputs!$B$23+(IF(ArtifactsInput!$M$15,CHOOSE(ArtifactsInput!$N$15+1,25,30,35,40,45,50)/100*(Inputs!$B$11-Inputs!$B$11),0)))/100)/2</f>
        <v/>
      </c>
      <c r="M955">
        <f>L955*(1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5">
        <f>L955*(1-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955*(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5">
        <f>(1-Summary!$B$11)*S955+Summary!$B$11*U955</f>
        <v/>
      </c>
      <c r="P955">
        <f>IF(B991=0,0,O955/B991)</f>
        <v/>
      </c>
      <c r="Q955">
        <f>IFERROR(1/(IF(Inputs!$B$38="pvp",15,MAX(0.1,Skills!E5-IF(Skills!F5=TRUE,Inputs!$B$32,0)))*(1-IF(AND(ArtifactsInput!$M$27,Inputs!$B$4="Chapter Hunt"),CHOOSE(ArtifactsInput!$N$27+1,20,24,28,32,36,40),0)/100)),0)</f>
        <v/>
      </c>
      <c r="R955">
        <f>IF(AND(Inputs!$B$38&lt;&gt;"pvp",Inputs!$B$43&gt;0),IF(MAX(0,Inputs!$B$43-B988)&lt;=0,0,(INT(MAX(0,Inputs!$B$43-B988)/(IF(Inputs!$B$38="pvp",15,MAX(0.1,Skills!E5-IF(Skills!F5=TRUE,Inputs!$B$32,0)))*(1-IF(AND(ArtifactsInput!$M$27,Inputs!$B$4="Chapter Hunt"),CHOOSE(ArtifactsInput!$N$27+1,20,24,28,32,36,40),0)/100)))+1)),0)</f>
        <v/>
      </c>
      <c r="S955">
        <f>IF(C955,(H955*N955*IF(AND(Inputs!$B$38&lt;&gt;"pvp",Inputs!$B$43&gt;0),((Skills!G5*((R955-1)*IF(Skills!H5&gt;0,Skills!I5/Skills!H5,1)+IF(Skills!H5&gt;0,MIN(Skills!I5,MAX(0,MAX(0,Inputs!$B$43-B988)-((R955-1)*(IF(Inputs!$B$38="pvp",15,MAX(0.1,Skills!E5-IF(Skills!F5=TRUE,Inputs!$B$32,0)))*(1-IF(AND(ArtifactsInput!$M$27,Inputs!$B$4="Chapter Hunt"),CHOOSE(ArtifactsInput!$N$27+1,20,24,28,32,36,40),0)/100)))))/Skills!H5,1)))/Inputs!$B$43),G955*Q955)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955*(1-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955*(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955*(1-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955*(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55">
        <f>IF(C955,(H955*N955*IF(AND(Inputs!$B$38&lt;&gt;"pvp",Inputs!$B$43&gt;0),((Skills!G5*((R955-1)*IF(Skills!H5&gt;0,Skills!I5/Skills!H5,1)+IF(Skills!H5&gt;0,MIN(Skills!I5,MAX(0,MAX(0,Inputs!$B$43-B988)-((R955-1)*(IF(Inputs!$B$38="pvp",15,MAX(0.1,Skills!E5-IF(Skills!F5=TRUE,Inputs!$B$32,0)))*(1-IF(AND(ArtifactsInput!$M$27,Inputs!$B$4="Chapter Hunt"),CHOOSE(ArtifactsInput!$N$27+1,20,24,28,32,36,40),0)/100)))))/Skills!H5,1)))/Inputs!$B$43),G955*Q955)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6">
      <c r="A956">
        <f>Skills!A6</f>
        <v/>
      </c>
      <c r="B956">
        <f>Skills!B6</f>
        <v/>
      </c>
      <c r="C956">
        <f>TRUE</f>
        <v/>
      </c>
      <c r="D956">
        <f>IF(Skills!C6=1,60+Inputs!$B$25+Inputs!$B$29,IF(Skills!C6=2,90+Inputs!$B$26+Inputs!$B$29,IF(Skills!C6=3,120+Inputs!$B$27+Inputs!$B$29,MAX(0,(Inputs!$B$3-100)*3)+Inputs!$B$28+Inputs!$B$29)))</f>
        <v/>
      </c>
      <c r="E956">
        <f>INDEX(FactorTable!$B$2:$Y$301, MATCH(ROUND(MIN(300,MAX(1,D956)),0), FactorTable!$A$2:$A$301,0), Skills!M6+1)</f>
        <v/>
      </c>
      <c r="F956">
        <f>IF(Skills!N6=TRUE,(Skills!L6/10)*(E956/1000),Skills!L6/10)+Skills!O6</f>
        <v/>
      </c>
      <c r="G956">
        <f>Calc!G6</f>
        <v/>
      </c>
      <c r="H956">
        <f>Calc!H6</f>
        <v/>
      </c>
      <c r="I956">
        <f>IF(Skills!X6&lt;&gt;"",1+(Skills!X6/10)*(Z953/1000)/100,1)</f>
        <v/>
      </c>
      <c r="J956" t="inlineStr"/>
      <c r="K956" t="inlineStr"/>
      <c r="L956" t="inlineStr"/>
      <c r="M956" t="inlineStr"/>
      <c r="N956" t="inlineStr"/>
      <c r="O956">
        <f>(1-Summary!$B$11)*S956+Summary!$B$11*U956</f>
        <v/>
      </c>
      <c r="P956">
        <f>IF(B991=0,0,O956/B991)</f>
        <v/>
      </c>
      <c r="Q956">
        <f>IFERROR(1/(IF(Inputs!$B$38="pvp",15,MAX(0.1,Skills!E6-IF(Skills!F6=TRUE,Inputs!$B$32,0)))*(1-IF(AND(ArtifactsInput!$M$27,Inputs!$B$4="Chapter Hunt"),CHOOSE(ArtifactsInput!$N$27+1,20,24,28,32,36,40),0)/100)),0)</f>
        <v/>
      </c>
      <c r="R956">
        <f>IF(AND(Inputs!$B$38&lt;&gt;"pvp",Inputs!$B$43&gt;0),IF(Inputs!$B$43&lt;=0,0,(INT(Inputs!$B$43/(IF(Inputs!$B$38="pvp",15,MAX(0.1,Skills!E6-IF(Skills!F6=TRUE,Inputs!$B$32,0)))*(1-IF(AND(ArtifactsInput!$M$27,Inputs!$B$4="Chapter Hunt"),CHOOSE(ArtifactsInput!$N$27+1,20,24,28,32,36,40),0)/100)))+1)),0)</f>
        <v/>
      </c>
      <c r="S956" t="n">
        <v>0</v>
      </c>
      <c r="U956" t="n">
        <v>0</v>
      </c>
    </row>
    <row r="957">
      <c r="A957">
        <f>Skills!A7</f>
        <v/>
      </c>
      <c r="B957">
        <f>Skills!B7</f>
        <v/>
      </c>
      <c r="C957">
        <f>TRUE</f>
        <v/>
      </c>
      <c r="D957">
        <f>IF(Skills!C7=1,60+Inputs!$B$25+Inputs!$B$29,IF(Skills!C7=2,90+Inputs!$B$26+Inputs!$B$29,IF(Skills!C7=3,120+Inputs!$B$27+Inputs!$B$29,MAX(0,(Inputs!$B$3-100)*3)+Inputs!$B$28+Inputs!$B$29)))</f>
        <v/>
      </c>
      <c r="E957">
        <f>INDEX(FactorTable!$B$2:$Y$301, MATCH(ROUND(MIN(300,MAX(1,D957)),0), FactorTable!$A$2:$A$301,0), Skills!M7+1)</f>
        <v/>
      </c>
      <c r="F957">
        <f>IF(Skills!N7=TRUE,(Skills!L7/10)*(E957/1000),Skills!L7/10)+Skills!O7</f>
        <v/>
      </c>
      <c r="G957">
        <f>Calc!G7</f>
        <v/>
      </c>
      <c r="H957">
        <f>Calc!H7</f>
        <v/>
      </c>
      <c r="I957">
        <f>IF(Skills!X7&lt;&gt;"",1+(Skills!X7/10)*(Z953/1000)/100,1)</f>
        <v/>
      </c>
      <c r="J957">
        <f>(((Inputs!$B$6+1)*(1+Inputs!$B$7/100))+(((Inputs!$B$12*(1+Inputs!$B$13/100))-(Inputs!$B$12*(1+Inputs!$B$13/100)))+0.25*(Inputs!$B$14-Inputs!$B$14))*(1+Inputs!$B$7/100))*(F957/100)</f>
        <v/>
      </c>
      <c r="K957">
        <f>J957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957)</f>
        <v/>
      </c>
      <c r="L957">
        <f>K957*(MIN(Inputs!$B$22+(F972-Calc!F22),(Inputs!$B$23+(IF(ArtifactsInput!$M$15,CHOOSE(ArtifactsInput!$N$15+1,25,30,35,40,45,50)/100*(Inputs!$B$11-Inputs!$B$11),0))))/100+(Inputs!$B$23+(IF(ArtifactsInput!$M$15,CHOOSE(ArtifactsInput!$N$15+1,25,30,35,40,45,50)/100*(Inputs!$B$11-Inputs!$B$11),0)))/100)/2</f>
        <v/>
      </c>
      <c r="M957">
        <f>L957*(1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7">
        <f>L957*(1-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957*(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7">
        <f>(1-Summary!$B$11)*S957+Summary!$B$11*U957</f>
        <v/>
      </c>
      <c r="P957">
        <f>IF(B991=0,0,O957/B991)</f>
        <v/>
      </c>
      <c r="Q957">
        <f>IFERROR(1/(IF(Inputs!$B$38="pvp",15,MAX(0.1,Skills!E7-IF(Skills!F7=TRUE,Inputs!$B$32,0)))*(1-IF(AND(ArtifactsInput!$M$27,Inputs!$B$4="Chapter Hunt"),CHOOSE(ArtifactsInput!$N$27+1,20,24,28,32,36,40),0)/100)),0)</f>
        <v/>
      </c>
      <c r="R957">
        <f>IF(AND(Inputs!$B$38&lt;&gt;"pvp",Inputs!$B$43&gt;0),IF(MAX(0,Inputs!$B$43-B988)&lt;=0,0,(INT(MAX(0,Inputs!$B$43-B988)/(IF(Inputs!$B$38="pvp",15,MAX(0.1,Skills!E7-IF(Skills!F7=TRUE,Inputs!$B$32,0)))*(1-IF(AND(ArtifactsInput!$M$27,Inputs!$B$4="Chapter Hunt"),CHOOSE(ArtifactsInput!$N$27+1,20,24,28,32,36,40),0)/100)))+1)),0)</f>
        <v/>
      </c>
      <c r="S957">
        <f>IF(C957,(H957*N957*IF(AND(Inputs!$B$38&lt;&gt;"pvp",Inputs!$B$43&gt;0),((Skills!G7*((R957-1)*IF(Skills!H7&gt;0,Skills!I7/Skills!H7,1)+IF(Skills!H7&gt;0,MIN(Skills!I7,MAX(0,MAX(0,Inputs!$B$43-B988)-((R957-1)*(IF(Inputs!$B$38="pvp",15,MAX(0.1,Skills!E7-IF(Skills!F7=TRUE,Inputs!$B$32,0)))*(1-IF(AND(ArtifactsInput!$M$27,Inputs!$B$4="Chapter Hunt"),CHOOSE(ArtifactsInput!$N$27+1,20,24,28,32,36,40),0)/100)))))/Skills!H7,1)))/Inputs!$B$43),G957*Q957)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957*(1-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957*(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957*(1-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957*(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57">
        <f>IF(C957,(H957*N957*IF(AND(Inputs!$B$38&lt;&gt;"pvp",Inputs!$B$43&gt;0),((Skills!G7*((R957-1)*IF(Skills!H7&gt;0,Skills!I7/Skills!H7,1)+IF(Skills!H7&gt;0,MIN(Skills!I7,MAX(0,MAX(0,Inputs!$B$43-B988)-((R957-1)*(IF(Inputs!$B$38="pvp",15,MAX(0.1,Skills!E7-IF(Skills!F7=TRUE,Inputs!$B$32,0)))*(1-IF(AND(ArtifactsInput!$M$27,Inputs!$B$4="Chapter Hunt"),CHOOSE(ArtifactsInput!$N$27+1,20,24,28,32,36,40),0)/100)))))/Skills!H7,1)))/Inputs!$B$43),G957*Q957)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8">
      <c r="A958">
        <f>Skills!A8</f>
        <v/>
      </c>
      <c r="B958">
        <f>Skills!B8</f>
        <v/>
      </c>
      <c r="C958">
        <f>TRUE</f>
        <v/>
      </c>
      <c r="D958">
        <f>IF(Skills!C8=1,60+Inputs!$B$25+Inputs!$B$29,IF(Skills!C8=2,90+Inputs!$B$26+Inputs!$B$29,IF(Skills!C8=3,120+Inputs!$B$27+Inputs!$B$29,MAX(0,(Inputs!$B$3-100)*3)+Inputs!$B$28+Inputs!$B$29)))</f>
        <v/>
      </c>
      <c r="E958">
        <f>INDEX(FactorTable!$B$2:$Y$301, MATCH(ROUND(MIN(300,MAX(1,D958)),0), FactorTable!$A$2:$A$301,0), Skills!M8+1)</f>
        <v/>
      </c>
      <c r="F958">
        <f>IF(Skills!N8=TRUE,(Skills!L8/10)*(E958/1000),Skills!L8/10)+Skills!O8</f>
        <v/>
      </c>
      <c r="G958">
        <f>Calc!G8</f>
        <v/>
      </c>
      <c r="H958">
        <f>Calc!H8</f>
        <v/>
      </c>
      <c r="I958">
        <f>IF(Skills!X8&lt;&gt;"",1+(Skills!X8/10)*(Z953/1000)/100,1)</f>
        <v/>
      </c>
      <c r="J958">
        <f>(((Inputs!$B$6+1)*(1+Inputs!$B$7/100))+(((Inputs!$B$12*(1+Inputs!$B$13/100))-(Inputs!$B$12*(1+Inputs!$B$13/100)))+0.25*(Inputs!$B$14-Inputs!$B$14))*(1+Inputs!$B$7/100))*(F958/100)</f>
        <v/>
      </c>
      <c r="K958">
        <f>J958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958)</f>
        <v/>
      </c>
      <c r="L958">
        <f>K958*(MIN(Inputs!$B$22+(F972-Calc!F22),(Inputs!$B$23+(IF(ArtifactsInput!$M$15,CHOOSE(ArtifactsInput!$N$15+1,25,30,35,40,45,50)/100*(Inputs!$B$11-Inputs!$B$11),0))))/100+(Inputs!$B$23+(IF(ArtifactsInput!$M$15,CHOOSE(ArtifactsInput!$N$15+1,25,30,35,40,45,50)/100*(Inputs!$B$11-Inputs!$B$11),0)))/100)/2</f>
        <v/>
      </c>
      <c r="M958">
        <f>L958*(1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8">
        <f>L958*(1-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958*(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8">
        <f>(1-Summary!$B$11)*S958+Summary!$B$11*U958</f>
        <v/>
      </c>
      <c r="P958">
        <f>IF(B991=0,0,O958/B991)</f>
        <v/>
      </c>
      <c r="Q958">
        <f>IFERROR(1/(IF(Inputs!$B$38="pvp",15,MAX(0.1,Skills!E8-IF(Skills!F8=TRUE,Inputs!$B$32,0)))*(1-IF(AND(ArtifactsInput!$M$27,Inputs!$B$4="Chapter Hunt"),CHOOSE(ArtifactsInput!$N$27+1,20,24,28,32,36,40),0)/100)),0)</f>
        <v/>
      </c>
      <c r="R958">
        <f>IF(AND(Inputs!$B$38&lt;&gt;"pvp",Inputs!$B$43&gt;0),IF(MAX(0,Inputs!$B$43-B988)&lt;=0,0,(INT(MAX(0,Inputs!$B$43-B988)/(IF(Inputs!$B$38="pvp",15,MAX(0.1,Skills!E8-IF(Skills!F8=TRUE,Inputs!$B$32,0)))*(1-IF(AND(ArtifactsInput!$M$27,Inputs!$B$4="Chapter Hunt"),CHOOSE(ArtifactsInput!$N$27+1,20,24,28,32,36,40),0)/100)))+1)),0)</f>
        <v/>
      </c>
      <c r="S958">
        <f>IF(C958,(H958*N958*IF(AND(Inputs!$B$38&lt;&gt;"pvp",Inputs!$B$43&gt;0),((Skills!G8*((R958-1)*IF(Skills!H8&gt;0,Skills!I8/Skills!H8,1)+IF(Skills!H8&gt;0,MIN(Skills!I8,MAX(0,MAX(0,Inputs!$B$43-B988)-((R958-1)*(IF(Inputs!$B$38="pvp",15,MAX(0.1,Skills!E8-IF(Skills!F8=TRUE,Inputs!$B$32,0)))*(1-IF(AND(ArtifactsInput!$M$27,Inputs!$B$4="Chapter Hunt"),CHOOSE(ArtifactsInput!$N$27+1,20,24,28,32,36,40),0)/100)))))/Skills!H8,1)))/Inputs!$B$43),G958*Q958)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958*(1-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958*(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958*(1-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958*(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58">
        <f>IF(C958,(H958*N958*IF(AND(Inputs!$B$38&lt;&gt;"pvp",Inputs!$B$43&gt;0),((Skills!G8*((R958-1)*IF(Skills!H8&gt;0,Skills!I8/Skills!H8,1)+IF(Skills!H8&gt;0,MIN(Skills!I8,MAX(0,MAX(0,Inputs!$B$43-B988)-((R958-1)*(IF(Inputs!$B$38="pvp",15,MAX(0.1,Skills!E8-IF(Skills!F8=TRUE,Inputs!$B$32,0)))*(1-IF(AND(ArtifactsInput!$M$27,Inputs!$B$4="Chapter Hunt"),CHOOSE(ArtifactsInput!$N$27+1,20,24,28,32,36,40),0)/100)))))/Skills!H8,1)))/Inputs!$B$43),G958*Q958)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9">
      <c r="A959">
        <f>Skills!A9</f>
        <v/>
      </c>
      <c r="B959">
        <f>Skills!B9</f>
        <v/>
      </c>
      <c r="C959">
        <f>Inputs!$B$3&gt;=103</f>
        <v/>
      </c>
      <c r="D959">
        <f>IF(Skills!C9=1,60+Inputs!$B$25+Inputs!$B$29,IF(Skills!C9=2,90+Inputs!$B$26+Inputs!$B$29,IF(Skills!C9=3,120+Inputs!$B$27+Inputs!$B$29,MAX(0,(Inputs!$B$3-100)*3)+Inputs!$B$28+Inputs!$B$29)))</f>
        <v/>
      </c>
      <c r="E959">
        <f>INDEX(FactorTable!$B$2:$Y$301, MATCH(ROUND(MIN(300,MAX(1,D959)),0), FactorTable!$A$2:$A$301,0), Skills!M9+1)</f>
        <v/>
      </c>
      <c r="F959">
        <f>IF(Skills!N9=TRUE,(Skills!L9/10)*(E959/1000),Skills!L9/10)+Skills!O9</f>
        <v/>
      </c>
      <c r="G959">
        <f>Calc!G9</f>
        <v/>
      </c>
      <c r="H959">
        <f>Calc!H9</f>
        <v/>
      </c>
      <c r="I959">
        <f>IF(Skills!X9&lt;&gt;"",1+(Skills!X9/10)*(Z953/1000)/100,1)</f>
        <v/>
      </c>
      <c r="J959">
        <f>(((Inputs!$B$6+1)*(1+Inputs!$B$7/100))+(((Inputs!$B$12*(1+Inputs!$B$13/100))-(Inputs!$B$12*(1+Inputs!$B$13/100)))+0.25*(Inputs!$B$14-Inputs!$B$14))*(1+Inputs!$B$7/100))*(F959/100)</f>
        <v/>
      </c>
      <c r="K959">
        <f>J959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959)</f>
        <v/>
      </c>
      <c r="L959">
        <f>K959*(MIN(Inputs!$B$22+(F972-Calc!F22),(Inputs!$B$23+(IF(ArtifactsInput!$M$15,CHOOSE(ArtifactsInput!$N$15+1,25,30,35,40,45,50)/100*(Inputs!$B$11-Inputs!$B$11),0))))/100+(Inputs!$B$23+(IF(ArtifactsInput!$M$15,CHOOSE(ArtifactsInput!$N$15+1,25,30,35,40,45,50)/100*(Inputs!$B$11-Inputs!$B$11),0)))/100)/2</f>
        <v/>
      </c>
      <c r="M959">
        <f>L959*(1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9">
        <f>L959*(1-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959*(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9">
        <f>(1-Summary!$B$11)*S959+Summary!$B$11*U959</f>
        <v/>
      </c>
      <c r="P959">
        <f>IF(B991=0,0,O959/B991)</f>
        <v/>
      </c>
      <c r="Q959">
        <f>IFERROR(1/(IF(Inputs!$B$38="pvp",15,MAX(0.1,Skills!E9-IF(Skills!F7=TRUE,Inputs!$B$32,0)))*(1-IF(AND(ArtifactsInput!$M$27,Inputs!$B$4="Chapter Hunt"),CHOOSE(ArtifactsInput!$N$27+1,20,24,28,32,36,40),0)/100)),0)</f>
        <v/>
      </c>
      <c r="R959">
        <f>IF(AND(Inputs!$B$38&lt;&gt;"pvp",Inputs!$B$43&gt;0),IF(MAX(0,Inputs!$B$43-B988)&lt;=0,0,(INT(MAX(0,Inputs!$B$43-B988)/(IF(Inputs!$B$38="pvp",15,MAX(0.1,Skills!E9-IF(Skills!F7=TRUE,Inputs!$B$32,0)))*(1-IF(AND(ArtifactsInput!$M$27,Inputs!$B$4="Chapter Hunt"),CHOOSE(ArtifactsInput!$N$27+1,20,24,28,32,36,40),0)/100)))+1)),0)</f>
        <v/>
      </c>
      <c r="S959">
        <f>IF(C959,(H959*N959*IF(AND(Inputs!$B$38&lt;&gt;"pvp",Inputs!$B$43&gt;0),((Skills!G9*((R959-1)*IF(Skills!H9&gt;0,Skills!I9/Skills!H9,1)+IF(Skills!H9&gt;0,MIN(Skills!I9,MAX(0,MAX(0,Inputs!$B$43-B988)-((R959-1)*(IF(Inputs!$B$38="pvp",15,MAX(0.1,Skills!E9-IF(Skills!F7=TRUE,Inputs!$B$32,0)))*(1-IF(AND(ArtifactsInput!$M$27,Inputs!$B$4="Chapter Hunt"),CHOOSE(ArtifactsInput!$N$27+1,20,24,28,32,36,40),0)/100)))))/Skills!H9,1)))/Inputs!$B$43),G959*Q959)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959*(1-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959*(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959*(1-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959*(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59">
        <f>IF(C959,(H959*N959*IF(AND(Inputs!$B$38&lt;&gt;"pvp",Inputs!$B$43&gt;0),((Skills!G9*((R959-1)*IF(Skills!H9&gt;0,Skills!I9/Skills!H9,1)+IF(Skills!H9&gt;0,MIN(Skills!I9,MAX(0,MAX(0,Inputs!$B$43-B988)-((R959-1)*(IF(Inputs!$B$38="pvp",15,MAX(0.1,Skills!E9-IF(Skills!F7=TRUE,Inputs!$B$32,0)))*(1-IF(AND(ArtifactsInput!$M$27,Inputs!$B$4="Chapter Hunt"),CHOOSE(ArtifactsInput!$N$27+1,20,24,28,32,36,40),0)/100)))))/Skills!H9,1)))/Inputs!$B$43),G959*Q959)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0">
      <c r="A960">
        <f>Skills!A10</f>
        <v/>
      </c>
      <c r="B960">
        <f>Skills!B10</f>
        <v/>
      </c>
      <c r="C960">
        <f>TRUE</f>
        <v/>
      </c>
      <c r="D960">
        <f>IF(Skills!C10=1,60+Inputs!$B$25+Inputs!$B$29,IF(Skills!C10=2,90+Inputs!$B$26+Inputs!$B$29,IF(Skills!C10=3,120+Inputs!$B$27+Inputs!$B$29,MAX(0,(Inputs!$B$3-100)*3)+Inputs!$B$28+Inputs!$B$29)))</f>
        <v/>
      </c>
      <c r="E960">
        <f>INDEX(FactorTable!$B$2:$Y$301, MATCH(ROUND(MIN(300,MAX(1,D960)),0), FactorTable!$A$2:$A$301,0), Skills!M10+1)</f>
        <v/>
      </c>
      <c r="F960">
        <f>IF(Skills!N10=TRUE,(Skills!L10/10)*(E960/1000),Skills!L10/10)+Skills!O10</f>
        <v/>
      </c>
      <c r="G960">
        <f>Calc!G10</f>
        <v/>
      </c>
      <c r="H960">
        <f>Calc!H10</f>
        <v/>
      </c>
      <c r="I960">
        <f>IF(Skills!X10&lt;&gt;"",1+(Skills!X10/10)*(Z953/1000)/100,1)</f>
        <v/>
      </c>
      <c r="J960">
        <f>(((Inputs!$B$6+1)*(1+Inputs!$B$7/100))+(((Inputs!$B$12*(1+Inputs!$B$13/100))-(Inputs!$B$12*(1+Inputs!$B$13/100)))+0.25*(Inputs!$B$14-Inputs!$B$14))*(1+Inputs!$B$7/100))*(F960/100)</f>
        <v/>
      </c>
      <c r="K960">
        <f>J960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960)</f>
        <v/>
      </c>
      <c r="L960">
        <f>K960*(MIN(Inputs!$B$22+(F972-Calc!F22),(Inputs!$B$23+(IF(ArtifactsInput!$M$15,CHOOSE(ArtifactsInput!$N$15+1,25,30,35,40,45,50)/100*(Inputs!$B$11-Inputs!$B$11),0))))/100+(Inputs!$B$23+(IF(ArtifactsInput!$M$15,CHOOSE(ArtifactsInput!$N$15+1,25,30,35,40,45,50)/100*(Inputs!$B$11-Inputs!$B$11),0)))/100)/2</f>
        <v/>
      </c>
      <c r="M960">
        <f>L960*(1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0">
        <f>L960*(1-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960*(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0">
        <f>(1-Summary!$B$11)*S960+Summary!$B$11*U960</f>
        <v/>
      </c>
      <c r="P960">
        <f>IF(B991=0,0,O960/B991)</f>
        <v/>
      </c>
      <c r="Q960">
        <f>IFERROR(1/(IF(Inputs!$B$38="pvp",15,MAX(0.1,Skills!E10-IF(Skills!F10=TRUE,Inputs!$B$32,0)))*(1-IF(AND(ArtifactsInput!$M$27,Inputs!$B$4="Chapter Hunt"),CHOOSE(ArtifactsInput!$N$27+1,20,24,28,32,36,40),0)/100)),0)</f>
        <v/>
      </c>
      <c r="R960">
        <f>IF(AND(Inputs!$B$38&lt;&gt;"pvp",Inputs!$B$43&gt;0),IF(MAX(0,Inputs!$B$43-B988)&lt;=0,0,(INT(MAX(0,Inputs!$B$43-B988)/(IF(Inputs!$B$38="pvp",15,MAX(0.1,Skills!E10-IF(Skills!F10=TRUE,Inputs!$B$32,0)))*(1-IF(AND(ArtifactsInput!$M$27,Inputs!$B$4="Chapter Hunt"),CHOOSE(ArtifactsInput!$N$27+1,20,24,28,32,36,40),0)/100)))+1)),0)</f>
        <v/>
      </c>
      <c r="S960">
        <f>IF(C960,(H960*N960*IF(AND(Inputs!$B$38&lt;&gt;"pvp",Inputs!$B$43&gt;0),((Skills!G10*((R960-1)*IF(Skills!H10&gt;0,Skills!I10/Skills!H10,1)+IF(Skills!H10&gt;0,MIN(Skills!I10,MAX(0,MAX(0,Inputs!$B$43-B988)-((R960-1)*(IF(Inputs!$B$38="pvp",15,MAX(0.1,Skills!E10-IF(Skills!F10=TRUE,Inputs!$B$32,0)))*(1-IF(AND(ArtifactsInput!$M$27,Inputs!$B$4="Chapter Hunt"),CHOOSE(ArtifactsInput!$N$27+1,20,24,28,32,36,40),0)/100)))))/Skills!H10,1)))/Inputs!$B$43),G960*Q960)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960*(1-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960*(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960*(1-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960*(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60">
        <f>IF(C960,(H960*N960*IF(AND(Inputs!$B$38&lt;&gt;"pvp",Inputs!$B$43&gt;0),((Skills!G10*((R960-1)*IF(Skills!H10&gt;0,Skills!I10/Skills!H10,1)+IF(Skills!H10&gt;0,MIN(Skills!I10,MAX(0,MAX(0,Inputs!$B$43-B988)-((R960-1)*(IF(Inputs!$B$38="pvp",15,MAX(0.1,Skills!E10-IF(Skills!F10=TRUE,Inputs!$B$32,0)))*(1-IF(AND(ArtifactsInput!$M$27,Inputs!$B$4="Chapter Hunt"),CHOOSE(ArtifactsInput!$N$27+1,20,24,28,32,36,40),0)/100)))))/Skills!H10,1)))/Inputs!$B$43),G960*Q960)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1">
      <c r="A961">
        <f>Skills!A11</f>
        <v/>
      </c>
      <c r="B961">
        <f>Skills!B11</f>
        <v/>
      </c>
      <c r="C961">
        <f>TRUE</f>
        <v/>
      </c>
      <c r="D961">
        <f>IF(Skills!C11=1,60+Inputs!$B$25+Inputs!$B$29,IF(Skills!C11=2,90+Inputs!$B$26+Inputs!$B$29,IF(Skills!C11=3,120+Inputs!$B$27+Inputs!$B$29,MAX(0,(Inputs!$B$3-100)*3)+Inputs!$B$28+Inputs!$B$29)))</f>
        <v/>
      </c>
      <c r="E961">
        <f>INDEX(FactorTable!$B$2:$Y$301, MATCH(ROUND(MIN(300,MAX(1,D961)),0), FactorTable!$A$2:$A$301,0), Skills!M11+1)</f>
        <v/>
      </c>
      <c r="F961">
        <f>IF(Skills!N11=TRUE,(Skills!L11/10)*(E961/1000),Skills!L11/10)+Skills!O11</f>
        <v/>
      </c>
      <c r="G961">
        <f>Calc!G11</f>
        <v/>
      </c>
      <c r="H961">
        <f>Calc!H11</f>
        <v/>
      </c>
      <c r="I961">
        <f>IF(Skills!X11&lt;&gt;"",1+(Skills!X11/10)*(Z953/1000)/100,1)</f>
        <v/>
      </c>
      <c r="J961" t="inlineStr"/>
      <c r="K961" t="inlineStr"/>
      <c r="L961" t="inlineStr"/>
      <c r="M961" t="inlineStr"/>
      <c r="N961" t="inlineStr"/>
      <c r="O961">
        <f>(1-Summary!$B$11)*S961+Summary!$B$11*U961</f>
        <v/>
      </c>
      <c r="P961">
        <f>IF(B991=0,0,O961/B991)</f>
        <v/>
      </c>
      <c r="Q961">
        <f>IFERROR(1/(IF(Inputs!$B$38="pvp",15,MAX(0.1,Skills!E11-IF(Skills!F11=TRUE,Inputs!$B$32,0)))*(1-IF(AND(ArtifactsInput!$M$27,Inputs!$B$4="Chapter Hunt"),CHOOSE(ArtifactsInput!$N$27+1,20,24,28,32,36,40),0)/100)),0)</f>
        <v/>
      </c>
      <c r="R961" t="n">
        <v>0</v>
      </c>
      <c r="S961" t="n">
        <v>0</v>
      </c>
      <c r="U961" t="n">
        <v>0</v>
      </c>
    </row>
    <row r="962">
      <c r="A962">
        <f>Skills!A12</f>
        <v/>
      </c>
      <c r="B962">
        <f>Skills!B12</f>
        <v/>
      </c>
      <c r="C962">
        <f>TRUE</f>
        <v/>
      </c>
      <c r="D962">
        <f>IF(Skills!C12=1,60+Inputs!$B$25+Inputs!$B$29,IF(Skills!C12=2,90+Inputs!$B$26+Inputs!$B$29,IF(Skills!C12=3,120+Inputs!$B$27+Inputs!$B$29,MAX(0,(Inputs!$B$3-100)*3)+Inputs!$B$28+Inputs!$B$29)))</f>
        <v/>
      </c>
      <c r="E962">
        <f>INDEX(FactorTable!$B$2:$Y$301, MATCH(ROUND(MIN(300,MAX(1,D962)),0), FactorTable!$A$2:$A$301,0), Skills!M12+1)</f>
        <v/>
      </c>
      <c r="F962">
        <f>IF(Skills!N12=TRUE,(Skills!L12/10)*(E962/1000),Skills!L12/10)+Skills!O12</f>
        <v/>
      </c>
      <c r="G962">
        <f>Calc!G12</f>
        <v/>
      </c>
      <c r="H962">
        <f>Calc!H12</f>
        <v/>
      </c>
      <c r="I962">
        <f>IF(Skills!X12&lt;&gt;"",1+(Skills!X12/10)*(Z953/1000)/100,1)</f>
        <v/>
      </c>
      <c r="J962" t="inlineStr"/>
      <c r="K962" t="inlineStr"/>
      <c r="L962" t="inlineStr"/>
      <c r="M962" t="inlineStr"/>
      <c r="N962" t="inlineStr"/>
      <c r="O962">
        <f>(1-Summary!$B$11)*S962+Summary!$B$11*U962</f>
        <v/>
      </c>
      <c r="P962">
        <f>IF(B991=0,0,O962/B991)</f>
        <v/>
      </c>
      <c r="Q962">
        <f>IFERROR(1/(IF(Inputs!$B$38="pvp",15,MAX(0.1,Skills!E12-IF(Skills!F12=TRUE,Inputs!$B$32,0)))*(1-IF(AND(ArtifactsInput!$M$27,Inputs!$B$4="Chapter Hunt"),CHOOSE(ArtifactsInput!$N$27+1,20,24,28,32,36,40),0)/100)),0)</f>
        <v/>
      </c>
      <c r="R962" t="n">
        <v>0</v>
      </c>
      <c r="S962" t="n">
        <v>0</v>
      </c>
      <c r="U962" t="n">
        <v>0</v>
      </c>
    </row>
    <row r="963">
      <c r="A963">
        <f>Skills!A13</f>
        <v/>
      </c>
      <c r="B963">
        <f>Skills!B13</f>
        <v/>
      </c>
      <c r="C963">
        <f>Inputs!$B$3&gt;=105</f>
        <v/>
      </c>
      <c r="D963">
        <f>IF(Skills!C13=1,60+Inputs!$B$25+Inputs!$B$29,IF(Skills!C13=2,90+Inputs!$B$26+Inputs!$B$29,IF(Skills!C13=3,120+Inputs!$B$27+Inputs!$B$29,MAX(0,(Inputs!$B$3-100)*3)+Inputs!$B$28+Inputs!$B$29)))</f>
        <v/>
      </c>
      <c r="E963">
        <f>INDEX(FactorTable!$B$2:$Y$301, MATCH(ROUND(MIN(300,MAX(1,D963)),0), FactorTable!$A$2:$A$301,0), Skills!M13+1)</f>
        <v/>
      </c>
      <c r="F963">
        <f>IF(Skills!N13=TRUE,(Skills!L13/10)*(E963/1000),Skills!L13/10)+Skills!O13</f>
        <v/>
      </c>
      <c r="G963">
        <f>Calc!G13</f>
        <v/>
      </c>
      <c r="H963">
        <f>Calc!H13</f>
        <v/>
      </c>
      <c r="I963">
        <f>IF(Skills!X13&lt;&gt;"",1+(Skills!X13/10)*(Z953/1000)/100,1)</f>
        <v/>
      </c>
      <c r="J963">
        <f>(((Inputs!$B$6+1)*(1+Inputs!$B$7/100))+(((Inputs!$B$12*(1+Inputs!$B$13/100))-(Inputs!$B$12*(1+Inputs!$B$13/100)))+0.25*(Inputs!$B$14-Inputs!$B$14))*(1+Inputs!$B$7/100))*(F963/100)</f>
        <v/>
      </c>
      <c r="K963">
        <f>J963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963)</f>
        <v/>
      </c>
      <c r="L963">
        <f>K963*(MIN(Inputs!$B$22+(F972-Calc!F22),(Inputs!$B$23+(IF(ArtifactsInput!$M$15,CHOOSE(ArtifactsInput!$N$15+1,25,30,35,40,45,50)/100*(Inputs!$B$11-Inputs!$B$11),0))))/100+(Inputs!$B$23+(IF(ArtifactsInput!$M$15,CHOOSE(ArtifactsInput!$N$15+1,25,30,35,40,45,50)/100*(Inputs!$B$11-Inputs!$B$11),0)))/100)/2</f>
        <v/>
      </c>
      <c r="M963">
        <f>L963*(1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3">
        <f>L963*(1-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963*(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3">
        <f>(1-Summary!$B$11)*S963+Summary!$B$11*U963</f>
        <v/>
      </c>
      <c r="P963">
        <f>IF(B991=0,0,O963/B991)</f>
        <v/>
      </c>
      <c r="Q963">
        <f>IFERROR(1/(IF(Inputs!$B$38="pvp",15,MAX(0.1,Skills!E13-IF(Skills!F13=TRUE,Inputs!$B$32,0)))*(1-IF(AND(ArtifactsInput!$M$27,Inputs!$B$4="Chapter Hunt"),CHOOSE(ArtifactsInput!$N$27+1,20,24,28,32,36,40),0)/100)),0)</f>
        <v/>
      </c>
      <c r="R963">
        <f>IF(AND(Inputs!$B$38&lt;&gt;"pvp",Inputs!$B$43&gt;0),IF(MAX(0,Inputs!$B$43-B988)&lt;=0,0,(INT(MAX(0,Inputs!$B$43-B988)/(IF(Inputs!$B$38="pvp",15,MAX(0.1,Skills!E13-IF(Skills!F13=TRUE,Inputs!$B$32,0)))*(1-IF(AND(ArtifactsInput!$M$27,Inputs!$B$4="Chapter Hunt"),CHOOSE(ArtifactsInput!$N$27+1,20,24,28,32,36,40),0)/100)))+1)),0)</f>
        <v/>
      </c>
      <c r="S963">
        <f>IF(C963,(H963*N963*IF(AND(Inputs!$B$38&lt;&gt;"pvp",Inputs!$B$43&gt;0),((Skills!G13*((R963-1)*IF(Skills!H13&gt;0,Skills!I13/Skills!H13,1)+IF(Skills!H13&gt;0,MIN(Skills!I13,MAX(0,MAX(0,Inputs!$B$43-B988)-((R963-1)*(IF(Inputs!$B$38="pvp",15,MAX(0.1,Skills!E13-IF(Skills!F13=TRUE,Inputs!$B$32,0)))*(1-IF(AND(ArtifactsInput!$M$27,Inputs!$B$4="Chapter Hunt"),CHOOSE(ArtifactsInput!$N$27+1,20,24,28,32,36,40),0)/100)))))/Skills!H13,1)))/Inputs!$B$43),G963*Q963)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963*(1-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963*(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963*(1-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963*(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63">
        <f>IF(C963,(H963*N963*IF(AND(Inputs!$B$38&lt;&gt;"pvp",Inputs!$B$43&gt;0),((Skills!G13*((R963-1)*IF(Skills!H13&gt;0,Skills!I13/Skills!H13,1)+IF(Skills!H13&gt;0,MIN(Skills!I13,MAX(0,MAX(0,Inputs!$B$43-B988)-((R963-1)*(IF(Inputs!$B$38="pvp",15,MAX(0.1,Skills!E13-IF(Skills!F13=TRUE,Inputs!$B$32,0)))*(1-IF(AND(ArtifactsInput!$M$27,Inputs!$B$4="Chapter Hunt"),CHOOSE(ArtifactsInput!$N$27+1,20,24,28,32,36,40),0)/100)))))/Skills!H13,1)))/Inputs!$B$43),G963*Q963)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4">
      <c r="A964">
        <f>Skills!A14</f>
        <v/>
      </c>
      <c r="B964">
        <f>Skills!B14</f>
        <v/>
      </c>
      <c r="C964">
        <f>Inputs!$B$3&gt;=113</f>
        <v/>
      </c>
      <c r="D964">
        <f>IF(Skills!C14=1,60+Inputs!$B$25+Inputs!$B$29,IF(Skills!C14=2,90+Inputs!$B$26+Inputs!$B$29,IF(Skills!C14=3,120+Inputs!$B$27+Inputs!$B$29,MAX(0,(Inputs!$B$3-100)*3)+Inputs!$B$28+Inputs!$B$29)))</f>
        <v/>
      </c>
      <c r="E964">
        <f>INDEX(FactorTable!$B$2:$Y$301, MATCH(ROUND(MIN(300,MAX(1,D964)),0), FactorTable!$A$2:$A$301,0), Skills!M14+1)</f>
        <v/>
      </c>
      <c r="F964">
        <f>IF(Skills!N14=TRUE,(Skills!L14/10)*(E964/1000),Skills!L14/10)+Skills!O14</f>
        <v/>
      </c>
      <c r="G964">
        <f>Calc!G14</f>
        <v/>
      </c>
      <c r="H964">
        <f>Calc!H14</f>
        <v/>
      </c>
      <c r="I964">
        <f>IF(Skills!X14&lt;&gt;"",1+(Skills!X14/10)*(Z953/1000)/100,1)</f>
        <v/>
      </c>
      <c r="J964">
        <f>(((Inputs!$B$6+1)*(1+Inputs!$B$7/100))+(((Inputs!$B$12*(1+Inputs!$B$13/100))-(Inputs!$B$12*(1+Inputs!$B$13/100)))+0.25*(Inputs!$B$14-Inputs!$B$14))*(1+Inputs!$B$7/100))*(F964/100)</f>
        <v/>
      </c>
      <c r="K964">
        <f>J964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964)</f>
        <v/>
      </c>
      <c r="L964">
        <f>K964*(MIN(Inputs!$B$22+(F972-Calc!F22),(Inputs!$B$23+(IF(ArtifactsInput!$M$15,CHOOSE(ArtifactsInput!$N$15+1,25,30,35,40,45,50)/100*(Inputs!$B$11-Inputs!$B$11),0))))/100+(Inputs!$B$23+(IF(ArtifactsInput!$M$15,CHOOSE(ArtifactsInput!$N$15+1,25,30,35,40,45,50)/100*(Inputs!$B$11-Inputs!$B$11),0)))/100)/2</f>
        <v/>
      </c>
      <c r="M964">
        <f>L964*(1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4">
        <f>L964*(1-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964*(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4">
        <f>(1-Summary!$B$11)*S964+Summary!$B$11*U964</f>
        <v/>
      </c>
      <c r="P964">
        <f>IF(B991=0,0,O964/B991)</f>
        <v/>
      </c>
      <c r="Q964">
        <f>IFERROR(1/(IF(Inputs!$B$38="pvp",15,MAX(0.1,Skills!E14-IF(Skills!F14=TRUE,Inputs!$B$32,0)))*(1-IF(AND(ArtifactsInput!$M$27,Inputs!$B$4="Chapter Hunt"),CHOOSE(ArtifactsInput!$N$27+1,20,24,28,32,36,40),0)/100)),0)</f>
        <v/>
      </c>
      <c r="R964" t="n">
        <v>0</v>
      </c>
      <c r="S964">
        <f>IF(C964,((H964*B987)/(1+Skills!H14*H964*B987)*N964)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964*(1-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964*(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964*(1-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964*(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64">
        <f>IF(C964,((H964*B987)/(1+Skills!H14*H964*B987)*N964)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5">
      <c r="A965">
        <f>Skills!A15</f>
        <v/>
      </c>
      <c r="B965">
        <f>Skills!B15</f>
        <v/>
      </c>
      <c r="C965">
        <f>Inputs!$B$3&gt;=107</f>
        <v/>
      </c>
      <c r="D965">
        <f>IF(Skills!C15=1,60+Inputs!$B$25+Inputs!$B$29,IF(Skills!C15=2,90+Inputs!$B$26+Inputs!$B$29,IF(Skills!C15=3,120+Inputs!$B$27+Inputs!$B$29,MAX(0,(Inputs!$B$3-100)*3)+Inputs!$B$28+Inputs!$B$29)))</f>
        <v/>
      </c>
      <c r="E965">
        <f>INDEX(FactorTable!$B$2:$Y$301, MATCH(ROUND(MIN(300,MAX(1,D965)),0), FactorTable!$A$2:$A$301,0), Skills!M15+1)</f>
        <v/>
      </c>
      <c r="F965">
        <f>IF(Skills!N15=TRUE,(Skills!L15/10)*(E965/1000),Skills!L15/10)+Skills!O15</f>
        <v/>
      </c>
      <c r="G965">
        <f>Calc!G15</f>
        <v/>
      </c>
      <c r="H965">
        <f>Calc!H15</f>
        <v/>
      </c>
      <c r="I965">
        <f>IF(Skills!X15&lt;&gt;"",1+(Skills!X15/10)*(Z953/1000)/100,1)</f>
        <v/>
      </c>
      <c r="J965">
        <f>(((Inputs!$B$6+1)*(1+Inputs!$B$7/100))+(((Inputs!$B$12*(1+Inputs!$B$13/100))-(Inputs!$B$12*(1+Inputs!$B$13/100)))+0.25*(Inputs!$B$14-Inputs!$B$14))*(1+Inputs!$B$7/100))*(F965/100)</f>
        <v/>
      </c>
      <c r="K965">
        <f>J965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965)</f>
        <v/>
      </c>
      <c r="L965">
        <f>K965*(MIN(Inputs!$B$22+(F972-Calc!F22),(Inputs!$B$23+(IF(ArtifactsInput!$M$15,CHOOSE(ArtifactsInput!$N$15+1,25,30,35,40,45,50)/100*(Inputs!$B$11-Inputs!$B$11),0))))/100+(Inputs!$B$23+(IF(ArtifactsInput!$M$15,CHOOSE(ArtifactsInput!$N$15+1,25,30,35,40,45,50)/100*(Inputs!$B$11-Inputs!$B$11),0)))/100)/2</f>
        <v/>
      </c>
      <c r="M965">
        <f>L965*(1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5">
        <f>L965*(1-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965*(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5">
        <f>(1-Summary!$B$11)*S965+Summary!$B$11*U965</f>
        <v/>
      </c>
      <c r="P965">
        <f>IF(B991=0,0,O965/B991)</f>
        <v/>
      </c>
      <c r="Q965">
        <f>IFERROR(1/(IF(Inputs!$B$38="pvp",15,MAX(0.1,Skills!E15-IF(Skills!F15=TRUE,Inputs!$B$32,0)))*(1-IF(AND(ArtifactsInput!$M$27,Inputs!$B$4="Chapter Hunt"),CHOOSE(ArtifactsInput!$N$27+1,20,24,28,32,36,40),0)/100)),0)</f>
        <v/>
      </c>
      <c r="R965">
        <f>IF(AND(Inputs!$B$38&lt;&gt;"pvp",Inputs!$B$43&gt;0),IF(MAX(0,Inputs!$B$43-B988)&lt;=0,0,(INT(MAX(0,Inputs!$B$43-B988)/(IF(Inputs!$B$38="pvp",15,MAX(0.1,Skills!E15-IF(Skills!F15=TRUE,Inputs!$B$32,0)))*(1-IF(AND(ArtifactsInput!$M$27,Inputs!$B$4="Chapter Hunt"),CHOOSE(ArtifactsInput!$N$27+1,20,24,28,32,36,40),0)/100)))+1)),0)</f>
        <v/>
      </c>
      <c r="S965">
        <f>IF(C965,(H965*N965*IF(AND(Inputs!$B$38&lt;&gt;"pvp",Inputs!$B$43&gt;0),((Skills!G15*((R965-1)*IF(Skills!H15&gt;0,Skills!I15/Skills!H15,1)+IF(Skills!H15&gt;0,MIN(Skills!I15,MAX(0,MAX(0,Inputs!$B$43-B988)-((R965-1)*(IF(Inputs!$B$38="pvp",15,MAX(0.1,Skills!E15-IF(Skills!F15=TRUE,Inputs!$B$32,0)))*(1-IF(AND(ArtifactsInput!$M$27,Inputs!$B$4="Chapter Hunt"),CHOOSE(ArtifactsInput!$N$27+1,20,24,28,32,36,40),0)/100)))))/Skills!H15,1)))/Inputs!$B$43),G965*Q965)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965*(1-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965*(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965*(1-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965*(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65">
        <f>IF(C965,(H965*N965*IF(AND(Inputs!$B$38&lt;&gt;"pvp",Inputs!$B$43&gt;0),((Skills!G15*((R965-1)*IF(Skills!H15&gt;0,Skills!I15/Skills!H15,1)+IF(Skills!H15&gt;0,MIN(Skills!I15,MAX(0,MAX(0,Inputs!$B$43-B988)-((R965-1)*(IF(Inputs!$B$38="pvp",15,MAX(0.1,Skills!E15-IF(Skills!F15=TRUE,Inputs!$B$32,0)))*(1-IF(AND(ArtifactsInput!$M$27,Inputs!$B$4="Chapter Hunt"),CHOOSE(ArtifactsInput!$N$27+1,20,24,28,32,36,40),0)/100)))))/Skills!H15,1)))/Inputs!$B$43),G965*Q965)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6">
      <c r="A966">
        <f>Skills!A16</f>
        <v/>
      </c>
      <c r="B966">
        <f>Skills!B16</f>
        <v/>
      </c>
      <c r="C966">
        <f>Inputs!$B$3&gt;=107</f>
        <v/>
      </c>
      <c r="D966">
        <f>IF(Skills!C16=1,60+Inputs!$B$25+Inputs!$B$29,IF(Skills!C16=2,90+Inputs!$B$26+Inputs!$B$29,IF(Skills!C16=3,120+Inputs!$B$27+Inputs!$B$29,MAX(0,(Inputs!$B$3-100)*3)+Inputs!$B$28+Inputs!$B$29)))</f>
        <v/>
      </c>
      <c r="E966">
        <f>INDEX(FactorTable!$B$2:$Y$301, MATCH(ROUND(MIN(300,MAX(1,D966)),0), FactorTable!$A$2:$A$301,0), Skills!M16+1)</f>
        <v/>
      </c>
      <c r="F966">
        <f>IF(Skills!N16=TRUE,(Skills!L16/10)*(E966/1000),Skills!L16/10)+Skills!O16</f>
        <v/>
      </c>
      <c r="G966">
        <f>Calc!G16</f>
        <v/>
      </c>
      <c r="H966">
        <f>Calc!H16</f>
        <v/>
      </c>
      <c r="I966">
        <f>IF(Skills!X16&lt;&gt;"",1+(Skills!X16/10)*(Z953/1000)/100,1)</f>
        <v/>
      </c>
      <c r="J966">
        <f>(((Inputs!$B$6+1)*(1+Inputs!$B$7/100))+(((Inputs!$B$12*(1+Inputs!$B$13/100))-(Inputs!$B$12*(1+Inputs!$B$13/100)))+0.25*(Inputs!$B$14-Inputs!$B$14))*(1+Inputs!$B$7/100))*(F966/100)</f>
        <v/>
      </c>
      <c r="K966">
        <f>J966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966)</f>
        <v/>
      </c>
      <c r="L966">
        <f>K966*(MIN(Inputs!$B$22+(F972-Calc!F22),(Inputs!$B$23+(IF(ArtifactsInput!$M$15,CHOOSE(ArtifactsInput!$N$15+1,25,30,35,40,45,50)/100*(Inputs!$B$11-Inputs!$B$11),0))))/100+(Inputs!$B$23+(IF(ArtifactsInput!$M$15,CHOOSE(ArtifactsInput!$N$15+1,25,30,35,40,45,50)/100*(Inputs!$B$11-Inputs!$B$11),0)))/100)/2</f>
        <v/>
      </c>
      <c r="M966">
        <f>L966*(1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6">
        <f>L966*(1-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966*(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6">
        <f>(1-Summary!$B$11)*S966+Summary!$B$11*U966</f>
        <v/>
      </c>
      <c r="P966">
        <f>IF(B991=0,0,O966/B991)</f>
        <v/>
      </c>
      <c r="Q966">
        <f>IFERROR(1/(IF(Inputs!$B$38="pvp",15,MAX(0.1,Skills!E16-IF(Skills!F16=TRUE,Inputs!$B$32,0)))*(1-IF(AND(ArtifactsInput!$M$27,Inputs!$B$4="Chapter Hunt"),CHOOSE(ArtifactsInput!$N$27+1,20,24,28,32,36,40),0)/100)),0)</f>
        <v/>
      </c>
      <c r="R966">
        <f>IF(AND(Inputs!$B$38&lt;&gt;"pvp",Inputs!$B$43&gt;0),IF(MAX(0,Inputs!$B$43-B988)&lt;=0,0,(INT(MAX(0,Inputs!$B$43-B988)/(IF(Inputs!$B$38="pvp",15,MAX(0.1,Skills!E16-IF(Skills!F16=TRUE,Inputs!$B$32,0)))*(1-IF(AND(ArtifactsInput!$M$27,Inputs!$B$4="Chapter Hunt"),CHOOSE(ArtifactsInput!$N$27+1,20,24,28,32,36,40),0)/100)))+1)),0)</f>
        <v/>
      </c>
      <c r="S966">
        <f>IF(C966,(H966*N966*IF(AND(Inputs!$B$38&lt;&gt;"pvp",Inputs!$B$43&gt;0),((Skills!G16*((R966-1)*IF(Skills!H16&gt;0,Skills!I16/Skills!H16,1)+IF(Skills!H16&gt;0,MIN(Skills!I16,MAX(0,MAX(0,Inputs!$B$43-B988)-((R966-1)*(IF(Inputs!$B$38="pvp",15,MAX(0.1,Skills!E16-IF(Skills!F16=TRUE,Inputs!$B$32,0)))*(1-IF(AND(ArtifactsInput!$M$27,Inputs!$B$4="Chapter Hunt"),CHOOSE(ArtifactsInput!$N$27+1,20,24,28,32,36,40),0)/100)))))/Skills!H16,1)))/Inputs!$B$43),G966*Q966)*(1+IF(Inputs!$B$3&gt;=126,0.05*(B986+Q963+(H964*B987)/(1+Skills!H14*H964*B987)+Q974)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966*(1-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966*(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966*(1-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966*(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66">
        <f>IF(C966,(H966*N966*IF(AND(Inputs!$B$38&lt;&gt;"pvp",Inputs!$B$43&gt;0),((Skills!G16*((R966-1)*IF(Skills!H16&gt;0,Skills!I16/Skills!H16,1)+IF(Skills!H16&gt;0,MIN(Skills!I16,MAX(0,MAX(0,Inputs!$B$43-B988)-((R966-1)*(IF(Inputs!$B$38="pvp",15,MAX(0.1,Skills!E16-IF(Skills!F16=TRUE,Inputs!$B$32,0)))*(1-IF(AND(ArtifactsInput!$M$27,Inputs!$B$4="Chapter Hunt"),CHOOSE(ArtifactsInput!$N$27+1,20,24,28,32,36,40),0)/100)))))/Skills!H16,1)))/Inputs!$B$43),G966*Q966)*(1+IF(Inputs!$B$3&gt;=126,0.05*(B986+Q963+(H964*B987)/(1+Skills!H14*H964*B987)+Q974)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7">
      <c r="A967">
        <f>Skills!A17</f>
        <v/>
      </c>
      <c r="B967">
        <f>Skills!B17</f>
        <v/>
      </c>
      <c r="C967">
        <f>TRUE</f>
        <v/>
      </c>
      <c r="D967">
        <f>IF(Skills!C17=1,60+Inputs!$B$25+Inputs!$B$29,IF(Skills!C17=2,90+Inputs!$B$26+Inputs!$B$29,IF(Skills!C17=3,120+Inputs!$B$27+Inputs!$B$29,MAX(0,(Inputs!$B$3-100)*3)+Inputs!$B$28+Inputs!$B$29)))</f>
        <v/>
      </c>
      <c r="E967">
        <f>INDEX(FactorTable!$B$2:$Y$301, MATCH(ROUND(MIN(300,MAX(1,D967)),0), FactorTable!$A$2:$A$301,0), Skills!M17+1)</f>
        <v/>
      </c>
      <c r="F967">
        <f>IF(Skills!N17=TRUE,(Skills!L17/10)*(E967/1000),Skills!L17/10)+Skills!O17</f>
        <v/>
      </c>
      <c r="G967">
        <f>Calc!G17</f>
        <v/>
      </c>
      <c r="H967">
        <f>Calc!H17</f>
        <v/>
      </c>
      <c r="I967">
        <f>IF(Skills!X17&lt;&gt;"",1+(Skills!X17/10)*(Z953/1000)/100,1)</f>
        <v/>
      </c>
      <c r="J967" t="inlineStr"/>
      <c r="K967" t="inlineStr"/>
      <c r="L967" t="inlineStr"/>
      <c r="M967" t="inlineStr"/>
      <c r="N967" t="inlineStr"/>
      <c r="O967">
        <f>(1-Summary!$B$11)*S967+Summary!$B$11*U967</f>
        <v/>
      </c>
      <c r="P967">
        <f>IF(B991=0,0,O967/B991)</f>
        <v/>
      </c>
      <c r="Q967">
        <f>IFERROR(1/(IF(Inputs!$B$38="pvp",15,MAX(0.1,Skills!E17-IF(Skills!F17=TRUE,Inputs!$B$32,0)))*(1-IF(AND(ArtifactsInput!$M$27,Inputs!$B$4="Chapter Hunt"),CHOOSE(ArtifactsInput!$N$27+1,20,24,28,32,36,40),0)/100)),0)</f>
        <v/>
      </c>
      <c r="R967">
        <f>IF(AND(Inputs!$B$38&lt;&gt;"pvp",Inputs!$B$43&gt;0),IF(Inputs!$B$43&lt;=0,0,(INT(Inputs!$B$43/(IF(Inputs!$B$38="pvp",15,MAX(0.1,Skills!E17-IF(Skills!F17=TRUE,Inputs!$B$32,0)))*(1-IF(AND(ArtifactsInput!$M$27,Inputs!$B$4="Chapter Hunt"),CHOOSE(ArtifactsInput!$N$27+1,20,24,28,32,36,40),0)/100)))+1)),0)</f>
        <v/>
      </c>
      <c r="S967" t="n">
        <v>0</v>
      </c>
      <c r="U967" t="n">
        <v>0</v>
      </c>
    </row>
    <row r="968">
      <c r="A968">
        <f>Skills!A18</f>
        <v/>
      </c>
      <c r="B968">
        <f>Skills!B18</f>
        <v/>
      </c>
      <c r="C968">
        <f>TRUE</f>
        <v/>
      </c>
      <c r="D968">
        <f>IF(Skills!C18=1,60+Inputs!$B$25+Inputs!$B$29,IF(Skills!C18=2,90+Inputs!$B$26+Inputs!$B$29,IF(Skills!C18=3,120+Inputs!$B$27+Inputs!$B$29,MAX(0,(Inputs!$B$3-100)*3)+Inputs!$B$28+Inputs!$B$29)))</f>
        <v/>
      </c>
      <c r="E968">
        <f>INDEX(FactorTable!$B$2:$Y$301, MATCH(ROUND(MIN(300,MAX(1,D968)),0), FactorTable!$A$2:$A$301,0), Skills!M18+1)</f>
        <v/>
      </c>
      <c r="F968">
        <f>IF(Skills!N18=TRUE,(Skills!L18/10)*(E968/1000),Skills!L18/10)+Skills!O18</f>
        <v/>
      </c>
      <c r="G968">
        <f>Calc!G18</f>
        <v/>
      </c>
      <c r="H968">
        <f>Calc!H18</f>
        <v/>
      </c>
      <c r="I968">
        <f>IF(Skills!X18&lt;&gt;"",1+(Skills!X18/10)*(Z953/1000)/100,1)</f>
        <v/>
      </c>
      <c r="J968" t="inlineStr"/>
      <c r="K968" t="inlineStr"/>
      <c r="L968" t="inlineStr"/>
      <c r="M968" t="inlineStr"/>
      <c r="N968" t="inlineStr"/>
      <c r="O968">
        <f>(1-Summary!$B$11)*S968+Summary!$B$11*U968</f>
        <v/>
      </c>
      <c r="P968">
        <f>IF(B991=0,0,O968/B991)</f>
        <v/>
      </c>
      <c r="Q968">
        <f>IFERROR(1/(IF(Inputs!$B$38="pvp",15,MAX(0.1,Skills!E18-IF(Skills!F18=TRUE,Inputs!$B$32,0)))*(1-IF(AND(ArtifactsInput!$M$27,Inputs!$B$4="Chapter Hunt"),CHOOSE(ArtifactsInput!$N$27+1,20,24,28,32,36,40),0)/100)),0)</f>
        <v/>
      </c>
      <c r="R968">
        <f>IF(AND(Inputs!$B$38&lt;&gt;"pvp",Inputs!$B$43&gt;0),IF(Inputs!$B$43&lt;=0,0,(INT(Inputs!$B$43/(IF(Inputs!$B$38="pvp",15,MAX(0.1,Skills!E18-IF(Skills!F18=TRUE,Inputs!$B$32,0)))*(1-IF(AND(ArtifactsInput!$M$27,Inputs!$B$4="Chapter Hunt"),CHOOSE(ArtifactsInput!$N$27+1,20,24,28,32,36,40),0)/100)))+1)),0)</f>
        <v/>
      </c>
      <c r="S968" t="n">
        <v>0</v>
      </c>
      <c r="U968" t="n">
        <v>0</v>
      </c>
    </row>
    <row r="969">
      <c r="A969">
        <f>Skills!A19</f>
        <v/>
      </c>
      <c r="B969">
        <f>Skills!B19</f>
        <v/>
      </c>
      <c r="C969">
        <f>Inputs!$B$3&gt;=110</f>
        <v/>
      </c>
      <c r="D969">
        <f>IF(Skills!C19=1,60+Inputs!$B$25+Inputs!$B$29,IF(Skills!C19=2,90+Inputs!$B$26+Inputs!$B$29,IF(Skills!C19=3,120+Inputs!$B$27+Inputs!$B$29,MAX(0,(Inputs!$B$3-100)*3)+Inputs!$B$28+Inputs!$B$29)))</f>
        <v/>
      </c>
      <c r="E969">
        <f>INDEX(FactorTable!$B$2:$Y$301, MATCH(ROUND(MIN(300,MAX(1,D969)),0), FactorTable!$A$2:$A$301,0), Skills!M19+1)</f>
        <v/>
      </c>
      <c r="F969">
        <f>IF(Skills!N19=TRUE,(Skills!L19/10)*(E969/1000),Skills!L19/10)+Skills!O19</f>
        <v/>
      </c>
      <c r="G969">
        <f>Calc!G19</f>
        <v/>
      </c>
      <c r="H969">
        <f>Calc!H19</f>
        <v/>
      </c>
      <c r="I969">
        <f>IF(Skills!X19&lt;&gt;"",1+(Skills!X19/10)*(Z953/1000)/100,1)</f>
        <v/>
      </c>
      <c r="J969" t="inlineStr"/>
      <c r="K969" t="inlineStr"/>
      <c r="L969" t="inlineStr"/>
      <c r="M969" t="inlineStr"/>
      <c r="N969" t="inlineStr"/>
      <c r="O969">
        <f>(1-Summary!$B$11)*S969+Summary!$B$11*U969</f>
        <v/>
      </c>
      <c r="P969">
        <f>IF(B991=0,0,O969/B991)</f>
        <v/>
      </c>
      <c r="Q969">
        <f>IFERROR(1/(IF(Inputs!$B$38="pvp",15,MAX(0.1,Skills!E19-IF(Skills!F19=TRUE,Inputs!$B$32,0)))*(1-IF(AND(ArtifactsInput!$M$27,Inputs!$B$4="Chapter Hunt"),CHOOSE(ArtifactsInput!$N$27+1,20,24,28,32,36,40),0)/100)),0)</f>
        <v/>
      </c>
      <c r="R969">
        <f>IF(AND(Inputs!$B$38&lt;&gt;"pvp",Inputs!$B$43&gt;0),IF(Inputs!$B$43&lt;=0,0,(INT(Inputs!$B$43/(IF(Inputs!$B$38="pvp",15,MAX(0.1,Skills!E19-IF(Skills!F19=TRUE,Inputs!$B$32,0)))*(1-IF(AND(ArtifactsInput!$M$27,Inputs!$B$4="Chapter Hunt"),CHOOSE(ArtifactsInput!$N$27+1,20,24,28,32,36,40),0)/100)))+1)),0)</f>
        <v/>
      </c>
      <c r="S969" t="n">
        <v>0</v>
      </c>
      <c r="U969" t="n">
        <v>0</v>
      </c>
    </row>
    <row r="970">
      <c r="A970">
        <f>Skills!A20</f>
        <v/>
      </c>
      <c r="B970">
        <f>Skills!B20</f>
        <v/>
      </c>
      <c r="C970">
        <f>TRUE</f>
        <v/>
      </c>
      <c r="D970">
        <f>IF(Skills!C20=1,60+Inputs!$B$25+Inputs!$B$29,IF(Skills!C20=2,90+Inputs!$B$26+Inputs!$B$29,IF(Skills!C20=3,120+Inputs!$B$27+Inputs!$B$29,MAX(0,(Inputs!$B$3-100)*3)+Inputs!$B$28+Inputs!$B$29)))</f>
        <v/>
      </c>
      <c r="E970">
        <f>INDEX(FactorTable!$B$2:$Y$301, MATCH(ROUND(MIN(300,MAX(1,D970)),0), FactorTable!$A$2:$A$301,0), Skills!M20+1)</f>
        <v/>
      </c>
      <c r="F970">
        <f>IF(Skills!N20=TRUE,(Skills!L20/10)*(E970/1000),Skills!L20/10)+Skills!O20</f>
        <v/>
      </c>
      <c r="G970">
        <f>Calc!G20</f>
        <v/>
      </c>
      <c r="H970">
        <f>Calc!H20</f>
        <v/>
      </c>
      <c r="I970">
        <f>IF(Skills!X20&lt;&gt;"",1+(Skills!X20/10)*(Z953/1000)/100,1)</f>
        <v/>
      </c>
      <c r="J970" t="inlineStr"/>
      <c r="K970" t="inlineStr"/>
      <c r="L970" t="inlineStr"/>
      <c r="M970" t="inlineStr"/>
      <c r="N970" t="inlineStr"/>
      <c r="O970">
        <f>(1-Summary!$B$11)*S970+Summary!$B$11*U970</f>
        <v/>
      </c>
      <c r="P970">
        <f>IF(B991=0,0,O970/B991)</f>
        <v/>
      </c>
      <c r="Q970">
        <f>IFERROR(1/(IF(Inputs!$B$38="pvp",15,MAX(0.1,Skills!E20-IF(Skills!F20=TRUE,Inputs!$B$32,0)))*(1-IF(AND(ArtifactsInput!$M$27,Inputs!$B$4="Chapter Hunt"),CHOOSE(ArtifactsInput!$N$27+1,20,24,28,32,36,40),0)/100)),0)</f>
        <v/>
      </c>
      <c r="R970" t="n">
        <v>0</v>
      </c>
      <c r="S970" t="n">
        <v>0</v>
      </c>
      <c r="U970" t="n">
        <v>0</v>
      </c>
    </row>
    <row r="971">
      <c r="A971">
        <f>Skills!A21</f>
        <v/>
      </c>
      <c r="B971">
        <f>Skills!B21</f>
        <v/>
      </c>
      <c r="C971">
        <f>TRUE</f>
        <v/>
      </c>
      <c r="D971">
        <f>IF(Skills!C21=1,60+Inputs!$B$25+Inputs!$B$29,IF(Skills!C21=2,90+Inputs!$B$26+Inputs!$B$29,IF(Skills!C21=3,120+Inputs!$B$27+Inputs!$B$29,MAX(0,(Inputs!$B$3-100)*3)+Inputs!$B$28+Inputs!$B$29)))</f>
        <v/>
      </c>
      <c r="E971">
        <f>INDEX(FactorTable!$B$2:$Y$301, MATCH(ROUND(MIN(300,MAX(1,D971)),0), FactorTable!$A$2:$A$301,0), Skills!M21+1)</f>
        <v/>
      </c>
      <c r="F971">
        <f>IF(Skills!N21=TRUE,(Skills!L21/10)*(E971/1000),Skills!L21/10)+Skills!O21</f>
        <v/>
      </c>
      <c r="G971">
        <f>Calc!G21</f>
        <v/>
      </c>
      <c r="H971">
        <f>Calc!H21</f>
        <v/>
      </c>
      <c r="I971">
        <f>IF(Skills!X21&lt;&gt;"",1+(Skills!X21/10)*(Z953/1000)/100,1)</f>
        <v/>
      </c>
      <c r="J971" t="inlineStr"/>
      <c r="K971" t="inlineStr"/>
      <c r="L971" t="inlineStr"/>
      <c r="M971" t="inlineStr"/>
      <c r="N971" t="inlineStr"/>
      <c r="O971">
        <f>(1-Summary!$B$11)*S971+Summary!$B$11*U971</f>
        <v/>
      </c>
      <c r="P971">
        <f>IF(B991=0,0,O971/B991)</f>
        <v/>
      </c>
      <c r="Q971">
        <f>IFERROR(1/(IF(Inputs!$B$38="pvp",15,MAX(0.1,Skills!E21-IF(Skills!F21=TRUE,Inputs!$B$32,0)))*(1-IF(AND(ArtifactsInput!$M$27,Inputs!$B$4="Chapter Hunt"),CHOOSE(ArtifactsInput!$N$27+1,20,24,28,32,36,40),0)/100)),0)</f>
        <v/>
      </c>
      <c r="R971" t="n">
        <v>0</v>
      </c>
      <c r="S971" t="n">
        <v>0</v>
      </c>
      <c r="U971" t="n">
        <v>0</v>
      </c>
    </row>
    <row r="972">
      <c r="A972">
        <f>Skills!A22</f>
        <v/>
      </c>
      <c r="B972">
        <f>Skills!B22</f>
        <v/>
      </c>
      <c r="C972">
        <f>TRUE</f>
        <v/>
      </c>
      <c r="D972">
        <f>IF(Skills!C22=1,60+Inputs!$B$25+Inputs!$B$29,IF(Skills!C22=2,90+Inputs!$B$26+Inputs!$B$29,IF(Skills!C22=3,120+Inputs!$B$27+Inputs!$B$29,MAX(0,(Inputs!$B$3-100)*3)+Inputs!$B$28+Inputs!$B$29)))</f>
        <v/>
      </c>
      <c r="E972">
        <f>INDEX(FactorTable!$B$2:$Y$301, MATCH(ROUND(MIN(300,MAX(1,D972)),0), FactorTable!$A$2:$A$301,0), Skills!M22+1)</f>
        <v/>
      </c>
      <c r="F972">
        <f>IF(Skills!N22=TRUE,(Skills!L22/10)*(E972/1000),Skills!L22/10)+Skills!O22</f>
        <v/>
      </c>
      <c r="G972">
        <f>Calc!G22</f>
        <v/>
      </c>
      <c r="H972">
        <f>Calc!H22</f>
        <v/>
      </c>
      <c r="I972">
        <f>IF(Skills!X22&lt;&gt;"",1+(Skills!X22/10)*(Z953/1000)/100,1)</f>
        <v/>
      </c>
      <c r="J972" t="inlineStr"/>
      <c r="K972" t="inlineStr"/>
      <c r="L972" t="inlineStr"/>
      <c r="M972" t="inlineStr"/>
      <c r="N972" t="inlineStr"/>
      <c r="O972">
        <f>(1-Summary!$B$11)*S972+Summary!$B$11*U972</f>
        <v/>
      </c>
      <c r="P972">
        <f>IF(B991=0,0,O972/B991)</f>
        <v/>
      </c>
      <c r="Q972">
        <f>IFERROR(1/(IF(Inputs!$B$38="pvp",15,MAX(0.1,Skills!E22-IF(Skills!F22=TRUE,Inputs!$B$32,0)))*(1-IF(AND(ArtifactsInput!$M$27,Inputs!$B$4="Chapter Hunt"),CHOOSE(ArtifactsInput!$N$27+1,20,24,28,32,36,40),0)/100)),0)</f>
        <v/>
      </c>
      <c r="R972" t="n">
        <v>0</v>
      </c>
      <c r="S972" t="n">
        <v>0</v>
      </c>
      <c r="U972" t="n">
        <v>0</v>
      </c>
    </row>
    <row r="973">
      <c r="A973">
        <f>Skills!A23</f>
        <v/>
      </c>
      <c r="B973">
        <f>Skills!B23</f>
        <v/>
      </c>
      <c r="C973">
        <f>TRUE</f>
        <v/>
      </c>
      <c r="D973">
        <f>IF(Skills!C23=1,60+Inputs!$B$25+Inputs!$B$29,IF(Skills!C23=2,90+Inputs!$B$26+Inputs!$B$29,IF(Skills!C23=3,120+Inputs!$B$27+Inputs!$B$29,MAX(0,(Inputs!$B$3-100)*3)+Inputs!$B$28+Inputs!$B$29)))</f>
        <v/>
      </c>
      <c r="E973">
        <f>INDEX(FactorTable!$B$2:$Y$301, MATCH(ROUND(MIN(300,MAX(1,D973)),0), FactorTable!$A$2:$A$301,0), Skills!M23+1)</f>
        <v/>
      </c>
      <c r="F973">
        <f>IF(Skills!N23=TRUE,(Skills!L23/10)*(E973/1000),Skills!L23/10)+Skills!O23</f>
        <v/>
      </c>
      <c r="G973">
        <f>Calc!G23</f>
        <v/>
      </c>
      <c r="H973">
        <f>Calc!H23</f>
        <v/>
      </c>
      <c r="I973">
        <f>IF(Skills!X23&lt;&gt;"",1+(Skills!X23/10)*(Z953/1000)/100,1)</f>
        <v/>
      </c>
      <c r="J973" t="inlineStr"/>
      <c r="K973" t="inlineStr"/>
      <c r="L973" t="inlineStr"/>
      <c r="M973" t="inlineStr"/>
      <c r="N973" t="inlineStr"/>
      <c r="O973">
        <f>(1-Summary!$B$11)*S973+Summary!$B$11*U973</f>
        <v/>
      </c>
      <c r="P973">
        <f>IF(B991=0,0,O973/B991)</f>
        <v/>
      </c>
      <c r="Q973">
        <f>IFERROR(1/(IF(Inputs!$B$38="pvp",15,MAX(0.1,Skills!E23-IF(Skills!F23=TRUE,Inputs!$B$32,0)))*(1-IF(AND(ArtifactsInput!$M$27,Inputs!$B$4="Chapter Hunt"),CHOOSE(ArtifactsInput!$N$27+1,20,24,28,32,36,40),0)/100)),0)</f>
        <v/>
      </c>
      <c r="R973" t="n">
        <v>0</v>
      </c>
      <c r="S973" t="n">
        <v>0</v>
      </c>
      <c r="U973" t="n">
        <v>0</v>
      </c>
    </row>
    <row r="974">
      <c r="A974">
        <f>Skills!A24</f>
        <v/>
      </c>
      <c r="B974">
        <f>Skills!B24</f>
        <v/>
      </c>
      <c r="C974">
        <f>Inputs!$B$3&gt;=115</f>
        <v/>
      </c>
      <c r="D974">
        <f>IF(Skills!C24=1,60+Inputs!$B$25+Inputs!$B$29,IF(Skills!C24=2,90+Inputs!$B$26+Inputs!$B$29,IF(Skills!C24=3,120+Inputs!$B$27+Inputs!$B$29,MAX(0,(Inputs!$B$3-100)*3)+Inputs!$B$28+Inputs!$B$29)))</f>
        <v/>
      </c>
      <c r="E974">
        <f>INDEX(FactorTable!$B$2:$Y$301, MATCH(ROUND(MIN(300,MAX(1,D974)),0), FactorTable!$A$2:$A$301,0), Skills!M24+1)</f>
        <v/>
      </c>
      <c r="F974">
        <f>IF(Skills!N24=TRUE,(Skills!L24/10)*(E974/1000),Skills!L24/10)+Skills!O24</f>
        <v/>
      </c>
      <c r="G974">
        <f>Calc!G24</f>
        <v/>
      </c>
      <c r="H974">
        <f>Calc!H24</f>
        <v/>
      </c>
      <c r="I974">
        <f>IF(Skills!X24&lt;&gt;"",1+(Skills!X24/10)*(Z953/1000)/100,1)</f>
        <v/>
      </c>
      <c r="J974">
        <f>(((Inputs!$B$6+1)*(1+Inputs!$B$7/100))+(((Inputs!$B$12*(1+Inputs!$B$13/100))-(Inputs!$B$12*(1+Inputs!$B$13/100)))+0.25*(Inputs!$B$14-Inputs!$B$14))*(1+Inputs!$B$7/100))*(F974/100)</f>
        <v/>
      </c>
      <c r="K974">
        <f>J974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974)</f>
        <v/>
      </c>
      <c r="L974">
        <f>K974*(MIN(Inputs!$B$22+(F972-Calc!F22),(Inputs!$B$23+(IF(ArtifactsInput!$M$15,CHOOSE(ArtifactsInput!$N$15+1,25,30,35,40,45,50)/100*(Inputs!$B$11-Inputs!$B$11),0))))/100+(Inputs!$B$23+(IF(ArtifactsInput!$M$15,CHOOSE(ArtifactsInput!$N$15+1,25,30,35,40,45,50)/100*(Inputs!$B$11-Inputs!$B$11),0)))/100)/2</f>
        <v/>
      </c>
      <c r="M974">
        <f>L974*(1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4">
        <f>L974*(1-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974*(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4">
        <f>(1-Summary!$B$11)*S974+Summary!$B$11*U974</f>
        <v/>
      </c>
      <c r="P974">
        <f>IF(B991=0,0,O974/B991)</f>
        <v/>
      </c>
      <c r="Q974">
        <f>IFERROR(1/(IF(Inputs!$B$38="pvp",15,MAX(0.1,Skills!E24-IF(Skills!F24=TRUE,Inputs!$B$32,0)))*(1-IF(AND(ArtifactsInput!$M$27,Inputs!$B$4="Chapter Hunt"),CHOOSE(ArtifactsInput!$N$27+1,20,24,28,32,36,40),0)/100)),0)</f>
        <v/>
      </c>
      <c r="R974">
        <f>IF(AND(Inputs!$B$38&lt;&gt;"pvp",Inputs!$B$43&gt;0),IF(MAX(0,Inputs!$B$43-B988)&lt;=0,0,(INT(MAX(0,Inputs!$B$43-B988)/(IF(Inputs!$B$38="pvp",15,MAX(0.1,Skills!E24-IF(Skills!F24=TRUE,Inputs!$B$32,0)))*(1-IF(AND(ArtifactsInput!$M$27,Inputs!$B$4="Chapter Hunt"),CHOOSE(ArtifactsInput!$N$27+1,20,24,28,32,36,40),0)/100)))+1)),0)</f>
        <v/>
      </c>
      <c r="S974">
        <f>IF(C974,(H974*N974*IF(AND(Inputs!$B$38&lt;&gt;"pvp",Inputs!$B$43&gt;0),((Skills!G24*((R974-1)*IF(Skills!H24&gt;0,Skills!I24/Skills!H24,1)+IF(Skills!H24&gt;0,MIN(Skills!I24,MAX(0,MAX(0,Inputs!$B$43-B988)-((R974-1)*(IF(Inputs!$B$38="pvp",15,MAX(0.1,Skills!E24-IF(Skills!F24=TRUE,Inputs!$B$32,0)))*(1-IF(AND(ArtifactsInput!$M$27,Inputs!$B$4="Chapter Hunt"),CHOOSE(ArtifactsInput!$N$27+1,20,24,28,32,36,40),0)/100)))))/Skills!H24,1)))/Inputs!$B$43),G974*Q974)*(1+IF(Inputs!$B$3&gt;=130,0.2*(Skills!I16/Skills!E15+IF(Inputs!$B$3&gt;=126,0.05*(B986+Q963+(H964*B987)/(1+Skills!H14*H964*B987)+Q974)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974*(1-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974*(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974*(1-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974*(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4">
        <f>IF(C974,(H974*N974*IF(AND(Inputs!$B$38&lt;&gt;"pvp",Inputs!$B$43&gt;0),((Skills!G24*((R974-1)*IF(Skills!H24&gt;0,Skills!I24/Skills!H24,1)+IF(Skills!H24&gt;0,MIN(Skills!I24,MAX(0,MAX(0,Inputs!$B$43-B988)-((R974-1)*(IF(Inputs!$B$38="pvp",15,MAX(0.1,Skills!E24-IF(Skills!F24=TRUE,Inputs!$B$32,0)))*(1-IF(AND(ArtifactsInput!$M$27,Inputs!$B$4="Chapter Hunt"),CHOOSE(ArtifactsInput!$N$27+1,20,24,28,32,36,40),0)/100)))))/Skills!H24,1)))/Inputs!$B$43),G974*Q974)*(1+IF(Inputs!$B$3&gt;=130,0.2*(Skills!I16/Skills!E15+IF(Inputs!$B$3&gt;=126,0.05*(B986+Q963+(H964*B987)/(1+Skills!H14*H964*B987)+Q974)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5">
      <c r="A975">
        <f>Skills!A25</f>
        <v/>
      </c>
      <c r="B975">
        <f>Skills!B25</f>
        <v/>
      </c>
      <c r="C975">
        <f>Inputs!$B$3&gt;=117</f>
        <v/>
      </c>
      <c r="D975">
        <f>IF(Skills!C25=1,60+Inputs!$B$25+Inputs!$B$29,IF(Skills!C25=2,90+Inputs!$B$26+Inputs!$B$29,IF(Skills!C25=3,120+Inputs!$B$27+Inputs!$B$29,MAX(0,(Inputs!$B$3-100)*3)+Inputs!$B$28+Inputs!$B$29)))</f>
        <v/>
      </c>
      <c r="E975">
        <f>INDEX(FactorTable!$B$2:$Y$301, MATCH(ROUND(MIN(300,MAX(1,D975)),0), FactorTable!$A$2:$A$301,0), Skills!M25+1)</f>
        <v/>
      </c>
      <c r="F975">
        <f>IF(Skills!N25=TRUE,(Skills!L25/10)*(E975/1000),Skills!L25/10)+Skills!O25</f>
        <v/>
      </c>
      <c r="G975">
        <f>Calc!G25</f>
        <v/>
      </c>
      <c r="H975">
        <f>Calc!H25</f>
        <v/>
      </c>
      <c r="I975">
        <f>IF(Skills!X25&lt;&gt;"",1+(Skills!X25/10)*(Z953/1000)/100,1)</f>
        <v/>
      </c>
      <c r="J975" t="inlineStr"/>
      <c r="K975" t="inlineStr"/>
      <c r="L975" t="inlineStr"/>
      <c r="M975" t="inlineStr"/>
      <c r="N975" t="inlineStr"/>
      <c r="O975">
        <f>(1-Summary!$B$11)*S975+Summary!$B$11*U975</f>
        <v/>
      </c>
      <c r="P975">
        <f>IF(B991=0,0,O975/B991)</f>
        <v/>
      </c>
      <c r="Q975">
        <f>IFERROR(1/(IF(Inputs!$B$38="pvp",15,MAX(0.1,Skills!E25-IF(Skills!F25=TRUE,Inputs!$B$32,0)))*(1-IF(AND(ArtifactsInput!$M$27,Inputs!$B$4="Chapter Hunt"),CHOOSE(ArtifactsInput!$N$27+1,20,24,28,32,36,40),0)/100)),0)</f>
        <v/>
      </c>
      <c r="R975" t="n">
        <v>0</v>
      </c>
      <c r="S975" t="n">
        <v>0</v>
      </c>
      <c r="U975" t="n">
        <v>0</v>
      </c>
    </row>
    <row r="976">
      <c r="A976">
        <f>Skills!A26</f>
        <v/>
      </c>
      <c r="B976">
        <f>Skills!B26</f>
        <v/>
      </c>
      <c r="C976">
        <f>Inputs!$B$3&gt;=120</f>
        <v/>
      </c>
      <c r="D976">
        <f>IF(Skills!C26=1,60+Inputs!$B$25+Inputs!$B$29,IF(Skills!C26=2,90+Inputs!$B$26+Inputs!$B$29,IF(Skills!C26=3,120+Inputs!$B$27+Inputs!$B$29,MAX(0,(Inputs!$B$3-100)*3)+Inputs!$B$28+Inputs!$B$29)))</f>
        <v/>
      </c>
      <c r="E976">
        <f>INDEX(FactorTable!$B$2:$Y$301, MATCH(ROUND(MIN(300,MAX(1,D976)),0), FactorTable!$A$2:$A$301,0), Skills!M26+1)</f>
        <v/>
      </c>
      <c r="F976">
        <f>IF(Skills!N26=TRUE,(Skills!L26/10)*(E976/1000),Skills!L26/10)+Skills!O26</f>
        <v/>
      </c>
      <c r="G976">
        <f>Calc!G26</f>
        <v/>
      </c>
      <c r="H976">
        <f>Calc!H26</f>
        <v/>
      </c>
      <c r="I976">
        <f>IF(Skills!X26&lt;&gt;"",1+(Skills!X26/10)*(Z953/1000)/100,1)</f>
        <v/>
      </c>
      <c r="J976" t="inlineStr"/>
      <c r="K976" t="inlineStr"/>
      <c r="L976" t="inlineStr"/>
      <c r="M976" t="inlineStr"/>
      <c r="N976" t="inlineStr"/>
      <c r="O976">
        <f>(1-Summary!$B$11)*S976+Summary!$B$11*U976</f>
        <v/>
      </c>
      <c r="P976">
        <f>IF(B991=0,0,O976/B991)</f>
        <v/>
      </c>
      <c r="Q976">
        <f>IFERROR(1/(IF(Inputs!$B$38="pvp",15,MAX(0.1,Skills!E26-IF(Skills!F26=TRUE,Inputs!$B$32,0)))*(1-IF(AND(ArtifactsInput!$M$27,Inputs!$B$4="Chapter Hunt"),CHOOSE(ArtifactsInput!$N$27+1,20,24,28,32,36,40),0)/100)),0)</f>
        <v/>
      </c>
      <c r="R976" t="n">
        <v>0</v>
      </c>
      <c r="S976" t="n">
        <v>0</v>
      </c>
      <c r="U976" t="n">
        <v>0</v>
      </c>
    </row>
    <row r="977">
      <c r="A977">
        <f>Skills!A27</f>
        <v/>
      </c>
      <c r="B977">
        <f>Skills!B27</f>
        <v/>
      </c>
      <c r="C977">
        <f>Inputs!$B$3&gt;=125</f>
        <v/>
      </c>
      <c r="D977">
        <f>IF(Skills!C27=1,60+Inputs!$B$25+Inputs!$B$29,IF(Skills!C27=2,90+Inputs!$B$26+Inputs!$B$29,IF(Skills!C27=3,120+Inputs!$B$27+Inputs!$B$29,MAX(0,(Inputs!$B$3-100)*3)+Inputs!$B$28+Inputs!$B$29)))</f>
        <v/>
      </c>
      <c r="E977">
        <f>INDEX(FactorTable!$B$2:$Y$301, MATCH(ROUND(MIN(300,MAX(1,D977)),0), FactorTable!$A$2:$A$301,0), Skills!M27+1)</f>
        <v/>
      </c>
      <c r="F977">
        <f>IF(Skills!N27=TRUE,(Skills!L27/10)*(E977/1000),Skills!L27/10)+Skills!O27</f>
        <v/>
      </c>
      <c r="G977">
        <f>Calc!G27</f>
        <v/>
      </c>
      <c r="H977">
        <f>Calc!H27</f>
        <v/>
      </c>
      <c r="I977">
        <f>IF(Skills!X27&lt;&gt;"",1+(Skills!X27/10)*(Z953/1000)/100,1)</f>
        <v/>
      </c>
      <c r="J977" t="inlineStr"/>
      <c r="K977" t="inlineStr"/>
      <c r="L977" t="inlineStr"/>
      <c r="M977" t="inlineStr"/>
      <c r="N977" t="inlineStr"/>
      <c r="O977">
        <f>(1-Summary!$B$11)*S977+Summary!$B$11*U977</f>
        <v/>
      </c>
      <c r="P977">
        <f>IF(B991=0,0,O977/B991)</f>
        <v/>
      </c>
      <c r="Q977">
        <f>IFERROR(1/(IF(Inputs!$B$38="pvp",15,MAX(0.1,Skills!E27-IF(Skills!F27=TRUE,Inputs!$B$32,0)))*(1-IF(AND(ArtifactsInput!$M$27,Inputs!$B$4="Chapter Hunt"),CHOOSE(ArtifactsInput!$N$27+1,20,24,28,32,36,40),0)/100)),0)</f>
        <v/>
      </c>
      <c r="R977" t="n">
        <v>0</v>
      </c>
      <c r="S977" t="n">
        <v>0</v>
      </c>
      <c r="U977" t="n">
        <v>0</v>
      </c>
    </row>
    <row r="978">
      <c r="A978">
        <f>Skills!A28</f>
        <v/>
      </c>
      <c r="B978">
        <f>Skills!B28</f>
        <v/>
      </c>
      <c r="C978">
        <f>Inputs!$B$3&gt;=118</f>
        <v/>
      </c>
      <c r="D978">
        <f>IF(Skills!C28=1,60+Inputs!$B$25+Inputs!$B$29,IF(Skills!C28=2,90+Inputs!$B$26+Inputs!$B$29,IF(Skills!C28=3,120+Inputs!$B$27+Inputs!$B$29,MAX(0,(Inputs!$B$3-100)*3)+Inputs!$B$28+Inputs!$B$29)))</f>
        <v/>
      </c>
      <c r="E978">
        <f>INDEX(FactorTable!$B$2:$Y$301, MATCH(ROUND(MIN(300,MAX(1,D978)),0), FactorTable!$A$2:$A$301,0), Skills!M28+1)</f>
        <v/>
      </c>
      <c r="F978">
        <f>IF(Skills!N28=TRUE,(Skills!L28/10)*(E978/1000),Skills!L28/10)+Skills!O28</f>
        <v/>
      </c>
      <c r="G978">
        <f>Calc!G28</f>
        <v/>
      </c>
      <c r="H978">
        <f>Calc!H28</f>
        <v/>
      </c>
      <c r="I978">
        <f>IF(Skills!X28&lt;&gt;"",1+(Skills!X28/10)*(Z953/1000)/100,1)</f>
        <v/>
      </c>
      <c r="J978">
        <f>(((Inputs!$B$6+1)*(1+Inputs!$B$7/100))+(((Inputs!$B$12*(1+Inputs!$B$13/100))-(Inputs!$B$12*(1+Inputs!$B$13/100)))+0.25*(Inputs!$B$14-Inputs!$B$14))*(1+Inputs!$B$7/100))*(F978/100)</f>
        <v/>
      </c>
      <c r="K978">
        <f>J978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973/100)*(1+IF(Inputs!$B$3&gt;=120,F976,0)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977*5,0)))/100)*(B980*B981*B982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978)</f>
        <v/>
      </c>
      <c r="L978">
        <f>K978*(MIN(Inputs!$B$22+(F972-Calc!F22),(Inputs!$B$23+(IF(ArtifactsInput!$M$15,CHOOSE(ArtifactsInput!$N$15+1,25,30,35,40,45,50)/100*(Inputs!$B$11-Inputs!$B$11),0))))/100+(Inputs!$B$23+(IF(ArtifactsInput!$M$15,CHOOSE(ArtifactsInput!$N$15+1,25,30,35,40,45,50)/100*(Inputs!$B$11-Inputs!$B$11),0)))/100)/2</f>
        <v/>
      </c>
      <c r="M978">
        <f>L978*(1+(Inputs!$B$10+(F971-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8">
        <f>L978*(1-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978*(MIN((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8">
        <f>(1-Summary!$B$11)*S978+Summary!$B$11*U978</f>
        <v/>
      </c>
      <c r="P978">
        <f>IF(B991=0,0,O978/B991)</f>
        <v/>
      </c>
      <c r="Q978">
        <f>IFERROR(1/(IF(Inputs!$B$38="pvp",15,MAX(0.1,Skills!E28-IF(Skills!F28=TRUE,Inputs!$B$32,0)))*(1-IF(AND(ArtifactsInput!$M$27,Inputs!$B$4="Chapter Hunt"),CHOOSE(ArtifactsInput!$N$27+1,20,24,28,32,36,40),0)/100)),0)</f>
        <v/>
      </c>
      <c r="R978">
        <f>IF(AND(Inputs!$B$38&lt;&gt;"pvp",Inputs!$B$43&gt;0),IF(MAX(0,Inputs!$B$43-B988)&lt;=0,0,(INT(MAX(0,Inputs!$B$43-B988)/(IF(Inputs!$B$38="pvp",15,MAX(0.1,Skills!E28-IF(Skills!F28=TRUE,Inputs!$B$32,0)))*(1-IF(AND(ArtifactsInput!$M$27,Inputs!$B$4="Chapter Hunt"),CHOOSE(ArtifactsInput!$N$27+1,20,24,28,32,36,40),0)/100)))+1)),0)</f>
        <v/>
      </c>
      <c r="S978">
        <f>IF(C978,(H978*N978*IF(AND(Inputs!$B$38&lt;&gt;"pvp",Inputs!$B$43&gt;0),((Skills!G28*((R978-1)*IF(Skills!H28&gt;0,Skills!I28/Skills!H28,1)+IF(Skills!H28&gt;0,MIN(Skills!I28,MAX(0,MAX(0,Inputs!$B$43-B988)-((R978-1)*(IF(Inputs!$B$38="pvp",15,MAX(0.1,Skills!E28-IF(Skills!F28=TRUE,Inputs!$B$32,0)))*(1-IF(AND(ArtifactsInput!$M$27,Inputs!$B$4="Chapter Hunt"),CHOOSE(ArtifactsInput!$N$27+1,20,24,28,32,36,40),0)/100)))))/Skills!H28,1)))/Inputs!$B$43),G978*Q978)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978*(1-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978*(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978*(1-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978*(MIN(100,(Inputs!$B$9+(F970-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8">
        <f>IF(C978,(H978*N978*IF(AND(Inputs!$B$38&lt;&gt;"pvp",Inputs!$B$43&gt;0),((Skills!G28*((R978-1)*IF(Skills!H28&gt;0,Skills!I28/Skills!H28,1)+IF(Skills!H28&gt;0,MIN(Skills!I28,MAX(0,MAX(0,Inputs!$B$43-B988)-((R978-1)*(IF(Inputs!$B$38="pvp",15,MAX(0.1,Skills!E28-IF(Skills!F28=TRUE,Inputs!$B$32,0)))*(1-IF(AND(ArtifactsInput!$M$27,Inputs!$B$4="Chapter Hunt"),CHOOSE(ArtifactsInput!$N$27+1,20,24,28,32,36,40),0)/100)))))/Skills!H28,1)))/Inputs!$B$43),G978*Q978)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0">
      <c r="A980" t="inlineStr">
        <is>
          <t>Burning Magic Multiplier</t>
        </is>
      </c>
      <c r="B980">
        <f>1+(F961*Skills!Z11)/100</f>
        <v/>
      </c>
    </row>
    <row r="981">
      <c r="A981" t="inlineStr">
        <is>
          <t>Elemental Decrease Multiplier (always-on)</t>
        </is>
      </c>
      <c r="B981">
        <f>1+(F962+(IF(AND(ArtifactsInput!$M$35,Inputs!$B$4&lt;&gt;"Chapter Hunt"),CHOOSE(ArtifactsInput!$N$35+1,15,18,21,24,27,30)*(1-EXP(-(0.2*B984)*5)),0)+IF(AND(ArtifactsInput!$M$22,Inputs!$B$4&lt;&gt;"Chapter Hunt"),CHOOSE(ArtifactsInput!$N$22+1,10,12,14,16,18,20)*((0*(((0.15*B984*5))^0/1)+1*(((0.15*B984*5))^1/1)+2*(((0.15*B984*5))^2/2)+3*(((0.15*B984*5))^3/6)+4*(((0.15*B984*5))^4/24)+5*(((0.15*B984*5))^5/120))/((((0.15*B984*5))^0/1)+(((0.15*B984*5))^1/1)+(((0.15*B984*5))^2/2)+(((0.15*B984*5))^3/6)+(((0.15*B984*5))^4/24)+(((0.15*B984*5))^5/120))),0)))/100</f>
        <v/>
      </c>
    </row>
    <row r="982">
      <c r="A982" t="inlineStr">
        <is>
          <t>Average Buff Multiplier (Magic Guard + Meditation + Artifact Attack%, summed; then Infinity)</t>
        </is>
      </c>
      <c r="B982">
        <f>(1+(F956*IF(AND(Inputs!$B$38&lt;&gt;"pvp",Inputs!$B$43&gt;0),(((R956-1)*(Skills!T6*(1+((Inputs!$B$34+(ArtifactsInput!$M$7-ArtifactsInput!$M$7)*CHOOSE(ArtifactsInput!$N$7+1,6,7.2,8.4,9.6,10.8,12)))/100))+MIN((Skills!T6*(1+((Inputs!$B$34+(ArtifactsInput!$M$7-ArtifactsInput!$M$7)*CHOOSE(ArtifactsInput!$N$7+1,6,7.2,8.4,9.6,10.8,12)))/100)),MAX(0,Inputs!$B$43-((R956-1)*Skills!E6))))/Inputs!$B$43),IF(Inputs!$B$38="pvp",MIN((Skills!T6*(1+((Inputs!$B$34+(ArtifactsInput!$M$7-ArtifactsInput!$M$7)*CHOOSE(ArtifactsInput!$N$7+1,6,7.2,8.4,9.6,10.8,12)))/100)),15)/15,(Skills!T6*(1+((Inputs!$B$34+(ArtifactsInput!$M$7-ArtifactsInput!$M$7)*CHOOSE(ArtifactsInput!$N$7+1,6,7.2,8.4,9.6,10.8,12)))/100))/Skills!E6))+F967*IF(AND(Inputs!$B$38&lt;&gt;"pvp",Inputs!$B$43&gt;0),(((R967-1)*(Skills!T17*(1+((Inputs!$B$34+(ArtifactsInput!$M$7-ArtifactsInput!$M$7)*CHOOSE(ArtifactsInput!$N$7+1,6,7.2,8.4,9.6,10.8,12)))/100))+MIN((Skills!T17*(1+((Inputs!$B$34+(ArtifactsInput!$M$7-ArtifactsInput!$M$7)*CHOOSE(ArtifactsInput!$N$7+1,6,7.2,8.4,9.6,10.8,12)))/100)),MAX(0,Inputs!$B$43-((R967-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969=TRUE,(1+F969*IF(AND(Inputs!$B$38&lt;&gt;"pvp",Inputs!$B$43&gt;0),(((R969-1)*(Skills!T19*(1+((Inputs!$B$34+(ArtifactsInput!$M$7-ArtifactsInput!$M$7)*CHOOSE(ArtifactsInput!$N$7+1,6,7.2,8.4,9.6,10.8,12)))/100))+MIN((Skills!T19*(1+((Inputs!$B$34+(ArtifactsInput!$M$7-ArtifactsInput!$M$7)*CHOOSE(ArtifactsInput!$N$7+1,6,7.2,8.4,9.6,10.8,12)))/100)),MAX(0,Inputs!$B$43-((R969-1)*Skills!E19))))/Inputs!$B$43),IF(Inputs!$B$38="pvp",MIN((Skills!T19*(1+((Inputs!$B$34+(ArtifactsInput!$M$7-ArtifactsInput!$M$7)*CHOOSE(ArtifactsInput!$N$7+1,6,7.2,8.4,9.6,10.8,12)))/100)),15)/15,(Skills!T19*(1+((Inputs!$B$34+(ArtifactsInput!$M$7-ArtifactsInput!$M$7)*CHOOSE(ArtifactsInput!$N$7+1,6,7.2,8.4,9.6,10.8,12)))/100))/Skills!E19))/100),1)</f>
        <v/>
      </c>
    </row>
    <row r="983">
      <c r="A983" t="inlineStr">
        <is>
          <t>Attack Speed Buff Bonus % (Nimble Feet, averaged)</t>
        </is>
      </c>
      <c r="B983">
        <f>F968*IF(AND(Inputs!$B$38&lt;&gt;"pvp",Inputs!$B$43&gt;0),(((R968-1)*(Skills!T18*(1+((Inputs!$B$34+(ArtifactsInput!$M$7-ArtifactsInput!$M$7)*CHOOSE(ArtifactsInput!$N$7+1,6,7.2,8.4,9.6,10.8,12)))/100))+MIN((Skills!T18*(1+((Inputs!$B$34+(ArtifactsInput!$M$7-ArtifactsInput!$M$7)*CHOOSE(ArtifactsInput!$N$7+1,6,7.2,8.4,9.6,10.8,12)))/100)),MAX(0,Inputs!$B$43-((R968-1)*Skills!E18))))/Inputs!$B$43),IF(Inputs!$B$38="pvp",MIN((Skills!T18*(1+((Inputs!$B$34+(ArtifactsInput!$M$7-ArtifactsInput!$M$7)*CHOOSE(ArtifactsInput!$N$7+1,6,7.2,8.4,9.6,10.8,12)))/100)),15)/15,(Skills!T18*(1+((Inputs!$B$34+(ArtifactsInput!$M$7-ArtifactsInput!$M$7)*CHOOSE(ArtifactsInput!$N$7+1,6,7.2,8.4,9.6,10.8,12)))/100))/Skills!E18))</f>
        <v/>
      </c>
    </row>
    <row r="984">
      <c r="A984" t="inlineStr">
        <is>
          <t>Actions Per Second</t>
        </is>
      </c>
      <c r="B984">
        <f>1+MIN(150,150*(1-(1-(Inputs!$B$11+(ArtifactsInput!$M$15-ArtifactsInput!$M$15)*CHOOSE(ArtifactsInput!$N$15+1,8,9.6,11.2,12.8,14.4,16))/150)*(1-B983/150)))/100</f>
        <v/>
      </c>
    </row>
    <row r="985">
      <c r="A985" t="inlineStr">
        <is>
          <t>Skill + Buff Cast Rate</t>
        </is>
      </c>
      <c r="B985">
        <f>IF(AND(Inputs!$B$38&lt;&gt;"pvp",Inputs!$B$43&gt;0),SUMPRODUCT((Skills!F2:F28=TRUE)*(C952:C978=TRUE)*R952:R978)/Inputs!$B$43,SUMPRODUCT((Skills!F2:F28=TRUE)*(C952:C978=TRUE)*Q952:Q978))</f>
        <v/>
      </c>
    </row>
    <row r="986">
      <c r="A986" t="inlineStr">
        <is>
          <t>Basic Attacks Per Second</t>
        </is>
      </c>
      <c r="B986">
        <f>MAX(0,B984-B985)</f>
        <v/>
      </c>
    </row>
    <row r="987">
      <c r="A987" t="inlineStr">
        <is>
          <t>Meteor Proc — combined trigger cast rate</t>
        </is>
      </c>
      <c r="B987">
        <f>IF(AND(Inputs!$B$38&lt;&gt;"pvp",Inputs!$B$43&gt;0),SUMPRODUCT((Skills!V2:V28=TRUE)*(C952:C978=TRUE)*R952:R978*Skills!W2:W28)/Inputs!$B$43,SUMPRODUCT((Skills!V2:V28=TRUE)*(C952:C978=TRUE)*Q952:Q978*Skills!W2:W28))+B986</f>
        <v/>
      </c>
    </row>
    <row r="988">
      <c r="A988" t="inlineStr">
        <is>
          <t>Buff-Casting Startup Delay (s, fixed-duration only)</t>
        </is>
      </c>
      <c r="B988">
        <f>IF(AND(Inputs!$B$38&lt;&gt;"pvp",Inputs!$B$43&gt;0),SUMPRODUCT((Skills!T2:T28&gt;0)*(Skills!F2:F28=TRUE)*(C952:C978=TRUE))/B984,0)</f>
        <v/>
      </c>
    </row>
    <row r="989">
      <c r="A989" t="inlineStr">
        <is>
          <t>Boss-Only Total DPS (this block's swept value)</t>
        </is>
      </c>
      <c r="B989">
        <f>SUM(S952:S978)</f>
        <v/>
      </c>
    </row>
    <row r="990">
      <c r="A990" t="inlineStr">
        <is>
          <t>Normal-Only Total DPS (this block's swept value)</t>
        </is>
      </c>
      <c r="B990">
        <f>SUM(U952:U978)</f>
        <v/>
      </c>
    </row>
    <row r="991">
      <c r="A991" s="6" t="inlineStr">
        <is>
          <t>TOTAL DPS</t>
        </is>
      </c>
      <c r="B991" s="6">
        <f>SUM(O952:O978)</f>
        <v/>
      </c>
    </row>
    <row r="994">
      <c r="A994" s="6" t="inlineStr">
        <is>
          <t>Stat: ATTACK %</t>
        </is>
      </c>
    </row>
    <row r="995">
      <c r="A995" s="5" t="inlineStr">
        <is>
          <t>Key</t>
        </is>
      </c>
      <c r="B995" s="5" t="inlineStr">
        <is>
          <t>Name</t>
        </is>
      </c>
      <c r="C995" s="5" t="inlineStr">
        <is>
          <t>Unlocked</t>
        </is>
      </c>
      <c r="D995" s="5" t="inlineStr">
        <is>
          <t>InputLevel</t>
        </is>
      </c>
      <c r="E995" s="5" t="inlineStr">
        <is>
          <t>Factor</t>
        </is>
      </c>
      <c r="F995" s="5" t="inlineStr">
        <is>
          <t>CoefficientPercent</t>
        </is>
      </c>
      <c r="G995" s="5" t="inlineStr">
        <is>
          <t>EffectiveHits</t>
        </is>
      </c>
      <c r="H995" s="5" t="inlineStr">
        <is>
          <t>ProcProbability</t>
        </is>
      </c>
      <c r="I995" s="5" t="inlineStr">
        <is>
          <t>MapleHeroMultiplier</t>
        </is>
      </c>
      <c r="J995" s="5" t="inlineStr">
        <is>
          <t>BaseDamage</t>
        </is>
      </c>
      <c r="K995" s="5" t="inlineStr">
        <is>
          <t>BaseHitDamage</t>
        </is>
      </c>
      <c r="L995" s="5" t="inlineStr">
        <is>
          <t>NonCritAvg</t>
        </is>
      </c>
      <c r="M995" s="5" t="inlineStr">
        <is>
          <t>CritAvg</t>
        </is>
      </c>
      <c r="N995" s="5" t="inlineStr">
        <is>
          <t>ExpectedDamage(perHit)</t>
        </is>
      </c>
      <c r="O995" s="5" t="inlineStr">
        <is>
          <t>DPS</t>
        </is>
      </c>
      <c r="P995" s="5" t="inlineStr">
        <is>
          <t>% of Total</t>
        </is>
      </c>
      <c r="R995" t="inlineStr">
        <is>
          <t>helpers</t>
        </is>
      </c>
    </row>
    <row r="996">
      <c r="A996">
        <f>Skills!A2</f>
        <v/>
      </c>
      <c r="B996">
        <f>Skills!B2</f>
        <v/>
      </c>
      <c r="C996">
        <f>TRUE</f>
        <v/>
      </c>
      <c r="D996" t="inlineStr"/>
      <c r="E996" t="inlineStr"/>
      <c r="F996">
        <f>T998+Skills!O2</f>
        <v/>
      </c>
      <c r="G996">
        <f>Calc!G2</f>
        <v/>
      </c>
      <c r="H996">
        <f>Calc!H2</f>
        <v/>
      </c>
      <c r="I996">
        <f>IF(Skills!X2&lt;&gt;"",1+(Skills!X2/10)*(Z997/1000)/100,1)</f>
        <v/>
      </c>
      <c r="J996">
        <f>((Inputs!$B$6*(1+(Inputs!$B$7+1)/100))+(((Inputs!$B$12*(1+Inputs!$B$13/100))-(Inputs!$B$12*(1+Inputs!$B$13/100)))+0.25*(Inputs!$B$14-Inputs!$B$14))*(1+(Inputs!$B$7+1)/100))*(F996/100)</f>
        <v/>
      </c>
      <c r="K996">
        <f>J996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996)</f>
        <v/>
      </c>
      <c r="L996">
        <f>K996*(MIN(Inputs!$B$22+(F1016-Calc!F22),(Inputs!$B$23+(IF(ArtifactsInput!$M$15,CHOOSE(ArtifactsInput!$N$15+1,25,30,35,40,45,50)/100*(Inputs!$B$11-Inputs!$B$11),0))))/100+(Inputs!$B$23+(IF(ArtifactsInput!$M$15,CHOOSE(ArtifactsInput!$N$15+1,25,30,35,40,45,50)/100*(Inputs!$B$11-Inputs!$B$11),0)))/100)/2</f>
        <v/>
      </c>
      <c r="M996">
        <f>L996*(1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6">
        <f>L996*(1-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996*(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6">
        <f>(1-Summary!$B$11)*S996+Summary!$B$11*U996</f>
        <v/>
      </c>
      <c r="P996">
        <f>IF(B1035=0,0,O996/B1035)</f>
        <v/>
      </c>
      <c r="Q996">
        <f>IFERROR(1/(IF(Inputs!$B$38="pvp",15,MAX(0.1,Skills!E2-IF(Skills!F2=TRUE,Inputs!$B$32,0)))*(1-IF(AND(ArtifactsInput!$M$27,Inputs!$B$4="Chapter Hunt"),CHOOSE(ArtifactsInput!$N$27+1,20,24,28,32,36,40),0)/100)),0)</f>
        <v/>
      </c>
      <c r="R996" t="n">
        <v>0</v>
      </c>
      <c r="S996">
        <f>(Skills!G2*N996*B1030)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996*(1-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996*(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996*(1-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996*(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996">
        <f>MAX(0,(Inputs!$B$3-100)*3)+Inputs!$B$28+Inputs!$B$29</f>
        <v/>
      </c>
      <c r="U996">
        <f>(Skills!G2*N996*B1030)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996">
        <f>MAX(0,(Inputs!$B$3-100)*3)+Inputs!$B$28+Inputs!$B$29</f>
        <v/>
      </c>
    </row>
    <row r="997">
      <c r="A997">
        <f>Skills!A3</f>
        <v/>
      </c>
      <c r="B997">
        <f>Skills!B3</f>
        <v/>
      </c>
      <c r="C997">
        <f>TRUE</f>
        <v/>
      </c>
      <c r="D997">
        <f>IF(Skills!C3=1,60+Inputs!$B$25+Inputs!$B$29,IF(Skills!C3=2,90+Inputs!$B$26+Inputs!$B$29,IF(Skills!C3=3,120+Inputs!$B$27+Inputs!$B$29,MAX(0,(Inputs!$B$3-100)*3)+Inputs!$B$28+Inputs!$B$29)))</f>
        <v/>
      </c>
      <c r="E997">
        <f>INDEX(FactorTable!$B$2:$Y$301, MATCH(ROUND(MIN(300,MAX(1,D997)),0), FactorTable!$A$2:$A$301,0), Skills!M3+1)</f>
        <v/>
      </c>
      <c r="F997">
        <f>IF(Skills!N3=TRUE,(Skills!L3/10)*(E997/1000),Skills!L3/10)+Skills!O3</f>
        <v/>
      </c>
      <c r="G997">
        <f>Calc!G3</f>
        <v/>
      </c>
      <c r="H997">
        <f>Calc!H3</f>
        <v/>
      </c>
      <c r="I997">
        <f>IF(Skills!X3&lt;&gt;"",1+(Skills!X3/10)*(Z997/1000)/100,1)</f>
        <v/>
      </c>
      <c r="J997">
        <f>((Inputs!$B$6*(1+(Inputs!$B$7+1)/100))+(((Inputs!$B$12*(1+Inputs!$B$13/100))-(Inputs!$B$12*(1+Inputs!$B$13/100)))+0.25*(Inputs!$B$14-Inputs!$B$14))*(1+(Inputs!$B$7+1)/100))*(F997/100)</f>
        <v/>
      </c>
      <c r="K997">
        <f>J997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997)</f>
        <v/>
      </c>
      <c r="L997">
        <f>K997*(MIN(Inputs!$B$22+(F1016-Calc!F22),(Inputs!$B$23+(IF(ArtifactsInput!$M$15,CHOOSE(ArtifactsInput!$N$15+1,25,30,35,40,45,50)/100*(Inputs!$B$11-Inputs!$B$11),0))))/100+(Inputs!$B$23+(IF(ArtifactsInput!$M$15,CHOOSE(ArtifactsInput!$N$15+1,25,30,35,40,45,50)/100*(Inputs!$B$11-Inputs!$B$11),0)))/100)/2</f>
        <v/>
      </c>
      <c r="M997">
        <f>L997*(1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7">
        <f>L997*(1-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997*(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7">
        <f>(1-Summary!$B$11)*S997+Summary!$B$11*U997</f>
        <v/>
      </c>
      <c r="P997">
        <f>IF(B1035=0,0,O997/B1035)</f>
        <v/>
      </c>
      <c r="Q997">
        <f>IFERROR(1/(IF(Inputs!$B$38="pvp",15,MAX(0.1,Skills!E3-IF(Skills!F3=TRUE,Inputs!$B$32,0)))*(1-IF(AND(ArtifactsInput!$M$27,Inputs!$B$4="Chapter Hunt"),CHOOSE(ArtifactsInput!$N$27+1,20,24,28,32,36,40),0)/100)),0)</f>
        <v/>
      </c>
      <c r="R997">
        <f>IF(AND(Inputs!$B$38&lt;&gt;"pvp",Inputs!$B$43&gt;0),IF(MAX(0,Inputs!$B$43-B1032)&lt;=0,0,(INT(MAX(0,Inputs!$B$43-B1032)/(IF(Inputs!$B$38="pvp",15,MAX(0.1,Skills!E3-IF(Skills!F3=TRUE,Inputs!$B$32,0)))*(1-IF(AND(ArtifactsInput!$M$27,Inputs!$B$4="Chapter Hunt"),CHOOSE(ArtifactsInput!$N$27+1,20,24,28,32,36,40),0)/100)))+1)),0)</f>
        <v/>
      </c>
      <c r="S997">
        <f>IF(C997,(H997*N997*IF(AND(Inputs!$B$38&lt;&gt;"pvp",Inputs!$B$43&gt;0),((Skills!G3*((R997-1)*IF(Skills!H3&gt;0,Skills!I3/Skills!H3,1)+IF(Skills!H3&gt;0,MIN(Skills!I3,MAX(0,MAX(0,Inputs!$B$43-B1032)-((R997-1)*(IF(Inputs!$B$38="pvp",15,MAX(0.1,Skills!E3-IF(Skills!F3=TRUE,Inputs!$B$32,0)))*(1-IF(AND(ArtifactsInput!$M$27,Inputs!$B$4="Chapter Hunt"),CHOOSE(ArtifactsInput!$N$27+1,20,24,28,32,36,40),0)/100)))))/Skills!H3,1)))/Inputs!$B$43),G997*Q997)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997*(1-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997*(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997*(1-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997*(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97">
        <f>INDEX(FactorTable!$B$2:$Y$301, MATCH(ROUND(MIN(300,MAX(1,T996)),0), FactorTable!$A$2:$A$301,0), 22)</f>
        <v/>
      </c>
      <c r="U997">
        <f>IF(C997,(H997*N997*IF(AND(Inputs!$B$38&lt;&gt;"pvp",Inputs!$B$43&gt;0),((Skills!G3*((R997-1)*IF(Skills!H3&gt;0,Skills!I3/Skills!H3,1)+IF(Skills!H3&gt;0,MIN(Skills!I3,MAX(0,MAX(0,Inputs!$B$43-B1032)-((R997-1)*(IF(Inputs!$B$38="pvp",15,MAX(0.1,Skills!E3-IF(Skills!F3=TRUE,Inputs!$B$32,0)))*(1-IF(AND(ArtifactsInput!$M$27,Inputs!$B$4="Chapter Hunt"),CHOOSE(ArtifactsInput!$N$27+1,20,24,28,32,36,40),0)/100)))))/Skills!H3,1)))/Inputs!$B$43),G997*Q997)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997">
        <f>INDEX(FactorTable!$B$2:$Y$301, MATCH(ROUND(MIN(300,MAX(1,Z996)),0), FactorTable!$A$2:$A$301,0), 24)</f>
        <v/>
      </c>
    </row>
    <row r="998">
      <c r="A998">
        <f>Skills!A4</f>
        <v/>
      </c>
      <c r="B998">
        <f>Skills!B4</f>
        <v/>
      </c>
      <c r="C998">
        <f>TRUE</f>
        <v/>
      </c>
      <c r="D998">
        <f>IF(Skills!C4=1,60+Inputs!$B$25+Inputs!$B$29,IF(Skills!C4=2,90+Inputs!$B$26+Inputs!$B$29,IF(Skills!C4=3,120+Inputs!$B$27+Inputs!$B$29,MAX(0,(Inputs!$B$3-100)*3)+Inputs!$B$28+Inputs!$B$29)))</f>
        <v/>
      </c>
      <c r="E998">
        <f>INDEX(FactorTable!$B$2:$Y$301, MATCH(ROUND(MIN(300,MAX(1,D998)),0), FactorTable!$A$2:$A$301,0), Skills!M4+1)</f>
        <v/>
      </c>
      <c r="F998">
        <f>IF(Skills!N4=TRUE,(Skills!L4/10)*(E998/1000),Skills!L4/10)+Skills!O4</f>
        <v/>
      </c>
      <c r="G998">
        <f>Calc!G4</f>
        <v/>
      </c>
      <c r="H998">
        <f>Calc!H4</f>
        <v/>
      </c>
      <c r="I998">
        <f>IF(Skills!X4&lt;&gt;"",1+(Skills!X4/10)*(Z997/1000)/100,1)</f>
        <v/>
      </c>
      <c r="J998">
        <f>((Inputs!$B$6*(1+(Inputs!$B$7+1)/100))+(((Inputs!$B$12*(1+Inputs!$B$13/100))-(Inputs!$B$12*(1+Inputs!$B$13/100)))+0.25*(Inputs!$B$14-Inputs!$B$14))*(1+(Inputs!$B$7+1)/100))*(F998/100)</f>
        <v/>
      </c>
      <c r="K998">
        <f>J998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998)</f>
        <v/>
      </c>
      <c r="L998">
        <f>K998*(MIN(Inputs!$B$22+(F1016-Calc!F22),(Inputs!$B$23+(IF(ArtifactsInput!$M$15,CHOOSE(ArtifactsInput!$N$15+1,25,30,35,40,45,50)/100*(Inputs!$B$11-Inputs!$B$11),0))))/100+(Inputs!$B$23+(IF(ArtifactsInput!$M$15,CHOOSE(ArtifactsInput!$N$15+1,25,30,35,40,45,50)/100*(Inputs!$B$11-Inputs!$B$11),0)))/100)/2</f>
        <v/>
      </c>
      <c r="M998">
        <f>L998*(1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8">
        <f>L998*(1-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998*(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8">
        <f>(1-Summary!$B$11)*S998+Summary!$B$11*U998</f>
        <v/>
      </c>
      <c r="P998">
        <f>IF(B1035=0,0,O998/B1035)</f>
        <v/>
      </c>
      <c r="Q998">
        <f>IFERROR(1/(IF(Inputs!$B$38="pvp",15,MAX(0.1,Skills!E4-IF(Skills!F4=TRUE,Inputs!$B$32,0)))*(1-IF(AND(ArtifactsInput!$M$27,Inputs!$B$4="Chapter Hunt"),CHOOSE(ArtifactsInput!$N$27+1,20,24,28,32,36,40),0)/100)),0)</f>
        <v/>
      </c>
      <c r="R998">
        <f>IF(AND(Inputs!$B$38&lt;&gt;"pvp",Inputs!$B$43&gt;0),IF(MAX(0,Inputs!$B$43-B1032)&lt;=0,0,(INT(MAX(0,Inputs!$B$43-B1032)/(IF(Inputs!$B$38="pvp",15,MAX(0.1,Skills!E4-IF(Skills!F4=TRUE,Inputs!$B$32,0)))*(1-IF(AND(ArtifactsInput!$M$27,Inputs!$B$4="Chapter Hunt"),CHOOSE(ArtifactsInput!$N$27+1,20,24,28,32,36,40),0)/100)))+1)),0)</f>
        <v/>
      </c>
      <c r="S998">
        <f>IF(C998,(H998*N998*IF(AND(Inputs!$B$38&lt;&gt;"pvp",Inputs!$B$43&gt;0),((Skills!G4*((R998-1)*IF(Skills!H4&gt;0,Skills!I4/Skills!H4,1)+IF(Skills!H4&gt;0,MIN(Skills!I4,MAX(0,MAX(0,Inputs!$B$43-B1032)-((R998-1)*(IF(Inputs!$B$38="pvp",15,MAX(0.1,Skills!E4-IF(Skills!F4=TRUE,Inputs!$B$32,0)))*(1-IF(AND(ArtifactsInput!$M$27,Inputs!$B$4="Chapter Hunt"),CHOOSE(ArtifactsInput!$N$27+1,20,24,28,32,36,40),0)/100)))))/Skills!H4,1)))/Inputs!$B$43),G998*Q998)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998*(1-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998*(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998*(1-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998*(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98">
        <f>290*T997/1000</f>
        <v/>
      </c>
      <c r="U998">
        <f>IF(C998,(H998*N998*IF(AND(Inputs!$B$38&lt;&gt;"pvp",Inputs!$B$43&gt;0),((Skills!G4*((R998-1)*IF(Skills!H4&gt;0,Skills!I4/Skills!H4,1)+IF(Skills!H4&gt;0,MIN(Skills!I4,MAX(0,MAX(0,Inputs!$B$43-B1032)-((R998-1)*(IF(Inputs!$B$38="pvp",15,MAX(0.1,Skills!E4-IF(Skills!F4=TRUE,Inputs!$B$32,0)))*(1-IF(AND(ArtifactsInput!$M$27,Inputs!$B$4="Chapter Hunt"),CHOOSE(ArtifactsInput!$N$27+1,20,24,28,32,36,40),0)/100)))))/Skills!H4,1)))/Inputs!$B$43),G998*Q998)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9">
      <c r="A999">
        <f>Skills!A5</f>
        <v/>
      </c>
      <c r="B999">
        <f>Skills!B5</f>
        <v/>
      </c>
      <c r="C999">
        <f>TRUE</f>
        <v/>
      </c>
      <c r="D999">
        <f>IF(Skills!C5=1,60+Inputs!$B$25+Inputs!$B$29,IF(Skills!C5=2,90+Inputs!$B$26+Inputs!$B$29,IF(Skills!C5=3,120+Inputs!$B$27+Inputs!$B$29,MAX(0,(Inputs!$B$3-100)*3)+Inputs!$B$28+Inputs!$B$29)))</f>
        <v/>
      </c>
      <c r="E999">
        <f>INDEX(FactorTable!$B$2:$Y$301, MATCH(ROUND(MIN(300,MAX(1,D999)),0), FactorTable!$A$2:$A$301,0), Skills!M5+1)</f>
        <v/>
      </c>
      <c r="F999">
        <f>IF(Skills!N5=TRUE,(Skills!L5/10)*(E999/1000),Skills!L5/10)+Skills!O5</f>
        <v/>
      </c>
      <c r="G999">
        <f>Calc!G5</f>
        <v/>
      </c>
      <c r="H999">
        <f>Calc!H5</f>
        <v/>
      </c>
      <c r="I999">
        <f>IF(Skills!X5&lt;&gt;"",1+(Skills!X5/10)*(Z997/1000)/100,1)</f>
        <v/>
      </c>
      <c r="J999">
        <f>((Inputs!$B$6*(1+(Inputs!$B$7+1)/100))+(((Inputs!$B$12*(1+Inputs!$B$13/100))-(Inputs!$B$12*(1+Inputs!$B$13/100)))+0.25*(Inputs!$B$14-Inputs!$B$14))*(1+(Inputs!$B$7+1)/100))*(F999/100)</f>
        <v/>
      </c>
      <c r="K999">
        <f>J999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999)</f>
        <v/>
      </c>
      <c r="L999">
        <f>K999*(MIN(Inputs!$B$22+(F1016-Calc!F22),(Inputs!$B$23+(IF(ArtifactsInput!$M$15,CHOOSE(ArtifactsInput!$N$15+1,25,30,35,40,45,50)/100*(Inputs!$B$11-Inputs!$B$11),0))))/100+(Inputs!$B$23+(IF(ArtifactsInput!$M$15,CHOOSE(ArtifactsInput!$N$15+1,25,30,35,40,45,50)/100*(Inputs!$B$11-Inputs!$B$11),0)))/100)/2</f>
        <v/>
      </c>
      <c r="M999">
        <f>L999*(1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9">
        <f>L999*(1-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999*(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9">
        <f>(1-Summary!$B$11)*S999+Summary!$B$11*U999</f>
        <v/>
      </c>
      <c r="P999">
        <f>IF(B1035=0,0,O999/B1035)</f>
        <v/>
      </c>
      <c r="Q999">
        <f>IFERROR(1/(IF(Inputs!$B$38="pvp",15,MAX(0.1,Skills!E5-IF(Skills!F5=TRUE,Inputs!$B$32,0)))*(1-IF(AND(ArtifactsInput!$M$27,Inputs!$B$4="Chapter Hunt"),CHOOSE(ArtifactsInput!$N$27+1,20,24,28,32,36,40),0)/100)),0)</f>
        <v/>
      </c>
      <c r="R999">
        <f>IF(AND(Inputs!$B$38&lt;&gt;"pvp",Inputs!$B$43&gt;0),IF(MAX(0,Inputs!$B$43-B1032)&lt;=0,0,(INT(MAX(0,Inputs!$B$43-B1032)/(IF(Inputs!$B$38="pvp",15,MAX(0.1,Skills!E5-IF(Skills!F5=TRUE,Inputs!$B$32,0)))*(1-IF(AND(ArtifactsInput!$M$27,Inputs!$B$4="Chapter Hunt"),CHOOSE(ArtifactsInput!$N$27+1,20,24,28,32,36,40),0)/100)))+1)),0)</f>
        <v/>
      </c>
      <c r="S999">
        <f>IF(C999,(H999*N999*IF(AND(Inputs!$B$38&lt;&gt;"pvp",Inputs!$B$43&gt;0),((Skills!G5*((R999-1)*IF(Skills!H5&gt;0,Skills!I5/Skills!H5,1)+IF(Skills!H5&gt;0,MIN(Skills!I5,MAX(0,MAX(0,Inputs!$B$43-B1032)-((R999-1)*(IF(Inputs!$B$38="pvp",15,MAX(0.1,Skills!E5-IF(Skills!F5=TRUE,Inputs!$B$32,0)))*(1-IF(AND(ArtifactsInput!$M$27,Inputs!$B$4="Chapter Hunt"),CHOOSE(ArtifactsInput!$N$27+1,20,24,28,32,36,40),0)/100)))))/Skills!H5,1)))/Inputs!$B$43),G999*Q999)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999*(1-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999*(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999*(1-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999*(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99">
        <f>IF(C999,(H999*N999*IF(AND(Inputs!$B$38&lt;&gt;"pvp",Inputs!$B$43&gt;0),((Skills!G5*((R999-1)*IF(Skills!H5&gt;0,Skills!I5/Skills!H5,1)+IF(Skills!H5&gt;0,MIN(Skills!I5,MAX(0,MAX(0,Inputs!$B$43-B1032)-((R999-1)*(IF(Inputs!$B$38="pvp",15,MAX(0.1,Skills!E5-IF(Skills!F5=TRUE,Inputs!$B$32,0)))*(1-IF(AND(ArtifactsInput!$M$27,Inputs!$B$4="Chapter Hunt"),CHOOSE(ArtifactsInput!$N$27+1,20,24,28,32,36,40),0)/100)))))/Skills!H5,1)))/Inputs!$B$43),G999*Q999)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0">
      <c r="A1000">
        <f>Skills!A6</f>
        <v/>
      </c>
      <c r="B1000">
        <f>Skills!B6</f>
        <v/>
      </c>
      <c r="C1000">
        <f>TRUE</f>
        <v/>
      </c>
      <c r="D1000">
        <f>IF(Skills!C6=1,60+Inputs!$B$25+Inputs!$B$29,IF(Skills!C6=2,90+Inputs!$B$26+Inputs!$B$29,IF(Skills!C6=3,120+Inputs!$B$27+Inputs!$B$29,MAX(0,(Inputs!$B$3-100)*3)+Inputs!$B$28+Inputs!$B$29)))</f>
        <v/>
      </c>
      <c r="E1000">
        <f>INDEX(FactorTable!$B$2:$Y$301, MATCH(ROUND(MIN(300,MAX(1,D1000)),0), FactorTable!$A$2:$A$301,0), Skills!M6+1)</f>
        <v/>
      </c>
      <c r="F1000">
        <f>IF(Skills!N6=TRUE,(Skills!L6/10)*(E1000/1000),Skills!L6/10)+Skills!O6</f>
        <v/>
      </c>
      <c r="G1000">
        <f>Calc!G6</f>
        <v/>
      </c>
      <c r="H1000">
        <f>Calc!H6</f>
        <v/>
      </c>
      <c r="I1000">
        <f>IF(Skills!X6&lt;&gt;"",1+(Skills!X6/10)*(Z997/1000)/100,1)</f>
        <v/>
      </c>
      <c r="J1000" t="inlineStr"/>
      <c r="K1000" t="inlineStr"/>
      <c r="L1000" t="inlineStr"/>
      <c r="M1000" t="inlineStr"/>
      <c r="N1000" t="inlineStr"/>
      <c r="O1000">
        <f>(1-Summary!$B$11)*S1000+Summary!$B$11*U1000</f>
        <v/>
      </c>
      <c r="P1000">
        <f>IF(B1035=0,0,O1000/B1035)</f>
        <v/>
      </c>
      <c r="Q1000">
        <f>IFERROR(1/(IF(Inputs!$B$38="pvp",15,MAX(0.1,Skills!E6-IF(Skills!F6=TRUE,Inputs!$B$32,0)))*(1-IF(AND(ArtifactsInput!$M$27,Inputs!$B$4="Chapter Hunt"),CHOOSE(ArtifactsInput!$N$27+1,20,24,28,32,36,40),0)/100)),0)</f>
        <v/>
      </c>
      <c r="R1000">
        <f>IF(AND(Inputs!$B$38&lt;&gt;"pvp",Inputs!$B$43&gt;0),IF(Inputs!$B$43&lt;=0,0,(INT(Inputs!$B$43/(IF(Inputs!$B$38="pvp",15,MAX(0.1,Skills!E6-IF(Skills!F6=TRUE,Inputs!$B$32,0)))*(1-IF(AND(ArtifactsInput!$M$27,Inputs!$B$4="Chapter Hunt"),CHOOSE(ArtifactsInput!$N$27+1,20,24,28,32,36,40),0)/100)))+1)),0)</f>
        <v/>
      </c>
      <c r="S1000" t="n">
        <v>0</v>
      </c>
      <c r="U1000" t="n">
        <v>0</v>
      </c>
    </row>
    <row r="1001">
      <c r="A1001">
        <f>Skills!A7</f>
        <v/>
      </c>
      <c r="B1001">
        <f>Skills!B7</f>
        <v/>
      </c>
      <c r="C1001">
        <f>TRUE</f>
        <v/>
      </c>
      <c r="D1001">
        <f>IF(Skills!C7=1,60+Inputs!$B$25+Inputs!$B$29,IF(Skills!C7=2,90+Inputs!$B$26+Inputs!$B$29,IF(Skills!C7=3,120+Inputs!$B$27+Inputs!$B$29,MAX(0,(Inputs!$B$3-100)*3)+Inputs!$B$28+Inputs!$B$29)))</f>
        <v/>
      </c>
      <c r="E1001">
        <f>INDEX(FactorTable!$B$2:$Y$301, MATCH(ROUND(MIN(300,MAX(1,D1001)),0), FactorTable!$A$2:$A$301,0), Skills!M7+1)</f>
        <v/>
      </c>
      <c r="F1001">
        <f>IF(Skills!N7=TRUE,(Skills!L7/10)*(E1001/1000),Skills!L7/10)+Skills!O7</f>
        <v/>
      </c>
      <c r="G1001">
        <f>Calc!G7</f>
        <v/>
      </c>
      <c r="H1001">
        <f>Calc!H7</f>
        <v/>
      </c>
      <c r="I1001">
        <f>IF(Skills!X7&lt;&gt;"",1+(Skills!X7/10)*(Z997/1000)/100,1)</f>
        <v/>
      </c>
      <c r="J1001">
        <f>((Inputs!$B$6*(1+(Inputs!$B$7+1)/100))+(((Inputs!$B$12*(1+Inputs!$B$13/100))-(Inputs!$B$12*(1+Inputs!$B$13/100)))+0.25*(Inputs!$B$14-Inputs!$B$14))*(1+(Inputs!$B$7+1)/100))*(F1001/100)</f>
        <v/>
      </c>
      <c r="K1001">
        <f>J1001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1001)</f>
        <v/>
      </c>
      <c r="L1001">
        <f>K1001*(MIN(Inputs!$B$22+(F1016-Calc!F22),(Inputs!$B$23+(IF(ArtifactsInput!$M$15,CHOOSE(ArtifactsInput!$N$15+1,25,30,35,40,45,50)/100*(Inputs!$B$11-Inputs!$B$11),0))))/100+(Inputs!$B$23+(IF(ArtifactsInput!$M$15,CHOOSE(ArtifactsInput!$N$15+1,25,30,35,40,45,50)/100*(Inputs!$B$11-Inputs!$B$11),0)))/100)/2</f>
        <v/>
      </c>
      <c r="M1001">
        <f>L1001*(1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1">
        <f>L1001*(1-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1">
        <f>(1-Summary!$B$11)*S1001+Summary!$B$11*U1001</f>
        <v/>
      </c>
      <c r="P1001">
        <f>IF(B1035=0,0,O1001/B1035)</f>
        <v/>
      </c>
      <c r="Q1001">
        <f>IFERROR(1/(IF(Inputs!$B$38="pvp",15,MAX(0.1,Skills!E7-IF(Skills!F7=TRUE,Inputs!$B$32,0)))*(1-IF(AND(ArtifactsInput!$M$27,Inputs!$B$4="Chapter Hunt"),CHOOSE(ArtifactsInput!$N$27+1,20,24,28,32,36,40),0)/100)),0)</f>
        <v/>
      </c>
      <c r="R1001">
        <f>IF(AND(Inputs!$B$38&lt;&gt;"pvp",Inputs!$B$43&gt;0),IF(MAX(0,Inputs!$B$43-B1032)&lt;=0,0,(INT(MAX(0,Inputs!$B$43-B1032)/(IF(Inputs!$B$38="pvp",15,MAX(0.1,Skills!E7-IF(Skills!F7=TRUE,Inputs!$B$32,0)))*(1-IF(AND(ArtifactsInput!$M$27,Inputs!$B$4="Chapter Hunt"),CHOOSE(ArtifactsInput!$N$27+1,20,24,28,32,36,40),0)/100)))+1)),0)</f>
        <v/>
      </c>
      <c r="S1001">
        <f>IF(C1001,(H1001*N1001*IF(AND(Inputs!$B$38&lt;&gt;"pvp",Inputs!$B$43&gt;0),((Skills!G7*((R1001-1)*IF(Skills!H7&gt;0,Skills!I7/Skills!H7,1)+IF(Skills!H7&gt;0,MIN(Skills!I7,MAX(0,MAX(0,Inputs!$B$43-B1032)-((R1001-1)*(IF(Inputs!$B$38="pvp",15,MAX(0.1,Skills!E7-IF(Skills!F7=TRUE,Inputs!$B$32,0)))*(1-IF(AND(ArtifactsInput!$M$27,Inputs!$B$4="Chapter Hunt"),CHOOSE(ArtifactsInput!$N$27+1,20,24,28,32,36,40),0)/100)))))/Skills!H7,1)))/Inputs!$B$43),G1001*Q1001)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1001*(1-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1001*(1-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01">
        <f>IF(C1001,(H1001*N1001*IF(AND(Inputs!$B$38&lt;&gt;"pvp",Inputs!$B$43&gt;0),((Skills!G7*((R1001-1)*IF(Skills!H7&gt;0,Skills!I7/Skills!H7,1)+IF(Skills!H7&gt;0,MIN(Skills!I7,MAX(0,MAX(0,Inputs!$B$43-B1032)-((R1001-1)*(IF(Inputs!$B$38="pvp",15,MAX(0.1,Skills!E7-IF(Skills!F7=TRUE,Inputs!$B$32,0)))*(1-IF(AND(ArtifactsInput!$M$27,Inputs!$B$4="Chapter Hunt"),CHOOSE(ArtifactsInput!$N$27+1,20,24,28,32,36,40),0)/100)))))/Skills!H7,1)))/Inputs!$B$43),G1001*Q1001)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2">
      <c r="A1002">
        <f>Skills!A8</f>
        <v/>
      </c>
      <c r="B1002">
        <f>Skills!B8</f>
        <v/>
      </c>
      <c r="C1002">
        <f>TRUE</f>
        <v/>
      </c>
      <c r="D1002">
        <f>IF(Skills!C8=1,60+Inputs!$B$25+Inputs!$B$29,IF(Skills!C8=2,90+Inputs!$B$26+Inputs!$B$29,IF(Skills!C8=3,120+Inputs!$B$27+Inputs!$B$29,MAX(0,(Inputs!$B$3-100)*3)+Inputs!$B$28+Inputs!$B$29)))</f>
        <v/>
      </c>
      <c r="E1002">
        <f>INDEX(FactorTable!$B$2:$Y$301, MATCH(ROUND(MIN(300,MAX(1,D1002)),0), FactorTable!$A$2:$A$301,0), Skills!M8+1)</f>
        <v/>
      </c>
      <c r="F1002">
        <f>IF(Skills!N8=TRUE,(Skills!L8/10)*(E1002/1000),Skills!L8/10)+Skills!O8</f>
        <v/>
      </c>
      <c r="G1002">
        <f>Calc!G8</f>
        <v/>
      </c>
      <c r="H1002">
        <f>Calc!H8</f>
        <v/>
      </c>
      <c r="I1002">
        <f>IF(Skills!X8&lt;&gt;"",1+(Skills!X8/10)*(Z997/1000)/100,1)</f>
        <v/>
      </c>
      <c r="J1002">
        <f>((Inputs!$B$6*(1+(Inputs!$B$7+1)/100))+(((Inputs!$B$12*(1+Inputs!$B$13/100))-(Inputs!$B$12*(1+Inputs!$B$13/100)))+0.25*(Inputs!$B$14-Inputs!$B$14))*(1+(Inputs!$B$7+1)/100))*(F1002/100)</f>
        <v/>
      </c>
      <c r="K1002">
        <f>J1002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1002)</f>
        <v/>
      </c>
      <c r="L1002">
        <f>K1002*(MIN(Inputs!$B$22+(F1016-Calc!F22),(Inputs!$B$23+(IF(ArtifactsInput!$M$15,CHOOSE(ArtifactsInput!$N$15+1,25,30,35,40,45,50)/100*(Inputs!$B$11-Inputs!$B$11),0))))/100+(Inputs!$B$23+(IF(ArtifactsInput!$M$15,CHOOSE(ArtifactsInput!$N$15+1,25,30,35,40,45,50)/100*(Inputs!$B$11-Inputs!$B$11),0)))/100)/2</f>
        <v/>
      </c>
      <c r="M1002">
        <f>L1002*(1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2">
        <f>L1002*(1-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1002*(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2">
        <f>(1-Summary!$B$11)*S1002+Summary!$B$11*U1002</f>
        <v/>
      </c>
      <c r="P1002">
        <f>IF(B1035=0,0,O1002/B1035)</f>
        <v/>
      </c>
      <c r="Q1002">
        <f>IFERROR(1/(IF(Inputs!$B$38="pvp",15,MAX(0.1,Skills!E8-IF(Skills!F8=TRUE,Inputs!$B$32,0)))*(1-IF(AND(ArtifactsInput!$M$27,Inputs!$B$4="Chapter Hunt"),CHOOSE(ArtifactsInput!$N$27+1,20,24,28,32,36,40),0)/100)),0)</f>
        <v/>
      </c>
      <c r="R1002">
        <f>IF(AND(Inputs!$B$38&lt;&gt;"pvp",Inputs!$B$43&gt;0),IF(MAX(0,Inputs!$B$43-B1032)&lt;=0,0,(INT(MAX(0,Inputs!$B$43-B1032)/(IF(Inputs!$B$38="pvp",15,MAX(0.1,Skills!E8-IF(Skills!F8=TRUE,Inputs!$B$32,0)))*(1-IF(AND(ArtifactsInput!$M$27,Inputs!$B$4="Chapter Hunt"),CHOOSE(ArtifactsInput!$N$27+1,20,24,28,32,36,40),0)/100)))+1)),0)</f>
        <v/>
      </c>
      <c r="S1002">
        <f>IF(C1002,(H1002*N1002*IF(AND(Inputs!$B$38&lt;&gt;"pvp",Inputs!$B$43&gt;0),((Skills!G8*((R1002-1)*IF(Skills!H8&gt;0,Skills!I8/Skills!H8,1)+IF(Skills!H8&gt;0,MIN(Skills!I8,MAX(0,MAX(0,Inputs!$B$43-B1032)-((R1002-1)*(IF(Inputs!$B$38="pvp",15,MAX(0.1,Skills!E8-IF(Skills!F8=TRUE,Inputs!$B$32,0)))*(1-IF(AND(ArtifactsInput!$M$27,Inputs!$B$4="Chapter Hunt"),CHOOSE(ArtifactsInput!$N$27+1,20,24,28,32,36,40),0)/100)))))/Skills!H8,1)))/Inputs!$B$43),G1002*Q1002)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1002*(1-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1002*(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1002*(1-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1002*(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02">
        <f>IF(C1002,(H1002*N1002*IF(AND(Inputs!$B$38&lt;&gt;"pvp",Inputs!$B$43&gt;0),((Skills!G8*((R1002-1)*IF(Skills!H8&gt;0,Skills!I8/Skills!H8,1)+IF(Skills!H8&gt;0,MIN(Skills!I8,MAX(0,MAX(0,Inputs!$B$43-B1032)-((R1002-1)*(IF(Inputs!$B$38="pvp",15,MAX(0.1,Skills!E8-IF(Skills!F8=TRUE,Inputs!$B$32,0)))*(1-IF(AND(ArtifactsInput!$M$27,Inputs!$B$4="Chapter Hunt"),CHOOSE(ArtifactsInput!$N$27+1,20,24,28,32,36,40),0)/100)))))/Skills!H8,1)))/Inputs!$B$43),G1002*Q1002)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3">
      <c r="A1003">
        <f>Skills!A9</f>
        <v/>
      </c>
      <c r="B1003">
        <f>Skills!B9</f>
        <v/>
      </c>
      <c r="C1003">
        <f>Inputs!$B$3&gt;=103</f>
        <v/>
      </c>
      <c r="D1003">
        <f>IF(Skills!C9=1,60+Inputs!$B$25+Inputs!$B$29,IF(Skills!C9=2,90+Inputs!$B$26+Inputs!$B$29,IF(Skills!C9=3,120+Inputs!$B$27+Inputs!$B$29,MAX(0,(Inputs!$B$3-100)*3)+Inputs!$B$28+Inputs!$B$29)))</f>
        <v/>
      </c>
      <c r="E1003">
        <f>INDEX(FactorTable!$B$2:$Y$301, MATCH(ROUND(MIN(300,MAX(1,D1003)),0), FactorTable!$A$2:$A$301,0), Skills!M9+1)</f>
        <v/>
      </c>
      <c r="F1003">
        <f>IF(Skills!N9=TRUE,(Skills!L9/10)*(E1003/1000),Skills!L9/10)+Skills!O9</f>
        <v/>
      </c>
      <c r="G1003">
        <f>Calc!G9</f>
        <v/>
      </c>
      <c r="H1003">
        <f>Calc!H9</f>
        <v/>
      </c>
      <c r="I1003">
        <f>IF(Skills!X9&lt;&gt;"",1+(Skills!X9/10)*(Z997/1000)/100,1)</f>
        <v/>
      </c>
      <c r="J1003">
        <f>((Inputs!$B$6*(1+(Inputs!$B$7+1)/100))+(((Inputs!$B$12*(1+Inputs!$B$13/100))-(Inputs!$B$12*(1+Inputs!$B$13/100)))+0.25*(Inputs!$B$14-Inputs!$B$14))*(1+(Inputs!$B$7+1)/100))*(F1003/100)</f>
        <v/>
      </c>
      <c r="K1003">
        <f>J1003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1003)</f>
        <v/>
      </c>
      <c r="L1003">
        <f>K1003*(MIN(Inputs!$B$22+(F1016-Calc!F22),(Inputs!$B$23+(IF(ArtifactsInput!$M$15,CHOOSE(ArtifactsInput!$N$15+1,25,30,35,40,45,50)/100*(Inputs!$B$11-Inputs!$B$11),0))))/100+(Inputs!$B$23+(IF(ArtifactsInput!$M$15,CHOOSE(ArtifactsInput!$N$15+1,25,30,35,40,45,50)/100*(Inputs!$B$11-Inputs!$B$11),0)))/100)/2</f>
        <v/>
      </c>
      <c r="M1003">
        <f>L1003*(1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3">
        <f>L1003*(1-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1003*(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3">
        <f>(1-Summary!$B$11)*S1003+Summary!$B$11*U1003</f>
        <v/>
      </c>
      <c r="P1003">
        <f>IF(B1035=0,0,O1003/B1035)</f>
        <v/>
      </c>
      <c r="Q1003">
        <f>IFERROR(1/(IF(Inputs!$B$38="pvp",15,MAX(0.1,Skills!E9-IF(Skills!F7=TRUE,Inputs!$B$32,0)))*(1-IF(AND(ArtifactsInput!$M$27,Inputs!$B$4="Chapter Hunt"),CHOOSE(ArtifactsInput!$N$27+1,20,24,28,32,36,40),0)/100)),0)</f>
        <v/>
      </c>
      <c r="R1003">
        <f>IF(AND(Inputs!$B$38&lt;&gt;"pvp",Inputs!$B$43&gt;0),IF(MAX(0,Inputs!$B$43-B1032)&lt;=0,0,(INT(MAX(0,Inputs!$B$43-B1032)/(IF(Inputs!$B$38="pvp",15,MAX(0.1,Skills!E9-IF(Skills!F7=TRUE,Inputs!$B$32,0)))*(1-IF(AND(ArtifactsInput!$M$27,Inputs!$B$4="Chapter Hunt"),CHOOSE(ArtifactsInput!$N$27+1,20,24,28,32,36,40),0)/100)))+1)),0)</f>
        <v/>
      </c>
      <c r="S1003">
        <f>IF(C1003,(H1003*N1003*IF(AND(Inputs!$B$38&lt;&gt;"pvp",Inputs!$B$43&gt;0),((Skills!G9*((R1003-1)*IF(Skills!H9&gt;0,Skills!I9/Skills!H9,1)+IF(Skills!H9&gt;0,MIN(Skills!I9,MAX(0,MAX(0,Inputs!$B$43-B1032)-((R1003-1)*(IF(Inputs!$B$38="pvp",15,MAX(0.1,Skills!E9-IF(Skills!F7=TRUE,Inputs!$B$32,0)))*(1-IF(AND(ArtifactsInput!$M$27,Inputs!$B$4="Chapter Hunt"),CHOOSE(ArtifactsInput!$N$27+1,20,24,28,32,36,40),0)/100)))))/Skills!H9,1)))/Inputs!$B$43),G1003*Q1003)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1003*(1-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1003*(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1003*(1-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1003*(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03">
        <f>IF(C1003,(H1003*N1003*IF(AND(Inputs!$B$38&lt;&gt;"pvp",Inputs!$B$43&gt;0),((Skills!G9*((R1003-1)*IF(Skills!H9&gt;0,Skills!I9/Skills!H9,1)+IF(Skills!H9&gt;0,MIN(Skills!I9,MAX(0,MAX(0,Inputs!$B$43-B1032)-((R1003-1)*(IF(Inputs!$B$38="pvp",15,MAX(0.1,Skills!E9-IF(Skills!F7=TRUE,Inputs!$B$32,0)))*(1-IF(AND(ArtifactsInput!$M$27,Inputs!$B$4="Chapter Hunt"),CHOOSE(ArtifactsInput!$N$27+1,20,24,28,32,36,40),0)/100)))))/Skills!H9,1)))/Inputs!$B$43),G1003*Q1003)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4">
      <c r="A1004">
        <f>Skills!A10</f>
        <v/>
      </c>
      <c r="B1004">
        <f>Skills!B10</f>
        <v/>
      </c>
      <c r="C1004">
        <f>TRUE</f>
        <v/>
      </c>
      <c r="D1004">
        <f>IF(Skills!C10=1,60+Inputs!$B$25+Inputs!$B$29,IF(Skills!C10=2,90+Inputs!$B$26+Inputs!$B$29,IF(Skills!C10=3,120+Inputs!$B$27+Inputs!$B$29,MAX(0,(Inputs!$B$3-100)*3)+Inputs!$B$28+Inputs!$B$29)))</f>
        <v/>
      </c>
      <c r="E1004">
        <f>INDEX(FactorTable!$B$2:$Y$301, MATCH(ROUND(MIN(300,MAX(1,D1004)),0), FactorTable!$A$2:$A$301,0), Skills!M10+1)</f>
        <v/>
      </c>
      <c r="F1004">
        <f>IF(Skills!N10=TRUE,(Skills!L10/10)*(E1004/1000),Skills!L10/10)+Skills!O10</f>
        <v/>
      </c>
      <c r="G1004">
        <f>Calc!G10</f>
        <v/>
      </c>
      <c r="H1004">
        <f>Calc!H10</f>
        <v/>
      </c>
      <c r="I1004">
        <f>IF(Skills!X10&lt;&gt;"",1+(Skills!X10/10)*(Z997/1000)/100,1)</f>
        <v/>
      </c>
      <c r="J1004">
        <f>((Inputs!$B$6*(1+(Inputs!$B$7+1)/100))+(((Inputs!$B$12*(1+Inputs!$B$13/100))-(Inputs!$B$12*(1+Inputs!$B$13/100)))+0.25*(Inputs!$B$14-Inputs!$B$14))*(1+(Inputs!$B$7+1)/100))*(F1004/100)</f>
        <v/>
      </c>
      <c r="K1004">
        <f>J1004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1004)</f>
        <v/>
      </c>
      <c r="L1004">
        <f>K1004*(MIN(Inputs!$B$22+(F1016-Calc!F22),(Inputs!$B$23+(IF(ArtifactsInput!$M$15,CHOOSE(ArtifactsInput!$N$15+1,25,30,35,40,45,50)/100*(Inputs!$B$11-Inputs!$B$11),0))))/100+(Inputs!$B$23+(IF(ArtifactsInput!$M$15,CHOOSE(ArtifactsInput!$N$15+1,25,30,35,40,45,50)/100*(Inputs!$B$11-Inputs!$B$11),0)))/100)/2</f>
        <v/>
      </c>
      <c r="M1004">
        <f>L1004*(1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4">
        <f>L1004*(1-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1004*(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4">
        <f>(1-Summary!$B$11)*S1004+Summary!$B$11*U1004</f>
        <v/>
      </c>
      <c r="P1004">
        <f>IF(B1035=0,0,O1004/B1035)</f>
        <v/>
      </c>
      <c r="Q1004">
        <f>IFERROR(1/(IF(Inputs!$B$38="pvp",15,MAX(0.1,Skills!E10-IF(Skills!F10=TRUE,Inputs!$B$32,0)))*(1-IF(AND(ArtifactsInput!$M$27,Inputs!$B$4="Chapter Hunt"),CHOOSE(ArtifactsInput!$N$27+1,20,24,28,32,36,40),0)/100)),0)</f>
        <v/>
      </c>
      <c r="R1004">
        <f>IF(AND(Inputs!$B$38&lt;&gt;"pvp",Inputs!$B$43&gt;0),IF(MAX(0,Inputs!$B$43-B1032)&lt;=0,0,(INT(MAX(0,Inputs!$B$43-B1032)/(IF(Inputs!$B$38="pvp",15,MAX(0.1,Skills!E10-IF(Skills!F10=TRUE,Inputs!$B$32,0)))*(1-IF(AND(ArtifactsInput!$M$27,Inputs!$B$4="Chapter Hunt"),CHOOSE(ArtifactsInput!$N$27+1,20,24,28,32,36,40),0)/100)))+1)),0)</f>
        <v/>
      </c>
      <c r="S1004">
        <f>IF(C1004,(H1004*N1004*IF(AND(Inputs!$B$38&lt;&gt;"pvp",Inputs!$B$43&gt;0),((Skills!G10*((R1004-1)*IF(Skills!H10&gt;0,Skills!I10/Skills!H10,1)+IF(Skills!H10&gt;0,MIN(Skills!I10,MAX(0,MAX(0,Inputs!$B$43-B1032)-((R1004-1)*(IF(Inputs!$B$38="pvp",15,MAX(0.1,Skills!E10-IF(Skills!F10=TRUE,Inputs!$B$32,0)))*(1-IF(AND(ArtifactsInput!$M$27,Inputs!$B$4="Chapter Hunt"),CHOOSE(ArtifactsInput!$N$27+1,20,24,28,32,36,40),0)/100)))))/Skills!H10,1)))/Inputs!$B$43),G1004*Q1004)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1004*(1-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1004*(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1004*(1-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1004*(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04">
        <f>IF(C1004,(H1004*N1004*IF(AND(Inputs!$B$38&lt;&gt;"pvp",Inputs!$B$43&gt;0),((Skills!G10*((R1004-1)*IF(Skills!H10&gt;0,Skills!I10/Skills!H10,1)+IF(Skills!H10&gt;0,MIN(Skills!I10,MAX(0,MAX(0,Inputs!$B$43-B1032)-((R1004-1)*(IF(Inputs!$B$38="pvp",15,MAX(0.1,Skills!E10-IF(Skills!F10=TRUE,Inputs!$B$32,0)))*(1-IF(AND(ArtifactsInput!$M$27,Inputs!$B$4="Chapter Hunt"),CHOOSE(ArtifactsInput!$N$27+1,20,24,28,32,36,40),0)/100)))))/Skills!H10,1)))/Inputs!$B$43),G1004*Q1004)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5">
      <c r="A1005">
        <f>Skills!A11</f>
        <v/>
      </c>
      <c r="B1005">
        <f>Skills!B11</f>
        <v/>
      </c>
      <c r="C1005">
        <f>TRUE</f>
        <v/>
      </c>
      <c r="D1005">
        <f>IF(Skills!C11=1,60+Inputs!$B$25+Inputs!$B$29,IF(Skills!C11=2,90+Inputs!$B$26+Inputs!$B$29,IF(Skills!C11=3,120+Inputs!$B$27+Inputs!$B$29,MAX(0,(Inputs!$B$3-100)*3)+Inputs!$B$28+Inputs!$B$29)))</f>
        <v/>
      </c>
      <c r="E1005">
        <f>INDEX(FactorTable!$B$2:$Y$301, MATCH(ROUND(MIN(300,MAX(1,D1005)),0), FactorTable!$A$2:$A$301,0), Skills!M11+1)</f>
        <v/>
      </c>
      <c r="F1005">
        <f>IF(Skills!N11=TRUE,(Skills!L11/10)*(E1005/1000),Skills!L11/10)+Skills!O11</f>
        <v/>
      </c>
      <c r="G1005">
        <f>Calc!G11</f>
        <v/>
      </c>
      <c r="H1005">
        <f>Calc!H11</f>
        <v/>
      </c>
      <c r="I1005">
        <f>IF(Skills!X11&lt;&gt;"",1+(Skills!X11/10)*(Z997/1000)/100,1)</f>
        <v/>
      </c>
      <c r="J1005" t="inlineStr"/>
      <c r="K1005" t="inlineStr"/>
      <c r="L1005" t="inlineStr"/>
      <c r="M1005" t="inlineStr"/>
      <c r="N1005" t="inlineStr"/>
      <c r="O1005">
        <f>(1-Summary!$B$11)*S1005+Summary!$B$11*U1005</f>
        <v/>
      </c>
      <c r="P1005">
        <f>IF(B1035=0,0,O1005/B1035)</f>
        <v/>
      </c>
      <c r="Q1005">
        <f>IFERROR(1/(IF(Inputs!$B$38="pvp",15,MAX(0.1,Skills!E11-IF(Skills!F11=TRUE,Inputs!$B$32,0)))*(1-IF(AND(ArtifactsInput!$M$27,Inputs!$B$4="Chapter Hunt"),CHOOSE(ArtifactsInput!$N$27+1,20,24,28,32,36,40),0)/100)),0)</f>
        <v/>
      </c>
      <c r="R1005" t="n">
        <v>0</v>
      </c>
      <c r="S1005" t="n">
        <v>0</v>
      </c>
      <c r="U1005" t="n">
        <v>0</v>
      </c>
    </row>
    <row r="1006">
      <c r="A1006">
        <f>Skills!A12</f>
        <v/>
      </c>
      <c r="B1006">
        <f>Skills!B12</f>
        <v/>
      </c>
      <c r="C1006">
        <f>TRUE</f>
        <v/>
      </c>
      <c r="D1006">
        <f>IF(Skills!C12=1,60+Inputs!$B$25+Inputs!$B$29,IF(Skills!C12=2,90+Inputs!$B$26+Inputs!$B$29,IF(Skills!C12=3,120+Inputs!$B$27+Inputs!$B$29,MAX(0,(Inputs!$B$3-100)*3)+Inputs!$B$28+Inputs!$B$29)))</f>
        <v/>
      </c>
      <c r="E1006">
        <f>INDEX(FactorTable!$B$2:$Y$301, MATCH(ROUND(MIN(300,MAX(1,D1006)),0), FactorTable!$A$2:$A$301,0), Skills!M12+1)</f>
        <v/>
      </c>
      <c r="F1006">
        <f>IF(Skills!N12=TRUE,(Skills!L12/10)*(E1006/1000),Skills!L12/10)+Skills!O12</f>
        <v/>
      </c>
      <c r="G1006">
        <f>Calc!G12</f>
        <v/>
      </c>
      <c r="H1006">
        <f>Calc!H12</f>
        <v/>
      </c>
      <c r="I1006">
        <f>IF(Skills!X12&lt;&gt;"",1+(Skills!X12/10)*(Z997/1000)/100,1)</f>
        <v/>
      </c>
      <c r="J1006" t="inlineStr"/>
      <c r="K1006" t="inlineStr"/>
      <c r="L1006" t="inlineStr"/>
      <c r="M1006" t="inlineStr"/>
      <c r="N1006" t="inlineStr"/>
      <c r="O1006">
        <f>(1-Summary!$B$11)*S1006+Summary!$B$11*U1006</f>
        <v/>
      </c>
      <c r="P1006">
        <f>IF(B1035=0,0,O1006/B1035)</f>
        <v/>
      </c>
      <c r="Q1006">
        <f>IFERROR(1/(IF(Inputs!$B$38="pvp",15,MAX(0.1,Skills!E12-IF(Skills!F12=TRUE,Inputs!$B$32,0)))*(1-IF(AND(ArtifactsInput!$M$27,Inputs!$B$4="Chapter Hunt"),CHOOSE(ArtifactsInput!$N$27+1,20,24,28,32,36,40),0)/100)),0)</f>
        <v/>
      </c>
      <c r="R1006" t="n">
        <v>0</v>
      </c>
      <c r="S1006" t="n">
        <v>0</v>
      </c>
      <c r="U1006" t="n">
        <v>0</v>
      </c>
    </row>
    <row r="1007">
      <c r="A1007">
        <f>Skills!A13</f>
        <v/>
      </c>
      <c r="B1007">
        <f>Skills!B13</f>
        <v/>
      </c>
      <c r="C1007">
        <f>Inputs!$B$3&gt;=105</f>
        <v/>
      </c>
      <c r="D1007">
        <f>IF(Skills!C13=1,60+Inputs!$B$25+Inputs!$B$29,IF(Skills!C13=2,90+Inputs!$B$26+Inputs!$B$29,IF(Skills!C13=3,120+Inputs!$B$27+Inputs!$B$29,MAX(0,(Inputs!$B$3-100)*3)+Inputs!$B$28+Inputs!$B$29)))</f>
        <v/>
      </c>
      <c r="E1007">
        <f>INDEX(FactorTable!$B$2:$Y$301, MATCH(ROUND(MIN(300,MAX(1,D1007)),0), FactorTable!$A$2:$A$301,0), Skills!M13+1)</f>
        <v/>
      </c>
      <c r="F1007">
        <f>IF(Skills!N13=TRUE,(Skills!L13/10)*(E1007/1000),Skills!L13/10)+Skills!O13</f>
        <v/>
      </c>
      <c r="G1007">
        <f>Calc!G13</f>
        <v/>
      </c>
      <c r="H1007">
        <f>Calc!H13</f>
        <v/>
      </c>
      <c r="I1007">
        <f>IF(Skills!X13&lt;&gt;"",1+(Skills!X13/10)*(Z997/1000)/100,1)</f>
        <v/>
      </c>
      <c r="J1007">
        <f>((Inputs!$B$6*(1+(Inputs!$B$7+1)/100))+(((Inputs!$B$12*(1+Inputs!$B$13/100))-(Inputs!$B$12*(1+Inputs!$B$13/100)))+0.25*(Inputs!$B$14-Inputs!$B$14))*(1+(Inputs!$B$7+1)/100))*(F1007/100)</f>
        <v/>
      </c>
      <c r="K1007">
        <f>J1007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1007)</f>
        <v/>
      </c>
      <c r="L1007">
        <f>K1007*(MIN(Inputs!$B$22+(F1016-Calc!F22),(Inputs!$B$23+(IF(ArtifactsInput!$M$15,CHOOSE(ArtifactsInput!$N$15+1,25,30,35,40,45,50)/100*(Inputs!$B$11-Inputs!$B$11),0))))/100+(Inputs!$B$23+(IF(ArtifactsInput!$M$15,CHOOSE(ArtifactsInput!$N$15+1,25,30,35,40,45,50)/100*(Inputs!$B$11-Inputs!$B$11),0)))/100)/2</f>
        <v/>
      </c>
      <c r="M1007">
        <f>L1007*(1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7">
        <f>L1007*(1-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1007*(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7">
        <f>(1-Summary!$B$11)*S1007+Summary!$B$11*U1007</f>
        <v/>
      </c>
      <c r="P1007">
        <f>IF(B1035=0,0,O1007/B1035)</f>
        <v/>
      </c>
      <c r="Q1007">
        <f>IFERROR(1/(IF(Inputs!$B$38="pvp",15,MAX(0.1,Skills!E13-IF(Skills!F13=TRUE,Inputs!$B$32,0)))*(1-IF(AND(ArtifactsInput!$M$27,Inputs!$B$4="Chapter Hunt"),CHOOSE(ArtifactsInput!$N$27+1,20,24,28,32,36,40),0)/100)),0)</f>
        <v/>
      </c>
      <c r="R1007">
        <f>IF(AND(Inputs!$B$38&lt;&gt;"pvp",Inputs!$B$43&gt;0),IF(MAX(0,Inputs!$B$43-B1032)&lt;=0,0,(INT(MAX(0,Inputs!$B$43-B1032)/(IF(Inputs!$B$38="pvp",15,MAX(0.1,Skills!E13-IF(Skills!F13=TRUE,Inputs!$B$32,0)))*(1-IF(AND(ArtifactsInput!$M$27,Inputs!$B$4="Chapter Hunt"),CHOOSE(ArtifactsInput!$N$27+1,20,24,28,32,36,40),0)/100)))+1)),0)</f>
        <v/>
      </c>
      <c r="S1007">
        <f>IF(C1007,(H1007*N1007*IF(AND(Inputs!$B$38&lt;&gt;"pvp",Inputs!$B$43&gt;0),((Skills!G13*((R1007-1)*IF(Skills!H13&gt;0,Skills!I13/Skills!H13,1)+IF(Skills!H13&gt;0,MIN(Skills!I13,MAX(0,MAX(0,Inputs!$B$43-B1032)-((R1007-1)*(IF(Inputs!$B$38="pvp",15,MAX(0.1,Skills!E13-IF(Skills!F13=TRUE,Inputs!$B$32,0)))*(1-IF(AND(ArtifactsInput!$M$27,Inputs!$B$4="Chapter Hunt"),CHOOSE(ArtifactsInput!$N$27+1,20,24,28,32,36,40),0)/100)))))/Skills!H13,1)))/Inputs!$B$43),G1007*Q1007)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1007*(1-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1007*(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1007*(1-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1007*(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07">
        <f>IF(C1007,(H1007*N1007*IF(AND(Inputs!$B$38&lt;&gt;"pvp",Inputs!$B$43&gt;0),((Skills!G13*((R1007-1)*IF(Skills!H13&gt;0,Skills!I13/Skills!H13,1)+IF(Skills!H13&gt;0,MIN(Skills!I13,MAX(0,MAX(0,Inputs!$B$43-B1032)-((R1007-1)*(IF(Inputs!$B$38="pvp",15,MAX(0.1,Skills!E13-IF(Skills!F13=TRUE,Inputs!$B$32,0)))*(1-IF(AND(ArtifactsInput!$M$27,Inputs!$B$4="Chapter Hunt"),CHOOSE(ArtifactsInput!$N$27+1,20,24,28,32,36,40),0)/100)))))/Skills!H13,1)))/Inputs!$B$43),G1007*Q1007)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8">
      <c r="A1008">
        <f>Skills!A14</f>
        <v/>
      </c>
      <c r="B1008">
        <f>Skills!B14</f>
        <v/>
      </c>
      <c r="C1008">
        <f>Inputs!$B$3&gt;=113</f>
        <v/>
      </c>
      <c r="D1008">
        <f>IF(Skills!C14=1,60+Inputs!$B$25+Inputs!$B$29,IF(Skills!C14=2,90+Inputs!$B$26+Inputs!$B$29,IF(Skills!C14=3,120+Inputs!$B$27+Inputs!$B$29,MAX(0,(Inputs!$B$3-100)*3)+Inputs!$B$28+Inputs!$B$29)))</f>
        <v/>
      </c>
      <c r="E1008">
        <f>INDEX(FactorTable!$B$2:$Y$301, MATCH(ROUND(MIN(300,MAX(1,D1008)),0), FactorTable!$A$2:$A$301,0), Skills!M14+1)</f>
        <v/>
      </c>
      <c r="F1008">
        <f>IF(Skills!N14=TRUE,(Skills!L14/10)*(E1008/1000),Skills!L14/10)+Skills!O14</f>
        <v/>
      </c>
      <c r="G1008">
        <f>Calc!G14</f>
        <v/>
      </c>
      <c r="H1008">
        <f>Calc!H14</f>
        <v/>
      </c>
      <c r="I1008">
        <f>IF(Skills!X14&lt;&gt;"",1+(Skills!X14/10)*(Z997/1000)/100,1)</f>
        <v/>
      </c>
      <c r="J1008">
        <f>((Inputs!$B$6*(1+(Inputs!$B$7+1)/100))+(((Inputs!$B$12*(1+Inputs!$B$13/100))-(Inputs!$B$12*(1+Inputs!$B$13/100)))+0.25*(Inputs!$B$14-Inputs!$B$14))*(1+(Inputs!$B$7+1)/100))*(F1008/100)</f>
        <v/>
      </c>
      <c r="K1008">
        <f>J1008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1008)</f>
        <v/>
      </c>
      <c r="L1008">
        <f>K1008*(MIN(Inputs!$B$22+(F1016-Calc!F22),(Inputs!$B$23+(IF(ArtifactsInput!$M$15,CHOOSE(ArtifactsInput!$N$15+1,25,30,35,40,45,50)/100*(Inputs!$B$11-Inputs!$B$11),0))))/100+(Inputs!$B$23+(IF(ArtifactsInput!$M$15,CHOOSE(ArtifactsInput!$N$15+1,25,30,35,40,45,50)/100*(Inputs!$B$11-Inputs!$B$11),0)))/100)/2</f>
        <v/>
      </c>
      <c r="M1008">
        <f>L1008*(1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8">
        <f>L1008*(1-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1008*(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8">
        <f>(1-Summary!$B$11)*S1008+Summary!$B$11*U1008</f>
        <v/>
      </c>
      <c r="P1008">
        <f>IF(B1035=0,0,O1008/B1035)</f>
        <v/>
      </c>
      <c r="Q1008">
        <f>IFERROR(1/(IF(Inputs!$B$38="pvp",15,MAX(0.1,Skills!E14-IF(Skills!F14=TRUE,Inputs!$B$32,0)))*(1-IF(AND(ArtifactsInput!$M$27,Inputs!$B$4="Chapter Hunt"),CHOOSE(ArtifactsInput!$N$27+1,20,24,28,32,36,40),0)/100)),0)</f>
        <v/>
      </c>
      <c r="R1008" t="n">
        <v>0</v>
      </c>
      <c r="S1008">
        <f>IF(C1008,((H1008*B1031)/(1+Skills!H14*H1008*B1031)*N1008)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1008*(1-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1008*(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1008*(1-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1008*(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08">
        <f>IF(C1008,((H1008*B1031)/(1+Skills!H14*H1008*B1031)*N1008)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9">
      <c r="A1009">
        <f>Skills!A15</f>
        <v/>
      </c>
      <c r="B1009">
        <f>Skills!B15</f>
        <v/>
      </c>
      <c r="C1009">
        <f>Inputs!$B$3&gt;=107</f>
        <v/>
      </c>
      <c r="D1009">
        <f>IF(Skills!C15=1,60+Inputs!$B$25+Inputs!$B$29,IF(Skills!C15=2,90+Inputs!$B$26+Inputs!$B$29,IF(Skills!C15=3,120+Inputs!$B$27+Inputs!$B$29,MAX(0,(Inputs!$B$3-100)*3)+Inputs!$B$28+Inputs!$B$29)))</f>
        <v/>
      </c>
      <c r="E1009">
        <f>INDEX(FactorTable!$B$2:$Y$301, MATCH(ROUND(MIN(300,MAX(1,D1009)),0), FactorTable!$A$2:$A$301,0), Skills!M15+1)</f>
        <v/>
      </c>
      <c r="F1009">
        <f>IF(Skills!N15=TRUE,(Skills!L15/10)*(E1009/1000),Skills!L15/10)+Skills!O15</f>
        <v/>
      </c>
      <c r="G1009">
        <f>Calc!G15</f>
        <v/>
      </c>
      <c r="H1009">
        <f>Calc!H15</f>
        <v/>
      </c>
      <c r="I1009">
        <f>IF(Skills!X15&lt;&gt;"",1+(Skills!X15/10)*(Z997/1000)/100,1)</f>
        <v/>
      </c>
      <c r="J1009">
        <f>((Inputs!$B$6*(1+(Inputs!$B$7+1)/100))+(((Inputs!$B$12*(1+Inputs!$B$13/100))-(Inputs!$B$12*(1+Inputs!$B$13/100)))+0.25*(Inputs!$B$14-Inputs!$B$14))*(1+(Inputs!$B$7+1)/100))*(F1009/100)</f>
        <v/>
      </c>
      <c r="K1009">
        <f>J1009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1009)</f>
        <v/>
      </c>
      <c r="L1009">
        <f>K1009*(MIN(Inputs!$B$22+(F1016-Calc!F22),(Inputs!$B$23+(IF(ArtifactsInput!$M$15,CHOOSE(ArtifactsInput!$N$15+1,25,30,35,40,45,50)/100*(Inputs!$B$11-Inputs!$B$11),0))))/100+(Inputs!$B$23+(IF(ArtifactsInput!$M$15,CHOOSE(ArtifactsInput!$N$15+1,25,30,35,40,45,50)/100*(Inputs!$B$11-Inputs!$B$11),0)))/100)/2</f>
        <v/>
      </c>
      <c r="M1009">
        <f>L1009*(1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9">
        <f>L1009*(1-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1009*(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9">
        <f>(1-Summary!$B$11)*S1009+Summary!$B$11*U1009</f>
        <v/>
      </c>
      <c r="P1009">
        <f>IF(B1035=0,0,O1009/B1035)</f>
        <v/>
      </c>
      <c r="Q1009">
        <f>IFERROR(1/(IF(Inputs!$B$38="pvp",15,MAX(0.1,Skills!E15-IF(Skills!F15=TRUE,Inputs!$B$32,0)))*(1-IF(AND(ArtifactsInput!$M$27,Inputs!$B$4="Chapter Hunt"),CHOOSE(ArtifactsInput!$N$27+1,20,24,28,32,36,40),0)/100)),0)</f>
        <v/>
      </c>
      <c r="R1009">
        <f>IF(AND(Inputs!$B$38&lt;&gt;"pvp",Inputs!$B$43&gt;0),IF(MAX(0,Inputs!$B$43-B1032)&lt;=0,0,(INT(MAX(0,Inputs!$B$43-B1032)/(IF(Inputs!$B$38="pvp",15,MAX(0.1,Skills!E15-IF(Skills!F15=TRUE,Inputs!$B$32,0)))*(1-IF(AND(ArtifactsInput!$M$27,Inputs!$B$4="Chapter Hunt"),CHOOSE(ArtifactsInput!$N$27+1,20,24,28,32,36,40),0)/100)))+1)),0)</f>
        <v/>
      </c>
      <c r="S1009">
        <f>IF(C1009,(H1009*N1009*IF(AND(Inputs!$B$38&lt;&gt;"pvp",Inputs!$B$43&gt;0),((Skills!G15*((R1009-1)*IF(Skills!H15&gt;0,Skills!I15/Skills!H15,1)+IF(Skills!H15&gt;0,MIN(Skills!I15,MAX(0,MAX(0,Inputs!$B$43-B1032)-((R1009-1)*(IF(Inputs!$B$38="pvp",15,MAX(0.1,Skills!E15-IF(Skills!F15=TRUE,Inputs!$B$32,0)))*(1-IF(AND(ArtifactsInput!$M$27,Inputs!$B$4="Chapter Hunt"),CHOOSE(ArtifactsInput!$N$27+1,20,24,28,32,36,40),0)/100)))))/Skills!H15,1)))/Inputs!$B$43),G1009*Q1009)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1009*(1-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1009*(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1009*(1-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1009*(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09">
        <f>IF(C1009,(H1009*N1009*IF(AND(Inputs!$B$38&lt;&gt;"pvp",Inputs!$B$43&gt;0),((Skills!G15*((R1009-1)*IF(Skills!H15&gt;0,Skills!I15/Skills!H15,1)+IF(Skills!H15&gt;0,MIN(Skills!I15,MAX(0,MAX(0,Inputs!$B$43-B1032)-((R1009-1)*(IF(Inputs!$B$38="pvp",15,MAX(0.1,Skills!E15-IF(Skills!F15=TRUE,Inputs!$B$32,0)))*(1-IF(AND(ArtifactsInput!$M$27,Inputs!$B$4="Chapter Hunt"),CHOOSE(ArtifactsInput!$N$27+1,20,24,28,32,36,40),0)/100)))))/Skills!H15,1)))/Inputs!$B$43),G1009*Q1009)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0">
      <c r="A1010">
        <f>Skills!A16</f>
        <v/>
      </c>
      <c r="B1010">
        <f>Skills!B16</f>
        <v/>
      </c>
      <c r="C1010">
        <f>Inputs!$B$3&gt;=107</f>
        <v/>
      </c>
      <c r="D1010">
        <f>IF(Skills!C16=1,60+Inputs!$B$25+Inputs!$B$29,IF(Skills!C16=2,90+Inputs!$B$26+Inputs!$B$29,IF(Skills!C16=3,120+Inputs!$B$27+Inputs!$B$29,MAX(0,(Inputs!$B$3-100)*3)+Inputs!$B$28+Inputs!$B$29)))</f>
        <v/>
      </c>
      <c r="E1010">
        <f>INDEX(FactorTable!$B$2:$Y$301, MATCH(ROUND(MIN(300,MAX(1,D1010)),0), FactorTable!$A$2:$A$301,0), Skills!M16+1)</f>
        <v/>
      </c>
      <c r="F1010">
        <f>IF(Skills!N16=TRUE,(Skills!L16/10)*(E1010/1000),Skills!L16/10)+Skills!O16</f>
        <v/>
      </c>
      <c r="G1010">
        <f>Calc!G16</f>
        <v/>
      </c>
      <c r="H1010">
        <f>Calc!H16</f>
        <v/>
      </c>
      <c r="I1010">
        <f>IF(Skills!X16&lt;&gt;"",1+(Skills!X16/10)*(Z997/1000)/100,1)</f>
        <v/>
      </c>
      <c r="J1010">
        <f>((Inputs!$B$6*(1+(Inputs!$B$7+1)/100))+(((Inputs!$B$12*(1+Inputs!$B$13/100))-(Inputs!$B$12*(1+Inputs!$B$13/100)))+0.25*(Inputs!$B$14-Inputs!$B$14))*(1+(Inputs!$B$7+1)/100))*(F1010/100)</f>
        <v/>
      </c>
      <c r="K1010">
        <f>J1010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1010)</f>
        <v/>
      </c>
      <c r="L1010">
        <f>K1010*(MIN(Inputs!$B$22+(F1016-Calc!F22),(Inputs!$B$23+(IF(ArtifactsInput!$M$15,CHOOSE(ArtifactsInput!$N$15+1,25,30,35,40,45,50)/100*(Inputs!$B$11-Inputs!$B$11),0))))/100+(Inputs!$B$23+(IF(ArtifactsInput!$M$15,CHOOSE(ArtifactsInput!$N$15+1,25,30,35,40,45,50)/100*(Inputs!$B$11-Inputs!$B$11),0)))/100)/2</f>
        <v/>
      </c>
      <c r="M1010">
        <f>L1010*(1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0">
        <f>L1010*(1-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1010*(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0">
        <f>(1-Summary!$B$11)*S1010+Summary!$B$11*U1010</f>
        <v/>
      </c>
      <c r="P1010">
        <f>IF(B1035=0,0,O1010/B1035)</f>
        <v/>
      </c>
      <c r="Q1010">
        <f>IFERROR(1/(IF(Inputs!$B$38="pvp",15,MAX(0.1,Skills!E16-IF(Skills!F16=TRUE,Inputs!$B$32,0)))*(1-IF(AND(ArtifactsInput!$M$27,Inputs!$B$4="Chapter Hunt"),CHOOSE(ArtifactsInput!$N$27+1,20,24,28,32,36,40),0)/100)),0)</f>
        <v/>
      </c>
      <c r="R1010">
        <f>IF(AND(Inputs!$B$38&lt;&gt;"pvp",Inputs!$B$43&gt;0),IF(MAX(0,Inputs!$B$43-B1032)&lt;=0,0,(INT(MAX(0,Inputs!$B$43-B1032)/(IF(Inputs!$B$38="pvp",15,MAX(0.1,Skills!E16-IF(Skills!F16=TRUE,Inputs!$B$32,0)))*(1-IF(AND(ArtifactsInput!$M$27,Inputs!$B$4="Chapter Hunt"),CHOOSE(ArtifactsInput!$N$27+1,20,24,28,32,36,40),0)/100)))+1)),0)</f>
        <v/>
      </c>
      <c r="S1010">
        <f>IF(C1010,(H1010*N1010*IF(AND(Inputs!$B$38&lt;&gt;"pvp",Inputs!$B$43&gt;0),((Skills!G16*((R1010-1)*IF(Skills!H16&gt;0,Skills!I16/Skills!H16,1)+IF(Skills!H16&gt;0,MIN(Skills!I16,MAX(0,MAX(0,Inputs!$B$43-B1032)-((R1010-1)*(IF(Inputs!$B$38="pvp",15,MAX(0.1,Skills!E16-IF(Skills!F16=TRUE,Inputs!$B$32,0)))*(1-IF(AND(ArtifactsInput!$M$27,Inputs!$B$4="Chapter Hunt"),CHOOSE(ArtifactsInput!$N$27+1,20,24,28,32,36,40),0)/100)))))/Skills!H16,1)))/Inputs!$B$43),G1010*Q1010)*(1+IF(Inputs!$B$3&gt;=126,0.05*(B1030+Q1007+(H1008*B1031)/(1+Skills!H14*H1008*B1031)+Q1018)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1010*(1-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1010*(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1010*(1-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1010*(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0">
        <f>IF(C1010,(H1010*N1010*IF(AND(Inputs!$B$38&lt;&gt;"pvp",Inputs!$B$43&gt;0),((Skills!G16*((R1010-1)*IF(Skills!H16&gt;0,Skills!I16/Skills!H16,1)+IF(Skills!H16&gt;0,MIN(Skills!I16,MAX(0,MAX(0,Inputs!$B$43-B1032)-((R1010-1)*(IF(Inputs!$B$38="pvp",15,MAX(0.1,Skills!E16-IF(Skills!F16=TRUE,Inputs!$B$32,0)))*(1-IF(AND(ArtifactsInput!$M$27,Inputs!$B$4="Chapter Hunt"),CHOOSE(ArtifactsInput!$N$27+1,20,24,28,32,36,40),0)/100)))))/Skills!H16,1)))/Inputs!$B$43),G1010*Q1010)*(1+IF(Inputs!$B$3&gt;=126,0.05*(B1030+Q1007+(H1008*B1031)/(1+Skills!H14*H1008*B1031)+Q1018)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1">
      <c r="A1011">
        <f>Skills!A17</f>
        <v/>
      </c>
      <c r="B1011">
        <f>Skills!B17</f>
        <v/>
      </c>
      <c r="C1011">
        <f>TRUE</f>
        <v/>
      </c>
      <c r="D1011">
        <f>IF(Skills!C17=1,60+Inputs!$B$25+Inputs!$B$29,IF(Skills!C17=2,90+Inputs!$B$26+Inputs!$B$29,IF(Skills!C17=3,120+Inputs!$B$27+Inputs!$B$29,MAX(0,(Inputs!$B$3-100)*3)+Inputs!$B$28+Inputs!$B$29)))</f>
        <v/>
      </c>
      <c r="E1011">
        <f>INDEX(FactorTable!$B$2:$Y$301, MATCH(ROUND(MIN(300,MAX(1,D1011)),0), FactorTable!$A$2:$A$301,0), Skills!M17+1)</f>
        <v/>
      </c>
      <c r="F1011">
        <f>IF(Skills!N17=TRUE,(Skills!L17/10)*(E1011/1000),Skills!L17/10)+Skills!O17</f>
        <v/>
      </c>
      <c r="G1011">
        <f>Calc!G17</f>
        <v/>
      </c>
      <c r="H1011">
        <f>Calc!H17</f>
        <v/>
      </c>
      <c r="I1011">
        <f>IF(Skills!X17&lt;&gt;"",1+(Skills!X17/10)*(Z997/1000)/100,1)</f>
        <v/>
      </c>
      <c r="J1011" t="inlineStr"/>
      <c r="K1011" t="inlineStr"/>
      <c r="L1011" t="inlineStr"/>
      <c r="M1011" t="inlineStr"/>
      <c r="N1011" t="inlineStr"/>
      <c r="O1011">
        <f>(1-Summary!$B$11)*S1011+Summary!$B$11*U1011</f>
        <v/>
      </c>
      <c r="P1011">
        <f>IF(B1035=0,0,O1011/B1035)</f>
        <v/>
      </c>
      <c r="Q1011">
        <f>IFERROR(1/(IF(Inputs!$B$38="pvp",15,MAX(0.1,Skills!E17-IF(Skills!F17=TRUE,Inputs!$B$32,0)))*(1-IF(AND(ArtifactsInput!$M$27,Inputs!$B$4="Chapter Hunt"),CHOOSE(ArtifactsInput!$N$27+1,20,24,28,32,36,40),0)/100)),0)</f>
        <v/>
      </c>
      <c r="R1011">
        <f>IF(AND(Inputs!$B$38&lt;&gt;"pvp",Inputs!$B$43&gt;0),IF(Inputs!$B$43&lt;=0,0,(INT(Inputs!$B$43/(IF(Inputs!$B$38="pvp",15,MAX(0.1,Skills!E17-IF(Skills!F17=TRUE,Inputs!$B$32,0)))*(1-IF(AND(ArtifactsInput!$M$27,Inputs!$B$4="Chapter Hunt"),CHOOSE(ArtifactsInput!$N$27+1,20,24,28,32,36,40),0)/100)))+1)),0)</f>
        <v/>
      </c>
      <c r="S1011" t="n">
        <v>0</v>
      </c>
      <c r="U1011" t="n">
        <v>0</v>
      </c>
    </row>
    <row r="1012">
      <c r="A1012">
        <f>Skills!A18</f>
        <v/>
      </c>
      <c r="B1012">
        <f>Skills!B18</f>
        <v/>
      </c>
      <c r="C1012">
        <f>TRUE</f>
        <v/>
      </c>
      <c r="D1012">
        <f>IF(Skills!C18=1,60+Inputs!$B$25+Inputs!$B$29,IF(Skills!C18=2,90+Inputs!$B$26+Inputs!$B$29,IF(Skills!C18=3,120+Inputs!$B$27+Inputs!$B$29,MAX(0,(Inputs!$B$3-100)*3)+Inputs!$B$28+Inputs!$B$29)))</f>
        <v/>
      </c>
      <c r="E1012">
        <f>INDEX(FactorTable!$B$2:$Y$301, MATCH(ROUND(MIN(300,MAX(1,D1012)),0), FactorTable!$A$2:$A$301,0), Skills!M18+1)</f>
        <v/>
      </c>
      <c r="F1012">
        <f>IF(Skills!N18=TRUE,(Skills!L18/10)*(E1012/1000),Skills!L18/10)+Skills!O18</f>
        <v/>
      </c>
      <c r="G1012">
        <f>Calc!G18</f>
        <v/>
      </c>
      <c r="H1012">
        <f>Calc!H18</f>
        <v/>
      </c>
      <c r="I1012">
        <f>IF(Skills!X18&lt;&gt;"",1+(Skills!X18/10)*(Z997/1000)/100,1)</f>
        <v/>
      </c>
      <c r="J1012" t="inlineStr"/>
      <c r="K1012" t="inlineStr"/>
      <c r="L1012" t="inlineStr"/>
      <c r="M1012" t="inlineStr"/>
      <c r="N1012" t="inlineStr"/>
      <c r="O1012">
        <f>(1-Summary!$B$11)*S1012+Summary!$B$11*U1012</f>
        <v/>
      </c>
      <c r="P1012">
        <f>IF(B1035=0,0,O1012/B1035)</f>
        <v/>
      </c>
      <c r="Q1012">
        <f>IFERROR(1/(IF(Inputs!$B$38="pvp",15,MAX(0.1,Skills!E18-IF(Skills!F18=TRUE,Inputs!$B$32,0)))*(1-IF(AND(ArtifactsInput!$M$27,Inputs!$B$4="Chapter Hunt"),CHOOSE(ArtifactsInput!$N$27+1,20,24,28,32,36,40),0)/100)),0)</f>
        <v/>
      </c>
      <c r="R1012">
        <f>IF(AND(Inputs!$B$38&lt;&gt;"pvp",Inputs!$B$43&gt;0),IF(Inputs!$B$43&lt;=0,0,(INT(Inputs!$B$43/(IF(Inputs!$B$38="pvp",15,MAX(0.1,Skills!E18-IF(Skills!F18=TRUE,Inputs!$B$32,0)))*(1-IF(AND(ArtifactsInput!$M$27,Inputs!$B$4="Chapter Hunt"),CHOOSE(ArtifactsInput!$N$27+1,20,24,28,32,36,40),0)/100)))+1)),0)</f>
        <v/>
      </c>
      <c r="S1012" t="n">
        <v>0</v>
      </c>
      <c r="U1012" t="n">
        <v>0</v>
      </c>
    </row>
    <row r="1013">
      <c r="A1013">
        <f>Skills!A19</f>
        <v/>
      </c>
      <c r="B1013">
        <f>Skills!B19</f>
        <v/>
      </c>
      <c r="C1013">
        <f>Inputs!$B$3&gt;=110</f>
        <v/>
      </c>
      <c r="D1013">
        <f>IF(Skills!C19=1,60+Inputs!$B$25+Inputs!$B$29,IF(Skills!C19=2,90+Inputs!$B$26+Inputs!$B$29,IF(Skills!C19=3,120+Inputs!$B$27+Inputs!$B$29,MAX(0,(Inputs!$B$3-100)*3)+Inputs!$B$28+Inputs!$B$29)))</f>
        <v/>
      </c>
      <c r="E1013">
        <f>INDEX(FactorTable!$B$2:$Y$301, MATCH(ROUND(MIN(300,MAX(1,D1013)),0), FactorTable!$A$2:$A$301,0), Skills!M19+1)</f>
        <v/>
      </c>
      <c r="F1013">
        <f>IF(Skills!N19=TRUE,(Skills!L19/10)*(E1013/1000),Skills!L19/10)+Skills!O19</f>
        <v/>
      </c>
      <c r="G1013">
        <f>Calc!G19</f>
        <v/>
      </c>
      <c r="H1013">
        <f>Calc!H19</f>
        <v/>
      </c>
      <c r="I1013">
        <f>IF(Skills!X19&lt;&gt;"",1+(Skills!X19/10)*(Z997/1000)/100,1)</f>
        <v/>
      </c>
      <c r="J1013" t="inlineStr"/>
      <c r="K1013" t="inlineStr"/>
      <c r="L1013" t="inlineStr"/>
      <c r="M1013" t="inlineStr"/>
      <c r="N1013" t="inlineStr"/>
      <c r="O1013">
        <f>(1-Summary!$B$11)*S1013+Summary!$B$11*U1013</f>
        <v/>
      </c>
      <c r="P1013">
        <f>IF(B1035=0,0,O1013/B1035)</f>
        <v/>
      </c>
      <c r="Q1013">
        <f>IFERROR(1/(IF(Inputs!$B$38="pvp",15,MAX(0.1,Skills!E19-IF(Skills!F19=TRUE,Inputs!$B$32,0)))*(1-IF(AND(ArtifactsInput!$M$27,Inputs!$B$4="Chapter Hunt"),CHOOSE(ArtifactsInput!$N$27+1,20,24,28,32,36,40),0)/100)),0)</f>
        <v/>
      </c>
      <c r="R1013">
        <f>IF(AND(Inputs!$B$38&lt;&gt;"pvp",Inputs!$B$43&gt;0),IF(Inputs!$B$43&lt;=0,0,(INT(Inputs!$B$43/(IF(Inputs!$B$38="pvp",15,MAX(0.1,Skills!E19-IF(Skills!F19=TRUE,Inputs!$B$32,0)))*(1-IF(AND(ArtifactsInput!$M$27,Inputs!$B$4="Chapter Hunt"),CHOOSE(ArtifactsInput!$N$27+1,20,24,28,32,36,40),0)/100)))+1)),0)</f>
        <v/>
      </c>
      <c r="S1013" t="n">
        <v>0</v>
      </c>
      <c r="U1013" t="n">
        <v>0</v>
      </c>
    </row>
    <row r="1014">
      <c r="A1014">
        <f>Skills!A20</f>
        <v/>
      </c>
      <c r="B1014">
        <f>Skills!B20</f>
        <v/>
      </c>
      <c r="C1014">
        <f>TRUE</f>
        <v/>
      </c>
      <c r="D1014">
        <f>IF(Skills!C20=1,60+Inputs!$B$25+Inputs!$B$29,IF(Skills!C20=2,90+Inputs!$B$26+Inputs!$B$29,IF(Skills!C20=3,120+Inputs!$B$27+Inputs!$B$29,MAX(0,(Inputs!$B$3-100)*3)+Inputs!$B$28+Inputs!$B$29)))</f>
        <v/>
      </c>
      <c r="E1014">
        <f>INDEX(FactorTable!$B$2:$Y$301, MATCH(ROUND(MIN(300,MAX(1,D1014)),0), FactorTable!$A$2:$A$301,0), Skills!M20+1)</f>
        <v/>
      </c>
      <c r="F1014">
        <f>IF(Skills!N20=TRUE,(Skills!L20/10)*(E1014/1000),Skills!L20/10)+Skills!O20</f>
        <v/>
      </c>
      <c r="G1014">
        <f>Calc!G20</f>
        <v/>
      </c>
      <c r="H1014">
        <f>Calc!H20</f>
        <v/>
      </c>
      <c r="I1014">
        <f>IF(Skills!X20&lt;&gt;"",1+(Skills!X20/10)*(Z997/1000)/100,1)</f>
        <v/>
      </c>
      <c r="J1014" t="inlineStr"/>
      <c r="K1014" t="inlineStr"/>
      <c r="L1014" t="inlineStr"/>
      <c r="M1014" t="inlineStr"/>
      <c r="N1014" t="inlineStr"/>
      <c r="O1014">
        <f>(1-Summary!$B$11)*S1014+Summary!$B$11*U1014</f>
        <v/>
      </c>
      <c r="P1014">
        <f>IF(B1035=0,0,O1014/B1035)</f>
        <v/>
      </c>
      <c r="Q1014">
        <f>IFERROR(1/(IF(Inputs!$B$38="pvp",15,MAX(0.1,Skills!E20-IF(Skills!F20=TRUE,Inputs!$B$32,0)))*(1-IF(AND(ArtifactsInput!$M$27,Inputs!$B$4="Chapter Hunt"),CHOOSE(ArtifactsInput!$N$27+1,20,24,28,32,36,40),0)/100)),0)</f>
        <v/>
      </c>
      <c r="R1014" t="n">
        <v>0</v>
      </c>
      <c r="S1014" t="n">
        <v>0</v>
      </c>
      <c r="U1014" t="n">
        <v>0</v>
      </c>
    </row>
    <row r="1015">
      <c r="A1015">
        <f>Skills!A21</f>
        <v/>
      </c>
      <c r="B1015">
        <f>Skills!B21</f>
        <v/>
      </c>
      <c r="C1015">
        <f>TRUE</f>
        <v/>
      </c>
      <c r="D1015">
        <f>IF(Skills!C21=1,60+Inputs!$B$25+Inputs!$B$29,IF(Skills!C21=2,90+Inputs!$B$26+Inputs!$B$29,IF(Skills!C21=3,120+Inputs!$B$27+Inputs!$B$29,MAX(0,(Inputs!$B$3-100)*3)+Inputs!$B$28+Inputs!$B$29)))</f>
        <v/>
      </c>
      <c r="E1015">
        <f>INDEX(FactorTable!$B$2:$Y$301, MATCH(ROUND(MIN(300,MAX(1,D1015)),0), FactorTable!$A$2:$A$301,0), Skills!M21+1)</f>
        <v/>
      </c>
      <c r="F1015">
        <f>IF(Skills!N21=TRUE,(Skills!L21/10)*(E1015/1000),Skills!L21/10)+Skills!O21</f>
        <v/>
      </c>
      <c r="G1015">
        <f>Calc!G21</f>
        <v/>
      </c>
      <c r="H1015">
        <f>Calc!H21</f>
        <v/>
      </c>
      <c r="I1015">
        <f>IF(Skills!X21&lt;&gt;"",1+(Skills!X21/10)*(Z997/1000)/100,1)</f>
        <v/>
      </c>
      <c r="J1015" t="inlineStr"/>
      <c r="K1015" t="inlineStr"/>
      <c r="L1015" t="inlineStr"/>
      <c r="M1015" t="inlineStr"/>
      <c r="N1015" t="inlineStr"/>
      <c r="O1015">
        <f>(1-Summary!$B$11)*S1015+Summary!$B$11*U1015</f>
        <v/>
      </c>
      <c r="P1015">
        <f>IF(B1035=0,0,O1015/B1035)</f>
        <v/>
      </c>
      <c r="Q1015">
        <f>IFERROR(1/(IF(Inputs!$B$38="pvp",15,MAX(0.1,Skills!E21-IF(Skills!F21=TRUE,Inputs!$B$32,0)))*(1-IF(AND(ArtifactsInput!$M$27,Inputs!$B$4="Chapter Hunt"),CHOOSE(ArtifactsInput!$N$27+1,20,24,28,32,36,40),0)/100)),0)</f>
        <v/>
      </c>
      <c r="R1015" t="n">
        <v>0</v>
      </c>
      <c r="S1015" t="n">
        <v>0</v>
      </c>
      <c r="U1015" t="n">
        <v>0</v>
      </c>
    </row>
    <row r="1016">
      <c r="A1016">
        <f>Skills!A22</f>
        <v/>
      </c>
      <c r="B1016">
        <f>Skills!B22</f>
        <v/>
      </c>
      <c r="C1016">
        <f>TRUE</f>
        <v/>
      </c>
      <c r="D1016">
        <f>IF(Skills!C22=1,60+Inputs!$B$25+Inputs!$B$29,IF(Skills!C22=2,90+Inputs!$B$26+Inputs!$B$29,IF(Skills!C22=3,120+Inputs!$B$27+Inputs!$B$29,MAX(0,(Inputs!$B$3-100)*3)+Inputs!$B$28+Inputs!$B$29)))</f>
        <v/>
      </c>
      <c r="E1016">
        <f>INDEX(FactorTable!$B$2:$Y$301, MATCH(ROUND(MIN(300,MAX(1,D1016)),0), FactorTable!$A$2:$A$301,0), Skills!M22+1)</f>
        <v/>
      </c>
      <c r="F1016">
        <f>IF(Skills!N22=TRUE,(Skills!L22/10)*(E1016/1000),Skills!L22/10)+Skills!O22</f>
        <v/>
      </c>
      <c r="G1016">
        <f>Calc!G22</f>
        <v/>
      </c>
      <c r="H1016">
        <f>Calc!H22</f>
        <v/>
      </c>
      <c r="I1016">
        <f>IF(Skills!X22&lt;&gt;"",1+(Skills!X22/10)*(Z997/1000)/100,1)</f>
        <v/>
      </c>
      <c r="J1016" t="inlineStr"/>
      <c r="K1016" t="inlineStr"/>
      <c r="L1016" t="inlineStr"/>
      <c r="M1016" t="inlineStr"/>
      <c r="N1016" t="inlineStr"/>
      <c r="O1016">
        <f>(1-Summary!$B$11)*S1016+Summary!$B$11*U1016</f>
        <v/>
      </c>
      <c r="P1016">
        <f>IF(B1035=0,0,O1016/B1035)</f>
        <v/>
      </c>
      <c r="Q1016">
        <f>IFERROR(1/(IF(Inputs!$B$38="pvp",15,MAX(0.1,Skills!E22-IF(Skills!F22=TRUE,Inputs!$B$32,0)))*(1-IF(AND(ArtifactsInput!$M$27,Inputs!$B$4="Chapter Hunt"),CHOOSE(ArtifactsInput!$N$27+1,20,24,28,32,36,40),0)/100)),0)</f>
        <v/>
      </c>
      <c r="R1016" t="n">
        <v>0</v>
      </c>
      <c r="S1016" t="n">
        <v>0</v>
      </c>
      <c r="U1016" t="n">
        <v>0</v>
      </c>
    </row>
    <row r="1017">
      <c r="A1017">
        <f>Skills!A23</f>
        <v/>
      </c>
      <c r="B1017">
        <f>Skills!B23</f>
        <v/>
      </c>
      <c r="C1017">
        <f>TRUE</f>
        <v/>
      </c>
      <c r="D1017">
        <f>IF(Skills!C23=1,60+Inputs!$B$25+Inputs!$B$29,IF(Skills!C23=2,90+Inputs!$B$26+Inputs!$B$29,IF(Skills!C23=3,120+Inputs!$B$27+Inputs!$B$29,MAX(0,(Inputs!$B$3-100)*3)+Inputs!$B$28+Inputs!$B$29)))</f>
        <v/>
      </c>
      <c r="E1017">
        <f>INDEX(FactorTable!$B$2:$Y$301, MATCH(ROUND(MIN(300,MAX(1,D1017)),0), FactorTable!$A$2:$A$301,0), Skills!M23+1)</f>
        <v/>
      </c>
      <c r="F1017">
        <f>IF(Skills!N23=TRUE,(Skills!L23/10)*(E1017/1000),Skills!L23/10)+Skills!O23</f>
        <v/>
      </c>
      <c r="G1017">
        <f>Calc!G23</f>
        <v/>
      </c>
      <c r="H1017">
        <f>Calc!H23</f>
        <v/>
      </c>
      <c r="I1017">
        <f>IF(Skills!X23&lt;&gt;"",1+(Skills!X23/10)*(Z997/1000)/100,1)</f>
        <v/>
      </c>
      <c r="J1017" t="inlineStr"/>
      <c r="K1017" t="inlineStr"/>
      <c r="L1017" t="inlineStr"/>
      <c r="M1017" t="inlineStr"/>
      <c r="N1017" t="inlineStr"/>
      <c r="O1017">
        <f>(1-Summary!$B$11)*S1017+Summary!$B$11*U1017</f>
        <v/>
      </c>
      <c r="P1017">
        <f>IF(B1035=0,0,O1017/B1035)</f>
        <v/>
      </c>
      <c r="Q1017">
        <f>IFERROR(1/(IF(Inputs!$B$38="pvp",15,MAX(0.1,Skills!E23-IF(Skills!F23=TRUE,Inputs!$B$32,0)))*(1-IF(AND(ArtifactsInput!$M$27,Inputs!$B$4="Chapter Hunt"),CHOOSE(ArtifactsInput!$N$27+1,20,24,28,32,36,40),0)/100)),0)</f>
        <v/>
      </c>
      <c r="R1017" t="n">
        <v>0</v>
      </c>
      <c r="S1017" t="n">
        <v>0</v>
      </c>
      <c r="U1017" t="n">
        <v>0</v>
      </c>
    </row>
    <row r="1018">
      <c r="A1018">
        <f>Skills!A24</f>
        <v/>
      </c>
      <c r="B1018">
        <f>Skills!B24</f>
        <v/>
      </c>
      <c r="C1018">
        <f>Inputs!$B$3&gt;=115</f>
        <v/>
      </c>
      <c r="D1018">
        <f>IF(Skills!C24=1,60+Inputs!$B$25+Inputs!$B$29,IF(Skills!C24=2,90+Inputs!$B$26+Inputs!$B$29,IF(Skills!C24=3,120+Inputs!$B$27+Inputs!$B$29,MAX(0,(Inputs!$B$3-100)*3)+Inputs!$B$28+Inputs!$B$29)))</f>
        <v/>
      </c>
      <c r="E1018">
        <f>INDEX(FactorTable!$B$2:$Y$301, MATCH(ROUND(MIN(300,MAX(1,D1018)),0), FactorTable!$A$2:$A$301,0), Skills!M24+1)</f>
        <v/>
      </c>
      <c r="F1018">
        <f>IF(Skills!N24=TRUE,(Skills!L24/10)*(E1018/1000),Skills!L24/10)+Skills!O24</f>
        <v/>
      </c>
      <c r="G1018">
        <f>Calc!G24</f>
        <v/>
      </c>
      <c r="H1018">
        <f>Calc!H24</f>
        <v/>
      </c>
      <c r="I1018">
        <f>IF(Skills!X24&lt;&gt;"",1+(Skills!X24/10)*(Z997/1000)/100,1)</f>
        <v/>
      </c>
      <c r="J1018">
        <f>((Inputs!$B$6*(1+(Inputs!$B$7+1)/100))+(((Inputs!$B$12*(1+Inputs!$B$13/100))-(Inputs!$B$12*(1+Inputs!$B$13/100)))+0.25*(Inputs!$B$14-Inputs!$B$14))*(1+(Inputs!$B$7+1)/100))*(F1018/100)</f>
        <v/>
      </c>
      <c r="K1018">
        <f>J1018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1018)</f>
        <v/>
      </c>
      <c r="L1018">
        <f>K1018*(MIN(Inputs!$B$22+(F1016-Calc!F22),(Inputs!$B$23+(IF(ArtifactsInput!$M$15,CHOOSE(ArtifactsInput!$N$15+1,25,30,35,40,45,50)/100*(Inputs!$B$11-Inputs!$B$11),0))))/100+(Inputs!$B$23+(IF(ArtifactsInput!$M$15,CHOOSE(ArtifactsInput!$N$15+1,25,30,35,40,45,50)/100*(Inputs!$B$11-Inputs!$B$11),0)))/100)/2</f>
        <v/>
      </c>
      <c r="M1018">
        <f>L1018*(1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8">
        <f>L1018*(1-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1018*(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8">
        <f>(1-Summary!$B$11)*S1018+Summary!$B$11*U1018</f>
        <v/>
      </c>
      <c r="P1018">
        <f>IF(B1035=0,0,O1018/B1035)</f>
        <v/>
      </c>
      <c r="Q1018">
        <f>IFERROR(1/(IF(Inputs!$B$38="pvp",15,MAX(0.1,Skills!E24-IF(Skills!F24=TRUE,Inputs!$B$32,0)))*(1-IF(AND(ArtifactsInput!$M$27,Inputs!$B$4="Chapter Hunt"),CHOOSE(ArtifactsInput!$N$27+1,20,24,28,32,36,40),0)/100)),0)</f>
        <v/>
      </c>
      <c r="R1018">
        <f>IF(AND(Inputs!$B$38&lt;&gt;"pvp",Inputs!$B$43&gt;0),IF(MAX(0,Inputs!$B$43-B1032)&lt;=0,0,(INT(MAX(0,Inputs!$B$43-B1032)/(IF(Inputs!$B$38="pvp",15,MAX(0.1,Skills!E24-IF(Skills!F24=TRUE,Inputs!$B$32,0)))*(1-IF(AND(ArtifactsInput!$M$27,Inputs!$B$4="Chapter Hunt"),CHOOSE(ArtifactsInput!$N$27+1,20,24,28,32,36,40),0)/100)))+1)),0)</f>
        <v/>
      </c>
      <c r="S1018">
        <f>IF(C1018,(H1018*N1018*IF(AND(Inputs!$B$38&lt;&gt;"pvp",Inputs!$B$43&gt;0),((Skills!G24*((R1018-1)*IF(Skills!H24&gt;0,Skills!I24/Skills!H24,1)+IF(Skills!H24&gt;0,MIN(Skills!I24,MAX(0,MAX(0,Inputs!$B$43-B1032)-((R1018-1)*(IF(Inputs!$B$38="pvp",15,MAX(0.1,Skills!E24-IF(Skills!F24=TRUE,Inputs!$B$32,0)))*(1-IF(AND(ArtifactsInput!$M$27,Inputs!$B$4="Chapter Hunt"),CHOOSE(ArtifactsInput!$N$27+1,20,24,28,32,36,40),0)/100)))))/Skills!H24,1)))/Inputs!$B$43),G1018*Q1018)*(1+IF(Inputs!$B$3&gt;=130,0.2*(Skills!I16/Skills!E15+IF(Inputs!$B$3&gt;=126,0.05*(B1030+Q1007+(H1008*B1031)/(1+Skills!H14*H1008*B1031)+Q1018)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1018*(1-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1018*(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1018*(1-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1018*(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8">
        <f>IF(C1018,(H1018*N1018*IF(AND(Inputs!$B$38&lt;&gt;"pvp",Inputs!$B$43&gt;0),((Skills!G24*((R1018-1)*IF(Skills!H24&gt;0,Skills!I24/Skills!H24,1)+IF(Skills!H24&gt;0,MIN(Skills!I24,MAX(0,MAX(0,Inputs!$B$43-B1032)-((R1018-1)*(IF(Inputs!$B$38="pvp",15,MAX(0.1,Skills!E24-IF(Skills!F24=TRUE,Inputs!$B$32,0)))*(1-IF(AND(ArtifactsInput!$M$27,Inputs!$B$4="Chapter Hunt"),CHOOSE(ArtifactsInput!$N$27+1,20,24,28,32,36,40),0)/100)))))/Skills!H24,1)))/Inputs!$B$43),G1018*Q1018)*(1+IF(Inputs!$B$3&gt;=130,0.2*(Skills!I16/Skills!E15+IF(Inputs!$B$3&gt;=126,0.05*(B1030+Q1007+(H1008*B1031)/(1+Skills!H14*H1008*B1031)+Q1018)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9">
      <c r="A1019">
        <f>Skills!A25</f>
        <v/>
      </c>
      <c r="B1019">
        <f>Skills!B25</f>
        <v/>
      </c>
      <c r="C1019">
        <f>Inputs!$B$3&gt;=117</f>
        <v/>
      </c>
      <c r="D1019">
        <f>IF(Skills!C25=1,60+Inputs!$B$25+Inputs!$B$29,IF(Skills!C25=2,90+Inputs!$B$26+Inputs!$B$29,IF(Skills!C25=3,120+Inputs!$B$27+Inputs!$B$29,MAX(0,(Inputs!$B$3-100)*3)+Inputs!$B$28+Inputs!$B$29)))</f>
        <v/>
      </c>
      <c r="E1019">
        <f>INDEX(FactorTable!$B$2:$Y$301, MATCH(ROUND(MIN(300,MAX(1,D1019)),0), FactorTable!$A$2:$A$301,0), Skills!M25+1)</f>
        <v/>
      </c>
      <c r="F1019">
        <f>IF(Skills!N25=TRUE,(Skills!L25/10)*(E1019/1000),Skills!L25/10)+Skills!O25</f>
        <v/>
      </c>
      <c r="G1019">
        <f>Calc!G25</f>
        <v/>
      </c>
      <c r="H1019">
        <f>Calc!H25</f>
        <v/>
      </c>
      <c r="I1019">
        <f>IF(Skills!X25&lt;&gt;"",1+(Skills!X25/10)*(Z997/1000)/100,1)</f>
        <v/>
      </c>
      <c r="J1019" t="inlineStr"/>
      <c r="K1019" t="inlineStr"/>
      <c r="L1019" t="inlineStr"/>
      <c r="M1019" t="inlineStr"/>
      <c r="N1019" t="inlineStr"/>
      <c r="O1019">
        <f>(1-Summary!$B$11)*S1019+Summary!$B$11*U1019</f>
        <v/>
      </c>
      <c r="P1019">
        <f>IF(B1035=0,0,O1019/B1035)</f>
        <v/>
      </c>
      <c r="Q1019">
        <f>IFERROR(1/(IF(Inputs!$B$38="pvp",15,MAX(0.1,Skills!E25-IF(Skills!F25=TRUE,Inputs!$B$32,0)))*(1-IF(AND(ArtifactsInput!$M$27,Inputs!$B$4="Chapter Hunt"),CHOOSE(ArtifactsInput!$N$27+1,20,24,28,32,36,40),0)/100)),0)</f>
        <v/>
      </c>
      <c r="R1019" t="n">
        <v>0</v>
      </c>
      <c r="S1019" t="n">
        <v>0</v>
      </c>
      <c r="U1019" t="n">
        <v>0</v>
      </c>
    </row>
    <row r="1020">
      <c r="A1020">
        <f>Skills!A26</f>
        <v/>
      </c>
      <c r="B1020">
        <f>Skills!B26</f>
        <v/>
      </c>
      <c r="C1020">
        <f>Inputs!$B$3&gt;=120</f>
        <v/>
      </c>
      <c r="D1020">
        <f>IF(Skills!C26=1,60+Inputs!$B$25+Inputs!$B$29,IF(Skills!C26=2,90+Inputs!$B$26+Inputs!$B$29,IF(Skills!C26=3,120+Inputs!$B$27+Inputs!$B$29,MAX(0,(Inputs!$B$3-100)*3)+Inputs!$B$28+Inputs!$B$29)))</f>
        <v/>
      </c>
      <c r="E1020">
        <f>INDEX(FactorTable!$B$2:$Y$301, MATCH(ROUND(MIN(300,MAX(1,D1020)),0), FactorTable!$A$2:$A$301,0), Skills!M26+1)</f>
        <v/>
      </c>
      <c r="F1020">
        <f>IF(Skills!N26=TRUE,(Skills!L26/10)*(E1020/1000),Skills!L26/10)+Skills!O26</f>
        <v/>
      </c>
      <c r="G1020">
        <f>Calc!G26</f>
        <v/>
      </c>
      <c r="H1020">
        <f>Calc!H26</f>
        <v/>
      </c>
      <c r="I1020">
        <f>IF(Skills!X26&lt;&gt;"",1+(Skills!X26/10)*(Z997/1000)/100,1)</f>
        <v/>
      </c>
      <c r="J1020" t="inlineStr"/>
      <c r="K1020" t="inlineStr"/>
      <c r="L1020" t="inlineStr"/>
      <c r="M1020" t="inlineStr"/>
      <c r="N1020" t="inlineStr"/>
      <c r="O1020">
        <f>(1-Summary!$B$11)*S1020+Summary!$B$11*U1020</f>
        <v/>
      </c>
      <c r="P1020">
        <f>IF(B1035=0,0,O1020/B1035)</f>
        <v/>
      </c>
      <c r="Q1020">
        <f>IFERROR(1/(IF(Inputs!$B$38="pvp",15,MAX(0.1,Skills!E26-IF(Skills!F26=TRUE,Inputs!$B$32,0)))*(1-IF(AND(ArtifactsInput!$M$27,Inputs!$B$4="Chapter Hunt"),CHOOSE(ArtifactsInput!$N$27+1,20,24,28,32,36,40),0)/100)),0)</f>
        <v/>
      </c>
      <c r="R1020" t="n">
        <v>0</v>
      </c>
      <c r="S1020" t="n">
        <v>0</v>
      </c>
      <c r="U1020" t="n">
        <v>0</v>
      </c>
    </row>
    <row r="1021">
      <c r="A1021">
        <f>Skills!A27</f>
        <v/>
      </c>
      <c r="B1021">
        <f>Skills!B27</f>
        <v/>
      </c>
      <c r="C1021">
        <f>Inputs!$B$3&gt;=125</f>
        <v/>
      </c>
      <c r="D1021">
        <f>IF(Skills!C27=1,60+Inputs!$B$25+Inputs!$B$29,IF(Skills!C27=2,90+Inputs!$B$26+Inputs!$B$29,IF(Skills!C27=3,120+Inputs!$B$27+Inputs!$B$29,MAX(0,(Inputs!$B$3-100)*3)+Inputs!$B$28+Inputs!$B$29)))</f>
        <v/>
      </c>
      <c r="E1021">
        <f>INDEX(FactorTable!$B$2:$Y$301, MATCH(ROUND(MIN(300,MAX(1,D1021)),0), FactorTable!$A$2:$A$301,0), Skills!M27+1)</f>
        <v/>
      </c>
      <c r="F1021">
        <f>IF(Skills!N27=TRUE,(Skills!L27/10)*(E1021/1000),Skills!L27/10)+Skills!O27</f>
        <v/>
      </c>
      <c r="G1021">
        <f>Calc!G27</f>
        <v/>
      </c>
      <c r="H1021">
        <f>Calc!H27</f>
        <v/>
      </c>
      <c r="I1021">
        <f>IF(Skills!X27&lt;&gt;"",1+(Skills!X27/10)*(Z997/1000)/100,1)</f>
        <v/>
      </c>
      <c r="J1021" t="inlineStr"/>
      <c r="K1021" t="inlineStr"/>
      <c r="L1021" t="inlineStr"/>
      <c r="M1021" t="inlineStr"/>
      <c r="N1021" t="inlineStr"/>
      <c r="O1021">
        <f>(1-Summary!$B$11)*S1021+Summary!$B$11*U1021</f>
        <v/>
      </c>
      <c r="P1021">
        <f>IF(B1035=0,0,O1021/B1035)</f>
        <v/>
      </c>
      <c r="Q1021">
        <f>IFERROR(1/(IF(Inputs!$B$38="pvp",15,MAX(0.1,Skills!E27-IF(Skills!F27=TRUE,Inputs!$B$32,0)))*(1-IF(AND(ArtifactsInput!$M$27,Inputs!$B$4="Chapter Hunt"),CHOOSE(ArtifactsInput!$N$27+1,20,24,28,32,36,40),0)/100)),0)</f>
        <v/>
      </c>
      <c r="R1021" t="n">
        <v>0</v>
      </c>
      <c r="S1021" t="n">
        <v>0</v>
      </c>
      <c r="U1021" t="n">
        <v>0</v>
      </c>
    </row>
    <row r="1022">
      <c r="A1022">
        <f>Skills!A28</f>
        <v/>
      </c>
      <c r="B1022">
        <f>Skills!B28</f>
        <v/>
      </c>
      <c r="C1022">
        <f>Inputs!$B$3&gt;=118</f>
        <v/>
      </c>
      <c r="D1022">
        <f>IF(Skills!C28=1,60+Inputs!$B$25+Inputs!$B$29,IF(Skills!C28=2,90+Inputs!$B$26+Inputs!$B$29,IF(Skills!C28=3,120+Inputs!$B$27+Inputs!$B$29,MAX(0,(Inputs!$B$3-100)*3)+Inputs!$B$28+Inputs!$B$29)))</f>
        <v/>
      </c>
      <c r="E1022">
        <f>INDEX(FactorTable!$B$2:$Y$301, MATCH(ROUND(MIN(300,MAX(1,D1022)),0), FactorTable!$A$2:$A$301,0), Skills!M28+1)</f>
        <v/>
      </c>
      <c r="F1022">
        <f>IF(Skills!N28=TRUE,(Skills!L28/10)*(E1022/1000),Skills!L28/10)+Skills!O28</f>
        <v/>
      </c>
      <c r="G1022">
        <f>Calc!G28</f>
        <v/>
      </c>
      <c r="H1022">
        <f>Calc!H28</f>
        <v/>
      </c>
      <c r="I1022">
        <f>IF(Skills!X28&lt;&gt;"",1+(Skills!X28/10)*(Z997/1000)/100,1)</f>
        <v/>
      </c>
      <c r="J1022">
        <f>((Inputs!$B$6*(1+(Inputs!$B$7+1)/100))+(((Inputs!$B$12*(1+Inputs!$B$13/100))-(Inputs!$B$12*(1+Inputs!$B$13/100)))+0.25*(Inputs!$B$14-Inputs!$B$14))*(1+(Inputs!$B$7+1)/100))*(F1022/100)</f>
        <v/>
      </c>
      <c r="K1022">
        <f>J1022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1017/100)*(1+IF(Inputs!$B$3&gt;=120,F1020,0)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1021*5,0)))/100)*(B1024*B1025*B1026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1022)</f>
        <v/>
      </c>
      <c r="L1022">
        <f>K1022*(MIN(Inputs!$B$22+(F1016-Calc!F22),(Inputs!$B$23+(IF(ArtifactsInput!$M$15,CHOOSE(ArtifactsInput!$N$15+1,25,30,35,40,45,50)/100*(Inputs!$B$11-Inputs!$B$11),0))))/100+(Inputs!$B$23+(IF(ArtifactsInput!$M$15,CHOOSE(ArtifactsInput!$N$15+1,25,30,35,40,45,50)/100*(Inputs!$B$11-Inputs!$B$11),0)))/100)/2</f>
        <v/>
      </c>
      <c r="M1022">
        <f>L1022*(1+(Inputs!$B$10+(F1015-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2">
        <f>L1022*(1-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1022*(MIN((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2">
        <f>(1-Summary!$B$11)*S1022+Summary!$B$11*U1022</f>
        <v/>
      </c>
      <c r="P1022">
        <f>IF(B1035=0,0,O1022/B1035)</f>
        <v/>
      </c>
      <c r="Q1022">
        <f>IFERROR(1/(IF(Inputs!$B$38="pvp",15,MAX(0.1,Skills!E28-IF(Skills!F28=TRUE,Inputs!$B$32,0)))*(1-IF(AND(ArtifactsInput!$M$27,Inputs!$B$4="Chapter Hunt"),CHOOSE(ArtifactsInput!$N$27+1,20,24,28,32,36,40),0)/100)),0)</f>
        <v/>
      </c>
      <c r="R1022">
        <f>IF(AND(Inputs!$B$38&lt;&gt;"pvp",Inputs!$B$43&gt;0),IF(MAX(0,Inputs!$B$43-B1032)&lt;=0,0,(INT(MAX(0,Inputs!$B$43-B1032)/(IF(Inputs!$B$38="pvp",15,MAX(0.1,Skills!E28-IF(Skills!F28=TRUE,Inputs!$B$32,0)))*(1-IF(AND(ArtifactsInput!$M$27,Inputs!$B$4="Chapter Hunt"),CHOOSE(ArtifactsInput!$N$27+1,20,24,28,32,36,40),0)/100)))+1)),0)</f>
        <v/>
      </c>
      <c r="S1022">
        <f>IF(C1022,(H1022*N1022*IF(AND(Inputs!$B$38&lt;&gt;"pvp",Inputs!$B$43&gt;0),((Skills!G28*((R1022-1)*IF(Skills!H28&gt;0,Skills!I28/Skills!H28,1)+IF(Skills!H28&gt;0,MIN(Skills!I28,MAX(0,MAX(0,Inputs!$B$43-B1032)-((R1022-1)*(IF(Inputs!$B$38="pvp",15,MAX(0.1,Skills!E28-IF(Skills!F28=TRUE,Inputs!$B$32,0)))*(1-IF(AND(ArtifactsInput!$M$27,Inputs!$B$4="Chapter Hunt"),CHOOSE(ArtifactsInput!$N$27+1,20,24,28,32,36,40),0)/100)))))/Skills!H28,1)))/Inputs!$B$43),G1022*Q1022)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1022*(1-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1022*(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1022*(1-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1022*(MIN(100,(Inputs!$B$9+(F1014-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2">
        <f>IF(C1022,(H1022*N1022*IF(AND(Inputs!$B$38&lt;&gt;"pvp",Inputs!$B$43&gt;0),((Skills!G28*((R1022-1)*IF(Skills!H28&gt;0,Skills!I28/Skills!H28,1)+IF(Skills!H28&gt;0,MIN(Skills!I28,MAX(0,MAX(0,Inputs!$B$43-B1032)-((R1022-1)*(IF(Inputs!$B$38="pvp",15,MAX(0.1,Skills!E28-IF(Skills!F28=TRUE,Inputs!$B$32,0)))*(1-IF(AND(ArtifactsInput!$M$27,Inputs!$B$4="Chapter Hunt"),CHOOSE(ArtifactsInput!$N$27+1,20,24,28,32,36,40),0)/100)))))/Skills!H28,1)))/Inputs!$B$43),G1022*Q1022)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4">
      <c r="A1024" t="inlineStr">
        <is>
          <t>Burning Magic Multiplier</t>
        </is>
      </c>
      <c r="B1024">
        <f>1+(F1005*Skills!Z11)/100</f>
        <v/>
      </c>
    </row>
    <row r="1025">
      <c r="A1025" t="inlineStr">
        <is>
          <t>Elemental Decrease Multiplier (always-on)</t>
        </is>
      </c>
      <c r="B1025">
        <f>1+(F1006+(IF(AND(ArtifactsInput!$M$35,Inputs!$B$4&lt;&gt;"Chapter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100</f>
        <v/>
      </c>
    </row>
    <row r="1026">
      <c r="A1026" t="inlineStr">
        <is>
          <t>Average Buff Multiplier (Magic Guard + Meditation + Artifact Attack%, summed; then Infinity)</t>
        </is>
      </c>
      <c r="B1026">
        <f>(1+(F1000*IF(AND(Inputs!$B$38&lt;&gt;"pvp",Inputs!$B$43&gt;0),(((R1000-1)*(Skills!T6*(1+((Inputs!$B$34+(ArtifactsInput!$M$7-ArtifactsInput!$M$7)*CHOOSE(ArtifactsInput!$N$7+1,6,7.2,8.4,9.6,10.8,12)))/100))+MIN((Skills!T6*(1+((Inputs!$B$34+(ArtifactsInput!$M$7-ArtifactsInput!$M$7)*CHOOSE(ArtifactsInput!$N$7+1,6,7.2,8.4,9.6,10.8,12)))/100)),MAX(0,Inputs!$B$43-((R1000-1)*Skills!E6))))/Inputs!$B$43),IF(Inputs!$B$38="pvp",MIN((Skills!T6*(1+((Inputs!$B$34+(ArtifactsInput!$M$7-ArtifactsInput!$M$7)*CHOOSE(ArtifactsInput!$N$7+1,6,7.2,8.4,9.6,10.8,12)))/100)),15)/15,(Skills!T6*(1+((Inputs!$B$34+(ArtifactsInput!$M$7-ArtifactsInput!$M$7)*CHOOSE(ArtifactsInput!$N$7+1,6,7.2,8.4,9.6,10.8,12)))/100))/Skills!E6))+F1011*IF(AND(Inputs!$B$38&lt;&gt;"pvp",Inputs!$B$43&gt;0),(((R1011-1)*(Skills!T17*(1+((Inputs!$B$34+(ArtifactsInput!$M$7-ArtifactsInput!$M$7)*CHOOSE(ArtifactsInput!$N$7+1,6,7.2,8.4,9.6,10.8,12)))/100))+MIN((Skills!T17*(1+((Inputs!$B$34+(ArtifactsInput!$M$7-ArtifactsInput!$M$7)*CHOOSE(ArtifactsInput!$N$7+1,6,7.2,8.4,9.6,10.8,12)))/100)),MAX(0,Inputs!$B$43-((R1011-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1013=TRUE,(1+F1013*IF(AND(Inputs!$B$38&lt;&gt;"pvp",Inputs!$B$43&gt;0),(((R1013-1)*(Skills!T19*(1+((Inputs!$B$34+(ArtifactsInput!$M$7-ArtifactsInput!$M$7)*CHOOSE(ArtifactsInput!$N$7+1,6,7.2,8.4,9.6,10.8,12)))/100))+MIN((Skills!T19*(1+((Inputs!$B$34+(ArtifactsInput!$M$7-ArtifactsInput!$M$7)*CHOOSE(ArtifactsInput!$N$7+1,6,7.2,8.4,9.6,10.8,12)))/100)),MAX(0,Inputs!$B$43-((R1013-1)*Skills!E19))))/Inputs!$B$43),IF(Inputs!$B$38="pvp",MIN((Skills!T19*(1+((Inputs!$B$34+(ArtifactsInput!$M$7-ArtifactsInput!$M$7)*CHOOSE(ArtifactsInput!$N$7+1,6,7.2,8.4,9.6,10.8,12)))/100)),15)/15,(Skills!T19*(1+((Inputs!$B$34+(ArtifactsInput!$M$7-ArtifactsInput!$M$7)*CHOOSE(ArtifactsInput!$N$7+1,6,7.2,8.4,9.6,10.8,12)))/100))/Skills!E19))/100),1)</f>
        <v/>
      </c>
    </row>
    <row r="1027">
      <c r="A1027" t="inlineStr">
        <is>
          <t>Attack Speed Buff Bonus % (Nimble Feet, averaged)</t>
        </is>
      </c>
      <c r="B1027">
        <f>F1012*IF(AND(Inputs!$B$38&lt;&gt;"pvp",Inputs!$B$43&gt;0),(((R1012-1)*(Skills!T18*(1+((Inputs!$B$34+(ArtifactsInput!$M$7-ArtifactsInput!$M$7)*CHOOSE(ArtifactsInput!$N$7+1,6,7.2,8.4,9.6,10.8,12)))/100))+MIN((Skills!T18*(1+((Inputs!$B$34+(ArtifactsInput!$M$7-ArtifactsInput!$M$7)*CHOOSE(ArtifactsInput!$N$7+1,6,7.2,8.4,9.6,10.8,12)))/100)),MAX(0,Inputs!$B$43-((R1012-1)*Skills!E18))))/Inputs!$B$43),IF(Inputs!$B$38="pvp",MIN((Skills!T18*(1+((Inputs!$B$34+(ArtifactsInput!$M$7-ArtifactsInput!$M$7)*CHOOSE(ArtifactsInput!$N$7+1,6,7.2,8.4,9.6,10.8,12)))/100)),15)/15,(Skills!T18*(1+((Inputs!$B$34+(ArtifactsInput!$M$7-ArtifactsInput!$M$7)*CHOOSE(ArtifactsInput!$N$7+1,6,7.2,8.4,9.6,10.8,12)))/100))/Skills!E18))</f>
        <v/>
      </c>
    </row>
    <row r="1028">
      <c r="A1028" t="inlineStr">
        <is>
          <t>Actions Per Second</t>
        </is>
      </c>
      <c r="B1028">
        <f>1+MIN(150,150*(1-(1-(Inputs!$B$11+(ArtifactsInput!$M$15-ArtifactsInput!$M$15)*CHOOSE(ArtifactsInput!$N$15+1,8,9.6,11.2,12.8,14.4,16))/150)*(1-B1027/150)))/100</f>
        <v/>
      </c>
    </row>
    <row r="1029">
      <c r="A1029" t="inlineStr">
        <is>
          <t>Skill + Buff Cast Rate</t>
        </is>
      </c>
      <c r="B1029">
        <f>IF(AND(Inputs!$B$38&lt;&gt;"pvp",Inputs!$B$43&gt;0),SUMPRODUCT((Skills!F2:F28=TRUE)*(C996:C1022=TRUE)*R996:R1022)/Inputs!$B$43,SUMPRODUCT((Skills!F2:F28=TRUE)*(C996:C1022=TRUE)*Q996:Q1022))</f>
        <v/>
      </c>
    </row>
    <row r="1030">
      <c r="A1030" t="inlineStr">
        <is>
          <t>Basic Attacks Per Second</t>
        </is>
      </c>
      <c r="B1030">
        <f>MAX(0,B1028-B1029)</f>
        <v/>
      </c>
    </row>
    <row r="1031">
      <c r="A1031" t="inlineStr">
        <is>
          <t>Meteor Proc — combined trigger cast rate</t>
        </is>
      </c>
      <c r="B1031">
        <f>IF(AND(Inputs!$B$38&lt;&gt;"pvp",Inputs!$B$43&gt;0),SUMPRODUCT((Skills!V2:V28=TRUE)*(C996:C1022=TRUE)*R996:R1022*Skills!W2:W28)/Inputs!$B$43,SUMPRODUCT((Skills!V2:V28=TRUE)*(C996:C1022=TRUE)*Q996:Q1022*Skills!W2:W28))+B1030</f>
        <v/>
      </c>
    </row>
    <row r="1032">
      <c r="A1032" t="inlineStr">
        <is>
          <t>Buff-Casting Startup Delay (s, fixed-duration only)</t>
        </is>
      </c>
      <c r="B1032">
        <f>IF(AND(Inputs!$B$38&lt;&gt;"pvp",Inputs!$B$43&gt;0),SUMPRODUCT((Skills!T2:T28&gt;0)*(Skills!F2:F28=TRUE)*(C996:C1022=TRUE))/B1028,0)</f>
        <v/>
      </c>
    </row>
    <row r="1033">
      <c r="A1033" t="inlineStr">
        <is>
          <t>Boss-Only Total DPS (this block's swept value)</t>
        </is>
      </c>
      <c r="B1033">
        <f>SUM(S996:S1022)</f>
        <v/>
      </c>
    </row>
    <row r="1034">
      <c r="A1034" t="inlineStr">
        <is>
          <t>Normal-Only Total DPS (this block's swept value)</t>
        </is>
      </c>
      <c r="B1034">
        <f>SUM(U996:U1022)</f>
        <v/>
      </c>
    </row>
    <row r="1035">
      <c r="A1035" s="6" t="inlineStr">
        <is>
          <t>TOTAL DPS</t>
        </is>
      </c>
      <c r="B1035" s="6">
        <f>SUM(O996:O1022)</f>
        <v/>
      </c>
    </row>
    <row r="1038">
      <c r="A1038" s="6" t="inlineStr">
        <is>
          <t>Stat: Skill Cooldown Decrease (seconds)</t>
        </is>
      </c>
    </row>
    <row r="1039">
      <c r="A1039" s="5" t="inlineStr">
        <is>
          <t>Key</t>
        </is>
      </c>
      <c r="B1039" s="5" t="inlineStr">
        <is>
          <t>Name</t>
        </is>
      </c>
      <c r="C1039" s="5" t="inlineStr">
        <is>
          <t>Unlocked</t>
        </is>
      </c>
      <c r="D1039" s="5" t="inlineStr">
        <is>
          <t>InputLevel</t>
        </is>
      </c>
      <c r="E1039" s="5" t="inlineStr">
        <is>
          <t>Factor</t>
        </is>
      </c>
      <c r="F1039" s="5" t="inlineStr">
        <is>
          <t>CoefficientPercent</t>
        </is>
      </c>
      <c r="G1039" s="5" t="inlineStr">
        <is>
          <t>EffectiveHits</t>
        </is>
      </c>
      <c r="H1039" s="5" t="inlineStr">
        <is>
          <t>ProcProbability</t>
        </is>
      </c>
      <c r="I1039" s="5" t="inlineStr">
        <is>
          <t>MapleHeroMultiplier</t>
        </is>
      </c>
      <c r="J1039" s="5" t="inlineStr">
        <is>
          <t>BaseDamage</t>
        </is>
      </c>
      <c r="K1039" s="5" t="inlineStr">
        <is>
          <t>BaseHitDamage</t>
        </is>
      </c>
      <c r="L1039" s="5" t="inlineStr">
        <is>
          <t>NonCritAvg</t>
        </is>
      </c>
      <c r="M1039" s="5" t="inlineStr">
        <is>
          <t>CritAvg</t>
        </is>
      </c>
      <c r="N1039" s="5" t="inlineStr">
        <is>
          <t>ExpectedDamage(perHit)</t>
        </is>
      </c>
      <c r="O1039" s="5" t="inlineStr">
        <is>
          <t>DPS</t>
        </is>
      </c>
      <c r="P1039" s="5" t="inlineStr">
        <is>
          <t>% of Total</t>
        </is>
      </c>
      <c r="R1039" t="inlineStr">
        <is>
          <t>helpers</t>
        </is>
      </c>
    </row>
    <row r="1040">
      <c r="A1040">
        <f>Skills!A2</f>
        <v/>
      </c>
      <c r="B1040">
        <f>Skills!B2</f>
        <v/>
      </c>
      <c r="C1040">
        <f>TRUE</f>
        <v/>
      </c>
      <c r="D1040" t="inlineStr"/>
      <c r="E1040" t="inlineStr"/>
      <c r="F1040">
        <f>T1042+Skills!O2</f>
        <v/>
      </c>
      <c r="G1040">
        <f>Calc!G2</f>
        <v/>
      </c>
      <c r="H1040">
        <f>Calc!H2</f>
        <v/>
      </c>
      <c r="I1040">
        <f>IF(Skills!X2&lt;&gt;"",1+(Skills!X2/10)*(Z1041/1000)/100,1)</f>
        <v/>
      </c>
      <c r="J1040">
        <f>((Inputs!$B$6*(1+Inputs!$B$7/100))+(((Inputs!$B$12*(1+Inputs!$B$13/100))-(Inputs!$B$12*(1+Inputs!$B$13/100)))+0.25*(Inputs!$B$14-Inputs!$B$14))*(1+Inputs!$B$7/100))*(F1040/100)</f>
        <v/>
      </c>
      <c r="K1040">
        <f>J1040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1040)</f>
        <v/>
      </c>
      <c r="L1040">
        <f>K1040*(MIN(Inputs!$B$22+(F1060-Calc!F22),(Inputs!$B$23+(IF(ArtifactsInput!$M$15,CHOOSE(ArtifactsInput!$N$15+1,25,30,35,40,45,50)/100*(Inputs!$B$11-Inputs!$B$11),0))))/100+(Inputs!$B$23+(IF(ArtifactsInput!$M$15,CHOOSE(ArtifactsInput!$N$15+1,25,30,35,40,45,50)/100*(Inputs!$B$11-Inputs!$B$11),0)))/100)/2</f>
        <v/>
      </c>
      <c r="M1040">
        <f>L1040*(1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0">
        <f>L1040*(1-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1040*(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0">
        <f>(1-Summary!$B$11)*S1040+Summary!$B$11*U1040</f>
        <v/>
      </c>
      <c r="P1040">
        <f>IF(B1079=0,0,O1040/B1079)</f>
        <v/>
      </c>
      <c r="Q1040">
        <f>IFERROR(1/(IF(Inputs!$B$38="pvp",15,MAX(0.1,Skills!E2-IF(Skills!F2=TRUE,(Inputs!$B$32+1),0)))*(1-IF(AND(ArtifactsInput!$M$27,Inputs!$B$4="Chapter Hunt"),CHOOSE(ArtifactsInput!$N$27+1,20,24,28,32,36,40),0)/100)),0)</f>
        <v/>
      </c>
      <c r="R1040" t="n">
        <v>0</v>
      </c>
      <c r="S1040">
        <f>(Skills!G2*N1040*B1074)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1040*(1-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1040*(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1040*(1-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1040*(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040">
        <f>MAX(0,(Inputs!$B$3-100)*3)+Inputs!$B$28+Inputs!$B$29</f>
        <v/>
      </c>
      <c r="U1040">
        <f>(Skills!G2*N1040*B1074)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040">
        <f>MAX(0,(Inputs!$B$3-100)*3)+Inputs!$B$28+Inputs!$B$29</f>
        <v/>
      </c>
    </row>
    <row r="1041">
      <c r="A1041">
        <f>Skills!A3</f>
        <v/>
      </c>
      <c r="B1041">
        <f>Skills!B3</f>
        <v/>
      </c>
      <c r="C1041">
        <f>TRUE</f>
        <v/>
      </c>
      <c r="D1041">
        <f>IF(Skills!C3=1,60+Inputs!$B$25+Inputs!$B$29,IF(Skills!C3=2,90+Inputs!$B$26+Inputs!$B$29,IF(Skills!C3=3,120+Inputs!$B$27+Inputs!$B$29,MAX(0,(Inputs!$B$3-100)*3)+Inputs!$B$28+Inputs!$B$29)))</f>
        <v/>
      </c>
      <c r="E1041">
        <f>INDEX(FactorTable!$B$2:$Y$301, MATCH(ROUND(MIN(300,MAX(1,D1041)),0), FactorTable!$A$2:$A$301,0), Skills!M3+1)</f>
        <v/>
      </c>
      <c r="F1041">
        <f>IF(Skills!N3=TRUE,(Skills!L3/10)*(E1041/1000),Skills!L3/10)+Skills!O3</f>
        <v/>
      </c>
      <c r="G1041">
        <f>Calc!G3</f>
        <v/>
      </c>
      <c r="H1041">
        <f>Calc!H3</f>
        <v/>
      </c>
      <c r="I1041">
        <f>IF(Skills!X3&lt;&gt;"",1+(Skills!X3/10)*(Z1041/1000)/100,1)</f>
        <v/>
      </c>
      <c r="J1041">
        <f>((Inputs!$B$6*(1+Inputs!$B$7/100))+(((Inputs!$B$12*(1+Inputs!$B$13/100))-(Inputs!$B$12*(1+Inputs!$B$13/100)))+0.25*(Inputs!$B$14-Inputs!$B$14))*(1+Inputs!$B$7/100))*(F1041/100)</f>
        <v/>
      </c>
      <c r="K1041">
        <f>J1041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1041)</f>
        <v/>
      </c>
      <c r="L1041">
        <f>K1041*(MIN(Inputs!$B$22+(F1060-Calc!F22),(Inputs!$B$23+(IF(ArtifactsInput!$M$15,CHOOSE(ArtifactsInput!$N$15+1,25,30,35,40,45,50)/100*(Inputs!$B$11-Inputs!$B$11),0))))/100+(Inputs!$B$23+(IF(ArtifactsInput!$M$15,CHOOSE(ArtifactsInput!$N$15+1,25,30,35,40,45,50)/100*(Inputs!$B$11-Inputs!$B$11),0)))/100)/2</f>
        <v/>
      </c>
      <c r="M1041">
        <f>L1041*(1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1">
        <f>L1041*(1-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1">
        <f>(1-Summary!$B$11)*S1041+Summary!$B$11*U1041</f>
        <v/>
      </c>
      <c r="P1041">
        <f>IF(B1079=0,0,O1041/B1079)</f>
        <v/>
      </c>
      <c r="Q1041">
        <f>IFERROR(1/(IF(Inputs!$B$38="pvp",15,MAX(0.1,Skills!E3-IF(Skills!F3=TRUE,(Inputs!$B$32+1),0)))*(1-IF(AND(ArtifactsInput!$M$27,Inputs!$B$4="Chapter Hunt"),CHOOSE(ArtifactsInput!$N$27+1,20,24,28,32,36,40),0)/100)),0)</f>
        <v/>
      </c>
      <c r="R1041">
        <f>IF(AND(Inputs!$B$38&lt;&gt;"pvp",Inputs!$B$43&gt;0),IF(MAX(0,Inputs!$B$43-B1076)&lt;=0,0,(INT(MAX(0,Inputs!$B$43-B1076)/(IF(Inputs!$B$38="pvp",15,MAX(0.1,Skills!E3-IF(Skills!F3=TRUE,(Inputs!$B$32+1),0)))*(1-IF(AND(ArtifactsInput!$M$27,Inputs!$B$4="Chapter Hunt"),CHOOSE(ArtifactsInput!$N$27+1,20,24,28,32,36,40),0)/100)))+1)),0)</f>
        <v/>
      </c>
      <c r="S1041">
        <f>IF(C1041,(H1041*N1041*IF(AND(Inputs!$B$38&lt;&gt;"pvp",Inputs!$B$43&gt;0),((Skills!G3*((R1041-1)*IF(Skills!H3&gt;0,Skills!I3/Skills!H3,1)+IF(Skills!H3&gt;0,MIN(Skills!I3,MAX(0,MAX(0,Inputs!$B$43-B1076)-((R1041-1)*(IF(Inputs!$B$38="pvp",15,MAX(0.1,Skills!E3-IF(Skills!F3=TRUE,(Inputs!$B$32+1),0)))*(1-IF(AND(ArtifactsInput!$M$27,Inputs!$B$4="Chapter Hunt"),CHOOSE(ArtifactsInput!$N$27+1,20,24,28,32,36,40),0)/100)))))/Skills!H3,1)))/Inputs!$B$43),G1041*Q1041)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1041*(1-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1041*(1-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041">
        <f>INDEX(FactorTable!$B$2:$Y$301, MATCH(ROUND(MIN(300,MAX(1,T1040)),0), FactorTable!$A$2:$A$301,0), 22)</f>
        <v/>
      </c>
      <c r="U1041">
        <f>IF(C1041,(H1041*N1041*IF(AND(Inputs!$B$38&lt;&gt;"pvp",Inputs!$B$43&gt;0),((Skills!G3*((R1041-1)*IF(Skills!H3&gt;0,Skills!I3/Skills!H3,1)+IF(Skills!H3&gt;0,MIN(Skills!I3,MAX(0,MAX(0,Inputs!$B$43-B1076)-((R1041-1)*(IF(Inputs!$B$38="pvp",15,MAX(0.1,Skills!E3-IF(Skills!F3=TRUE,(Inputs!$B$32+1),0)))*(1-IF(AND(ArtifactsInput!$M$27,Inputs!$B$4="Chapter Hunt"),CHOOSE(ArtifactsInput!$N$27+1,20,24,28,32,36,40),0)/100)))))/Skills!H3,1)))/Inputs!$B$43),G1041*Q1041)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041">
        <f>INDEX(FactorTable!$B$2:$Y$301, MATCH(ROUND(MIN(300,MAX(1,Z1040)),0), FactorTable!$A$2:$A$301,0), 24)</f>
        <v/>
      </c>
    </row>
    <row r="1042">
      <c r="A1042">
        <f>Skills!A4</f>
        <v/>
      </c>
      <c r="B1042">
        <f>Skills!B4</f>
        <v/>
      </c>
      <c r="C1042">
        <f>TRUE</f>
        <v/>
      </c>
      <c r="D1042">
        <f>IF(Skills!C4=1,60+Inputs!$B$25+Inputs!$B$29,IF(Skills!C4=2,90+Inputs!$B$26+Inputs!$B$29,IF(Skills!C4=3,120+Inputs!$B$27+Inputs!$B$29,MAX(0,(Inputs!$B$3-100)*3)+Inputs!$B$28+Inputs!$B$29)))</f>
        <v/>
      </c>
      <c r="E1042">
        <f>INDEX(FactorTable!$B$2:$Y$301, MATCH(ROUND(MIN(300,MAX(1,D1042)),0), FactorTable!$A$2:$A$301,0), Skills!M4+1)</f>
        <v/>
      </c>
      <c r="F1042">
        <f>IF(Skills!N4=TRUE,(Skills!L4/10)*(E1042/1000),Skills!L4/10)+Skills!O4</f>
        <v/>
      </c>
      <c r="G1042">
        <f>Calc!G4</f>
        <v/>
      </c>
      <c r="H1042">
        <f>Calc!H4</f>
        <v/>
      </c>
      <c r="I1042">
        <f>IF(Skills!X4&lt;&gt;"",1+(Skills!X4/10)*(Z1041/1000)/100,1)</f>
        <v/>
      </c>
      <c r="J1042">
        <f>((Inputs!$B$6*(1+Inputs!$B$7/100))+(((Inputs!$B$12*(1+Inputs!$B$13/100))-(Inputs!$B$12*(1+Inputs!$B$13/100)))+0.25*(Inputs!$B$14-Inputs!$B$14))*(1+Inputs!$B$7/100))*(F1042/100)</f>
        <v/>
      </c>
      <c r="K1042">
        <f>J1042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1042)</f>
        <v/>
      </c>
      <c r="L1042">
        <f>K1042*(MIN(Inputs!$B$22+(F1060-Calc!F22),(Inputs!$B$23+(IF(ArtifactsInput!$M$15,CHOOSE(ArtifactsInput!$N$15+1,25,30,35,40,45,50)/100*(Inputs!$B$11-Inputs!$B$11),0))))/100+(Inputs!$B$23+(IF(ArtifactsInput!$M$15,CHOOSE(ArtifactsInput!$N$15+1,25,30,35,40,45,50)/100*(Inputs!$B$11-Inputs!$B$11),0)))/100)/2</f>
        <v/>
      </c>
      <c r="M1042">
        <f>L1042*(1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2">
        <f>L1042*(1-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1042*(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2">
        <f>(1-Summary!$B$11)*S1042+Summary!$B$11*U1042</f>
        <v/>
      </c>
      <c r="P1042">
        <f>IF(B1079=0,0,O1042/B1079)</f>
        <v/>
      </c>
      <c r="Q1042">
        <f>IFERROR(1/(IF(Inputs!$B$38="pvp",15,MAX(0.1,Skills!E4-IF(Skills!F4=TRUE,(Inputs!$B$32+1),0)))*(1-IF(AND(ArtifactsInput!$M$27,Inputs!$B$4="Chapter Hunt"),CHOOSE(ArtifactsInput!$N$27+1,20,24,28,32,36,40),0)/100)),0)</f>
        <v/>
      </c>
      <c r="R1042">
        <f>IF(AND(Inputs!$B$38&lt;&gt;"pvp",Inputs!$B$43&gt;0),IF(MAX(0,Inputs!$B$43-B1076)&lt;=0,0,(INT(MAX(0,Inputs!$B$43-B1076)/(IF(Inputs!$B$38="pvp",15,MAX(0.1,Skills!E4-IF(Skills!F4=TRUE,(Inputs!$B$32+1),0)))*(1-IF(AND(ArtifactsInput!$M$27,Inputs!$B$4="Chapter Hunt"),CHOOSE(ArtifactsInput!$N$27+1,20,24,28,32,36,40),0)/100)))+1)),0)</f>
        <v/>
      </c>
      <c r="S1042">
        <f>IF(C1042,(H1042*N1042*IF(AND(Inputs!$B$38&lt;&gt;"pvp",Inputs!$B$43&gt;0),((Skills!G4*((R1042-1)*IF(Skills!H4&gt;0,Skills!I4/Skills!H4,1)+IF(Skills!H4&gt;0,MIN(Skills!I4,MAX(0,MAX(0,Inputs!$B$43-B1076)-((R1042-1)*(IF(Inputs!$B$38="pvp",15,MAX(0.1,Skills!E4-IF(Skills!F4=TRUE,(Inputs!$B$32+1),0)))*(1-IF(AND(ArtifactsInput!$M$27,Inputs!$B$4="Chapter Hunt"),CHOOSE(ArtifactsInput!$N$27+1,20,24,28,32,36,40),0)/100)))))/Skills!H4,1)))/Inputs!$B$43),G1042*Q1042)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1042*(1-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1042*(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1042*(1-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1042*(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042">
        <f>290*T1041/1000</f>
        <v/>
      </c>
      <c r="U1042">
        <f>IF(C1042,(H1042*N1042*IF(AND(Inputs!$B$38&lt;&gt;"pvp",Inputs!$B$43&gt;0),((Skills!G4*((R1042-1)*IF(Skills!H4&gt;0,Skills!I4/Skills!H4,1)+IF(Skills!H4&gt;0,MIN(Skills!I4,MAX(0,MAX(0,Inputs!$B$43-B1076)-((R1042-1)*(IF(Inputs!$B$38="pvp",15,MAX(0.1,Skills!E4-IF(Skills!F4=TRUE,(Inputs!$B$32+1),0)))*(1-IF(AND(ArtifactsInput!$M$27,Inputs!$B$4="Chapter Hunt"),CHOOSE(ArtifactsInput!$N$27+1,20,24,28,32,36,40),0)/100)))))/Skills!H4,1)))/Inputs!$B$43),G1042*Q1042)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3">
      <c r="A1043">
        <f>Skills!A5</f>
        <v/>
      </c>
      <c r="B1043">
        <f>Skills!B5</f>
        <v/>
      </c>
      <c r="C1043">
        <f>TRUE</f>
        <v/>
      </c>
      <c r="D1043">
        <f>IF(Skills!C5=1,60+Inputs!$B$25+Inputs!$B$29,IF(Skills!C5=2,90+Inputs!$B$26+Inputs!$B$29,IF(Skills!C5=3,120+Inputs!$B$27+Inputs!$B$29,MAX(0,(Inputs!$B$3-100)*3)+Inputs!$B$28+Inputs!$B$29)))</f>
        <v/>
      </c>
      <c r="E1043">
        <f>INDEX(FactorTable!$B$2:$Y$301, MATCH(ROUND(MIN(300,MAX(1,D1043)),0), FactorTable!$A$2:$A$301,0), Skills!M5+1)</f>
        <v/>
      </c>
      <c r="F1043">
        <f>IF(Skills!N5=TRUE,(Skills!L5/10)*(E1043/1000),Skills!L5/10)+Skills!O5</f>
        <v/>
      </c>
      <c r="G1043">
        <f>Calc!G5</f>
        <v/>
      </c>
      <c r="H1043">
        <f>Calc!H5</f>
        <v/>
      </c>
      <c r="I1043">
        <f>IF(Skills!X5&lt;&gt;"",1+(Skills!X5/10)*(Z1041/1000)/100,1)</f>
        <v/>
      </c>
      <c r="J1043">
        <f>((Inputs!$B$6*(1+Inputs!$B$7/100))+(((Inputs!$B$12*(1+Inputs!$B$13/100))-(Inputs!$B$12*(1+Inputs!$B$13/100)))+0.25*(Inputs!$B$14-Inputs!$B$14))*(1+Inputs!$B$7/100))*(F1043/100)</f>
        <v/>
      </c>
      <c r="K1043">
        <f>J1043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1043)</f>
        <v/>
      </c>
      <c r="L1043">
        <f>K1043*(MIN(Inputs!$B$22+(F1060-Calc!F22),(Inputs!$B$23+(IF(ArtifactsInput!$M$15,CHOOSE(ArtifactsInput!$N$15+1,25,30,35,40,45,50)/100*(Inputs!$B$11-Inputs!$B$11),0))))/100+(Inputs!$B$23+(IF(ArtifactsInput!$M$15,CHOOSE(ArtifactsInput!$N$15+1,25,30,35,40,45,50)/100*(Inputs!$B$11-Inputs!$B$11),0)))/100)/2</f>
        <v/>
      </c>
      <c r="M1043">
        <f>L1043*(1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3">
        <f>L1043*(1-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1043*(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3">
        <f>(1-Summary!$B$11)*S1043+Summary!$B$11*U1043</f>
        <v/>
      </c>
      <c r="P1043">
        <f>IF(B1079=0,0,O1043/B1079)</f>
        <v/>
      </c>
      <c r="Q1043">
        <f>IFERROR(1/(IF(Inputs!$B$38="pvp",15,MAX(0.1,Skills!E5-IF(Skills!F5=TRUE,(Inputs!$B$32+1),0)))*(1-IF(AND(ArtifactsInput!$M$27,Inputs!$B$4="Chapter Hunt"),CHOOSE(ArtifactsInput!$N$27+1,20,24,28,32,36,40),0)/100)),0)</f>
        <v/>
      </c>
      <c r="R1043">
        <f>IF(AND(Inputs!$B$38&lt;&gt;"pvp",Inputs!$B$43&gt;0),IF(MAX(0,Inputs!$B$43-B1076)&lt;=0,0,(INT(MAX(0,Inputs!$B$43-B1076)/(IF(Inputs!$B$38="pvp",15,MAX(0.1,Skills!E5-IF(Skills!F5=TRUE,(Inputs!$B$32+1),0)))*(1-IF(AND(ArtifactsInput!$M$27,Inputs!$B$4="Chapter Hunt"),CHOOSE(ArtifactsInput!$N$27+1,20,24,28,32,36,40),0)/100)))+1)),0)</f>
        <v/>
      </c>
      <c r="S1043">
        <f>IF(C1043,(H1043*N1043*IF(AND(Inputs!$B$38&lt;&gt;"pvp",Inputs!$B$43&gt;0),((Skills!G5*((R1043-1)*IF(Skills!H5&gt;0,Skills!I5/Skills!H5,1)+IF(Skills!H5&gt;0,MIN(Skills!I5,MAX(0,MAX(0,Inputs!$B$43-B1076)-((R1043-1)*(IF(Inputs!$B$38="pvp",15,MAX(0.1,Skills!E5-IF(Skills!F5=TRUE,(Inputs!$B$32+1),0)))*(1-IF(AND(ArtifactsInput!$M$27,Inputs!$B$4="Chapter Hunt"),CHOOSE(ArtifactsInput!$N$27+1,20,24,28,32,36,40),0)/100)))))/Skills!H5,1)))/Inputs!$B$43),G1043*Q1043)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1043*(1-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1043*(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1043*(1-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1043*(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43">
        <f>IF(C1043,(H1043*N1043*IF(AND(Inputs!$B$38&lt;&gt;"pvp",Inputs!$B$43&gt;0),((Skills!G5*((R1043-1)*IF(Skills!H5&gt;0,Skills!I5/Skills!H5,1)+IF(Skills!H5&gt;0,MIN(Skills!I5,MAX(0,MAX(0,Inputs!$B$43-B1076)-((R1043-1)*(IF(Inputs!$B$38="pvp",15,MAX(0.1,Skills!E5-IF(Skills!F5=TRUE,(Inputs!$B$32+1),0)))*(1-IF(AND(ArtifactsInput!$M$27,Inputs!$B$4="Chapter Hunt"),CHOOSE(ArtifactsInput!$N$27+1,20,24,28,32,36,40),0)/100)))))/Skills!H5,1)))/Inputs!$B$43),G1043*Q1043)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4">
      <c r="A1044">
        <f>Skills!A6</f>
        <v/>
      </c>
      <c r="B1044">
        <f>Skills!B6</f>
        <v/>
      </c>
      <c r="C1044">
        <f>TRUE</f>
        <v/>
      </c>
      <c r="D1044">
        <f>IF(Skills!C6=1,60+Inputs!$B$25+Inputs!$B$29,IF(Skills!C6=2,90+Inputs!$B$26+Inputs!$B$29,IF(Skills!C6=3,120+Inputs!$B$27+Inputs!$B$29,MAX(0,(Inputs!$B$3-100)*3)+Inputs!$B$28+Inputs!$B$29)))</f>
        <v/>
      </c>
      <c r="E1044">
        <f>INDEX(FactorTable!$B$2:$Y$301, MATCH(ROUND(MIN(300,MAX(1,D1044)),0), FactorTable!$A$2:$A$301,0), Skills!M6+1)</f>
        <v/>
      </c>
      <c r="F1044">
        <f>IF(Skills!N6=TRUE,(Skills!L6/10)*(E1044/1000),Skills!L6/10)+Skills!O6</f>
        <v/>
      </c>
      <c r="G1044">
        <f>Calc!G6</f>
        <v/>
      </c>
      <c r="H1044">
        <f>Calc!H6</f>
        <v/>
      </c>
      <c r="I1044">
        <f>IF(Skills!X6&lt;&gt;"",1+(Skills!X6/10)*(Z1041/1000)/100,1)</f>
        <v/>
      </c>
      <c r="J1044" t="inlineStr"/>
      <c r="K1044" t="inlineStr"/>
      <c r="L1044" t="inlineStr"/>
      <c r="M1044" t="inlineStr"/>
      <c r="N1044" t="inlineStr"/>
      <c r="O1044">
        <f>(1-Summary!$B$11)*S1044+Summary!$B$11*U1044</f>
        <v/>
      </c>
      <c r="P1044">
        <f>IF(B1079=0,0,O1044/B1079)</f>
        <v/>
      </c>
      <c r="Q1044">
        <f>IFERROR(1/(IF(Inputs!$B$38="pvp",15,MAX(0.1,Skills!E6-IF(Skills!F6=TRUE,(Inputs!$B$32+1),0)))*(1-IF(AND(ArtifactsInput!$M$27,Inputs!$B$4="Chapter Hunt"),CHOOSE(ArtifactsInput!$N$27+1,20,24,28,32,36,40),0)/100)),0)</f>
        <v/>
      </c>
      <c r="R1044">
        <f>IF(AND(Inputs!$B$38&lt;&gt;"pvp",Inputs!$B$43&gt;0),IF(Inputs!$B$43&lt;=0,0,(INT(Inputs!$B$43/(IF(Inputs!$B$38="pvp",15,MAX(0.1,Skills!E6-IF(Skills!F6=TRUE,(Inputs!$B$32+1),0)))*(1-IF(AND(ArtifactsInput!$M$27,Inputs!$B$4="Chapter Hunt"),CHOOSE(ArtifactsInput!$N$27+1,20,24,28,32,36,40),0)/100)))+1)),0)</f>
        <v/>
      </c>
      <c r="S1044" t="n">
        <v>0</v>
      </c>
      <c r="U1044" t="n">
        <v>0</v>
      </c>
    </row>
    <row r="1045">
      <c r="A1045">
        <f>Skills!A7</f>
        <v/>
      </c>
      <c r="B1045">
        <f>Skills!B7</f>
        <v/>
      </c>
      <c r="C1045">
        <f>TRUE</f>
        <v/>
      </c>
      <c r="D1045">
        <f>IF(Skills!C7=1,60+Inputs!$B$25+Inputs!$B$29,IF(Skills!C7=2,90+Inputs!$B$26+Inputs!$B$29,IF(Skills!C7=3,120+Inputs!$B$27+Inputs!$B$29,MAX(0,(Inputs!$B$3-100)*3)+Inputs!$B$28+Inputs!$B$29)))</f>
        <v/>
      </c>
      <c r="E1045">
        <f>INDEX(FactorTable!$B$2:$Y$301, MATCH(ROUND(MIN(300,MAX(1,D1045)),0), FactorTable!$A$2:$A$301,0), Skills!M7+1)</f>
        <v/>
      </c>
      <c r="F1045">
        <f>IF(Skills!N7=TRUE,(Skills!L7/10)*(E1045/1000),Skills!L7/10)+Skills!O7</f>
        <v/>
      </c>
      <c r="G1045">
        <f>Calc!G7</f>
        <v/>
      </c>
      <c r="H1045">
        <f>Calc!H7</f>
        <v/>
      </c>
      <c r="I1045">
        <f>IF(Skills!X7&lt;&gt;"",1+(Skills!X7/10)*(Z1041/1000)/100,1)</f>
        <v/>
      </c>
      <c r="J1045">
        <f>((Inputs!$B$6*(1+Inputs!$B$7/100))+(((Inputs!$B$12*(1+Inputs!$B$13/100))-(Inputs!$B$12*(1+Inputs!$B$13/100)))+0.25*(Inputs!$B$14-Inputs!$B$14))*(1+Inputs!$B$7/100))*(F1045/100)</f>
        <v/>
      </c>
      <c r="K1045">
        <f>J1045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1045)</f>
        <v/>
      </c>
      <c r="L1045">
        <f>K1045*(MIN(Inputs!$B$22+(F1060-Calc!F22),(Inputs!$B$23+(IF(ArtifactsInput!$M$15,CHOOSE(ArtifactsInput!$N$15+1,25,30,35,40,45,50)/100*(Inputs!$B$11-Inputs!$B$11),0))))/100+(Inputs!$B$23+(IF(ArtifactsInput!$M$15,CHOOSE(ArtifactsInput!$N$15+1,25,30,35,40,45,50)/100*(Inputs!$B$11-Inputs!$B$11),0)))/100)/2</f>
        <v/>
      </c>
      <c r="M1045">
        <f>L1045*(1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5">
        <f>L1045*(1-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1045*(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5">
        <f>(1-Summary!$B$11)*S1045+Summary!$B$11*U1045</f>
        <v/>
      </c>
      <c r="P1045">
        <f>IF(B1079=0,0,O1045/B1079)</f>
        <v/>
      </c>
      <c r="Q1045">
        <f>IFERROR(1/(IF(Inputs!$B$38="pvp",15,MAX(0.1,Skills!E7-IF(Skills!F7=TRUE,(Inputs!$B$32+1),0)))*(1-IF(AND(ArtifactsInput!$M$27,Inputs!$B$4="Chapter Hunt"),CHOOSE(ArtifactsInput!$N$27+1,20,24,28,32,36,40),0)/100)),0)</f>
        <v/>
      </c>
      <c r="R1045">
        <f>IF(AND(Inputs!$B$38&lt;&gt;"pvp",Inputs!$B$43&gt;0),IF(MAX(0,Inputs!$B$43-B1076)&lt;=0,0,(INT(MAX(0,Inputs!$B$43-B1076)/(IF(Inputs!$B$38="pvp",15,MAX(0.1,Skills!E7-IF(Skills!F7=TRUE,(Inputs!$B$32+1),0)))*(1-IF(AND(ArtifactsInput!$M$27,Inputs!$B$4="Chapter Hunt"),CHOOSE(ArtifactsInput!$N$27+1,20,24,28,32,36,40),0)/100)))+1)),0)</f>
        <v/>
      </c>
      <c r="S1045">
        <f>IF(C1045,(H1045*N1045*IF(AND(Inputs!$B$38&lt;&gt;"pvp",Inputs!$B$43&gt;0),((Skills!G7*((R1045-1)*IF(Skills!H7&gt;0,Skills!I7/Skills!H7,1)+IF(Skills!H7&gt;0,MIN(Skills!I7,MAX(0,MAX(0,Inputs!$B$43-B1076)-((R1045-1)*(IF(Inputs!$B$38="pvp",15,MAX(0.1,Skills!E7-IF(Skills!F7=TRUE,(Inputs!$B$32+1),0)))*(1-IF(AND(ArtifactsInput!$M$27,Inputs!$B$4="Chapter Hunt"),CHOOSE(ArtifactsInput!$N$27+1,20,24,28,32,36,40),0)/100)))))/Skills!H7,1)))/Inputs!$B$43),G1045*Q1045)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1045*(1-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1045*(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1045*(1-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1045*(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45">
        <f>IF(C1045,(H1045*N1045*IF(AND(Inputs!$B$38&lt;&gt;"pvp",Inputs!$B$43&gt;0),((Skills!G7*((R1045-1)*IF(Skills!H7&gt;0,Skills!I7/Skills!H7,1)+IF(Skills!H7&gt;0,MIN(Skills!I7,MAX(0,MAX(0,Inputs!$B$43-B1076)-((R1045-1)*(IF(Inputs!$B$38="pvp",15,MAX(0.1,Skills!E7-IF(Skills!F7=TRUE,(Inputs!$B$32+1),0)))*(1-IF(AND(ArtifactsInput!$M$27,Inputs!$B$4="Chapter Hunt"),CHOOSE(ArtifactsInput!$N$27+1,20,24,28,32,36,40),0)/100)))))/Skills!H7,1)))/Inputs!$B$43),G1045*Q1045)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6">
      <c r="A1046">
        <f>Skills!A8</f>
        <v/>
      </c>
      <c r="B1046">
        <f>Skills!B8</f>
        <v/>
      </c>
      <c r="C1046">
        <f>TRUE</f>
        <v/>
      </c>
      <c r="D1046">
        <f>IF(Skills!C8=1,60+Inputs!$B$25+Inputs!$B$29,IF(Skills!C8=2,90+Inputs!$B$26+Inputs!$B$29,IF(Skills!C8=3,120+Inputs!$B$27+Inputs!$B$29,MAX(0,(Inputs!$B$3-100)*3)+Inputs!$B$28+Inputs!$B$29)))</f>
        <v/>
      </c>
      <c r="E1046">
        <f>INDEX(FactorTable!$B$2:$Y$301, MATCH(ROUND(MIN(300,MAX(1,D1046)),0), FactorTable!$A$2:$A$301,0), Skills!M8+1)</f>
        <v/>
      </c>
      <c r="F1046">
        <f>IF(Skills!N8=TRUE,(Skills!L8/10)*(E1046/1000),Skills!L8/10)+Skills!O8</f>
        <v/>
      </c>
      <c r="G1046">
        <f>Calc!G8</f>
        <v/>
      </c>
      <c r="H1046">
        <f>Calc!H8</f>
        <v/>
      </c>
      <c r="I1046">
        <f>IF(Skills!X8&lt;&gt;"",1+(Skills!X8/10)*(Z1041/1000)/100,1)</f>
        <v/>
      </c>
      <c r="J1046">
        <f>((Inputs!$B$6*(1+Inputs!$B$7/100))+(((Inputs!$B$12*(1+Inputs!$B$13/100))-(Inputs!$B$12*(1+Inputs!$B$13/100)))+0.25*(Inputs!$B$14-Inputs!$B$14))*(1+Inputs!$B$7/100))*(F1046/100)</f>
        <v/>
      </c>
      <c r="K1046">
        <f>J1046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1046)</f>
        <v/>
      </c>
      <c r="L1046">
        <f>K1046*(MIN(Inputs!$B$22+(F1060-Calc!F22),(Inputs!$B$23+(IF(ArtifactsInput!$M$15,CHOOSE(ArtifactsInput!$N$15+1,25,30,35,40,45,50)/100*(Inputs!$B$11-Inputs!$B$11),0))))/100+(Inputs!$B$23+(IF(ArtifactsInput!$M$15,CHOOSE(ArtifactsInput!$N$15+1,25,30,35,40,45,50)/100*(Inputs!$B$11-Inputs!$B$11),0)))/100)/2</f>
        <v/>
      </c>
      <c r="M1046">
        <f>L1046*(1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6">
        <f>L1046*(1-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1046*(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6">
        <f>(1-Summary!$B$11)*S1046+Summary!$B$11*U1046</f>
        <v/>
      </c>
      <c r="P1046">
        <f>IF(B1079=0,0,O1046/B1079)</f>
        <v/>
      </c>
      <c r="Q1046">
        <f>IFERROR(1/(IF(Inputs!$B$38="pvp",15,MAX(0.1,Skills!E8-IF(Skills!F8=TRUE,(Inputs!$B$32+1),0)))*(1-IF(AND(ArtifactsInput!$M$27,Inputs!$B$4="Chapter Hunt"),CHOOSE(ArtifactsInput!$N$27+1,20,24,28,32,36,40),0)/100)),0)</f>
        <v/>
      </c>
      <c r="R1046">
        <f>IF(AND(Inputs!$B$38&lt;&gt;"pvp",Inputs!$B$43&gt;0),IF(MAX(0,Inputs!$B$43-B1076)&lt;=0,0,(INT(MAX(0,Inputs!$B$43-B1076)/(IF(Inputs!$B$38="pvp",15,MAX(0.1,Skills!E8-IF(Skills!F8=TRUE,(Inputs!$B$32+1),0)))*(1-IF(AND(ArtifactsInput!$M$27,Inputs!$B$4="Chapter Hunt"),CHOOSE(ArtifactsInput!$N$27+1,20,24,28,32,36,40),0)/100)))+1)),0)</f>
        <v/>
      </c>
      <c r="S1046">
        <f>IF(C1046,(H1046*N1046*IF(AND(Inputs!$B$38&lt;&gt;"pvp",Inputs!$B$43&gt;0),((Skills!G8*((R1046-1)*IF(Skills!H8&gt;0,Skills!I8/Skills!H8,1)+IF(Skills!H8&gt;0,MIN(Skills!I8,MAX(0,MAX(0,Inputs!$B$43-B1076)-((R1046-1)*(IF(Inputs!$B$38="pvp",15,MAX(0.1,Skills!E8-IF(Skills!F8=TRUE,(Inputs!$B$32+1),0)))*(1-IF(AND(ArtifactsInput!$M$27,Inputs!$B$4="Chapter Hunt"),CHOOSE(ArtifactsInput!$N$27+1,20,24,28,32,36,40),0)/100)))))/Skills!H8,1)))/Inputs!$B$43),G1046*Q1046)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1046*(1-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1046*(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1046*(1-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1046*(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46">
        <f>IF(C1046,(H1046*N1046*IF(AND(Inputs!$B$38&lt;&gt;"pvp",Inputs!$B$43&gt;0),((Skills!G8*((R1046-1)*IF(Skills!H8&gt;0,Skills!I8/Skills!H8,1)+IF(Skills!H8&gt;0,MIN(Skills!I8,MAX(0,MAX(0,Inputs!$B$43-B1076)-((R1046-1)*(IF(Inputs!$B$38="pvp",15,MAX(0.1,Skills!E8-IF(Skills!F8=TRUE,(Inputs!$B$32+1),0)))*(1-IF(AND(ArtifactsInput!$M$27,Inputs!$B$4="Chapter Hunt"),CHOOSE(ArtifactsInput!$N$27+1,20,24,28,32,36,40),0)/100)))))/Skills!H8,1)))/Inputs!$B$43),G1046*Q1046)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7">
      <c r="A1047">
        <f>Skills!A9</f>
        <v/>
      </c>
      <c r="B1047">
        <f>Skills!B9</f>
        <v/>
      </c>
      <c r="C1047">
        <f>Inputs!$B$3&gt;=103</f>
        <v/>
      </c>
      <c r="D1047">
        <f>IF(Skills!C9=1,60+Inputs!$B$25+Inputs!$B$29,IF(Skills!C9=2,90+Inputs!$B$26+Inputs!$B$29,IF(Skills!C9=3,120+Inputs!$B$27+Inputs!$B$29,MAX(0,(Inputs!$B$3-100)*3)+Inputs!$B$28+Inputs!$B$29)))</f>
        <v/>
      </c>
      <c r="E1047">
        <f>INDEX(FactorTable!$B$2:$Y$301, MATCH(ROUND(MIN(300,MAX(1,D1047)),0), FactorTable!$A$2:$A$301,0), Skills!M9+1)</f>
        <v/>
      </c>
      <c r="F1047">
        <f>IF(Skills!N9=TRUE,(Skills!L9/10)*(E1047/1000),Skills!L9/10)+Skills!O9</f>
        <v/>
      </c>
      <c r="G1047">
        <f>Calc!G9</f>
        <v/>
      </c>
      <c r="H1047">
        <f>Calc!H9</f>
        <v/>
      </c>
      <c r="I1047">
        <f>IF(Skills!X9&lt;&gt;"",1+(Skills!X9/10)*(Z1041/1000)/100,1)</f>
        <v/>
      </c>
      <c r="J1047">
        <f>((Inputs!$B$6*(1+Inputs!$B$7/100))+(((Inputs!$B$12*(1+Inputs!$B$13/100))-(Inputs!$B$12*(1+Inputs!$B$13/100)))+0.25*(Inputs!$B$14-Inputs!$B$14))*(1+Inputs!$B$7/100))*(F1047/100)</f>
        <v/>
      </c>
      <c r="K1047">
        <f>J1047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1047)</f>
        <v/>
      </c>
      <c r="L1047">
        <f>K1047*(MIN(Inputs!$B$22+(F1060-Calc!F22),(Inputs!$B$23+(IF(ArtifactsInput!$M$15,CHOOSE(ArtifactsInput!$N$15+1,25,30,35,40,45,50)/100*(Inputs!$B$11-Inputs!$B$11),0))))/100+(Inputs!$B$23+(IF(ArtifactsInput!$M$15,CHOOSE(ArtifactsInput!$N$15+1,25,30,35,40,45,50)/100*(Inputs!$B$11-Inputs!$B$11),0)))/100)/2</f>
        <v/>
      </c>
      <c r="M1047">
        <f>L1047*(1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7">
        <f>L1047*(1-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1047*(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7">
        <f>(1-Summary!$B$11)*S1047+Summary!$B$11*U1047</f>
        <v/>
      </c>
      <c r="P1047">
        <f>IF(B1079=0,0,O1047/B1079)</f>
        <v/>
      </c>
      <c r="Q1047">
        <f>IFERROR(1/(IF(Inputs!$B$38="pvp",15,MAX(0.1,Skills!E9-IF(Skills!F7=TRUE,(Inputs!$B$32+1),0)))*(1-IF(AND(ArtifactsInput!$M$27,Inputs!$B$4="Chapter Hunt"),CHOOSE(ArtifactsInput!$N$27+1,20,24,28,32,36,40),0)/100)),0)</f>
        <v/>
      </c>
      <c r="R1047">
        <f>IF(AND(Inputs!$B$38&lt;&gt;"pvp",Inputs!$B$43&gt;0),IF(MAX(0,Inputs!$B$43-B1076)&lt;=0,0,(INT(MAX(0,Inputs!$B$43-B1076)/(IF(Inputs!$B$38="pvp",15,MAX(0.1,Skills!E9-IF(Skills!F7=TRUE,(Inputs!$B$32+1),0)))*(1-IF(AND(ArtifactsInput!$M$27,Inputs!$B$4="Chapter Hunt"),CHOOSE(ArtifactsInput!$N$27+1,20,24,28,32,36,40),0)/100)))+1)),0)</f>
        <v/>
      </c>
      <c r="S1047">
        <f>IF(C1047,(H1047*N1047*IF(AND(Inputs!$B$38&lt;&gt;"pvp",Inputs!$B$43&gt;0),((Skills!G9*((R1047-1)*IF(Skills!H9&gt;0,Skills!I9/Skills!H9,1)+IF(Skills!H9&gt;0,MIN(Skills!I9,MAX(0,MAX(0,Inputs!$B$43-B1076)-((R1047-1)*(IF(Inputs!$B$38="pvp",15,MAX(0.1,Skills!E9-IF(Skills!F7=TRUE,(Inputs!$B$32+1),0)))*(1-IF(AND(ArtifactsInput!$M$27,Inputs!$B$4="Chapter Hunt"),CHOOSE(ArtifactsInput!$N$27+1,20,24,28,32,36,40),0)/100)))))/Skills!H9,1)))/Inputs!$B$43),G1047*Q1047)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1047*(1-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1047*(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1047*(1-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1047*(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47">
        <f>IF(C1047,(H1047*N1047*IF(AND(Inputs!$B$38&lt;&gt;"pvp",Inputs!$B$43&gt;0),((Skills!G9*((R1047-1)*IF(Skills!H9&gt;0,Skills!I9/Skills!H9,1)+IF(Skills!H9&gt;0,MIN(Skills!I9,MAX(0,MAX(0,Inputs!$B$43-B1076)-((R1047-1)*(IF(Inputs!$B$38="pvp",15,MAX(0.1,Skills!E9-IF(Skills!F7=TRUE,(Inputs!$B$32+1),0)))*(1-IF(AND(ArtifactsInput!$M$27,Inputs!$B$4="Chapter Hunt"),CHOOSE(ArtifactsInput!$N$27+1,20,24,28,32,36,40),0)/100)))))/Skills!H9,1)))/Inputs!$B$43),G1047*Q1047)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8">
      <c r="A1048">
        <f>Skills!A10</f>
        <v/>
      </c>
      <c r="B1048">
        <f>Skills!B10</f>
        <v/>
      </c>
      <c r="C1048">
        <f>TRUE</f>
        <v/>
      </c>
      <c r="D1048">
        <f>IF(Skills!C10=1,60+Inputs!$B$25+Inputs!$B$29,IF(Skills!C10=2,90+Inputs!$B$26+Inputs!$B$29,IF(Skills!C10=3,120+Inputs!$B$27+Inputs!$B$29,MAX(0,(Inputs!$B$3-100)*3)+Inputs!$B$28+Inputs!$B$29)))</f>
        <v/>
      </c>
      <c r="E1048">
        <f>INDEX(FactorTable!$B$2:$Y$301, MATCH(ROUND(MIN(300,MAX(1,D1048)),0), FactorTable!$A$2:$A$301,0), Skills!M10+1)</f>
        <v/>
      </c>
      <c r="F1048">
        <f>IF(Skills!N10=TRUE,(Skills!L10/10)*(E1048/1000),Skills!L10/10)+Skills!O10</f>
        <v/>
      </c>
      <c r="G1048">
        <f>Calc!G10</f>
        <v/>
      </c>
      <c r="H1048">
        <f>Calc!H10</f>
        <v/>
      </c>
      <c r="I1048">
        <f>IF(Skills!X10&lt;&gt;"",1+(Skills!X10/10)*(Z1041/1000)/100,1)</f>
        <v/>
      </c>
      <c r="J1048">
        <f>((Inputs!$B$6*(1+Inputs!$B$7/100))+(((Inputs!$B$12*(1+Inputs!$B$13/100))-(Inputs!$B$12*(1+Inputs!$B$13/100)))+0.25*(Inputs!$B$14-Inputs!$B$14))*(1+Inputs!$B$7/100))*(F1048/100)</f>
        <v/>
      </c>
      <c r="K1048">
        <f>J1048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1048)</f>
        <v/>
      </c>
      <c r="L1048">
        <f>K1048*(MIN(Inputs!$B$22+(F1060-Calc!F22),(Inputs!$B$23+(IF(ArtifactsInput!$M$15,CHOOSE(ArtifactsInput!$N$15+1,25,30,35,40,45,50)/100*(Inputs!$B$11-Inputs!$B$11),0))))/100+(Inputs!$B$23+(IF(ArtifactsInput!$M$15,CHOOSE(ArtifactsInput!$N$15+1,25,30,35,40,45,50)/100*(Inputs!$B$11-Inputs!$B$11),0)))/100)/2</f>
        <v/>
      </c>
      <c r="M1048">
        <f>L1048*(1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8">
        <f>L1048*(1-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1048*(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8">
        <f>(1-Summary!$B$11)*S1048+Summary!$B$11*U1048</f>
        <v/>
      </c>
      <c r="P1048">
        <f>IF(B1079=0,0,O1048/B1079)</f>
        <v/>
      </c>
      <c r="Q1048">
        <f>IFERROR(1/(IF(Inputs!$B$38="pvp",15,MAX(0.1,Skills!E10-IF(Skills!F10=TRUE,(Inputs!$B$32+1),0)))*(1-IF(AND(ArtifactsInput!$M$27,Inputs!$B$4="Chapter Hunt"),CHOOSE(ArtifactsInput!$N$27+1,20,24,28,32,36,40),0)/100)),0)</f>
        <v/>
      </c>
      <c r="R1048">
        <f>IF(AND(Inputs!$B$38&lt;&gt;"pvp",Inputs!$B$43&gt;0),IF(MAX(0,Inputs!$B$43-B1076)&lt;=0,0,(INT(MAX(0,Inputs!$B$43-B1076)/(IF(Inputs!$B$38="pvp",15,MAX(0.1,Skills!E10-IF(Skills!F10=TRUE,(Inputs!$B$32+1),0)))*(1-IF(AND(ArtifactsInput!$M$27,Inputs!$B$4="Chapter Hunt"),CHOOSE(ArtifactsInput!$N$27+1,20,24,28,32,36,40),0)/100)))+1)),0)</f>
        <v/>
      </c>
      <c r="S1048">
        <f>IF(C1048,(H1048*N1048*IF(AND(Inputs!$B$38&lt;&gt;"pvp",Inputs!$B$43&gt;0),((Skills!G10*((R1048-1)*IF(Skills!H10&gt;0,Skills!I10/Skills!H10,1)+IF(Skills!H10&gt;0,MIN(Skills!I10,MAX(0,MAX(0,Inputs!$B$43-B1076)-((R1048-1)*(IF(Inputs!$B$38="pvp",15,MAX(0.1,Skills!E10-IF(Skills!F10=TRUE,(Inputs!$B$32+1),0)))*(1-IF(AND(ArtifactsInput!$M$27,Inputs!$B$4="Chapter Hunt"),CHOOSE(ArtifactsInput!$N$27+1,20,24,28,32,36,40),0)/100)))))/Skills!H10,1)))/Inputs!$B$43),G1048*Q1048)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1048*(1-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1048*(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1048*(1-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1048*(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48">
        <f>IF(C1048,(H1048*N1048*IF(AND(Inputs!$B$38&lt;&gt;"pvp",Inputs!$B$43&gt;0),((Skills!G10*((R1048-1)*IF(Skills!H10&gt;0,Skills!I10/Skills!H10,1)+IF(Skills!H10&gt;0,MIN(Skills!I10,MAX(0,MAX(0,Inputs!$B$43-B1076)-((R1048-1)*(IF(Inputs!$B$38="pvp",15,MAX(0.1,Skills!E10-IF(Skills!F10=TRUE,(Inputs!$B$32+1),0)))*(1-IF(AND(ArtifactsInput!$M$27,Inputs!$B$4="Chapter Hunt"),CHOOSE(ArtifactsInput!$N$27+1,20,24,28,32,36,40),0)/100)))))/Skills!H10,1)))/Inputs!$B$43),G1048*Q1048)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9">
      <c r="A1049">
        <f>Skills!A11</f>
        <v/>
      </c>
      <c r="B1049">
        <f>Skills!B11</f>
        <v/>
      </c>
      <c r="C1049">
        <f>TRUE</f>
        <v/>
      </c>
      <c r="D1049">
        <f>IF(Skills!C11=1,60+Inputs!$B$25+Inputs!$B$29,IF(Skills!C11=2,90+Inputs!$B$26+Inputs!$B$29,IF(Skills!C11=3,120+Inputs!$B$27+Inputs!$B$29,MAX(0,(Inputs!$B$3-100)*3)+Inputs!$B$28+Inputs!$B$29)))</f>
        <v/>
      </c>
      <c r="E1049">
        <f>INDEX(FactorTable!$B$2:$Y$301, MATCH(ROUND(MIN(300,MAX(1,D1049)),0), FactorTable!$A$2:$A$301,0), Skills!M11+1)</f>
        <v/>
      </c>
      <c r="F1049">
        <f>IF(Skills!N11=TRUE,(Skills!L11/10)*(E1049/1000),Skills!L11/10)+Skills!O11</f>
        <v/>
      </c>
      <c r="G1049">
        <f>Calc!G11</f>
        <v/>
      </c>
      <c r="H1049">
        <f>Calc!H11</f>
        <v/>
      </c>
      <c r="I1049">
        <f>IF(Skills!X11&lt;&gt;"",1+(Skills!X11/10)*(Z1041/1000)/100,1)</f>
        <v/>
      </c>
      <c r="J1049" t="inlineStr"/>
      <c r="K1049" t="inlineStr"/>
      <c r="L1049" t="inlineStr"/>
      <c r="M1049" t="inlineStr"/>
      <c r="N1049" t="inlineStr"/>
      <c r="O1049">
        <f>(1-Summary!$B$11)*S1049+Summary!$B$11*U1049</f>
        <v/>
      </c>
      <c r="P1049">
        <f>IF(B1079=0,0,O1049/B1079)</f>
        <v/>
      </c>
      <c r="Q1049">
        <f>IFERROR(1/(IF(Inputs!$B$38="pvp",15,MAX(0.1,Skills!E11-IF(Skills!F11=TRUE,(Inputs!$B$32+1),0)))*(1-IF(AND(ArtifactsInput!$M$27,Inputs!$B$4="Chapter Hunt"),CHOOSE(ArtifactsInput!$N$27+1,20,24,28,32,36,40),0)/100)),0)</f>
        <v/>
      </c>
      <c r="R1049" t="n">
        <v>0</v>
      </c>
      <c r="S1049" t="n">
        <v>0</v>
      </c>
      <c r="U1049" t="n">
        <v>0</v>
      </c>
    </row>
    <row r="1050">
      <c r="A1050">
        <f>Skills!A12</f>
        <v/>
      </c>
      <c r="B1050">
        <f>Skills!B12</f>
        <v/>
      </c>
      <c r="C1050">
        <f>TRUE</f>
        <v/>
      </c>
      <c r="D1050">
        <f>IF(Skills!C12=1,60+Inputs!$B$25+Inputs!$B$29,IF(Skills!C12=2,90+Inputs!$B$26+Inputs!$B$29,IF(Skills!C12=3,120+Inputs!$B$27+Inputs!$B$29,MAX(0,(Inputs!$B$3-100)*3)+Inputs!$B$28+Inputs!$B$29)))</f>
        <v/>
      </c>
      <c r="E1050">
        <f>INDEX(FactorTable!$B$2:$Y$301, MATCH(ROUND(MIN(300,MAX(1,D1050)),0), FactorTable!$A$2:$A$301,0), Skills!M12+1)</f>
        <v/>
      </c>
      <c r="F1050">
        <f>IF(Skills!N12=TRUE,(Skills!L12/10)*(E1050/1000),Skills!L12/10)+Skills!O12</f>
        <v/>
      </c>
      <c r="G1050">
        <f>Calc!G12</f>
        <v/>
      </c>
      <c r="H1050">
        <f>Calc!H12</f>
        <v/>
      </c>
      <c r="I1050">
        <f>IF(Skills!X12&lt;&gt;"",1+(Skills!X12/10)*(Z1041/1000)/100,1)</f>
        <v/>
      </c>
      <c r="J1050" t="inlineStr"/>
      <c r="K1050" t="inlineStr"/>
      <c r="L1050" t="inlineStr"/>
      <c r="M1050" t="inlineStr"/>
      <c r="N1050" t="inlineStr"/>
      <c r="O1050">
        <f>(1-Summary!$B$11)*S1050+Summary!$B$11*U1050</f>
        <v/>
      </c>
      <c r="P1050">
        <f>IF(B1079=0,0,O1050/B1079)</f>
        <v/>
      </c>
      <c r="Q1050">
        <f>IFERROR(1/(IF(Inputs!$B$38="pvp",15,MAX(0.1,Skills!E12-IF(Skills!F12=TRUE,(Inputs!$B$32+1),0)))*(1-IF(AND(ArtifactsInput!$M$27,Inputs!$B$4="Chapter Hunt"),CHOOSE(ArtifactsInput!$N$27+1,20,24,28,32,36,40),0)/100)),0)</f>
        <v/>
      </c>
      <c r="R1050" t="n">
        <v>0</v>
      </c>
      <c r="S1050" t="n">
        <v>0</v>
      </c>
      <c r="U1050" t="n">
        <v>0</v>
      </c>
    </row>
    <row r="1051">
      <c r="A1051">
        <f>Skills!A13</f>
        <v/>
      </c>
      <c r="B1051">
        <f>Skills!B13</f>
        <v/>
      </c>
      <c r="C1051">
        <f>Inputs!$B$3&gt;=105</f>
        <v/>
      </c>
      <c r="D1051">
        <f>IF(Skills!C13=1,60+Inputs!$B$25+Inputs!$B$29,IF(Skills!C13=2,90+Inputs!$B$26+Inputs!$B$29,IF(Skills!C13=3,120+Inputs!$B$27+Inputs!$B$29,MAX(0,(Inputs!$B$3-100)*3)+Inputs!$B$28+Inputs!$B$29)))</f>
        <v/>
      </c>
      <c r="E1051">
        <f>INDEX(FactorTable!$B$2:$Y$301, MATCH(ROUND(MIN(300,MAX(1,D1051)),0), FactorTable!$A$2:$A$301,0), Skills!M13+1)</f>
        <v/>
      </c>
      <c r="F1051">
        <f>IF(Skills!N13=TRUE,(Skills!L13/10)*(E1051/1000),Skills!L13/10)+Skills!O13</f>
        <v/>
      </c>
      <c r="G1051">
        <f>Calc!G13</f>
        <v/>
      </c>
      <c r="H1051">
        <f>Calc!H13</f>
        <v/>
      </c>
      <c r="I1051">
        <f>IF(Skills!X13&lt;&gt;"",1+(Skills!X13/10)*(Z1041/1000)/100,1)</f>
        <v/>
      </c>
      <c r="J1051">
        <f>((Inputs!$B$6*(1+Inputs!$B$7/100))+(((Inputs!$B$12*(1+Inputs!$B$13/100))-(Inputs!$B$12*(1+Inputs!$B$13/100)))+0.25*(Inputs!$B$14-Inputs!$B$14))*(1+Inputs!$B$7/100))*(F1051/100)</f>
        <v/>
      </c>
      <c r="K1051">
        <f>J1051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1051)</f>
        <v/>
      </c>
      <c r="L1051">
        <f>K1051*(MIN(Inputs!$B$22+(F1060-Calc!F22),(Inputs!$B$23+(IF(ArtifactsInput!$M$15,CHOOSE(ArtifactsInput!$N$15+1,25,30,35,40,45,50)/100*(Inputs!$B$11-Inputs!$B$11),0))))/100+(Inputs!$B$23+(IF(ArtifactsInput!$M$15,CHOOSE(ArtifactsInput!$N$15+1,25,30,35,40,45,50)/100*(Inputs!$B$11-Inputs!$B$11),0)))/100)/2</f>
        <v/>
      </c>
      <c r="M1051">
        <f>L1051*(1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1">
        <f>L1051*(1-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1">
        <f>(1-Summary!$B$11)*S1051+Summary!$B$11*U1051</f>
        <v/>
      </c>
      <c r="P1051">
        <f>IF(B1079=0,0,O1051/B1079)</f>
        <v/>
      </c>
      <c r="Q1051">
        <f>IFERROR(1/(IF(Inputs!$B$38="pvp",15,MAX(0.1,Skills!E13-IF(Skills!F13=TRUE,(Inputs!$B$32+1),0)))*(1-IF(AND(ArtifactsInput!$M$27,Inputs!$B$4="Chapter Hunt"),CHOOSE(ArtifactsInput!$N$27+1,20,24,28,32,36,40),0)/100)),0)</f>
        <v/>
      </c>
      <c r="R1051">
        <f>IF(AND(Inputs!$B$38&lt;&gt;"pvp",Inputs!$B$43&gt;0),IF(MAX(0,Inputs!$B$43-B1076)&lt;=0,0,(INT(MAX(0,Inputs!$B$43-B1076)/(IF(Inputs!$B$38="pvp",15,MAX(0.1,Skills!E13-IF(Skills!F13=TRUE,(Inputs!$B$32+1),0)))*(1-IF(AND(ArtifactsInput!$M$27,Inputs!$B$4="Chapter Hunt"),CHOOSE(ArtifactsInput!$N$27+1,20,24,28,32,36,40),0)/100)))+1)),0)</f>
        <v/>
      </c>
      <c r="S1051">
        <f>IF(C1051,(H1051*N1051*IF(AND(Inputs!$B$38&lt;&gt;"pvp",Inputs!$B$43&gt;0),((Skills!G13*((R1051-1)*IF(Skills!H13&gt;0,Skills!I13/Skills!H13,1)+IF(Skills!H13&gt;0,MIN(Skills!I13,MAX(0,MAX(0,Inputs!$B$43-B1076)-((R1051-1)*(IF(Inputs!$B$38="pvp",15,MAX(0.1,Skills!E13-IF(Skills!F13=TRUE,(Inputs!$B$32+1),0)))*(1-IF(AND(ArtifactsInput!$M$27,Inputs!$B$4="Chapter Hunt"),CHOOSE(ArtifactsInput!$N$27+1,20,24,28,32,36,40),0)/100)))))/Skills!H13,1)))/Inputs!$B$43),G1051*Q1051)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1051*(1-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1051*(1-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51">
        <f>IF(C1051,(H1051*N1051*IF(AND(Inputs!$B$38&lt;&gt;"pvp",Inputs!$B$43&gt;0),((Skills!G13*((R1051-1)*IF(Skills!H13&gt;0,Skills!I13/Skills!H13,1)+IF(Skills!H13&gt;0,MIN(Skills!I13,MAX(0,MAX(0,Inputs!$B$43-B1076)-((R1051-1)*(IF(Inputs!$B$38="pvp",15,MAX(0.1,Skills!E13-IF(Skills!F13=TRUE,(Inputs!$B$32+1),0)))*(1-IF(AND(ArtifactsInput!$M$27,Inputs!$B$4="Chapter Hunt"),CHOOSE(ArtifactsInput!$N$27+1,20,24,28,32,36,40),0)/100)))))/Skills!H13,1)))/Inputs!$B$43),G1051*Q1051)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52">
      <c r="A1052">
        <f>Skills!A14</f>
        <v/>
      </c>
      <c r="B1052">
        <f>Skills!B14</f>
        <v/>
      </c>
      <c r="C1052">
        <f>Inputs!$B$3&gt;=113</f>
        <v/>
      </c>
      <c r="D1052">
        <f>IF(Skills!C14=1,60+Inputs!$B$25+Inputs!$B$29,IF(Skills!C14=2,90+Inputs!$B$26+Inputs!$B$29,IF(Skills!C14=3,120+Inputs!$B$27+Inputs!$B$29,MAX(0,(Inputs!$B$3-100)*3)+Inputs!$B$28+Inputs!$B$29)))</f>
        <v/>
      </c>
      <c r="E1052">
        <f>INDEX(FactorTable!$B$2:$Y$301, MATCH(ROUND(MIN(300,MAX(1,D1052)),0), FactorTable!$A$2:$A$301,0), Skills!M14+1)</f>
        <v/>
      </c>
      <c r="F1052">
        <f>IF(Skills!N14=TRUE,(Skills!L14/10)*(E1052/1000),Skills!L14/10)+Skills!O14</f>
        <v/>
      </c>
      <c r="G1052">
        <f>Calc!G14</f>
        <v/>
      </c>
      <c r="H1052">
        <f>Calc!H14</f>
        <v/>
      </c>
      <c r="I1052">
        <f>IF(Skills!X14&lt;&gt;"",1+(Skills!X14/10)*(Z1041/1000)/100,1)</f>
        <v/>
      </c>
      <c r="J1052">
        <f>((Inputs!$B$6*(1+Inputs!$B$7/100))+(((Inputs!$B$12*(1+Inputs!$B$13/100))-(Inputs!$B$12*(1+Inputs!$B$13/100)))+0.25*(Inputs!$B$14-Inputs!$B$14))*(1+Inputs!$B$7/100))*(F1052/100)</f>
        <v/>
      </c>
      <c r="K1052">
        <f>J1052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1052)</f>
        <v/>
      </c>
      <c r="L1052">
        <f>K1052*(MIN(Inputs!$B$22+(F1060-Calc!F22),(Inputs!$B$23+(IF(ArtifactsInput!$M$15,CHOOSE(ArtifactsInput!$N$15+1,25,30,35,40,45,50)/100*(Inputs!$B$11-Inputs!$B$11),0))))/100+(Inputs!$B$23+(IF(ArtifactsInput!$M$15,CHOOSE(ArtifactsInput!$N$15+1,25,30,35,40,45,50)/100*(Inputs!$B$11-Inputs!$B$11),0)))/100)/2</f>
        <v/>
      </c>
      <c r="M1052">
        <f>L1052*(1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2">
        <f>L1052*(1-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1052*(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2">
        <f>(1-Summary!$B$11)*S1052+Summary!$B$11*U1052</f>
        <v/>
      </c>
      <c r="P1052">
        <f>IF(B1079=0,0,O1052/B1079)</f>
        <v/>
      </c>
      <c r="Q1052">
        <f>IFERROR(1/(IF(Inputs!$B$38="pvp",15,MAX(0.1,Skills!E14-IF(Skills!F14=TRUE,(Inputs!$B$32+1),0)))*(1-IF(AND(ArtifactsInput!$M$27,Inputs!$B$4="Chapter Hunt"),CHOOSE(ArtifactsInput!$N$27+1,20,24,28,32,36,40),0)/100)),0)</f>
        <v/>
      </c>
      <c r="R1052" t="n">
        <v>0</v>
      </c>
      <c r="S1052">
        <f>IF(C1052,((H1052*B1075)/(1+Skills!H14*H1052*B1075)*N1052)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1052*(1-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1052*(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1052*(1-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1052*(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52">
        <f>IF(C1052,((H1052*B1075)/(1+Skills!H14*H1052*B1075)*N1052)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53">
      <c r="A1053">
        <f>Skills!A15</f>
        <v/>
      </c>
      <c r="B1053">
        <f>Skills!B15</f>
        <v/>
      </c>
      <c r="C1053">
        <f>Inputs!$B$3&gt;=107</f>
        <v/>
      </c>
      <c r="D1053">
        <f>IF(Skills!C15=1,60+Inputs!$B$25+Inputs!$B$29,IF(Skills!C15=2,90+Inputs!$B$26+Inputs!$B$29,IF(Skills!C15=3,120+Inputs!$B$27+Inputs!$B$29,MAX(0,(Inputs!$B$3-100)*3)+Inputs!$B$28+Inputs!$B$29)))</f>
        <v/>
      </c>
      <c r="E1053">
        <f>INDEX(FactorTable!$B$2:$Y$301, MATCH(ROUND(MIN(300,MAX(1,D1053)),0), FactorTable!$A$2:$A$301,0), Skills!M15+1)</f>
        <v/>
      </c>
      <c r="F1053">
        <f>IF(Skills!N15=TRUE,(Skills!L15/10)*(E1053/1000),Skills!L15/10)+Skills!O15</f>
        <v/>
      </c>
      <c r="G1053">
        <f>Calc!G15</f>
        <v/>
      </c>
      <c r="H1053">
        <f>Calc!H15</f>
        <v/>
      </c>
      <c r="I1053">
        <f>IF(Skills!X15&lt;&gt;"",1+(Skills!X15/10)*(Z1041/1000)/100,1)</f>
        <v/>
      </c>
      <c r="J1053">
        <f>((Inputs!$B$6*(1+Inputs!$B$7/100))+(((Inputs!$B$12*(1+Inputs!$B$13/100))-(Inputs!$B$12*(1+Inputs!$B$13/100)))+0.25*(Inputs!$B$14-Inputs!$B$14))*(1+Inputs!$B$7/100))*(F1053/100)</f>
        <v/>
      </c>
      <c r="K1053">
        <f>J1053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1053)</f>
        <v/>
      </c>
      <c r="L1053">
        <f>K1053*(MIN(Inputs!$B$22+(F1060-Calc!F22),(Inputs!$B$23+(IF(ArtifactsInput!$M$15,CHOOSE(ArtifactsInput!$N$15+1,25,30,35,40,45,50)/100*(Inputs!$B$11-Inputs!$B$11),0))))/100+(Inputs!$B$23+(IF(ArtifactsInput!$M$15,CHOOSE(ArtifactsInput!$N$15+1,25,30,35,40,45,50)/100*(Inputs!$B$11-Inputs!$B$11),0)))/100)/2</f>
        <v/>
      </c>
      <c r="M1053">
        <f>L1053*(1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3">
        <f>L1053*(1-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1053*(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3">
        <f>(1-Summary!$B$11)*S1053+Summary!$B$11*U1053</f>
        <v/>
      </c>
      <c r="P1053">
        <f>IF(B1079=0,0,O1053/B1079)</f>
        <v/>
      </c>
      <c r="Q1053">
        <f>IFERROR(1/(IF(Inputs!$B$38="pvp",15,MAX(0.1,Skills!E15-IF(Skills!F15=TRUE,(Inputs!$B$32+1),0)))*(1-IF(AND(ArtifactsInput!$M$27,Inputs!$B$4="Chapter Hunt"),CHOOSE(ArtifactsInput!$N$27+1,20,24,28,32,36,40),0)/100)),0)</f>
        <v/>
      </c>
      <c r="R1053">
        <f>IF(AND(Inputs!$B$38&lt;&gt;"pvp",Inputs!$B$43&gt;0),IF(MAX(0,Inputs!$B$43-B1076)&lt;=0,0,(INT(MAX(0,Inputs!$B$43-B1076)/(IF(Inputs!$B$38="pvp",15,MAX(0.1,Skills!E15-IF(Skills!F15=TRUE,(Inputs!$B$32+1),0)))*(1-IF(AND(ArtifactsInput!$M$27,Inputs!$B$4="Chapter Hunt"),CHOOSE(ArtifactsInput!$N$27+1,20,24,28,32,36,40),0)/100)))+1)),0)</f>
        <v/>
      </c>
      <c r="S1053">
        <f>IF(C1053,(H1053*N1053*IF(AND(Inputs!$B$38&lt;&gt;"pvp",Inputs!$B$43&gt;0),((Skills!G15*((R1053-1)*IF(Skills!H15&gt;0,Skills!I15/Skills!H15,1)+IF(Skills!H15&gt;0,MIN(Skills!I15,MAX(0,MAX(0,Inputs!$B$43-B1076)-((R1053-1)*(IF(Inputs!$B$38="pvp",15,MAX(0.1,Skills!E15-IF(Skills!F15=TRUE,(Inputs!$B$32+1),0)))*(1-IF(AND(ArtifactsInput!$M$27,Inputs!$B$4="Chapter Hunt"),CHOOSE(ArtifactsInput!$N$27+1,20,24,28,32,36,40),0)/100)))))/Skills!H15,1)))/Inputs!$B$43),G1053*Q1053)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1053*(1-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1053*(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1053*(1-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1053*(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53">
        <f>IF(C1053,(H1053*N1053*IF(AND(Inputs!$B$38&lt;&gt;"pvp",Inputs!$B$43&gt;0),((Skills!G15*((R1053-1)*IF(Skills!H15&gt;0,Skills!I15/Skills!H15,1)+IF(Skills!H15&gt;0,MIN(Skills!I15,MAX(0,MAX(0,Inputs!$B$43-B1076)-((R1053-1)*(IF(Inputs!$B$38="pvp",15,MAX(0.1,Skills!E15-IF(Skills!F15=TRUE,(Inputs!$B$32+1),0)))*(1-IF(AND(ArtifactsInput!$M$27,Inputs!$B$4="Chapter Hunt"),CHOOSE(ArtifactsInput!$N$27+1,20,24,28,32,36,40),0)/100)))))/Skills!H15,1)))/Inputs!$B$43),G1053*Q1053)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54">
      <c r="A1054">
        <f>Skills!A16</f>
        <v/>
      </c>
      <c r="B1054">
        <f>Skills!B16</f>
        <v/>
      </c>
      <c r="C1054">
        <f>Inputs!$B$3&gt;=107</f>
        <v/>
      </c>
      <c r="D1054">
        <f>IF(Skills!C16=1,60+Inputs!$B$25+Inputs!$B$29,IF(Skills!C16=2,90+Inputs!$B$26+Inputs!$B$29,IF(Skills!C16=3,120+Inputs!$B$27+Inputs!$B$29,MAX(0,(Inputs!$B$3-100)*3)+Inputs!$B$28+Inputs!$B$29)))</f>
        <v/>
      </c>
      <c r="E1054">
        <f>INDEX(FactorTable!$B$2:$Y$301, MATCH(ROUND(MIN(300,MAX(1,D1054)),0), FactorTable!$A$2:$A$301,0), Skills!M16+1)</f>
        <v/>
      </c>
      <c r="F1054">
        <f>IF(Skills!N16=TRUE,(Skills!L16/10)*(E1054/1000),Skills!L16/10)+Skills!O16</f>
        <v/>
      </c>
      <c r="G1054">
        <f>Calc!G16</f>
        <v/>
      </c>
      <c r="H1054">
        <f>Calc!H16</f>
        <v/>
      </c>
      <c r="I1054">
        <f>IF(Skills!X16&lt;&gt;"",1+(Skills!X16/10)*(Z1041/1000)/100,1)</f>
        <v/>
      </c>
      <c r="J1054">
        <f>((Inputs!$B$6*(1+Inputs!$B$7/100))+(((Inputs!$B$12*(1+Inputs!$B$13/100))-(Inputs!$B$12*(1+Inputs!$B$13/100)))+0.25*(Inputs!$B$14-Inputs!$B$14))*(1+Inputs!$B$7/100))*(F1054/100)</f>
        <v/>
      </c>
      <c r="K1054">
        <f>J1054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1054)</f>
        <v/>
      </c>
      <c r="L1054">
        <f>K1054*(MIN(Inputs!$B$22+(F1060-Calc!F22),(Inputs!$B$23+(IF(ArtifactsInput!$M$15,CHOOSE(ArtifactsInput!$N$15+1,25,30,35,40,45,50)/100*(Inputs!$B$11-Inputs!$B$11),0))))/100+(Inputs!$B$23+(IF(ArtifactsInput!$M$15,CHOOSE(ArtifactsInput!$N$15+1,25,30,35,40,45,50)/100*(Inputs!$B$11-Inputs!$B$11),0)))/100)/2</f>
        <v/>
      </c>
      <c r="M1054">
        <f>L1054*(1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4">
        <f>L1054*(1-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1054*(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4">
        <f>(1-Summary!$B$11)*S1054+Summary!$B$11*U1054</f>
        <v/>
      </c>
      <c r="P1054">
        <f>IF(B1079=0,0,O1054/B1079)</f>
        <v/>
      </c>
      <c r="Q1054">
        <f>IFERROR(1/(IF(Inputs!$B$38="pvp",15,MAX(0.1,Skills!E16-IF(Skills!F16=TRUE,(Inputs!$B$32+1),0)))*(1-IF(AND(ArtifactsInput!$M$27,Inputs!$B$4="Chapter Hunt"),CHOOSE(ArtifactsInput!$N$27+1,20,24,28,32,36,40),0)/100)),0)</f>
        <v/>
      </c>
      <c r="R1054">
        <f>IF(AND(Inputs!$B$38&lt;&gt;"pvp",Inputs!$B$43&gt;0),IF(MAX(0,Inputs!$B$43-B1076)&lt;=0,0,(INT(MAX(0,Inputs!$B$43-B1076)/(IF(Inputs!$B$38="pvp",15,MAX(0.1,Skills!E16-IF(Skills!F16=TRUE,(Inputs!$B$32+1),0)))*(1-IF(AND(ArtifactsInput!$M$27,Inputs!$B$4="Chapter Hunt"),CHOOSE(ArtifactsInput!$N$27+1,20,24,28,32,36,40),0)/100)))+1)),0)</f>
        <v/>
      </c>
      <c r="S1054">
        <f>IF(C1054,(H1054*N1054*IF(AND(Inputs!$B$38&lt;&gt;"pvp",Inputs!$B$43&gt;0),((Skills!G16*((R1054-1)*IF(Skills!H16&gt;0,Skills!I16/Skills!H16,1)+IF(Skills!H16&gt;0,MIN(Skills!I16,MAX(0,MAX(0,Inputs!$B$43-B1076)-((R1054-1)*(IF(Inputs!$B$38="pvp",15,MAX(0.1,Skills!E16-IF(Skills!F16=TRUE,(Inputs!$B$32+1),0)))*(1-IF(AND(ArtifactsInput!$M$27,Inputs!$B$4="Chapter Hunt"),CHOOSE(ArtifactsInput!$N$27+1,20,24,28,32,36,40),0)/100)))))/Skills!H16,1)))/Inputs!$B$43),G1054*Q1054)*(1+IF(Inputs!$B$3&gt;=126,0.05*(B1074+Q1051+(H1052*B1075)/(1+Skills!H14*H1052*B1075)+Q1062)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1054*(1-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1054*(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1054*(1-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1054*(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54">
        <f>IF(C1054,(H1054*N1054*IF(AND(Inputs!$B$38&lt;&gt;"pvp",Inputs!$B$43&gt;0),((Skills!G16*((R1054-1)*IF(Skills!H16&gt;0,Skills!I16/Skills!H16,1)+IF(Skills!H16&gt;0,MIN(Skills!I16,MAX(0,MAX(0,Inputs!$B$43-B1076)-((R1054-1)*(IF(Inputs!$B$38="pvp",15,MAX(0.1,Skills!E16-IF(Skills!F16=TRUE,(Inputs!$B$32+1),0)))*(1-IF(AND(ArtifactsInput!$M$27,Inputs!$B$4="Chapter Hunt"),CHOOSE(ArtifactsInput!$N$27+1,20,24,28,32,36,40),0)/100)))))/Skills!H16,1)))/Inputs!$B$43),G1054*Q1054)*(1+IF(Inputs!$B$3&gt;=126,0.05*(B1074+Q1051+(H1052*B1075)/(1+Skills!H14*H1052*B1075)+Q1062)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55">
      <c r="A1055">
        <f>Skills!A17</f>
        <v/>
      </c>
      <c r="B1055">
        <f>Skills!B17</f>
        <v/>
      </c>
      <c r="C1055">
        <f>TRUE</f>
        <v/>
      </c>
      <c r="D1055">
        <f>IF(Skills!C17=1,60+Inputs!$B$25+Inputs!$B$29,IF(Skills!C17=2,90+Inputs!$B$26+Inputs!$B$29,IF(Skills!C17=3,120+Inputs!$B$27+Inputs!$B$29,MAX(0,(Inputs!$B$3-100)*3)+Inputs!$B$28+Inputs!$B$29)))</f>
        <v/>
      </c>
      <c r="E1055">
        <f>INDEX(FactorTable!$B$2:$Y$301, MATCH(ROUND(MIN(300,MAX(1,D1055)),0), FactorTable!$A$2:$A$301,0), Skills!M17+1)</f>
        <v/>
      </c>
      <c r="F1055">
        <f>IF(Skills!N17=TRUE,(Skills!L17/10)*(E1055/1000),Skills!L17/10)+Skills!O17</f>
        <v/>
      </c>
      <c r="G1055">
        <f>Calc!G17</f>
        <v/>
      </c>
      <c r="H1055">
        <f>Calc!H17</f>
        <v/>
      </c>
      <c r="I1055">
        <f>IF(Skills!X17&lt;&gt;"",1+(Skills!X17/10)*(Z1041/1000)/100,1)</f>
        <v/>
      </c>
      <c r="J1055" t="inlineStr"/>
      <c r="K1055" t="inlineStr"/>
      <c r="L1055" t="inlineStr"/>
      <c r="M1055" t="inlineStr"/>
      <c r="N1055" t="inlineStr"/>
      <c r="O1055">
        <f>(1-Summary!$B$11)*S1055+Summary!$B$11*U1055</f>
        <v/>
      </c>
      <c r="P1055">
        <f>IF(B1079=0,0,O1055/B1079)</f>
        <v/>
      </c>
      <c r="Q1055">
        <f>IFERROR(1/(IF(Inputs!$B$38="pvp",15,MAX(0.1,Skills!E17-IF(Skills!F17=TRUE,(Inputs!$B$32+1),0)))*(1-IF(AND(ArtifactsInput!$M$27,Inputs!$B$4="Chapter Hunt"),CHOOSE(ArtifactsInput!$N$27+1,20,24,28,32,36,40),0)/100)),0)</f>
        <v/>
      </c>
      <c r="R1055">
        <f>IF(AND(Inputs!$B$38&lt;&gt;"pvp",Inputs!$B$43&gt;0),IF(Inputs!$B$43&lt;=0,0,(INT(Inputs!$B$43/(IF(Inputs!$B$38="pvp",15,MAX(0.1,Skills!E17-IF(Skills!F17=TRUE,(Inputs!$B$32+1),0)))*(1-IF(AND(ArtifactsInput!$M$27,Inputs!$B$4="Chapter Hunt"),CHOOSE(ArtifactsInput!$N$27+1,20,24,28,32,36,40),0)/100)))+1)),0)</f>
        <v/>
      </c>
      <c r="S1055" t="n">
        <v>0</v>
      </c>
      <c r="U1055" t="n">
        <v>0</v>
      </c>
    </row>
    <row r="1056">
      <c r="A1056">
        <f>Skills!A18</f>
        <v/>
      </c>
      <c r="B1056">
        <f>Skills!B18</f>
        <v/>
      </c>
      <c r="C1056">
        <f>TRUE</f>
        <v/>
      </c>
      <c r="D1056">
        <f>IF(Skills!C18=1,60+Inputs!$B$25+Inputs!$B$29,IF(Skills!C18=2,90+Inputs!$B$26+Inputs!$B$29,IF(Skills!C18=3,120+Inputs!$B$27+Inputs!$B$29,MAX(0,(Inputs!$B$3-100)*3)+Inputs!$B$28+Inputs!$B$29)))</f>
        <v/>
      </c>
      <c r="E1056">
        <f>INDEX(FactorTable!$B$2:$Y$301, MATCH(ROUND(MIN(300,MAX(1,D1056)),0), FactorTable!$A$2:$A$301,0), Skills!M18+1)</f>
        <v/>
      </c>
      <c r="F1056">
        <f>IF(Skills!N18=TRUE,(Skills!L18/10)*(E1056/1000),Skills!L18/10)+Skills!O18</f>
        <v/>
      </c>
      <c r="G1056">
        <f>Calc!G18</f>
        <v/>
      </c>
      <c r="H1056">
        <f>Calc!H18</f>
        <v/>
      </c>
      <c r="I1056">
        <f>IF(Skills!X18&lt;&gt;"",1+(Skills!X18/10)*(Z1041/1000)/100,1)</f>
        <v/>
      </c>
      <c r="J1056" t="inlineStr"/>
      <c r="K1056" t="inlineStr"/>
      <c r="L1056" t="inlineStr"/>
      <c r="M1056" t="inlineStr"/>
      <c r="N1056" t="inlineStr"/>
      <c r="O1056">
        <f>(1-Summary!$B$11)*S1056+Summary!$B$11*U1056</f>
        <v/>
      </c>
      <c r="P1056">
        <f>IF(B1079=0,0,O1056/B1079)</f>
        <v/>
      </c>
      <c r="Q1056">
        <f>IFERROR(1/(IF(Inputs!$B$38="pvp",15,MAX(0.1,Skills!E18-IF(Skills!F18=TRUE,(Inputs!$B$32+1),0)))*(1-IF(AND(ArtifactsInput!$M$27,Inputs!$B$4="Chapter Hunt"),CHOOSE(ArtifactsInput!$N$27+1,20,24,28,32,36,40),0)/100)),0)</f>
        <v/>
      </c>
      <c r="R1056">
        <f>IF(AND(Inputs!$B$38&lt;&gt;"pvp",Inputs!$B$43&gt;0),IF(Inputs!$B$43&lt;=0,0,(INT(Inputs!$B$43/(IF(Inputs!$B$38="pvp",15,MAX(0.1,Skills!E18-IF(Skills!F18=TRUE,(Inputs!$B$32+1),0)))*(1-IF(AND(ArtifactsInput!$M$27,Inputs!$B$4="Chapter Hunt"),CHOOSE(ArtifactsInput!$N$27+1,20,24,28,32,36,40),0)/100)))+1)),0)</f>
        <v/>
      </c>
      <c r="S1056" t="n">
        <v>0</v>
      </c>
      <c r="U1056" t="n">
        <v>0</v>
      </c>
    </row>
    <row r="1057">
      <c r="A1057">
        <f>Skills!A19</f>
        <v/>
      </c>
      <c r="B1057">
        <f>Skills!B19</f>
        <v/>
      </c>
      <c r="C1057">
        <f>Inputs!$B$3&gt;=110</f>
        <v/>
      </c>
      <c r="D1057">
        <f>IF(Skills!C19=1,60+Inputs!$B$25+Inputs!$B$29,IF(Skills!C19=2,90+Inputs!$B$26+Inputs!$B$29,IF(Skills!C19=3,120+Inputs!$B$27+Inputs!$B$29,MAX(0,(Inputs!$B$3-100)*3)+Inputs!$B$28+Inputs!$B$29)))</f>
        <v/>
      </c>
      <c r="E1057">
        <f>INDEX(FactorTable!$B$2:$Y$301, MATCH(ROUND(MIN(300,MAX(1,D1057)),0), FactorTable!$A$2:$A$301,0), Skills!M19+1)</f>
        <v/>
      </c>
      <c r="F1057">
        <f>IF(Skills!N19=TRUE,(Skills!L19/10)*(E1057/1000),Skills!L19/10)+Skills!O19</f>
        <v/>
      </c>
      <c r="G1057">
        <f>Calc!G19</f>
        <v/>
      </c>
      <c r="H1057">
        <f>Calc!H19</f>
        <v/>
      </c>
      <c r="I1057">
        <f>IF(Skills!X19&lt;&gt;"",1+(Skills!X19/10)*(Z1041/1000)/100,1)</f>
        <v/>
      </c>
      <c r="J1057" t="inlineStr"/>
      <c r="K1057" t="inlineStr"/>
      <c r="L1057" t="inlineStr"/>
      <c r="M1057" t="inlineStr"/>
      <c r="N1057" t="inlineStr"/>
      <c r="O1057">
        <f>(1-Summary!$B$11)*S1057+Summary!$B$11*U1057</f>
        <v/>
      </c>
      <c r="P1057">
        <f>IF(B1079=0,0,O1057/B1079)</f>
        <v/>
      </c>
      <c r="Q1057">
        <f>IFERROR(1/(IF(Inputs!$B$38="pvp",15,MAX(0.1,Skills!E19-IF(Skills!F19=TRUE,(Inputs!$B$32+1),0)))*(1-IF(AND(ArtifactsInput!$M$27,Inputs!$B$4="Chapter Hunt"),CHOOSE(ArtifactsInput!$N$27+1,20,24,28,32,36,40),0)/100)),0)</f>
        <v/>
      </c>
      <c r="R1057">
        <f>IF(AND(Inputs!$B$38&lt;&gt;"pvp",Inputs!$B$43&gt;0),IF(Inputs!$B$43&lt;=0,0,(INT(Inputs!$B$43/(IF(Inputs!$B$38="pvp",15,MAX(0.1,Skills!E19-IF(Skills!F19=TRUE,(Inputs!$B$32+1),0)))*(1-IF(AND(ArtifactsInput!$M$27,Inputs!$B$4="Chapter Hunt"),CHOOSE(ArtifactsInput!$N$27+1,20,24,28,32,36,40),0)/100)))+1)),0)</f>
        <v/>
      </c>
      <c r="S1057" t="n">
        <v>0</v>
      </c>
      <c r="U1057" t="n">
        <v>0</v>
      </c>
    </row>
    <row r="1058">
      <c r="A1058">
        <f>Skills!A20</f>
        <v/>
      </c>
      <c r="B1058">
        <f>Skills!B20</f>
        <v/>
      </c>
      <c r="C1058">
        <f>TRUE</f>
        <v/>
      </c>
      <c r="D1058">
        <f>IF(Skills!C20=1,60+Inputs!$B$25+Inputs!$B$29,IF(Skills!C20=2,90+Inputs!$B$26+Inputs!$B$29,IF(Skills!C20=3,120+Inputs!$B$27+Inputs!$B$29,MAX(0,(Inputs!$B$3-100)*3)+Inputs!$B$28+Inputs!$B$29)))</f>
        <v/>
      </c>
      <c r="E1058">
        <f>INDEX(FactorTable!$B$2:$Y$301, MATCH(ROUND(MIN(300,MAX(1,D1058)),0), FactorTable!$A$2:$A$301,0), Skills!M20+1)</f>
        <v/>
      </c>
      <c r="F1058">
        <f>IF(Skills!N20=TRUE,(Skills!L20/10)*(E1058/1000),Skills!L20/10)+Skills!O20</f>
        <v/>
      </c>
      <c r="G1058">
        <f>Calc!G20</f>
        <v/>
      </c>
      <c r="H1058">
        <f>Calc!H20</f>
        <v/>
      </c>
      <c r="I1058">
        <f>IF(Skills!X20&lt;&gt;"",1+(Skills!X20/10)*(Z1041/1000)/100,1)</f>
        <v/>
      </c>
      <c r="J1058" t="inlineStr"/>
      <c r="K1058" t="inlineStr"/>
      <c r="L1058" t="inlineStr"/>
      <c r="M1058" t="inlineStr"/>
      <c r="N1058" t="inlineStr"/>
      <c r="O1058">
        <f>(1-Summary!$B$11)*S1058+Summary!$B$11*U1058</f>
        <v/>
      </c>
      <c r="P1058">
        <f>IF(B1079=0,0,O1058/B1079)</f>
        <v/>
      </c>
      <c r="Q1058">
        <f>IFERROR(1/(IF(Inputs!$B$38="pvp",15,MAX(0.1,Skills!E20-IF(Skills!F20=TRUE,(Inputs!$B$32+1),0)))*(1-IF(AND(ArtifactsInput!$M$27,Inputs!$B$4="Chapter Hunt"),CHOOSE(ArtifactsInput!$N$27+1,20,24,28,32,36,40),0)/100)),0)</f>
        <v/>
      </c>
      <c r="R1058" t="n">
        <v>0</v>
      </c>
      <c r="S1058" t="n">
        <v>0</v>
      </c>
      <c r="U1058" t="n">
        <v>0</v>
      </c>
    </row>
    <row r="1059">
      <c r="A1059">
        <f>Skills!A21</f>
        <v/>
      </c>
      <c r="B1059">
        <f>Skills!B21</f>
        <v/>
      </c>
      <c r="C1059">
        <f>TRUE</f>
        <v/>
      </c>
      <c r="D1059">
        <f>IF(Skills!C21=1,60+Inputs!$B$25+Inputs!$B$29,IF(Skills!C21=2,90+Inputs!$B$26+Inputs!$B$29,IF(Skills!C21=3,120+Inputs!$B$27+Inputs!$B$29,MAX(0,(Inputs!$B$3-100)*3)+Inputs!$B$28+Inputs!$B$29)))</f>
        <v/>
      </c>
      <c r="E1059">
        <f>INDEX(FactorTable!$B$2:$Y$301, MATCH(ROUND(MIN(300,MAX(1,D1059)),0), FactorTable!$A$2:$A$301,0), Skills!M21+1)</f>
        <v/>
      </c>
      <c r="F1059">
        <f>IF(Skills!N21=TRUE,(Skills!L21/10)*(E1059/1000),Skills!L21/10)+Skills!O21</f>
        <v/>
      </c>
      <c r="G1059">
        <f>Calc!G21</f>
        <v/>
      </c>
      <c r="H1059">
        <f>Calc!H21</f>
        <v/>
      </c>
      <c r="I1059">
        <f>IF(Skills!X21&lt;&gt;"",1+(Skills!X21/10)*(Z1041/1000)/100,1)</f>
        <v/>
      </c>
      <c r="J1059" t="inlineStr"/>
      <c r="K1059" t="inlineStr"/>
      <c r="L1059" t="inlineStr"/>
      <c r="M1059" t="inlineStr"/>
      <c r="N1059" t="inlineStr"/>
      <c r="O1059">
        <f>(1-Summary!$B$11)*S1059+Summary!$B$11*U1059</f>
        <v/>
      </c>
      <c r="P1059">
        <f>IF(B1079=0,0,O1059/B1079)</f>
        <v/>
      </c>
      <c r="Q1059">
        <f>IFERROR(1/(IF(Inputs!$B$38="pvp",15,MAX(0.1,Skills!E21-IF(Skills!F21=TRUE,(Inputs!$B$32+1),0)))*(1-IF(AND(ArtifactsInput!$M$27,Inputs!$B$4="Chapter Hunt"),CHOOSE(ArtifactsInput!$N$27+1,20,24,28,32,36,40),0)/100)),0)</f>
        <v/>
      </c>
      <c r="R1059" t="n">
        <v>0</v>
      </c>
      <c r="S1059" t="n">
        <v>0</v>
      </c>
      <c r="U1059" t="n">
        <v>0</v>
      </c>
    </row>
    <row r="1060">
      <c r="A1060">
        <f>Skills!A22</f>
        <v/>
      </c>
      <c r="B1060">
        <f>Skills!B22</f>
        <v/>
      </c>
      <c r="C1060">
        <f>TRUE</f>
        <v/>
      </c>
      <c r="D1060">
        <f>IF(Skills!C22=1,60+Inputs!$B$25+Inputs!$B$29,IF(Skills!C22=2,90+Inputs!$B$26+Inputs!$B$29,IF(Skills!C22=3,120+Inputs!$B$27+Inputs!$B$29,MAX(0,(Inputs!$B$3-100)*3)+Inputs!$B$28+Inputs!$B$29)))</f>
        <v/>
      </c>
      <c r="E1060">
        <f>INDEX(FactorTable!$B$2:$Y$301, MATCH(ROUND(MIN(300,MAX(1,D1060)),0), FactorTable!$A$2:$A$301,0), Skills!M22+1)</f>
        <v/>
      </c>
      <c r="F1060">
        <f>IF(Skills!N22=TRUE,(Skills!L22/10)*(E1060/1000),Skills!L22/10)+Skills!O22</f>
        <v/>
      </c>
      <c r="G1060">
        <f>Calc!G22</f>
        <v/>
      </c>
      <c r="H1060">
        <f>Calc!H22</f>
        <v/>
      </c>
      <c r="I1060">
        <f>IF(Skills!X22&lt;&gt;"",1+(Skills!X22/10)*(Z1041/1000)/100,1)</f>
        <v/>
      </c>
      <c r="J1060" t="inlineStr"/>
      <c r="K1060" t="inlineStr"/>
      <c r="L1060" t="inlineStr"/>
      <c r="M1060" t="inlineStr"/>
      <c r="N1060" t="inlineStr"/>
      <c r="O1060">
        <f>(1-Summary!$B$11)*S1060+Summary!$B$11*U1060</f>
        <v/>
      </c>
      <c r="P1060">
        <f>IF(B1079=0,0,O1060/B1079)</f>
        <v/>
      </c>
      <c r="Q1060">
        <f>IFERROR(1/(IF(Inputs!$B$38="pvp",15,MAX(0.1,Skills!E22-IF(Skills!F22=TRUE,(Inputs!$B$32+1),0)))*(1-IF(AND(ArtifactsInput!$M$27,Inputs!$B$4="Chapter Hunt"),CHOOSE(ArtifactsInput!$N$27+1,20,24,28,32,36,40),0)/100)),0)</f>
        <v/>
      </c>
      <c r="R1060" t="n">
        <v>0</v>
      </c>
      <c r="S1060" t="n">
        <v>0</v>
      </c>
      <c r="U1060" t="n">
        <v>0</v>
      </c>
    </row>
    <row r="1061">
      <c r="A1061">
        <f>Skills!A23</f>
        <v/>
      </c>
      <c r="B1061">
        <f>Skills!B23</f>
        <v/>
      </c>
      <c r="C1061">
        <f>TRUE</f>
        <v/>
      </c>
      <c r="D1061">
        <f>IF(Skills!C23=1,60+Inputs!$B$25+Inputs!$B$29,IF(Skills!C23=2,90+Inputs!$B$26+Inputs!$B$29,IF(Skills!C23=3,120+Inputs!$B$27+Inputs!$B$29,MAX(0,(Inputs!$B$3-100)*3)+Inputs!$B$28+Inputs!$B$29)))</f>
        <v/>
      </c>
      <c r="E1061">
        <f>INDEX(FactorTable!$B$2:$Y$301, MATCH(ROUND(MIN(300,MAX(1,D1061)),0), FactorTable!$A$2:$A$301,0), Skills!M23+1)</f>
        <v/>
      </c>
      <c r="F1061">
        <f>IF(Skills!N23=TRUE,(Skills!L23/10)*(E1061/1000),Skills!L23/10)+Skills!O23</f>
        <v/>
      </c>
      <c r="G1061">
        <f>Calc!G23</f>
        <v/>
      </c>
      <c r="H1061">
        <f>Calc!H23</f>
        <v/>
      </c>
      <c r="I1061">
        <f>IF(Skills!X23&lt;&gt;"",1+(Skills!X23/10)*(Z1041/1000)/100,1)</f>
        <v/>
      </c>
      <c r="J1061" t="inlineStr"/>
      <c r="K1061" t="inlineStr"/>
      <c r="L1061" t="inlineStr"/>
      <c r="M1061" t="inlineStr"/>
      <c r="N1061" t="inlineStr"/>
      <c r="O1061">
        <f>(1-Summary!$B$11)*S1061+Summary!$B$11*U1061</f>
        <v/>
      </c>
      <c r="P1061">
        <f>IF(B1079=0,0,O1061/B1079)</f>
        <v/>
      </c>
      <c r="Q1061">
        <f>IFERROR(1/(IF(Inputs!$B$38="pvp",15,MAX(0.1,Skills!E23-IF(Skills!F23=TRUE,(Inputs!$B$32+1),0)))*(1-IF(AND(ArtifactsInput!$M$27,Inputs!$B$4="Chapter Hunt"),CHOOSE(ArtifactsInput!$N$27+1,20,24,28,32,36,40),0)/100)),0)</f>
        <v/>
      </c>
      <c r="R1061" t="n">
        <v>0</v>
      </c>
      <c r="S1061" t="n">
        <v>0</v>
      </c>
      <c r="U1061" t="n">
        <v>0</v>
      </c>
    </row>
    <row r="1062">
      <c r="A1062">
        <f>Skills!A24</f>
        <v/>
      </c>
      <c r="B1062">
        <f>Skills!B24</f>
        <v/>
      </c>
      <c r="C1062">
        <f>Inputs!$B$3&gt;=115</f>
        <v/>
      </c>
      <c r="D1062">
        <f>IF(Skills!C24=1,60+Inputs!$B$25+Inputs!$B$29,IF(Skills!C24=2,90+Inputs!$B$26+Inputs!$B$29,IF(Skills!C24=3,120+Inputs!$B$27+Inputs!$B$29,MAX(0,(Inputs!$B$3-100)*3)+Inputs!$B$28+Inputs!$B$29)))</f>
        <v/>
      </c>
      <c r="E1062">
        <f>INDEX(FactorTable!$B$2:$Y$301, MATCH(ROUND(MIN(300,MAX(1,D1062)),0), FactorTable!$A$2:$A$301,0), Skills!M24+1)</f>
        <v/>
      </c>
      <c r="F1062">
        <f>IF(Skills!N24=TRUE,(Skills!L24/10)*(E1062/1000),Skills!L24/10)+Skills!O24</f>
        <v/>
      </c>
      <c r="G1062">
        <f>Calc!G24</f>
        <v/>
      </c>
      <c r="H1062">
        <f>Calc!H24</f>
        <v/>
      </c>
      <c r="I1062">
        <f>IF(Skills!X24&lt;&gt;"",1+(Skills!X24/10)*(Z1041/1000)/100,1)</f>
        <v/>
      </c>
      <c r="J1062">
        <f>((Inputs!$B$6*(1+Inputs!$B$7/100))+(((Inputs!$B$12*(1+Inputs!$B$13/100))-(Inputs!$B$12*(1+Inputs!$B$13/100)))+0.25*(Inputs!$B$14-Inputs!$B$14))*(1+Inputs!$B$7/100))*(F1062/100)</f>
        <v/>
      </c>
      <c r="K1062">
        <f>J1062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1062)</f>
        <v/>
      </c>
      <c r="L1062">
        <f>K1062*(MIN(Inputs!$B$22+(F1060-Calc!F22),(Inputs!$B$23+(IF(ArtifactsInput!$M$15,CHOOSE(ArtifactsInput!$N$15+1,25,30,35,40,45,50)/100*(Inputs!$B$11-Inputs!$B$11),0))))/100+(Inputs!$B$23+(IF(ArtifactsInput!$M$15,CHOOSE(ArtifactsInput!$N$15+1,25,30,35,40,45,50)/100*(Inputs!$B$11-Inputs!$B$11),0)))/100)/2</f>
        <v/>
      </c>
      <c r="M1062">
        <f>L1062*(1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2">
        <f>L1062*(1-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1062*(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2">
        <f>(1-Summary!$B$11)*S1062+Summary!$B$11*U1062</f>
        <v/>
      </c>
      <c r="P1062">
        <f>IF(B1079=0,0,O1062/B1079)</f>
        <v/>
      </c>
      <c r="Q1062">
        <f>IFERROR(1/(IF(Inputs!$B$38="pvp",15,MAX(0.1,Skills!E24-IF(Skills!F24=TRUE,(Inputs!$B$32+1),0)))*(1-IF(AND(ArtifactsInput!$M$27,Inputs!$B$4="Chapter Hunt"),CHOOSE(ArtifactsInput!$N$27+1,20,24,28,32,36,40),0)/100)),0)</f>
        <v/>
      </c>
      <c r="R1062">
        <f>IF(AND(Inputs!$B$38&lt;&gt;"pvp",Inputs!$B$43&gt;0),IF(MAX(0,Inputs!$B$43-B1076)&lt;=0,0,(INT(MAX(0,Inputs!$B$43-B1076)/(IF(Inputs!$B$38="pvp",15,MAX(0.1,Skills!E24-IF(Skills!F24=TRUE,(Inputs!$B$32+1),0)))*(1-IF(AND(ArtifactsInput!$M$27,Inputs!$B$4="Chapter Hunt"),CHOOSE(ArtifactsInput!$N$27+1,20,24,28,32,36,40),0)/100)))+1)),0)</f>
        <v/>
      </c>
      <c r="S1062">
        <f>IF(C1062,(H1062*N1062*IF(AND(Inputs!$B$38&lt;&gt;"pvp",Inputs!$B$43&gt;0),((Skills!G24*((R1062-1)*IF(Skills!H24&gt;0,Skills!I24/Skills!H24,1)+IF(Skills!H24&gt;0,MIN(Skills!I24,MAX(0,MAX(0,Inputs!$B$43-B1076)-((R1062-1)*(IF(Inputs!$B$38="pvp",15,MAX(0.1,Skills!E24-IF(Skills!F24=TRUE,(Inputs!$B$32+1),0)))*(1-IF(AND(ArtifactsInput!$M$27,Inputs!$B$4="Chapter Hunt"),CHOOSE(ArtifactsInput!$N$27+1,20,24,28,32,36,40),0)/100)))))/Skills!H24,1)))/Inputs!$B$43),G1062*Q1062)*(1+IF(Inputs!$B$3&gt;=130,0.2*(Skills!I16/Skills!E15+IF(Inputs!$B$3&gt;=126,0.05*(B1074+Q1051+(H1052*B1075)/(1+Skills!H14*H1052*B1075)+Q1062)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1062*(1-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1062*(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1062*(1-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1062*(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2">
        <f>IF(C1062,(H1062*N1062*IF(AND(Inputs!$B$38&lt;&gt;"pvp",Inputs!$B$43&gt;0),((Skills!G24*((R1062-1)*IF(Skills!H24&gt;0,Skills!I24/Skills!H24,1)+IF(Skills!H24&gt;0,MIN(Skills!I24,MAX(0,MAX(0,Inputs!$B$43-B1076)-((R1062-1)*(IF(Inputs!$B$38="pvp",15,MAX(0.1,Skills!E24-IF(Skills!F24=TRUE,(Inputs!$B$32+1),0)))*(1-IF(AND(ArtifactsInput!$M$27,Inputs!$B$4="Chapter Hunt"),CHOOSE(ArtifactsInput!$N$27+1,20,24,28,32,36,40),0)/100)))))/Skills!H24,1)))/Inputs!$B$43),G1062*Q1062)*(1+IF(Inputs!$B$3&gt;=130,0.2*(Skills!I16/Skills!E15+IF(Inputs!$B$3&gt;=126,0.05*(B1074+Q1051+(H1052*B1075)/(1+Skills!H14*H1052*B1075)+Q1062)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3">
      <c r="A1063">
        <f>Skills!A25</f>
        <v/>
      </c>
      <c r="B1063">
        <f>Skills!B25</f>
        <v/>
      </c>
      <c r="C1063">
        <f>Inputs!$B$3&gt;=117</f>
        <v/>
      </c>
      <c r="D1063">
        <f>IF(Skills!C25=1,60+Inputs!$B$25+Inputs!$B$29,IF(Skills!C25=2,90+Inputs!$B$26+Inputs!$B$29,IF(Skills!C25=3,120+Inputs!$B$27+Inputs!$B$29,MAX(0,(Inputs!$B$3-100)*3)+Inputs!$B$28+Inputs!$B$29)))</f>
        <v/>
      </c>
      <c r="E1063">
        <f>INDEX(FactorTable!$B$2:$Y$301, MATCH(ROUND(MIN(300,MAX(1,D1063)),0), FactorTable!$A$2:$A$301,0), Skills!M25+1)</f>
        <v/>
      </c>
      <c r="F1063">
        <f>IF(Skills!N25=TRUE,(Skills!L25/10)*(E1063/1000),Skills!L25/10)+Skills!O25</f>
        <v/>
      </c>
      <c r="G1063">
        <f>Calc!G25</f>
        <v/>
      </c>
      <c r="H1063">
        <f>Calc!H25</f>
        <v/>
      </c>
      <c r="I1063">
        <f>IF(Skills!X25&lt;&gt;"",1+(Skills!X25/10)*(Z1041/1000)/100,1)</f>
        <v/>
      </c>
      <c r="J1063" t="inlineStr"/>
      <c r="K1063" t="inlineStr"/>
      <c r="L1063" t="inlineStr"/>
      <c r="M1063" t="inlineStr"/>
      <c r="N1063" t="inlineStr"/>
      <c r="O1063">
        <f>(1-Summary!$B$11)*S1063+Summary!$B$11*U1063</f>
        <v/>
      </c>
      <c r="P1063">
        <f>IF(B1079=0,0,O1063/B1079)</f>
        <v/>
      </c>
      <c r="Q1063">
        <f>IFERROR(1/(IF(Inputs!$B$38="pvp",15,MAX(0.1,Skills!E25-IF(Skills!F25=TRUE,(Inputs!$B$32+1),0)))*(1-IF(AND(ArtifactsInput!$M$27,Inputs!$B$4="Chapter Hunt"),CHOOSE(ArtifactsInput!$N$27+1,20,24,28,32,36,40),0)/100)),0)</f>
        <v/>
      </c>
      <c r="R1063" t="n">
        <v>0</v>
      </c>
      <c r="S1063" t="n">
        <v>0</v>
      </c>
      <c r="U1063" t="n">
        <v>0</v>
      </c>
    </row>
    <row r="1064">
      <c r="A1064">
        <f>Skills!A26</f>
        <v/>
      </c>
      <c r="B1064">
        <f>Skills!B26</f>
        <v/>
      </c>
      <c r="C1064">
        <f>Inputs!$B$3&gt;=120</f>
        <v/>
      </c>
      <c r="D1064">
        <f>IF(Skills!C26=1,60+Inputs!$B$25+Inputs!$B$29,IF(Skills!C26=2,90+Inputs!$B$26+Inputs!$B$29,IF(Skills!C26=3,120+Inputs!$B$27+Inputs!$B$29,MAX(0,(Inputs!$B$3-100)*3)+Inputs!$B$28+Inputs!$B$29)))</f>
        <v/>
      </c>
      <c r="E1064">
        <f>INDEX(FactorTable!$B$2:$Y$301, MATCH(ROUND(MIN(300,MAX(1,D1064)),0), FactorTable!$A$2:$A$301,0), Skills!M26+1)</f>
        <v/>
      </c>
      <c r="F1064">
        <f>IF(Skills!N26=TRUE,(Skills!L26/10)*(E1064/1000),Skills!L26/10)+Skills!O26</f>
        <v/>
      </c>
      <c r="G1064">
        <f>Calc!G26</f>
        <v/>
      </c>
      <c r="H1064">
        <f>Calc!H26</f>
        <v/>
      </c>
      <c r="I1064">
        <f>IF(Skills!X26&lt;&gt;"",1+(Skills!X26/10)*(Z1041/1000)/100,1)</f>
        <v/>
      </c>
      <c r="J1064" t="inlineStr"/>
      <c r="K1064" t="inlineStr"/>
      <c r="L1064" t="inlineStr"/>
      <c r="M1064" t="inlineStr"/>
      <c r="N1064" t="inlineStr"/>
      <c r="O1064">
        <f>(1-Summary!$B$11)*S1064+Summary!$B$11*U1064</f>
        <v/>
      </c>
      <c r="P1064">
        <f>IF(B1079=0,0,O1064/B1079)</f>
        <v/>
      </c>
      <c r="Q1064">
        <f>IFERROR(1/(IF(Inputs!$B$38="pvp",15,MAX(0.1,Skills!E26-IF(Skills!F26=TRUE,(Inputs!$B$32+1),0)))*(1-IF(AND(ArtifactsInput!$M$27,Inputs!$B$4="Chapter Hunt"),CHOOSE(ArtifactsInput!$N$27+1,20,24,28,32,36,40),0)/100)),0)</f>
        <v/>
      </c>
      <c r="R1064" t="n">
        <v>0</v>
      </c>
      <c r="S1064" t="n">
        <v>0</v>
      </c>
      <c r="U1064" t="n">
        <v>0</v>
      </c>
    </row>
    <row r="1065">
      <c r="A1065">
        <f>Skills!A27</f>
        <v/>
      </c>
      <c r="B1065">
        <f>Skills!B27</f>
        <v/>
      </c>
      <c r="C1065">
        <f>Inputs!$B$3&gt;=125</f>
        <v/>
      </c>
      <c r="D1065">
        <f>IF(Skills!C27=1,60+Inputs!$B$25+Inputs!$B$29,IF(Skills!C27=2,90+Inputs!$B$26+Inputs!$B$29,IF(Skills!C27=3,120+Inputs!$B$27+Inputs!$B$29,MAX(0,(Inputs!$B$3-100)*3)+Inputs!$B$28+Inputs!$B$29)))</f>
        <v/>
      </c>
      <c r="E1065">
        <f>INDEX(FactorTable!$B$2:$Y$301, MATCH(ROUND(MIN(300,MAX(1,D1065)),0), FactorTable!$A$2:$A$301,0), Skills!M27+1)</f>
        <v/>
      </c>
      <c r="F1065">
        <f>IF(Skills!N27=TRUE,(Skills!L27/10)*(E1065/1000),Skills!L27/10)+Skills!O27</f>
        <v/>
      </c>
      <c r="G1065">
        <f>Calc!G27</f>
        <v/>
      </c>
      <c r="H1065">
        <f>Calc!H27</f>
        <v/>
      </c>
      <c r="I1065">
        <f>IF(Skills!X27&lt;&gt;"",1+(Skills!X27/10)*(Z1041/1000)/100,1)</f>
        <v/>
      </c>
      <c r="J1065" t="inlineStr"/>
      <c r="K1065" t="inlineStr"/>
      <c r="L1065" t="inlineStr"/>
      <c r="M1065" t="inlineStr"/>
      <c r="N1065" t="inlineStr"/>
      <c r="O1065">
        <f>(1-Summary!$B$11)*S1065+Summary!$B$11*U1065</f>
        <v/>
      </c>
      <c r="P1065">
        <f>IF(B1079=0,0,O1065/B1079)</f>
        <v/>
      </c>
      <c r="Q1065">
        <f>IFERROR(1/(IF(Inputs!$B$38="pvp",15,MAX(0.1,Skills!E27-IF(Skills!F27=TRUE,(Inputs!$B$32+1),0)))*(1-IF(AND(ArtifactsInput!$M$27,Inputs!$B$4="Chapter Hunt"),CHOOSE(ArtifactsInput!$N$27+1,20,24,28,32,36,40),0)/100)),0)</f>
        <v/>
      </c>
      <c r="R1065" t="n">
        <v>0</v>
      </c>
      <c r="S1065" t="n">
        <v>0</v>
      </c>
      <c r="U1065" t="n">
        <v>0</v>
      </c>
    </row>
    <row r="1066">
      <c r="A1066">
        <f>Skills!A28</f>
        <v/>
      </c>
      <c r="B1066">
        <f>Skills!B28</f>
        <v/>
      </c>
      <c r="C1066">
        <f>Inputs!$B$3&gt;=118</f>
        <v/>
      </c>
      <c r="D1066">
        <f>IF(Skills!C28=1,60+Inputs!$B$25+Inputs!$B$29,IF(Skills!C28=2,90+Inputs!$B$26+Inputs!$B$29,IF(Skills!C28=3,120+Inputs!$B$27+Inputs!$B$29,MAX(0,(Inputs!$B$3-100)*3)+Inputs!$B$28+Inputs!$B$29)))</f>
        <v/>
      </c>
      <c r="E1066">
        <f>INDEX(FactorTable!$B$2:$Y$301, MATCH(ROUND(MIN(300,MAX(1,D1066)),0), FactorTable!$A$2:$A$301,0), Skills!M28+1)</f>
        <v/>
      </c>
      <c r="F1066">
        <f>IF(Skills!N28=TRUE,(Skills!L28/10)*(E1066/1000),Skills!L28/10)+Skills!O28</f>
        <v/>
      </c>
      <c r="G1066">
        <f>Calc!G28</f>
        <v/>
      </c>
      <c r="H1066">
        <f>Calc!H28</f>
        <v/>
      </c>
      <c r="I1066">
        <f>IF(Skills!X28&lt;&gt;"",1+(Skills!X28/10)*(Z1041/1000)/100,1)</f>
        <v/>
      </c>
      <c r="J1066">
        <f>((Inputs!$B$6*(1+Inputs!$B$7/100))+(((Inputs!$B$12*(1+Inputs!$B$13/100))-(Inputs!$B$12*(1+Inputs!$B$13/100)))+0.25*(Inputs!$B$14-Inputs!$B$14))*(1+Inputs!$B$7/100))*(F1066/100)</f>
        <v/>
      </c>
      <c r="K1066">
        <f>J1066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1061/100)*(1+IF(Inputs!$B$3&gt;=120,F1064,0)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1065*5,0)))/100)*(B1068*B1069*B1070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1066)</f>
        <v/>
      </c>
      <c r="L1066">
        <f>K1066*(MIN(Inputs!$B$22+(F1060-Calc!F22),(Inputs!$B$23+(IF(ArtifactsInput!$M$15,CHOOSE(ArtifactsInput!$N$15+1,25,30,35,40,45,50)/100*(Inputs!$B$11-Inputs!$B$11),0))))/100+(Inputs!$B$23+(IF(ArtifactsInput!$M$15,CHOOSE(ArtifactsInput!$N$15+1,25,30,35,40,45,50)/100*(Inputs!$B$11-Inputs!$B$11),0)))/100)/2</f>
        <v/>
      </c>
      <c r="M1066">
        <f>L1066*(1+(Inputs!$B$10+(F1059-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6">
        <f>L1066*(1-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1066*(MIN((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6">
        <f>(1-Summary!$B$11)*S1066+Summary!$B$11*U1066</f>
        <v/>
      </c>
      <c r="P1066">
        <f>IF(B1079=0,0,O1066/B1079)</f>
        <v/>
      </c>
      <c r="Q1066">
        <f>IFERROR(1/(IF(Inputs!$B$38="pvp",15,MAX(0.1,Skills!E28-IF(Skills!F28=TRUE,(Inputs!$B$32+1),0)))*(1-IF(AND(ArtifactsInput!$M$27,Inputs!$B$4="Chapter Hunt"),CHOOSE(ArtifactsInput!$N$27+1,20,24,28,32,36,40),0)/100)),0)</f>
        <v/>
      </c>
      <c r="R1066">
        <f>IF(AND(Inputs!$B$38&lt;&gt;"pvp",Inputs!$B$43&gt;0),IF(MAX(0,Inputs!$B$43-B1076)&lt;=0,0,(INT(MAX(0,Inputs!$B$43-B1076)/(IF(Inputs!$B$38="pvp",15,MAX(0.1,Skills!E28-IF(Skills!F28=TRUE,(Inputs!$B$32+1),0)))*(1-IF(AND(ArtifactsInput!$M$27,Inputs!$B$4="Chapter Hunt"),CHOOSE(ArtifactsInput!$N$27+1,20,24,28,32,36,40),0)/100)))+1)),0)</f>
        <v/>
      </c>
      <c r="S1066">
        <f>IF(C1066,(H1066*N1066*IF(AND(Inputs!$B$38&lt;&gt;"pvp",Inputs!$B$43&gt;0),((Skills!G28*((R1066-1)*IF(Skills!H28&gt;0,Skills!I28/Skills!H28,1)+IF(Skills!H28&gt;0,MIN(Skills!I28,MAX(0,MAX(0,Inputs!$B$43-B1076)-((R1066-1)*(IF(Inputs!$B$38="pvp",15,MAX(0.1,Skills!E28-IF(Skills!F28=TRUE,(Inputs!$B$32+1),0)))*(1-IF(AND(ArtifactsInput!$M$27,Inputs!$B$4="Chapter Hunt"),CHOOSE(ArtifactsInput!$N$27+1,20,24,28,32,36,40),0)/100)))))/Skills!H28,1)))/Inputs!$B$43),G1066*Q1066)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1066*(1-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1066*(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1066*(1-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1066*(MIN(100,(Inputs!$B$9+(F1058-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6">
        <f>IF(C1066,(H1066*N1066*IF(AND(Inputs!$B$38&lt;&gt;"pvp",Inputs!$B$43&gt;0),((Skills!G28*((R1066-1)*IF(Skills!H28&gt;0,Skills!I28/Skills!H28,1)+IF(Skills!H28&gt;0,MIN(Skills!I28,MAX(0,MAX(0,Inputs!$B$43-B1076)-((R1066-1)*(IF(Inputs!$B$38="pvp",15,MAX(0.1,Skills!E28-IF(Skills!F28=TRUE,(Inputs!$B$32+1),0)))*(1-IF(AND(ArtifactsInput!$M$27,Inputs!$B$4="Chapter Hunt"),CHOOSE(ArtifactsInput!$N$27+1,20,24,28,32,36,40),0)/100)))))/Skills!H28,1)))/Inputs!$B$43),G1066*Q1066)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8">
      <c r="A1068" t="inlineStr">
        <is>
          <t>Burning Magic Multiplier</t>
        </is>
      </c>
      <c r="B1068">
        <f>1+(F1049*Skills!Z11)/100</f>
        <v/>
      </c>
    </row>
    <row r="1069">
      <c r="A1069" t="inlineStr">
        <is>
          <t>Elemental Decrease Multiplier (always-on)</t>
        </is>
      </c>
      <c r="B1069">
        <f>1+(F1050+(IF(AND(ArtifactsInput!$M$35,Inputs!$B$4&lt;&gt;"Chapter Hunt"),CHOOSE(ArtifactsInput!$N$35+1,15,18,21,24,27,30)*(1-EXP(-(0.2*B1072)*5)),0)+IF(AND(ArtifactsInput!$M$22,Inputs!$B$4&lt;&gt;"Chapter Hunt"),CHOOSE(ArtifactsInput!$N$22+1,10,12,14,16,18,20)*((0*(((0.15*B1072*5))^0/1)+1*(((0.15*B1072*5))^1/1)+2*(((0.15*B1072*5))^2/2)+3*(((0.15*B1072*5))^3/6)+4*(((0.15*B1072*5))^4/24)+5*(((0.15*B1072*5))^5/120))/((((0.15*B1072*5))^0/1)+(((0.15*B1072*5))^1/1)+(((0.15*B1072*5))^2/2)+(((0.15*B1072*5))^3/6)+(((0.15*B1072*5))^4/24)+(((0.15*B1072*5))^5/120))),0)))/100</f>
        <v/>
      </c>
    </row>
    <row r="1070">
      <c r="A1070" t="inlineStr">
        <is>
          <t>Average Buff Multiplier (Magic Guard + Meditation + Artifact Attack%, summed; then Infinity)</t>
        </is>
      </c>
      <c r="B1070">
        <f>(1+(F1044*IF(AND(Inputs!$B$38&lt;&gt;"pvp",Inputs!$B$43&gt;0),(((R1044-1)*(Skills!T6*(1+((Inputs!$B$34+(ArtifactsInput!$M$7-ArtifactsInput!$M$7)*CHOOSE(ArtifactsInput!$N$7+1,6,7.2,8.4,9.6,10.8,12)))/100))+MIN((Skills!T6*(1+((Inputs!$B$34+(ArtifactsInput!$M$7-ArtifactsInput!$M$7)*CHOOSE(ArtifactsInput!$N$7+1,6,7.2,8.4,9.6,10.8,12)))/100)),MAX(0,Inputs!$B$43-((R1044-1)*Skills!E6))))/Inputs!$B$43),IF(Inputs!$B$38="pvp",MIN((Skills!T6*(1+((Inputs!$B$34+(ArtifactsInput!$M$7-ArtifactsInput!$M$7)*CHOOSE(ArtifactsInput!$N$7+1,6,7.2,8.4,9.6,10.8,12)))/100)),15)/15,(Skills!T6*(1+((Inputs!$B$34+(ArtifactsInput!$M$7-ArtifactsInput!$M$7)*CHOOSE(ArtifactsInput!$N$7+1,6,7.2,8.4,9.6,10.8,12)))/100))/Skills!E6))+F1055*IF(AND(Inputs!$B$38&lt;&gt;"pvp",Inputs!$B$43&gt;0),(((R1055-1)*(Skills!T17*(1+((Inputs!$B$34+(ArtifactsInput!$M$7-ArtifactsInput!$M$7)*CHOOSE(ArtifactsInput!$N$7+1,6,7.2,8.4,9.6,10.8,12)))/100))+MIN((Skills!T17*(1+((Inputs!$B$34+(ArtifactsInput!$M$7-ArtifactsInput!$M$7)*CHOOSE(ArtifactsInput!$N$7+1,6,7.2,8.4,9.6,10.8,12)))/100)),MAX(0,Inputs!$B$43-((R1055-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1057=TRUE,(1+F1057*IF(AND(Inputs!$B$38&lt;&gt;"pvp",Inputs!$B$43&gt;0),(((R1057-1)*(Skills!T19*(1+((Inputs!$B$34+(ArtifactsInput!$M$7-ArtifactsInput!$M$7)*CHOOSE(ArtifactsInput!$N$7+1,6,7.2,8.4,9.6,10.8,12)))/100))+MIN((Skills!T19*(1+((Inputs!$B$34+(ArtifactsInput!$M$7-ArtifactsInput!$M$7)*CHOOSE(ArtifactsInput!$N$7+1,6,7.2,8.4,9.6,10.8,12)))/100)),MAX(0,Inputs!$B$43-((R1057-1)*Skills!E19))))/Inputs!$B$43),IF(Inputs!$B$38="pvp",MIN((Skills!T19*(1+((Inputs!$B$34+(ArtifactsInput!$M$7-ArtifactsInput!$M$7)*CHOOSE(ArtifactsInput!$N$7+1,6,7.2,8.4,9.6,10.8,12)))/100)),15)/15,(Skills!T19*(1+((Inputs!$B$34+(ArtifactsInput!$M$7-ArtifactsInput!$M$7)*CHOOSE(ArtifactsInput!$N$7+1,6,7.2,8.4,9.6,10.8,12)))/100))/Skills!E19))/100),1)</f>
        <v/>
      </c>
    </row>
    <row r="1071">
      <c r="A1071" t="inlineStr">
        <is>
          <t>Attack Speed Buff Bonus % (Nimble Feet, averaged)</t>
        </is>
      </c>
      <c r="B1071">
        <f>F1056*IF(AND(Inputs!$B$38&lt;&gt;"pvp",Inputs!$B$43&gt;0),(((R1056-1)*(Skills!T18*(1+((Inputs!$B$34+(ArtifactsInput!$M$7-ArtifactsInput!$M$7)*CHOOSE(ArtifactsInput!$N$7+1,6,7.2,8.4,9.6,10.8,12)))/100))+MIN((Skills!T18*(1+((Inputs!$B$34+(ArtifactsInput!$M$7-ArtifactsInput!$M$7)*CHOOSE(ArtifactsInput!$N$7+1,6,7.2,8.4,9.6,10.8,12)))/100)),MAX(0,Inputs!$B$43-((R1056-1)*Skills!E18))))/Inputs!$B$43),IF(Inputs!$B$38="pvp",MIN((Skills!T18*(1+((Inputs!$B$34+(ArtifactsInput!$M$7-ArtifactsInput!$M$7)*CHOOSE(ArtifactsInput!$N$7+1,6,7.2,8.4,9.6,10.8,12)))/100)),15)/15,(Skills!T18*(1+((Inputs!$B$34+(ArtifactsInput!$M$7-ArtifactsInput!$M$7)*CHOOSE(ArtifactsInput!$N$7+1,6,7.2,8.4,9.6,10.8,12)))/100))/Skills!E18))</f>
        <v/>
      </c>
    </row>
    <row r="1072">
      <c r="A1072" t="inlineStr">
        <is>
          <t>Actions Per Second</t>
        </is>
      </c>
      <c r="B1072">
        <f>1+MIN(150,150*(1-(1-(Inputs!$B$11+(ArtifactsInput!$M$15-ArtifactsInput!$M$15)*CHOOSE(ArtifactsInput!$N$15+1,8,9.6,11.2,12.8,14.4,16))/150)*(1-B1071/150)))/100</f>
        <v/>
      </c>
    </row>
    <row r="1073">
      <c r="A1073" t="inlineStr">
        <is>
          <t>Skill + Buff Cast Rate</t>
        </is>
      </c>
      <c r="B1073">
        <f>IF(AND(Inputs!$B$38&lt;&gt;"pvp",Inputs!$B$43&gt;0),SUMPRODUCT((Skills!F2:F28=TRUE)*(C1040:C1066=TRUE)*R1040:R1066)/Inputs!$B$43,SUMPRODUCT((Skills!F2:F28=TRUE)*(C1040:C1066=TRUE)*Q1040:Q1066))</f>
        <v/>
      </c>
    </row>
    <row r="1074">
      <c r="A1074" t="inlineStr">
        <is>
          <t>Basic Attacks Per Second</t>
        </is>
      </c>
      <c r="B1074">
        <f>MAX(0,B1072-B1073)</f>
        <v/>
      </c>
    </row>
    <row r="1075">
      <c r="A1075" t="inlineStr">
        <is>
          <t>Meteor Proc — combined trigger cast rate</t>
        </is>
      </c>
      <c r="B1075">
        <f>IF(AND(Inputs!$B$38&lt;&gt;"pvp",Inputs!$B$43&gt;0),SUMPRODUCT((Skills!V2:V28=TRUE)*(C1040:C1066=TRUE)*R1040:R1066*Skills!W2:W28)/Inputs!$B$43,SUMPRODUCT((Skills!V2:V28=TRUE)*(C1040:C1066=TRUE)*Q1040:Q1066*Skills!W2:W28))+B1074</f>
        <v/>
      </c>
    </row>
    <row r="1076">
      <c r="A1076" t="inlineStr">
        <is>
          <t>Buff-Casting Startup Delay (s, fixed-duration only)</t>
        </is>
      </c>
      <c r="B1076">
        <f>IF(AND(Inputs!$B$38&lt;&gt;"pvp",Inputs!$B$43&gt;0),SUMPRODUCT((Skills!T2:T28&gt;0)*(Skills!F2:F28=TRUE)*(C1040:C1066=TRUE))/B1072,0)</f>
        <v/>
      </c>
    </row>
    <row r="1077">
      <c r="A1077" t="inlineStr">
        <is>
          <t>Boss-Only Total DPS (this block's swept value)</t>
        </is>
      </c>
      <c r="B1077">
        <f>SUM(S1040:S1066)</f>
        <v/>
      </c>
    </row>
    <row r="1078">
      <c r="A1078" t="inlineStr">
        <is>
          <t>Normal-Only Total DPS (this block's swept value)</t>
        </is>
      </c>
      <c r="B1078">
        <f>SUM(U1040:U1066)</f>
        <v/>
      </c>
    </row>
    <row r="1079">
      <c r="A1079" s="6" t="inlineStr">
        <is>
          <t>TOTAL DPS</t>
        </is>
      </c>
      <c r="B1079" s="6">
        <f>SUM(O1040:O1066)</f>
        <v/>
      </c>
    </row>
    <row r="1082">
      <c r="A1082" s="6" t="inlineStr">
        <is>
          <t>Stat: Basic Attack Target Increase (flat)</t>
        </is>
      </c>
    </row>
    <row r="1083">
      <c r="A1083" s="5" t="inlineStr">
        <is>
          <t>Key</t>
        </is>
      </c>
      <c r="B1083" s="5" t="inlineStr">
        <is>
          <t>Name</t>
        </is>
      </c>
      <c r="C1083" s="5" t="inlineStr">
        <is>
          <t>Unlocked</t>
        </is>
      </c>
      <c r="D1083" s="5" t="inlineStr">
        <is>
          <t>InputLevel</t>
        </is>
      </c>
      <c r="E1083" s="5" t="inlineStr">
        <is>
          <t>Factor</t>
        </is>
      </c>
      <c r="F1083" s="5" t="inlineStr">
        <is>
          <t>CoefficientPercent</t>
        </is>
      </c>
      <c r="G1083" s="5" t="inlineStr">
        <is>
          <t>EffectiveHits</t>
        </is>
      </c>
      <c r="H1083" s="5" t="inlineStr">
        <is>
          <t>ProcProbability</t>
        </is>
      </c>
      <c r="I1083" s="5" t="inlineStr">
        <is>
          <t>MapleHeroMultiplier</t>
        </is>
      </c>
      <c r="J1083" s="5" t="inlineStr">
        <is>
          <t>BaseDamage</t>
        </is>
      </c>
      <c r="K1083" s="5" t="inlineStr">
        <is>
          <t>BaseHitDamage</t>
        </is>
      </c>
      <c r="L1083" s="5" t="inlineStr">
        <is>
          <t>NonCritAvg</t>
        </is>
      </c>
      <c r="M1083" s="5" t="inlineStr">
        <is>
          <t>CritAvg</t>
        </is>
      </c>
      <c r="N1083" s="5" t="inlineStr">
        <is>
          <t>ExpectedDamage(perHit)</t>
        </is>
      </c>
      <c r="O1083" s="5" t="inlineStr">
        <is>
          <t>DPS</t>
        </is>
      </c>
      <c r="P1083" s="5" t="inlineStr">
        <is>
          <t>% of Total</t>
        </is>
      </c>
      <c r="R1083" t="inlineStr">
        <is>
          <t>helpers</t>
        </is>
      </c>
    </row>
    <row r="1084">
      <c r="A1084">
        <f>Skills!A2</f>
        <v/>
      </c>
      <c r="B1084">
        <f>Skills!B2</f>
        <v/>
      </c>
      <c r="C1084">
        <f>TRUE</f>
        <v/>
      </c>
      <c r="D1084" t="inlineStr"/>
      <c r="E1084" t="inlineStr"/>
      <c r="F1084">
        <f>T1086+Skills!O2</f>
        <v/>
      </c>
      <c r="G1084">
        <f>Calc!G2</f>
        <v/>
      </c>
      <c r="H1084">
        <f>Calc!H2</f>
        <v/>
      </c>
      <c r="I1084">
        <f>IF(Skills!X2&lt;&gt;"",1+(Skills!X2/10)*(Z1085/1000)/100,1)</f>
        <v/>
      </c>
      <c r="J1084">
        <f>((Inputs!$B$6*(1+Inputs!$B$7/100))+(((Inputs!$B$12*(1+Inputs!$B$13/100))-(Inputs!$B$12*(1+Inputs!$B$13/100)))+0.25*(Inputs!$B$14-Inputs!$B$14))*(1+Inputs!$B$7/100))*(F1084/100)</f>
        <v/>
      </c>
      <c r="K1084">
        <f>J1084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1084)</f>
        <v/>
      </c>
      <c r="L1084">
        <f>K1084*(MIN(Inputs!$B$22+(F1104-Calc!F22),(Inputs!$B$23+(IF(ArtifactsInput!$M$15,CHOOSE(ArtifactsInput!$N$15+1,25,30,35,40,45,50)/100*(Inputs!$B$11-Inputs!$B$11),0))))/100+(Inputs!$B$23+(IF(ArtifactsInput!$M$15,CHOOSE(ArtifactsInput!$N$15+1,25,30,35,40,45,50)/100*(Inputs!$B$11-Inputs!$B$11),0)))/100)/2</f>
        <v/>
      </c>
      <c r="M1084">
        <f>L1084*(1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4">
        <f>L1084*(1-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1084*(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4">
        <f>(1-Summary!$B$11)*S1084+Summary!$B$11*U1084</f>
        <v/>
      </c>
      <c r="P1084">
        <f>IF(B1123=0,0,O1084/B1123)</f>
        <v/>
      </c>
      <c r="Q1084">
        <f>IFERROR(1/(IF(Inputs!$B$38="pvp",15,MAX(0.1,Skills!E2-IF(Skills!F2=TRUE,Inputs!$B$32,0)))*(1-IF(AND(ArtifactsInput!$M$27,Inputs!$B$4="Chapter Hunt"),CHOOSE(ArtifactsInput!$N$27+1,20,24,28,32,36,40),0)/100)),0)</f>
        <v/>
      </c>
      <c r="R1084" t="n">
        <v>0</v>
      </c>
      <c r="S1084">
        <f>(Skills!G2*N1084*B1118)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1084*(1-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1084*(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1084*(1-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1084*(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084">
        <f>MAX(0,(Inputs!$B$3-100)*3)+Inputs!$B$28+Inputs!$B$29</f>
        <v/>
      </c>
      <c r="U1084">
        <f>(Skills!G2*N1084*B1118)*IF(Inputs!$B$38="pvp",1,(1+(Inputs!$B$21+Skills!Q2+(IF(ArtifactsInput!$M$33,CHOOSE(ArtifactsInput!$N$33+1,30,36,42,48,54,60),0)))/100)*(MIN((6+(Inputs!$B$33+1)+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084">
        <f>MAX(0,(Inputs!$B$3-100)*3)+Inputs!$B$28+Inputs!$B$29</f>
        <v/>
      </c>
    </row>
    <row r="1085">
      <c r="A1085">
        <f>Skills!A3</f>
        <v/>
      </c>
      <c r="B1085">
        <f>Skills!B3</f>
        <v/>
      </c>
      <c r="C1085">
        <f>TRUE</f>
        <v/>
      </c>
      <c r="D1085">
        <f>IF(Skills!C3=1,60+Inputs!$B$25+Inputs!$B$29,IF(Skills!C3=2,90+Inputs!$B$26+Inputs!$B$29,IF(Skills!C3=3,120+Inputs!$B$27+Inputs!$B$29,MAX(0,(Inputs!$B$3-100)*3)+Inputs!$B$28+Inputs!$B$29)))</f>
        <v/>
      </c>
      <c r="E1085">
        <f>INDEX(FactorTable!$B$2:$Y$301, MATCH(ROUND(MIN(300,MAX(1,D1085)),0), FactorTable!$A$2:$A$301,0), Skills!M3+1)</f>
        <v/>
      </c>
      <c r="F1085">
        <f>IF(Skills!N3=TRUE,(Skills!L3/10)*(E1085/1000),Skills!L3/10)+Skills!O3</f>
        <v/>
      </c>
      <c r="G1085">
        <f>Calc!G3</f>
        <v/>
      </c>
      <c r="H1085">
        <f>Calc!H3</f>
        <v/>
      </c>
      <c r="I1085">
        <f>IF(Skills!X3&lt;&gt;"",1+(Skills!X3/10)*(Z1085/1000)/100,1)</f>
        <v/>
      </c>
      <c r="J1085">
        <f>((Inputs!$B$6*(1+Inputs!$B$7/100))+(((Inputs!$B$12*(1+Inputs!$B$13/100))-(Inputs!$B$12*(1+Inputs!$B$13/100)))+0.25*(Inputs!$B$14-Inputs!$B$14))*(1+Inputs!$B$7/100))*(F1085/100)</f>
        <v/>
      </c>
      <c r="K1085">
        <f>J1085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1085)</f>
        <v/>
      </c>
      <c r="L1085">
        <f>K1085*(MIN(Inputs!$B$22+(F1104-Calc!F22),(Inputs!$B$23+(IF(ArtifactsInput!$M$15,CHOOSE(ArtifactsInput!$N$15+1,25,30,35,40,45,50)/100*(Inputs!$B$11-Inputs!$B$11),0))))/100+(Inputs!$B$23+(IF(ArtifactsInput!$M$15,CHOOSE(ArtifactsInput!$N$15+1,25,30,35,40,45,50)/100*(Inputs!$B$11-Inputs!$B$11),0)))/100)/2</f>
        <v/>
      </c>
      <c r="M1085">
        <f>L1085*(1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5">
        <f>L1085*(1-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1085*(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5">
        <f>(1-Summary!$B$11)*S1085+Summary!$B$11*U1085</f>
        <v/>
      </c>
      <c r="P1085">
        <f>IF(B1123=0,0,O1085/B1123)</f>
        <v/>
      </c>
      <c r="Q1085">
        <f>IFERROR(1/(IF(Inputs!$B$38="pvp",15,MAX(0.1,Skills!E3-IF(Skills!F3=TRUE,Inputs!$B$32,0)))*(1-IF(AND(ArtifactsInput!$M$27,Inputs!$B$4="Chapter Hunt"),CHOOSE(ArtifactsInput!$N$27+1,20,24,28,32,36,40),0)/100)),0)</f>
        <v/>
      </c>
      <c r="R1085">
        <f>IF(AND(Inputs!$B$38&lt;&gt;"pvp",Inputs!$B$43&gt;0),IF(MAX(0,Inputs!$B$43-B1120)&lt;=0,0,(INT(MAX(0,Inputs!$B$43-B1120)/(IF(Inputs!$B$38="pvp",15,MAX(0.1,Skills!E3-IF(Skills!F3=TRUE,Inputs!$B$32,0)))*(1-IF(AND(ArtifactsInput!$M$27,Inputs!$B$4="Chapter Hunt"),CHOOSE(ArtifactsInput!$N$27+1,20,24,28,32,36,40),0)/100)))+1)),0)</f>
        <v/>
      </c>
      <c r="S1085">
        <f>IF(C1085,(H1085*N1085*IF(AND(Inputs!$B$38&lt;&gt;"pvp",Inputs!$B$43&gt;0),((Skills!G3*((R1085-1)*IF(Skills!H3&gt;0,Skills!I3/Skills!H3,1)+IF(Skills!H3&gt;0,MIN(Skills!I3,MAX(0,MAX(0,Inputs!$B$43-B1120)-((R1085-1)*(IF(Inputs!$B$38="pvp",15,MAX(0.1,Skills!E3-IF(Skills!F3=TRUE,Inputs!$B$32,0)))*(1-IF(AND(ArtifactsInput!$M$27,Inputs!$B$4="Chapter Hunt"),CHOOSE(ArtifactsInput!$N$27+1,20,24,28,32,36,40),0)/100)))))/Skills!H3,1)))/Inputs!$B$43),G1085*Q1085)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1085*(1-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1085*(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1085*(1-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1085*(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085">
        <f>INDEX(FactorTable!$B$2:$Y$301, MATCH(ROUND(MIN(300,MAX(1,T1084)),0), FactorTable!$A$2:$A$301,0), 22)</f>
        <v/>
      </c>
      <c r="U1085">
        <f>IF(C1085,(H1085*N1085*IF(AND(Inputs!$B$38&lt;&gt;"pvp",Inputs!$B$43&gt;0),((Skills!G3*((R1085-1)*IF(Skills!H3&gt;0,Skills!I3/Skills!H3,1)+IF(Skills!H3&gt;0,MIN(Skills!I3,MAX(0,MAX(0,Inputs!$B$43-B1120)-((R1085-1)*(IF(Inputs!$B$38="pvp",15,MAX(0.1,Skills!E3-IF(Skills!F3=TRUE,Inputs!$B$32,0)))*(1-IF(AND(ArtifactsInput!$M$27,Inputs!$B$4="Chapter Hunt"),CHOOSE(ArtifactsInput!$N$27+1,20,24,28,32,36,40),0)/100)))))/Skills!H3,1)))/Inputs!$B$43),G1085*Q1085)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085">
        <f>INDEX(FactorTable!$B$2:$Y$301, MATCH(ROUND(MIN(300,MAX(1,Z1084)),0), FactorTable!$A$2:$A$301,0), 24)</f>
        <v/>
      </c>
    </row>
    <row r="1086">
      <c r="A1086">
        <f>Skills!A4</f>
        <v/>
      </c>
      <c r="B1086">
        <f>Skills!B4</f>
        <v/>
      </c>
      <c r="C1086">
        <f>TRUE</f>
        <v/>
      </c>
      <c r="D1086">
        <f>IF(Skills!C4=1,60+Inputs!$B$25+Inputs!$B$29,IF(Skills!C4=2,90+Inputs!$B$26+Inputs!$B$29,IF(Skills!C4=3,120+Inputs!$B$27+Inputs!$B$29,MAX(0,(Inputs!$B$3-100)*3)+Inputs!$B$28+Inputs!$B$29)))</f>
        <v/>
      </c>
      <c r="E1086">
        <f>INDEX(FactorTable!$B$2:$Y$301, MATCH(ROUND(MIN(300,MAX(1,D1086)),0), FactorTable!$A$2:$A$301,0), Skills!M4+1)</f>
        <v/>
      </c>
      <c r="F1086">
        <f>IF(Skills!N4=TRUE,(Skills!L4/10)*(E1086/1000),Skills!L4/10)+Skills!O4</f>
        <v/>
      </c>
      <c r="G1086">
        <f>Calc!G4</f>
        <v/>
      </c>
      <c r="H1086">
        <f>Calc!H4</f>
        <v/>
      </c>
      <c r="I1086">
        <f>IF(Skills!X4&lt;&gt;"",1+(Skills!X4/10)*(Z1085/1000)/100,1)</f>
        <v/>
      </c>
      <c r="J1086">
        <f>((Inputs!$B$6*(1+Inputs!$B$7/100))+(((Inputs!$B$12*(1+Inputs!$B$13/100))-(Inputs!$B$12*(1+Inputs!$B$13/100)))+0.25*(Inputs!$B$14-Inputs!$B$14))*(1+Inputs!$B$7/100))*(F1086/100)</f>
        <v/>
      </c>
      <c r="K1086">
        <f>J1086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1086)</f>
        <v/>
      </c>
      <c r="L1086">
        <f>K1086*(MIN(Inputs!$B$22+(F1104-Calc!F22),(Inputs!$B$23+(IF(ArtifactsInput!$M$15,CHOOSE(ArtifactsInput!$N$15+1,25,30,35,40,45,50)/100*(Inputs!$B$11-Inputs!$B$11),0))))/100+(Inputs!$B$23+(IF(ArtifactsInput!$M$15,CHOOSE(ArtifactsInput!$N$15+1,25,30,35,40,45,50)/100*(Inputs!$B$11-Inputs!$B$11),0)))/100)/2</f>
        <v/>
      </c>
      <c r="M1086">
        <f>L1086*(1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6">
        <f>L1086*(1-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1086*(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6">
        <f>(1-Summary!$B$11)*S1086+Summary!$B$11*U1086</f>
        <v/>
      </c>
      <c r="P1086">
        <f>IF(B1123=0,0,O1086/B1123)</f>
        <v/>
      </c>
      <c r="Q1086">
        <f>IFERROR(1/(IF(Inputs!$B$38="pvp",15,MAX(0.1,Skills!E4-IF(Skills!F4=TRUE,Inputs!$B$32,0)))*(1-IF(AND(ArtifactsInput!$M$27,Inputs!$B$4="Chapter Hunt"),CHOOSE(ArtifactsInput!$N$27+1,20,24,28,32,36,40),0)/100)),0)</f>
        <v/>
      </c>
      <c r="R1086">
        <f>IF(AND(Inputs!$B$38&lt;&gt;"pvp",Inputs!$B$43&gt;0),IF(MAX(0,Inputs!$B$43-B1120)&lt;=0,0,(INT(MAX(0,Inputs!$B$43-B1120)/(IF(Inputs!$B$38="pvp",15,MAX(0.1,Skills!E4-IF(Skills!F4=TRUE,Inputs!$B$32,0)))*(1-IF(AND(ArtifactsInput!$M$27,Inputs!$B$4="Chapter Hunt"),CHOOSE(ArtifactsInput!$N$27+1,20,24,28,32,36,40),0)/100)))+1)),0)</f>
        <v/>
      </c>
      <c r="S1086">
        <f>IF(C1086,(H1086*N1086*IF(AND(Inputs!$B$38&lt;&gt;"pvp",Inputs!$B$43&gt;0),((Skills!G4*((R1086-1)*IF(Skills!H4&gt;0,Skills!I4/Skills!H4,1)+IF(Skills!H4&gt;0,MIN(Skills!I4,MAX(0,MAX(0,Inputs!$B$43-B1120)-((R1086-1)*(IF(Inputs!$B$38="pvp",15,MAX(0.1,Skills!E4-IF(Skills!F4=TRUE,Inputs!$B$32,0)))*(1-IF(AND(ArtifactsInput!$M$27,Inputs!$B$4="Chapter Hunt"),CHOOSE(ArtifactsInput!$N$27+1,20,24,28,32,36,40),0)/100)))))/Skills!H4,1)))/Inputs!$B$43),G1086*Q1086)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1086*(1-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1086*(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1086*(1-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1086*(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086">
        <f>290*T1085/1000</f>
        <v/>
      </c>
      <c r="U1086">
        <f>IF(C1086,(H1086*N1086*IF(AND(Inputs!$B$38&lt;&gt;"pvp",Inputs!$B$43&gt;0),((Skills!G4*((R1086-1)*IF(Skills!H4&gt;0,Skills!I4/Skills!H4,1)+IF(Skills!H4&gt;0,MIN(Skills!I4,MAX(0,MAX(0,Inputs!$B$43-B1120)-((R1086-1)*(IF(Inputs!$B$38="pvp",15,MAX(0.1,Skills!E4-IF(Skills!F4=TRUE,Inputs!$B$32,0)))*(1-IF(AND(ArtifactsInput!$M$27,Inputs!$B$4="Chapter Hunt"),CHOOSE(ArtifactsInput!$N$27+1,20,24,28,32,36,40),0)/100)))))/Skills!H4,1)))/Inputs!$B$43),G1086*Q1086)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7">
      <c r="A1087">
        <f>Skills!A5</f>
        <v/>
      </c>
      <c r="B1087">
        <f>Skills!B5</f>
        <v/>
      </c>
      <c r="C1087">
        <f>TRUE</f>
        <v/>
      </c>
      <c r="D1087">
        <f>IF(Skills!C5=1,60+Inputs!$B$25+Inputs!$B$29,IF(Skills!C5=2,90+Inputs!$B$26+Inputs!$B$29,IF(Skills!C5=3,120+Inputs!$B$27+Inputs!$B$29,MAX(0,(Inputs!$B$3-100)*3)+Inputs!$B$28+Inputs!$B$29)))</f>
        <v/>
      </c>
      <c r="E1087">
        <f>INDEX(FactorTable!$B$2:$Y$301, MATCH(ROUND(MIN(300,MAX(1,D1087)),0), FactorTable!$A$2:$A$301,0), Skills!M5+1)</f>
        <v/>
      </c>
      <c r="F1087">
        <f>IF(Skills!N5=TRUE,(Skills!L5/10)*(E1087/1000),Skills!L5/10)+Skills!O5</f>
        <v/>
      </c>
      <c r="G1087">
        <f>Calc!G5</f>
        <v/>
      </c>
      <c r="H1087">
        <f>Calc!H5</f>
        <v/>
      </c>
      <c r="I1087">
        <f>IF(Skills!X5&lt;&gt;"",1+(Skills!X5/10)*(Z1085/1000)/100,1)</f>
        <v/>
      </c>
      <c r="J1087">
        <f>((Inputs!$B$6*(1+Inputs!$B$7/100))+(((Inputs!$B$12*(1+Inputs!$B$13/100))-(Inputs!$B$12*(1+Inputs!$B$13/100)))+0.25*(Inputs!$B$14-Inputs!$B$14))*(1+Inputs!$B$7/100))*(F1087/100)</f>
        <v/>
      </c>
      <c r="K1087">
        <f>J1087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1087)</f>
        <v/>
      </c>
      <c r="L1087">
        <f>K1087*(MIN(Inputs!$B$22+(F1104-Calc!F22),(Inputs!$B$23+(IF(ArtifactsInput!$M$15,CHOOSE(ArtifactsInput!$N$15+1,25,30,35,40,45,50)/100*(Inputs!$B$11-Inputs!$B$11),0))))/100+(Inputs!$B$23+(IF(ArtifactsInput!$M$15,CHOOSE(ArtifactsInput!$N$15+1,25,30,35,40,45,50)/100*(Inputs!$B$11-Inputs!$B$11),0)))/100)/2</f>
        <v/>
      </c>
      <c r="M1087">
        <f>L1087*(1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7">
        <f>L1087*(1-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1087*(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7">
        <f>(1-Summary!$B$11)*S1087+Summary!$B$11*U1087</f>
        <v/>
      </c>
      <c r="P1087">
        <f>IF(B1123=0,0,O1087/B1123)</f>
        <v/>
      </c>
      <c r="Q1087">
        <f>IFERROR(1/(IF(Inputs!$B$38="pvp",15,MAX(0.1,Skills!E5-IF(Skills!F5=TRUE,Inputs!$B$32,0)))*(1-IF(AND(ArtifactsInput!$M$27,Inputs!$B$4="Chapter Hunt"),CHOOSE(ArtifactsInput!$N$27+1,20,24,28,32,36,40),0)/100)),0)</f>
        <v/>
      </c>
      <c r="R1087">
        <f>IF(AND(Inputs!$B$38&lt;&gt;"pvp",Inputs!$B$43&gt;0),IF(MAX(0,Inputs!$B$43-B1120)&lt;=0,0,(INT(MAX(0,Inputs!$B$43-B1120)/(IF(Inputs!$B$38="pvp",15,MAX(0.1,Skills!E5-IF(Skills!F5=TRUE,Inputs!$B$32,0)))*(1-IF(AND(ArtifactsInput!$M$27,Inputs!$B$4="Chapter Hunt"),CHOOSE(ArtifactsInput!$N$27+1,20,24,28,32,36,40),0)/100)))+1)),0)</f>
        <v/>
      </c>
      <c r="S1087">
        <f>IF(C1087,(H1087*N1087*IF(AND(Inputs!$B$38&lt;&gt;"pvp",Inputs!$B$43&gt;0),((Skills!G5*((R1087-1)*IF(Skills!H5&gt;0,Skills!I5/Skills!H5,1)+IF(Skills!H5&gt;0,MIN(Skills!I5,MAX(0,MAX(0,Inputs!$B$43-B1120)-((R1087-1)*(IF(Inputs!$B$38="pvp",15,MAX(0.1,Skills!E5-IF(Skills!F5=TRUE,Inputs!$B$32,0)))*(1-IF(AND(ArtifactsInput!$M$27,Inputs!$B$4="Chapter Hunt"),CHOOSE(ArtifactsInput!$N$27+1,20,24,28,32,36,40),0)/100)))))/Skills!H5,1)))/Inputs!$B$43),G1087*Q1087)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1087*(1-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1087*(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1087*(1-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1087*(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87">
        <f>IF(C1087,(H1087*N1087*IF(AND(Inputs!$B$38&lt;&gt;"pvp",Inputs!$B$43&gt;0),((Skills!G5*((R1087-1)*IF(Skills!H5&gt;0,Skills!I5/Skills!H5,1)+IF(Skills!H5&gt;0,MIN(Skills!I5,MAX(0,MAX(0,Inputs!$B$43-B1120)-((R1087-1)*(IF(Inputs!$B$38="pvp",15,MAX(0.1,Skills!E5-IF(Skills!F5=TRUE,Inputs!$B$32,0)))*(1-IF(AND(ArtifactsInput!$M$27,Inputs!$B$4="Chapter Hunt"),CHOOSE(ArtifactsInput!$N$27+1,20,24,28,32,36,40),0)/100)))))/Skills!H5,1)))/Inputs!$B$43),G1087*Q1087)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8">
      <c r="A1088">
        <f>Skills!A6</f>
        <v/>
      </c>
      <c r="B1088">
        <f>Skills!B6</f>
        <v/>
      </c>
      <c r="C1088">
        <f>TRUE</f>
        <v/>
      </c>
      <c r="D1088">
        <f>IF(Skills!C6=1,60+Inputs!$B$25+Inputs!$B$29,IF(Skills!C6=2,90+Inputs!$B$26+Inputs!$B$29,IF(Skills!C6=3,120+Inputs!$B$27+Inputs!$B$29,MAX(0,(Inputs!$B$3-100)*3)+Inputs!$B$28+Inputs!$B$29)))</f>
        <v/>
      </c>
      <c r="E1088">
        <f>INDEX(FactorTable!$B$2:$Y$301, MATCH(ROUND(MIN(300,MAX(1,D1088)),0), FactorTable!$A$2:$A$301,0), Skills!M6+1)</f>
        <v/>
      </c>
      <c r="F1088">
        <f>IF(Skills!N6=TRUE,(Skills!L6/10)*(E1088/1000),Skills!L6/10)+Skills!O6</f>
        <v/>
      </c>
      <c r="G1088">
        <f>Calc!G6</f>
        <v/>
      </c>
      <c r="H1088">
        <f>Calc!H6</f>
        <v/>
      </c>
      <c r="I1088">
        <f>IF(Skills!X6&lt;&gt;"",1+(Skills!X6/10)*(Z1085/1000)/100,1)</f>
        <v/>
      </c>
      <c r="J1088" t="inlineStr"/>
      <c r="K1088" t="inlineStr"/>
      <c r="L1088" t="inlineStr"/>
      <c r="M1088" t="inlineStr"/>
      <c r="N1088" t="inlineStr"/>
      <c r="O1088">
        <f>(1-Summary!$B$11)*S1088+Summary!$B$11*U1088</f>
        <v/>
      </c>
      <c r="P1088">
        <f>IF(B1123=0,0,O1088/B1123)</f>
        <v/>
      </c>
      <c r="Q1088">
        <f>IFERROR(1/(IF(Inputs!$B$38="pvp",15,MAX(0.1,Skills!E6-IF(Skills!F6=TRUE,Inputs!$B$32,0)))*(1-IF(AND(ArtifactsInput!$M$27,Inputs!$B$4="Chapter Hunt"),CHOOSE(ArtifactsInput!$N$27+1,20,24,28,32,36,40),0)/100)),0)</f>
        <v/>
      </c>
      <c r="R1088">
        <f>IF(AND(Inputs!$B$38&lt;&gt;"pvp",Inputs!$B$43&gt;0),IF(Inputs!$B$43&lt;=0,0,(INT(Inputs!$B$43/(IF(Inputs!$B$38="pvp",15,MAX(0.1,Skills!E6-IF(Skills!F6=TRUE,Inputs!$B$32,0)))*(1-IF(AND(ArtifactsInput!$M$27,Inputs!$B$4="Chapter Hunt"),CHOOSE(ArtifactsInput!$N$27+1,20,24,28,32,36,40),0)/100)))+1)),0)</f>
        <v/>
      </c>
      <c r="S1088" t="n">
        <v>0</v>
      </c>
      <c r="U1088" t="n">
        <v>0</v>
      </c>
    </row>
    <row r="1089">
      <c r="A1089">
        <f>Skills!A7</f>
        <v/>
      </c>
      <c r="B1089">
        <f>Skills!B7</f>
        <v/>
      </c>
      <c r="C1089">
        <f>TRUE</f>
        <v/>
      </c>
      <c r="D1089">
        <f>IF(Skills!C7=1,60+Inputs!$B$25+Inputs!$B$29,IF(Skills!C7=2,90+Inputs!$B$26+Inputs!$B$29,IF(Skills!C7=3,120+Inputs!$B$27+Inputs!$B$29,MAX(0,(Inputs!$B$3-100)*3)+Inputs!$B$28+Inputs!$B$29)))</f>
        <v/>
      </c>
      <c r="E1089">
        <f>INDEX(FactorTable!$B$2:$Y$301, MATCH(ROUND(MIN(300,MAX(1,D1089)),0), FactorTable!$A$2:$A$301,0), Skills!M7+1)</f>
        <v/>
      </c>
      <c r="F1089">
        <f>IF(Skills!N7=TRUE,(Skills!L7/10)*(E1089/1000),Skills!L7/10)+Skills!O7</f>
        <v/>
      </c>
      <c r="G1089">
        <f>Calc!G7</f>
        <v/>
      </c>
      <c r="H1089">
        <f>Calc!H7</f>
        <v/>
      </c>
      <c r="I1089">
        <f>IF(Skills!X7&lt;&gt;"",1+(Skills!X7/10)*(Z1085/1000)/100,1)</f>
        <v/>
      </c>
      <c r="J1089">
        <f>((Inputs!$B$6*(1+Inputs!$B$7/100))+(((Inputs!$B$12*(1+Inputs!$B$13/100))-(Inputs!$B$12*(1+Inputs!$B$13/100)))+0.25*(Inputs!$B$14-Inputs!$B$14))*(1+Inputs!$B$7/100))*(F1089/100)</f>
        <v/>
      </c>
      <c r="K1089">
        <f>J1089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1089)</f>
        <v/>
      </c>
      <c r="L1089">
        <f>K1089*(MIN(Inputs!$B$22+(F1104-Calc!F22),(Inputs!$B$23+(IF(ArtifactsInput!$M$15,CHOOSE(ArtifactsInput!$N$15+1,25,30,35,40,45,50)/100*(Inputs!$B$11-Inputs!$B$11),0))))/100+(Inputs!$B$23+(IF(ArtifactsInput!$M$15,CHOOSE(ArtifactsInput!$N$15+1,25,30,35,40,45,50)/100*(Inputs!$B$11-Inputs!$B$11),0)))/100)/2</f>
        <v/>
      </c>
      <c r="M1089">
        <f>L1089*(1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9">
        <f>L1089*(1-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1089*(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9">
        <f>(1-Summary!$B$11)*S1089+Summary!$B$11*U1089</f>
        <v/>
      </c>
      <c r="P1089">
        <f>IF(B1123=0,0,O1089/B1123)</f>
        <v/>
      </c>
      <c r="Q1089">
        <f>IFERROR(1/(IF(Inputs!$B$38="pvp",15,MAX(0.1,Skills!E7-IF(Skills!F7=TRUE,Inputs!$B$32,0)))*(1-IF(AND(ArtifactsInput!$M$27,Inputs!$B$4="Chapter Hunt"),CHOOSE(ArtifactsInput!$N$27+1,20,24,28,32,36,40),0)/100)),0)</f>
        <v/>
      </c>
      <c r="R1089">
        <f>IF(AND(Inputs!$B$38&lt;&gt;"pvp",Inputs!$B$43&gt;0),IF(MAX(0,Inputs!$B$43-B1120)&lt;=0,0,(INT(MAX(0,Inputs!$B$43-B1120)/(IF(Inputs!$B$38="pvp",15,MAX(0.1,Skills!E7-IF(Skills!F7=TRUE,Inputs!$B$32,0)))*(1-IF(AND(ArtifactsInput!$M$27,Inputs!$B$4="Chapter Hunt"),CHOOSE(ArtifactsInput!$N$27+1,20,24,28,32,36,40),0)/100)))+1)),0)</f>
        <v/>
      </c>
      <c r="S1089">
        <f>IF(C1089,(H1089*N1089*IF(AND(Inputs!$B$38&lt;&gt;"pvp",Inputs!$B$43&gt;0),((Skills!G7*((R1089-1)*IF(Skills!H7&gt;0,Skills!I7/Skills!H7,1)+IF(Skills!H7&gt;0,MIN(Skills!I7,MAX(0,MAX(0,Inputs!$B$43-B1120)-((R1089-1)*(IF(Inputs!$B$38="pvp",15,MAX(0.1,Skills!E7-IF(Skills!F7=TRUE,Inputs!$B$32,0)))*(1-IF(AND(ArtifactsInput!$M$27,Inputs!$B$4="Chapter Hunt"),CHOOSE(ArtifactsInput!$N$27+1,20,24,28,32,36,40),0)/100)))))/Skills!H7,1)))/Inputs!$B$43),G1089*Q1089)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1089*(1-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1089*(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1089*(1-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1089*(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89">
        <f>IF(C1089,(H1089*N1089*IF(AND(Inputs!$B$38&lt;&gt;"pvp",Inputs!$B$43&gt;0),((Skills!G7*((R1089-1)*IF(Skills!H7&gt;0,Skills!I7/Skills!H7,1)+IF(Skills!H7&gt;0,MIN(Skills!I7,MAX(0,MAX(0,Inputs!$B$43-B1120)-((R1089-1)*(IF(Inputs!$B$38="pvp",15,MAX(0.1,Skills!E7-IF(Skills!F7=TRUE,Inputs!$B$32,0)))*(1-IF(AND(ArtifactsInput!$M$27,Inputs!$B$4="Chapter Hunt"),CHOOSE(ArtifactsInput!$N$27+1,20,24,28,32,36,40),0)/100)))))/Skills!H7,1)))/Inputs!$B$43),G1089*Q1089)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0">
      <c r="A1090">
        <f>Skills!A8</f>
        <v/>
      </c>
      <c r="B1090">
        <f>Skills!B8</f>
        <v/>
      </c>
      <c r="C1090">
        <f>TRUE</f>
        <v/>
      </c>
      <c r="D1090">
        <f>IF(Skills!C8=1,60+Inputs!$B$25+Inputs!$B$29,IF(Skills!C8=2,90+Inputs!$B$26+Inputs!$B$29,IF(Skills!C8=3,120+Inputs!$B$27+Inputs!$B$29,MAX(0,(Inputs!$B$3-100)*3)+Inputs!$B$28+Inputs!$B$29)))</f>
        <v/>
      </c>
      <c r="E1090">
        <f>INDEX(FactorTable!$B$2:$Y$301, MATCH(ROUND(MIN(300,MAX(1,D1090)),0), FactorTable!$A$2:$A$301,0), Skills!M8+1)</f>
        <v/>
      </c>
      <c r="F1090">
        <f>IF(Skills!N8=TRUE,(Skills!L8/10)*(E1090/1000),Skills!L8/10)+Skills!O8</f>
        <v/>
      </c>
      <c r="G1090">
        <f>Calc!G8</f>
        <v/>
      </c>
      <c r="H1090">
        <f>Calc!H8</f>
        <v/>
      </c>
      <c r="I1090">
        <f>IF(Skills!X8&lt;&gt;"",1+(Skills!X8/10)*(Z1085/1000)/100,1)</f>
        <v/>
      </c>
      <c r="J1090">
        <f>((Inputs!$B$6*(1+Inputs!$B$7/100))+(((Inputs!$B$12*(1+Inputs!$B$13/100))-(Inputs!$B$12*(1+Inputs!$B$13/100)))+0.25*(Inputs!$B$14-Inputs!$B$14))*(1+Inputs!$B$7/100))*(F1090/100)</f>
        <v/>
      </c>
      <c r="K1090">
        <f>J1090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1090)</f>
        <v/>
      </c>
      <c r="L1090">
        <f>K1090*(MIN(Inputs!$B$22+(F1104-Calc!F22),(Inputs!$B$23+(IF(ArtifactsInput!$M$15,CHOOSE(ArtifactsInput!$N$15+1,25,30,35,40,45,50)/100*(Inputs!$B$11-Inputs!$B$11),0))))/100+(Inputs!$B$23+(IF(ArtifactsInput!$M$15,CHOOSE(ArtifactsInput!$N$15+1,25,30,35,40,45,50)/100*(Inputs!$B$11-Inputs!$B$11),0)))/100)/2</f>
        <v/>
      </c>
      <c r="M1090">
        <f>L1090*(1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0">
        <f>L1090*(1-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1090*(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0">
        <f>(1-Summary!$B$11)*S1090+Summary!$B$11*U1090</f>
        <v/>
      </c>
      <c r="P1090">
        <f>IF(B1123=0,0,O1090/B1123)</f>
        <v/>
      </c>
      <c r="Q1090">
        <f>IFERROR(1/(IF(Inputs!$B$38="pvp",15,MAX(0.1,Skills!E8-IF(Skills!F8=TRUE,Inputs!$B$32,0)))*(1-IF(AND(ArtifactsInput!$M$27,Inputs!$B$4="Chapter Hunt"),CHOOSE(ArtifactsInput!$N$27+1,20,24,28,32,36,40),0)/100)),0)</f>
        <v/>
      </c>
      <c r="R1090">
        <f>IF(AND(Inputs!$B$38&lt;&gt;"pvp",Inputs!$B$43&gt;0),IF(MAX(0,Inputs!$B$43-B1120)&lt;=0,0,(INT(MAX(0,Inputs!$B$43-B1120)/(IF(Inputs!$B$38="pvp",15,MAX(0.1,Skills!E8-IF(Skills!F8=TRUE,Inputs!$B$32,0)))*(1-IF(AND(ArtifactsInput!$M$27,Inputs!$B$4="Chapter Hunt"),CHOOSE(ArtifactsInput!$N$27+1,20,24,28,32,36,40),0)/100)))+1)),0)</f>
        <v/>
      </c>
      <c r="S1090">
        <f>IF(C1090,(H1090*N1090*IF(AND(Inputs!$B$38&lt;&gt;"pvp",Inputs!$B$43&gt;0),((Skills!G8*((R1090-1)*IF(Skills!H8&gt;0,Skills!I8/Skills!H8,1)+IF(Skills!H8&gt;0,MIN(Skills!I8,MAX(0,MAX(0,Inputs!$B$43-B1120)-((R1090-1)*(IF(Inputs!$B$38="pvp",15,MAX(0.1,Skills!E8-IF(Skills!F8=TRUE,Inputs!$B$32,0)))*(1-IF(AND(ArtifactsInput!$M$27,Inputs!$B$4="Chapter Hunt"),CHOOSE(ArtifactsInput!$N$27+1,20,24,28,32,36,40),0)/100)))))/Skills!H8,1)))/Inputs!$B$43),G1090*Q1090)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1090*(1-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1090*(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1090*(1-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1090*(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90">
        <f>IF(C1090,(H1090*N1090*IF(AND(Inputs!$B$38&lt;&gt;"pvp",Inputs!$B$43&gt;0),((Skills!G8*((R1090-1)*IF(Skills!H8&gt;0,Skills!I8/Skills!H8,1)+IF(Skills!H8&gt;0,MIN(Skills!I8,MAX(0,MAX(0,Inputs!$B$43-B1120)-((R1090-1)*(IF(Inputs!$B$38="pvp",15,MAX(0.1,Skills!E8-IF(Skills!F8=TRUE,Inputs!$B$32,0)))*(1-IF(AND(ArtifactsInput!$M$27,Inputs!$B$4="Chapter Hunt"),CHOOSE(ArtifactsInput!$N$27+1,20,24,28,32,36,40),0)/100)))))/Skills!H8,1)))/Inputs!$B$43),G1090*Q1090)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1">
      <c r="A1091">
        <f>Skills!A9</f>
        <v/>
      </c>
      <c r="B1091">
        <f>Skills!B9</f>
        <v/>
      </c>
      <c r="C1091">
        <f>Inputs!$B$3&gt;=103</f>
        <v/>
      </c>
      <c r="D1091">
        <f>IF(Skills!C9=1,60+Inputs!$B$25+Inputs!$B$29,IF(Skills!C9=2,90+Inputs!$B$26+Inputs!$B$29,IF(Skills!C9=3,120+Inputs!$B$27+Inputs!$B$29,MAX(0,(Inputs!$B$3-100)*3)+Inputs!$B$28+Inputs!$B$29)))</f>
        <v/>
      </c>
      <c r="E1091">
        <f>INDEX(FactorTable!$B$2:$Y$301, MATCH(ROUND(MIN(300,MAX(1,D1091)),0), FactorTable!$A$2:$A$301,0), Skills!M9+1)</f>
        <v/>
      </c>
      <c r="F1091">
        <f>IF(Skills!N9=TRUE,(Skills!L9/10)*(E1091/1000),Skills!L9/10)+Skills!O9</f>
        <v/>
      </c>
      <c r="G1091">
        <f>Calc!G9</f>
        <v/>
      </c>
      <c r="H1091">
        <f>Calc!H9</f>
        <v/>
      </c>
      <c r="I1091">
        <f>IF(Skills!X9&lt;&gt;"",1+(Skills!X9/10)*(Z1085/1000)/100,1)</f>
        <v/>
      </c>
      <c r="J1091">
        <f>((Inputs!$B$6*(1+Inputs!$B$7/100))+(((Inputs!$B$12*(1+Inputs!$B$13/100))-(Inputs!$B$12*(1+Inputs!$B$13/100)))+0.25*(Inputs!$B$14-Inputs!$B$14))*(1+Inputs!$B$7/100))*(F1091/100)</f>
        <v/>
      </c>
      <c r="K1091">
        <f>J1091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1091)</f>
        <v/>
      </c>
      <c r="L1091">
        <f>K1091*(MIN(Inputs!$B$22+(F1104-Calc!F22),(Inputs!$B$23+(IF(ArtifactsInput!$M$15,CHOOSE(ArtifactsInput!$N$15+1,25,30,35,40,45,50)/100*(Inputs!$B$11-Inputs!$B$11),0))))/100+(Inputs!$B$23+(IF(ArtifactsInput!$M$15,CHOOSE(ArtifactsInput!$N$15+1,25,30,35,40,45,50)/100*(Inputs!$B$11-Inputs!$B$11),0)))/100)/2</f>
        <v/>
      </c>
      <c r="M1091">
        <f>L1091*(1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1">
        <f>L1091*(1-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1">
        <f>(1-Summary!$B$11)*S1091+Summary!$B$11*U1091</f>
        <v/>
      </c>
      <c r="P1091">
        <f>IF(B1123=0,0,O1091/B1123)</f>
        <v/>
      </c>
      <c r="Q1091">
        <f>IFERROR(1/(IF(Inputs!$B$38="pvp",15,MAX(0.1,Skills!E9-IF(Skills!F7=TRUE,Inputs!$B$32,0)))*(1-IF(AND(ArtifactsInput!$M$27,Inputs!$B$4="Chapter Hunt"),CHOOSE(ArtifactsInput!$N$27+1,20,24,28,32,36,40),0)/100)),0)</f>
        <v/>
      </c>
      <c r="R1091">
        <f>IF(AND(Inputs!$B$38&lt;&gt;"pvp",Inputs!$B$43&gt;0),IF(MAX(0,Inputs!$B$43-B1120)&lt;=0,0,(INT(MAX(0,Inputs!$B$43-B1120)/(IF(Inputs!$B$38="pvp",15,MAX(0.1,Skills!E9-IF(Skills!F7=TRUE,Inputs!$B$32,0)))*(1-IF(AND(ArtifactsInput!$M$27,Inputs!$B$4="Chapter Hunt"),CHOOSE(ArtifactsInput!$N$27+1,20,24,28,32,36,40),0)/100)))+1)),0)</f>
        <v/>
      </c>
      <c r="S1091">
        <f>IF(C1091,(H1091*N1091*IF(AND(Inputs!$B$38&lt;&gt;"pvp",Inputs!$B$43&gt;0),((Skills!G9*((R1091-1)*IF(Skills!H9&gt;0,Skills!I9/Skills!H9,1)+IF(Skills!H9&gt;0,MIN(Skills!I9,MAX(0,MAX(0,Inputs!$B$43-B1120)-((R1091-1)*(IF(Inputs!$B$38="pvp",15,MAX(0.1,Skills!E9-IF(Skills!F7=TRUE,Inputs!$B$32,0)))*(1-IF(AND(ArtifactsInput!$M$27,Inputs!$B$4="Chapter Hunt"),CHOOSE(ArtifactsInput!$N$27+1,20,24,28,32,36,40),0)/100)))))/Skills!H9,1)))/Inputs!$B$43),G1091*Q1091)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1091*(1-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1091*(1-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91">
        <f>IF(C1091,(H1091*N1091*IF(AND(Inputs!$B$38&lt;&gt;"pvp",Inputs!$B$43&gt;0),((Skills!G9*((R1091-1)*IF(Skills!H9&gt;0,Skills!I9/Skills!H9,1)+IF(Skills!H9&gt;0,MIN(Skills!I9,MAX(0,MAX(0,Inputs!$B$43-B1120)-((R1091-1)*(IF(Inputs!$B$38="pvp",15,MAX(0.1,Skills!E9-IF(Skills!F7=TRUE,Inputs!$B$32,0)))*(1-IF(AND(ArtifactsInput!$M$27,Inputs!$B$4="Chapter Hunt"),CHOOSE(ArtifactsInput!$N$27+1,20,24,28,32,36,40),0)/100)))))/Skills!H9,1)))/Inputs!$B$43),G1091*Q1091)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2">
      <c r="A1092">
        <f>Skills!A10</f>
        <v/>
      </c>
      <c r="B1092">
        <f>Skills!B10</f>
        <v/>
      </c>
      <c r="C1092">
        <f>TRUE</f>
        <v/>
      </c>
      <c r="D1092">
        <f>IF(Skills!C10=1,60+Inputs!$B$25+Inputs!$B$29,IF(Skills!C10=2,90+Inputs!$B$26+Inputs!$B$29,IF(Skills!C10=3,120+Inputs!$B$27+Inputs!$B$29,MAX(0,(Inputs!$B$3-100)*3)+Inputs!$B$28+Inputs!$B$29)))</f>
        <v/>
      </c>
      <c r="E1092">
        <f>INDEX(FactorTable!$B$2:$Y$301, MATCH(ROUND(MIN(300,MAX(1,D1092)),0), FactorTable!$A$2:$A$301,0), Skills!M10+1)</f>
        <v/>
      </c>
      <c r="F1092">
        <f>IF(Skills!N10=TRUE,(Skills!L10/10)*(E1092/1000),Skills!L10/10)+Skills!O10</f>
        <v/>
      </c>
      <c r="G1092">
        <f>Calc!G10</f>
        <v/>
      </c>
      <c r="H1092">
        <f>Calc!H10</f>
        <v/>
      </c>
      <c r="I1092">
        <f>IF(Skills!X10&lt;&gt;"",1+(Skills!X10/10)*(Z1085/1000)/100,1)</f>
        <v/>
      </c>
      <c r="J1092">
        <f>((Inputs!$B$6*(1+Inputs!$B$7/100))+(((Inputs!$B$12*(1+Inputs!$B$13/100))-(Inputs!$B$12*(1+Inputs!$B$13/100)))+0.25*(Inputs!$B$14-Inputs!$B$14))*(1+Inputs!$B$7/100))*(F1092/100)</f>
        <v/>
      </c>
      <c r="K1092">
        <f>J1092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1092)</f>
        <v/>
      </c>
      <c r="L1092">
        <f>K1092*(MIN(Inputs!$B$22+(F1104-Calc!F22),(Inputs!$B$23+(IF(ArtifactsInput!$M$15,CHOOSE(ArtifactsInput!$N$15+1,25,30,35,40,45,50)/100*(Inputs!$B$11-Inputs!$B$11),0))))/100+(Inputs!$B$23+(IF(ArtifactsInput!$M$15,CHOOSE(ArtifactsInput!$N$15+1,25,30,35,40,45,50)/100*(Inputs!$B$11-Inputs!$B$11),0)))/100)/2</f>
        <v/>
      </c>
      <c r="M1092">
        <f>L1092*(1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2">
        <f>L1092*(1-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1092*(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2">
        <f>(1-Summary!$B$11)*S1092+Summary!$B$11*U1092</f>
        <v/>
      </c>
      <c r="P1092">
        <f>IF(B1123=0,0,O1092/B1123)</f>
        <v/>
      </c>
      <c r="Q1092">
        <f>IFERROR(1/(IF(Inputs!$B$38="pvp",15,MAX(0.1,Skills!E10-IF(Skills!F10=TRUE,Inputs!$B$32,0)))*(1-IF(AND(ArtifactsInput!$M$27,Inputs!$B$4="Chapter Hunt"),CHOOSE(ArtifactsInput!$N$27+1,20,24,28,32,36,40),0)/100)),0)</f>
        <v/>
      </c>
      <c r="R1092">
        <f>IF(AND(Inputs!$B$38&lt;&gt;"pvp",Inputs!$B$43&gt;0),IF(MAX(0,Inputs!$B$43-B1120)&lt;=0,0,(INT(MAX(0,Inputs!$B$43-B1120)/(IF(Inputs!$B$38="pvp",15,MAX(0.1,Skills!E10-IF(Skills!F10=TRUE,Inputs!$B$32,0)))*(1-IF(AND(ArtifactsInput!$M$27,Inputs!$B$4="Chapter Hunt"),CHOOSE(ArtifactsInput!$N$27+1,20,24,28,32,36,40),0)/100)))+1)),0)</f>
        <v/>
      </c>
      <c r="S1092">
        <f>IF(C1092,(H1092*N1092*IF(AND(Inputs!$B$38&lt;&gt;"pvp",Inputs!$B$43&gt;0),((Skills!G10*((R1092-1)*IF(Skills!H10&gt;0,Skills!I10/Skills!H10,1)+IF(Skills!H10&gt;0,MIN(Skills!I10,MAX(0,MAX(0,Inputs!$B$43-B1120)-((R1092-1)*(IF(Inputs!$B$38="pvp",15,MAX(0.1,Skills!E10-IF(Skills!F10=TRUE,Inputs!$B$32,0)))*(1-IF(AND(ArtifactsInput!$M$27,Inputs!$B$4="Chapter Hunt"),CHOOSE(ArtifactsInput!$N$27+1,20,24,28,32,36,40),0)/100)))))/Skills!H10,1)))/Inputs!$B$43),G1092*Q1092)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1092*(1-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1092*(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1092*(1-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1092*(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92">
        <f>IF(C1092,(H1092*N1092*IF(AND(Inputs!$B$38&lt;&gt;"pvp",Inputs!$B$43&gt;0),((Skills!G10*((R1092-1)*IF(Skills!H10&gt;0,Skills!I10/Skills!H10,1)+IF(Skills!H10&gt;0,MIN(Skills!I10,MAX(0,MAX(0,Inputs!$B$43-B1120)-((R1092-1)*(IF(Inputs!$B$38="pvp",15,MAX(0.1,Skills!E10-IF(Skills!F10=TRUE,Inputs!$B$32,0)))*(1-IF(AND(ArtifactsInput!$M$27,Inputs!$B$4="Chapter Hunt"),CHOOSE(ArtifactsInput!$N$27+1,20,24,28,32,36,40),0)/100)))))/Skills!H10,1)))/Inputs!$B$43),G1092*Q1092)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3">
      <c r="A1093">
        <f>Skills!A11</f>
        <v/>
      </c>
      <c r="B1093">
        <f>Skills!B11</f>
        <v/>
      </c>
      <c r="C1093">
        <f>TRUE</f>
        <v/>
      </c>
      <c r="D1093">
        <f>IF(Skills!C11=1,60+Inputs!$B$25+Inputs!$B$29,IF(Skills!C11=2,90+Inputs!$B$26+Inputs!$B$29,IF(Skills!C11=3,120+Inputs!$B$27+Inputs!$B$29,MAX(0,(Inputs!$B$3-100)*3)+Inputs!$B$28+Inputs!$B$29)))</f>
        <v/>
      </c>
      <c r="E1093">
        <f>INDEX(FactorTable!$B$2:$Y$301, MATCH(ROUND(MIN(300,MAX(1,D1093)),0), FactorTable!$A$2:$A$301,0), Skills!M11+1)</f>
        <v/>
      </c>
      <c r="F1093">
        <f>IF(Skills!N11=TRUE,(Skills!L11/10)*(E1093/1000),Skills!L11/10)+Skills!O11</f>
        <v/>
      </c>
      <c r="G1093">
        <f>Calc!G11</f>
        <v/>
      </c>
      <c r="H1093">
        <f>Calc!H11</f>
        <v/>
      </c>
      <c r="I1093">
        <f>IF(Skills!X11&lt;&gt;"",1+(Skills!X11/10)*(Z1085/1000)/100,1)</f>
        <v/>
      </c>
      <c r="J1093" t="inlineStr"/>
      <c r="K1093" t="inlineStr"/>
      <c r="L1093" t="inlineStr"/>
      <c r="M1093" t="inlineStr"/>
      <c r="N1093" t="inlineStr"/>
      <c r="O1093">
        <f>(1-Summary!$B$11)*S1093+Summary!$B$11*U1093</f>
        <v/>
      </c>
      <c r="P1093">
        <f>IF(B1123=0,0,O1093/B1123)</f>
        <v/>
      </c>
      <c r="Q1093">
        <f>IFERROR(1/(IF(Inputs!$B$38="pvp",15,MAX(0.1,Skills!E11-IF(Skills!F11=TRUE,Inputs!$B$32,0)))*(1-IF(AND(ArtifactsInput!$M$27,Inputs!$B$4="Chapter Hunt"),CHOOSE(ArtifactsInput!$N$27+1,20,24,28,32,36,40),0)/100)),0)</f>
        <v/>
      </c>
      <c r="R1093" t="n">
        <v>0</v>
      </c>
      <c r="S1093" t="n">
        <v>0</v>
      </c>
      <c r="U1093" t="n">
        <v>0</v>
      </c>
    </row>
    <row r="1094">
      <c r="A1094">
        <f>Skills!A12</f>
        <v/>
      </c>
      <c r="B1094">
        <f>Skills!B12</f>
        <v/>
      </c>
      <c r="C1094">
        <f>TRUE</f>
        <v/>
      </c>
      <c r="D1094">
        <f>IF(Skills!C12=1,60+Inputs!$B$25+Inputs!$B$29,IF(Skills!C12=2,90+Inputs!$B$26+Inputs!$B$29,IF(Skills!C12=3,120+Inputs!$B$27+Inputs!$B$29,MAX(0,(Inputs!$B$3-100)*3)+Inputs!$B$28+Inputs!$B$29)))</f>
        <v/>
      </c>
      <c r="E1094">
        <f>INDEX(FactorTable!$B$2:$Y$301, MATCH(ROUND(MIN(300,MAX(1,D1094)),0), FactorTable!$A$2:$A$301,0), Skills!M12+1)</f>
        <v/>
      </c>
      <c r="F1094">
        <f>IF(Skills!N12=TRUE,(Skills!L12/10)*(E1094/1000),Skills!L12/10)+Skills!O12</f>
        <v/>
      </c>
      <c r="G1094">
        <f>Calc!G12</f>
        <v/>
      </c>
      <c r="H1094">
        <f>Calc!H12</f>
        <v/>
      </c>
      <c r="I1094">
        <f>IF(Skills!X12&lt;&gt;"",1+(Skills!X12/10)*(Z1085/1000)/100,1)</f>
        <v/>
      </c>
      <c r="J1094" t="inlineStr"/>
      <c r="K1094" t="inlineStr"/>
      <c r="L1094" t="inlineStr"/>
      <c r="M1094" t="inlineStr"/>
      <c r="N1094" t="inlineStr"/>
      <c r="O1094">
        <f>(1-Summary!$B$11)*S1094+Summary!$B$11*U1094</f>
        <v/>
      </c>
      <c r="P1094">
        <f>IF(B1123=0,0,O1094/B1123)</f>
        <v/>
      </c>
      <c r="Q1094">
        <f>IFERROR(1/(IF(Inputs!$B$38="pvp",15,MAX(0.1,Skills!E12-IF(Skills!F12=TRUE,Inputs!$B$32,0)))*(1-IF(AND(ArtifactsInput!$M$27,Inputs!$B$4="Chapter Hunt"),CHOOSE(ArtifactsInput!$N$27+1,20,24,28,32,36,40),0)/100)),0)</f>
        <v/>
      </c>
      <c r="R1094" t="n">
        <v>0</v>
      </c>
      <c r="S1094" t="n">
        <v>0</v>
      </c>
      <c r="U1094" t="n">
        <v>0</v>
      </c>
    </row>
    <row r="1095">
      <c r="A1095">
        <f>Skills!A13</f>
        <v/>
      </c>
      <c r="B1095">
        <f>Skills!B13</f>
        <v/>
      </c>
      <c r="C1095">
        <f>Inputs!$B$3&gt;=105</f>
        <v/>
      </c>
      <c r="D1095">
        <f>IF(Skills!C13=1,60+Inputs!$B$25+Inputs!$B$29,IF(Skills!C13=2,90+Inputs!$B$26+Inputs!$B$29,IF(Skills!C13=3,120+Inputs!$B$27+Inputs!$B$29,MAX(0,(Inputs!$B$3-100)*3)+Inputs!$B$28+Inputs!$B$29)))</f>
        <v/>
      </c>
      <c r="E1095">
        <f>INDEX(FactorTable!$B$2:$Y$301, MATCH(ROUND(MIN(300,MAX(1,D1095)),0), FactorTable!$A$2:$A$301,0), Skills!M13+1)</f>
        <v/>
      </c>
      <c r="F1095">
        <f>IF(Skills!N13=TRUE,(Skills!L13/10)*(E1095/1000),Skills!L13/10)+Skills!O13</f>
        <v/>
      </c>
      <c r="G1095">
        <f>Calc!G13</f>
        <v/>
      </c>
      <c r="H1095">
        <f>Calc!H13</f>
        <v/>
      </c>
      <c r="I1095">
        <f>IF(Skills!X13&lt;&gt;"",1+(Skills!X13/10)*(Z1085/1000)/100,1)</f>
        <v/>
      </c>
      <c r="J1095">
        <f>((Inputs!$B$6*(1+Inputs!$B$7/100))+(((Inputs!$B$12*(1+Inputs!$B$13/100))-(Inputs!$B$12*(1+Inputs!$B$13/100)))+0.25*(Inputs!$B$14-Inputs!$B$14))*(1+Inputs!$B$7/100))*(F1095/100)</f>
        <v/>
      </c>
      <c r="K1095">
        <f>J1095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1095)</f>
        <v/>
      </c>
      <c r="L1095">
        <f>K1095*(MIN(Inputs!$B$22+(F1104-Calc!F22),(Inputs!$B$23+(IF(ArtifactsInput!$M$15,CHOOSE(ArtifactsInput!$N$15+1,25,30,35,40,45,50)/100*(Inputs!$B$11-Inputs!$B$11),0))))/100+(Inputs!$B$23+(IF(ArtifactsInput!$M$15,CHOOSE(ArtifactsInput!$N$15+1,25,30,35,40,45,50)/100*(Inputs!$B$11-Inputs!$B$11),0)))/100)/2</f>
        <v/>
      </c>
      <c r="M1095">
        <f>L1095*(1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5">
        <f>L1095*(1-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1095*(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5">
        <f>(1-Summary!$B$11)*S1095+Summary!$B$11*U1095</f>
        <v/>
      </c>
      <c r="P1095">
        <f>IF(B1123=0,0,O1095/B1123)</f>
        <v/>
      </c>
      <c r="Q1095">
        <f>IFERROR(1/(IF(Inputs!$B$38="pvp",15,MAX(0.1,Skills!E13-IF(Skills!F13=TRUE,Inputs!$B$32,0)))*(1-IF(AND(ArtifactsInput!$M$27,Inputs!$B$4="Chapter Hunt"),CHOOSE(ArtifactsInput!$N$27+1,20,24,28,32,36,40),0)/100)),0)</f>
        <v/>
      </c>
      <c r="R1095">
        <f>IF(AND(Inputs!$B$38&lt;&gt;"pvp",Inputs!$B$43&gt;0),IF(MAX(0,Inputs!$B$43-B1120)&lt;=0,0,(INT(MAX(0,Inputs!$B$43-B1120)/(IF(Inputs!$B$38="pvp",15,MAX(0.1,Skills!E13-IF(Skills!F13=TRUE,Inputs!$B$32,0)))*(1-IF(AND(ArtifactsInput!$M$27,Inputs!$B$4="Chapter Hunt"),CHOOSE(ArtifactsInput!$N$27+1,20,24,28,32,36,40),0)/100)))+1)),0)</f>
        <v/>
      </c>
      <c r="S1095">
        <f>IF(C1095,(H1095*N1095*IF(AND(Inputs!$B$38&lt;&gt;"pvp",Inputs!$B$43&gt;0),((Skills!G13*((R1095-1)*IF(Skills!H13&gt;0,Skills!I13/Skills!H13,1)+IF(Skills!H13&gt;0,MIN(Skills!I13,MAX(0,MAX(0,Inputs!$B$43-B1120)-((R1095-1)*(IF(Inputs!$B$38="pvp",15,MAX(0.1,Skills!E13-IF(Skills!F13=TRUE,Inputs!$B$32,0)))*(1-IF(AND(ArtifactsInput!$M$27,Inputs!$B$4="Chapter Hunt"),CHOOSE(ArtifactsInput!$N$27+1,20,24,28,32,36,40),0)/100)))))/Skills!H13,1)))/Inputs!$B$43),G1095*Q1095)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1095*(1-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1095*(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1095*(1-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1095*(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95">
        <f>IF(C1095,(H1095*N1095*IF(AND(Inputs!$B$38&lt;&gt;"pvp",Inputs!$B$43&gt;0),((Skills!G13*((R1095-1)*IF(Skills!H13&gt;0,Skills!I13/Skills!H13,1)+IF(Skills!H13&gt;0,MIN(Skills!I13,MAX(0,MAX(0,Inputs!$B$43-B1120)-((R1095-1)*(IF(Inputs!$B$38="pvp",15,MAX(0.1,Skills!E13-IF(Skills!F13=TRUE,Inputs!$B$32,0)))*(1-IF(AND(ArtifactsInput!$M$27,Inputs!$B$4="Chapter Hunt"),CHOOSE(ArtifactsInput!$N$27+1,20,24,28,32,36,40),0)/100)))))/Skills!H13,1)))/Inputs!$B$43),G1095*Q1095)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6">
      <c r="A1096">
        <f>Skills!A14</f>
        <v/>
      </c>
      <c r="B1096">
        <f>Skills!B14</f>
        <v/>
      </c>
      <c r="C1096">
        <f>Inputs!$B$3&gt;=113</f>
        <v/>
      </c>
      <c r="D1096">
        <f>IF(Skills!C14=1,60+Inputs!$B$25+Inputs!$B$29,IF(Skills!C14=2,90+Inputs!$B$26+Inputs!$B$29,IF(Skills!C14=3,120+Inputs!$B$27+Inputs!$B$29,MAX(0,(Inputs!$B$3-100)*3)+Inputs!$B$28+Inputs!$B$29)))</f>
        <v/>
      </c>
      <c r="E1096">
        <f>INDEX(FactorTable!$B$2:$Y$301, MATCH(ROUND(MIN(300,MAX(1,D1096)),0), FactorTable!$A$2:$A$301,0), Skills!M14+1)</f>
        <v/>
      </c>
      <c r="F1096">
        <f>IF(Skills!N14=TRUE,(Skills!L14/10)*(E1096/1000),Skills!L14/10)+Skills!O14</f>
        <v/>
      </c>
      <c r="G1096">
        <f>Calc!G14</f>
        <v/>
      </c>
      <c r="H1096">
        <f>Calc!H14</f>
        <v/>
      </c>
      <c r="I1096">
        <f>IF(Skills!X14&lt;&gt;"",1+(Skills!X14/10)*(Z1085/1000)/100,1)</f>
        <v/>
      </c>
      <c r="J1096">
        <f>((Inputs!$B$6*(1+Inputs!$B$7/100))+(((Inputs!$B$12*(1+Inputs!$B$13/100))-(Inputs!$B$12*(1+Inputs!$B$13/100)))+0.25*(Inputs!$B$14-Inputs!$B$14))*(1+Inputs!$B$7/100))*(F1096/100)</f>
        <v/>
      </c>
      <c r="K1096">
        <f>J1096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1096)</f>
        <v/>
      </c>
      <c r="L1096">
        <f>K1096*(MIN(Inputs!$B$22+(F1104-Calc!F22),(Inputs!$B$23+(IF(ArtifactsInput!$M$15,CHOOSE(ArtifactsInput!$N$15+1,25,30,35,40,45,50)/100*(Inputs!$B$11-Inputs!$B$11),0))))/100+(Inputs!$B$23+(IF(ArtifactsInput!$M$15,CHOOSE(ArtifactsInput!$N$15+1,25,30,35,40,45,50)/100*(Inputs!$B$11-Inputs!$B$11),0)))/100)/2</f>
        <v/>
      </c>
      <c r="M1096">
        <f>L1096*(1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6">
        <f>L1096*(1-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1096*(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6">
        <f>(1-Summary!$B$11)*S1096+Summary!$B$11*U1096</f>
        <v/>
      </c>
      <c r="P1096">
        <f>IF(B1123=0,0,O1096/B1123)</f>
        <v/>
      </c>
      <c r="Q1096">
        <f>IFERROR(1/(IF(Inputs!$B$38="pvp",15,MAX(0.1,Skills!E14-IF(Skills!F14=TRUE,Inputs!$B$32,0)))*(1-IF(AND(ArtifactsInput!$M$27,Inputs!$B$4="Chapter Hunt"),CHOOSE(ArtifactsInput!$N$27+1,20,24,28,32,36,40),0)/100)),0)</f>
        <v/>
      </c>
      <c r="R1096" t="n">
        <v>0</v>
      </c>
      <c r="S1096">
        <f>IF(C1096,((H1096*B1119)/(1+Skills!H14*H1096*B1119)*N1096)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1096*(1-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1096*(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1096*(1-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1096*(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96">
        <f>IF(C1096,((H1096*B1119)/(1+Skills!H14*H1096*B1119)*N1096)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7">
      <c r="A1097">
        <f>Skills!A15</f>
        <v/>
      </c>
      <c r="B1097">
        <f>Skills!B15</f>
        <v/>
      </c>
      <c r="C1097">
        <f>Inputs!$B$3&gt;=107</f>
        <v/>
      </c>
      <c r="D1097">
        <f>IF(Skills!C15=1,60+Inputs!$B$25+Inputs!$B$29,IF(Skills!C15=2,90+Inputs!$B$26+Inputs!$B$29,IF(Skills!C15=3,120+Inputs!$B$27+Inputs!$B$29,MAX(0,(Inputs!$B$3-100)*3)+Inputs!$B$28+Inputs!$B$29)))</f>
        <v/>
      </c>
      <c r="E1097">
        <f>INDEX(FactorTable!$B$2:$Y$301, MATCH(ROUND(MIN(300,MAX(1,D1097)),0), FactorTable!$A$2:$A$301,0), Skills!M15+1)</f>
        <v/>
      </c>
      <c r="F1097">
        <f>IF(Skills!N15=TRUE,(Skills!L15/10)*(E1097/1000),Skills!L15/10)+Skills!O15</f>
        <v/>
      </c>
      <c r="G1097">
        <f>Calc!G15</f>
        <v/>
      </c>
      <c r="H1097">
        <f>Calc!H15</f>
        <v/>
      </c>
      <c r="I1097">
        <f>IF(Skills!X15&lt;&gt;"",1+(Skills!X15/10)*(Z1085/1000)/100,1)</f>
        <v/>
      </c>
      <c r="J1097">
        <f>((Inputs!$B$6*(1+Inputs!$B$7/100))+(((Inputs!$B$12*(1+Inputs!$B$13/100))-(Inputs!$B$12*(1+Inputs!$B$13/100)))+0.25*(Inputs!$B$14-Inputs!$B$14))*(1+Inputs!$B$7/100))*(F1097/100)</f>
        <v/>
      </c>
      <c r="K1097">
        <f>J1097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1097)</f>
        <v/>
      </c>
      <c r="L1097">
        <f>K1097*(MIN(Inputs!$B$22+(F1104-Calc!F22),(Inputs!$B$23+(IF(ArtifactsInput!$M$15,CHOOSE(ArtifactsInput!$N$15+1,25,30,35,40,45,50)/100*(Inputs!$B$11-Inputs!$B$11),0))))/100+(Inputs!$B$23+(IF(ArtifactsInput!$M$15,CHOOSE(ArtifactsInput!$N$15+1,25,30,35,40,45,50)/100*(Inputs!$B$11-Inputs!$B$11),0)))/100)/2</f>
        <v/>
      </c>
      <c r="M1097">
        <f>L1097*(1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7">
        <f>L1097*(1-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1097*(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7">
        <f>(1-Summary!$B$11)*S1097+Summary!$B$11*U1097</f>
        <v/>
      </c>
      <c r="P1097">
        <f>IF(B1123=0,0,O1097/B1123)</f>
        <v/>
      </c>
      <c r="Q1097">
        <f>IFERROR(1/(IF(Inputs!$B$38="pvp",15,MAX(0.1,Skills!E15-IF(Skills!F15=TRUE,Inputs!$B$32,0)))*(1-IF(AND(ArtifactsInput!$M$27,Inputs!$B$4="Chapter Hunt"),CHOOSE(ArtifactsInput!$N$27+1,20,24,28,32,36,40),0)/100)),0)</f>
        <v/>
      </c>
      <c r="R1097">
        <f>IF(AND(Inputs!$B$38&lt;&gt;"pvp",Inputs!$B$43&gt;0),IF(MAX(0,Inputs!$B$43-B1120)&lt;=0,0,(INT(MAX(0,Inputs!$B$43-B1120)/(IF(Inputs!$B$38="pvp",15,MAX(0.1,Skills!E15-IF(Skills!F15=TRUE,Inputs!$B$32,0)))*(1-IF(AND(ArtifactsInput!$M$27,Inputs!$B$4="Chapter Hunt"),CHOOSE(ArtifactsInput!$N$27+1,20,24,28,32,36,40),0)/100)))+1)),0)</f>
        <v/>
      </c>
      <c r="S1097">
        <f>IF(C1097,(H1097*N1097*IF(AND(Inputs!$B$38&lt;&gt;"pvp",Inputs!$B$43&gt;0),((Skills!G15*((R1097-1)*IF(Skills!H15&gt;0,Skills!I15/Skills!H15,1)+IF(Skills!H15&gt;0,MIN(Skills!I15,MAX(0,MAX(0,Inputs!$B$43-B1120)-((R1097-1)*(IF(Inputs!$B$38="pvp",15,MAX(0.1,Skills!E15-IF(Skills!F15=TRUE,Inputs!$B$32,0)))*(1-IF(AND(ArtifactsInput!$M$27,Inputs!$B$4="Chapter Hunt"),CHOOSE(ArtifactsInput!$N$27+1,20,24,28,32,36,40),0)/100)))))/Skills!H15,1)))/Inputs!$B$43),G1097*Q1097)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1097*(1-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1097*(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1097*(1-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1097*(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97">
        <f>IF(C1097,(H1097*N1097*IF(AND(Inputs!$B$38&lt;&gt;"pvp",Inputs!$B$43&gt;0),((Skills!G15*((R1097-1)*IF(Skills!H15&gt;0,Skills!I15/Skills!H15,1)+IF(Skills!H15&gt;0,MIN(Skills!I15,MAX(0,MAX(0,Inputs!$B$43-B1120)-((R1097-1)*(IF(Inputs!$B$38="pvp",15,MAX(0.1,Skills!E15-IF(Skills!F15=TRUE,Inputs!$B$32,0)))*(1-IF(AND(ArtifactsInput!$M$27,Inputs!$B$4="Chapter Hunt"),CHOOSE(ArtifactsInput!$N$27+1,20,24,28,32,36,40),0)/100)))))/Skills!H15,1)))/Inputs!$B$43),G1097*Q1097)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8">
      <c r="A1098">
        <f>Skills!A16</f>
        <v/>
      </c>
      <c r="B1098">
        <f>Skills!B16</f>
        <v/>
      </c>
      <c r="C1098">
        <f>Inputs!$B$3&gt;=107</f>
        <v/>
      </c>
      <c r="D1098">
        <f>IF(Skills!C16=1,60+Inputs!$B$25+Inputs!$B$29,IF(Skills!C16=2,90+Inputs!$B$26+Inputs!$B$29,IF(Skills!C16=3,120+Inputs!$B$27+Inputs!$B$29,MAX(0,(Inputs!$B$3-100)*3)+Inputs!$B$28+Inputs!$B$29)))</f>
        <v/>
      </c>
      <c r="E1098">
        <f>INDEX(FactorTable!$B$2:$Y$301, MATCH(ROUND(MIN(300,MAX(1,D1098)),0), FactorTable!$A$2:$A$301,0), Skills!M16+1)</f>
        <v/>
      </c>
      <c r="F1098">
        <f>IF(Skills!N16=TRUE,(Skills!L16/10)*(E1098/1000),Skills!L16/10)+Skills!O16</f>
        <v/>
      </c>
      <c r="G1098">
        <f>Calc!G16</f>
        <v/>
      </c>
      <c r="H1098">
        <f>Calc!H16</f>
        <v/>
      </c>
      <c r="I1098">
        <f>IF(Skills!X16&lt;&gt;"",1+(Skills!X16/10)*(Z1085/1000)/100,1)</f>
        <v/>
      </c>
      <c r="J1098">
        <f>((Inputs!$B$6*(1+Inputs!$B$7/100))+(((Inputs!$B$12*(1+Inputs!$B$13/100))-(Inputs!$B$12*(1+Inputs!$B$13/100)))+0.25*(Inputs!$B$14-Inputs!$B$14))*(1+Inputs!$B$7/100))*(F1098/100)</f>
        <v/>
      </c>
      <c r="K1098">
        <f>J1098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1098)</f>
        <v/>
      </c>
      <c r="L1098">
        <f>K1098*(MIN(Inputs!$B$22+(F1104-Calc!F22),(Inputs!$B$23+(IF(ArtifactsInput!$M$15,CHOOSE(ArtifactsInput!$N$15+1,25,30,35,40,45,50)/100*(Inputs!$B$11-Inputs!$B$11),0))))/100+(Inputs!$B$23+(IF(ArtifactsInput!$M$15,CHOOSE(ArtifactsInput!$N$15+1,25,30,35,40,45,50)/100*(Inputs!$B$11-Inputs!$B$11),0)))/100)/2</f>
        <v/>
      </c>
      <c r="M1098">
        <f>L1098*(1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8">
        <f>L1098*(1-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1098*(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8">
        <f>(1-Summary!$B$11)*S1098+Summary!$B$11*U1098</f>
        <v/>
      </c>
      <c r="P1098">
        <f>IF(B1123=0,0,O1098/B1123)</f>
        <v/>
      </c>
      <c r="Q1098">
        <f>IFERROR(1/(IF(Inputs!$B$38="pvp",15,MAX(0.1,Skills!E16-IF(Skills!F16=TRUE,Inputs!$B$32,0)))*(1-IF(AND(ArtifactsInput!$M$27,Inputs!$B$4="Chapter Hunt"),CHOOSE(ArtifactsInput!$N$27+1,20,24,28,32,36,40),0)/100)),0)</f>
        <v/>
      </c>
      <c r="R1098">
        <f>IF(AND(Inputs!$B$38&lt;&gt;"pvp",Inputs!$B$43&gt;0),IF(MAX(0,Inputs!$B$43-B1120)&lt;=0,0,(INT(MAX(0,Inputs!$B$43-B1120)/(IF(Inputs!$B$38="pvp",15,MAX(0.1,Skills!E16-IF(Skills!F16=TRUE,Inputs!$B$32,0)))*(1-IF(AND(ArtifactsInput!$M$27,Inputs!$B$4="Chapter Hunt"),CHOOSE(ArtifactsInput!$N$27+1,20,24,28,32,36,40),0)/100)))+1)),0)</f>
        <v/>
      </c>
      <c r="S1098">
        <f>IF(C1098,(H1098*N1098*IF(AND(Inputs!$B$38&lt;&gt;"pvp",Inputs!$B$43&gt;0),((Skills!G16*((R1098-1)*IF(Skills!H16&gt;0,Skills!I16/Skills!H16,1)+IF(Skills!H16&gt;0,MIN(Skills!I16,MAX(0,MAX(0,Inputs!$B$43-B1120)-((R1098-1)*(IF(Inputs!$B$38="pvp",15,MAX(0.1,Skills!E16-IF(Skills!F16=TRUE,Inputs!$B$32,0)))*(1-IF(AND(ArtifactsInput!$M$27,Inputs!$B$4="Chapter Hunt"),CHOOSE(ArtifactsInput!$N$27+1,20,24,28,32,36,40),0)/100)))))/Skills!H16,1)))/Inputs!$B$43),G1098*Q1098)*(1+IF(Inputs!$B$3&gt;=126,0.05*(B1118+Q1095+(H1096*B1119)/(1+Skills!H14*H1096*B1119)+Q1106)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1098*(1-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1098*(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1098*(1-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1098*(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98">
        <f>IF(C1098,(H1098*N1098*IF(AND(Inputs!$B$38&lt;&gt;"pvp",Inputs!$B$43&gt;0),((Skills!G16*((R1098-1)*IF(Skills!H16&gt;0,Skills!I16/Skills!H16,1)+IF(Skills!H16&gt;0,MIN(Skills!I16,MAX(0,MAX(0,Inputs!$B$43-B1120)-((R1098-1)*(IF(Inputs!$B$38="pvp",15,MAX(0.1,Skills!E16-IF(Skills!F16=TRUE,Inputs!$B$32,0)))*(1-IF(AND(ArtifactsInput!$M$27,Inputs!$B$4="Chapter Hunt"),CHOOSE(ArtifactsInput!$N$27+1,20,24,28,32,36,40),0)/100)))))/Skills!H16,1)))/Inputs!$B$43),G1098*Q1098)*(1+IF(Inputs!$B$3&gt;=126,0.05*(B1118+Q1095+(H1096*B1119)/(1+Skills!H14*H1096*B1119)+Q1106)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99">
      <c r="A1099">
        <f>Skills!A17</f>
        <v/>
      </c>
      <c r="B1099">
        <f>Skills!B17</f>
        <v/>
      </c>
      <c r="C1099">
        <f>TRUE</f>
        <v/>
      </c>
      <c r="D1099">
        <f>IF(Skills!C17=1,60+Inputs!$B$25+Inputs!$B$29,IF(Skills!C17=2,90+Inputs!$B$26+Inputs!$B$29,IF(Skills!C17=3,120+Inputs!$B$27+Inputs!$B$29,MAX(0,(Inputs!$B$3-100)*3)+Inputs!$B$28+Inputs!$B$29)))</f>
        <v/>
      </c>
      <c r="E1099">
        <f>INDEX(FactorTable!$B$2:$Y$301, MATCH(ROUND(MIN(300,MAX(1,D1099)),0), FactorTable!$A$2:$A$301,0), Skills!M17+1)</f>
        <v/>
      </c>
      <c r="F1099">
        <f>IF(Skills!N17=TRUE,(Skills!L17/10)*(E1099/1000),Skills!L17/10)+Skills!O17</f>
        <v/>
      </c>
      <c r="G1099">
        <f>Calc!G17</f>
        <v/>
      </c>
      <c r="H1099">
        <f>Calc!H17</f>
        <v/>
      </c>
      <c r="I1099">
        <f>IF(Skills!X17&lt;&gt;"",1+(Skills!X17/10)*(Z1085/1000)/100,1)</f>
        <v/>
      </c>
      <c r="J1099" t="inlineStr"/>
      <c r="K1099" t="inlineStr"/>
      <c r="L1099" t="inlineStr"/>
      <c r="M1099" t="inlineStr"/>
      <c r="N1099" t="inlineStr"/>
      <c r="O1099">
        <f>(1-Summary!$B$11)*S1099+Summary!$B$11*U1099</f>
        <v/>
      </c>
      <c r="P1099">
        <f>IF(B1123=0,0,O1099/B1123)</f>
        <v/>
      </c>
      <c r="Q1099">
        <f>IFERROR(1/(IF(Inputs!$B$38="pvp",15,MAX(0.1,Skills!E17-IF(Skills!F17=TRUE,Inputs!$B$32,0)))*(1-IF(AND(ArtifactsInput!$M$27,Inputs!$B$4="Chapter Hunt"),CHOOSE(ArtifactsInput!$N$27+1,20,24,28,32,36,40),0)/100)),0)</f>
        <v/>
      </c>
      <c r="R1099">
        <f>IF(AND(Inputs!$B$38&lt;&gt;"pvp",Inputs!$B$43&gt;0),IF(Inputs!$B$43&lt;=0,0,(INT(Inputs!$B$43/(IF(Inputs!$B$38="pvp",15,MAX(0.1,Skills!E17-IF(Skills!F17=TRUE,Inputs!$B$32,0)))*(1-IF(AND(ArtifactsInput!$M$27,Inputs!$B$4="Chapter Hunt"),CHOOSE(ArtifactsInput!$N$27+1,20,24,28,32,36,40),0)/100)))+1)),0)</f>
        <v/>
      </c>
      <c r="S1099" t="n">
        <v>0</v>
      </c>
      <c r="U1099" t="n">
        <v>0</v>
      </c>
    </row>
    <row r="1100">
      <c r="A1100">
        <f>Skills!A18</f>
        <v/>
      </c>
      <c r="B1100">
        <f>Skills!B18</f>
        <v/>
      </c>
      <c r="C1100">
        <f>TRUE</f>
        <v/>
      </c>
      <c r="D1100">
        <f>IF(Skills!C18=1,60+Inputs!$B$25+Inputs!$B$29,IF(Skills!C18=2,90+Inputs!$B$26+Inputs!$B$29,IF(Skills!C18=3,120+Inputs!$B$27+Inputs!$B$29,MAX(0,(Inputs!$B$3-100)*3)+Inputs!$B$28+Inputs!$B$29)))</f>
        <v/>
      </c>
      <c r="E1100">
        <f>INDEX(FactorTable!$B$2:$Y$301, MATCH(ROUND(MIN(300,MAX(1,D1100)),0), FactorTable!$A$2:$A$301,0), Skills!M18+1)</f>
        <v/>
      </c>
      <c r="F1100">
        <f>IF(Skills!N18=TRUE,(Skills!L18/10)*(E1100/1000),Skills!L18/10)+Skills!O18</f>
        <v/>
      </c>
      <c r="G1100">
        <f>Calc!G18</f>
        <v/>
      </c>
      <c r="H1100">
        <f>Calc!H18</f>
        <v/>
      </c>
      <c r="I1100">
        <f>IF(Skills!X18&lt;&gt;"",1+(Skills!X18/10)*(Z1085/1000)/100,1)</f>
        <v/>
      </c>
      <c r="J1100" t="inlineStr"/>
      <c r="K1100" t="inlineStr"/>
      <c r="L1100" t="inlineStr"/>
      <c r="M1100" t="inlineStr"/>
      <c r="N1100" t="inlineStr"/>
      <c r="O1100">
        <f>(1-Summary!$B$11)*S1100+Summary!$B$11*U1100</f>
        <v/>
      </c>
      <c r="P1100">
        <f>IF(B1123=0,0,O1100/B1123)</f>
        <v/>
      </c>
      <c r="Q1100">
        <f>IFERROR(1/(IF(Inputs!$B$38="pvp",15,MAX(0.1,Skills!E18-IF(Skills!F18=TRUE,Inputs!$B$32,0)))*(1-IF(AND(ArtifactsInput!$M$27,Inputs!$B$4="Chapter Hunt"),CHOOSE(ArtifactsInput!$N$27+1,20,24,28,32,36,40),0)/100)),0)</f>
        <v/>
      </c>
      <c r="R1100">
        <f>IF(AND(Inputs!$B$38&lt;&gt;"pvp",Inputs!$B$43&gt;0),IF(Inputs!$B$43&lt;=0,0,(INT(Inputs!$B$43/(IF(Inputs!$B$38="pvp",15,MAX(0.1,Skills!E18-IF(Skills!F18=TRUE,Inputs!$B$32,0)))*(1-IF(AND(ArtifactsInput!$M$27,Inputs!$B$4="Chapter Hunt"),CHOOSE(ArtifactsInput!$N$27+1,20,24,28,32,36,40),0)/100)))+1)),0)</f>
        <v/>
      </c>
      <c r="S1100" t="n">
        <v>0</v>
      </c>
      <c r="U1100" t="n">
        <v>0</v>
      </c>
    </row>
    <row r="1101">
      <c r="A1101">
        <f>Skills!A19</f>
        <v/>
      </c>
      <c r="B1101">
        <f>Skills!B19</f>
        <v/>
      </c>
      <c r="C1101">
        <f>Inputs!$B$3&gt;=110</f>
        <v/>
      </c>
      <c r="D1101">
        <f>IF(Skills!C19=1,60+Inputs!$B$25+Inputs!$B$29,IF(Skills!C19=2,90+Inputs!$B$26+Inputs!$B$29,IF(Skills!C19=3,120+Inputs!$B$27+Inputs!$B$29,MAX(0,(Inputs!$B$3-100)*3)+Inputs!$B$28+Inputs!$B$29)))</f>
        <v/>
      </c>
      <c r="E1101">
        <f>INDEX(FactorTable!$B$2:$Y$301, MATCH(ROUND(MIN(300,MAX(1,D1101)),0), FactorTable!$A$2:$A$301,0), Skills!M19+1)</f>
        <v/>
      </c>
      <c r="F1101">
        <f>IF(Skills!N19=TRUE,(Skills!L19/10)*(E1101/1000),Skills!L19/10)+Skills!O19</f>
        <v/>
      </c>
      <c r="G1101">
        <f>Calc!G19</f>
        <v/>
      </c>
      <c r="H1101">
        <f>Calc!H19</f>
        <v/>
      </c>
      <c r="I1101">
        <f>IF(Skills!X19&lt;&gt;"",1+(Skills!X19/10)*(Z1085/1000)/100,1)</f>
        <v/>
      </c>
      <c r="J1101" t="inlineStr"/>
      <c r="K1101" t="inlineStr"/>
      <c r="L1101" t="inlineStr"/>
      <c r="M1101" t="inlineStr"/>
      <c r="N1101" t="inlineStr"/>
      <c r="O1101">
        <f>(1-Summary!$B$11)*S1101+Summary!$B$11*U1101</f>
        <v/>
      </c>
      <c r="P1101">
        <f>IF(B1123=0,0,O1101/B1123)</f>
        <v/>
      </c>
      <c r="Q1101">
        <f>IFERROR(1/(IF(Inputs!$B$38="pvp",15,MAX(0.1,Skills!E19-IF(Skills!F19=TRUE,Inputs!$B$32,0)))*(1-IF(AND(ArtifactsInput!$M$27,Inputs!$B$4="Chapter Hunt"),CHOOSE(ArtifactsInput!$N$27+1,20,24,28,32,36,40),0)/100)),0)</f>
        <v/>
      </c>
      <c r="R1101">
        <f>IF(AND(Inputs!$B$38&lt;&gt;"pvp",Inputs!$B$43&gt;0),IF(Inputs!$B$43&lt;=0,0,(INT(Inputs!$B$43/(IF(Inputs!$B$38="pvp",15,MAX(0.1,Skills!E19-IF(Skills!F19=TRUE,Inputs!$B$32,0)))*(1-IF(AND(ArtifactsInput!$M$27,Inputs!$B$4="Chapter Hunt"),CHOOSE(ArtifactsInput!$N$27+1,20,24,28,32,36,40),0)/100)))+1)),0)</f>
        <v/>
      </c>
      <c r="S1101" t="n">
        <v>0</v>
      </c>
      <c r="U1101" t="n">
        <v>0</v>
      </c>
    </row>
    <row r="1102">
      <c r="A1102">
        <f>Skills!A20</f>
        <v/>
      </c>
      <c r="B1102">
        <f>Skills!B20</f>
        <v/>
      </c>
      <c r="C1102">
        <f>TRUE</f>
        <v/>
      </c>
      <c r="D1102">
        <f>IF(Skills!C20=1,60+Inputs!$B$25+Inputs!$B$29,IF(Skills!C20=2,90+Inputs!$B$26+Inputs!$B$29,IF(Skills!C20=3,120+Inputs!$B$27+Inputs!$B$29,MAX(0,(Inputs!$B$3-100)*3)+Inputs!$B$28+Inputs!$B$29)))</f>
        <v/>
      </c>
      <c r="E1102">
        <f>INDEX(FactorTable!$B$2:$Y$301, MATCH(ROUND(MIN(300,MAX(1,D1102)),0), FactorTable!$A$2:$A$301,0), Skills!M20+1)</f>
        <v/>
      </c>
      <c r="F1102">
        <f>IF(Skills!N20=TRUE,(Skills!L20/10)*(E1102/1000),Skills!L20/10)+Skills!O20</f>
        <v/>
      </c>
      <c r="G1102">
        <f>Calc!G20</f>
        <v/>
      </c>
      <c r="H1102">
        <f>Calc!H20</f>
        <v/>
      </c>
      <c r="I1102">
        <f>IF(Skills!X20&lt;&gt;"",1+(Skills!X20/10)*(Z1085/1000)/100,1)</f>
        <v/>
      </c>
      <c r="J1102" t="inlineStr"/>
      <c r="K1102" t="inlineStr"/>
      <c r="L1102" t="inlineStr"/>
      <c r="M1102" t="inlineStr"/>
      <c r="N1102" t="inlineStr"/>
      <c r="O1102">
        <f>(1-Summary!$B$11)*S1102+Summary!$B$11*U1102</f>
        <v/>
      </c>
      <c r="P1102">
        <f>IF(B1123=0,0,O1102/B1123)</f>
        <v/>
      </c>
      <c r="Q1102">
        <f>IFERROR(1/(IF(Inputs!$B$38="pvp",15,MAX(0.1,Skills!E20-IF(Skills!F20=TRUE,Inputs!$B$32,0)))*(1-IF(AND(ArtifactsInput!$M$27,Inputs!$B$4="Chapter Hunt"),CHOOSE(ArtifactsInput!$N$27+1,20,24,28,32,36,40),0)/100)),0)</f>
        <v/>
      </c>
      <c r="R1102" t="n">
        <v>0</v>
      </c>
      <c r="S1102" t="n">
        <v>0</v>
      </c>
      <c r="U1102" t="n">
        <v>0</v>
      </c>
    </row>
    <row r="1103">
      <c r="A1103">
        <f>Skills!A21</f>
        <v/>
      </c>
      <c r="B1103">
        <f>Skills!B21</f>
        <v/>
      </c>
      <c r="C1103">
        <f>TRUE</f>
        <v/>
      </c>
      <c r="D1103">
        <f>IF(Skills!C21=1,60+Inputs!$B$25+Inputs!$B$29,IF(Skills!C21=2,90+Inputs!$B$26+Inputs!$B$29,IF(Skills!C21=3,120+Inputs!$B$27+Inputs!$B$29,MAX(0,(Inputs!$B$3-100)*3)+Inputs!$B$28+Inputs!$B$29)))</f>
        <v/>
      </c>
      <c r="E1103">
        <f>INDEX(FactorTable!$B$2:$Y$301, MATCH(ROUND(MIN(300,MAX(1,D1103)),0), FactorTable!$A$2:$A$301,0), Skills!M21+1)</f>
        <v/>
      </c>
      <c r="F1103">
        <f>IF(Skills!N21=TRUE,(Skills!L21/10)*(E1103/1000),Skills!L21/10)+Skills!O21</f>
        <v/>
      </c>
      <c r="G1103">
        <f>Calc!G21</f>
        <v/>
      </c>
      <c r="H1103">
        <f>Calc!H21</f>
        <v/>
      </c>
      <c r="I1103">
        <f>IF(Skills!X21&lt;&gt;"",1+(Skills!X21/10)*(Z1085/1000)/100,1)</f>
        <v/>
      </c>
      <c r="J1103" t="inlineStr"/>
      <c r="K1103" t="inlineStr"/>
      <c r="L1103" t="inlineStr"/>
      <c r="M1103" t="inlineStr"/>
      <c r="N1103" t="inlineStr"/>
      <c r="O1103">
        <f>(1-Summary!$B$11)*S1103+Summary!$B$11*U1103</f>
        <v/>
      </c>
      <c r="P1103">
        <f>IF(B1123=0,0,O1103/B1123)</f>
        <v/>
      </c>
      <c r="Q1103">
        <f>IFERROR(1/(IF(Inputs!$B$38="pvp",15,MAX(0.1,Skills!E21-IF(Skills!F21=TRUE,Inputs!$B$32,0)))*(1-IF(AND(ArtifactsInput!$M$27,Inputs!$B$4="Chapter Hunt"),CHOOSE(ArtifactsInput!$N$27+1,20,24,28,32,36,40),0)/100)),0)</f>
        <v/>
      </c>
      <c r="R1103" t="n">
        <v>0</v>
      </c>
      <c r="S1103" t="n">
        <v>0</v>
      </c>
      <c r="U1103" t="n">
        <v>0</v>
      </c>
    </row>
    <row r="1104">
      <c r="A1104">
        <f>Skills!A22</f>
        <v/>
      </c>
      <c r="B1104">
        <f>Skills!B22</f>
        <v/>
      </c>
      <c r="C1104">
        <f>TRUE</f>
        <v/>
      </c>
      <c r="D1104">
        <f>IF(Skills!C22=1,60+Inputs!$B$25+Inputs!$B$29,IF(Skills!C22=2,90+Inputs!$B$26+Inputs!$B$29,IF(Skills!C22=3,120+Inputs!$B$27+Inputs!$B$29,MAX(0,(Inputs!$B$3-100)*3)+Inputs!$B$28+Inputs!$B$29)))</f>
        <v/>
      </c>
      <c r="E1104">
        <f>INDEX(FactorTable!$B$2:$Y$301, MATCH(ROUND(MIN(300,MAX(1,D1104)),0), FactorTable!$A$2:$A$301,0), Skills!M22+1)</f>
        <v/>
      </c>
      <c r="F1104">
        <f>IF(Skills!N22=TRUE,(Skills!L22/10)*(E1104/1000),Skills!L22/10)+Skills!O22</f>
        <v/>
      </c>
      <c r="G1104">
        <f>Calc!G22</f>
        <v/>
      </c>
      <c r="H1104">
        <f>Calc!H22</f>
        <v/>
      </c>
      <c r="I1104">
        <f>IF(Skills!X22&lt;&gt;"",1+(Skills!X22/10)*(Z1085/1000)/100,1)</f>
        <v/>
      </c>
      <c r="J1104" t="inlineStr"/>
      <c r="K1104" t="inlineStr"/>
      <c r="L1104" t="inlineStr"/>
      <c r="M1104" t="inlineStr"/>
      <c r="N1104" t="inlineStr"/>
      <c r="O1104">
        <f>(1-Summary!$B$11)*S1104+Summary!$B$11*U1104</f>
        <v/>
      </c>
      <c r="P1104">
        <f>IF(B1123=0,0,O1104/B1123)</f>
        <v/>
      </c>
      <c r="Q1104">
        <f>IFERROR(1/(IF(Inputs!$B$38="pvp",15,MAX(0.1,Skills!E22-IF(Skills!F22=TRUE,Inputs!$B$32,0)))*(1-IF(AND(ArtifactsInput!$M$27,Inputs!$B$4="Chapter Hunt"),CHOOSE(ArtifactsInput!$N$27+1,20,24,28,32,36,40),0)/100)),0)</f>
        <v/>
      </c>
      <c r="R1104" t="n">
        <v>0</v>
      </c>
      <c r="S1104" t="n">
        <v>0</v>
      </c>
      <c r="U1104" t="n">
        <v>0</v>
      </c>
    </row>
    <row r="1105">
      <c r="A1105">
        <f>Skills!A23</f>
        <v/>
      </c>
      <c r="B1105">
        <f>Skills!B23</f>
        <v/>
      </c>
      <c r="C1105">
        <f>TRUE</f>
        <v/>
      </c>
      <c r="D1105">
        <f>IF(Skills!C23=1,60+Inputs!$B$25+Inputs!$B$29,IF(Skills!C23=2,90+Inputs!$B$26+Inputs!$B$29,IF(Skills!C23=3,120+Inputs!$B$27+Inputs!$B$29,MAX(0,(Inputs!$B$3-100)*3)+Inputs!$B$28+Inputs!$B$29)))</f>
        <v/>
      </c>
      <c r="E1105">
        <f>INDEX(FactorTable!$B$2:$Y$301, MATCH(ROUND(MIN(300,MAX(1,D1105)),0), FactorTable!$A$2:$A$301,0), Skills!M23+1)</f>
        <v/>
      </c>
      <c r="F1105">
        <f>IF(Skills!N23=TRUE,(Skills!L23/10)*(E1105/1000),Skills!L23/10)+Skills!O23</f>
        <v/>
      </c>
      <c r="G1105">
        <f>Calc!G23</f>
        <v/>
      </c>
      <c r="H1105">
        <f>Calc!H23</f>
        <v/>
      </c>
      <c r="I1105">
        <f>IF(Skills!X23&lt;&gt;"",1+(Skills!X23/10)*(Z1085/1000)/100,1)</f>
        <v/>
      </c>
      <c r="J1105" t="inlineStr"/>
      <c r="K1105" t="inlineStr"/>
      <c r="L1105" t="inlineStr"/>
      <c r="M1105" t="inlineStr"/>
      <c r="N1105" t="inlineStr"/>
      <c r="O1105">
        <f>(1-Summary!$B$11)*S1105+Summary!$B$11*U1105</f>
        <v/>
      </c>
      <c r="P1105">
        <f>IF(B1123=0,0,O1105/B1123)</f>
        <v/>
      </c>
      <c r="Q1105">
        <f>IFERROR(1/(IF(Inputs!$B$38="pvp",15,MAX(0.1,Skills!E23-IF(Skills!F23=TRUE,Inputs!$B$32,0)))*(1-IF(AND(ArtifactsInput!$M$27,Inputs!$B$4="Chapter Hunt"),CHOOSE(ArtifactsInput!$N$27+1,20,24,28,32,36,40),0)/100)),0)</f>
        <v/>
      </c>
      <c r="R1105" t="n">
        <v>0</v>
      </c>
      <c r="S1105" t="n">
        <v>0</v>
      </c>
      <c r="U1105" t="n">
        <v>0</v>
      </c>
    </row>
    <row r="1106">
      <c r="A1106">
        <f>Skills!A24</f>
        <v/>
      </c>
      <c r="B1106">
        <f>Skills!B24</f>
        <v/>
      </c>
      <c r="C1106">
        <f>Inputs!$B$3&gt;=115</f>
        <v/>
      </c>
      <c r="D1106">
        <f>IF(Skills!C24=1,60+Inputs!$B$25+Inputs!$B$29,IF(Skills!C24=2,90+Inputs!$B$26+Inputs!$B$29,IF(Skills!C24=3,120+Inputs!$B$27+Inputs!$B$29,MAX(0,(Inputs!$B$3-100)*3)+Inputs!$B$28+Inputs!$B$29)))</f>
        <v/>
      </c>
      <c r="E1106">
        <f>INDEX(FactorTable!$B$2:$Y$301, MATCH(ROUND(MIN(300,MAX(1,D1106)),0), FactorTable!$A$2:$A$301,0), Skills!M24+1)</f>
        <v/>
      </c>
      <c r="F1106">
        <f>IF(Skills!N24=TRUE,(Skills!L24/10)*(E1106/1000),Skills!L24/10)+Skills!O24</f>
        <v/>
      </c>
      <c r="G1106">
        <f>Calc!G24</f>
        <v/>
      </c>
      <c r="H1106">
        <f>Calc!H24</f>
        <v/>
      </c>
      <c r="I1106">
        <f>IF(Skills!X24&lt;&gt;"",1+(Skills!X24/10)*(Z1085/1000)/100,1)</f>
        <v/>
      </c>
      <c r="J1106">
        <f>((Inputs!$B$6*(1+Inputs!$B$7/100))+(((Inputs!$B$12*(1+Inputs!$B$13/100))-(Inputs!$B$12*(1+Inputs!$B$13/100)))+0.25*(Inputs!$B$14-Inputs!$B$14))*(1+Inputs!$B$7/100))*(F1106/100)</f>
        <v/>
      </c>
      <c r="K1106">
        <f>J1106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1106)</f>
        <v/>
      </c>
      <c r="L1106">
        <f>K1106*(MIN(Inputs!$B$22+(F1104-Calc!F22),(Inputs!$B$23+(IF(ArtifactsInput!$M$15,CHOOSE(ArtifactsInput!$N$15+1,25,30,35,40,45,50)/100*(Inputs!$B$11-Inputs!$B$11),0))))/100+(Inputs!$B$23+(IF(ArtifactsInput!$M$15,CHOOSE(ArtifactsInput!$N$15+1,25,30,35,40,45,50)/100*(Inputs!$B$11-Inputs!$B$11),0)))/100)/2</f>
        <v/>
      </c>
      <c r="M1106">
        <f>L1106*(1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6">
        <f>L1106*(1-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1106*(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6">
        <f>(1-Summary!$B$11)*S1106+Summary!$B$11*U1106</f>
        <v/>
      </c>
      <c r="P1106">
        <f>IF(B1123=0,0,O1106/B1123)</f>
        <v/>
      </c>
      <c r="Q1106">
        <f>IFERROR(1/(IF(Inputs!$B$38="pvp",15,MAX(0.1,Skills!E24-IF(Skills!F24=TRUE,Inputs!$B$32,0)))*(1-IF(AND(ArtifactsInput!$M$27,Inputs!$B$4="Chapter Hunt"),CHOOSE(ArtifactsInput!$N$27+1,20,24,28,32,36,40),0)/100)),0)</f>
        <v/>
      </c>
      <c r="R1106">
        <f>IF(AND(Inputs!$B$38&lt;&gt;"pvp",Inputs!$B$43&gt;0),IF(MAX(0,Inputs!$B$43-B1120)&lt;=0,0,(INT(MAX(0,Inputs!$B$43-B1120)/(IF(Inputs!$B$38="pvp",15,MAX(0.1,Skills!E24-IF(Skills!F24=TRUE,Inputs!$B$32,0)))*(1-IF(AND(ArtifactsInput!$M$27,Inputs!$B$4="Chapter Hunt"),CHOOSE(ArtifactsInput!$N$27+1,20,24,28,32,36,40),0)/100)))+1)),0)</f>
        <v/>
      </c>
      <c r="S1106">
        <f>IF(C1106,(H1106*N1106*IF(AND(Inputs!$B$38&lt;&gt;"pvp",Inputs!$B$43&gt;0),((Skills!G24*((R1106-1)*IF(Skills!H24&gt;0,Skills!I24/Skills!H24,1)+IF(Skills!H24&gt;0,MIN(Skills!I24,MAX(0,MAX(0,Inputs!$B$43-B1120)-((R1106-1)*(IF(Inputs!$B$38="pvp",15,MAX(0.1,Skills!E24-IF(Skills!F24=TRUE,Inputs!$B$32,0)))*(1-IF(AND(ArtifactsInput!$M$27,Inputs!$B$4="Chapter Hunt"),CHOOSE(ArtifactsInput!$N$27+1,20,24,28,32,36,40),0)/100)))))/Skills!H24,1)))/Inputs!$B$43),G1106*Q1106)*(1+IF(Inputs!$B$3&gt;=130,0.2*(Skills!I16/Skills!E15+IF(Inputs!$B$3&gt;=126,0.05*(B1118+Q1095+(H1096*B1119)/(1+Skills!H14*H1096*B1119)+Q1106)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1106*(1-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1106*(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1106*(1-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1106*(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6">
        <f>IF(C1106,(H1106*N1106*IF(AND(Inputs!$B$38&lt;&gt;"pvp",Inputs!$B$43&gt;0),((Skills!G24*((R1106-1)*IF(Skills!H24&gt;0,Skills!I24/Skills!H24,1)+IF(Skills!H24&gt;0,MIN(Skills!I24,MAX(0,MAX(0,Inputs!$B$43-B1120)-((R1106-1)*(IF(Inputs!$B$38="pvp",15,MAX(0.1,Skills!E24-IF(Skills!F24=TRUE,Inputs!$B$32,0)))*(1-IF(AND(ArtifactsInput!$M$27,Inputs!$B$4="Chapter Hunt"),CHOOSE(ArtifactsInput!$N$27+1,20,24,28,32,36,40),0)/100)))))/Skills!H24,1)))/Inputs!$B$43),G1106*Q1106)*(1+IF(Inputs!$B$3&gt;=130,0.2*(Skills!I16/Skills!E15+IF(Inputs!$B$3&gt;=126,0.05*(B1118+Q1095+(H1096*B1119)/(1+Skills!H14*H1096*B1119)+Q1106)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7">
      <c r="A1107">
        <f>Skills!A25</f>
        <v/>
      </c>
      <c r="B1107">
        <f>Skills!B25</f>
        <v/>
      </c>
      <c r="C1107">
        <f>Inputs!$B$3&gt;=117</f>
        <v/>
      </c>
      <c r="D1107">
        <f>IF(Skills!C25=1,60+Inputs!$B$25+Inputs!$B$29,IF(Skills!C25=2,90+Inputs!$B$26+Inputs!$B$29,IF(Skills!C25=3,120+Inputs!$B$27+Inputs!$B$29,MAX(0,(Inputs!$B$3-100)*3)+Inputs!$B$28+Inputs!$B$29)))</f>
        <v/>
      </c>
      <c r="E1107">
        <f>INDEX(FactorTable!$B$2:$Y$301, MATCH(ROUND(MIN(300,MAX(1,D1107)),0), FactorTable!$A$2:$A$301,0), Skills!M25+1)</f>
        <v/>
      </c>
      <c r="F1107">
        <f>IF(Skills!N25=TRUE,(Skills!L25/10)*(E1107/1000),Skills!L25/10)+Skills!O25</f>
        <v/>
      </c>
      <c r="G1107">
        <f>Calc!G25</f>
        <v/>
      </c>
      <c r="H1107">
        <f>Calc!H25</f>
        <v/>
      </c>
      <c r="I1107">
        <f>IF(Skills!X25&lt;&gt;"",1+(Skills!X25/10)*(Z1085/1000)/100,1)</f>
        <v/>
      </c>
      <c r="J1107" t="inlineStr"/>
      <c r="K1107" t="inlineStr"/>
      <c r="L1107" t="inlineStr"/>
      <c r="M1107" t="inlineStr"/>
      <c r="N1107" t="inlineStr"/>
      <c r="O1107">
        <f>(1-Summary!$B$11)*S1107+Summary!$B$11*U1107</f>
        <v/>
      </c>
      <c r="P1107">
        <f>IF(B1123=0,0,O1107/B1123)</f>
        <v/>
      </c>
      <c r="Q1107">
        <f>IFERROR(1/(IF(Inputs!$B$38="pvp",15,MAX(0.1,Skills!E25-IF(Skills!F25=TRUE,Inputs!$B$32,0)))*(1-IF(AND(ArtifactsInput!$M$27,Inputs!$B$4="Chapter Hunt"),CHOOSE(ArtifactsInput!$N$27+1,20,24,28,32,36,40),0)/100)),0)</f>
        <v/>
      </c>
      <c r="R1107" t="n">
        <v>0</v>
      </c>
      <c r="S1107" t="n">
        <v>0</v>
      </c>
      <c r="U1107" t="n">
        <v>0</v>
      </c>
    </row>
    <row r="1108">
      <c r="A1108">
        <f>Skills!A26</f>
        <v/>
      </c>
      <c r="B1108">
        <f>Skills!B26</f>
        <v/>
      </c>
      <c r="C1108">
        <f>Inputs!$B$3&gt;=120</f>
        <v/>
      </c>
      <c r="D1108">
        <f>IF(Skills!C26=1,60+Inputs!$B$25+Inputs!$B$29,IF(Skills!C26=2,90+Inputs!$B$26+Inputs!$B$29,IF(Skills!C26=3,120+Inputs!$B$27+Inputs!$B$29,MAX(0,(Inputs!$B$3-100)*3)+Inputs!$B$28+Inputs!$B$29)))</f>
        <v/>
      </c>
      <c r="E1108">
        <f>INDEX(FactorTable!$B$2:$Y$301, MATCH(ROUND(MIN(300,MAX(1,D1108)),0), FactorTable!$A$2:$A$301,0), Skills!M26+1)</f>
        <v/>
      </c>
      <c r="F1108">
        <f>IF(Skills!N26=TRUE,(Skills!L26/10)*(E1108/1000),Skills!L26/10)+Skills!O26</f>
        <v/>
      </c>
      <c r="G1108">
        <f>Calc!G26</f>
        <v/>
      </c>
      <c r="H1108">
        <f>Calc!H26</f>
        <v/>
      </c>
      <c r="I1108">
        <f>IF(Skills!X26&lt;&gt;"",1+(Skills!X26/10)*(Z1085/1000)/100,1)</f>
        <v/>
      </c>
      <c r="J1108" t="inlineStr"/>
      <c r="K1108" t="inlineStr"/>
      <c r="L1108" t="inlineStr"/>
      <c r="M1108" t="inlineStr"/>
      <c r="N1108" t="inlineStr"/>
      <c r="O1108">
        <f>(1-Summary!$B$11)*S1108+Summary!$B$11*U1108</f>
        <v/>
      </c>
      <c r="P1108">
        <f>IF(B1123=0,0,O1108/B1123)</f>
        <v/>
      </c>
      <c r="Q1108">
        <f>IFERROR(1/(IF(Inputs!$B$38="pvp",15,MAX(0.1,Skills!E26-IF(Skills!F26=TRUE,Inputs!$B$32,0)))*(1-IF(AND(ArtifactsInput!$M$27,Inputs!$B$4="Chapter Hunt"),CHOOSE(ArtifactsInput!$N$27+1,20,24,28,32,36,40),0)/100)),0)</f>
        <v/>
      </c>
      <c r="R1108" t="n">
        <v>0</v>
      </c>
      <c r="S1108" t="n">
        <v>0</v>
      </c>
      <c r="U1108" t="n">
        <v>0</v>
      </c>
    </row>
    <row r="1109">
      <c r="A1109">
        <f>Skills!A27</f>
        <v/>
      </c>
      <c r="B1109">
        <f>Skills!B27</f>
        <v/>
      </c>
      <c r="C1109">
        <f>Inputs!$B$3&gt;=125</f>
        <v/>
      </c>
      <c r="D1109">
        <f>IF(Skills!C27=1,60+Inputs!$B$25+Inputs!$B$29,IF(Skills!C27=2,90+Inputs!$B$26+Inputs!$B$29,IF(Skills!C27=3,120+Inputs!$B$27+Inputs!$B$29,MAX(0,(Inputs!$B$3-100)*3)+Inputs!$B$28+Inputs!$B$29)))</f>
        <v/>
      </c>
      <c r="E1109">
        <f>INDEX(FactorTable!$B$2:$Y$301, MATCH(ROUND(MIN(300,MAX(1,D1109)),0), FactorTable!$A$2:$A$301,0), Skills!M27+1)</f>
        <v/>
      </c>
      <c r="F1109">
        <f>IF(Skills!N27=TRUE,(Skills!L27/10)*(E1109/1000),Skills!L27/10)+Skills!O27</f>
        <v/>
      </c>
      <c r="G1109">
        <f>Calc!G27</f>
        <v/>
      </c>
      <c r="H1109">
        <f>Calc!H27</f>
        <v/>
      </c>
      <c r="I1109">
        <f>IF(Skills!X27&lt;&gt;"",1+(Skills!X27/10)*(Z1085/1000)/100,1)</f>
        <v/>
      </c>
      <c r="J1109" t="inlineStr"/>
      <c r="K1109" t="inlineStr"/>
      <c r="L1109" t="inlineStr"/>
      <c r="M1109" t="inlineStr"/>
      <c r="N1109" t="inlineStr"/>
      <c r="O1109">
        <f>(1-Summary!$B$11)*S1109+Summary!$B$11*U1109</f>
        <v/>
      </c>
      <c r="P1109">
        <f>IF(B1123=0,0,O1109/B1123)</f>
        <v/>
      </c>
      <c r="Q1109">
        <f>IFERROR(1/(IF(Inputs!$B$38="pvp",15,MAX(0.1,Skills!E27-IF(Skills!F27=TRUE,Inputs!$B$32,0)))*(1-IF(AND(ArtifactsInput!$M$27,Inputs!$B$4="Chapter Hunt"),CHOOSE(ArtifactsInput!$N$27+1,20,24,28,32,36,40),0)/100)),0)</f>
        <v/>
      </c>
      <c r="R1109" t="n">
        <v>0</v>
      </c>
      <c r="S1109" t="n">
        <v>0</v>
      </c>
      <c r="U1109" t="n">
        <v>0</v>
      </c>
    </row>
    <row r="1110">
      <c r="A1110">
        <f>Skills!A28</f>
        <v/>
      </c>
      <c r="B1110">
        <f>Skills!B28</f>
        <v/>
      </c>
      <c r="C1110">
        <f>Inputs!$B$3&gt;=118</f>
        <v/>
      </c>
      <c r="D1110">
        <f>IF(Skills!C28=1,60+Inputs!$B$25+Inputs!$B$29,IF(Skills!C28=2,90+Inputs!$B$26+Inputs!$B$29,IF(Skills!C28=3,120+Inputs!$B$27+Inputs!$B$29,MAX(0,(Inputs!$B$3-100)*3)+Inputs!$B$28+Inputs!$B$29)))</f>
        <v/>
      </c>
      <c r="E1110">
        <f>INDEX(FactorTable!$B$2:$Y$301, MATCH(ROUND(MIN(300,MAX(1,D1110)),0), FactorTable!$A$2:$A$301,0), Skills!M28+1)</f>
        <v/>
      </c>
      <c r="F1110">
        <f>IF(Skills!N28=TRUE,(Skills!L28/10)*(E1110/1000),Skills!L28/10)+Skills!O28</f>
        <v/>
      </c>
      <c r="G1110">
        <f>Calc!G28</f>
        <v/>
      </c>
      <c r="H1110">
        <f>Calc!H28</f>
        <v/>
      </c>
      <c r="I1110">
        <f>IF(Skills!X28&lt;&gt;"",1+(Skills!X28/10)*(Z1085/1000)/100,1)</f>
        <v/>
      </c>
      <c r="J1110">
        <f>((Inputs!$B$6*(1+Inputs!$B$7/100))+(((Inputs!$B$12*(1+Inputs!$B$13/100))-(Inputs!$B$12*(1+Inputs!$B$13/100)))+0.25*(Inputs!$B$14-Inputs!$B$14))*(1+Inputs!$B$7/100))*(F1110/100)</f>
        <v/>
      </c>
      <c r="K1110">
        <f>J1110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1105/100)*(1+IF(Inputs!$B$3&gt;=120,F1108,0)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1109*5,0)))/100)*(B1112*B1113*B1114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1110)</f>
        <v/>
      </c>
      <c r="L1110">
        <f>K1110*(MIN(Inputs!$B$22+(F1104-Calc!F22),(Inputs!$B$23+(IF(ArtifactsInput!$M$15,CHOOSE(ArtifactsInput!$N$15+1,25,30,35,40,45,50)/100*(Inputs!$B$11-Inputs!$B$11),0))))/100+(Inputs!$B$23+(IF(ArtifactsInput!$M$15,CHOOSE(ArtifactsInput!$N$15+1,25,30,35,40,45,50)/100*(Inputs!$B$11-Inputs!$B$11),0)))/100)/2</f>
        <v/>
      </c>
      <c r="M1110">
        <f>L1110*(1+(Inputs!$B$10+(F1103-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0">
        <f>L1110*(1-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1110*(MIN((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0">
        <f>(1-Summary!$B$11)*S1110+Summary!$B$11*U1110</f>
        <v/>
      </c>
      <c r="P1110">
        <f>IF(B1123=0,0,O1110/B1123)</f>
        <v/>
      </c>
      <c r="Q1110">
        <f>IFERROR(1/(IF(Inputs!$B$38="pvp",15,MAX(0.1,Skills!E28-IF(Skills!F28=TRUE,Inputs!$B$32,0)))*(1-IF(AND(ArtifactsInput!$M$27,Inputs!$B$4="Chapter Hunt"),CHOOSE(ArtifactsInput!$N$27+1,20,24,28,32,36,40),0)/100)),0)</f>
        <v/>
      </c>
      <c r="R1110">
        <f>IF(AND(Inputs!$B$38&lt;&gt;"pvp",Inputs!$B$43&gt;0),IF(MAX(0,Inputs!$B$43-B1120)&lt;=0,0,(INT(MAX(0,Inputs!$B$43-B1120)/(IF(Inputs!$B$38="pvp",15,MAX(0.1,Skills!E28-IF(Skills!F28=TRUE,Inputs!$B$32,0)))*(1-IF(AND(ArtifactsInput!$M$27,Inputs!$B$4="Chapter Hunt"),CHOOSE(ArtifactsInput!$N$27+1,20,24,28,32,36,40),0)/100)))+1)),0)</f>
        <v/>
      </c>
      <c r="S1110">
        <f>IF(C1110,(H1110*N1110*IF(AND(Inputs!$B$38&lt;&gt;"pvp",Inputs!$B$43&gt;0),((Skills!G28*((R1110-1)*IF(Skills!H28&gt;0,Skills!I28/Skills!H28,1)+IF(Skills!H28&gt;0,MIN(Skills!I28,MAX(0,MAX(0,Inputs!$B$43-B1120)-((R1110-1)*(IF(Inputs!$B$38="pvp",15,MAX(0.1,Skills!E28-IF(Skills!F28=TRUE,Inputs!$B$32,0)))*(1-IF(AND(ArtifactsInput!$M$27,Inputs!$B$4="Chapter Hunt"),CHOOSE(ArtifactsInput!$N$27+1,20,24,28,32,36,40),0)/100)))))/Skills!H28,1)))/Inputs!$B$43),G1110*Q1110)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1110*(1-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1110*(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1110*(1-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1110*(MIN(100,(Inputs!$B$9+(F1102-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10">
        <f>IF(C1110,(H1110*N1110*IF(AND(Inputs!$B$38&lt;&gt;"pvp",Inputs!$B$43&gt;0),((Skills!G28*((R1110-1)*IF(Skills!H28&gt;0,Skills!I28/Skills!H28,1)+IF(Skills!H28&gt;0,MIN(Skills!I28,MAX(0,MAX(0,Inputs!$B$43-B1120)-((R1110-1)*(IF(Inputs!$B$38="pvp",15,MAX(0.1,Skills!E28-IF(Skills!F28=TRUE,Inputs!$B$32,0)))*(1-IF(AND(ArtifactsInput!$M$27,Inputs!$B$4="Chapter Hunt"),CHOOSE(ArtifactsInput!$N$27+1,20,24,28,32,36,40),0)/100)))))/Skills!H28,1)))/Inputs!$B$43),G1110*Q1110)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2">
      <c r="A1112" t="inlineStr">
        <is>
          <t>Burning Magic Multiplier</t>
        </is>
      </c>
      <c r="B1112">
        <f>1+(F1093*Skills!Z11)/100</f>
        <v/>
      </c>
    </row>
    <row r="1113">
      <c r="A1113" t="inlineStr">
        <is>
          <t>Elemental Decrease Multiplier (always-on)</t>
        </is>
      </c>
      <c r="B1113">
        <f>1+(F1094+(IF(AND(ArtifactsInput!$M$35,Inputs!$B$4&lt;&gt;"Chapter Hunt"),CHOOSE(ArtifactsInput!$N$35+1,15,18,21,24,27,30)*(1-EXP(-(0.2*B1116)*5)),0)+IF(AND(ArtifactsInput!$M$22,Inputs!$B$4&lt;&gt;"Chapter Hunt"),CHOOSE(ArtifactsInput!$N$22+1,10,12,14,16,18,20)*((0*(((0.15*B1116*5))^0/1)+1*(((0.15*B1116*5))^1/1)+2*(((0.15*B1116*5))^2/2)+3*(((0.15*B1116*5))^3/6)+4*(((0.15*B1116*5))^4/24)+5*(((0.15*B1116*5))^5/120))/((((0.15*B1116*5))^0/1)+(((0.15*B1116*5))^1/1)+(((0.15*B1116*5))^2/2)+(((0.15*B1116*5))^3/6)+(((0.15*B1116*5))^4/24)+(((0.15*B1116*5))^5/120))),0)))/100</f>
        <v/>
      </c>
    </row>
    <row r="1114">
      <c r="A1114" t="inlineStr">
        <is>
          <t>Average Buff Multiplier (Magic Guard + Meditation + Artifact Attack%, summed; then Infinity)</t>
        </is>
      </c>
      <c r="B1114">
        <f>(1+(F1088*IF(AND(Inputs!$B$38&lt;&gt;"pvp",Inputs!$B$43&gt;0),(((R1088-1)*(Skills!T6*(1+((Inputs!$B$34+(ArtifactsInput!$M$7-ArtifactsInput!$M$7)*CHOOSE(ArtifactsInput!$N$7+1,6,7.2,8.4,9.6,10.8,12)))/100))+MIN((Skills!T6*(1+((Inputs!$B$34+(ArtifactsInput!$M$7-ArtifactsInput!$M$7)*CHOOSE(ArtifactsInput!$N$7+1,6,7.2,8.4,9.6,10.8,12)))/100)),MAX(0,Inputs!$B$43-((R1088-1)*Skills!E6))))/Inputs!$B$43),IF(Inputs!$B$38="pvp",MIN((Skills!T6*(1+((Inputs!$B$34+(ArtifactsInput!$M$7-ArtifactsInput!$M$7)*CHOOSE(ArtifactsInput!$N$7+1,6,7.2,8.4,9.6,10.8,12)))/100)),15)/15,(Skills!T6*(1+((Inputs!$B$34+(ArtifactsInput!$M$7-ArtifactsInput!$M$7)*CHOOSE(ArtifactsInput!$N$7+1,6,7.2,8.4,9.6,10.8,12)))/100))/Skills!E6))+F1099*IF(AND(Inputs!$B$38&lt;&gt;"pvp",Inputs!$B$43&gt;0),(((R1099-1)*(Skills!T17*(1+((Inputs!$B$34+(ArtifactsInput!$M$7-ArtifactsInput!$M$7)*CHOOSE(ArtifactsInput!$N$7+1,6,7.2,8.4,9.6,10.8,12)))/100))+MIN((Skills!T17*(1+((Inputs!$B$34+(ArtifactsInput!$M$7-ArtifactsInput!$M$7)*CHOOSE(ArtifactsInput!$N$7+1,6,7.2,8.4,9.6,10.8,12)))/100)),MAX(0,Inputs!$B$43-((R1099-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1101=TRUE,(1+F1101*IF(AND(Inputs!$B$38&lt;&gt;"pvp",Inputs!$B$43&gt;0),(((R1101-1)*(Skills!T19*(1+((Inputs!$B$34+(ArtifactsInput!$M$7-ArtifactsInput!$M$7)*CHOOSE(ArtifactsInput!$N$7+1,6,7.2,8.4,9.6,10.8,12)))/100))+MIN((Skills!T19*(1+((Inputs!$B$34+(ArtifactsInput!$M$7-ArtifactsInput!$M$7)*CHOOSE(ArtifactsInput!$N$7+1,6,7.2,8.4,9.6,10.8,12)))/100)),MAX(0,Inputs!$B$43-((R1101-1)*Skills!E19))))/Inputs!$B$43),IF(Inputs!$B$38="pvp",MIN((Skills!T19*(1+((Inputs!$B$34+(ArtifactsInput!$M$7-ArtifactsInput!$M$7)*CHOOSE(ArtifactsInput!$N$7+1,6,7.2,8.4,9.6,10.8,12)))/100)),15)/15,(Skills!T19*(1+((Inputs!$B$34+(ArtifactsInput!$M$7-ArtifactsInput!$M$7)*CHOOSE(ArtifactsInput!$N$7+1,6,7.2,8.4,9.6,10.8,12)))/100))/Skills!E19))/100),1)</f>
        <v/>
      </c>
    </row>
    <row r="1115">
      <c r="A1115" t="inlineStr">
        <is>
          <t>Attack Speed Buff Bonus % (Nimble Feet, averaged)</t>
        </is>
      </c>
      <c r="B1115">
        <f>F1100*IF(AND(Inputs!$B$38&lt;&gt;"pvp",Inputs!$B$43&gt;0),(((R1100-1)*(Skills!T18*(1+((Inputs!$B$34+(ArtifactsInput!$M$7-ArtifactsInput!$M$7)*CHOOSE(ArtifactsInput!$N$7+1,6,7.2,8.4,9.6,10.8,12)))/100))+MIN((Skills!T18*(1+((Inputs!$B$34+(ArtifactsInput!$M$7-ArtifactsInput!$M$7)*CHOOSE(ArtifactsInput!$N$7+1,6,7.2,8.4,9.6,10.8,12)))/100)),MAX(0,Inputs!$B$43-((R1100-1)*Skills!E18))))/Inputs!$B$43),IF(Inputs!$B$38="pvp",MIN((Skills!T18*(1+((Inputs!$B$34+(ArtifactsInput!$M$7-ArtifactsInput!$M$7)*CHOOSE(ArtifactsInput!$N$7+1,6,7.2,8.4,9.6,10.8,12)))/100)),15)/15,(Skills!T18*(1+((Inputs!$B$34+(ArtifactsInput!$M$7-ArtifactsInput!$M$7)*CHOOSE(ArtifactsInput!$N$7+1,6,7.2,8.4,9.6,10.8,12)))/100))/Skills!E18))</f>
        <v/>
      </c>
    </row>
    <row r="1116">
      <c r="A1116" t="inlineStr">
        <is>
          <t>Actions Per Second</t>
        </is>
      </c>
      <c r="B1116">
        <f>1+MIN(150,150*(1-(1-(Inputs!$B$11+(ArtifactsInput!$M$15-ArtifactsInput!$M$15)*CHOOSE(ArtifactsInput!$N$15+1,8,9.6,11.2,12.8,14.4,16))/150)*(1-B1115/150)))/100</f>
        <v/>
      </c>
    </row>
    <row r="1117">
      <c r="A1117" t="inlineStr">
        <is>
          <t>Skill + Buff Cast Rate</t>
        </is>
      </c>
      <c r="B1117">
        <f>IF(AND(Inputs!$B$38&lt;&gt;"pvp",Inputs!$B$43&gt;0),SUMPRODUCT((Skills!F2:F28=TRUE)*(C1084:C1110=TRUE)*R1084:R1110)/Inputs!$B$43,SUMPRODUCT((Skills!F2:F28=TRUE)*(C1084:C1110=TRUE)*Q1084:Q1110))</f>
        <v/>
      </c>
    </row>
    <row r="1118">
      <c r="A1118" t="inlineStr">
        <is>
          <t>Basic Attacks Per Second</t>
        </is>
      </c>
      <c r="B1118">
        <f>MAX(0,B1116-B1117)</f>
        <v/>
      </c>
    </row>
    <row r="1119">
      <c r="A1119" t="inlineStr">
        <is>
          <t>Meteor Proc — combined trigger cast rate</t>
        </is>
      </c>
      <c r="B1119">
        <f>IF(AND(Inputs!$B$38&lt;&gt;"pvp",Inputs!$B$43&gt;0),SUMPRODUCT((Skills!V2:V28=TRUE)*(C1084:C1110=TRUE)*R1084:R1110*Skills!W2:W28)/Inputs!$B$43,SUMPRODUCT((Skills!V2:V28=TRUE)*(C1084:C1110=TRUE)*Q1084:Q1110*Skills!W2:W28))+B1118</f>
        <v/>
      </c>
    </row>
    <row r="1120">
      <c r="A1120" t="inlineStr">
        <is>
          <t>Buff-Casting Startup Delay (s, fixed-duration only)</t>
        </is>
      </c>
      <c r="B1120">
        <f>IF(AND(Inputs!$B$38&lt;&gt;"pvp",Inputs!$B$43&gt;0),SUMPRODUCT((Skills!T2:T28&gt;0)*(Skills!F2:F28=TRUE)*(C1084:C1110=TRUE))/B1116,0)</f>
        <v/>
      </c>
    </row>
    <row r="1121">
      <c r="A1121" t="inlineStr">
        <is>
          <t>Boss-Only Total DPS (this block's swept value)</t>
        </is>
      </c>
      <c r="B1121">
        <f>SUM(S1084:S1110)</f>
        <v/>
      </c>
    </row>
    <row r="1122">
      <c r="A1122" t="inlineStr">
        <is>
          <t>Normal-Only Total DPS (this block's swept value)</t>
        </is>
      </c>
      <c r="B1122">
        <f>SUM(U1084:U1110)</f>
        <v/>
      </c>
    </row>
    <row r="1123">
      <c r="A1123" s="6" t="inlineStr">
        <is>
          <t>TOTAL DPS</t>
        </is>
      </c>
      <c r="B1123" s="6">
        <f>SUM(O1084:O1110)</f>
        <v/>
      </c>
    </row>
    <row r="1126">
      <c r="A1126" s="6" t="inlineStr">
        <is>
          <t>Stat: Buff Duration Increase %</t>
        </is>
      </c>
    </row>
    <row r="1127">
      <c r="A1127" s="5" t="inlineStr">
        <is>
          <t>Key</t>
        </is>
      </c>
      <c r="B1127" s="5" t="inlineStr">
        <is>
          <t>Name</t>
        </is>
      </c>
      <c r="C1127" s="5" t="inlineStr">
        <is>
          <t>Unlocked</t>
        </is>
      </c>
      <c r="D1127" s="5" t="inlineStr">
        <is>
          <t>InputLevel</t>
        </is>
      </c>
      <c r="E1127" s="5" t="inlineStr">
        <is>
          <t>Factor</t>
        </is>
      </c>
      <c r="F1127" s="5" t="inlineStr">
        <is>
          <t>CoefficientPercent</t>
        </is>
      </c>
      <c r="G1127" s="5" t="inlineStr">
        <is>
          <t>EffectiveHits</t>
        </is>
      </c>
      <c r="H1127" s="5" t="inlineStr">
        <is>
          <t>ProcProbability</t>
        </is>
      </c>
      <c r="I1127" s="5" t="inlineStr">
        <is>
          <t>MapleHeroMultiplier</t>
        </is>
      </c>
      <c r="J1127" s="5" t="inlineStr">
        <is>
          <t>BaseDamage</t>
        </is>
      </c>
      <c r="K1127" s="5" t="inlineStr">
        <is>
          <t>BaseHitDamage</t>
        </is>
      </c>
      <c r="L1127" s="5" t="inlineStr">
        <is>
          <t>NonCritAvg</t>
        </is>
      </c>
      <c r="M1127" s="5" t="inlineStr">
        <is>
          <t>CritAvg</t>
        </is>
      </c>
      <c r="N1127" s="5" t="inlineStr">
        <is>
          <t>ExpectedDamage(perHit)</t>
        </is>
      </c>
      <c r="O1127" s="5" t="inlineStr">
        <is>
          <t>DPS</t>
        </is>
      </c>
      <c r="P1127" s="5" t="inlineStr">
        <is>
          <t>% of Total</t>
        </is>
      </c>
      <c r="R1127" t="inlineStr">
        <is>
          <t>helpers</t>
        </is>
      </c>
    </row>
    <row r="1128">
      <c r="A1128">
        <f>Skills!A2</f>
        <v/>
      </c>
      <c r="B1128">
        <f>Skills!B2</f>
        <v/>
      </c>
      <c r="C1128">
        <f>TRUE</f>
        <v/>
      </c>
      <c r="D1128" t="inlineStr"/>
      <c r="E1128" t="inlineStr"/>
      <c r="F1128">
        <f>T1130+Skills!O2</f>
        <v/>
      </c>
      <c r="G1128">
        <f>Calc!G2</f>
        <v/>
      </c>
      <c r="H1128">
        <f>Calc!H2</f>
        <v/>
      </c>
      <c r="I1128">
        <f>IF(Skills!X2&lt;&gt;"",1+(Skills!X2/10)*(Z1129/1000)/100,1)</f>
        <v/>
      </c>
      <c r="J1128">
        <f>((Inputs!$B$6*(1+Inputs!$B$7/100))+(((Inputs!$B$12*(1+Inputs!$B$13/100))-(Inputs!$B$12*(1+Inputs!$B$13/100)))+0.25*(Inputs!$B$14-Inputs!$B$14))*(1+Inputs!$B$7/100))*(F1128/100)</f>
        <v/>
      </c>
      <c r="K1128">
        <f>J1128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1128)</f>
        <v/>
      </c>
      <c r="L1128">
        <f>K1128*(MIN(Inputs!$B$22+(F1148-Calc!F22),(Inputs!$B$23+(IF(ArtifactsInput!$M$15,CHOOSE(ArtifactsInput!$N$15+1,25,30,35,40,45,50)/100*(Inputs!$B$11-Inputs!$B$11),0))))/100+(Inputs!$B$23+(IF(ArtifactsInput!$M$15,CHOOSE(ArtifactsInput!$N$15+1,25,30,35,40,45,50)/100*(Inputs!$B$11-Inputs!$B$11),0)))/100)/2</f>
        <v/>
      </c>
      <c r="M1128">
        <f>L1128*(1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8">
        <f>L1128*(1-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1128*(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8">
        <f>(1-Summary!$B$11)*S1128+Summary!$B$11*U1128</f>
        <v/>
      </c>
      <c r="P1128">
        <f>IF(B1167=0,0,O1128/B1167)</f>
        <v/>
      </c>
      <c r="Q1128">
        <f>IFERROR(1/(IF(Inputs!$B$38="pvp",15,MAX(0.1,Skills!E2-IF(Skills!F2=TRUE,Inputs!$B$32,0)))*(1-IF(AND(ArtifactsInput!$M$27,Inputs!$B$4="Chapter Hunt"),CHOOSE(ArtifactsInput!$N$27+1,20,24,28,32,36,40),0)/100)),0)</f>
        <v/>
      </c>
      <c r="R1128" t="n">
        <v>0</v>
      </c>
      <c r="S1128">
        <f>(Skills!G2*N1128*B1162)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1128*(1-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1128*(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1128*(1-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1128*(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128">
        <f>MAX(0,(Inputs!$B$3-100)*3)+Inputs!$B$28+Inputs!$B$29</f>
        <v/>
      </c>
      <c r="U1128">
        <f>(Skills!G2*N1128*B1162)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128">
        <f>MAX(0,(Inputs!$B$3-100)*3)+Inputs!$B$28+Inputs!$B$29</f>
        <v/>
      </c>
    </row>
    <row r="1129">
      <c r="A1129">
        <f>Skills!A3</f>
        <v/>
      </c>
      <c r="B1129">
        <f>Skills!B3</f>
        <v/>
      </c>
      <c r="C1129">
        <f>TRUE</f>
        <v/>
      </c>
      <c r="D1129">
        <f>IF(Skills!C3=1,60+Inputs!$B$25+Inputs!$B$29,IF(Skills!C3=2,90+Inputs!$B$26+Inputs!$B$29,IF(Skills!C3=3,120+Inputs!$B$27+Inputs!$B$29,MAX(0,(Inputs!$B$3-100)*3)+Inputs!$B$28+Inputs!$B$29)))</f>
        <v/>
      </c>
      <c r="E1129">
        <f>INDEX(FactorTable!$B$2:$Y$301, MATCH(ROUND(MIN(300,MAX(1,D1129)),0), FactorTable!$A$2:$A$301,0), Skills!M3+1)</f>
        <v/>
      </c>
      <c r="F1129">
        <f>IF(Skills!N3=TRUE,(Skills!L3/10)*(E1129/1000),Skills!L3/10)+Skills!O3</f>
        <v/>
      </c>
      <c r="G1129">
        <f>Calc!G3</f>
        <v/>
      </c>
      <c r="H1129">
        <f>Calc!H3</f>
        <v/>
      </c>
      <c r="I1129">
        <f>IF(Skills!X3&lt;&gt;"",1+(Skills!X3/10)*(Z1129/1000)/100,1)</f>
        <v/>
      </c>
      <c r="J1129">
        <f>((Inputs!$B$6*(1+Inputs!$B$7/100))+(((Inputs!$B$12*(1+Inputs!$B$13/100))-(Inputs!$B$12*(1+Inputs!$B$13/100)))+0.25*(Inputs!$B$14-Inputs!$B$14))*(1+Inputs!$B$7/100))*(F1129/100)</f>
        <v/>
      </c>
      <c r="K1129">
        <f>J1129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1129)</f>
        <v/>
      </c>
      <c r="L1129">
        <f>K1129*(MIN(Inputs!$B$22+(F1148-Calc!F22),(Inputs!$B$23+(IF(ArtifactsInput!$M$15,CHOOSE(ArtifactsInput!$N$15+1,25,30,35,40,45,50)/100*(Inputs!$B$11-Inputs!$B$11),0))))/100+(Inputs!$B$23+(IF(ArtifactsInput!$M$15,CHOOSE(ArtifactsInput!$N$15+1,25,30,35,40,45,50)/100*(Inputs!$B$11-Inputs!$B$11),0)))/100)/2</f>
        <v/>
      </c>
      <c r="M1129">
        <f>L1129*(1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9">
        <f>L1129*(1-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1129*(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9">
        <f>(1-Summary!$B$11)*S1129+Summary!$B$11*U1129</f>
        <v/>
      </c>
      <c r="P1129">
        <f>IF(B1167=0,0,O1129/B1167)</f>
        <v/>
      </c>
      <c r="Q1129">
        <f>IFERROR(1/(IF(Inputs!$B$38="pvp",15,MAX(0.1,Skills!E3-IF(Skills!F3=TRUE,Inputs!$B$32,0)))*(1-IF(AND(ArtifactsInput!$M$27,Inputs!$B$4="Chapter Hunt"),CHOOSE(ArtifactsInput!$N$27+1,20,24,28,32,36,40),0)/100)),0)</f>
        <v/>
      </c>
      <c r="R1129">
        <f>IF(AND(Inputs!$B$38&lt;&gt;"pvp",Inputs!$B$43&gt;0),IF(MAX(0,Inputs!$B$43-B1164)&lt;=0,0,(INT(MAX(0,Inputs!$B$43-B1164)/(IF(Inputs!$B$38="pvp",15,MAX(0.1,Skills!E3-IF(Skills!F3=TRUE,Inputs!$B$32,0)))*(1-IF(AND(ArtifactsInput!$M$27,Inputs!$B$4="Chapter Hunt"),CHOOSE(ArtifactsInput!$N$27+1,20,24,28,32,36,40),0)/100)))+1)),0)</f>
        <v/>
      </c>
      <c r="S1129">
        <f>IF(C1129,(H1129*N1129*IF(AND(Inputs!$B$38&lt;&gt;"pvp",Inputs!$B$43&gt;0),((Skills!G3*((R1129-1)*IF(Skills!H3&gt;0,Skills!I3/Skills!H3,1)+IF(Skills!H3&gt;0,MIN(Skills!I3,MAX(0,MAX(0,Inputs!$B$43-B1164)-((R1129-1)*(IF(Inputs!$B$38="pvp",15,MAX(0.1,Skills!E3-IF(Skills!F3=TRUE,Inputs!$B$32,0)))*(1-IF(AND(ArtifactsInput!$M$27,Inputs!$B$4="Chapter Hunt"),CHOOSE(ArtifactsInput!$N$27+1,20,24,28,32,36,40),0)/100)))))/Skills!H3,1)))/Inputs!$B$43),G1129*Q1129)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1129*(1-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1129*(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1129*(1-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1129*(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29">
        <f>INDEX(FactorTable!$B$2:$Y$301, MATCH(ROUND(MIN(300,MAX(1,T1128)),0), FactorTable!$A$2:$A$301,0), 22)</f>
        <v/>
      </c>
      <c r="U1129">
        <f>IF(C1129,(H1129*N1129*IF(AND(Inputs!$B$38&lt;&gt;"pvp",Inputs!$B$43&gt;0),((Skills!G3*((R1129-1)*IF(Skills!H3&gt;0,Skills!I3/Skills!H3,1)+IF(Skills!H3&gt;0,MIN(Skills!I3,MAX(0,MAX(0,Inputs!$B$43-B1164)-((R1129-1)*(IF(Inputs!$B$38="pvp",15,MAX(0.1,Skills!E3-IF(Skills!F3=TRUE,Inputs!$B$32,0)))*(1-IF(AND(ArtifactsInput!$M$27,Inputs!$B$4="Chapter Hunt"),CHOOSE(ArtifactsInput!$N$27+1,20,24,28,32,36,40),0)/100)))))/Skills!H3,1)))/Inputs!$B$43),G1129*Q1129)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129">
        <f>INDEX(FactorTable!$B$2:$Y$301, MATCH(ROUND(MIN(300,MAX(1,Z1128)),0), FactorTable!$A$2:$A$301,0), 24)</f>
        <v/>
      </c>
    </row>
    <row r="1130">
      <c r="A1130">
        <f>Skills!A4</f>
        <v/>
      </c>
      <c r="B1130">
        <f>Skills!B4</f>
        <v/>
      </c>
      <c r="C1130">
        <f>TRUE</f>
        <v/>
      </c>
      <c r="D1130">
        <f>IF(Skills!C4=1,60+Inputs!$B$25+Inputs!$B$29,IF(Skills!C4=2,90+Inputs!$B$26+Inputs!$B$29,IF(Skills!C4=3,120+Inputs!$B$27+Inputs!$B$29,MAX(0,(Inputs!$B$3-100)*3)+Inputs!$B$28+Inputs!$B$29)))</f>
        <v/>
      </c>
      <c r="E1130">
        <f>INDEX(FactorTable!$B$2:$Y$301, MATCH(ROUND(MIN(300,MAX(1,D1130)),0), FactorTable!$A$2:$A$301,0), Skills!M4+1)</f>
        <v/>
      </c>
      <c r="F1130">
        <f>IF(Skills!N4=TRUE,(Skills!L4/10)*(E1130/1000),Skills!L4/10)+Skills!O4</f>
        <v/>
      </c>
      <c r="G1130">
        <f>Calc!G4</f>
        <v/>
      </c>
      <c r="H1130">
        <f>Calc!H4</f>
        <v/>
      </c>
      <c r="I1130">
        <f>IF(Skills!X4&lt;&gt;"",1+(Skills!X4/10)*(Z1129/1000)/100,1)</f>
        <v/>
      </c>
      <c r="J1130">
        <f>((Inputs!$B$6*(1+Inputs!$B$7/100))+(((Inputs!$B$12*(1+Inputs!$B$13/100))-(Inputs!$B$12*(1+Inputs!$B$13/100)))+0.25*(Inputs!$B$14-Inputs!$B$14))*(1+Inputs!$B$7/100))*(F1130/100)</f>
        <v/>
      </c>
      <c r="K1130">
        <f>J1130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1130)</f>
        <v/>
      </c>
      <c r="L1130">
        <f>K1130*(MIN(Inputs!$B$22+(F1148-Calc!F22),(Inputs!$B$23+(IF(ArtifactsInput!$M$15,CHOOSE(ArtifactsInput!$N$15+1,25,30,35,40,45,50)/100*(Inputs!$B$11-Inputs!$B$11),0))))/100+(Inputs!$B$23+(IF(ArtifactsInput!$M$15,CHOOSE(ArtifactsInput!$N$15+1,25,30,35,40,45,50)/100*(Inputs!$B$11-Inputs!$B$11),0)))/100)/2</f>
        <v/>
      </c>
      <c r="M1130">
        <f>L1130*(1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0">
        <f>L1130*(1-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1130*(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0">
        <f>(1-Summary!$B$11)*S1130+Summary!$B$11*U1130</f>
        <v/>
      </c>
      <c r="P1130">
        <f>IF(B1167=0,0,O1130/B1167)</f>
        <v/>
      </c>
      <c r="Q1130">
        <f>IFERROR(1/(IF(Inputs!$B$38="pvp",15,MAX(0.1,Skills!E4-IF(Skills!F4=TRUE,Inputs!$B$32,0)))*(1-IF(AND(ArtifactsInput!$M$27,Inputs!$B$4="Chapter Hunt"),CHOOSE(ArtifactsInput!$N$27+1,20,24,28,32,36,40),0)/100)),0)</f>
        <v/>
      </c>
      <c r="R1130">
        <f>IF(AND(Inputs!$B$38&lt;&gt;"pvp",Inputs!$B$43&gt;0),IF(MAX(0,Inputs!$B$43-B1164)&lt;=0,0,(INT(MAX(0,Inputs!$B$43-B1164)/(IF(Inputs!$B$38="pvp",15,MAX(0.1,Skills!E4-IF(Skills!F4=TRUE,Inputs!$B$32,0)))*(1-IF(AND(ArtifactsInput!$M$27,Inputs!$B$4="Chapter Hunt"),CHOOSE(ArtifactsInput!$N$27+1,20,24,28,32,36,40),0)/100)))+1)),0)</f>
        <v/>
      </c>
      <c r="S1130">
        <f>IF(C1130,(H1130*N1130*IF(AND(Inputs!$B$38&lt;&gt;"pvp",Inputs!$B$43&gt;0),((Skills!G4*((R1130-1)*IF(Skills!H4&gt;0,Skills!I4/Skills!H4,1)+IF(Skills!H4&gt;0,MIN(Skills!I4,MAX(0,MAX(0,Inputs!$B$43-B1164)-((R1130-1)*(IF(Inputs!$B$38="pvp",15,MAX(0.1,Skills!E4-IF(Skills!F4=TRUE,Inputs!$B$32,0)))*(1-IF(AND(ArtifactsInput!$M$27,Inputs!$B$4="Chapter Hunt"),CHOOSE(ArtifactsInput!$N$27+1,20,24,28,32,36,40),0)/100)))))/Skills!H4,1)))/Inputs!$B$43),G1130*Q1130)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1130*(1-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1130*(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1130*(1-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1130*(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30">
        <f>290*T1129/1000</f>
        <v/>
      </c>
      <c r="U1130">
        <f>IF(C1130,(H1130*N1130*IF(AND(Inputs!$B$38&lt;&gt;"pvp",Inputs!$B$43&gt;0),((Skills!G4*((R1130-1)*IF(Skills!H4&gt;0,Skills!I4/Skills!H4,1)+IF(Skills!H4&gt;0,MIN(Skills!I4,MAX(0,MAX(0,Inputs!$B$43-B1164)-((R1130-1)*(IF(Inputs!$B$38="pvp",15,MAX(0.1,Skills!E4-IF(Skills!F4=TRUE,Inputs!$B$32,0)))*(1-IF(AND(ArtifactsInput!$M$27,Inputs!$B$4="Chapter Hunt"),CHOOSE(ArtifactsInput!$N$27+1,20,24,28,32,36,40),0)/100)))))/Skills!H4,1)))/Inputs!$B$43),G1130*Q1130)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1">
      <c r="A1131">
        <f>Skills!A5</f>
        <v/>
      </c>
      <c r="B1131">
        <f>Skills!B5</f>
        <v/>
      </c>
      <c r="C1131">
        <f>TRUE</f>
        <v/>
      </c>
      <c r="D1131">
        <f>IF(Skills!C5=1,60+Inputs!$B$25+Inputs!$B$29,IF(Skills!C5=2,90+Inputs!$B$26+Inputs!$B$29,IF(Skills!C5=3,120+Inputs!$B$27+Inputs!$B$29,MAX(0,(Inputs!$B$3-100)*3)+Inputs!$B$28+Inputs!$B$29)))</f>
        <v/>
      </c>
      <c r="E1131">
        <f>INDEX(FactorTable!$B$2:$Y$301, MATCH(ROUND(MIN(300,MAX(1,D1131)),0), FactorTable!$A$2:$A$301,0), Skills!M5+1)</f>
        <v/>
      </c>
      <c r="F1131">
        <f>IF(Skills!N5=TRUE,(Skills!L5/10)*(E1131/1000),Skills!L5/10)+Skills!O5</f>
        <v/>
      </c>
      <c r="G1131">
        <f>Calc!G5</f>
        <v/>
      </c>
      <c r="H1131">
        <f>Calc!H5</f>
        <v/>
      </c>
      <c r="I1131">
        <f>IF(Skills!X5&lt;&gt;"",1+(Skills!X5/10)*(Z1129/1000)/100,1)</f>
        <v/>
      </c>
      <c r="J1131">
        <f>((Inputs!$B$6*(1+Inputs!$B$7/100))+(((Inputs!$B$12*(1+Inputs!$B$13/100))-(Inputs!$B$12*(1+Inputs!$B$13/100)))+0.25*(Inputs!$B$14-Inputs!$B$14))*(1+Inputs!$B$7/100))*(F1131/100)</f>
        <v/>
      </c>
      <c r="K1131">
        <f>J1131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1131)</f>
        <v/>
      </c>
      <c r="L1131">
        <f>K1131*(MIN(Inputs!$B$22+(F1148-Calc!F22),(Inputs!$B$23+(IF(ArtifactsInput!$M$15,CHOOSE(ArtifactsInput!$N$15+1,25,30,35,40,45,50)/100*(Inputs!$B$11-Inputs!$B$11),0))))/100+(Inputs!$B$23+(IF(ArtifactsInput!$M$15,CHOOSE(ArtifactsInput!$N$15+1,25,30,35,40,45,50)/100*(Inputs!$B$11-Inputs!$B$11),0)))/100)/2</f>
        <v/>
      </c>
      <c r="M1131">
        <f>L1131*(1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1">
        <f>L1131*(1-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1">
        <f>(1-Summary!$B$11)*S1131+Summary!$B$11*U1131</f>
        <v/>
      </c>
      <c r="P1131">
        <f>IF(B1167=0,0,O1131/B1167)</f>
        <v/>
      </c>
      <c r="Q1131">
        <f>IFERROR(1/(IF(Inputs!$B$38="pvp",15,MAX(0.1,Skills!E5-IF(Skills!F5=TRUE,Inputs!$B$32,0)))*(1-IF(AND(ArtifactsInput!$M$27,Inputs!$B$4="Chapter Hunt"),CHOOSE(ArtifactsInput!$N$27+1,20,24,28,32,36,40),0)/100)),0)</f>
        <v/>
      </c>
      <c r="R1131">
        <f>IF(AND(Inputs!$B$38&lt;&gt;"pvp",Inputs!$B$43&gt;0),IF(MAX(0,Inputs!$B$43-B1164)&lt;=0,0,(INT(MAX(0,Inputs!$B$43-B1164)/(IF(Inputs!$B$38="pvp",15,MAX(0.1,Skills!E5-IF(Skills!F5=TRUE,Inputs!$B$32,0)))*(1-IF(AND(ArtifactsInput!$M$27,Inputs!$B$4="Chapter Hunt"),CHOOSE(ArtifactsInput!$N$27+1,20,24,28,32,36,40),0)/100)))+1)),0)</f>
        <v/>
      </c>
      <c r="S1131">
        <f>IF(C1131,(H1131*N1131*IF(AND(Inputs!$B$38&lt;&gt;"pvp",Inputs!$B$43&gt;0),((Skills!G5*((R1131-1)*IF(Skills!H5&gt;0,Skills!I5/Skills!H5,1)+IF(Skills!H5&gt;0,MIN(Skills!I5,MAX(0,MAX(0,Inputs!$B$43-B1164)-((R1131-1)*(IF(Inputs!$B$38="pvp",15,MAX(0.1,Skills!E5-IF(Skills!F5=TRUE,Inputs!$B$32,0)))*(1-IF(AND(ArtifactsInput!$M$27,Inputs!$B$4="Chapter Hunt"),CHOOSE(ArtifactsInput!$N$27+1,20,24,28,32,36,40),0)/100)))))/Skills!H5,1)))/Inputs!$B$43),G1131*Q1131)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1131*(1-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1131*(1-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1">
        <f>IF(C1131,(H1131*N1131*IF(AND(Inputs!$B$38&lt;&gt;"pvp",Inputs!$B$43&gt;0),((Skills!G5*((R1131-1)*IF(Skills!H5&gt;0,Skills!I5/Skills!H5,1)+IF(Skills!H5&gt;0,MIN(Skills!I5,MAX(0,MAX(0,Inputs!$B$43-B1164)-((R1131-1)*(IF(Inputs!$B$38="pvp",15,MAX(0.1,Skills!E5-IF(Skills!F5=TRUE,Inputs!$B$32,0)))*(1-IF(AND(ArtifactsInput!$M$27,Inputs!$B$4="Chapter Hunt"),CHOOSE(ArtifactsInput!$N$27+1,20,24,28,32,36,40),0)/100)))))/Skills!H5,1)))/Inputs!$B$43),G1131*Q1131)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2">
      <c r="A1132">
        <f>Skills!A6</f>
        <v/>
      </c>
      <c r="B1132">
        <f>Skills!B6</f>
        <v/>
      </c>
      <c r="C1132">
        <f>TRUE</f>
        <v/>
      </c>
      <c r="D1132">
        <f>IF(Skills!C6=1,60+Inputs!$B$25+Inputs!$B$29,IF(Skills!C6=2,90+Inputs!$B$26+Inputs!$B$29,IF(Skills!C6=3,120+Inputs!$B$27+Inputs!$B$29,MAX(0,(Inputs!$B$3-100)*3)+Inputs!$B$28+Inputs!$B$29)))</f>
        <v/>
      </c>
      <c r="E1132">
        <f>INDEX(FactorTable!$B$2:$Y$301, MATCH(ROUND(MIN(300,MAX(1,D1132)),0), FactorTable!$A$2:$A$301,0), Skills!M6+1)</f>
        <v/>
      </c>
      <c r="F1132">
        <f>IF(Skills!N6=TRUE,(Skills!L6/10)*(E1132/1000),Skills!L6/10)+Skills!O6</f>
        <v/>
      </c>
      <c r="G1132">
        <f>Calc!G6</f>
        <v/>
      </c>
      <c r="H1132">
        <f>Calc!H6</f>
        <v/>
      </c>
      <c r="I1132">
        <f>IF(Skills!X6&lt;&gt;"",1+(Skills!X6/10)*(Z1129/1000)/100,1)</f>
        <v/>
      </c>
      <c r="J1132" t="inlineStr"/>
      <c r="K1132" t="inlineStr"/>
      <c r="L1132" t="inlineStr"/>
      <c r="M1132" t="inlineStr"/>
      <c r="N1132" t="inlineStr"/>
      <c r="O1132">
        <f>(1-Summary!$B$11)*S1132+Summary!$B$11*U1132</f>
        <v/>
      </c>
      <c r="P1132">
        <f>IF(B1167=0,0,O1132/B1167)</f>
        <v/>
      </c>
      <c r="Q1132">
        <f>IFERROR(1/(IF(Inputs!$B$38="pvp",15,MAX(0.1,Skills!E6-IF(Skills!F6=TRUE,Inputs!$B$32,0)))*(1-IF(AND(ArtifactsInput!$M$27,Inputs!$B$4="Chapter Hunt"),CHOOSE(ArtifactsInput!$N$27+1,20,24,28,32,36,40),0)/100)),0)</f>
        <v/>
      </c>
      <c r="R1132">
        <f>IF(AND(Inputs!$B$38&lt;&gt;"pvp",Inputs!$B$43&gt;0),IF(Inputs!$B$43&lt;=0,0,(INT(Inputs!$B$43/(IF(Inputs!$B$38="pvp",15,MAX(0.1,Skills!E6-IF(Skills!F6=TRUE,Inputs!$B$32,0)))*(1-IF(AND(ArtifactsInput!$M$27,Inputs!$B$4="Chapter Hunt"),CHOOSE(ArtifactsInput!$N$27+1,20,24,28,32,36,40),0)/100)))+1)),0)</f>
        <v/>
      </c>
      <c r="S1132" t="n">
        <v>0</v>
      </c>
      <c r="U1132" t="n">
        <v>0</v>
      </c>
    </row>
    <row r="1133">
      <c r="A1133">
        <f>Skills!A7</f>
        <v/>
      </c>
      <c r="B1133">
        <f>Skills!B7</f>
        <v/>
      </c>
      <c r="C1133">
        <f>TRUE</f>
        <v/>
      </c>
      <c r="D1133">
        <f>IF(Skills!C7=1,60+Inputs!$B$25+Inputs!$B$29,IF(Skills!C7=2,90+Inputs!$B$26+Inputs!$B$29,IF(Skills!C7=3,120+Inputs!$B$27+Inputs!$B$29,MAX(0,(Inputs!$B$3-100)*3)+Inputs!$B$28+Inputs!$B$29)))</f>
        <v/>
      </c>
      <c r="E1133">
        <f>INDEX(FactorTable!$B$2:$Y$301, MATCH(ROUND(MIN(300,MAX(1,D1133)),0), FactorTable!$A$2:$A$301,0), Skills!M7+1)</f>
        <v/>
      </c>
      <c r="F1133">
        <f>IF(Skills!N7=TRUE,(Skills!L7/10)*(E1133/1000),Skills!L7/10)+Skills!O7</f>
        <v/>
      </c>
      <c r="G1133">
        <f>Calc!G7</f>
        <v/>
      </c>
      <c r="H1133">
        <f>Calc!H7</f>
        <v/>
      </c>
      <c r="I1133">
        <f>IF(Skills!X7&lt;&gt;"",1+(Skills!X7/10)*(Z1129/1000)/100,1)</f>
        <v/>
      </c>
      <c r="J1133">
        <f>((Inputs!$B$6*(1+Inputs!$B$7/100))+(((Inputs!$B$12*(1+Inputs!$B$13/100))-(Inputs!$B$12*(1+Inputs!$B$13/100)))+0.25*(Inputs!$B$14-Inputs!$B$14))*(1+Inputs!$B$7/100))*(F1133/100)</f>
        <v/>
      </c>
      <c r="K1133">
        <f>J1133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1133)</f>
        <v/>
      </c>
      <c r="L1133">
        <f>K1133*(MIN(Inputs!$B$22+(F1148-Calc!F22),(Inputs!$B$23+(IF(ArtifactsInput!$M$15,CHOOSE(ArtifactsInput!$N$15+1,25,30,35,40,45,50)/100*(Inputs!$B$11-Inputs!$B$11),0))))/100+(Inputs!$B$23+(IF(ArtifactsInput!$M$15,CHOOSE(ArtifactsInput!$N$15+1,25,30,35,40,45,50)/100*(Inputs!$B$11-Inputs!$B$11),0)))/100)/2</f>
        <v/>
      </c>
      <c r="M1133">
        <f>L1133*(1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3">
        <f>L1133*(1-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1133*(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3">
        <f>(1-Summary!$B$11)*S1133+Summary!$B$11*U1133</f>
        <v/>
      </c>
      <c r="P1133">
        <f>IF(B1167=0,0,O1133/B1167)</f>
        <v/>
      </c>
      <c r="Q1133">
        <f>IFERROR(1/(IF(Inputs!$B$38="pvp",15,MAX(0.1,Skills!E7-IF(Skills!F7=TRUE,Inputs!$B$32,0)))*(1-IF(AND(ArtifactsInput!$M$27,Inputs!$B$4="Chapter Hunt"),CHOOSE(ArtifactsInput!$N$27+1,20,24,28,32,36,40),0)/100)),0)</f>
        <v/>
      </c>
      <c r="R1133">
        <f>IF(AND(Inputs!$B$38&lt;&gt;"pvp",Inputs!$B$43&gt;0),IF(MAX(0,Inputs!$B$43-B1164)&lt;=0,0,(INT(MAX(0,Inputs!$B$43-B1164)/(IF(Inputs!$B$38="pvp",15,MAX(0.1,Skills!E7-IF(Skills!F7=TRUE,Inputs!$B$32,0)))*(1-IF(AND(ArtifactsInput!$M$27,Inputs!$B$4="Chapter Hunt"),CHOOSE(ArtifactsInput!$N$27+1,20,24,28,32,36,40),0)/100)))+1)),0)</f>
        <v/>
      </c>
      <c r="S1133">
        <f>IF(C1133,(H1133*N1133*IF(AND(Inputs!$B$38&lt;&gt;"pvp",Inputs!$B$43&gt;0),((Skills!G7*((R1133-1)*IF(Skills!H7&gt;0,Skills!I7/Skills!H7,1)+IF(Skills!H7&gt;0,MIN(Skills!I7,MAX(0,MAX(0,Inputs!$B$43-B1164)-((R1133-1)*(IF(Inputs!$B$38="pvp",15,MAX(0.1,Skills!E7-IF(Skills!F7=TRUE,Inputs!$B$32,0)))*(1-IF(AND(ArtifactsInput!$M$27,Inputs!$B$4="Chapter Hunt"),CHOOSE(ArtifactsInput!$N$27+1,20,24,28,32,36,40),0)/100)))))/Skills!H7,1)))/Inputs!$B$43),G1133*Q1133)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1133*(1-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1133*(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1133*(1-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1133*(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3">
        <f>IF(C1133,(H1133*N1133*IF(AND(Inputs!$B$38&lt;&gt;"pvp",Inputs!$B$43&gt;0),((Skills!G7*((R1133-1)*IF(Skills!H7&gt;0,Skills!I7/Skills!H7,1)+IF(Skills!H7&gt;0,MIN(Skills!I7,MAX(0,MAX(0,Inputs!$B$43-B1164)-((R1133-1)*(IF(Inputs!$B$38="pvp",15,MAX(0.1,Skills!E7-IF(Skills!F7=TRUE,Inputs!$B$32,0)))*(1-IF(AND(ArtifactsInput!$M$27,Inputs!$B$4="Chapter Hunt"),CHOOSE(ArtifactsInput!$N$27+1,20,24,28,32,36,40),0)/100)))))/Skills!H7,1)))/Inputs!$B$43),G1133*Q1133)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4">
      <c r="A1134">
        <f>Skills!A8</f>
        <v/>
      </c>
      <c r="B1134">
        <f>Skills!B8</f>
        <v/>
      </c>
      <c r="C1134">
        <f>TRUE</f>
        <v/>
      </c>
      <c r="D1134">
        <f>IF(Skills!C8=1,60+Inputs!$B$25+Inputs!$B$29,IF(Skills!C8=2,90+Inputs!$B$26+Inputs!$B$29,IF(Skills!C8=3,120+Inputs!$B$27+Inputs!$B$29,MAX(0,(Inputs!$B$3-100)*3)+Inputs!$B$28+Inputs!$B$29)))</f>
        <v/>
      </c>
      <c r="E1134">
        <f>INDEX(FactorTable!$B$2:$Y$301, MATCH(ROUND(MIN(300,MAX(1,D1134)),0), FactorTable!$A$2:$A$301,0), Skills!M8+1)</f>
        <v/>
      </c>
      <c r="F1134">
        <f>IF(Skills!N8=TRUE,(Skills!L8/10)*(E1134/1000),Skills!L8/10)+Skills!O8</f>
        <v/>
      </c>
      <c r="G1134">
        <f>Calc!G8</f>
        <v/>
      </c>
      <c r="H1134">
        <f>Calc!H8</f>
        <v/>
      </c>
      <c r="I1134">
        <f>IF(Skills!X8&lt;&gt;"",1+(Skills!X8/10)*(Z1129/1000)/100,1)</f>
        <v/>
      </c>
      <c r="J1134">
        <f>((Inputs!$B$6*(1+Inputs!$B$7/100))+(((Inputs!$B$12*(1+Inputs!$B$13/100))-(Inputs!$B$12*(1+Inputs!$B$13/100)))+0.25*(Inputs!$B$14-Inputs!$B$14))*(1+Inputs!$B$7/100))*(F1134/100)</f>
        <v/>
      </c>
      <c r="K1134">
        <f>J1134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1134)</f>
        <v/>
      </c>
      <c r="L1134">
        <f>K1134*(MIN(Inputs!$B$22+(F1148-Calc!F22),(Inputs!$B$23+(IF(ArtifactsInput!$M$15,CHOOSE(ArtifactsInput!$N$15+1,25,30,35,40,45,50)/100*(Inputs!$B$11-Inputs!$B$11),0))))/100+(Inputs!$B$23+(IF(ArtifactsInput!$M$15,CHOOSE(ArtifactsInput!$N$15+1,25,30,35,40,45,50)/100*(Inputs!$B$11-Inputs!$B$11),0)))/100)/2</f>
        <v/>
      </c>
      <c r="M1134">
        <f>L1134*(1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4">
        <f>L1134*(1-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1134*(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4">
        <f>(1-Summary!$B$11)*S1134+Summary!$B$11*U1134</f>
        <v/>
      </c>
      <c r="P1134">
        <f>IF(B1167=0,0,O1134/B1167)</f>
        <v/>
      </c>
      <c r="Q1134">
        <f>IFERROR(1/(IF(Inputs!$B$38="pvp",15,MAX(0.1,Skills!E8-IF(Skills!F8=TRUE,Inputs!$B$32,0)))*(1-IF(AND(ArtifactsInput!$M$27,Inputs!$B$4="Chapter Hunt"),CHOOSE(ArtifactsInput!$N$27+1,20,24,28,32,36,40),0)/100)),0)</f>
        <v/>
      </c>
      <c r="R1134">
        <f>IF(AND(Inputs!$B$38&lt;&gt;"pvp",Inputs!$B$43&gt;0),IF(MAX(0,Inputs!$B$43-B1164)&lt;=0,0,(INT(MAX(0,Inputs!$B$43-B1164)/(IF(Inputs!$B$38="pvp",15,MAX(0.1,Skills!E8-IF(Skills!F8=TRUE,Inputs!$B$32,0)))*(1-IF(AND(ArtifactsInput!$M$27,Inputs!$B$4="Chapter Hunt"),CHOOSE(ArtifactsInput!$N$27+1,20,24,28,32,36,40),0)/100)))+1)),0)</f>
        <v/>
      </c>
      <c r="S1134">
        <f>IF(C1134,(H1134*N1134*IF(AND(Inputs!$B$38&lt;&gt;"pvp",Inputs!$B$43&gt;0),((Skills!G8*((R1134-1)*IF(Skills!H8&gt;0,Skills!I8/Skills!H8,1)+IF(Skills!H8&gt;0,MIN(Skills!I8,MAX(0,MAX(0,Inputs!$B$43-B1164)-((R1134-1)*(IF(Inputs!$B$38="pvp",15,MAX(0.1,Skills!E8-IF(Skills!F8=TRUE,Inputs!$B$32,0)))*(1-IF(AND(ArtifactsInput!$M$27,Inputs!$B$4="Chapter Hunt"),CHOOSE(ArtifactsInput!$N$27+1,20,24,28,32,36,40),0)/100)))))/Skills!H8,1)))/Inputs!$B$43),G1134*Q1134)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1134*(1-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1134*(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1134*(1-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1134*(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4">
        <f>IF(C1134,(H1134*N1134*IF(AND(Inputs!$B$38&lt;&gt;"pvp",Inputs!$B$43&gt;0),((Skills!G8*((R1134-1)*IF(Skills!H8&gt;0,Skills!I8/Skills!H8,1)+IF(Skills!H8&gt;0,MIN(Skills!I8,MAX(0,MAX(0,Inputs!$B$43-B1164)-((R1134-1)*(IF(Inputs!$B$38="pvp",15,MAX(0.1,Skills!E8-IF(Skills!F8=TRUE,Inputs!$B$32,0)))*(1-IF(AND(ArtifactsInput!$M$27,Inputs!$B$4="Chapter Hunt"),CHOOSE(ArtifactsInput!$N$27+1,20,24,28,32,36,40),0)/100)))))/Skills!H8,1)))/Inputs!$B$43),G1134*Q1134)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5">
      <c r="A1135">
        <f>Skills!A9</f>
        <v/>
      </c>
      <c r="B1135">
        <f>Skills!B9</f>
        <v/>
      </c>
      <c r="C1135">
        <f>Inputs!$B$3&gt;=103</f>
        <v/>
      </c>
      <c r="D1135">
        <f>IF(Skills!C9=1,60+Inputs!$B$25+Inputs!$B$29,IF(Skills!C9=2,90+Inputs!$B$26+Inputs!$B$29,IF(Skills!C9=3,120+Inputs!$B$27+Inputs!$B$29,MAX(0,(Inputs!$B$3-100)*3)+Inputs!$B$28+Inputs!$B$29)))</f>
        <v/>
      </c>
      <c r="E1135">
        <f>INDEX(FactorTable!$B$2:$Y$301, MATCH(ROUND(MIN(300,MAX(1,D1135)),0), FactorTable!$A$2:$A$301,0), Skills!M9+1)</f>
        <v/>
      </c>
      <c r="F1135">
        <f>IF(Skills!N9=TRUE,(Skills!L9/10)*(E1135/1000),Skills!L9/10)+Skills!O9</f>
        <v/>
      </c>
      <c r="G1135">
        <f>Calc!G9</f>
        <v/>
      </c>
      <c r="H1135">
        <f>Calc!H9</f>
        <v/>
      </c>
      <c r="I1135">
        <f>IF(Skills!X9&lt;&gt;"",1+(Skills!X9/10)*(Z1129/1000)/100,1)</f>
        <v/>
      </c>
      <c r="J1135">
        <f>((Inputs!$B$6*(1+Inputs!$B$7/100))+(((Inputs!$B$12*(1+Inputs!$B$13/100))-(Inputs!$B$12*(1+Inputs!$B$13/100)))+0.25*(Inputs!$B$14-Inputs!$B$14))*(1+Inputs!$B$7/100))*(F1135/100)</f>
        <v/>
      </c>
      <c r="K1135">
        <f>J1135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1135)</f>
        <v/>
      </c>
      <c r="L1135">
        <f>K1135*(MIN(Inputs!$B$22+(F1148-Calc!F22),(Inputs!$B$23+(IF(ArtifactsInput!$M$15,CHOOSE(ArtifactsInput!$N$15+1,25,30,35,40,45,50)/100*(Inputs!$B$11-Inputs!$B$11),0))))/100+(Inputs!$B$23+(IF(ArtifactsInput!$M$15,CHOOSE(ArtifactsInput!$N$15+1,25,30,35,40,45,50)/100*(Inputs!$B$11-Inputs!$B$11),0)))/100)/2</f>
        <v/>
      </c>
      <c r="M1135">
        <f>L1135*(1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5">
        <f>L1135*(1-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1135*(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5">
        <f>(1-Summary!$B$11)*S1135+Summary!$B$11*U1135</f>
        <v/>
      </c>
      <c r="P1135">
        <f>IF(B1167=0,0,O1135/B1167)</f>
        <v/>
      </c>
      <c r="Q1135">
        <f>IFERROR(1/(IF(Inputs!$B$38="pvp",15,MAX(0.1,Skills!E9-IF(Skills!F7=TRUE,Inputs!$B$32,0)))*(1-IF(AND(ArtifactsInput!$M$27,Inputs!$B$4="Chapter Hunt"),CHOOSE(ArtifactsInput!$N$27+1,20,24,28,32,36,40),0)/100)),0)</f>
        <v/>
      </c>
      <c r="R1135">
        <f>IF(AND(Inputs!$B$38&lt;&gt;"pvp",Inputs!$B$43&gt;0),IF(MAX(0,Inputs!$B$43-B1164)&lt;=0,0,(INT(MAX(0,Inputs!$B$43-B1164)/(IF(Inputs!$B$38="pvp",15,MAX(0.1,Skills!E9-IF(Skills!F7=TRUE,Inputs!$B$32,0)))*(1-IF(AND(ArtifactsInput!$M$27,Inputs!$B$4="Chapter Hunt"),CHOOSE(ArtifactsInput!$N$27+1,20,24,28,32,36,40),0)/100)))+1)),0)</f>
        <v/>
      </c>
      <c r="S1135">
        <f>IF(C1135,(H1135*N1135*IF(AND(Inputs!$B$38&lt;&gt;"pvp",Inputs!$B$43&gt;0),((Skills!G9*((R1135-1)*IF(Skills!H9&gt;0,Skills!I9/Skills!H9,1)+IF(Skills!H9&gt;0,MIN(Skills!I9,MAX(0,MAX(0,Inputs!$B$43-B1164)-((R1135-1)*(IF(Inputs!$B$38="pvp",15,MAX(0.1,Skills!E9-IF(Skills!F7=TRUE,Inputs!$B$32,0)))*(1-IF(AND(ArtifactsInput!$M$27,Inputs!$B$4="Chapter Hunt"),CHOOSE(ArtifactsInput!$N$27+1,20,24,28,32,36,40),0)/100)))))/Skills!H9,1)))/Inputs!$B$43),G1135*Q1135)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1135*(1-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1135*(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1135*(1-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1135*(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5">
        <f>IF(C1135,(H1135*N1135*IF(AND(Inputs!$B$38&lt;&gt;"pvp",Inputs!$B$43&gt;0),((Skills!G9*((R1135-1)*IF(Skills!H9&gt;0,Skills!I9/Skills!H9,1)+IF(Skills!H9&gt;0,MIN(Skills!I9,MAX(0,MAX(0,Inputs!$B$43-B1164)-((R1135-1)*(IF(Inputs!$B$38="pvp",15,MAX(0.1,Skills!E9-IF(Skills!F7=TRUE,Inputs!$B$32,0)))*(1-IF(AND(ArtifactsInput!$M$27,Inputs!$B$4="Chapter Hunt"),CHOOSE(ArtifactsInput!$N$27+1,20,24,28,32,36,40),0)/100)))))/Skills!H9,1)))/Inputs!$B$43),G1135*Q1135)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6">
      <c r="A1136">
        <f>Skills!A10</f>
        <v/>
      </c>
      <c r="B1136">
        <f>Skills!B10</f>
        <v/>
      </c>
      <c r="C1136">
        <f>TRUE</f>
        <v/>
      </c>
      <c r="D1136">
        <f>IF(Skills!C10=1,60+Inputs!$B$25+Inputs!$B$29,IF(Skills!C10=2,90+Inputs!$B$26+Inputs!$B$29,IF(Skills!C10=3,120+Inputs!$B$27+Inputs!$B$29,MAX(0,(Inputs!$B$3-100)*3)+Inputs!$B$28+Inputs!$B$29)))</f>
        <v/>
      </c>
      <c r="E1136">
        <f>INDEX(FactorTable!$B$2:$Y$301, MATCH(ROUND(MIN(300,MAX(1,D1136)),0), FactorTable!$A$2:$A$301,0), Skills!M10+1)</f>
        <v/>
      </c>
      <c r="F1136">
        <f>IF(Skills!N10=TRUE,(Skills!L10/10)*(E1136/1000),Skills!L10/10)+Skills!O10</f>
        <v/>
      </c>
      <c r="G1136">
        <f>Calc!G10</f>
        <v/>
      </c>
      <c r="H1136">
        <f>Calc!H10</f>
        <v/>
      </c>
      <c r="I1136">
        <f>IF(Skills!X10&lt;&gt;"",1+(Skills!X10/10)*(Z1129/1000)/100,1)</f>
        <v/>
      </c>
      <c r="J1136">
        <f>((Inputs!$B$6*(1+Inputs!$B$7/100))+(((Inputs!$B$12*(1+Inputs!$B$13/100))-(Inputs!$B$12*(1+Inputs!$B$13/100)))+0.25*(Inputs!$B$14-Inputs!$B$14))*(1+Inputs!$B$7/100))*(F1136/100)</f>
        <v/>
      </c>
      <c r="K1136">
        <f>J1136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1136)</f>
        <v/>
      </c>
      <c r="L1136">
        <f>K1136*(MIN(Inputs!$B$22+(F1148-Calc!F22),(Inputs!$B$23+(IF(ArtifactsInput!$M$15,CHOOSE(ArtifactsInput!$N$15+1,25,30,35,40,45,50)/100*(Inputs!$B$11-Inputs!$B$11),0))))/100+(Inputs!$B$23+(IF(ArtifactsInput!$M$15,CHOOSE(ArtifactsInput!$N$15+1,25,30,35,40,45,50)/100*(Inputs!$B$11-Inputs!$B$11),0)))/100)/2</f>
        <v/>
      </c>
      <c r="M1136">
        <f>L1136*(1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6">
        <f>L1136*(1-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1136*(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6">
        <f>(1-Summary!$B$11)*S1136+Summary!$B$11*U1136</f>
        <v/>
      </c>
      <c r="P1136">
        <f>IF(B1167=0,0,O1136/B1167)</f>
        <v/>
      </c>
      <c r="Q1136">
        <f>IFERROR(1/(IF(Inputs!$B$38="pvp",15,MAX(0.1,Skills!E10-IF(Skills!F10=TRUE,Inputs!$B$32,0)))*(1-IF(AND(ArtifactsInput!$M$27,Inputs!$B$4="Chapter Hunt"),CHOOSE(ArtifactsInput!$N$27+1,20,24,28,32,36,40),0)/100)),0)</f>
        <v/>
      </c>
      <c r="R1136">
        <f>IF(AND(Inputs!$B$38&lt;&gt;"pvp",Inputs!$B$43&gt;0),IF(MAX(0,Inputs!$B$43-B1164)&lt;=0,0,(INT(MAX(0,Inputs!$B$43-B1164)/(IF(Inputs!$B$38="pvp",15,MAX(0.1,Skills!E10-IF(Skills!F10=TRUE,Inputs!$B$32,0)))*(1-IF(AND(ArtifactsInput!$M$27,Inputs!$B$4="Chapter Hunt"),CHOOSE(ArtifactsInput!$N$27+1,20,24,28,32,36,40),0)/100)))+1)),0)</f>
        <v/>
      </c>
      <c r="S1136">
        <f>IF(C1136,(H1136*N1136*IF(AND(Inputs!$B$38&lt;&gt;"pvp",Inputs!$B$43&gt;0),((Skills!G10*((R1136-1)*IF(Skills!H10&gt;0,Skills!I10/Skills!H10,1)+IF(Skills!H10&gt;0,MIN(Skills!I10,MAX(0,MAX(0,Inputs!$B$43-B1164)-((R1136-1)*(IF(Inputs!$B$38="pvp",15,MAX(0.1,Skills!E10-IF(Skills!F10=TRUE,Inputs!$B$32,0)))*(1-IF(AND(ArtifactsInput!$M$27,Inputs!$B$4="Chapter Hunt"),CHOOSE(ArtifactsInput!$N$27+1,20,24,28,32,36,40),0)/100)))))/Skills!H10,1)))/Inputs!$B$43),G1136*Q1136)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1136*(1-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1136*(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1136*(1-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1136*(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6">
        <f>IF(C1136,(H1136*N1136*IF(AND(Inputs!$B$38&lt;&gt;"pvp",Inputs!$B$43&gt;0),((Skills!G10*((R1136-1)*IF(Skills!H10&gt;0,Skills!I10/Skills!H10,1)+IF(Skills!H10&gt;0,MIN(Skills!I10,MAX(0,MAX(0,Inputs!$B$43-B1164)-((R1136-1)*(IF(Inputs!$B$38="pvp",15,MAX(0.1,Skills!E10-IF(Skills!F10=TRUE,Inputs!$B$32,0)))*(1-IF(AND(ArtifactsInput!$M$27,Inputs!$B$4="Chapter Hunt"),CHOOSE(ArtifactsInput!$N$27+1,20,24,28,32,36,40),0)/100)))))/Skills!H10,1)))/Inputs!$B$43),G1136*Q1136)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37">
      <c r="A1137">
        <f>Skills!A11</f>
        <v/>
      </c>
      <c r="B1137">
        <f>Skills!B11</f>
        <v/>
      </c>
      <c r="C1137">
        <f>TRUE</f>
        <v/>
      </c>
      <c r="D1137">
        <f>IF(Skills!C11=1,60+Inputs!$B$25+Inputs!$B$29,IF(Skills!C11=2,90+Inputs!$B$26+Inputs!$B$29,IF(Skills!C11=3,120+Inputs!$B$27+Inputs!$B$29,MAX(0,(Inputs!$B$3-100)*3)+Inputs!$B$28+Inputs!$B$29)))</f>
        <v/>
      </c>
      <c r="E1137">
        <f>INDEX(FactorTable!$B$2:$Y$301, MATCH(ROUND(MIN(300,MAX(1,D1137)),0), FactorTable!$A$2:$A$301,0), Skills!M11+1)</f>
        <v/>
      </c>
      <c r="F1137">
        <f>IF(Skills!N11=TRUE,(Skills!L11/10)*(E1137/1000),Skills!L11/10)+Skills!O11</f>
        <v/>
      </c>
      <c r="G1137">
        <f>Calc!G11</f>
        <v/>
      </c>
      <c r="H1137">
        <f>Calc!H11</f>
        <v/>
      </c>
      <c r="I1137">
        <f>IF(Skills!X11&lt;&gt;"",1+(Skills!X11/10)*(Z1129/1000)/100,1)</f>
        <v/>
      </c>
      <c r="J1137" t="inlineStr"/>
      <c r="K1137" t="inlineStr"/>
      <c r="L1137" t="inlineStr"/>
      <c r="M1137" t="inlineStr"/>
      <c r="N1137" t="inlineStr"/>
      <c r="O1137">
        <f>(1-Summary!$B$11)*S1137+Summary!$B$11*U1137</f>
        <v/>
      </c>
      <c r="P1137">
        <f>IF(B1167=0,0,O1137/B1167)</f>
        <v/>
      </c>
      <c r="Q1137">
        <f>IFERROR(1/(IF(Inputs!$B$38="pvp",15,MAX(0.1,Skills!E11-IF(Skills!F11=TRUE,Inputs!$B$32,0)))*(1-IF(AND(ArtifactsInput!$M$27,Inputs!$B$4="Chapter Hunt"),CHOOSE(ArtifactsInput!$N$27+1,20,24,28,32,36,40),0)/100)),0)</f>
        <v/>
      </c>
      <c r="R1137" t="n">
        <v>0</v>
      </c>
      <c r="S1137" t="n">
        <v>0</v>
      </c>
      <c r="U1137" t="n">
        <v>0</v>
      </c>
    </row>
    <row r="1138">
      <c r="A1138">
        <f>Skills!A12</f>
        <v/>
      </c>
      <c r="B1138">
        <f>Skills!B12</f>
        <v/>
      </c>
      <c r="C1138">
        <f>TRUE</f>
        <v/>
      </c>
      <c r="D1138">
        <f>IF(Skills!C12=1,60+Inputs!$B$25+Inputs!$B$29,IF(Skills!C12=2,90+Inputs!$B$26+Inputs!$B$29,IF(Skills!C12=3,120+Inputs!$B$27+Inputs!$B$29,MAX(0,(Inputs!$B$3-100)*3)+Inputs!$B$28+Inputs!$B$29)))</f>
        <v/>
      </c>
      <c r="E1138">
        <f>INDEX(FactorTable!$B$2:$Y$301, MATCH(ROUND(MIN(300,MAX(1,D1138)),0), FactorTable!$A$2:$A$301,0), Skills!M12+1)</f>
        <v/>
      </c>
      <c r="F1138">
        <f>IF(Skills!N12=TRUE,(Skills!L12/10)*(E1138/1000),Skills!L12/10)+Skills!O12</f>
        <v/>
      </c>
      <c r="G1138">
        <f>Calc!G12</f>
        <v/>
      </c>
      <c r="H1138">
        <f>Calc!H12</f>
        <v/>
      </c>
      <c r="I1138">
        <f>IF(Skills!X12&lt;&gt;"",1+(Skills!X12/10)*(Z1129/1000)/100,1)</f>
        <v/>
      </c>
      <c r="J1138" t="inlineStr"/>
      <c r="K1138" t="inlineStr"/>
      <c r="L1138" t="inlineStr"/>
      <c r="M1138" t="inlineStr"/>
      <c r="N1138" t="inlineStr"/>
      <c r="O1138">
        <f>(1-Summary!$B$11)*S1138+Summary!$B$11*U1138</f>
        <v/>
      </c>
      <c r="P1138">
        <f>IF(B1167=0,0,O1138/B1167)</f>
        <v/>
      </c>
      <c r="Q1138">
        <f>IFERROR(1/(IF(Inputs!$B$38="pvp",15,MAX(0.1,Skills!E12-IF(Skills!F12=TRUE,Inputs!$B$32,0)))*(1-IF(AND(ArtifactsInput!$M$27,Inputs!$B$4="Chapter Hunt"),CHOOSE(ArtifactsInput!$N$27+1,20,24,28,32,36,40),0)/100)),0)</f>
        <v/>
      </c>
      <c r="R1138" t="n">
        <v>0</v>
      </c>
      <c r="S1138" t="n">
        <v>0</v>
      </c>
      <c r="U1138" t="n">
        <v>0</v>
      </c>
    </row>
    <row r="1139">
      <c r="A1139">
        <f>Skills!A13</f>
        <v/>
      </c>
      <c r="B1139">
        <f>Skills!B13</f>
        <v/>
      </c>
      <c r="C1139">
        <f>Inputs!$B$3&gt;=105</f>
        <v/>
      </c>
      <c r="D1139">
        <f>IF(Skills!C13=1,60+Inputs!$B$25+Inputs!$B$29,IF(Skills!C13=2,90+Inputs!$B$26+Inputs!$B$29,IF(Skills!C13=3,120+Inputs!$B$27+Inputs!$B$29,MAX(0,(Inputs!$B$3-100)*3)+Inputs!$B$28+Inputs!$B$29)))</f>
        <v/>
      </c>
      <c r="E1139">
        <f>INDEX(FactorTable!$B$2:$Y$301, MATCH(ROUND(MIN(300,MAX(1,D1139)),0), FactorTable!$A$2:$A$301,0), Skills!M13+1)</f>
        <v/>
      </c>
      <c r="F1139">
        <f>IF(Skills!N13=TRUE,(Skills!L13/10)*(E1139/1000),Skills!L13/10)+Skills!O13</f>
        <v/>
      </c>
      <c r="G1139">
        <f>Calc!G13</f>
        <v/>
      </c>
      <c r="H1139">
        <f>Calc!H13</f>
        <v/>
      </c>
      <c r="I1139">
        <f>IF(Skills!X13&lt;&gt;"",1+(Skills!X13/10)*(Z1129/1000)/100,1)</f>
        <v/>
      </c>
      <c r="J1139">
        <f>((Inputs!$B$6*(1+Inputs!$B$7/100))+(((Inputs!$B$12*(1+Inputs!$B$13/100))-(Inputs!$B$12*(1+Inputs!$B$13/100)))+0.25*(Inputs!$B$14-Inputs!$B$14))*(1+Inputs!$B$7/100))*(F1139/100)</f>
        <v/>
      </c>
      <c r="K1139">
        <f>J1139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1139)</f>
        <v/>
      </c>
      <c r="L1139">
        <f>K1139*(MIN(Inputs!$B$22+(F1148-Calc!F22),(Inputs!$B$23+(IF(ArtifactsInput!$M$15,CHOOSE(ArtifactsInput!$N$15+1,25,30,35,40,45,50)/100*(Inputs!$B$11-Inputs!$B$11),0))))/100+(Inputs!$B$23+(IF(ArtifactsInput!$M$15,CHOOSE(ArtifactsInput!$N$15+1,25,30,35,40,45,50)/100*(Inputs!$B$11-Inputs!$B$11),0)))/100)/2</f>
        <v/>
      </c>
      <c r="M1139">
        <f>L1139*(1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9">
        <f>L1139*(1-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1139*(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9">
        <f>(1-Summary!$B$11)*S1139+Summary!$B$11*U1139</f>
        <v/>
      </c>
      <c r="P1139">
        <f>IF(B1167=0,0,O1139/B1167)</f>
        <v/>
      </c>
      <c r="Q1139">
        <f>IFERROR(1/(IF(Inputs!$B$38="pvp",15,MAX(0.1,Skills!E13-IF(Skills!F13=TRUE,Inputs!$B$32,0)))*(1-IF(AND(ArtifactsInput!$M$27,Inputs!$B$4="Chapter Hunt"),CHOOSE(ArtifactsInput!$N$27+1,20,24,28,32,36,40),0)/100)),0)</f>
        <v/>
      </c>
      <c r="R1139">
        <f>IF(AND(Inputs!$B$38&lt;&gt;"pvp",Inputs!$B$43&gt;0),IF(MAX(0,Inputs!$B$43-B1164)&lt;=0,0,(INT(MAX(0,Inputs!$B$43-B1164)/(IF(Inputs!$B$38="pvp",15,MAX(0.1,Skills!E13-IF(Skills!F13=TRUE,Inputs!$B$32,0)))*(1-IF(AND(ArtifactsInput!$M$27,Inputs!$B$4="Chapter Hunt"),CHOOSE(ArtifactsInput!$N$27+1,20,24,28,32,36,40),0)/100)))+1)),0)</f>
        <v/>
      </c>
      <c r="S1139">
        <f>IF(C1139,(H1139*N1139*IF(AND(Inputs!$B$38&lt;&gt;"pvp",Inputs!$B$43&gt;0),((Skills!G13*((R1139-1)*IF(Skills!H13&gt;0,Skills!I13/Skills!H13,1)+IF(Skills!H13&gt;0,MIN(Skills!I13,MAX(0,MAX(0,Inputs!$B$43-B1164)-((R1139-1)*(IF(Inputs!$B$38="pvp",15,MAX(0.1,Skills!E13-IF(Skills!F13=TRUE,Inputs!$B$32,0)))*(1-IF(AND(ArtifactsInput!$M$27,Inputs!$B$4="Chapter Hunt"),CHOOSE(ArtifactsInput!$N$27+1,20,24,28,32,36,40),0)/100)))))/Skills!H13,1)))/Inputs!$B$43),G1139*Q1139)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1139*(1-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1139*(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1139*(1-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1139*(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9">
        <f>IF(C1139,(H1139*N1139*IF(AND(Inputs!$B$38&lt;&gt;"pvp",Inputs!$B$43&gt;0),((Skills!G13*((R1139-1)*IF(Skills!H13&gt;0,Skills!I13/Skills!H13,1)+IF(Skills!H13&gt;0,MIN(Skills!I13,MAX(0,MAX(0,Inputs!$B$43-B1164)-((R1139-1)*(IF(Inputs!$B$38="pvp",15,MAX(0.1,Skills!E13-IF(Skills!F13=TRUE,Inputs!$B$32,0)))*(1-IF(AND(ArtifactsInput!$M$27,Inputs!$B$4="Chapter Hunt"),CHOOSE(ArtifactsInput!$N$27+1,20,24,28,32,36,40),0)/100)))))/Skills!H13,1)))/Inputs!$B$43),G1139*Q1139)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0">
      <c r="A1140">
        <f>Skills!A14</f>
        <v/>
      </c>
      <c r="B1140">
        <f>Skills!B14</f>
        <v/>
      </c>
      <c r="C1140">
        <f>Inputs!$B$3&gt;=113</f>
        <v/>
      </c>
      <c r="D1140">
        <f>IF(Skills!C14=1,60+Inputs!$B$25+Inputs!$B$29,IF(Skills!C14=2,90+Inputs!$B$26+Inputs!$B$29,IF(Skills!C14=3,120+Inputs!$B$27+Inputs!$B$29,MAX(0,(Inputs!$B$3-100)*3)+Inputs!$B$28+Inputs!$B$29)))</f>
        <v/>
      </c>
      <c r="E1140">
        <f>INDEX(FactorTable!$B$2:$Y$301, MATCH(ROUND(MIN(300,MAX(1,D1140)),0), FactorTable!$A$2:$A$301,0), Skills!M14+1)</f>
        <v/>
      </c>
      <c r="F1140">
        <f>IF(Skills!N14=TRUE,(Skills!L14/10)*(E1140/1000),Skills!L14/10)+Skills!O14</f>
        <v/>
      </c>
      <c r="G1140">
        <f>Calc!G14</f>
        <v/>
      </c>
      <c r="H1140">
        <f>Calc!H14</f>
        <v/>
      </c>
      <c r="I1140">
        <f>IF(Skills!X14&lt;&gt;"",1+(Skills!X14/10)*(Z1129/1000)/100,1)</f>
        <v/>
      </c>
      <c r="J1140">
        <f>((Inputs!$B$6*(1+Inputs!$B$7/100))+(((Inputs!$B$12*(1+Inputs!$B$13/100))-(Inputs!$B$12*(1+Inputs!$B$13/100)))+0.25*(Inputs!$B$14-Inputs!$B$14))*(1+Inputs!$B$7/100))*(F1140/100)</f>
        <v/>
      </c>
      <c r="K1140">
        <f>J1140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1140)</f>
        <v/>
      </c>
      <c r="L1140">
        <f>K1140*(MIN(Inputs!$B$22+(F1148-Calc!F22),(Inputs!$B$23+(IF(ArtifactsInput!$M$15,CHOOSE(ArtifactsInput!$N$15+1,25,30,35,40,45,50)/100*(Inputs!$B$11-Inputs!$B$11),0))))/100+(Inputs!$B$23+(IF(ArtifactsInput!$M$15,CHOOSE(ArtifactsInput!$N$15+1,25,30,35,40,45,50)/100*(Inputs!$B$11-Inputs!$B$11),0)))/100)/2</f>
        <v/>
      </c>
      <c r="M1140">
        <f>L1140*(1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0">
        <f>L1140*(1-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1140*(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0">
        <f>(1-Summary!$B$11)*S1140+Summary!$B$11*U1140</f>
        <v/>
      </c>
      <c r="P1140">
        <f>IF(B1167=0,0,O1140/B1167)</f>
        <v/>
      </c>
      <c r="Q1140">
        <f>IFERROR(1/(IF(Inputs!$B$38="pvp",15,MAX(0.1,Skills!E14-IF(Skills!F14=TRUE,Inputs!$B$32,0)))*(1-IF(AND(ArtifactsInput!$M$27,Inputs!$B$4="Chapter Hunt"),CHOOSE(ArtifactsInput!$N$27+1,20,24,28,32,36,40),0)/100)),0)</f>
        <v/>
      </c>
      <c r="R1140" t="n">
        <v>0</v>
      </c>
      <c r="S1140">
        <f>IF(C1140,((H1140*B1163)/(1+Skills!H14*H1140*B1163)*N1140)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1140*(1-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1140*(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1140*(1-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1140*(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0">
        <f>IF(C1140,((H1140*B1163)/(1+Skills!H14*H1140*B1163)*N1140)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1">
      <c r="A1141">
        <f>Skills!A15</f>
        <v/>
      </c>
      <c r="B1141">
        <f>Skills!B15</f>
        <v/>
      </c>
      <c r="C1141">
        <f>Inputs!$B$3&gt;=107</f>
        <v/>
      </c>
      <c r="D1141">
        <f>IF(Skills!C15=1,60+Inputs!$B$25+Inputs!$B$29,IF(Skills!C15=2,90+Inputs!$B$26+Inputs!$B$29,IF(Skills!C15=3,120+Inputs!$B$27+Inputs!$B$29,MAX(0,(Inputs!$B$3-100)*3)+Inputs!$B$28+Inputs!$B$29)))</f>
        <v/>
      </c>
      <c r="E1141">
        <f>INDEX(FactorTable!$B$2:$Y$301, MATCH(ROUND(MIN(300,MAX(1,D1141)),0), FactorTable!$A$2:$A$301,0), Skills!M15+1)</f>
        <v/>
      </c>
      <c r="F1141">
        <f>IF(Skills!N15=TRUE,(Skills!L15/10)*(E1141/1000),Skills!L15/10)+Skills!O15</f>
        <v/>
      </c>
      <c r="G1141">
        <f>Calc!G15</f>
        <v/>
      </c>
      <c r="H1141">
        <f>Calc!H15</f>
        <v/>
      </c>
      <c r="I1141">
        <f>IF(Skills!X15&lt;&gt;"",1+(Skills!X15/10)*(Z1129/1000)/100,1)</f>
        <v/>
      </c>
      <c r="J1141">
        <f>((Inputs!$B$6*(1+Inputs!$B$7/100))+(((Inputs!$B$12*(1+Inputs!$B$13/100))-(Inputs!$B$12*(1+Inputs!$B$13/100)))+0.25*(Inputs!$B$14-Inputs!$B$14))*(1+Inputs!$B$7/100))*(F1141/100)</f>
        <v/>
      </c>
      <c r="K1141">
        <f>J1141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1141)</f>
        <v/>
      </c>
      <c r="L1141">
        <f>K1141*(MIN(Inputs!$B$22+(F1148-Calc!F22),(Inputs!$B$23+(IF(ArtifactsInput!$M$15,CHOOSE(ArtifactsInput!$N$15+1,25,30,35,40,45,50)/100*(Inputs!$B$11-Inputs!$B$11),0))))/100+(Inputs!$B$23+(IF(ArtifactsInput!$M$15,CHOOSE(ArtifactsInput!$N$15+1,25,30,35,40,45,50)/100*(Inputs!$B$11-Inputs!$B$11),0)))/100)/2</f>
        <v/>
      </c>
      <c r="M1141">
        <f>L1141*(1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1">
        <f>L1141*(1-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1">
        <f>(1-Summary!$B$11)*S1141+Summary!$B$11*U1141</f>
        <v/>
      </c>
      <c r="P1141">
        <f>IF(B1167=0,0,O1141/B1167)</f>
        <v/>
      </c>
      <c r="Q1141">
        <f>IFERROR(1/(IF(Inputs!$B$38="pvp",15,MAX(0.1,Skills!E15-IF(Skills!F15=TRUE,Inputs!$B$32,0)))*(1-IF(AND(ArtifactsInput!$M$27,Inputs!$B$4="Chapter Hunt"),CHOOSE(ArtifactsInput!$N$27+1,20,24,28,32,36,40),0)/100)),0)</f>
        <v/>
      </c>
      <c r="R1141">
        <f>IF(AND(Inputs!$B$38&lt;&gt;"pvp",Inputs!$B$43&gt;0),IF(MAX(0,Inputs!$B$43-B1164)&lt;=0,0,(INT(MAX(0,Inputs!$B$43-B1164)/(IF(Inputs!$B$38="pvp",15,MAX(0.1,Skills!E15-IF(Skills!F15=TRUE,Inputs!$B$32,0)))*(1-IF(AND(ArtifactsInput!$M$27,Inputs!$B$4="Chapter Hunt"),CHOOSE(ArtifactsInput!$N$27+1,20,24,28,32,36,40),0)/100)))+1)),0)</f>
        <v/>
      </c>
      <c r="S1141">
        <f>IF(C1141,(H1141*N1141*IF(AND(Inputs!$B$38&lt;&gt;"pvp",Inputs!$B$43&gt;0),((Skills!G15*((R1141-1)*IF(Skills!H15&gt;0,Skills!I15/Skills!H15,1)+IF(Skills!H15&gt;0,MIN(Skills!I15,MAX(0,MAX(0,Inputs!$B$43-B1164)-((R1141-1)*(IF(Inputs!$B$38="pvp",15,MAX(0.1,Skills!E15-IF(Skills!F15=TRUE,Inputs!$B$32,0)))*(1-IF(AND(ArtifactsInput!$M$27,Inputs!$B$4="Chapter Hunt"),CHOOSE(ArtifactsInput!$N$27+1,20,24,28,32,36,40),0)/100)))))/Skills!H15,1)))/Inputs!$B$43),G1141*Q1141)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1141*(1-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1141*(1-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1">
        <f>IF(C1141,(H1141*N1141*IF(AND(Inputs!$B$38&lt;&gt;"pvp",Inputs!$B$43&gt;0),((Skills!G15*((R1141-1)*IF(Skills!H15&gt;0,Skills!I15/Skills!H15,1)+IF(Skills!H15&gt;0,MIN(Skills!I15,MAX(0,MAX(0,Inputs!$B$43-B1164)-((R1141-1)*(IF(Inputs!$B$38="pvp",15,MAX(0.1,Skills!E15-IF(Skills!F15=TRUE,Inputs!$B$32,0)))*(1-IF(AND(ArtifactsInput!$M$27,Inputs!$B$4="Chapter Hunt"),CHOOSE(ArtifactsInput!$N$27+1,20,24,28,32,36,40),0)/100)))))/Skills!H15,1)))/Inputs!$B$43),G1141*Q1141)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2">
      <c r="A1142">
        <f>Skills!A16</f>
        <v/>
      </c>
      <c r="B1142">
        <f>Skills!B16</f>
        <v/>
      </c>
      <c r="C1142">
        <f>Inputs!$B$3&gt;=107</f>
        <v/>
      </c>
      <c r="D1142">
        <f>IF(Skills!C16=1,60+Inputs!$B$25+Inputs!$B$29,IF(Skills!C16=2,90+Inputs!$B$26+Inputs!$B$29,IF(Skills!C16=3,120+Inputs!$B$27+Inputs!$B$29,MAX(0,(Inputs!$B$3-100)*3)+Inputs!$B$28+Inputs!$B$29)))</f>
        <v/>
      </c>
      <c r="E1142">
        <f>INDEX(FactorTable!$B$2:$Y$301, MATCH(ROUND(MIN(300,MAX(1,D1142)),0), FactorTable!$A$2:$A$301,0), Skills!M16+1)</f>
        <v/>
      </c>
      <c r="F1142">
        <f>IF(Skills!N16=TRUE,(Skills!L16/10)*(E1142/1000),Skills!L16/10)+Skills!O16</f>
        <v/>
      </c>
      <c r="G1142">
        <f>Calc!G16</f>
        <v/>
      </c>
      <c r="H1142">
        <f>Calc!H16</f>
        <v/>
      </c>
      <c r="I1142">
        <f>IF(Skills!X16&lt;&gt;"",1+(Skills!X16/10)*(Z1129/1000)/100,1)</f>
        <v/>
      </c>
      <c r="J1142">
        <f>((Inputs!$B$6*(1+Inputs!$B$7/100))+(((Inputs!$B$12*(1+Inputs!$B$13/100))-(Inputs!$B$12*(1+Inputs!$B$13/100)))+0.25*(Inputs!$B$14-Inputs!$B$14))*(1+Inputs!$B$7/100))*(F1142/100)</f>
        <v/>
      </c>
      <c r="K1142">
        <f>J1142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1142)</f>
        <v/>
      </c>
      <c r="L1142">
        <f>K1142*(MIN(Inputs!$B$22+(F1148-Calc!F22),(Inputs!$B$23+(IF(ArtifactsInput!$M$15,CHOOSE(ArtifactsInput!$N$15+1,25,30,35,40,45,50)/100*(Inputs!$B$11-Inputs!$B$11),0))))/100+(Inputs!$B$23+(IF(ArtifactsInput!$M$15,CHOOSE(ArtifactsInput!$N$15+1,25,30,35,40,45,50)/100*(Inputs!$B$11-Inputs!$B$11),0)))/100)/2</f>
        <v/>
      </c>
      <c r="M1142">
        <f>L1142*(1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2">
        <f>L1142*(1-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1142*(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2">
        <f>(1-Summary!$B$11)*S1142+Summary!$B$11*U1142</f>
        <v/>
      </c>
      <c r="P1142">
        <f>IF(B1167=0,0,O1142/B1167)</f>
        <v/>
      </c>
      <c r="Q1142">
        <f>IFERROR(1/(IF(Inputs!$B$38="pvp",15,MAX(0.1,Skills!E16-IF(Skills!F16=TRUE,Inputs!$B$32,0)))*(1-IF(AND(ArtifactsInput!$M$27,Inputs!$B$4="Chapter Hunt"),CHOOSE(ArtifactsInput!$N$27+1,20,24,28,32,36,40),0)/100)),0)</f>
        <v/>
      </c>
      <c r="R1142">
        <f>IF(AND(Inputs!$B$38&lt;&gt;"pvp",Inputs!$B$43&gt;0),IF(MAX(0,Inputs!$B$43-B1164)&lt;=0,0,(INT(MAX(0,Inputs!$B$43-B1164)/(IF(Inputs!$B$38="pvp",15,MAX(0.1,Skills!E16-IF(Skills!F16=TRUE,Inputs!$B$32,0)))*(1-IF(AND(ArtifactsInput!$M$27,Inputs!$B$4="Chapter Hunt"),CHOOSE(ArtifactsInput!$N$27+1,20,24,28,32,36,40),0)/100)))+1)),0)</f>
        <v/>
      </c>
      <c r="S1142">
        <f>IF(C1142,(H1142*N1142*IF(AND(Inputs!$B$38&lt;&gt;"pvp",Inputs!$B$43&gt;0),((Skills!G16*((R1142-1)*IF(Skills!H16&gt;0,Skills!I16/Skills!H16,1)+IF(Skills!H16&gt;0,MIN(Skills!I16,MAX(0,MAX(0,Inputs!$B$43-B1164)-((R1142-1)*(IF(Inputs!$B$38="pvp",15,MAX(0.1,Skills!E16-IF(Skills!F16=TRUE,Inputs!$B$32,0)))*(1-IF(AND(ArtifactsInput!$M$27,Inputs!$B$4="Chapter Hunt"),CHOOSE(ArtifactsInput!$N$27+1,20,24,28,32,36,40),0)/100)))))/Skills!H16,1)))/Inputs!$B$43),G1142*Q1142)*(1+IF(Inputs!$B$3&gt;=126,0.05*(B1162+Q1139+(H1140*B1163)/(1+Skills!H14*H1140*B1163)+Q1150)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1142*(1-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1142*(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1142*(1-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1142*(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2">
        <f>IF(C1142,(H1142*N1142*IF(AND(Inputs!$B$38&lt;&gt;"pvp",Inputs!$B$43&gt;0),((Skills!G16*((R1142-1)*IF(Skills!H16&gt;0,Skills!I16/Skills!H16,1)+IF(Skills!H16&gt;0,MIN(Skills!I16,MAX(0,MAX(0,Inputs!$B$43-B1164)-((R1142-1)*(IF(Inputs!$B$38="pvp",15,MAX(0.1,Skills!E16-IF(Skills!F16=TRUE,Inputs!$B$32,0)))*(1-IF(AND(ArtifactsInput!$M$27,Inputs!$B$4="Chapter Hunt"),CHOOSE(ArtifactsInput!$N$27+1,20,24,28,32,36,40),0)/100)))))/Skills!H16,1)))/Inputs!$B$43),G1142*Q1142)*(1+IF(Inputs!$B$3&gt;=126,0.05*(B1162+Q1139+(H1140*B1163)/(1+Skills!H14*H1140*B1163)+Q1150)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3">
      <c r="A1143">
        <f>Skills!A17</f>
        <v/>
      </c>
      <c r="B1143">
        <f>Skills!B17</f>
        <v/>
      </c>
      <c r="C1143">
        <f>TRUE</f>
        <v/>
      </c>
      <c r="D1143">
        <f>IF(Skills!C17=1,60+Inputs!$B$25+Inputs!$B$29,IF(Skills!C17=2,90+Inputs!$B$26+Inputs!$B$29,IF(Skills!C17=3,120+Inputs!$B$27+Inputs!$B$29,MAX(0,(Inputs!$B$3-100)*3)+Inputs!$B$28+Inputs!$B$29)))</f>
        <v/>
      </c>
      <c r="E1143">
        <f>INDEX(FactorTable!$B$2:$Y$301, MATCH(ROUND(MIN(300,MAX(1,D1143)),0), FactorTable!$A$2:$A$301,0), Skills!M17+1)</f>
        <v/>
      </c>
      <c r="F1143">
        <f>IF(Skills!N17=TRUE,(Skills!L17/10)*(E1143/1000),Skills!L17/10)+Skills!O17</f>
        <v/>
      </c>
      <c r="G1143">
        <f>Calc!G17</f>
        <v/>
      </c>
      <c r="H1143">
        <f>Calc!H17</f>
        <v/>
      </c>
      <c r="I1143">
        <f>IF(Skills!X17&lt;&gt;"",1+(Skills!X17/10)*(Z1129/1000)/100,1)</f>
        <v/>
      </c>
      <c r="J1143" t="inlineStr"/>
      <c r="K1143" t="inlineStr"/>
      <c r="L1143" t="inlineStr"/>
      <c r="M1143" t="inlineStr"/>
      <c r="N1143" t="inlineStr"/>
      <c r="O1143">
        <f>(1-Summary!$B$11)*S1143+Summary!$B$11*U1143</f>
        <v/>
      </c>
      <c r="P1143">
        <f>IF(B1167=0,0,O1143/B1167)</f>
        <v/>
      </c>
      <c r="Q1143">
        <f>IFERROR(1/(IF(Inputs!$B$38="pvp",15,MAX(0.1,Skills!E17-IF(Skills!F17=TRUE,Inputs!$B$32,0)))*(1-IF(AND(ArtifactsInput!$M$27,Inputs!$B$4="Chapter Hunt"),CHOOSE(ArtifactsInput!$N$27+1,20,24,28,32,36,40),0)/100)),0)</f>
        <v/>
      </c>
      <c r="R1143">
        <f>IF(AND(Inputs!$B$38&lt;&gt;"pvp",Inputs!$B$43&gt;0),IF(Inputs!$B$43&lt;=0,0,(INT(Inputs!$B$43/(IF(Inputs!$B$38="pvp",15,MAX(0.1,Skills!E17-IF(Skills!F17=TRUE,Inputs!$B$32,0)))*(1-IF(AND(ArtifactsInput!$M$27,Inputs!$B$4="Chapter Hunt"),CHOOSE(ArtifactsInput!$N$27+1,20,24,28,32,36,40),0)/100)))+1)),0)</f>
        <v/>
      </c>
      <c r="S1143" t="n">
        <v>0</v>
      </c>
      <c r="U1143" t="n">
        <v>0</v>
      </c>
    </row>
    <row r="1144">
      <c r="A1144">
        <f>Skills!A18</f>
        <v/>
      </c>
      <c r="B1144">
        <f>Skills!B18</f>
        <v/>
      </c>
      <c r="C1144">
        <f>TRUE</f>
        <v/>
      </c>
      <c r="D1144">
        <f>IF(Skills!C18=1,60+Inputs!$B$25+Inputs!$B$29,IF(Skills!C18=2,90+Inputs!$B$26+Inputs!$B$29,IF(Skills!C18=3,120+Inputs!$B$27+Inputs!$B$29,MAX(0,(Inputs!$B$3-100)*3)+Inputs!$B$28+Inputs!$B$29)))</f>
        <v/>
      </c>
      <c r="E1144">
        <f>INDEX(FactorTable!$B$2:$Y$301, MATCH(ROUND(MIN(300,MAX(1,D1144)),0), FactorTable!$A$2:$A$301,0), Skills!M18+1)</f>
        <v/>
      </c>
      <c r="F1144">
        <f>IF(Skills!N18=TRUE,(Skills!L18/10)*(E1144/1000),Skills!L18/10)+Skills!O18</f>
        <v/>
      </c>
      <c r="G1144">
        <f>Calc!G18</f>
        <v/>
      </c>
      <c r="H1144">
        <f>Calc!H18</f>
        <v/>
      </c>
      <c r="I1144">
        <f>IF(Skills!X18&lt;&gt;"",1+(Skills!X18/10)*(Z1129/1000)/100,1)</f>
        <v/>
      </c>
      <c r="J1144" t="inlineStr"/>
      <c r="K1144" t="inlineStr"/>
      <c r="L1144" t="inlineStr"/>
      <c r="M1144" t="inlineStr"/>
      <c r="N1144" t="inlineStr"/>
      <c r="O1144">
        <f>(1-Summary!$B$11)*S1144+Summary!$B$11*U1144</f>
        <v/>
      </c>
      <c r="P1144">
        <f>IF(B1167=0,0,O1144/B1167)</f>
        <v/>
      </c>
      <c r="Q1144">
        <f>IFERROR(1/(IF(Inputs!$B$38="pvp",15,MAX(0.1,Skills!E18-IF(Skills!F18=TRUE,Inputs!$B$32,0)))*(1-IF(AND(ArtifactsInput!$M$27,Inputs!$B$4="Chapter Hunt"),CHOOSE(ArtifactsInput!$N$27+1,20,24,28,32,36,40),0)/100)),0)</f>
        <v/>
      </c>
      <c r="R1144">
        <f>IF(AND(Inputs!$B$38&lt;&gt;"pvp",Inputs!$B$43&gt;0),IF(Inputs!$B$43&lt;=0,0,(INT(Inputs!$B$43/(IF(Inputs!$B$38="pvp",15,MAX(0.1,Skills!E18-IF(Skills!F18=TRUE,Inputs!$B$32,0)))*(1-IF(AND(ArtifactsInput!$M$27,Inputs!$B$4="Chapter Hunt"),CHOOSE(ArtifactsInput!$N$27+1,20,24,28,32,36,40),0)/100)))+1)),0)</f>
        <v/>
      </c>
      <c r="S1144" t="n">
        <v>0</v>
      </c>
      <c r="U1144" t="n">
        <v>0</v>
      </c>
    </row>
    <row r="1145">
      <c r="A1145">
        <f>Skills!A19</f>
        <v/>
      </c>
      <c r="B1145">
        <f>Skills!B19</f>
        <v/>
      </c>
      <c r="C1145">
        <f>Inputs!$B$3&gt;=110</f>
        <v/>
      </c>
      <c r="D1145">
        <f>IF(Skills!C19=1,60+Inputs!$B$25+Inputs!$B$29,IF(Skills!C19=2,90+Inputs!$B$26+Inputs!$B$29,IF(Skills!C19=3,120+Inputs!$B$27+Inputs!$B$29,MAX(0,(Inputs!$B$3-100)*3)+Inputs!$B$28+Inputs!$B$29)))</f>
        <v/>
      </c>
      <c r="E1145">
        <f>INDEX(FactorTable!$B$2:$Y$301, MATCH(ROUND(MIN(300,MAX(1,D1145)),0), FactorTable!$A$2:$A$301,0), Skills!M19+1)</f>
        <v/>
      </c>
      <c r="F1145">
        <f>IF(Skills!N19=TRUE,(Skills!L19/10)*(E1145/1000),Skills!L19/10)+Skills!O19</f>
        <v/>
      </c>
      <c r="G1145">
        <f>Calc!G19</f>
        <v/>
      </c>
      <c r="H1145">
        <f>Calc!H19</f>
        <v/>
      </c>
      <c r="I1145">
        <f>IF(Skills!X19&lt;&gt;"",1+(Skills!X19/10)*(Z1129/1000)/100,1)</f>
        <v/>
      </c>
      <c r="J1145" t="inlineStr"/>
      <c r="K1145" t="inlineStr"/>
      <c r="L1145" t="inlineStr"/>
      <c r="M1145" t="inlineStr"/>
      <c r="N1145" t="inlineStr"/>
      <c r="O1145">
        <f>(1-Summary!$B$11)*S1145+Summary!$B$11*U1145</f>
        <v/>
      </c>
      <c r="P1145">
        <f>IF(B1167=0,0,O1145/B1167)</f>
        <v/>
      </c>
      <c r="Q1145">
        <f>IFERROR(1/(IF(Inputs!$B$38="pvp",15,MAX(0.1,Skills!E19-IF(Skills!F19=TRUE,Inputs!$B$32,0)))*(1-IF(AND(ArtifactsInput!$M$27,Inputs!$B$4="Chapter Hunt"),CHOOSE(ArtifactsInput!$N$27+1,20,24,28,32,36,40),0)/100)),0)</f>
        <v/>
      </c>
      <c r="R1145">
        <f>IF(AND(Inputs!$B$38&lt;&gt;"pvp",Inputs!$B$43&gt;0),IF(Inputs!$B$43&lt;=0,0,(INT(Inputs!$B$43/(IF(Inputs!$B$38="pvp",15,MAX(0.1,Skills!E19-IF(Skills!F19=TRUE,Inputs!$B$32,0)))*(1-IF(AND(ArtifactsInput!$M$27,Inputs!$B$4="Chapter Hunt"),CHOOSE(ArtifactsInput!$N$27+1,20,24,28,32,36,40),0)/100)))+1)),0)</f>
        <v/>
      </c>
      <c r="S1145" t="n">
        <v>0</v>
      </c>
      <c r="U1145" t="n">
        <v>0</v>
      </c>
    </row>
    <row r="1146">
      <c r="A1146">
        <f>Skills!A20</f>
        <v/>
      </c>
      <c r="B1146">
        <f>Skills!B20</f>
        <v/>
      </c>
      <c r="C1146">
        <f>TRUE</f>
        <v/>
      </c>
      <c r="D1146">
        <f>IF(Skills!C20=1,60+Inputs!$B$25+Inputs!$B$29,IF(Skills!C20=2,90+Inputs!$B$26+Inputs!$B$29,IF(Skills!C20=3,120+Inputs!$B$27+Inputs!$B$29,MAX(0,(Inputs!$B$3-100)*3)+Inputs!$B$28+Inputs!$B$29)))</f>
        <v/>
      </c>
      <c r="E1146">
        <f>INDEX(FactorTable!$B$2:$Y$301, MATCH(ROUND(MIN(300,MAX(1,D1146)),0), FactorTable!$A$2:$A$301,0), Skills!M20+1)</f>
        <v/>
      </c>
      <c r="F1146">
        <f>IF(Skills!N20=TRUE,(Skills!L20/10)*(E1146/1000),Skills!L20/10)+Skills!O20</f>
        <v/>
      </c>
      <c r="G1146">
        <f>Calc!G20</f>
        <v/>
      </c>
      <c r="H1146">
        <f>Calc!H20</f>
        <v/>
      </c>
      <c r="I1146">
        <f>IF(Skills!X20&lt;&gt;"",1+(Skills!X20/10)*(Z1129/1000)/100,1)</f>
        <v/>
      </c>
      <c r="J1146" t="inlineStr"/>
      <c r="K1146" t="inlineStr"/>
      <c r="L1146" t="inlineStr"/>
      <c r="M1146" t="inlineStr"/>
      <c r="N1146" t="inlineStr"/>
      <c r="O1146">
        <f>(1-Summary!$B$11)*S1146+Summary!$B$11*U1146</f>
        <v/>
      </c>
      <c r="P1146">
        <f>IF(B1167=0,0,O1146/B1167)</f>
        <v/>
      </c>
      <c r="Q1146">
        <f>IFERROR(1/(IF(Inputs!$B$38="pvp",15,MAX(0.1,Skills!E20-IF(Skills!F20=TRUE,Inputs!$B$32,0)))*(1-IF(AND(ArtifactsInput!$M$27,Inputs!$B$4="Chapter Hunt"),CHOOSE(ArtifactsInput!$N$27+1,20,24,28,32,36,40),0)/100)),0)</f>
        <v/>
      </c>
      <c r="R1146" t="n">
        <v>0</v>
      </c>
      <c r="S1146" t="n">
        <v>0</v>
      </c>
      <c r="U1146" t="n">
        <v>0</v>
      </c>
    </row>
    <row r="1147">
      <c r="A1147">
        <f>Skills!A21</f>
        <v/>
      </c>
      <c r="B1147">
        <f>Skills!B21</f>
        <v/>
      </c>
      <c r="C1147">
        <f>TRUE</f>
        <v/>
      </c>
      <c r="D1147">
        <f>IF(Skills!C21=1,60+Inputs!$B$25+Inputs!$B$29,IF(Skills!C21=2,90+Inputs!$B$26+Inputs!$B$29,IF(Skills!C21=3,120+Inputs!$B$27+Inputs!$B$29,MAX(0,(Inputs!$B$3-100)*3)+Inputs!$B$28+Inputs!$B$29)))</f>
        <v/>
      </c>
      <c r="E1147">
        <f>INDEX(FactorTable!$B$2:$Y$301, MATCH(ROUND(MIN(300,MAX(1,D1147)),0), FactorTable!$A$2:$A$301,0), Skills!M21+1)</f>
        <v/>
      </c>
      <c r="F1147">
        <f>IF(Skills!N21=TRUE,(Skills!L21/10)*(E1147/1000),Skills!L21/10)+Skills!O21</f>
        <v/>
      </c>
      <c r="G1147">
        <f>Calc!G21</f>
        <v/>
      </c>
      <c r="H1147">
        <f>Calc!H21</f>
        <v/>
      </c>
      <c r="I1147">
        <f>IF(Skills!X21&lt;&gt;"",1+(Skills!X21/10)*(Z1129/1000)/100,1)</f>
        <v/>
      </c>
      <c r="J1147" t="inlineStr"/>
      <c r="K1147" t="inlineStr"/>
      <c r="L1147" t="inlineStr"/>
      <c r="M1147" t="inlineStr"/>
      <c r="N1147" t="inlineStr"/>
      <c r="O1147">
        <f>(1-Summary!$B$11)*S1147+Summary!$B$11*U1147</f>
        <v/>
      </c>
      <c r="P1147">
        <f>IF(B1167=0,0,O1147/B1167)</f>
        <v/>
      </c>
      <c r="Q1147">
        <f>IFERROR(1/(IF(Inputs!$B$38="pvp",15,MAX(0.1,Skills!E21-IF(Skills!F21=TRUE,Inputs!$B$32,0)))*(1-IF(AND(ArtifactsInput!$M$27,Inputs!$B$4="Chapter Hunt"),CHOOSE(ArtifactsInput!$N$27+1,20,24,28,32,36,40),0)/100)),0)</f>
        <v/>
      </c>
      <c r="R1147" t="n">
        <v>0</v>
      </c>
      <c r="S1147" t="n">
        <v>0</v>
      </c>
      <c r="U1147" t="n">
        <v>0</v>
      </c>
    </row>
    <row r="1148">
      <c r="A1148">
        <f>Skills!A22</f>
        <v/>
      </c>
      <c r="B1148">
        <f>Skills!B22</f>
        <v/>
      </c>
      <c r="C1148">
        <f>TRUE</f>
        <v/>
      </c>
      <c r="D1148">
        <f>IF(Skills!C22=1,60+Inputs!$B$25+Inputs!$B$29,IF(Skills!C22=2,90+Inputs!$B$26+Inputs!$B$29,IF(Skills!C22=3,120+Inputs!$B$27+Inputs!$B$29,MAX(0,(Inputs!$B$3-100)*3)+Inputs!$B$28+Inputs!$B$29)))</f>
        <v/>
      </c>
      <c r="E1148">
        <f>INDEX(FactorTable!$B$2:$Y$301, MATCH(ROUND(MIN(300,MAX(1,D1148)),0), FactorTable!$A$2:$A$301,0), Skills!M22+1)</f>
        <v/>
      </c>
      <c r="F1148">
        <f>IF(Skills!N22=TRUE,(Skills!L22/10)*(E1148/1000),Skills!L22/10)+Skills!O22</f>
        <v/>
      </c>
      <c r="G1148">
        <f>Calc!G22</f>
        <v/>
      </c>
      <c r="H1148">
        <f>Calc!H22</f>
        <v/>
      </c>
      <c r="I1148">
        <f>IF(Skills!X22&lt;&gt;"",1+(Skills!X22/10)*(Z1129/1000)/100,1)</f>
        <v/>
      </c>
      <c r="J1148" t="inlineStr"/>
      <c r="K1148" t="inlineStr"/>
      <c r="L1148" t="inlineStr"/>
      <c r="M1148" t="inlineStr"/>
      <c r="N1148" t="inlineStr"/>
      <c r="O1148">
        <f>(1-Summary!$B$11)*S1148+Summary!$B$11*U1148</f>
        <v/>
      </c>
      <c r="P1148">
        <f>IF(B1167=0,0,O1148/B1167)</f>
        <v/>
      </c>
      <c r="Q1148">
        <f>IFERROR(1/(IF(Inputs!$B$38="pvp",15,MAX(0.1,Skills!E22-IF(Skills!F22=TRUE,Inputs!$B$32,0)))*(1-IF(AND(ArtifactsInput!$M$27,Inputs!$B$4="Chapter Hunt"),CHOOSE(ArtifactsInput!$N$27+1,20,24,28,32,36,40),0)/100)),0)</f>
        <v/>
      </c>
      <c r="R1148" t="n">
        <v>0</v>
      </c>
      <c r="S1148" t="n">
        <v>0</v>
      </c>
      <c r="U1148" t="n">
        <v>0</v>
      </c>
    </row>
    <row r="1149">
      <c r="A1149">
        <f>Skills!A23</f>
        <v/>
      </c>
      <c r="B1149">
        <f>Skills!B23</f>
        <v/>
      </c>
      <c r="C1149">
        <f>TRUE</f>
        <v/>
      </c>
      <c r="D1149">
        <f>IF(Skills!C23=1,60+Inputs!$B$25+Inputs!$B$29,IF(Skills!C23=2,90+Inputs!$B$26+Inputs!$B$29,IF(Skills!C23=3,120+Inputs!$B$27+Inputs!$B$29,MAX(0,(Inputs!$B$3-100)*3)+Inputs!$B$28+Inputs!$B$29)))</f>
        <v/>
      </c>
      <c r="E1149">
        <f>INDEX(FactorTable!$B$2:$Y$301, MATCH(ROUND(MIN(300,MAX(1,D1149)),0), FactorTable!$A$2:$A$301,0), Skills!M23+1)</f>
        <v/>
      </c>
      <c r="F1149">
        <f>IF(Skills!N23=TRUE,(Skills!L23/10)*(E1149/1000),Skills!L23/10)+Skills!O23</f>
        <v/>
      </c>
      <c r="G1149">
        <f>Calc!G23</f>
        <v/>
      </c>
      <c r="H1149">
        <f>Calc!H23</f>
        <v/>
      </c>
      <c r="I1149">
        <f>IF(Skills!X23&lt;&gt;"",1+(Skills!X23/10)*(Z1129/1000)/100,1)</f>
        <v/>
      </c>
      <c r="J1149" t="inlineStr"/>
      <c r="K1149" t="inlineStr"/>
      <c r="L1149" t="inlineStr"/>
      <c r="M1149" t="inlineStr"/>
      <c r="N1149" t="inlineStr"/>
      <c r="O1149">
        <f>(1-Summary!$B$11)*S1149+Summary!$B$11*U1149</f>
        <v/>
      </c>
      <c r="P1149">
        <f>IF(B1167=0,0,O1149/B1167)</f>
        <v/>
      </c>
      <c r="Q1149">
        <f>IFERROR(1/(IF(Inputs!$B$38="pvp",15,MAX(0.1,Skills!E23-IF(Skills!F23=TRUE,Inputs!$B$32,0)))*(1-IF(AND(ArtifactsInput!$M$27,Inputs!$B$4="Chapter Hunt"),CHOOSE(ArtifactsInput!$N$27+1,20,24,28,32,36,40),0)/100)),0)</f>
        <v/>
      </c>
      <c r="R1149" t="n">
        <v>0</v>
      </c>
      <c r="S1149" t="n">
        <v>0</v>
      </c>
      <c r="U1149" t="n">
        <v>0</v>
      </c>
    </row>
    <row r="1150">
      <c r="A1150">
        <f>Skills!A24</f>
        <v/>
      </c>
      <c r="B1150">
        <f>Skills!B24</f>
        <v/>
      </c>
      <c r="C1150">
        <f>Inputs!$B$3&gt;=115</f>
        <v/>
      </c>
      <c r="D1150">
        <f>IF(Skills!C24=1,60+Inputs!$B$25+Inputs!$B$29,IF(Skills!C24=2,90+Inputs!$B$26+Inputs!$B$29,IF(Skills!C24=3,120+Inputs!$B$27+Inputs!$B$29,MAX(0,(Inputs!$B$3-100)*3)+Inputs!$B$28+Inputs!$B$29)))</f>
        <v/>
      </c>
      <c r="E1150">
        <f>INDEX(FactorTable!$B$2:$Y$301, MATCH(ROUND(MIN(300,MAX(1,D1150)),0), FactorTable!$A$2:$A$301,0), Skills!M24+1)</f>
        <v/>
      </c>
      <c r="F1150">
        <f>IF(Skills!N24=TRUE,(Skills!L24/10)*(E1150/1000),Skills!L24/10)+Skills!O24</f>
        <v/>
      </c>
      <c r="G1150">
        <f>Calc!G24</f>
        <v/>
      </c>
      <c r="H1150">
        <f>Calc!H24</f>
        <v/>
      </c>
      <c r="I1150">
        <f>IF(Skills!X24&lt;&gt;"",1+(Skills!X24/10)*(Z1129/1000)/100,1)</f>
        <v/>
      </c>
      <c r="J1150">
        <f>((Inputs!$B$6*(1+Inputs!$B$7/100))+(((Inputs!$B$12*(1+Inputs!$B$13/100))-(Inputs!$B$12*(1+Inputs!$B$13/100)))+0.25*(Inputs!$B$14-Inputs!$B$14))*(1+Inputs!$B$7/100))*(F1150/100)</f>
        <v/>
      </c>
      <c r="K1150">
        <f>J1150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1150)</f>
        <v/>
      </c>
      <c r="L1150">
        <f>K1150*(MIN(Inputs!$B$22+(F1148-Calc!F22),(Inputs!$B$23+(IF(ArtifactsInput!$M$15,CHOOSE(ArtifactsInput!$N$15+1,25,30,35,40,45,50)/100*(Inputs!$B$11-Inputs!$B$11),0))))/100+(Inputs!$B$23+(IF(ArtifactsInput!$M$15,CHOOSE(ArtifactsInput!$N$15+1,25,30,35,40,45,50)/100*(Inputs!$B$11-Inputs!$B$11),0)))/100)/2</f>
        <v/>
      </c>
      <c r="M1150">
        <f>L1150*(1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0">
        <f>L1150*(1-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1150*(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0">
        <f>(1-Summary!$B$11)*S1150+Summary!$B$11*U1150</f>
        <v/>
      </c>
      <c r="P1150">
        <f>IF(B1167=0,0,O1150/B1167)</f>
        <v/>
      </c>
      <c r="Q1150">
        <f>IFERROR(1/(IF(Inputs!$B$38="pvp",15,MAX(0.1,Skills!E24-IF(Skills!F24=TRUE,Inputs!$B$32,0)))*(1-IF(AND(ArtifactsInput!$M$27,Inputs!$B$4="Chapter Hunt"),CHOOSE(ArtifactsInput!$N$27+1,20,24,28,32,36,40),0)/100)),0)</f>
        <v/>
      </c>
      <c r="R1150">
        <f>IF(AND(Inputs!$B$38&lt;&gt;"pvp",Inputs!$B$43&gt;0),IF(MAX(0,Inputs!$B$43-B1164)&lt;=0,0,(INT(MAX(0,Inputs!$B$43-B1164)/(IF(Inputs!$B$38="pvp",15,MAX(0.1,Skills!E24-IF(Skills!F24=TRUE,Inputs!$B$32,0)))*(1-IF(AND(ArtifactsInput!$M$27,Inputs!$B$4="Chapter Hunt"),CHOOSE(ArtifactsInput!$N$27+1,20,24,28,32,36,40),0)/100)))+1)),0)</f>
        <v/>
      </c>
      <c r="S1150">
        <f>IF(C1150,(H1150*N1150*IF(AND(Inputs!$B$38&lt;&gt;"pvp",Inputs!$B$43&gt;0),((Skills!G24*((R1150-1)*IF(Skills!H24&gt;0,Skills!I24/Skills!H24,1)+IF(Skills!H24&gt;0,MIN(Skills!I24,MAX(0,MAX(0,Inputs!$B$43-B1164)-((R1150-1)*(IF(Inputs!$B$38="pvp",15,MAX(0.1,Skills!E24-IF(Skills!F24=TRUE,Inputs!$B$32,0)))*(1-IF(AND(ArtifactsInput!$M$27,Inputs!$B$4="Chapter Hunt"),CHOOSE(ArtifactsInput!$N$27+1,20,24,28,32,36,40),0)/100)))))/Skills!H24,1)))/Inputs!$B$43),G1150*Q1150)*(1+IF(Inputs!$B$3&gt;=130,0.2*(Skills!I16/Skills!E15+IF(Inputs!$B$3&gt;=126,0.05*(B1162+Q1139+(H1140*B1163)/(1+Skills!H14*H1140*B1163)+Q1150)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1150*(1-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1150*(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1150*(1-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1150*(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0">
        <f>IF(C1150,(H1150*N1150*IF(AND(Inputs!$B$38&lt;&gt;"pvp",Inputs!$B$43&gt;0),((Skills!G24*((R1150-1)*IF(Skills!H24&gt;0,Skills!I24/Skills!H24,1)+IF(Skills!H24&gt;0,MIN(Skills!I24,MAX(0,MAX(0,Inputs!$B$43-B1164)-((R1150-1)*(IF(Inputs!$B$38="pvp",15,MAX(0.1,Skills!E24-IF(Skills!F24=TRUE,Inputs!$B$32,0)))*(1-IF(AND(ArtifactsInput!$M$27,Inputs!$B$4="Chapter Hunt"),CHOOSE(ArtifactsInput!$N$27+1,20,24,28,32,36,40),0)/100)))))/Skills!H24,1)))/Inputs!$B$43),G1150*Q1150)*(1+IF(Inputs!$B$3&gt;=130,0.2*(Skills!I16/Skills!E15+IF(Inputs!$B$3&gt;=126,0.05*(B1162+Q1139+(H1140*B1163)/(1+Skills!H14*H1140*B1163)+Q1150)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1">
      <c r="A1151">
        <f>Skills!A25</f>
        <v/>
      </c>
      <c r="B1151">
        <f>Skills!B25</f>
        <v/>
      </c>
      <c r="C1151">
        <f>Inputs!$B$3&gt;=117</f>
        <v/>
      </c>
      <c r="D1151">
        <f>IF(Skills!C25=1,60+Inputs!$B$25+Inputs!$B$29,IF(Skills!C25=2,90+Inputs!$B$26+Inputs!$B$29,IF(Skills!C25=3,120+Inputs!$B$27+Inputs!$B$29,MAX(0,(Inputs!$B$3-100)*3)+Inputs!$B$28+Inputs!$B$29)))</f>
        <v/>
      </c>
      <c r="E1151">
        <f>INDEX(FactorTable!$B$2:$Y$301, MATCH(ROUND(MIN(300,MAX(1,D1151)),0), FactorTable!$A$2:$A$301,0), Skills!M25+1)</f>
        <v/>
      </c>
      <c r="F1151">
        <f>IF(Skills!N25=TRUE,(Skills!L25/10)*(E1151/1000),Skills!L25/10)+Skills!O25</f>
        <v/>
      </c>
      <c r="G1151">
        <f>Calc!G25</f>
        <v/>
      </c>
      <c r="H1151">
        <f>Calc!H25</f>
        <v/>
      </c>
      <c r="I1151">
        <f>IF(Skills!X25&lt;&gt;"",1+(Skills!X25/10)*(Z1129/1000)/100,1)</f>
        <v/>
      </c>
      <c r="J1151" t="inlineStr"/>
      <c r="K1151" t="inlineStr"/>
      <c r="L1151" t="inlineStr"/>
      <c r="M1151" t="inlineStr"/>
      <c r="N1151" t="inlineStr"/>
      <c r="O1151">
        <f>(1-Summary!$B$11)*S1151+Summary!$B$11*U1151</f>
        <v/>
      </c>
      <c r="P1151">
        <f>IF(B1167=0,0,O1151/B1167)</f>
        <v/>
      </c>
      <c r="Q1151">
        <f>IFERROR(1/(IF(Inputs!$B$38="pvp",15,MAX(0.1,Skills!E25-IF(Skills!F25=TRUE,Inputs!$B$32,0)))*(1-IF(AND(ArtifactsInput!$M$27,Inputs!$B$4="Chapter Hunt"),CHOOSE(ArtifactsInput!$N$27+1,20,24,28,32,36,40),0)/100)),0)</f>
        <v/>
      </c>
      <c r="R1151" t="n">
        <v>0</v>
      </c>
      <c r="S1151" t="n">
        <v>0</v>
      </c>
      <c r="U1151" t="n">
        <v>0</v>
      </c>
    </row>
    <row r="1152">
      <c r="A1152">
        <f>Skills!A26</f>
        <v/>
      </c>
      <c r="B1152">
        <f>Skills!B26</f>
        <v/>
      </c>
      <c r="C1152">
        <f>Inputs!$B$3&gt;=120</f>
        <v/>
      </c>
      <c r="D1152">
        <f>IF(Skills!C26=1,60+Inputs!$B$25+Inputs!$B$29,IF(Skills!C26=2,90+Inputs!$B$26+Inputs!$B$29,IF(Skills!C26=3,120+Inputs!$B$27+Inputs!$B$29,MAX(0,(Inputs!$B$3-100)*3)+Inputs!$B$28+Inputs!$B$29)))</f>
        <v/>
      </c>
      <c r="E1152">
        <f>INDEX(FactorTable!$B$2:$Y$301, MATCH(ROUND(MIN(300,MAX(1,D1152)),0), FactorTable!$A$2:$A$301,0), Skills!M26+1)</f>
        <v/>
      </c>
      <c r="F1152">
        <f>IF(Skills!N26=TRUE,(Skills!L26/10)*(E1152/1000),Skills!L26/10)+Skills!O26</f>
        <v/>
      </c>
      <c r="G1152">
        <f>Calc!G26</f>
        <v/>
      </c>
      <c r="H1152">
        <f>Calc!H26</f>
        <v/>
      </c>
      <c r="I1152">
        <f>IF(Skills!X26&lt;&gt;"",1+(Skills!X26/10)*(Z1129/1000)/100,1)</f>
        <v/>
      </c>
      <c r="J1152" t="inlineStr"/>
      <c r="K1152" t="inlineStr"/>
      <c r="L1152" t="inlineStr"/>
      <c r="M1152" t="inlineStr"/>
      <c r="N1152" t="inlineStr"/>
      <c r="O1152">
        <f>(1-Summary!$B$11)*S1152+Summary!$B$11*U1152</f>
        <v/>
      </c>
      <c r="P1152">
        <f>IF(B1167=0,0,O1152/B1167)</f>
        <v/>
      </c>
      <c r="Q1152">
        <f>IFERROR(1/(IF(Inputs!$B$38="pvp",15,MAX(0.1,Skills!E26-IF(Skills!F26=TRUE,Inputs!$B$32,0)))*(1-IF(AND(ArtifactsInput!$M$27,Inputs!$B$4="Chapter Hunt"),CHOOSE(ArtifactsInput!$N$27+1,20,24,28,32,36,40),0)/100)),0)</f>
        <v/>
      </c>
      <c r="R1152" t="n">
        <v>0</v>
      </c>
      <c r="S1152" t="n">
        <v>0</v>
      </c>
      <c r="U1152" t="n">
        <v>0</v>
      </c>
    </row>
    <row r="1153">
      <c r="A1153">
        <f>Skills!A27</f>
        <v/>
      </c>
      <c r="B1153">
        <f>Skills!B27</f>
        <v/>
      </c>
      <c r="C1153">
        <f>Inputs!$B$3&gt;=125</f>
        <v/>
      </c>
      <c r="D1153">
        <f>IF(Skills!C27=1,60+Inputs!$B$25+Inputs!$B$29,IF(Skills!C27=2,90+Inputs!$B$26+Inputs!$B$29,IF(Skills!C27=3,120+Inputs!$B$27+Inputs!$B$29,MAX(0,(Inputs!$B$3-100)*3)+Inputs!$B$28+Inputs!$B$29)))</f>
        <v/>
      </c>
      <c r="E1153">
        <f>INDEX(FactorTable!$B$2:$Y$301, MATCH(ROUND(MIN(300,MAX(1,D1153)),0), FactorTable!$A$2:$A$301,0), Skills!M27+1)</f>
        <v/>
      </c>
      <c r="F1153">
        <f>IF(Skills!N27=TRUE,(Skills!L27/10)*(E1153/1000),Skills!L27/10)+Skills!O27</f>
        <v/>
      </c>
      <c r="G1153">
        <f>Calc!G27</f>
        <v/>
      </c>
      <c r="H1153">
        <f>Calc!H27</f>
        <v/>
      </c>
      <c r="I1153">
        <f>IF(Skills!X27&lt;&gt;"",1+(Skills!X27/10)*(Z1129/1000)/100,1)</f>
        <v/>
      </c>
      <c r="J1153" t="inlineStr"/>
      <c r="K1153" t="inlineStr"/>
      <c r="L1153" t="inlineStr"/>
      <c r="M1153" t="inlineStr"/>
      <c r="N1153" t="inlineStr"/>
      <c r="O1153">
        <f>(1-Summary!$B$11)*S1153+Summary!$B$11*U1153</f>
        <v/>
      </c>
      <c r="P1153">
        <f>IF(B1167=0,0,O1153/B1167)</f>
        <v/>
      </c>
      <c r="Q1153">
        <f>IFERROR(1/(IF(Inputs!$B$38="pvp",15,MAX(0.1,Skills!E27-IF(Skills!F27=TRUE,Inputs!$B$32,0)))*(1-IF(AND(ArtifactsInput!$M$27,Inputs!$B$4="Chapter Hunt"),CHOOSE(ArtifactsInput!$N$27+1,20,24,28,32,36,40),0)/100)),0)</f>
        <v/>
      </c>
      <c r="R1153" t="n">
        <v>0</v>
      </c>
      <c r="S1153" t="n">
        <v>0</v>
      </c>
      <c r="U1153" t="n">
        <v>0</v>
      </c>
    </row>
    <row r="1154">
      <c r="A1154">
        <f>Skills!A28</f>
        <v/>
      </c>
      <c r="B1154">
        <f>Skills!B28</f>
        <v/>
      </c>
      <c r="C1154">
        <f>Inputs!$B$3&gt;=118</f>
        <v/>
      </c>
      <c r="D1154">
        <f>IF(Skills!C28=1,60+Inputs!$B$25+Inputs!$B$29,IF(Skills!C28=2,90+Inputs!$B$26+Inputs!$B$29,IF(Skills!C28=3,120+Inputs!$B$27+Inputs!$B$29,MAX(0,(Inputs!$B$3-100)*3)+Inputs!$B$28+Inputs!$B$29)))</f>
        <v/>
      </c>
      <c r="E1154">
        <f>INDEX(FactorTable!$B$2:$Y$301, MATCH(ROUND(MIN(300,MAX(1,D1154)),0), FactorTable!$A$2:$A$301,0), Skills!M28+1)</f>
        <v/>
      </c>
      <c r="F1154">
        <f>IF(Skills!N28=TRUE,(Skills!L28/10)*(E1154/1000),Skills!L28/10)+Skills!O28</f>
        <v/>
      </c>
      <c r="G1154">
        <f>Calc!G28</f>
        <v/>
      </c>
      <c r="H1154">
        <f>Calc!H28</f>
        <v/>
      </c>
      <c r="I1154">
        <f>IF(Skills!X28&lt;&gt;"",1+(Skills!X28/10)*(Z1129/1000)/100,1)</f>
        <v/>
      </c>
      <c r="J1154">
        <f>((Inputs!$B$6*(1+Inputs!$B$7/100))+(((Inputs!$B$12*(1+Inputs!$B$13/100))-(Inputs!$B$12*(1+Inputs!$B$13/100)))+0.25*(Inputs!$B$14-Inputs!$B$14))*(1+Inputs!$B$7/100))*(F1154/100)</f>
        <v/>
      </c>
      <c r="K1154">
        <f>J1154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1149/100)*(1+IF(Inputs!$B$3&gt;=120,F1152,0)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1153*5,0)))/100)*(B1156*B1157*B1158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1154)</f>
        <v/>
      </c>
      <c r="L1154">
        <f>K1154*(MIN(Inputs!$B$22+(F1148-Calc!F22),(Inputs!$B$23+(IF(ArtifactsInput!$M$15,CHOOSE(ArtifactsInput!$N$15+1,25,30,35,40,45,50)/100*(Inputs!$B$11-Inputs!$B$11),0))))/100+(Inputs!$B$23+(IF(ArtifactsInput!$M$15,CHOOSE(ArtifactsInput!$N$15+1,25,30,35,40,45,50)/100*(Inputs!$B$11-Inputs!$B$11),0)))/100)/2</f>
        <v/>
      </c>
      <c r="M1154">
        <f>L1154*(1+(Inputs!$B$10+(F1147-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4">
        <f>L1154*(1-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1154*(MIN((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4">
        <f>(1-Summary!$B$11)*S1154+Summary!$B$11*U1154</f>
        <v/>
      </c>
      <c r="P1154">
        <f>IF(B1167=0,0,O1154/B1167)</f>
        <v/>
      </c>
      <c r="Q1154">
        <f>IFERROR(1/(IF(Inputs!$B$38="pvp",15,MAX(0.1,Skills!E28-IF(Skills!F28=TRUE,Inputs!$B$32,0)))*(1-IF(AND(ArtifactsInput!$M$27,Inputs!$B$4="Chapter Hunt"),CHOOSE(ArtifactsInput!$N$27+1,20,24,28,32,36,40),0)/100)),0)</f>
        <v/>
      </c>
      <c r="R1154">
        <f>IF(AND(Inputs!$B$38&lt;&gt;"pvp",Inputs!$B$43&gt;0),IF(MAX(0,Inputs!$B$43-B1164)&lt;=0,0,(INT(MAX(0,Inputs!$B$43-B1164)/(IF(Inputs!$B$38="pvp",15,MAX(0.1,Skills!E28-IF(Skills!F28=TRUE,Inputs!$B$32,0)))*(1-IF(AND(ArtifactsInput!$M$27,Inputs!$B$4="Chapter Hunt"),CHOOSE(ArtifactsInput!$N$27+1,20,24,28,32,36,40),0)/100)))+1)),0)</f>
        <v/>
      </c>
      <c r="S1154">
        <f>IF(C1154,(H1154*N1154*IF(AND(Inputs!$B$38&lt;&gt;"pvp",Inputs!$B$43&gt;0),((Skills!G28*((R1154-1)*IF(Skills!H28&gt;0,Skills!I28/Skills!H28,1)+IF(Skills!H28&gt;0,MIN(Skills!I28,MAX(0,MAX(0,Inputs!$B$43-B1164)-((R1154-1)*(IF(Inputs!$B$38="pvp",15,MAX(0.1,Skills!E28-IF(Skills!F28=TRUE,Inputs!$B$32,0)))*(1-IF(AND(ArtifactsInput!$M$27,Inputs!$B$4="Chapter Hunt"),CHOOSE(ArtifactsInput!$N$27+1,20,24,28,32,36,40),0)/100)))))/Skills!H28,1)))/Inputs!$B$43),G1154*Q1154)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1154*(1-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1154*(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1154*(1-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1154*(MIN(100,(Inputs!$B$9+(F1146-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4">
        <f>IF(C1154,(H1154*N1154*IF(AND(Inputs!$B$38&lt;&gt;"pvp",Inputs!$B$43&gt;0),((Skills!G28*((R1154-1)*IF(Skills!H28&gt;0,Skills!I28/Skills!H28,1)+IF(Skills!H28&gt;0,MIN(Skills!I28,MAX(0,MAX(0,Inputs!$B$43-B1164)-((R1154-1)*(IF(Inputs!$B$38="pvp",15,MAX(0.1,Skills!E28-IF(Skills!F28=TRUE,Inputs!$B$32,0)))*(1-IF(AND(ArtifactsInput!$M$27,Inputs!$B$4="Chapter Hunt"),CHOOSE(ArtifactsInput!$N$27+1,20,24,28,32,36,40),0)/100)))))/Skills!H28,1)))/Inputs!$B$43),G1154*Q1154)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6">
      <c r="A1156" t="inlineStr">
        <is>
          <t>Burning Magic Multiplier</t>
        </is>
      </c>
      <c r="B1156">
        <f>1+(F1137*Skills!Z11)/100</f>
        <v/>
      </c>
    </row>
    <row r="1157">
      <c r="A1157" t="inlineStr">
        <is>
          <t>Elemental Decrease Multiplier (always-on)</t>
        </is>
      </c>
      <c r="B1157">
        <f>1+(F1138+(IF(AND(ArtifactsInput!$M$35,Inputs!$B$4&lt;&gt;"Chapter Hunt"),CHOOSE(ArtifactsInput!$N$35+1,15,18,21,24,27,30)*(1-EXP(-(0.2*B1160)*5)),0)+IF(AND(ArtifactsInput!$M$22,Inputs!$B$4&lt;&gt;"Chapter Hunt"),CHOOSE(ArtifactsInput!$N$22+1,10,12,14,16,18,20)*((0*(((0.15*B1160*5))^0/1)+1*(((0.15*B1160*5))^1/1)+2*(((0.15*B1160*5))^2/2)+3*(((0.15*B1160*5))^3/6)+4*(((0.15*B1160*5))^4/24)+5*(((0.15*B1160*5))^5/120))/((((0.15*B1160*5))^0/1)+(((0.15*B1160*5))^1/1)+(((0.15*B1160*5))^2/2)+(((0.15*B1160*5))^3/6)+(((0.15*B1160*5))^4/24)+(((0.15*B1160*5))^5/120))),0)))/100</f>
        <v/>
      </c>
    </row>
    <row r="1158">
      <c r="A1158" t="inlineStr">
        <is>
          <t>Average Buff Multiplier (Magic Guard + Meditation + Artifact Attack%, summed; then Infinity)</t>
        </is>
      </c>
      <c r="B1158">
        <f>(1+(F1132*IF(AND(Inputs!$B$38&lt;&gt;"pvp",Inputs!$B$43&gt;0),(((R1132-1)*(Skills!T6*(1+(((Inputs!$B$34+1)+(ArtifactsInput!$M$7-ArtifactsInput!$M$7)*CHOOSE(ArtifactsInput!$N$7+1,6,7.2,8.4,9.6,10.8,12)))/100))+MIN((Skills!T6*(1+(((Inputs!$B$34+1)+(ArtifactsInput!$M$7-ArtifactsInput!$M$7)*CHOOSE(ArtifactsInput!$N$7+1,6,7.2,8.4,9.6,10.8,12)))/100)),MAX(0,Inputs!$B$43-((R1132-1)*Skills!E6))))/Inputs!$B$43),IF(Inputs!$B$38="pvp",MIN((Skills!T6*(1+(((Inputs!$B$34+1)+(ArtifactsInput!$M$7-ArtifactsInput!$M$7)*CHOOSE(ArtifactsInput!$N$7+1,6,7.2,8.4,9.6,10.8,12)))/100)),15)/15,(Skills!T6*(1+(((Inputs!$B$34+1)+(ArtifactsInput!$M$7-ArtifactsInput!$M$7)*CHOOSE(ArtifactsInput!$N$7+1,6,7.2,8.4,9.6,10.8,12)))/100))/Skills!E6))+F1143*IF(AND(Inputs!$B$38&lt;&gt;"pvp",Inputs!$B$43&gt;0),(((R1143-1)*(Skills!T17*(1+(((Inputs!$B$34+1)+(ArtifactsInput!$M$7-ArtifactsInput!$M$7)*CHOOSE(ArtifactsInput!$N$7+1,6,7.2,8.4,9.6,10.8,12)))/100))+MIN((Skills!T17*(1+(((Inputs!$B$34+1)+(ArtifactsInput!$M$7-ArtifactsInput!$M$7)*CHOOSE(ArtifactsInput!$N$7+1,6,7.2,8.4,9.6,10.8,12)))/100)),MAX(0,Inputs!$B$43-((R1143-1)*Skills!E17))))/Inputs!$B$43),IF(Inputs!$B$38="pvp",MIN((Skills!T17*(1+(((Inputs!$B$34+1)+(ArtifactsInput!$M$7-ArtifactsInput!$M$7)*CHOOSE(ArtifactsInput!$N$7+1,6,7.2,8.4,9.6,10.8,12)))/100)),15)/15,(Skills!T17*(1+(((Inputs!$B$34+1)+(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1145=TRUE,(1+F1145*IF(AND(Inputs!$B$38&lt;&gt;"pvp",Inputs!$B$43&gt;0),(((R1145-1)*(Skills!T19*(1+(((Inputs!$B$34+1)+(ArtifactsInput!$M$7-ArtifactsInput!$M$7)*CHOOSE(ArtifactsInput!$N$7+1,6,7.2,8.4,9.6,10.8,12)))/100))+MIN((Skills!T19*(1+(((Inputs!$B$34+1)+(ArtifactsInput!$M$7-ArtifactsInput!$M$7)*CHOOSE(ArtifactsInput!$N$7+1,6,7.2,8.4,9.6,10.8,12)))/100)),MAX(0,Inputs!$B$43-((R1145-1)*Skills!E19))))/Inputs!$B$43),IF(Inputs!$B$38="pvp",MIN((Skills!T19*(1+(((Inputs!$B$34+1)+(ArtifactsInput!$M$7-ArtifactsInput!$M$7)*CHOOSE(ArtifactsInput!$N$7+1,6,7.2,8.4,9.6,10.8,12)))/100)),15)/15,(Skills!T19*(1+(((Inputs!$B$34+1)+(ArtifactsInput!$M$7-ArtifactsInput!$M$7)*CHOOSE(ArtifactsInput!$N$7+1,6,7.2,8.4,9.6,10.8,12)))/100))/Skills!E19))/100),1)</f>
        <v/>
      </c>
    </row>
    <row r="1159">
      <c r="A1159" t="inlineStr">
        <is>
          <t>Attack Speed Buff Bonus % (Nimble Feet, averaged)</t>
        </is>
      </c>
      <c r="B1159">
        <f>F1144*IF(AND(Inputs!$B$38&lt;&gt;"pvp",Inputs!$B$43&gt;0),(((R1144-1)*(Skills!T18*(1+(((Inputs!$B$34+1)+(ArtifactsInput!$M$7-ArtifactsInput!$M$7)*CHOOSE(ArtifactsInput!$N$7+1,6,7.2,8.4,9.6,10.8,12)))/100))+MIN((Skills!T18*(1+(((Inputs!$B$34+1)+(ArtifactsInput!$M$7-ArtifactsInput!$M$7)*CHOOSE(ArtifactsInput!$N$7+1,6,7.2,8.4,9.6,10.8,12)))/100)),MAX(0,Inputs!$B$43-((R1144-1)*Skills!E18))))/Inputs!$B$43),IF(Inputs!$B$38="pvp",MIN((Skills!T18*(1+(((Inputs!$B$34+1)+(ArtifactsInput!$M$7-ArtifactsInput!$M$7)*CHOOSE(ArtifactsInput!$N$7+1,6,7.2,8.4,9.6,10.8,12)))/100)),15)/15,(Skills!T18*(1+(((Inputs!$B$34+1)+(ArtifactsInput!$M$7-ArtifactsInput!$M$7)*CHOOSE(ArtifactsInput!$N$7+1,6,7.2,8.4,9.6,10.8,12)))/100))/Skills!E18))</f>
        <v/>
      </c>
    </row>
    <row r="1160">
      <c r="A1160" t="inlineStr">
        <is>
          <t>Actions Per Second</t>
        </is>
      </c>
      <c r="B1160">
        <f>1+MIN(150,150*(1-(1-(Inputs!$B$11+(ArtifactsInput!$M$15-ArtifactsInput!$M$15)*CHOOSE(ArtifactsInput!$N$15+1,8,9.6,11.2,12.8,14.4,16))/150)*(1-B1159/150)))/100</f>
        <v/>
      </c>
    </row>
    <row r="1161">
      <c r="A1161" t="inlineStr">
        <is>
          <t>Skill + Buff Cast Rate</t>
        </is>
      </c>
      <c r="B1161">
        <f>IF(AND(Inputs!$B$38&lt;&gt;"pvp",Inputs!$B$43&gt;0),SUMPRODUCT((Skills!F2:F28=TRUE)*(C1128:C1154=TRUE)*R1128:R1154)/Inputs!$B$43,SUMPRODUCT((Skills!F2:F28=TRUE)*(C1128:C1154=TRUE)*Q1128:Q1154))</f>
        <v/>
      </c>
    </row>
    <row r="1162">
      <c r="A1162" t="inlineStr">
        <is>
          <t>Basic Attacks Per Second</t>
        </is>
      </c>
      <c r="B1162">
        <f>MAX(0,B1160-B1161)</f>
        <v/>
      </c>
    </row>
    <row r="1163">
      <c r="A1163" t="inlineStr">
        <is>
          <t>Meteor Proc — combined trigger cast rate</t>
        </is>
      </c>
      <c r="B1163">
        <f>IF(AND(Inputs!$B$38&lt;&gt;"pvp",Inputs!$B$43&gt;0),SUMPRODUCT((Skills!V2:V28=TRUE)*(C1128:C1154=TRUE)*R1128:R1154*Skills!W2:W28)/Inputs!$B$43,SUMPRODUCT((Skills!V2:V28=TRUE)*(C1128:C1154=TRUE)*Q1128:Q1154*Skills!W2:W28))+B1162</f>
        <v/>
      </c>
    </row>
    <row r="1164">
      <c r="A1164" t="inlineStr">
        <is>
          <t>Buff-Casting Startup Delay (s, fixed-duration only)</t>
        </is>
      </c>
      <c r="B1164">
        <f>IF(AND(Inputs!$B$38&lt;&gt;"pvp",Inputs!$B$43&gt;0),SUMPRODUCT((Skills!T2:T28&gt;0)*(Skills!F2:F28=TRUE)*(C1128:C1154=TRUE))/B1160,0)</f>
        <v/>
      </c>
    </row>
    <row r="1165">
      <c r="A1165" t="inlineStr">
        <is>
          <t>Boss-Only Total DPS (this block's swept value)</t>
        </is>
      </c>
      <c r="B1165">
        <f>SUM(S1128:S1154)</f>
        <v/>
      </c>
    </row>
    <row r="1166">
      <c r="A1166" t="inlineStr">
        <is>
          <t>Normal-Only Total DPS (this block's swept value)</t>
        </is>
      </c>
      <c r="B1166">
        <f>SUM(U1128:U1154)</f>
        <v/>
      </c>
    </row>
    <row r="1167">
      <c r="A1167" s="6" t="inlineStr">
        <is>
          <t>TOTAL DPS</t>
        </is>
      </c>
      <c r="B1167" s="6">
        <f>SUM(O1128:O1154)</f>
        <v/>
      </c>
    </row>
    <row r="1170">
      <c r="A1170" s="6" t="inlineStr">
        <is>
          <t>Stat: Charm of the Undead (Equip)</t>
        </is>
      </c>
    </row>
    <row r="1171">
      <c r="A1171" s="5" t="inlineStr">
        <is>
          <t>Key</t>
        </is>
      </c>
      <c r="B1171" s="5" t="inlineStr">
        <is>
          <t>Name</t>
        </is>
      </c>
      <c r="C1171" s="5" t="inlineStr">
        <is>
          <t>Unlocked</t>
        </is>
      </c>
      <c r="D1171" s="5" t="inlineStr">
        <is>
          <t>InputLevel</t>
        </is>
      </c>
      <c r="E1171" s="5" t="inlineStr">
        <is>
          <t>Factor</t>
        </is>
      </c>
      <c r="F1171" s="5" t="inlineStr">
        <is>
          <t>CoefficientPercent</t>
        </is>
      </c>
      <c r="G1171" s="5" t="inlineStr">
        <is>
          <t>EffectiveHits</t>
        </is>
      </c>
      <c r="H1171" s="5" t="inlineStr">
        <is>
          <t>ProcProbability</t>
        </is>
      </c>
      <c r="I1171" s="5" t="inlineStr">
        <is>
          <t>MapleHeroMultiplier</t>
        </is>
      </c>
      <c r="J1171" s="5" t="inlineStr">
        <is>
          <t>BaseDamage</t>
        </is>
      </c>
      <c r="K1171" s="5" t="inlineStr">
        <is>
          <t>BaseHitDamage</t>
        </is>
      </c>
      <c r="L1171" s="5" t="inlineStr">
        <is>
          <t>NonCritAvg</t>
        </is>
      </c>
      <c r="M1171" s="5" t="inlineStr">
        <is>
          <t>CritAvg</t>
        </is>
      </c>
      <c r="N1171" s="5" t="inlineStr">
        <is>
          <t>ExpectedDamage(perHit)</t>
        </is>
      </c>
      <c r="O1171" s="5" t="inlineStr">
        <is>
          <t>DPS</t>
        </is>
      </c>
      <c r="P1171" s="5" t="inlineStr">
        <is>
          <t>% of Total</t>
        </is>
      </c>
      <c r="R1171" t="inlineStr">
        <is>
          <t>helpers</t>
        </is>
      </c>
    </row>
    <row r="1172">
      <c r="A1172">
        <f>Skills!A2</f>
        <v/>
      </c>
      <c r="B1172">
        <f>Skills!B2</f>
        <v/>
      </c>
      <c r="C1172">
        <f>TRUE</f>
        <v/>
      </c>
      <c r="D1172" t="inlineStr"/>
      <c r="E1172" t="inlineStr"/>
      <c r="F1172">
        <f>T1174+Skills!O2</f>
        <v/>
      </c>
      <c r="G1172">
        <f>Calc!G2</f>
        <v/>
      </c>
      <c r="H1172">
        <f>Calc!H2</f>
        <v/>
      </c>
      <c r="I1172">
        <f>IF(Skills!X2&lt;&gt;"",1+(Skills!X2/10)*(Z1173/1000)/100,1)</f>
        <v/>
      </c>
      <c r="J1172">
        <f>((Inputs!$B$6*(1+Inputs!$B$7/100))+(((Inputs!$B$12*(1+Inputs!$B$13/100))-(Inputs!$B$12*(1+Inputs!$B$13/100)))+0.25*(Inputs!$B$14-Inputs!$B$14))*(1+Inputs!$B$7/100))*(F1172/100)</f>
        <v/>
      </c>
      <c r="K1172">
        <f>J1172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1172)</f>
        <v/>
      </c>
      <c r="L1172">
        <f>K1172*(MIN(Inputs!$B$22+(F1192-Calc!F22),(Inputs!$B$23+(IF(ArtifactsInput!$M$15,CHOOSE(ArtifactsInput!$N$15+1,25,30,35,40,45,50)/100*(Inputs!$B$11-Inputs!$B$11),0))))/100+(Inputs!$B$23+(IF(ArtifactsInput!$M$15,CHOOSE(ArtifactsInput!$N$15+1,25,30,35,40,45,50)/100*(Inputs!$B$11-Inputs!$B$11),0)))/100)/2</f>
        <v/>
      </c>
      <c r="M1172">
        <f>L1172*(1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2">
        <f>L1172*(1-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1172*(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2">
        <f>(1-Summary!$B$11)*S1172+Summary!$B$11*U1172</f>
        <v/>
      </c>
      <c r="P1172">
        <f>IF(B1211=0,0,O1172/B1211)</f>
        <v/>
      </c>
      <c r="Q1172">
        <f>IFERROR(1/(IF(Inputs!$B$38="pvp",15,MAX(0.1,Skills!E2-IF(Skills!F2=TRUE,Inputs!$B$32,0)))*(1-IF(AND(ArtifactsInput!$M$27,Inputs!$B$4="Chapter Hunt"),CHOOSE(ArtifactsInput!$N$27+1,20,24,28,32,36,40),0)/100)),0)</f>
        <v/>
      </c>
      <c r="R1172" t="n">
        <v>0</v>
      </c>
      <c r="S1172">
        <f>(Skills!G2*N1172*B1206)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1172*(1-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1172*(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1172*(1-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1172*(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172">
        <f>MAX(0,(Inputs!$B$3-100)*3)+Inputs!$B$28+Inputs!$B$29</f>
        <v/>
      </c>
      <c r="U1172">
        <f>(Skills!G2*N1172*B1206)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172">
        <f>MAX(0,(Inputs!$B$3-100)*3)+Inputs!$B$28+Inputs!$B$29</f>
        <v/>
      </c>
    </row>
    <row r="1173">
      <c r="A1173">
        <f>Skills!A3</f>
        <v/>
      </c>
      <c r="B1173">
        <f>Skills!B3</f>
        <v/>
      </c>
      <c r="C1173">
        <f>TRUE</f>
        <v/>
      </c>
      <c r="D1173">
        <f>IF(Skills!C3=1,60+Inputs!$B$25+Inputs!$B$29,IF(Skills!C3=2,90+Inputs!$B$26+Inputs!$B$29,IF(Skills!C3=3,120+Inputs!$B$27+Inputs!$B$29,MAX(0,(Inputs!$B$3-100)*3)+Inputs!$B$28+Inputs!$B$29)))</f>
        <v/>
      </c>
      <c r="E1173">
        <f>INDEX(FactorTable!$B$2:$Y$301, MATCH(ROUND(MIN(300,MAX(1,D1173)),0), FactorTable!$A$2:$A$301,0), Skills!M3+1)</f>
        <v/>
      </c>
      <c r="F1173">
        <f>IF(Skills!N3=TRUE,(Skills!L3/10)*(E1173/1000),Skills!L3/10)+Skills!O3</f>
        <v/>
      </c>
      <c r="G1173">
        <f>Calc!G3</f>
        <v/>
      </c>
      <c r="H1173">
        <f>Calc!H3</f>
        <v/>
      </c>
      <c r="I1173">
        <f>IF(Skills!X3&lt;&gt;"",1+(Skills!X3/10)*(Z1173/1000)/100,1)</f>
        <v/>
      </c>
      <c r="J1173">
        <f>((Inputs!$B$6*(1+Inputs!$B$7/100))+(((Inputs!$B$12*(1+Inputs!$B$13/100))-(Inputs!$B$12*(1+Inputs!$B$13/100)))+0.25*(Inputs!$B$14-Inputs!$B$14))*(1+Inputs!$B$7/100))*(F1173/100)</f>
        <v/>
      </c>
      <c r="K1173">
        <f>J1173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1173)</f>
        <v/>
      </c>
      <c r="L1173">
        <f>K1173*(MIN(Inputs!$B$22+(F1192-Calc!F22),(Inputs!$B$23+(IF(ArtifactsInput!$M$15,CHOOSE(ArtifactsInput!$N$15+1,25,30,35,40,45,50)/100*(Inputs!$B$11-Inputs!$B$11),0))))/100+(Inputs!$B$23+(IF(ArtifactsInput!$M$15,CHOOSE(ArtifactsInput!$N$15+1,25,30,35,40,45,50)/100*(Inputs!$B$11-Inputs!$B$11),0)))/100)/2</f>
        <v/>
      </c>
      <c r="M1173">
        <f>L1173*(1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3">
        <f>L1173*(1-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1173*(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3">
        <f>(1-Summary!$B$11)*S1173+Summary!$B$11*U1173</f>
        <v/>
      </c>
      <c r="P1173">
        <f>IF(B1211=0,0,O1173/B1211)</f>
        <v/>
      </c>
      <c r="Q1173">
        <f>IFERROR(1/(IF(Inputs!$B$38="pvp",15,MAX(0.1,Skills!E3-IF(Skills!F3=TRUE,Inputs!$B$32,0)))*(1-IF(AND(ArtifactsInput!$M$27,Inputs!$B$4="Chapter Hunt"),CHOOSE(ArtifactsInput!$N$27+1,20,24,28,32,36,40),0)/100)),0)</f>
        <v/>
      </c>
      <c r="R1173">
        <f>IF(AND(Inputs!$B$38&lt;&gt;"pvp",Inputs!$B$43&gt;0),IF(MAX(0,Inputs!$B$43-B1208)&lt;=0,0,(INT(MAX(0,Inputs!$B$43-B1208)/(IF(Inputs!$B$38="pvp",15,MAX(0.1,Skills!E3-IF(Skills!F3=TRUE,Inputs!$B$32,0)))*(1-IF(AND(ArtifactsInput!$M$27,Inputs!$B$4="Chapter Hunt"),CHOOSE(ArtifactsInput!$N$27+1,20,24,28,32,36,40),0)/100)))+1)),0)</f>
        <v/>
      </c>
      <c r="S1173">
        <f>IF(C1173,(H1173*N1173*IF(AND(Inputs!$B$38&lt;&gt;"pvp",Inputs!$B$43&gt;0),((Skills!G3*((R1173-1)*IF(Skills!H3&gt;0,Skills!I3/Skills!H3,1)+IF(Skills!H3&gt;0,MIN(Skills!I3,MAX(0,MAX(0,Inputs!$B$43-B1208)-((R1173-1)*(IF(Inputs!$B$38="pvp",15,MAX(0.1,Skills!E3-IF(Skills!F3=TRUE,Inputs!$B$32,0)))*(1-IF(AND(ArtifactsInput!$M$27,Inputs!$B$4="Chapter Hunt"),CHOOSE(ArtifactsInput!$N$27+1,20,24,28,32,36,40),0)/100)))))/Skills!H3,1)))/Inputs!$B$43),G1173*Q1173)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1173*(1-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1173*(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1173*(1-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1173*(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73">
        <f>INDEX(FactorTable!$B$2:$Y$301, MATCH(ROUND(MIN(300,MAX(1,T1172)),0), FactorTable!$A$2:$A$301,0), 22)</f>
        <v/>
      </c>
      <c r="U1173">
        <f>IF(C1173,(H1173*N1173*IF(AND(Inputs!$B$38&lt;&gt;"pvp",Inputs!$B$43&gt;0),((Skills!G3*((R1173-1)*IF(Skills!H3&gt;0,Skills!I3/Skills!H3,1)+IF(Skills!H3&gt;0,MIN(Skills!I3,MAX(0,MAX(0,Inputs!$B$43-B1208)-((R1173-1)*(IF(Inputs!$B$38="pvp",15,MAX(0.1,Skills!E3-IF(Skills!F3=TRUE,Inputs!$B$32,0)))*(1-IF(AND(ArtifactsInput!$M$27,Inputs!$B$4="Chapter Hunt"),CHOOSE(ArtifactsInput!$N$27+1,20,24,28,32,36,40),0)/100)))))/Skills!H3,1)))/Inputs!$B$43),G1173*Q1173)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173">
        <f>INDEX(FactorTable!$B$2:$Y$301, MATCH(ROUND(MIN(300,MAX(1,Z1172)),0), FactorTable!$A$2:$A$301,0), 24)</f>
        <v/>
      </c>
    </row>
    <row r="1174">
      <c r="A1174">
        <f>Skills!A4</f>
        <v/>
      </c>
      <c r="B1174">
        <f>Skills!B4</f>
        <v/>
      </c>
      <c r="C1174">
        <f>TRUE</f>
        <v/>
      </c>
      <c r="D1174">
        <f>IF(Skills!C4=1,60+Inputs!$B$25+Inputs!$B$29,IF(Skills!C4=2,90+Inputs!$B$26+Inputs!$B$29,IF(Skills!C4=3,120+Inputs!$B$27+Inputs!$B$29,MAX(0,(Inputs!$B$3-100)*3)+Inputs!$B$28+Inputs!$B$29)))</f>
        <v/>
      </c>
      <c r="E1174">
        <f>INDEX(FactorTable!$B$2:$Y$301, MATCH(ROUND(MIN(300,MAX(1,D1174)),0), FactorTable!$A$2:$A$301,0), Skills!M4+1)</f>
        <v/>
      </c>
      <c r="F1174">
        <f>IF(Skills!N4=TRUE,(Skills!L4/10)*(E1174/1000),Skills!L4/10)+Skills!O4</f>
        <v/>
      </c>
      <c r="G1174">
        <f>Calc!G4</f>
        <v/>
      </c>
      <c r="H1174">
        <f>Calc!H4</f>
        <v/>
      </c>
      <c r="I1174">
        <f>IF(Skills!X4&lt;&gt;"",1+(Skills!X4/10)*(Z1173/1000)/100,1)</f>
        <v/>
      </c>
      <c r="J1174">
        <f>((Inputs!$B$6*(1+Inputs!$B$7/100))+(((Inputs!$B$12*(1+Inputs!$B$13/100))-(Inputs!$B$12*(1+Inputs!$B$13/100)))+0.25*(Inputs!$B$14-Inputs!$B$14))*(1+Inputs!$B$7/100))*(F1174/100)</f>
        <v/>
      </c>
      <c r="K1174">
        <f>J1174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1174)</f>
        <v/>
      </c>
      <c r="L1174">
        <f>K1174*(MIN(Inputs!$B$22+(F1192-Calc!F22),(Inputs!$B$23+(IF(ArtifactsInput!$M$15,CHOOSE(ArtifactsInput!$N$15+1,25,30,35,40,45,50)/100*(Inputs!$B$11-Inputs!$B$11),0))))/100+(Inputs!$B$23+(IF(ArtifactsInput!$M$15,CHOOSE(ArtifactsInput!$N$15+1,25,30,35,40,45,50)/100*(Inputs!$B$11-Inputs!$B$11),0)))/100)/2</f>
        <v/>
      </c>
      <c r="M1174">
        <f>L1174*(1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4">
        <f>L1174*(1-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1174*(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4">
        <f>(1-Summary!$B$11)*S1174+Summary!$B$11*U1174</f>
        <v/>
      </c>
      <c r="P1174">
        <f>IF(B1211=0,0,O1174/B1211)</f>
        <v/>
      </c>
      <c r="Q1174">
        <f>IFERROR(1/(IF(Inputs!$B$38="pvp",15,MAX(0.1,Skills!E4-IF(Skills!F4=TRUE,Inputs!$B$32,0)))*(1-IF(AND(ArtifactsInput!$M$27,Inputs!$B$4="Chapter Hunt"),CHOOSE(ArtifactsInput!$N$27+1,20,24,28,32,36,40),0)/100)),0)</f>
        <v/>
      </c>
      <c r="R1174">
        <f>IF(AND(Inputs!$B$38&lt;&gt;"pvp",Inputs!$B$43&gt;0),IF(MAX(0,Inputs!$B$43-B1208)&lt;=0,0,(INT(MAX(0,Inputs!$B$43-B1208)/(IF(Inputs!$B$38="pvp",15,MAX(0.1,Skills!E4-IF(Skills!F4=TRUE,Inputs!$B$32,0)))*(1-IF(AND(ArtifactsInput!$M$27,Inputs!$B$4="Chapter Hunt"),CHOOSE(ArtifactsInput!$N$27+1,20,24,28,32,36,40),0)/100)))+1)),0)</f>
        <v/>
      </c>
      <c r="S1174">
        <f>IF(C1174,(H1174*N1174*IF(AND(Inputs!$B$38&lt;&gt;"pvp",Inputs!$B$43&gt;0),((Skills!G4*((R1174-1)*IF(Skills!H4&gt;0,Skills!I4/Skills!H4,1)+IF(Skills!H4&gt;0,MIN(Skills!I4,MAX(0,MAX(0,Inputs!$B$43-B1208)-((R1174-1)*(IF(Inputs!$B$38="pvp",15,MAX(0.1,Skills!E4-IF(Skills!F4=TRUE,Inputs!$B$32,0)))*(1-IF(AND(ArtifactsInput!$M$27,Inputs!$B$4="Chapter Hunt"),CHOOSE(ArtifactsInput!$N$27+1,20,24,28,32,36,40),0)/100)))))/Skills!H4,1)))/Inputs!$B$43),G1174*Q1174)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1174*(1-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1174*(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1174*(1-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1174*(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74">
        <f>290*T1173/1000</f>
        <v/>
      </c>
      <c r="U1174">
        <f>IF(C1174,(H1174*N1174*IF(AND(Inputs!$B$38&lt;&gt;"pvp",Inputs!$B$43&gt;0),((Skills!G4*((R1174-1)*IF(Skills!H4&gt;0,Skills!I4/Skills!H4,1)+IF(Skills!H4&gt;0,MIN(Skills!I4,MAX(0,MAX(0,Inputs!$B$43-B1208)-((R1174-1)*(IF(Inputs!$B$38="pvp",15,MAX(0.1,Skills!E4-IF(Skills!F4=TRUE,Inputs!$B$32,0)))*(1-IF(AND(ArtifactsInput!$M$27,Inputs!$B$4="Chapter Hunt"),CHOOSE(ArtifactsInput!$N$27+1,20,24,28,32,36,40),0)/100)))))/Skills!H4,1)))/Inputs!$B$43),G1174*Q1174)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5">
      <c r="A1175">
        <f>Skills!A5</f>
        <v/>
      </c>
      <c r="B1175">
        <f>Skills!B5</f>
        <v/>
      </c>
      <c r="C1175">
        <f>TRUE</f>
        <v/>
      </c>
      <c r="D1175">
        <f>IF(Skills!C5=1,60+Inputs!$B$25+Inputs!$B$29,IF(Skills!C5=2,90+Inputs!$B$26+Inputs!$B$29,IF(Skills!C5=3,120+Inputs!$B$27+Inputs!$B$29,MAX(0,(Inputs!$B$3-100)*3)+Inputs!$B$28+Inputs!$B$29)))</f>
        <v/>
      </c>
      <c r="E1175">
        <f>INDEX(FactorTable!$B$2:$Y$301, MATCH(ROUND(MIN(300,MAX(1,D1175)),0), FactorTable!$A$2:$A$301,0), Skills!M5+1)</f>
        <v/>
      </c>
      <c r="F1175">
        <f>IF(Skills!N5=TRUE,(Skills!L5/10)*(E1175/1000),Skills!L5/10)+Skills!O5</f>
        <v/>
      </c>
      <c r="G1175">
        <f>Calc!G5</f>
        <v/>
      </c>
      <c r="H1175">
        <f>Calc!H5</f>
        <v/>
      </c>
      <c r="I1175">
        <f>IF(Skills!X5&lt;&gt;"",1+(Skills!X5/10)*(Z1173/1000)/100,1)</f>
        <v/>
      </c>
      <c r="J1175">
        <f>((Inputs!$B$6*(1+Inputs!$B$7/100))+(((Inputs!$B$12*(1+Inputs!$B$13/100))-(Inputs!$B$12*(1+Inputs!$B$13/100)))+0.25*(Inputs!$B$14-Inputs!$B$14))*(1+Inputs!$B$7/100))*(F1175/100)</f>
        <v/>
      </c>
      <c r="K1175">
        <f>J1175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1175)</f>
        <v/>
      </c>
      <c r="L1175">
        <f>K1175*(MIN(Inputs!$B$22+(F1192-Calc!F22),(Inputs!$B$23+(IF(ArtifactsInput!$M$15,CHOOSE(ArtifactsInput!$N$15+1,25,30,35,40,45,50)/100*(Inputs!$B$11-Inputs!$B$11),0))))/100+(Inputs!$B$23+(IF(ArtifactsInput!$M$15,CHOOSE(ArtifactsInput!$N$15+1,25,30,35,40,45,50)/100*(Inputs!$B$11-Inputs!$B$11),0)))/100)/2</f>
        <v/>
      </c>
      <c r="M1175">
        <f>L1175*(1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5">
        <f>L1175*(1-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1175*(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5">
        <f>(1-Summary!$B$11)*S1175+Summary!$B$11*U1175</f>
        <v/>
      </c>
      <c r="P1175">
        <f>IF(B1211=0,0,O1175/B1211)</f>
        <v/>
      </c>
      <c r="Q1175">
        <f>IFERROR(1/(IF(Inputs!$B$38="pvp",15,MAX(0.1,Skills!E5-IF(Skills!F5=TRUE,Inputs!$B$32,0)))*(1-IF(AND(ArtifactsInput!$M$27,Inputs!$B$4="Chapter Hunt"),CHOOSE(ArtifactsInput!$N$27+1,20,24,28,32,36,40),0)/100)),0)</f>
        <v/>
      </c>
      <c r="R1175">
        <f>IF(AND(Inputs!$B$38&lt;&gt;"pvp",Inputs!$B$43&gt;0),IF(MAX(0,Inputs!$B$43-B1208)&lt;=0,0,(INT(MAX(0,Inputs!$B$43-B1208)/(IF(Inputs!$B$38="pvp",15,MAX(0.1,Skills!E5-IF(Skills!F5=TRUE,Inputs!$B$32,0)))*(1-IF(AND(ArtifactsInput!$M$27,Inputs!$B$4="Chapter Hunt"),CHOOSE(ArtifactsInput!$N$27+1,20,24,28,32,36,40),0)/100)))+1)),0)</f>
        <v/>
      </c>
      <c r="S1175">
        <f>IF(C1175,(H1175*N1175*IF(AND(Inputs!$B$38&lt;&gt;"pvp",Inputs!$B$43&gt;0),((Skills!G5*((R1175-1)*IF(Skills!H5&gt;0,Skills!I5/Skills!H5,1)+IF(Skills!H5&gt;0,MIN(Skills!I5,MAX(0,MAX(0,Inputs!$B$43-B1208)-((R1175-1)*(IF(Inputs!$B$38="pvp",15,MAX(0.1,Skills!E5-IF(Skills!F5=TRUE,Inputs!$B$32,0)))*(1-IF(AND(ArtifactsInput!$M$27,Inputs!$B$4="Chapter Hunt"),CHOOSE(ArtifactsInput!$N$27+1,20,24,28,32,36,40),0)/100)))))/Skills!H5,1)))/Inputs!$B$43),G1175*Q1175)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1175*(1-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1175*(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1175*(1-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1175*(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5">
        <f>IF(C1175,(H1175*N1175*IF(AND(Inputs!$B$38&lt;&gt;"pvp",Inputs!$B$43&gt;0),((Skills!G5*((R1175-1)*IF(Skills!H5&gt;0,Skills!I5/Skills!H5,1)+IF(Skills!H5&gt;0,MIN(Skills!I5,MAX(0,MAX(0,Inputs!$B$43-B1208)-((R1175-1)*(IF(Inputs!$B$38="pvp",15,MAX(0.1,Skills!E5-IF(Skills!F5=TRUE,Inputs!$B$32,0)))*(1-IF(AND(ArtifactsInput!$M$27,Inputs!$B$4="Chapter Hunt"),CHOOSE(ArtifactsInput!$N$27+1,20,24,28,32,36,40),0)/100)))))/Skills!H5,1)))/Inputs!$B$43),G1175*Q1175)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6">
      <c r="A1176">
        <f>Skills!A6</f>
        <v/>
      </c>
      <c r="B1176">
        <f>Skills!B6</f>
        <v/>
      </c>
      <c r="C1176">
        <f>TRUE</f>
        <v/>
      </c>
      <c r="D1176">
        <f>IF(Skills!C6=1,60+Inputs!$B$25+Inputs!$B$29,IF(Skills!C6=2,90+Inputs!$B$26+Inputs!$B$29,IF(Skills!C6=3,120+Inputs!$B$27+Inputs!$B$29,MAX(0,(Inputs!$B$3-100)*3)+Inputs!$B$28+Inputs!$B$29)))</f>
        <v/>
      </c>
      <c r="E1176">
        <f>INDEX(FactorTable!$B$2:$Y$301, MATCH(ROUND(MIN(300,MAX(1,D1176)),0), FactorTable!$A$2:$A$301,0), Skills!M6+1)</f>
        <v/>
      </c>
      <c r="F1176">
        <f>IF(Skills!N6=TRUE,(Skills!L6/10)*(E1176/1000),Skills!L6/10)+Skills!O6</f>
        <v/>
      </c>
      <c r="G1176">
        <f>Calc!G6</f>
        <v/>
      </c>
      <c r="H1176">
        <f>Calc!H6</f>
        <v/>
      </c>
      <c r="I1176">
        <f>IF(Skills!X6&lt;&gt;"",1+(Skills!X6/10)*(Z1173/1000)/100,1)</f>
        <v/>
      </c>
      <c r="J1176" t="inlineStr"/>
      <c r="K1176" t="inlineStr"/>
      <c r="L1176" t="inlineStr"/>
      <c r="M1176" t="inlineStr"/>
      <c r="N1176" t="inlineStr"/>
      <c r="O1176">
        <f>(1-Summary!$B$11)*S1176+Summary!$B$11*U1176</f>
        <v/>
      </c>
      <c r="P1176">
        <f>IF(B1211=0,0,O1176/B1211)</f>
        <v/>
      </c>
      <c r="Q1176">
        <f>IFERROR(1/(IF(Inputs!$B$38="pvp",15,MAX(0.1,Skills!E6-IF(Skills!F6=TRUE,Inputs!$B$32,0)))*(1-IF(AND(ArtifactsInput!$M$27,Inputs!$B$4="Chapter Hunt"),CHOOSE(ArtifactsInput!$N$27+1,20,24,28,32,36,40),0)/100)),0)</f>
        <v/>
      </c>
      <c r="R1176">
        <f>IF(AND(Inputs!$B$38&lt;&gt;"pvp",Inputs!$B$43&gt;0),IF(Inputs!$B$43&lt;=0,0,(INT(Inputs!$B$43/(IF(Inputs!$B$38="pvp",15,MAX(0.1,Skills!E6-IF(Skills!F6=TRUE,Inputs!$B$32,0)))*(1-IF(AND(ArtifactsInput!$M$27,Inputs!$B$4="Chapter Hunt"),CHOOSE(ArtifactsInput!$N$27+1,20,24,28,32,36,40),0)/100)))+1)),0)</f>
        <v/>
      </c>
      <c r="S1176" t="n">
        <v>0</v>
      </c>
      <c r="U1176" t="n">
        <v>0</v>
      </c>
    </row>
    <row r="1177">
      <c r="A1177">
        <f>Skills!A7</f>
        <v/>
      </c>
      <c r="B1177">
        <f>Skills!B7</f>
        <v/>
      </c>
      <c r="C1177">
        <f>TRUE</f>
        <v/>
      </c>
      <c r="D1177">
        <f>IF(Skills!C7=1,60+Inputs!$B$25+Inputs!$B$29,IF(Skills!C7=2,90+Inputs!$B$26+Inputs!$B$29,IF(Skills!C7=3,120+Inputs!$B$27+Inputs!$B$29,MAX(0,(Inputs!$B$3-100)*3)+Inputs!$B$28+Inputs!$B$29)))</f>
        <v/>
      </c>
      <c r="E1177">
        <f>INDEX(FactorTable!$B$2:$Y$301, MATCH(ROUND(MIN(300,MAX(1,D1177)),0), FactorTable!$A$2:$A$301,0), Skills!M7+1)</f>
        <v/>
      </c>
      <c r="F1177">
        <f>IF(Skills!N7=TRUE,(Skills!L7/10)*(E1177/1000),Skills!L7/10)+Skills!O7</f>
        <v/>
      </c>
      <c r="G1177">
        <f>Calc!G7</f>
        <v/>
      </c>
      <c r="H1177">
        <f>Calc!H7</f>
        <v/>
      </c>
      <c r="I1177">
        <f>IF(Skills!X7&lt;&gt;"",1+(Skills!X7/10)*(Z1173/1000)/100,1)</f>
        <v/>
      </c>
      <c r="J1177">
        <f>((Inputs!$B$6*(1+Inputs!$B$7/100))+(((Inputs!$B$12*(1+Inputs!$B$13/100))-(Inputs!$B$12*(1+Inputs!$B$13/100)))+0.25*(Inputs!$B$14-Inputs!$B$14))*(1+Inputs!$B$7/100))*(F1177/100)</f>
        <v/>
      </c>
      <c r="K1177">
        <f>J1177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1177)</f>
        <v/>
      </c>
      <c r="L1177">
        <f>K1177*(MIN(Inputs!$B$22+(F1192-Calc!F22),(Inputs!$B$23+(IF(ArtifactsInput!$M$15,CHOOSE(ArtifactsInput!$N$15+1,25,30,35,40,45,50)/100*(Inputs!$B$11-Inputs!$B$11),0))))/100+(Inputs!$B$23+(IF(ArtifactsInput!$M$15,CHOOSE(ArtifactsInput!$N$15+1,25,30,35,40,45,50)/100*(Inputs!$B$11-Inputs!$B$11),0)))/100)/2</f>
        <v/>
      </c>
      <c r="M1177">
        <f>L1177*(1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7">
        <f>L1177*(1-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1177*(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7">
        <f>(1-Summary!$B$11)*S1177+Summary!$B$11*U1177</f>
        <v/>
      </c>
      <c r="P1177">
        <f>IF(B1211=0,0,O1177/B1211)</f>
        <v/>
      </c>
      <c r="Q1177">
        <f>IFERROR(1/(IF(Inputs!$B$38="pvp",15,MAX(0.1,Skills!E7-IF(Skills!F7=TRUE,Inputs!$B$32,0)))*(1-IF(AND(ArtifactsInput!$M$27,Inputs!$B$4="Chapter Hunt"),CHOOSE(ArtifactsInput!$N$27+1,20,24,28,32,36,40),0)/100)),0)</f>
        <v/>
      </c>
      <c r="R1177">
        <f>IF(AND(Inputs!$B$38&lt;&gt;"pvp",Inputs!$B$43&gt;0),IF(MAX(0,Inputs!$B$43-B1208)&lt;=0,0,(INT(MAX(0,Inputs!$B$43-B1208)/(IF(Inputs!$B$38="pvp",15,MAX(0.1,Skills!E7-IF(Skills!F7=TRUE,Inputs!$B$32,0)))*(1-IF(AND(ArtifactsInput!$M$27,Inputs!$B$4="Chapter Hunt"),CHOOSE(ArtifactsInput!$N$27+1,20,24,28,32,36,40),0)/100)))+1)),0)</f>
        <v/>
      </c>
      <c r="S1177">
        <f>IF(C1177,(H1177*N1177*IF(AND(Inputs!$B$38&lt;&gt;"pvp",Inputs!$B$43&gt;0),((Skills!G7*((R1177-1)*IF(Skills!H7&gt;0,Skills!I7/Skills!H7,1)+IF(Skills!H7&gt;0,MIN(Skills!I7,MAX(0,MAX(0,Inputs!$B$43-B1208)-((R1177-1)*(IF(Inputs!$B$38="pvp",15,MAX(0.1,Skills!E7-IF(Skills!F7=TRUE,Inputs!$B$32,0)))*(1-IF(AND(ArtifactsInput!$M$27,Inputs!$B$4="Chapter Hunt"),CHOOSE(ArtifactsInput!$N$27+1,20,24,28,32,36,40),0)/100)))))/Skills!H7,1)))/Inputs!$B$43),G1177*Q1177)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1177*(1-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1177*(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1177*(1-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1177*(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7">
        <f>IF(C1177,(H1177*N1177*IF(AND(Inputs!$B$38&lt;&gt;"pvp",Inputs!$B$43&gt;0),((Skills!G7*((R1177-1)*IF(Skills!H7&gt;0,Skills!I7/Skills!H7,1)+IF(Skills!H7&gt;0,MIN(Skills!I7,MAX(0,MAX(0,Inputs!$B$43-B1208)-((R1177-1)*(IF(Inputs!$B$38="pvp",15,MAX(0.1,Skills!E7-IF(Skills!F7=TRUE,Inputs!$B$32,0)))*(1-IF(AND(ArtifactsInput!$M$27,Inputs!$B$4="Chapter Hunt"),CHOOSE(ArtifactsInput!$N$27+1,20,24,28,32,36,40),0)/100)))))/Skills!H7,1)))/Inputs!$B$43),G1177*Q1177)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8">
      <c r="A1178">
        <f>Skills!A8</f>
        <v/>
      </c>
      <c r="B1178">
        <f>Skills!B8</f>
        <v/>
      </c>
      <c r="C1178">
        <f>TRUE</f>
        <v/>
      </c>
      <c r="D1178">
        <f>IF(Skills!C8=1,60+Inputs!$B$25+Inputs!$B$29,IF(Skills!C8=2,90+Inputs!$B$26+Inputs!$B$29,IF(Skills!C8=3,120+Inputs!$B$27+Inputs!$B$29,MAX(0,(Inputs!$B$3-100)*3)+Inputs!$B$28+Inputs!$B$29)))</f>
        <v/>
      </c>
      <c r="E1178">
        <f>INDEX(FactorTable!$B$2:$Y$301, MATCH(ROUND(MIN(300,MAX(1,D1178)),0), FactorTable!$A$2:$A$301,0), Skills!M8+1)</f>
        <v/>
      </c>
      <c r="F1178">
        <f>IF(Skills!N8=TRUE,(Skills!L8/10)*(E1178/1000),Skills!L8/10)+Skills!O8</f>
        <v/>
      </c>
      <c r="G1178">
        <f>Calc!G8</f>
        <v/>
      </c>
      <c r="H1178">
        <f>Calc!H8</f>
        <v/>
      </c>
      <c r="I1178">
        <f>IF(Skills!X8&lt;&gt;"",1+(Skills!X8/10)*(Z1173/1000)/100,1)</f>
        <v/>
      </c>
      <c r="J1178">
        <f>((Inputs!$B$6*(1+Inputs!$B$7/100))+(((Inputs!$B$12*(1+Inputs!$B$13/100))-(Inputs!$B$12*(1+Inputs!$B$13/100)))+0.25*(Inputs!$B$14-Inputs!$B$14))*(1+Inputs!$B$7/100))*(F1178/100)</f>
        <v/>
      </c>
      <c r="K1178">
        <f>J1178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1178)</f>
        <v/>
      </c>
      <c r="L1178">
        <f>K1178*(MIN(Inputs!$B$22+(F1192-Calc!F22),(Inputs!$B$23+(IF(ArtifactsInput!$M$15,CHOOSE(ArtifactsInput!$N$15+1,25,30,35,40,45,50)/100*(Inputs!$B$11-Inputs!$B$11),0))))/100+(Inputs!$B$23+(IF(ArtifactsInput!$M$15,CHOOSE(ArtifactsInput!$N$15+1,25,30,35,40,45,50)/100*(Inputs!$B$11-Inputs!$B$11),0)))/100)/2</f>
        <v/>
      </c>
      <c r="M1178">
        <f>L1178*(1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8">
        <f>L1178*(1-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1178*(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8">
        <f>(1-Summary!$B$11)*S1178+Summary!$B$11*U1178</f>
        <v/>
      </c>
      <c r="P1178">
        <f>IF(B1211=0,0,O1178/B1211)</f>
        <v/>
      </c>
      <c r="Q1178">
        <f>IFERROR(1/(IF(Inputs!$B$38="pvp",15,MAX(0.1,Skills!E8-IF(Skills!F8=TRUE,Inputs!$B$32,0)))*(1-IF(AND(ArtifactsInput!$M$27,Inputs!$B$4="Chapter Hunt"),CHOOSE(ArtifactsInput!$N$27+1,20,24,28,32,36,40),0)/100)),0)</f>
        <v/>
      </c>
      <c r="R1178">
        <f>IF(AND(Inputs!$B$38&lt;&gt;"pvp",Inputs!$B$43&gt;0),IF(MAX(0,Inputs!$B$43-B1208)&lt;=0,0,(INT(MAX(0,Inputs!$B$43-B1208)/(IF(Inputs!$B$38="pvp",15,MAX(0.1,Skills!E8-IF(Skills!F8=TRUE,Inputs!$B$32,0)))*(1-IF(AND(ArtifactsInput!$M$27,Inputs!$B$4="Chapter Hunt"),CHOOSE(ArtifactsInput!$N$27+1,20,24,28,32,36,40),0)/100)))+1)),0)</f>
        <v/>
      </c>
      <c r="S1178">
        <f>IF(C1178,(H1178*N1178*IF(AND(Inputs!$B$38&lt;&gt;"pvp",Inputs!$B$43&gt;0),((Skills!G8*((R1178-1)*IF(Skills!H8&gt;0,Skills!I8/Skills!H8,1)+IF(Skills!H8&gt;0,MIN(Skills!I8,MAX(0,MAX(0,Inputs!$B$43-B1208)-((R1178-1)*(IF(Inputs!$B$38="pvp",15,MAX(0.1,Skills!E8-IF(Skills!F8=TRUE,Inputs!$B$32,0)))*(1-IF(AND(ArtifactsInput!$M$27,Inputs!$B$4="Chapter Hunt"),CHOOSE(ArtifactsInput!$N$27+1,20,24,28,32,36,40),0)/100)))))/Skills!H8,1)))/Inputs!$B$43),G1178*Q1178)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1178*(1-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1178*(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1178*(1-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1178*(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8">
        <f>IF(C1178,(H1178*N1178*IF(AND(Inputs!$B$38&lt;&gt;"pvp",Inputs!$B$43&gt;0),((Skills!G8*((R1178-1)*IF(Skills!H8&gt;0,Skills!I8/Skills!H8,1)+IF(Skills!H8&gt;0,MIN(Skills!I8,MAX(0,MAX(0,Inputs!$B$43-B1208)-((R1178-1)*(IF(Inputs!$B$38="pvp",15,MAX(0.1,Skills!E8-IF(Skills!F8=TRUE,Inputs!$B$32,0)))*(1-IF(AND(ArtifactsInput!$M$27,Inputs!$B$4="Chapter Hunt"),CHOOSE(ArtifactsInput!$N$27+1,20,24,28,32,36,40),0)/100)))))/Skills!H8,1)))/Inputs!$B$43),G1178*Q1178)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9">
      <c r="A1179">
        <f>Skills!A9</f>
        <v/>
      </c>
      <c r="B1179">
        <f>Skills!B9</f>
        <v/>
      </c>
      <c r="C1179">
        <f>Inputs!$B$3&gt;=103</f>
        <v/>
      </c>
      <c r="D1179">
        <f>IF(Skills!C9=1,60+Inputs!$B$25+Inputs!$B$29,IF(Skills!C9=2,90+Inputs!$B$26+Inputs!$B$29,IF(Skills!C9=3,120+Inputs!$B$27+Inputs!$B$29,MAX(0,(Inputs!$B$3-100)*3)+Inputs!$B$28+Inputs!$B$29)))</f>
        <v/>
      </c>
      <c r="E1179">
        <f>INDEX(FactorTable!$B$2:$Y$301, MATCH(ROUND(MIN(300,MAX(1,D1179)),0), FactorTable!$A$2:$A$301,0), Skills!M9+1)</f>
        <v/>
      </c>
      <c r="F1179">
        <f>IF(Skills!N9=TRUE,(Skills!L9/10)*(E1179/1000),Skills!L9/10)+Skills!O9</f>
        <v/>
      </c>
      <c r="G1179">
        <f>Calc!G9</f>
        <v/>
      </c>
      <c r="H1179">
        <f>Calc!H9</f>
        <v/>
      </c>
      <c r="I1179">
        <f>IF(Skills!X9&lt;&gt;"",1+(Skills!X9/10)*(Z1173/1000)/100,1)</f>
        <v/>
      </c>
      <c r="J1179">
        <f>((Inputs!$B$6*(1+Inputs!$B$7/100))+(((Inputs!$B$12*(1+Inputs!$B$13/100))-(Inputs!$B$12*(1+Inputs!$B$13/100)))+0.25*(Inputs!$B$14-Inputs!$B$14))*(1+Inputs!$B$7/100))*(F1179/100)</f>
        <v/>
      </c>
      <c r="K1179">
        <f>J1179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1179)</f>
        <v/>
      </c>
      <c r="L1179">
        <f>K1179*(MIN(Inputs!$B$22+(F1192-Calc!F22),(Inputs!$B$23+(IF(ArtifactsInput!$M$15,CHOOSE(ArtifactsInput!$N$15+1,25,30,35,40,45,50)/100*(Inputs!$B$11-Inputs!$B$11),0))))/100+(Inputs!$B$23+(IF(ArtifactsInput!$M$15,CHOOSE(ArtifactsInput!$N$15+1,25,30,35,40,45,50)/100*(Inputs!$B$11-Inputs!$B$11),0)))/100)/2</f>
        <v/>
      </c>
      <c r="M1179">
        <f>L1179*(1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9">
        <f>L1179*(1-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1179*(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9">
        <f>(1-Summary!$B$11)*S1179+Summary!$B$11*U1179</f>
        <v/>
      </c>
      <c r="P1179">
        <f>IF(B1211=0,0,O1179/B1211)</f>
        <v/>
      </c>
      <c r="Q1179">
        <f>IFERROR(1/(IF(Inputs!$B$38="pvp",15,MAX(0.1,Skills!E9-IF(Skills!F7=TRUE,Inputs!$B$32,0)))*(1-IF(AND(ArtifactsInput!$M$27,Inputs!$B$4="Chapter Hunt"),CHOOSE(ArtifactsInput!$N$27+1,20,24,28,32,36,40),0)/100)),0)</f>
        <v/>
      </c>
      <c r="R1179">
        <f>IF(AND(Inputs!$B$38&lt;&gt;"pvp",Inputs!$B$43&gt;0),IF(MAX(0,Inputs!$B$43-B1208)&lt;=0,0,(INT(MAX(0,Inputs!$B$43-B1208)/(IF(Inputs!$B$38="pvp",15,MAX(0.1,Skills!E9-IF(Skills!F7=TRUE,Inputs!$B$32,0)))*(1-IF(AND(ArtifactsInput!$M$27,Inputs!$B$4="Chapter Hunt"),CHOOSE(ArtifactsInput!$N$27+1,20,24,28,32,36,40),0)/100)))+1)),0)</f>
        <v/>
      </c>
      <c r="S1179">
        <f>IF(C1179,(H1179*N1179*IF(AND(Inputs!$B$38&lt;&gt;"pvp",Inputs!$B$43&gt;0),((Skills!G9*((R1179-1)*IF(Skills!H9&gt;0,Skills!I9/Skills!H9,1)+IF(Skills!H9&gt;0,MIN(Skills!I9,MAX(0,MAX(0,Inputs!$B$43-B1208)-((R1179-1)*(IF(Inputs!$B$38="pvp",15,MAX(0.1,Skills!E9-IF(Skills!F7=TRUE,Inputs!$B$32,0)))*(1-IF(AND(ArtifactsInput!$M$27,Inputs!$B$4="Chapter Hunt"),CHOOSE(ArtifactsInput!$N$27+1,20,24,28,32,36,40),0)/100)))))/Skills!H9,1)))/Inputs!$B$43),G1179*Q1179)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1179*(1-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1179*(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1179*(1-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1179*(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9">
        <f>IF(C1179,(H1179*N1179*IF(AND(Inputs!$B$38&lt;&gt;"pvp",Inputs!$B$43&gt;0),((Skills!G9*((R1179-1)*IF(Skills!H9&gt;0,Skills!I9/Skills!H9,1)+IF(Skills!H9&gt;0,MIN(Skills!I9,MAX(0,MAX(0,Inputs!$B$43-B1208)-((R1179-1)*(IF(Inputs!$B$38="pvp",15,MAX(0.1,Skills!E9-IF(Skills!F7=TRUE,Inputs!$B$32,0)))*(1-IF(AND(ArtifactsInput!$M$27,Inputs!$B$4="Chapter Hunt"),CHOOSE(ArtifactsInput!$N$27+1,20,24,28,32,36,40),0)/100)))))/Skills!H9,1)))/Inputs!$B$43),G1179*Q1179)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0">
      <c r="A1180">
        <f>Skills!A10</f>
        <v/>
      </c>
      <c r="B1180">
        <f>Skills!B10</f>
        <v/>
      </c>
      <c r="C1180">
        <f>TRUE</f>
        <v/>
      </c>
      <c r="D1180">
        <f>IF(Skills!C10=1,60+Inputs!$B$25+Inputs!$B$29,IF(Skills!C10=2,90+Inputs!$B$26+Inputs!$B$29,IF(Skills!C10=3,120+Inputs!$B$27+Inputs!$B$29,MAX(0,(Inputs!$B$3-100)*3)+Inputs!$B$28+Inputs!$B$29)))</f>
        <v/>
      </c>
      <c r="E1180">
        <f>INDEX(FactorTable!$B$2:$Y$301, MATCH(ROUND(MIN(300,MAX(1,D1180)),0), FactorTable!$A$2:$A$301,0), Skills!M10+1)</f>
        <v/>
      </c>
      <c r="F1180">
        <f>IF(Skills!N10=TRUE,(Skills!L10/10)*(E1180/1000),Skills!L10/10)+Skills!O10</f>
        <v/>
      </c>
      <c r="G1180">
        <f>Calc!G10</f>
        <v/>
      </c>
      <c r="H1180">
        <f>Calc!H10</f>
        <v/>
      </c>
      <c r="I1180">
        <f>IF(Skills!X10&lt;&gt;"",1+(Skills!X10/10)*(Z1173/1000)/100,1)</f>
        <v/>
      </c>
      <c r="J1180">
        <f>((Inputs!$B$6*(1+Inputs!$B$7/100))+(((Inputs!$B$12*(1+Inputs!$B$13/100))-(Inputs!$B$12*(1+Inputs!$B$13/100)))+0.25*(Inputs!$B$14-Inputs!$B$14))*(1+Inputs!$B$7/100))*(F1180/100)</f>
        <v/>
      </c>
      <c r="K1180">
        <f>J1180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1180)</f>
        <v/>
      </c>
      <c r="L1180">
        <f>K1180*(MIN(Inputs!$B$22+(F1192-Calc!F22),(Inputs!$B$23+(IF(ArtifactsInput!$M$15,CHOOSE(ArtifactsInput!$N$15+1,25,30,35,40,45,50)/100*(Inputs!$B$11-Inputs!$B$11),0))))/100+(Inputs!$B$23+(IF(ArtifactsInput!$M$15,CHOOSE(ArtifactsInput!$N$15+1,25,30,35,40,45,50)/100*(Inputs!$B$11-Inputs!$B$11),0)))/100)/2</f>
        <v/>
      </c>
      <c r="M1180">
        <f>L1180*(1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0">
        <f>L1180*(1-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1180*(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0">
        <f>(1-Summary!$B$11)*S1180+Summary!$B$11*U1180</f>
        <v/>
      </c>
      <c r="P1180">
        <f>IF(B1211=0,0,O1180/B1211)</f>
        <v/>
      </c>
      <c r="Q1180">
        <f>IFERROR(1/(IF(Inputs!$B$38="pvp",15,MAX(0.1,Skills!E10-IF(Skills!F10=TRUE,Inputs!$B$32,0)))*(1-IF(AND(ArtifactsInput!$M$27,Inputs!$B$4="Chapter Hunt"),CHOOSE(ArtifactsInput!$N$27+1,20,24,28,32,36,40),0)/100)),0)</f>
        <v/>
      </c>
      <c r="R1180">
        <f>IF(AND(Inputs!$B$38&lt;&gt;"pvp",Inputs!$B$43&gt;0),IF(MAX(0,Inputs!$B$43-B1208)&lt;=0,0,(INT(MAX(0,Inputs!$B$43-B1208)/(IF(Inputs!$B$38="pvp",15,MAX(0.1,Skills!E10-IF(Skills!F10=TRUE,Inputs!$B$32,0)))*(1-IF(AND(ArtifactsInput!$M$27,Inputs!$B$4="Chapter Hunt"),CHOOSE(ArtifactsInput!$N$27+1,20,24,28,32,36,40),0)/100)))+1)),0)</f>
        <v/>
      </c>
      <c r="S1180">
        <f>IF(C1180,(H1180*N1180*IF(AND(Inputs!$B$38&lt;&gt;"pvp",Inputs!$B$43&gt;0),((Skills!G10*((R1180-1)*IF(Skills!H10&gt;0,Skills!I10/Skills!H10,1)+IF(Skills!H10&gt;0,MIN(Skills!I10,MAX(0,MAX(0,Inputs!$B$43-B1208)-((R1180-1)*(IF(Inputs!$B$38="pvp",15,MAX(0.1,Skills!E10-IF(Skills!F10=TRUE,Inputs!$B$32,0)))*(1-IF(AND(ArtifactsInput!$M$27,Inputs!$B$4="Chapter Hunt"),CHOOSE(ArtifactsInput!$N$27+1,20,24,28,32,36,40),0)/100)))))/Skills!H10,1)))/Inputs!$B$43),G1180*Q1180)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1180*(1-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1180*(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1180*(1-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1180*(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0">
        <f>IF(C1180,(H1180*N1180*IF(AND(Inputs!$B$38&lt;&gt;"pvp",Inputs!$B$43&gt;0),((Skills!G10*((R1180-1)*IF(Skills!H10&gt;0,Skills!I10/Skills!H10,1)+IF(Skills!H10&gt;0,MIN(Skills!I10,MAX(0,MAX(0,Inputs!$B$43-B1208)-((R1180-1)*(IF(Inputs!$B$38="pvp",15,MAX(0.1,Skills!E10-IF(Skills!F10=TRUE,Inputs!$B$32,0)))*(1-IF(AND(ArtifactsInput!$M$27,Inputs!$B$4="Chapter Hunt"),CHOOSE(ArtifactsInput!$N$27+1,20,24,28,32,36,40),0)/100)))))/Skills!H10,1)))/Inputs!$B$43),G1180*Q1180)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1">
      <c r="A1181">
        <f>Skills!A11</f>
        <v/>
      </c>
      <c r="B1181">
        <f>Skills!B11</f>
        <v/>
      </c>
      <c r="C1181">
        <f>TRUE</f>
        <v/>
      </c>
      <c r="D1181">
        <f>IF(Skills!C11=1,60+Inputs!$B$25+Inputs!$B$29,IF(Skills!C11=2,90+Inputs!$B$26+Inputs!$B$29,IF(Skills!C11=3,120+Inputs!$B$27+Inputs!$B$29,MAX(0,(Inputs!$B$3-100)*3)+Inputs!$B$28+Inputs!$B$29)))</f>
        <v/>
      </c>
      <c r="E1181">
        <f>INDEX(FactorTable!$B$2:$Y$301, MATCH(ROUND(MIN(300,MAX(1,D1181)),0), FactorTable!$A$2:$A$301,0), Skills!M11+1)</f>
        <v/>
      </c>
      <c r="F1181">
        <f>IF(Skills!N11=TRUE,(Skills!L11/10)*(E1181/1000),Skills!L11/10)+Skills!O11</f>
        <v/>
      </c>
      <c r="G1181">
        <f>Calc!G11</f>
        <v/>
      </c>
      <c r="H1181">
        <f>Calc!H11</f>
        <v/>
      </c>
      <c r="I1181">
        <f>IF(Skills!X11&lt;&gt;"",1+(Skills!X11/10)*(Z1173/1000)/100,1)</f>
        <v/>
      </c>
      <c r="J1181" t="inlineStr"/>
      <c r="K1181" t="inlineStr"/>
      <c r="L1181" t="inlineStr"/>
      <c r="M1181" t="inlineStr"/>
      <c r="N1181" t="inlineStr"/>
      <c r="O1181">
        <f>(1-Summary!$B$11)*S1181+Summary!$B$11*U1181</f>
        <v/>
      </c>
      <c r="P1181">
        <f>IF(B1211=0,0,O1181/B1211)</f>
        <v/>
      </c>
      <c r="Q1181">
        <f>IFERROR(1/(IF(Inputs!$B$38="pvp",15,MAX(0.1,Skills!E11-IF(Skills!F11=TRUE,Inputs!$B$32,0)))*(1-IF(AND(ArtifactsInput!$M$27,Inputs!$B$4="Chapter Hunt"),CHOOSE(ArtifactsInput!$N$27+1,20,24,28,32,36,40),0)/100)),0)</f>
        <v/>
      </c>
      <c r="R1181" t="n">
        <v>0</v>
      </c>
      <c r="S1181" t="n">
        <v>0</v>
      </c>
      <c r="U1181" t="n">
        <v>0</v>
      </c>
    </row>
    <row r="1182">
      <c r="A1182">
        <f>Skills!A12</f>
        <v/>
      </c>
      <c r="B1182">
        <f>Skills!B12</f>
        <v/>
      </c>
      <c r="C1182">
        <f>TRUE</f>
        <v/>
      </c>
      <c r="D1182">
        <f>IF(Skills!C12=1,60+Inputs!$B$25+Inputs!$B$29,IF(Skills!C12=2,90+Inputs!$B$26+Inputs!$B$29,IF(Skills!C12=3,120+Inputs!$B$27+Inputs!$B$29,MAX(0,(Inputs!$B$3-100)*3)+Inputs!$B$28+Inputs!$B$29)))</f>
        <v/>
      </c>
      <c r="E1182">
        <f>INDEX(FactorTable!$B$2:$Y$301, MATCH(ROUND(MIN(300,MAX(1,D1182)),0), FactorTable!$A$2:$A$301,0), Skills!M12+1)</f>
        <v/>
      </c>
      <c r="F1182">
        <f>IF(Skills!N12=TRUE,(Skills!L12/10)*(E1182/1000),Skills!L12/10)+Skills!O12</f>
        <v/>
      </c>
      <c r="G1182">
        <f>Calc!G12</f>
        <v/>
      </c>
      <c r="H1182">
        <f>Calc!H12</f>
        <v/>
      </c>
      <c r="I1182">
        <f>IF(Skills!X12&lt;&gt;"",1+(Skills!X12/10)*(Z1173/1000)/100,1)</f>
        <v/>
      </c>
      <c r="J1182" t="inlineStr"/>
      <c r="K1182" t="inlineStr"/>
      <c r="L1182" t="inlineStr"/>
      <c r="M1182" t="inlineStr"/>
      <c r="N1182" t="inlineStr"/>
      <c r="O1182">
        <f>(1-Summary!$B$11)*S1182+Summary!$B$11*U1182</f>
        <v/>
      </c>
      <c r="P1182">
        <f>IF(B1211=0,0,O1182/B1211)</f>
        <v/>
      </c>
      <c r="Q1182">
        <f>IFERROR(1/(IF(Inputs!$B$38="pvp",15,MAX(0.1,Skills!E12-IF(Skills!F12=TRUE,Inputs!$B$32,0)))*(1-IF(AND(ArtifactsInput!$M$27,Inputs!$B$4="Chapter Hunt"),CHOOSE(ArtifactsInput!$N$27+1,20,24,28,32,36,40),0)/100)),0)</f>
        <v/>
      </c>
      <c r="R1182" t="n">
        <v>0</v>
      </c>
      <c r="S1182" t="n">
        <v>0</v>
      </c>
      <c r="U1182" t="n">
        <v>0</v>
      </c>
    </row>
    <row r="1183">
      <c r="A1183">
        <f>Skills!A13</f>
        <v/>
      </c>
      <c r="B1183">
        <f>Skills!B13</f>
        <v/>
      </c>
      <c r="C1183">
        <f>Inputs!$B$3&gt;=105</f>
        <v/>
      </c>
      <c r="D1183">
        <f>IF(Skills!C13=1,60+Inputs!$B$25+Inputs!$B$29,IF(Skills!C13=2,90+Inputs!$B$26+Inputs!$B$29,IF(Skills!C13=3,120+Inputs!$B$27+Inputs!$B$29,MAX(0,(Inputs!$B$3-100)*3)+Inputs!$B$28+Inputs!$B$29)))</f>
        <v/>
      </c>
      <c r="E1183">
        <f>INDEX(FactorTable!$B$2:$Y$301, MATCH(ROUND(MIN(300,MAX(1,D1183)),0), FactorTable!$A$2:$A$301,0), Skills!M13+1)</f>
        <v/>
      </c>
      <c r="F1183">
        <f>IF(Skills!N13=TRUE,(Skills!L13/10)*(E1183/1000),Skills!L13/10)+Skills!O13</f>
        <v/>
      </c>
      <c r="G1183">
        <f>Calc!G13</f>
        <v/>
      </c>
      <c r="H1183">
        <f>Calc!H13</f>
        <v/>
      </c>
      <c r="I1183">
        <f>IF(Skills!X13&lt;&gt;"",1+(Skills!X13/10)*(Z1173/1000)/100,1)</f>
        <v/>
      </c>
      <c r="J1183">
        <f>((Inputs!$B$6*(1+Inputs!$B$7/100))+(((Inputs!$B$12*(1+Inputs!$B$13/100))-(Inputs!$B$12*(1+Inputs!$B$13/100)))+0.25*(Inputs!$B$14-Inputs!$B$14))*(1+Inputs!$B$7/100))*(F1183/100)</f>
        <v/>
      </c>
      <c r="K1183">
        <f>J1183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1183)</f>
        <v/>
      </c>
      <c r="L1183">
        <f>K1183*(MIN(Inputs!$B$22+(F1192-Calc!F22),(Inputs!$B$23+(IF(ArtifactsInput!$M$15,CHOOSE(ArtifactsInput!$N$15+1,25,30,35,40,45,50)/100*(Inputs!$B$11-Inputs!$B$11),0))))/100+(Inputs!$B$23+(IF(ArtifactsInput!$M$15,CHOOSE(ArtifactsInput!$N$15+1,25,30,35,40,45,50)/100*(Inputs!$B$11-Inputs!$B$11),0)))/100)/2</f>
        <v/>
      </c>
      <c r="M1183">
        <f>L1183*(1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3">
        <f>L1183*(1-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1183*(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3">
        <f>(1-Summary!$B$11)*S1183+Summary!$B$11*U1183</f>
        <v/>
      </c>
      <c r="P1183">
        <f>IF(B1211=0,0,O1183/B1211)</f>
        <v/>
      </c>
      <c r="Q1183">
        <f>IFERROR(1/(IF(Inputs!$B$38="pvp",15,MAX(0.1,Skills!E13-IF(Skills!F13=TRUE,Inputs!$B$32,0)))*(1-IF(AND(ArtifactsInput!$M$27,Inputs!$B$4="Chapter Hunt"),CHOOSE(ArtifactsInput!$N$27+1,20,24,28,32,36,40),0)/100)),0)</f>
        <v/>
      </c>
      <c r="R1183">
        <f>IF(AND(Inputs!$B$38&lt;&gt;"pvp",Inputs!$B$43&gt;0),IF(MAX(0,Inputs!$B$43-B1208)&lt;=0,0,(INT(MAX(0,Inputs!$B$43-B1208)/(IF(Inputs!$B$38="pvp",15,MAX(0.1,Skills!E13-IF(Skills!F13=TRUE,Inputs!$B$32,0)))*(1-IF(AND(ArtifactsInput!$M$27,Inputs!$B$4="Chapter Hunt"),CHOOSE(ArtifactsInput!$N$27+1,20,24,28,32,36,40),0)/100)))+1)),0)</f>
        <v/>
      </c>
      <c r="S1183">
        <f>IF(C1183,(H1183*N1183*IF(AND(Inputs!$B$38&lt;&gt;"pvp",Inputs!$B$43&gt;0),((Skills!G13*((R1183-1)*IF(Skills!H13&gt;0,Skills!I13/Skills!H13,1)+IF(Skills!H13&gt;0,MIN(Skills!I13,MAX(0,MAX(0,Inputs!$B$43-B1208)-((R1183-1)*(IF(Inputs!$B$38="pvp",15,MAX(0.1,Skills!E13-IF(Skills!F13=TRUE,Inputs!$B$32,0)))*(1-IF(AND(ArtifactsInput!$M$27,Inputs!$B$4="Chapter Hunt"),CHOOSE(ArtifactsInput!$N$27+1,20,24,28,32,36,40),0)/100)))))/Skills!H13,1)))/Inputs!$B$43),G1183*Q1183)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1183*(1-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1183*(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1183*(1-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1183*(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3">
        <f>IF(C1183,(H1183*N1183*IF(AND(Inputs!$B$38&lt;&gt;"pvp",Inputs!$B$43&gt;0),((Skills!G13*((R1183-1)*IF(Skills!H13&gt;0,Skills!I13/Skills!H13,1)+IF(Skills!H13&gt;0,MIN(Skills!I13,MAX(0,MAX(0,Inputs!$B$43-B1208)-((R1183-1)*(IF(Inputs!$B$38="pvp",15,MAX(0.1,Skills!E13-IF(Skills!F13=TRUE,Inputs!$B$32,0)))*(1-IF(AND(ArtifactsInput!$M$27,Inputs!$B$4="Chapter Hunt"),CHOOSE(ArtifactsInput!$N$27+1,20,24,28,32,36,40),0)/100)))))/Skills!H13,1)))/Inputs!$B$43),G1183*Q1183)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4">
      <c r="A1184">
        <f>Skills!A14</f>
        <v/>
      </c>
      <c r="B1184">
        <f>Skills!B14</f>
        <v/>
      </c>
      <c r="C1184">
        <f>Inputs!$B$3&gt;=113</f>
        <v/>
      </c>
      <c r="D1184">
        <f>IF(Skills!C14=1,60+Inputs!$B$25+Inputs!$B$29,IF(Skills!C14=2,90+Inputs!$B$26+Inputs!$B$29,IF(Skills!C14=3,120+Inputs!$B$27+Inputs!$B$29,MAX(0,(Inputs!$B$3-100)*3)+Inputs!$B$28+Inputs!$B$29)))</f>
        <v/>
      </c>
      <c r="E1184">
        <f>INDEX(FactorTable!$B$2:$Y$301, MATCH(ROUND(MIN(300,MAX(1,D1184)),0), FactorTable!$A$2:$A$301,0), Skills!M14+1)</f>
        <v/>
      </c>
      <c r="F1184">
        <f>IF(Skills!N14=TRUE,(Skills!L14/10)*(E1184/1000),Skills!L14/10)+Skills!O14</f>
        <v/>
      </c>
      <c r="G1184">
        <f>Calc!G14</f>
        <v/>
      </c>
      <c r="H1184">
        <f>Calc!H14</f>
        <v/>
      </c>
      <c r="I1184">
        <f>IF(Skills!X14&lt;&gt;"",1+(Skills!X14/10)*(Z1173/1000)/100,1)</f>
        <v/>
      </c>
      <c r="J1184">
        <f>((Inputs!$B$6*(1+Inputs!$B$7/100))+(((Inputs!$B$12*(1+Inputs!$B$13/100))-(Inputs!$B$12*(1+Inputs!$B$13/100)))+0.25*(Inputs!$B$14-Inputs!$B$14))*(1+Inputs!$B$7/100))*(F1184/100)</f>
        <v/>
      </c>
      <c r="K1184">
        <f>J1184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1184)</f>
        <v/>
      </c>
      <c r="L1184">
        <f>K1184*(MIN(Inputs!$B$22+(F1192-Calc!F22),(Inputs!$B$23+(IF(ArtifactsInput!$M$15,CHOOSE(ArtifactsInput!$N$15+1,25,30,35,40,45,50)/100*(Inputs!$B$11-Inputs!$B$11),0))))/100+(Inputs!$B$23+(IF(ArtifactsInput!$M$15,CHOOSE(ArtifactsInput!$N$15+1,25,30,35,40,45,50)/100*(Inputs!$B$11-Inputs!$B$11),0)))/100)/2</f>
        <v/>
      </c>
      <c r="M1184">
        <f>L1184*(1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4">
        <f>L1184*(1-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1184*(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4">
        <f>(1-Summary!$B$11)*S1184+Summary!$B$11*U1184</f>
        <v/>
      </c>
      <c r="P1184">
        <f>IF(B1211=0,0,O1184/B1211)</f>
        <v/>
      </c>
      <c r="Q1184">
        <f>IFERROR(1/(IF(Inputs!$B$38="pvp",15,MAX(0.1,Skills!E14-IF(Skills!F14=TRUE,Inputs!$B$32,0)))*(1-IF(AND(ArtifactsInput!$M$27,Inputs!$B$4="Chapter Hunt"),CHOOSE(ArtifactsInput!$N$27+1,20,24,28,32,36,40),0)/100)),0)</f>
        <v/>
      </c>
      <c r="R1184" t="n">
        <v>0</v>
      </c>
      <c r="S1184">
        <f>IF(C1184,((H1184*B1207)/(1+Skills!H14*H1184*B1207)*N1184)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1184*(1-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1184*(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1184*(1-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1184*(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4">
        <f>IF(C1184,((H1184*B1207)/(1+Skills!H14*H1184*B1207)*N1184)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5">
      <c r="A1185">
        <f>Skills!A15</f>
        <v/>
      </c>
      <c r="B1185">
        <f>Skills!B15</f>
        <v/>
      </c>
      <c r="C1185">
        <f>Inputs!$B$3&gt;=107</f>
        <v/>
      </c>
      <c r="D1185">
        <f>IF(Skills!C15=1,60+Inputs!$B$25+Inputs!$B$29,IF(Skills!C15=2,90+Inputs!$B$26+Inputs!$B$29,IF(Skills!C15=3,120+Inputs!$B$27+Inputs!$B$29,MAX(0,(Inputs!$B$3-100)*3)+Inputs!$B$28+Inputs!$B$29)))</f>
        <v/>
      </c>
      <c r="E1185">
        <f>INDEX(FactorTable!$B$2:$Y$301, MATCH(ROUND(MIN(300,MAX(1,D1185)),0), FactorTable!$A$2:$A$301,0), Skills!M15+1)</f>
        <v/>
      </c>
      <c r="F1185">
        <f>IF(Skills!N15=TRUE,(Skills!L15/10)*(E1185/1000),Skills!L15/10)+Skills!O15</f>
        <v/>
      </c>
      <c r="G1185">
        <f>Calc!G15</f>
        <v/>
      </c>
      <c r="H1185">
        <f>Calc!H15</f>
        <v/>
      </c>
      <c r="I1185">
        <f>IF(Skills!X15&lt;&gt;"",1+(Skills!X15/10)*(Z1173/1000)/100,1)</f>
        <v/>
      </c>
      <c r="J1185">
        <f>((Inputs!$B$6*(1+Inputs!$B$7/100))+(((Inputs!$B$12*(1+Inputs!$B$13/100))-(Inputs!$B$12*(1+Inputs!$B$13/100)))+0.25*(Inputs!$B$14-Inputs!$B$14))*(1+Inputs!$B$7/100))*(F1185/100)</f>
        <v/>
      </c>
      <c r="K1185">
        <f>J1185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1185)</f>
        <v/>
      </c>
      <c r="L1185">
        <f>K1185*(MIN(Inputs!$B$22+(F1192-Calc!F22),(Inputs!$B$23+(IF(ArtifactsInput!$M$15,CHOOSE(ArtifactsInput!$N$15+1,25,30,35,40,45,50)/100*(Inputs!$B$11-Inputs!$B$11),0))))/100+(Inputs!$B$23+(IF(ArtifactsInput!$M$15,CHOOSE(ArtifactsInput!$N$15+1,25,30,35,40,45,50)/100*(Inputs!$B$11-Inputs!$B$11),0)))/100)/2</f>
        <v/>
      </c>
      <c r="M1185">
        <f>L1185*(1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5">
        <f>L1185*(1-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1185*(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5">
        <f>(1-Summary!$B$11)*S1185+Summary!$B$11*U1185</f>
        <v/>
      </c>
      <c r="P1185">
        <f>IF(B1211=0,0,O1185/B1211)</f>
        <v/>
      </c>
      <c r="Q1185">
        <f>IFERROR(1/(IF(Inputs!$B$38="pvp",15,MAX(0.1,Skills!E15-IF(Skills!F15=TRUE,Inputs!$B$32,0)))*(1-IF(AND(ArtifactsInput!$M$27,Inputs!$B$4="Chapter Hunt"),CHOOSE(ArtifactsInput!$N$27+1,20,24,28,32,36,40),0)/100)),0)</f>
        <v/>
      </c>
      <c r="R1185">
        <f>IF(AND(Inputs!$B$38&lt;&gt;"pvp",Inputs!$B$43&gt;0),IF(MAX(0,Inputs!$B$43-B1208)&lt;=0,0,(INT(MAX(0,Inputs!$B$43-B1208)/(IF(Inputs!$B$38="pvp",15,MAX(0.1,Skills!E15-IF(Skills!F15=TRUE,Inputs!$B$32,0)))*(1-IF(AND(ArtifactsInput!$M$27,Inputs!$B$4="Chapter Hunt"),CHOOSE(ArtifactsInput!$N$27+1,20,24,28,32,36,40),0)/100)))+1)),0)</f>
        <v/>
      </c>
      <c r="S1185">
        <f>IF(C1185,(H1185*N1185*IF(AND(Inputs!$B$38&lt;&gt;"pvp",Inputs!$B$43&gt;0),((Skills!G15*((R1185-1)*IF(Skills!H15&gt;0,Skills!I15/Skills!H15,1)+IF(Skills!H15&gt;0,MIN(Skills!I15,MAX(0,MAX(0,Inputs!$B$43-B1208)-((R1185-1)*(IF(Inputs!$B$38="pvp",15,MAX(0.1,Skills!E15-IF(Skills!F15=TRUE,Inputs!$B$32,0)))*(1-IF(AND(ArtifactsInput!$M$27,Inputs!$B$4="Chapter Hunt"),CHOOSE(ArtifactsInput!$N$27+1,20,24,28,32,36,40),0)/100)))))/Skills!H15,1)))/Inputs!$B$43),G1185*Q1185)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1185*(1-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1185*(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1185*(1-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1185*(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5">
        <f>IF(C1185,(H1185*N1185*IF(AND(Inputs!$B$38&lt;&gt;"pvp",Inputs!$B$43&gt;0),((Skills!G15*((R1185-1)*IF(Skills!H15&gt;0,Skills!I15/Skills!H15,1)+IF(Skills!H15&gt;0,MIN(Skills!I15,MAX(0,MAX(0,Inputs!$B$43-B1208)-((R1185-1)*(IF(Inputs!$B$38="pvp",15,MAX(0.1,Skills!E15-IF(Skills!F15=TRUE,Inputs!$B$32,0)))*(1-IF(AND(ArtifactsInput!$M$27,Inputs!$B$4="Chapter Hunt"),CHOOSE(ArtifactsInput!$N$27+1,20,24,28,32,36,40),0)/100)))))/Skills!H15,1)))/Inputs!$B$43),G1185*Q1185)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6">
      <c r="A1186">
        <f>Skills!A16</f>
        <v/>
      </c>
      <c r="B1186">
        <f>Skills!B16</f>
        <v/>
      </c>
      <c r="C1186">
        <f>Inputs!$B$3&gt;=107</f>
        <v/>
      </c>
      <c r="D1186">
        <f>IF(Skills!C16=1,60+Inputs!$B$25+Inputs!$B$29,IF(Skills!C16=2,90+Inputs!$B$26+Inputs!$B$29,IF(Skills!C16=3,120+Inputs!$B$27+Inputs!$B$29,MAX(0,(Inputs!$B$3-100)*3)+Inputs!$B$28+Inputs!$B$29)))</f>
        <v/>
      </c>
      <c r="E1186">
        <f>INDEX(FactorTable!$B$2:$Y$301, MATCH(ROUND(MIN(300,MAX(1,D1186)),0), FactorTable!$A$2:$A$301,0), Skills!M16+1)</f>
        <v/>
      </c>
      <c r="F1186">
        <f>IF(Skills!N16=TRUE,(Skills!L16/10)*(E1186/1000),Skills!L16/10)+Skills!O16</f>
        <v/>
      </c>
      <c r="G1186">
        <f>Calc!G16</f>
        <v/>
      </c>
      <c r="H1186">
        <f>Calc!H16</f>
        <v/>
      </c>
      <c r="I1186">
        <f>IF(Skills!X16&lt;&gt;"",1+(Skills!X16/10)*(Z1173/1000)/100,1)</f>
        <v/>
      </c>
      <c r="J1186">
        <f>((Inputs!$B$6*(1+Inputs!$B$7/100))+(((Inputs!$B$12*(1+Inputs!$B$13/100))-(Inputs!$B$12*(1+Inputs!$B$13/100)))+0.25*(Inputs!$B$14-Inputs!$B$14))*(1+Inputs!$B$7/100))*(F1186/100)</f>
        <v/>
      </c>
      <c r="K1186">
        <f>J1186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1186)</f>
        <v/>
      </c>
      <c r="L1186">
        <f>K1186*(MIN(Inputs!$B$22+(F1192-Calc!F22),(Inputs!$B$23+(IF(ArtifactsInput!$M$15,CHOOSE(ArtifactsInput!$N$15+1,25,30,35,40,45,50)/100*(Inputs!$B$11-Inputs!$B$11),0))))/100+(Inputs!$B$23+(IF(ArtifactsInput!$M$15,CHOOSE(ArtifactsInput!$N$15+1,25,30,35,40,45,50)/100*(Inputs!$B$11-Inputs!$B$11),0)))/100)/2</f>
        <v/>
      </c>
      <c r="M1186">
        <f>L1186*(1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6">
        <f>L1186*(1-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1186*(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6">
        <f>(1-Summary!$B$11)*S1186+Summary!$B$11*U1186</f>
        <v/>
      </c>
      <c r="P1186">
        <f>IF(B1211=0,0,O1186/B1211)</f>
        <v/>
      </c>
      <c r="Q1186">
        <f>IFERROR(1/(IF(Inputs!$B$38="pvp",15,MAX(0.1,Skills!E16-IF(Skills!F16=TRUE,Inputs!$B$32,0)))*(1-IF(AND(ArtifactsInput!$M$27,Inputs!$B$4="Chapter Hunt"),CHOOSE(ArtifactsInput!$N$27+1,20,24,28,32,36,40),0)/100)),0)</f>
        <v/>
      </c>
      <c r="R1186">
        <f>IF(AND(Inputs!$B$38&lt;&gt;"pvp",Inputs!$B$43&gt;0),IF(MAX(0,Inputs!$B$43-B1208)&lt;=0,0,(INT(MAX(0,Inputs!$B$43-B1208)/(IF(Inputs!$B$38="pvp",15,MAX(0.1,Skills!E16-IF(Skills!F16=TRUE,Inputs!$B$32,0)))*(1-IF(AND(ArtifactsInput!$M$27,Inputs!$B$4="Chapter Hunt"),CHOOSE(ArtifactsInput!$N$27+1,20,24,28,32,36,40),0)/100)))+1)),0)</f>
        <v/>
      </c>
      <c r="S1186">
        <f>IF(C1186,(H1186*N1186*IF(AND(Inputs!$B$38&lt;&gt;"pvp",Inputs!$B$43&gt;0),((Skills!G16*((R1186-1)*IF(Skills!H16&gt;0,Skills!I16/Skills!H16,1)+IF(Skills!H16&gt;0,MIN(Skills!I16,MAX(0,MAX(0,Inputs!$B$43-B1208)-((R1186-1)*(IF(Inputs!$B$38="pvp",15,MAX(0.1,Skills!E16-IF(Skills!F16=TRUE,Inputs!$B$32,0)))*(1-IF(AND(ArtifactsInput!$M$27,Inputs!$B$4="Chapter Hunt"),CHOOSE(ArtifactsInput!$N$27+1,20,24,28,32,36,40),0)/100)))))/Skills!H16,1)))/Inputs!$B$43),G1186*Q1186)*(1+IF(Inputs!$B$3&gt;=126,0.05*(B1206+Q1183+(H1184*B1207)/(1+Skills!H14*H1184*B1207)+Q1194)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1186*(1-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1186*(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1186*(1-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1186*(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6">
        <f>IF(C1186,(H1186*N1186*IF(AND(Inputs!$B$38&lt;&gt;"pvp",Inputs!$B$43&gt;0),((Skills!G16*((R1186-1)*IF(Skills!H16&gt;0,Skills!I16/Skills!H16,1)+IF(Skills!H16&gt;0,MIN(Skills!I16,MAX(0,MAX(0,Inputs!$B$43-B1208)-((R1186-1)*(IF(Inputs!$B$38="pvp",15,MAX(0.1,Skills!E16-IF(Skills!F16=TRUE,Inputs!$B$32,0)))*(1-IF(AND(ArtifactsInput!$M$27,Inputs!$B$4="Chapter Hunt"),CHOOSE(ArtifactsInput!$N$27+1,20,24,28,32,36,40),0)/100)))))/Skills!H16,1)))/Inputs!$B$43),G1186*Q1186)*(1+IF(Inputs!$B$3&gt;=126,0.05*(B1206+Q1183+(H1184*B1207)/(1+Skills!H14*H1184*B1207)+Q1194)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7">
      <c r="A1187">
        <f>Skills!A17</f>
        <v/>
      </c>
      <c r="B1187">
        <f>Skills!B17</f>
        <v/>
      </c>
      <c r="C1187">
        <f>TRUE</f>
        <v/>
      </c>
      <c r="D1187">
        <f>IF(Skills!C17=1,60+Inputs!$B$25+Inputs!$B$29,IF(Skills!C17=2,90+Inputs!$B$26+Inputs!$B$29,IF(Skills!C17=3,120+Inputs!$B$27+Inputs!$B$29,MAX(0,(Inputs!$B$3-100)*3)+Inputs!$B$28+Inputs!$B$29)))</f>
        <v/>
      </c>
      <c r="E1187">
        <f>INDEX(FactorTable!$B$2:$Y$301, MATCH(ROUND(MIN(300,MAX(1,D1187)),0), FactorTable!$A$2:$A$301,0), Skills!M17+1)</f>
        <v/>
      </c>
      <c r="F1187">
        <f>IF(Skills!N17=TRUE,(Skills!L17/10)*(E1187/1000),Skills!L17/10)+Skills!O17</f>
        <v/>
      </c>
      <c r="G1187">
        <f>Calc!G17</f>
        <v/>
      </c>
      <c r="H1187">
        <f>Calc!H17</f>
        <v/>
      </c>
      <c r="I1187">
        <f>IF(Skills!X17&lt;&gt;"",1+(Skills!X17/10)*(Z1173/1000)/100,1)</f>
        <v/>
      </c>
      <c r="J1187" t="inlineStr"/>
      <c r="K1187" t="inlineStr"/>
      <c r="L1187" t="inlineStr"/>
      <c r="M1187" t="inlineStr"/>
      <c r="N1187" t="inlineStr"/>
      <c r="O1187">
        <f>(1-Summary!$B$11)*S1187+Summary!$B$11*U1187</f>
        <v/>
      </c>
      <c r="P1187">
        <f>IF(B1211=0,0,O1187/B1211)</f>
        <v/>
      </c>
      <c r="Q1187">
        <f>IFERROR(1/(IF(Inputs!$B$38="pvp",15,MAX(0.1,Skills!E17-IF(Skills!F17=TRUE,Inputs!$B$32,0)))*(1-IF(AND(ArtifactsInput!$M$27,Inputs!$B$4="Chapter Hunt"),CHOOSE(ArtifactsInput!$N$27+1,20,24,28,32,36,40),0)/100)),0)</f>
        <v/>
      </c>
      <c r="R1187">
        <f>IF(AND(Inputs!$B$38&lt;&gt;"pvp",Inputs!$B$43&gt;0),IF(Inputs!$B$43&lt;=0,0,(INT(Inputs!$B$43/(IF(Inputs!$B$38="pvp",15,MAX(0.1,Skills!E17-IF(Skills!F17=TRUE,Inputs!$B$32,0)))*(1-IF(AND(ArtifactsInput!$M$27,Inputs!$B$4="Chapter Hunt"),CHOOSE(ArtifactsInput!$N$27+1,20,24,28,32,36,40),0)/100)))+1)),0)</f>
        <v/>
      </c>
      <c r="S1187" t="n">
        <v>0</v>
      </c>
      <c r="U1187" t="n">
        <v>0</v>
      </c>
    </row>
    <row r="1188">
      <c r="A1188">
        <f>Skills!A18</f>
        <v/>
      </c>
      <c r="B1188">
        <f>Skills!B18</f>
        <v/>
      </c>
      <c r="C1188">
        <f>TRUE</f>
        <v/>
      </c>
      <c r="D1188">
        <f>IF(Skills!C18=1,60+Inputs!$B$25+Inputs!$B$29,IF(Skills!C18=2,90+Inputs!$B$26+Inputs!$B$29,IF(Skills!C18=3,120+Inputs!$B$27+Inputs!$B$29,MAX(0,(Inputs!$B$3-100)*3)+Inputs!$B$28+Inputs!$B$29)))</f>
        <v/>
      </c>
      <c r="E1188">
        <f>INDEX(FactorTable!$B$2:$Y$301, MATCH(ROUND(MIN(300,MAX(1,D1188)),0), FactorTable!$A$2:$A$301,0), Skills!M18+1)</f>
        <v/>
      </c>
      <c r="F1188">
        <f>IF(Skills!N18=TRUE,(Skills!L18/10)*(E1188/1000),Skills!L18/10)+Skills!O18</f>
        <v/>
      </c>
      <c r="G1188">
        <f>Calc!G18</f>
        <v/>
      </c>
      <c r="H1188">
        <f>Calc!H18</f>
        <v/>
      </c>
      <c r="I1188">
        <f>IF(Skills!X18&lt;&gt;"",1+(Skills!X18/10)*(Z1173/1000)/100,1)</f>
        <v/>
      </c>
      <c r="J1188" t="inlineStr"/>
      <c r="K1188" t="inlineStr"/>
      <c r="L1188" t="inlineStr"/>
      <c r="M1188" t="inlineStr"/>
      <c r="N1188" t="inlineStr"/>
      <c r="O1188">
        <f>(1-Summary!$B$11)*S1188+Summary!$B$11*U1188</f>
        <v/>
      </c>
      <c r="P1188">
        <f>IF(B1211=0,0,O1188/B1211)</f>
        <v/>
      </c>
      <c r="Q1188">
        <f>IFERROR(1/(IF(Inputs!$B$38="pvp",15,MAX(0.1,Skills!E18-IF(Skills!F18=TRUE,Inputs!$B$32,0)))*(1-IF(AND(ArtifactsInput!$M$27,Inputs!$B$4="Chapter Hunt"),CHOOSE(ArtifactsInput!$N$27+1,20,24,28,32,36,40),0)/100)),0)</f>
        <v/>
      </c>
      <c r="R1188">
        <f>IF(AND(Inputs!$B$38&lt;&gt;"pvp",Inputs!$B$43&gt;0),IF(Inputs!$B$43&lt;=0,0,(INT(Inputs!$B$43/(IF(Inputs!$B$38="pvp",15,MAX(0.1,Skills!E18-IF(Skills!F18=TRUE,Inputs!$B$32,0)))*(1-IF(AND(ArtifactsInput!$M$27,Inputs!$B$4="Chapter Hunt"),CHOOSE(ArtifactsInput!$N$27+1,20,24,28,32,36,40),0)/100)))+1)),0)</f>
        <v/>
      </c>
      <c r="S1188" t="n">
        <v>0</v>
      </c>
      <c r="U1188" t="n">
        <v>0</v>
      </c>
    </row>
    <row r="1189">
      <c r="A1189">
        <f>Skills!A19</f>
        <v/>
      </c>
      <c r="B1189">
        <f>Skills!B19</f>
        <v/>
      </c>
      <c r="C1189">
        <f>Inputs!$B$3&gt;=110</f>
        <v/>
      </c>
      <c r="D1189">
        <f>IF(Skills!C19=1,60+Inputs!$B$25+Inputs!$B$29,IF(Skills!C19=2,90+Inputs!$B$26+Inputs!$B$29,IF(Skills!C19=3,120+Inputs!$B$27+Inputs!$B$29,MAX(0,(Inputs!$B$3-100)*3)+Inputs!$B$28+Inputs!$B$29)))</f>
        <v/>
      </c>
      <c r="E1189">
        <f>INDEX(FactorTable!$B$2:$Y$301, MATCH(ROUND(MIN(300,MAX(1,D1189)),0), FactorTable!$A$2:$A$301,0), Skills!M19+1)</f>
        <v/>
      </c>
      <c r="F1189">
        <f>IF(Skills!N19=TRUE,(Skills!L19/10)*(E1189/1000),Skills!L19/10)+Skills!O19</f>
        <v/>
      </c>
      <c r="G1189">
        <f>Calc!G19</f>
        <v/>
      </c>
      <c r="H1189">
        <f>Calc!H19</f>
        <v/>
      </c>
      <c r="I1189">
        <f>IF(Skills!X19&lt;&gt;"",1+(Skills!X19/10)*(Z1173/1000)/100,1)</f>
        <v/>
      </c>
      <c r="J1189" t="inlineStr"/>
      <c r="K1189" t="inlineStr"/>
      <c r="L1189" t="inlineStr"/>
      <c r="M1189" t="inlineStr"/>
      <c r="N1189" t="inlineStr"/>
      <c r="O1189">
        <f>(1-Summary!$B$11)*S1189+Summary!$B$11*U1189</f>
        <v/>
      </c>
      <c r="P1189">
        <f>IF(B1211=0,0,O1189/B1211)</f>
        <v/>
      </c>
      <c r="Q1189">
        <f>IFERROR(1/(IF(Inputs!$B$38="pvp",15,MAX(0.1,Skills!E19-IF(Skills!F19=TRUE,Inputs!$B$32,0)))*(1-IF(AND(ArtifactsInput!$M$27,Inputs!$B$4="Chapter Hunt"),CHOOSE(ArtifactsInput!$N$27+1,20,24,28,32,36,40),0)/100)),0)</f>
        <v/>
      </c>
      <c r="R1189">
        <f>IF(AND(Inputs!$B$38&lt;&gt;"pvp",Inputs!$B$43&gt;0),IF(Inputs!$B$43&lt;=0,0,(INT(Inputs!$B$43/(IF(Inputs!$B$38="pvp",15,MAX(0.1,Skills!E19-IF(Skills!F19=TRUE,Inputs!$B$32,0)))*(1-IF(AND(ArtifactsInput!$M$27,Inputs!$B$4="Chapter Hunt"),CHOOSE(ArtifactsInput!$N$27+1,20,24,28,32,36,40),0)/100)))+1)),0)</f>
        <v/>
      </c>
      <c r="S1189" t="n">
        <v>0</v>
      </c>
      <c r="U1189" t="n">
        <v>0</v>
      </c>
    </row>
    <row r="1190">
      <c r="A1190">
        <f>Skills!A20</f>
        <v/>
      </c>
      <c r="B1190">
        <f>Skills!B20</f>
        <v/>
      </c>
      <c r="C1190">
        <f>TRUE</f>
        <v/>
      </c>
      <c r="D1190">
        <f>IF(Skills!C20=1,60+Inputs!$B$25+Inputs!$B$29,IF(Skills!C20=2,90+Inputs!$B$26+Inputs!$B$29,IF(Skills!C20=3,120+Inputs!$B$27+Inputs!$B$29,MAX(0,(Inputs!$B$3-100)*3)+Inputs!$B$28+Inputs!$B$29)))</f>
        <v/>
      </c>
      <c r="E1190">
        <f>INDEX(FactorTable!$B$2:$Y$301, MATCH(ROUND(MIN(300,MAX(1,D1190)),0), FactorTable!$A$2:$A$301,0), Skills!M20+1)</f>
        <v/>
      </c>
      <c r="F1190">
        <f>IF(Skills!N20=TRUE,(Skills!L20/10)*(E1190/1000),Skills!L20/10)+Skills!O20</f>
        <v/>
      </c>
      <c r="G1190">
        <f>Calc!G20</f>
        <v/>
      </c>
      <c r="H1190">
        <f>Calc!H20</f>
        <v/>
      </c>
      <c r="I1190">
        <f>IF(Skills!X20&lt;&gt;"",1+(Skills!X20/10)*(Z1173/1000)/100,1)</f>
        <v/>
      </c>
      <c r="J1190" t="inlineStr"/>
      <c r="K1190" t="inlineStr"/>
      <c r="L1190" t="inlineStr"/>
      <c r="M1190" t="inlineStr"/>
      <c r="N1190" t="inlineStr"/>
      <c r="O1190">
        <f>(1-Summary!$B$11)*S1190+Summary!$B$11*U1190</f>
        <v/>
      </c>
      <c r="P1190">
        <f>IF(B1211=0,0,O1190/B1211)</f>
        <v/>
      </c>
      <c r="Q1190">
        <f>IFERROR(1/(IF(Inputs!$B$38="pvp",15,MAX(0.1,Skills!E20-IF(Skills!F20=TRUE,Inputs!$B$32,0)))*(1-IF(AND(ArtifactsInput!$M$27,Inputs!$B$4="Chapter Hunt"),CHOOSE(ArtifactsInput!$N$27+1,20,24,28,32,36,40),0)/100)),0)</f>
        <v/>
      </c>
      <c r="R1190" t="n">
        <v>0</v>
      </c>
      <c r="S1190" t="n">
        <v>0</v>
      </c>
      <c r="U1190" t="n">
        <v>0</v>
      </c>
    </row>
    <row r="1191">
      <c r="A1191">
        <f>Skills!A21</f>
        <v/>
      </c>
      <c r="B1191">
        <f>Skills!B21</f>
        <v/>
      </c>
      <c r="C1191">
        <f>TRUE</f>
        <v/>
      </c>
      <c r="D1191">
        <f>IF(Skills!C21=1,60+Inputs!$B$25+Inputs!$B$29,IF(Skills!C21=2,90+Inputs!$B$26+Inputs!$B$29,IF(Skills!C21=3,120+Inputs!$B$27+Inputs!$B$29,MAX(0,(Inputs!$B$3-100)*3)+Inputs!$B$28+Inputs!$B$29)))</f>
        <v/>
      </c>
      <c r="E1191">
        <f>INDEX(FactorTable!$B$2:$Y$301, MATCH(ROUND(MIN(300,MAX(1,D1191)),0), FactorTable!$A$2:$A$301,0), Skills!M21+1)</f>
        <v/>
      </c>
      <c r="F1191">
        <f>IF(Skills!N21=TRUE,(Skills!L21/10)*(E1191/1000),Skills!L21/10)+Skills!O21</f>
        <v/>
      </c>
      <c r="G1191">
        <f>Calc!G21</f>
        <v/>
      </c>
      <c r="H1191">
        <f>Calc!H21</f>
        <v/>
      </c>
      <c r="I1191">
        <f>IF(Skills!X21&lt;&gt;"",1+(Skills!X21/10)*(Z1173/1000)/100,1)</f>
        <v/>
      </c>
      <c r="J1191" t="inlineStr"/>
      <c r="K1191" t="inlineStr"/>
      <c r="L1191" t="inlineStr"/>
      <c r="M1191" t="inlineStr"/>
      <c r="N1191" t="inlineStr"/>
      <c r="O1191">
        <f>(1-Summary!$B$11)*S1191+Summary!$B$11*U1191</f>
        <v/>
      </c>
      <c r="P1191">
        <f>IF(B1211=0,0,O1191/B1211)</f>
        <v/>
      </c>
      <c r="Q1191">
        <f>IFERROR(1/(IF(Inputs!$B$38="pvp",15,MAX(0.1,Skills!E21-IF(Skills!F21=TRUE,Inputs!$B$32,0)))*(1-IF(AND(ArtifactsInput!$M$27,Inputs!$B$4="Chapter Hunt"),CHOOSE(ArtifactsInput!$N$27+1,20,24,28,32,36,40),0)/100)),0)</f>
        <v/>
      </c>
      <c r="R1191" t="n">
        <v>0</v>
      </c>
      <c r="S1191" t="n">
        <v>0</v>
      </c>
      <c r="U1191" t="n">
        <v>0</v>
      </c>
    </row>
    <row r="1192">
      <c r="A1192">
        <f>Skills!A22</f>
        <v/>
      </c>
      <c r="B1192">
        <f>Skills!B22</f>
        <v/>
      </c>
      <c r="C1192">
        <f>TRUE</f>
        <v/>
      </c>
      <c r="D1192">
        <f>IF(Skills!C22=1,60+Inputs!$B$25+Inputs!$B$29,IF(Skills!C22=2,90+Inputs!$B$26+Inputs!$B$29,IF(Skills!C22=3,120+Inputs!$B$27+Inputs!$B$29,MAX(0,(Inputs!$B$3-100)*3)+Inputs!$B$28+Inputs!$B$29)))</f>
        <v/>
      </c>
      <c r="E1192">
        <f>INDEX(FactorTable!$B$2:$Y$301, MATCH(ROUND(MIN(300,MAX(1,D1192)),0), FactorTable!$A$2:$A$301,0), Skills!M22+1)</f>
        <v/>
      </c>
      <c r="F1192">
        <f>IF(Skills!N22=TRUE,(Skills!L22/10)*(E1192/1000),Skills!L22/10)+Skills!O22</f>
        <v/>
      </c>
      <c r="G1192">
        <f>Calc!G22</f>
        <v/>
      </c>
      <c r="H1192">
        <f>Calc!H22</f>
        <v/>
      </c>
      <c r="I1192">
        <f>IF(Skills!X22&lt;&gt;"",1+(Skills!X22/10)*(Z1173/1000)/100,1)</f>
        <v/>
      </c>
      <c r="J1192" t="inlineStr"/>
      <c r="K1192" t="inlineStr"/>
      <c r="L1192" t="inlineStr"/>
      <c r="M1192" t="inlineStr"/>
      <c r="N1192" t="inlineStr"/>
      <c r="O1192">
        <f>(1-Summary!$B$11)*S1192+Summary!$B$11*U1192</f>
        <v/>
      </c>
      <c r="P1192">
        <f>IF(B1211=0,0,O1192/B1211)</f>
        <v/>
      </c>
      <c r="Q1192">
        <f>IFERROR(1/(IF(Inputs!$B$38="pvp",15,MAX(0.1,Skills!E22-IF(Skills!F22=TRUE,Inputs!$B$32,0)))*(1-IF(AND(ArtifactsInput!$M$27,Inputs!$B$4="Chapter Hunt"),CHOOSE(ArtifactsInput!$N$27+1,20,24,28,32,36,40),0)/100)),0)</f>
        <v/>
      </c>
      <c r="R1192" t="n">
        <v>0</v>
      </c>
      <c r="S1192" t="n">
        <v>0</v>
      </c>
      <c r="U1192" t="n">
        <v>0</v>
      </c>
    </row>
    <row r="1193">
      <c r="A1193">
        <f>Skills!A23</f>
        <v/>
      </c>
      <c r="B1193">
        <f>Skills!B23</f>
        <v/>
      </c>
      <c r="C1193">
        <f>TRUE</f>
        <v/>
      </c>
      <c r="D1193">
        <f>IF(Skills!C23=1,60+Inputs!$B$25+Inputs!$B$29,IF(Skills!C23=2,90+Inputs!$B$26+Inputs!$B$29,IF(Skills!C23=3,120+Inputs!$B$27+Inputs!$B$29,MAX(0,(Inputs!$B$3-100)*3)+Inputs!$B$28+Inputs!$B$29)))</f>
        <v/>
      </c>
      <c r="E1193">
        <f>INDEX(FactorTable!$B$2:$Y$301, MATCH(ROUND(MIN(300,MAX(1,D1193)),0), FactorTable!$A$2:$A$301,0), Skills!M23+1)</f>
        <v/>
      </c>
      <c r="F1193">
        <f>IF(Skills!N23=TRUE,(Skills!L23/10)*(E1193/1000),Skills!L23/10)+Skills!O23</f>
        <v/>
      </c>
      <c r="G1193">
        <f>Calc!G23</f>
        <v/>
      </c>
      <c r="H1193">
        <f>Calc!H23</f>
        <v/>
      </c>
      <c r="I1193">
        <f>IF(Skills!X23&lt;&gt;"",1+(Skills!X23/10)*(Z1173/1000)/100,1)</f>
        <v/>
      </c>
      <c r="J1193" t="inlineStr"/>
      <c r="K1193" t="inlineStr"/>
      <c r="L1193" t="inlineStr"/>
      <c r="M1193" t="inlineStr"/>
      <c r="N1193" t="inlineStr"/>
      <c r="O1193">
        <f>(1-Summary!$B$11)*S1193+Summary!$B$11*U1193</f>
        <v/>
      </c>
      <c r="P1193">
        <f>IF(B1211=0,0,O1193/B1211)</f>
        <v/>
      </c>
      <c r="Q1193">
        <f>IFERROR(1/(IF(Inputs!$B$38="pvp",15,MAX(0.1,Skills!E23-IF(Skills!F23=TRUE,Inputs!$B$32,0)))*(1-IF(AND(ArtifactsInput!$M$27,Inputs!$B$4="Chapter Hunt"),CHOOSE(ArtifactsInput!$N$27+1,20,24,28,32,36,40),0)/100)),0)</f>
        <v/>
      </c>
      <c r="R1193" t="n">
        <v>0</v>
      </c>
      <c r="S1193" t="n">
        <v>0</v>
      </c>
      <c r="U1193" t="n">
        <v>0</v>
      </c>
    </row>
    <row r="1194">
      <c r="A1194">
        <f>Skills!A24</f>
        <v/>
      </c>
      <c r="B1194">
        <f>Skills!B24</f>
        <v/>
      </c>
      <c r="C1194">
        <f>Inputs!$B$3&gt;=115</f>
        <v/>
      </c>
      <c r="D1194">
        <f>IF(Skills!C24=1,60+Inputs!$B$25+Inputs!$B$29,IF(Skills!C24=2,90+Inputs!$B$26+Inputs!$B$29,IF(Skills!C24=3,120+Inputs!$B$27+Inputs!$B$29,MAX(0,(Inputs!$B$3-100)*3)+Inputs!$B$28+Inputs!$B$29)))</f>
        <v/>
      </c>
      <c r="E1194">
        <f>INDEX(FactorTable!$B$2:$Y$301, MATCH(ROUND(MIN(300,MAX(1,D1194)),0), FactorTable!$A$2:$A$301,0), Skills!M24+1)</f>
        <v/>
      </c>
      <c r="F1194">
        <f>IF(Skills!N24=TRUE,(Skills!L24/10)*(E1194/1000),Skills!L24/10)+Skills!O24</f>
        <v/>
      </c>
      <c r="G1194">
        <f>Calc!G24</f>
        <v/>
      </c>
      <c r="H1194">
        <f>Calc!H24</f>
        <v/>
      </c>
      <c r="I1194">
        <f>IF(Skills!X24&lt;&gt;"",1+(Skills!X24/10)*(Z1173/1000)/100,1)</f>
        <v/>
      </c>
      <c r="J1194">
        <f>((Inputs!$B$6*(1+Inputs!$B$7/100))+(((Inputs!$B$12*(1+Inputs!$B$13/100))-(Inputs!$B$12*(1+Inputs!$B$13/100)))+0.25*(Inputs!$B$14-Inputs!$B$14))*(1+Inputs!$B$7/100))*(F1194/100)</f>
        <v/>
      </c>
      <c r="K1194">
        <f>J1194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1194)</f>
        <v/>
      </c>
      <c r="L1194">
        <f>K1194*(MIN(Inputs!$B$22+(F1192-Calc!F22),(Inputs!$B$23+(IF(ArtifactsInput!$M$15,CHOOSE(ArtifactsInput!$N$15+1,25,30,35,40,45,50)/100*(Inputs!$B$11-Inputs!$B$11),0))))/100+(Inputs!$B$23+(IF(ArtifactsInput!$M$15,CHOOSE(ArtifactsInput!$N$15+1,25,30,35,40,45,50)/100*(Inputs!$B$11-Inputs!$B$11),0)))/100)/2</f>
        <v/>
      </c>
      <c r="M1194">
        <f>L1194*(1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4">
        <f>L1194*(1-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1194*(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4">
        <f>(1-Summary!$B$11)*S1194+Summary!$B$11*U1194</f>
        <v/>
      </c>
      <c r="P1194">
        <f>IF(B1211=0,0,O1194/B1211)</f>
        <v/>
      </c>
      <c r="Q1194">
        <f>IFERROR(1/(IF(Inputs!$B$38="pvp",15,MAX(0.1,Skills!E24-IF(Skills!F24=TRUE,Inputs!$B$32,0)))*(1-IF(AND(ArtifactsInput!$M$27,Inputs!$B$4="Chapter Hunt"),CHOOSE(ArtifactsInput!$N$27+1,20,24,28,32,36,40),0)/100)),0)</f>
        <v/>
      </c>
      <c r="R1194">
        <f>IF(AND(Inputs!$B$38&lt;&gt;"pvp",Inputs!$B$43&gt;0),IF(MAX(0,Inputs!$B$43-B1208)&lt;=0,0,(INT(MAX(0,Inputs!$B$43-B1208)/(IF(Inputs!$B$38="pvp",15,MAX(0.1,Skills!E24-IF(Skills!F24=TRUE,Inputs!$B$32,0)))*(1-IF(AND(ArtifactsInput!$M$27,Inputs!$B$4="Chapter Hunt"),CHOOSE(ArtifactsInput!$N$27+1,20,24,28,32,36,40),0)/100)))+1)),0)</f>
        <v/>
      </c>
      <c r="S1194">
        <f>IF(C1194,(H1194*N1194*IF(AND(Inputs!$B$38&lt;&gt;"pvp",Inputs!$B$43&gt;0),((Skills!G24*((R1194-1)*IF(Skills!H24&gt;0,Skills!I24/Skills!H24,1)+IF(Skills!H24&gt;0,MIN(Skills!I24,MAX(0,MAX(0,Inputs!$B$43-B1208)-((R1194-1)*(IF(Inputs!$B$38="pvp",15,MAX(0.1,Skills!E24-IF(Skills!F24=TRUE,Inputs!$B$32,0)))*(1-IF(AND(ArtifactsInput!$M$27,Inputs!$B$4="Chapter Hunt"),CHOOSE(ArtifactsInput!$N$27+1,20,24,28,32,36,40),0)/100)))))/Skills!H24,1)))/Inputs!$B$43),G1194*Q1194)*(1+IF(Inputs!$B$3&gt;=130,0.2*(Skills!I16/Skills!E15+IF(Inputs!$B$3&gt;=126,0.05*(B1206+Q1183+(H1184*B1207)/(1+Skills!H14*H1184*B1207)+Q1194)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1194*(1-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1194*(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1194*(1-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1194*(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4">
        <f>IF(C1194,(H1194*N1194*IF(AND(Inputs!$B$38&lt;&gt;"pvp",Inputs!$B$43&gt;0),((Skills!G24*((R1194-1)*IF(Skills!H24&gt;0,Skills!I24/Skills!H24,1)+IF(Skills!H24&gt;0,MIN(Skills!I24,MAX(0,MAX(0,Inputs!$B$43-B1208)-((R1194-1)*(IF(Inputs!$B$38="pvp",15,MAX(0.1,Skills!E24-IF(Skills!F24=TRUE,Inputs!$B$32,0)))*(1-IF(AND(ArtifactsInput!$M$27,Inputs!$B$4="Chapter Hunt"),CHOOSE(ArtifactsInput!$N$27+1,20,24,28,32,36,40),0)/100)))))/Skills!H24,1)))/Inputs!$B$43),G1194*Q1194)*(1+IF(Inputs!$B$3&gt;=130,0.2*(Skills!I16/Skills!E15+IF(Inputs!$B$3&gt;=126,0.05*(B1206+Q1183+(H1184*B1207)/(1+Skills!H14*H1184*B1207)+Q1194)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5">
      <c r="A1195">
        <f>Skills!A25</f>
        <v/>
      </c>
      <c r="B1195">
        <f>Skills!B25</f>
        <v/>
      </c>
      <c r="C1195">
        <f>Inputs!$B$3&gt;=117</f>
        <v/>
      </c>
      <c r="D1195">
        <f>IF(Skills!C25=1,60+Inputs!$B$25+Inputs!$B$29,IF(Skills!C25=2,90+Inputs!$B$26+Inputs!$B$29,IF(Skills!C25=3,120+Inputs!$B$27+Inputs!$B$29,MAX(0,(Inputs!$B$3-100)*3)+Inputs!$B$28+Inputs!$B$29)))</f>
        <v/>
      </c>
      <c r="E1195">
        <f>INDEX(FactorTable!$B$2:$Y$301, MATCH(ROUND(MIN(300,MAX(1,D1195)),0), FactorTable!$A$2:$A$301,0), Skills!M25+1)</f>
        <v/>
      </c>
      <c r="F1195">
        <f>IF(Skills!N25=TRUE,(Skills!L25/10)*(E1195/1000),Skills!L25/10)+Skills!O25</f>
        <v/>
      </c>
      <c r="G1195">
        <f>Calc!G25</f>
        <v/>
      </c>
      <c r="H1195">
        <f>Calc!H25</f>
        <v/>
      </c>
      <c r="I1195">
        <f>IF(Skills!X25&lt;&gt;"",1+(Skills!X25/10)*(Z1173/1000)/100,1)</f>
        <v/>
      </c>
      <c r="J1195" t="inlineStr"/>
      <c r="K1195" t="inlineStr"/>
      <c r="L1195" t="inlineStr"/>
      <c r="M1195" t="inlineStr"/>
      <c r="N1195" t="inlineStr"/>
      <c r="O1195">
        <f>(1-Summary!$B$11)*S1195+Summary!$B$11*U1195</f>
        <v/>
      </c>
      <c r="P1195">
        <f>IF(B1211=0,0,O1195/B1211)</f>
        <v/>
      </c>
      <c r="Q1195">
        <f>IFERROR(1/(IF(Inputs!$B$38="pvp",15,MAX(0.1,Skills!E25-IF(Skills!F25=TRUE,Inputs!$B$32,0)))*(1-IF(AND(ArtifactsInput!$M$27,Inputs!$B$4="Chapter Hunt"),CHOOSE(ArtifactsInput!$N$27+1,20,24,28,32,36,40),0)/100)),0)</f>
        <v/>
      </c>
      <c r="R1195" t="n">
        <v>0</v>
      </c>
      <c r="S1195" t="n">
        <v>0</v>
      </c>
      <c r="U1195" t="n">
        <v>0</v>
      </c>
    </row>
    <row r="1196">
      <c r="A1196">
        <f>Skills!A26</f>
        <v/>
      </c>
      <c r="B1196">
        <f>Skills!B26</f>
        <v/>
      </c>
      <c r="C1196">
        <f>Inputs!$B$3&gt;=120</f>
        <v/>
      </c>
      <c r="D1196">
        <f>IF(Skills!C26=1,60+Inputs!$B$25+Inputs!$B$29,IF(Skills!C26=2,90+Inputs!$B$26+Inputs!$B$29,IF(Skills!C26=3,120+Inputs!$B$27+Inputs!$B$29,MAX(0,(Inputs!$B$3-100)*3)+Inputs!$B$28+Inputs!$B$29)))</f>
        <v/>
      </c>
      <c r="E1196">
        <f>INDEX(FactorTable!$B$2:$Y$301, MATCH(ROUND(MIN(300,MAX(1,D1196)),0), FactorTable!$A$2:$A$301,0), Skills!M26+1)</f>
        <v/>
      </c>
      <c r="F1196">
        <f>IF(Skills!N26=TRUE,(Skills!L26/10)*(E1196/1000),Skills!L26/10)+Skills!O26</f>
        <v/>
      </c>
      <c r="G1196">
        <f>Calc!G26</f>
        <v/>
      </c>
      <c r="H1196">
        <f>Calc!H26</f>
        <v/>
      </c>
      <c r="I1196">
        <f>IF(Skills!X26&lt;&gt;"",1+(Skills!X26/10)*(Z1173/1000)/100,1)</f>
        <v/>
      </c>
      <c r="J1196" t="inlineStr"/>
      <c r="K1196" t="inlineStr"/>
      <c r="L1196" t="inlineStr"/>
      <c r="M1196" t="inlineStr"/>
      <c r="N1196" t="inlineStr"/>
      <c r="O1196">
        <f>(1-Summary!$B$11)*S1196+Summary!$B$11*U1196</f>
        <v/>
      </c>
      <c r="P1196">
        <f>IF(B1211=0,0,O1196/B1211)</f>
        <v/>
      </c>
      <c r="Q1196">
        <f>IFERROR(1/(IF(Inputs!$B$38="pvp",15,MAX(0.1,Skills!E26-IF(Skills!F26=TRUE,Inputs!$B$32,0)))*(1-IF(AND(ArtifactsInput!$M$27,Inputs!$B$4="Chapter Hunt"),CHOOSE(ArtifactsInput!$N$27+1,20,24,28,32,36,40),0)/100)),0)</f>
        <v/>
      </c>
      <c r="R1196" t="n">
        <v>0</v>
      </c>
      <c r="S1196" t="n">
        <v>0</v>
      </c>
      <c r="U1196" t="n">
        <v>0</v>
      </c>
    </row>
    <row r="1197">
      <c r="A1197">
        <f>Skills!A27</f>
        <v/>
      </c>
      <c r="B1197">
        <f>Skills!B27</f>
        <v/>
      </c>
      <c r="C1197">
        <f>Inputs!$B$3&gt;=125</f>
        <v/>
      </c>
      <c r="D1197">
        <f>IF(Skills!C27=1,60+Inputs!$B$25+Inputs!$B$29,IF(Skills!C27=2,90+Inputs!$B$26+Inputs!$B$29,IF(Skills!C27=3,120+Inputs!$B$27+Inputs!$B$29,MAX(0,(Inputs!$B$3-100)*3)+Inputs!$B$28+Inputs!$B$29)))</f>
        <v/>
      </c>
      <c r="E1197">
        <f>INDEX(FactorTable!$B$2:$Y$301, MATCH(ROUND(MIN(300,MAX(1,D1197)),0), FactorTable!$A$2:$A$301,0), Skills!M27+1)</f>
        <v/>
      </c>
      <c r="F1197">
        <f>IF(Skills!N27=TRUE,(Skills!L27/10)*(E1197/1000),Skills!L27/10)+Skills!O27</f>
        <v/>
      </c>
      <c r="G1197">
        <f>Calc!G27</f>
        <v/>
      </c>
      <c r="H1197">
        <f>Calc!H27</f>
        <v/>
      </c>
      <c r="I1197">
        <f>IF(Skills!X27&lt;&gt;"",1+(Skills!X27/10)*(Z1173/1000)/100,1)</f>
        <v/>
      </c>
      <c r="J1197" t="inlineStr"/>
      <c r="K1197" t="inlineStr"/>
      <c r="L1197" t="inlineStr"/>
      <c r="M1197" t="inlineStr"/>
      <c r="N1197" t="inlineStr"/>
      <c r="O1197">
        <f>(1-Summary!$B$11)*S1197+Summary!$B$11*U1197</f>
        <v/>
      </c>
      <c r="P1197">
        <f>IF(B1211=0,0,O1197/B1211)</f>
        <v/>
      </c>
      <c r="Q1197">
        <f>IFERROR(1/(IF(Inputs!$B$38="pvp",15,MAX(0.1,Skills!E27-IF(Skills!F27=TRUE,Inputs!$B$32,0)))*(1-IF(AND(ArtifactsInput!$M$27,Inputs!$B$4="Chapter Hunt"),CHOOSE(ArtifactsInput!$N$27+1,20,24,28,32,36,40),0)/100)),0)</f>
        <v/>
      </c>
      <c r="R1197" t="n">
        <v>0</v>
      </c>
      <c r="S1197" t="n">
        <v>0</v>
      </c>
      <c r="U1197" t="n">
        <v>0</v>
      </c>
    </row>
    <row r="1198">
      <c r="A1198">
        <f>Skills!A28</f>
        <v/>
      </c>
      <c r="B1198">
        <f>Skills!B28</f>
        <v/>
      </c>
      <c r="C1198">
        <f>Inputs!$B$3&gt;=118</f>
        <v/>
      </c>
      <c r="D1198">
        <f>IF(Skills!C28=1,60+Inputs!$B$25+Inputs!$B$29,IF(Skills!C28=2,90+Inputs!$B$26+Inputs!$B$29,IF(Skills!C28=3,120+Inputs!$B$27+Inputs!$B$29,MAX(0,(Inputs!$B$3-100)*3)+Inputs!$B$28+Inputs!$B$29)))</f>
        <v/>
      </c>
      <c r="E1198">
        <f>INDEX(FactorTable!$B$2:$Y$301, MATCH(ROUND(MIN(300,MAX(1,D1198)),0), FactorTable!$A$2:$A$301,0), Skills!M28+1)</f>
        <v/>
      </c>
      <c r="F1198">
        <f>IF(Skills!N28=TRUE,(Skills!L28/10)*(E1198/1000),Skills!L28/10)+Skills!O28</f>
        <v/>
      </c>
      <c r="G1198">
        <f>Calc!G28</f>
        <v/>
      </c>
      <c r="H1198">
        <f>Calc!H28</f>
        <v/>
      </c>
      <c r="I1198">
        <f>IF(Skills!X28&lt;&gt;"",1+(Skills!X28/10)*(Z1173/1000)/100,1)</f>
        <v/>
      </c>
      <c r="J1198">
        <f>((Inputs!$B$6*(1+Inputs!$B$7/100))+(((Inputs!$B$12*(1+Inputs!$B$13/100))-(Inputs!$B$12*(1+Inputs!$B$13/100)))+0.25*(Inputs!$B$14-Inputs!$B$14))*(1+Inputs!$B$7/100))*(F1198/100)</f>
        <v/>
      </c>
      <c r="K1198">
        <f>J1198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1193/100)*(1+IF(Inputs!$B$3&gt;=120,F1196,0)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1197*5,0)))/100)*(B1200*B1201*B1202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1198)</f>
        <v/>
      </c>
      <c r="L1198">
        <f>K1198*(MIN(Inputs!$B$22+(F1192-Calc!F22),(Inputs!$B$23+(IF(ArtifactsInput!$M$15,CHOOSE(ArtifactsInput!$N$15+1,25,30,35,40,45,50)/100*(Inputs!$B$11-Inputs!$B$11),0))))/100+(Inputs!$B$23+(IF(ArtifactsInput!$M$15,CHOOSE(ArtifactsInput!$N$15+1,25,30,35,40,45,50)/100*(Inputs!$B$11-Inputs!$B$11),0)))/100)/2</f>
        <v/>
      </c>
      <c r="M1198">
        <f>L1198*(1+(Inputs!$B$10+(F1191-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8">
        <f>L1198*(1-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1198*(MIN((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8">
        <f>(1-Summary!$B$11)*S1198+Summary!$B$11*U1198</f>
        <v/>
      </c>
      <c r="P1198">
        <f>IF(B1211=0,0,O1198/B1211)</f>
        <v/>
      </c>
      <c r="Q1198">
        <f>IFERROR(1/(IF(Inputs!$B$38="pvp",15,MAX(0.1,Skills!E28-IF(Skills!F28=TRUE,Inputs!$B$32,0)))*(1-IF(AND(ArtifactsInput!$M$27,Inputs!$B$4="Chapter Hunt"),CHOOSE(ArtifactsInput!$N$27+1,20,24,28,32,36,40),0)/100)),0)</f>
        <v/>
      </c>
      <c r="R1198">
        <f>IF(AND(Inputs!$B$38&lt;&gt;"pvp",Inputs!$B$43&gt;0),IF(MAX(0,Inputs!$B$43-B1208)&lt;=0,0,(INT(MAX(0,Inputs!$B$43-B1208)/(IF(Inputs!$B$38="pvp",15,MAX(0.1,Skills!E28-IF(Skills!F28=TRUE,Inputs!$B$32,0)))*(1-IF(AND(ArtifactsInput!$M$27,Inputs!$B$4="Chapter Hunt"),CHOOSE(ArtifactsInput!$N$27+1,20,24,28,32,36,40),0)/100)))+1)),0)</f>
        <v/>
      </c>
      <c r="S1198">
        <f>IF(C1198,(H1198*N1198*IF(AND(Inputs!$B$38&lt;&gt;"pvp",Inputs!$B$43&gt;0),((Skills!G28*((R1198-1)*IF(Skills!H28&gt;0,Skills!I28/Skills!H28,1)+IF(Skills!H28&gt;0,MIN(Skills!I28,MAX(0,MAX(0,Inputs!$B$43-B1208)-((R1198-1)*(IF(Inputs!$B$38="pvp",15,MAX(0.1,Skills!E28-IF(Skills!F28=TRUE,Inputs!$B$32,0)))*(1-IF(AND(ArtifactsInput!$M$27,Inputs!$B$4="Chapter Hunt"),CHOOSE(ArtifactsInput!$N$27+1,20,24,28,32,36,40),0)/100)))))/Skills!H28,1)))/Inputs!$B$43),G1198*Q1198)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1198*(1-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1198*(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1198*(1-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1198*(MIN(100,(Inputs!$B$9+(F1190-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8">
        <f>IF(C1198,(H1198*N1198*IF(AND(Inputs!$B$38&lt;&gt;"pvp",Inputs!$B$43&gt;0),((Skills!G28*((R1198-1)*IF(Skills!H28&gt;0,Skills!I28/Skills!H28,1)+IF(Skills!H28&gt;0,MIN(Skills!I28,MAX(0,MAX(0,Inputs!$B$43-B1208)-((R1198-1)*(IF(Inputs!$B$38="pvp",15,MAX(0.1,Skills!E28-IF(Skills!F28=TRUE,Inputs!$B$32,0)))*(1-IF(AND(ArtifactsInput!$M$27,Inputs!$B$4="Chapter Hunt"),CHOOSE(ArtifactsInput!$N$27+1,20,24,28,32,36,40),0)/100)))))/Skills!H28,1)))/Inputs!$B$43),G1198*Q1198)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0">
      <c r="A1200" t="inlineStr">
        <is>
          <t>Burning Magic Multiplier</t>
        </is>
      </c>
      <c r="B1200">
        <f>1+(F1181*Skills!Z11)/100</f>
        <v/>
      </c>
    </row>
    <row r="1201">
      <c r="A1201" t="inlineStr">
        <is>
          <t>Elemental Decrease Multiplier (always-on)</t>
        </is>
      </c>
      <c r="B1201">
        <f>1+(F1182+(IF(AND(ArtifactsInput!$M$35,Inputs!$B$4&lt;&gt;"Chapter Hunt"),CHOOSE(ArtifactsInput!$N$35+1,15,18,21,24,27,30)*(1-EXP(-(0.2*B1204)*5)),0)+IF(AND(ArtifactsInput!$M$22,Inputs!$B$4&lt;&gt;"Chapter Hunt"),CHOOSE(ArtifactsInput!$N$22+1,10,12,14,16,18,20)*((0*(((0.15*B1204*5))^0/1)+1*(((0.15*B1204*5))^1/1)+2*(((0.15*B1204*5))^2/2)+3*(((0.15*B1204*5))^3/6)+4*(((0.15*B1204*5))^4/24)+5*(((0.15*B1204*5))^5/120))/((((0.15*B1204*5))^0/1)+(((0.15*B1204*5))^1/1)+(((0.15*B1204*5))^2/2)+(((0.15*B1204*5))^3/6)+(((0.15*B1204*5))^4/24)+(((0.15*B1204*5))^5/120))),0)))/100</f>
        <v/>
      </c>
    </row>
    <row r="1202">
      <c r="A1202" t="inlineStr">
        <is>
          <t>Average Buff Multiplier (Magic Guard + Meditation + Artifact Attack%, summed; then Infinity)</t>
        </is>
      </c>
      <c r="B1202">
        <f>(1+(F1176*IF(AND(Inputs!$B$38&lt;&gt;"pvp",Inputs!$B$43&gt;0),(((R1176-1)*(Skills!T6*(1+((Inputs!$B$34+(ArtifactsInput!$M$7-ArtifactsInput!$M$7)*CHOOSE(ArtifactsInput!$N$7+1,6,7.2,8.4,9.6,10.8,12)))/100))+MIN((Skills!T6*(1+((Inputs!$B$34+(ArtifactsInput!$M$7-ArtifactsInput!$M$7)*CHOOSE(ArtifactsInput!$N$7+1,6,7.2,8.4,9.6,10.8,12)))/100)),MAX(0,Inputs!$B$43-((R1176-1)*Skills!E6))))/Inputs!$B$43),IF(Inputs!$B$38="pvp",MIN((Skills!T6*(1+((Inputs!$B$34+(ArtifactsInput!$M$7-ArtifactsInput!$M$7)*CHOOSE(ArtifactsInput!$N$7+1,6,7.2,8.4,9.6,10.8,12)))/100)),15)/15,(Skills!T6*(1+((Inputs!$B$34+(ArtifactsInput!$M$7-ArtifactsInput!$M$7)*CHOOSE(ArtifactsInput!$N$7+1,6,7.2,8.4,9.6,10.8,12)))/100))/Skills!E6))+F1187*IF(AND(Inputs!$B$38&lt;&gt;"pvp",Inputs!$B$43&gt;0),(((R1187-1)*(Skills!T17*(1+((Inputs!$B$34+(ArtifactsInput!$M$7-ArtifactsInput!$M$7)*CHOOSE(ArtifactsInput!$N$7+1,6,7.2,8.4,9.6,10.8,12)))/100))+MIN((Skills!T17*(1+((Inputs!$B$34+(ArtifactsInput!$M$7-ArtifactsInput!$M$7)*CHOOSE(ArtifactsInput!$N$7+1,6,7.2,8.4,9.6,10.8,12)))/100)),MAX(0,Inputs!$B$43-((R1187-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IF(C1189=TRUE,(1+F1189*IF(AND(Inputs!$B$38&lt;&gt;"pvp",Inputs!$B$43&gt;0),(((R1189-1)*(Skills!T19*(1+((Inputs!$B$34+(ArtifactsInput!$M$7-ArtifactsInput!$M$7)*CHOOSE(ArtifactsInput!$N$7+1,6,7.2,8.4,9.6,10.8,12)))/100))+MIN((Skills!T19*(1+((Inputs!$B$34+(ArtifactsInput!$M$7-ArtifactsInput!$M$7)*CHOOSE(ArtifactsInput!$N$7+1,6,7.2,8.4,9.6,10.8,12)))/100)),MAX(0,Inputs!$B$43-((R1189-1)*Skills!E19))))/Inputs!$B$43),IF(Inputs!$B$38="pvp",MIN((Skills!T19*(1+((Inputs!$B$34+(ArtifactsInput!$M$7-ArtifactsInput!$M$7)*CHOOSE(ArtifactsInput!$N$7+1,6,7.2,8.4,9.6,10.8,12)))/100)),15)/15,(Skills!T19*(1+((Inputs!$B$34+(ArtifactsInput!$M$7-ArtifactsInput!$M$7)*CHOOSE(ArtifactsInput!$N$7+1,6,7.2,8.4,9.6,10.8,12)))/100))/Skills!E19))/100),1)</f>
        <v/>
      </c>
    </row>
    <row r="1203">
      <c r="A1203" t="inlineStr">
        <is>
          <t>Attack Speed Buff Bonus % (Nimble Feet, averaged)</t>
        </is>
      </c>
      <c r="B1203">
        <f>F1188*IF(AND(Inputs!$B$38&lt;&gt;"pvp",Inputs!$B$43&gt;0),(((R1188-1)*(Skills!T18*(1+((Inputs!$B$34+(ArtifactsInput!$M$7-ArtifactsInput!$M$7)*CHOOSE(ArtifactsInput!$N$7+1,6,7.2,8.4,9.6,10.8,12)))/100))+MIN((Skills!T18*(1+((Inputs!$B$34+(ArtifactsInput!$M$7-ArtifactsInput!$M$7)*CHOOSE(ArtifactsInput!$N$7+1,6,7.2,8.4,9.6,10.8,12)))/100)),MAX(0,Inputs!$B$43-((R1188-1)*Skills!E18))))/Inputs!$B$43),IF(Inputs!$B$38="pvp",MIN((Skills!T18*(1+((Inputs!$B$34+(ArtifactsInput!$M$7-ArtifactsInput!$M$7)*CHOOSE(ArtifactsInput!$N$7+1,6,7.2,8.4,9.6,10.8,12)))/100)),15)/15,(Skills!T18*(1+((Inputs!$B$34+(ArtifactsInput!$M$7-ArtifactsInput!$M$7)*CHOOSE(ArtifactsInput!$N$7+1,6,7.2,8.4,9.6,10.8,12)))/100))/Skills!E18))</f>
        <v/>
      </c>
    </row>
    <row r="1204">
      <c r="A1204" t="inlineStr">
        <is>
          <t>Actions Per Second</t>
        </is>
      </c>
      <c r="B1204">
        <f>1+MIN(150,150*(1-(1-(Inputs!$B$11+(ArtifactsInput!$M$15-ArtifactsInput!$M$15)*CHOOSE(ArtifactsInput!$N$15+1,8,9.6,11.2,12.8,14.4,16))/150)*(1-B1203/150)))/100</f>
        <v/>
      </c>
    </row>
    <row r="1205">
      <c r="A1205" t="inlineStr">
        <is>
          <t>Skill + Buff Cast Rate</t>
        </is>
      </c>
      <c r="B1205">
        <f>IF(AND(Inputs!$B$38&lt;&gt;"pvp",Inputs!$B$43&gt;0),SUMPRODUCT((Skills!F2:F28=TRUE)*(C1172:C1198=TRUE)*R1172:R1198)/Inputs!$B$43,SUMPRODUCT((Skills!F2:F28=TRUE)*(C1172:C1198=TRUE)*Q1172:Q1198))</f>
        <v/>
      </c>
    </row>
    <row r="1206">
      <c r="A1206" t="inlineStr">
        <is>
          <t>Basic Attacks Per Second</t>
        </is>
      </c>
      <c r="B1206">
        <f>MAX(0,B1204-B1205)</f>
        <v/>
      </c>
    </row>
    <row r="1207">
      <c r="A1207" t="inlineStr">
        <is>
          <t>Meteor Proc — combined trigger cast rate</t>
        </is>
      </c>
      <c r="B1207">
        <f>IF(AND(Inputs!$B$38&lt;&gt;"pvp",Inputs!$B$43&gt;0),SUMPRODUCT((Skills!V2:V28=TRUE)*(C1172:C1198=TRUE)*R1172:R1198*Skills!W2:W28)/Inputs!$B$43,SUMPRODUCT((Skills!V2:V28=TRUE)*(C1172:C1198=TRUE)*Q1172:Q1198*Skills!W2:W28))+B1206</f>
        <v/>
      </c>
    </row>
    <row r="1208">
      <c r="A1208" t="inlineStr">
        <is>
          <t>Buff-Casting Startup Delay (s, fixed-duration only)</t>
        </is>
      </c>
      <c r="B1208">
        <f>IF(AND(Inputs!$B$38&lt;&gt;"pvp",Inputs!$B$43&gt;0),SUMPRODUCT((Skills!T2:T28&gt;0)*(Skills!F2:F28=TRUE)*(C1172:C1198=TRUE))/B1204,0)</f>
        <v/>
      </c>
    </row>
    <row r="1209">
      <c r="A1209" t="inlineStr">
        <is>
          <t>Boss-Only Total DPS (this block's swept value)</t>
        </is>
      </c>
      <c r="B1209">
        <f>SUM(S1172:S1198)</f>
        <v/>
      </c>
    </row>
    <row r="1210">
      <c r="A1210" t="inlineStr">
        <is>
          <t>Normal-Only Total DPS (this block's swept value)</t>
        </is>
      </c>
      <c r="B1210">
        <f>SUM(U1172:U1198)</f>
        <v/>
      </c>
    </row>
    <row r="1211">
      <c r="A1211" s="6" t="inlineStr">
        <is>
          <t>TOTAL DPS</t>
        </is>
      </c>
      <c r="B1211" s="6">
        <f>SUM(O1172:O1198)</f>
        <v/>
      </c>
    </row>
    <row r="1214">
      <c r="A1214" s="6" t="inlineStr">
        <is>
          <t>Stat: Pig's Ribbon (Equip)</t>
        </is>
      </c>
    </row>
    <row r="1215">
      <c r="A1215" s="5" t="inlineStr">
        <is>
          <t>Key</t>
        </is>
      </c>
      <c r="B1215" s="5" t="inlineStr">
        <is>
          <t>Name</t>
        </is>
      </c>
      <c r="C1215" s="5" t="inlineStr">
        <is>
          <t>Unlocked</t>
        </is>
      </c>
      <c r="D1215" s="5" t="inlineStr">
        <is>
          <t>InputLevel</t>
        </is>
      </c>
      <c r="E1215" s="5" t="inlineStr">
        <is>
          <t>Factor</t>
        </is>
      </c>
      <c r="F1215" s="5" t="inlineStr">
        <is>
          <t>CoefficientPercent</t>
        </is>
      </c>
      <c r="G1215" s="5" t="inlineStr">
        <is>
          <t>EffectiveHits</t>
        </is>
      </c>
      <c r="H1215" s="5" t="inlineStr">
        <is>
          <t>ProcProbability</t>
        </is>
      </c>
      <c r="I1215" s="5" t="inlineStr">
        <is>
          <t>MapleHeroMultiplier</t>
        </is>
      </c>
      <c r="J1215" s="5" t="inlineStr">
        <is>
          <t>BaseDamage</t>
        </is>
      </c>
      <c r="K1215" s="5" t="inlineStr">
        <is>
          <t>BaseHitDamage</t>
        </is>
      </c>
      <c r="L1215" s="5" t="inlineStr">
        <is>
          <t>NonCritAvg</t>
        </is>
      </c>
      <c r="M1215" s="5" t="inlineStr">
        <is>
          <t>CritAvg</t>
        </is>
      </c>
      <c r="N1215" s="5" t="inlineStr">
        <is>
          <t>ExpectedDamage(perHit)</t>
        </is>
      </c>
      <c r="O1215" s="5" t="inlineStr">
        <is>
          <t>DPS</t>
        </is>
      </c>
      <c r="P1215" s="5" t="inlineStr">
        <is>
          <t>% of Total</t>
        </is>
      </c>
      <c r="R1215" t="inlineStr">
        <is>
          <t>helpers</t>
        </is>
      </c>
    </row>
    <row r="1216">
      <c r="A1216">
        <f>Skills!A2</f>
        <v/>
      </c>
      <c r="B1216">
        <f>Skills!B2</f>
        <v/>
      </c>
      <c r="C1216">
        <f>TRUE</f>
        <v/>
      </c>
      <c r="D1216" t="inlineStr"/>
      <c r="E1216" t="inlineStr"/>
      <c r="F1216">
        <f>T1218+Skills!O2</f>
        <v/>
      </c>
      <c r="G1216">
        <f>Calc!G2</f>
        <v/>
      </c>
      <c r="H1216">
        <f>Calc!H2</f>
        <v/>
      </c>
      <c r="I1216">
        <f>IF(Skills!X2&lt;&gt;"",1+(Skills!X2/10)*(Z1217/1000)/100,1)</f>
        <v/>
      </c>
      <c r="J1216">
        <f>((Inputs!$B$6*(1+Inputs!$B$7/100))+(((Inputs!$B$12*(1+Inputs!$B$13/100))-(Inputs!$B$12*(1+Inputs!$B$13/100)))+0.25*(Inputs!$B$14-Inputs!$B$14))*(1+Inputs!$B$7/100))*(F1216/100)</f>
        <v/>
      </c>
      <c r="K1216">
        <f>J1216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1216)</f>
        <v/>
      </c>
      <c r="L1216">
        <f>K1216*(MIN(Inputs!$B$22+(F1236-Calc!F22),(Inputs!$B$23+(IF(ArtifactsInput!$M$15,CHOOSE(ArtifactsInput!$N$15+1,25,30,35,40,45,50)/100*(Inputs!$B$11-Inputs!$B$11),0))))/100+(Inputs!$B$23+(IF(ArtifactsInput!$M$15,CHOOSE(ArtifactsInput!$N$15+1,25,30,35,40,45,50)/100*(Inputs!$B$11-Inputs!$B$11),0)))/100)/2</f>
        <v/>
      </c>
      <c r="M1216">
        <f>L1216*(1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6">
        <f>L1216*(1-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1216*(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6">
        <f>(1-Summary!$B$11)*S1216+Summary!$B$11*U1216</f>
        <v/>
      </c>
      <c r="P1216">
        <f>IF(B1255=0,0,O1216/B1255)</f>
        <v/>
      </c>
      <c r="Q1216">
        <f>IFERROR(1/(IF(Inputs!$B$38="pvp",15,MAX(0.1,Skills!E2-IF(Skills!F2=TRUE,Inputs!$B$32,0)))*(1-IF(AND(ArtifactsInput!$M$27,Inputs!$B$4="Chapter Hunt"),CHOOSE(ArtifactsInput!$N$27+1,20,24,28,32,36,40),0)/100)),0)</f>
        <v/>
      </c>
      <c r="R1216" t="n">
        <v>0</v>
      </c>
      <c r="S1216">
        <f>(Skills!G2*N1216*B1250)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1216*(1-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1216*(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1216*(1-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1216*(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216">
        <f>MAX(0,(Inputs!$B$3-100)*3)+Inputs!$B$28+Inputs!$B$29</f>
        <v/>
      </c>
      <c r="U1216">
        <f>(Skills!G2*N1216*B1250)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216">
        <f>MAX(0,(Inputs!$B$3-100)*3)+Inputs!$B$28+Inputs!$B$29</f>
        <v/>
      </c>
    </row>
    <row r="1217">
      <c r="A1217">
        <f>Skills!A3</f>
        <v/>
      </c>
      <c r="B1217">
        <f>Skills!B3</f>
        <v/>
      </c>
      <c r="C1217">
        <f>TRUE</f>
        <v/>
      </c>
      <c r="D1217">
        <f>IF(Skills!C3=1,60+Inputs!$B$25+Inputs!$B$29,IF(Skills!C3=2,90+Inputs!$B$26+Inputs!$B$29,IF(Skills!C3=3,120+Inputs!$B$27+Inputs!$B$29,MAX(0,(Inputs!$B$3-100)*3)+Inputs!$B$28+Inputs!$B$29)))</f>
        <v/>
      </c>
      <c r="E1217">
        <f>INDEX(FactorTable!$B$2:$Y$301, MATCH(ROUND(MIN(300,MAX(1,D1217)),0), FactorTable!$A$2:$A$301,0), Skills!M3+1)</f>
        <v/>
      </c>
      <c r="F1217">
        <f>IF(Skills!N3=TRUE,(Skills!L3/10)*(E1217/1000),Skills!L3/10)+Skills!O3</f>
        <v/>
      </c>
      <c r="G1217">
        <f>Calc!G3</f>
        <v/>
      </c>
      <c r="H1217">
        <f>Calc!H3</f>
        <v/>
      </c>
      <c r="I1217">
        <f>IF(Skills!X3&lt;&gt;"",1+(Skills!X3/10)*(Z1217/1000)/100,1)</f>
        <v/>
      </c>
      <c r="J1217">
        <f>((Inputs!$B$6*(1+Inputs!$B$7/100))+(((Inputs!$B$12*(1+Inputs!$B$13/100))-(Inputs!$B$12*(1+Inputs!$B$13/100)))+0.25*(Inputs!$B$14-Inputs!$B$14))*(1+Inputs!$B$7/100))*(F1217/100)</f>
        <v/>
      </c>
      <c r="K1217">
        <f>J1217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1217)</f>
        <v/>
      </c>
      <c r="L1217">
        <f>K1217*(MIN(Inputs!$B$22+(F1236-Calc!F22),(Inputs!$B$23+(IF(ArtifactsInput!$M$15,CHOOSE(ArtifactsInput!$N$15+1,25,30,35,40,45,50)/100*(Inputs!$B$11-Inputs!$B$11),0))))/100+(Inputs!$B$23+(IF(ArtifactsInput!$M$15,CHOOSE(ArtifactsInput!$N$15+1,25,30,35,40,45,50)/100*(Inputs!$B$11-Inputs!$B$11),0)))/100)/2</f>
        <v/>
      </c>
      <c r="M1217">
        <f>L1217*(1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7">
        <f>L1217*(1-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1217*(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7">
        <f>(1-Summary!$B$11)*S1217+Summary!$B$11*U1217</f>
        <v/>
      </c>
      <c r="P1217">
        <f>IF(B1255=0,0,O1217/B1255)</f>
        <v/>
      </c>
      <c r="Q1217">
        <f>IFERROR(1/(IF(Inputs!$B$38="pvp",15,MAX(0.1,Skills!E3-IF(Skills!F3=TRUE,Inputs!$B$32,0)))*(1-IF(AND(ArtifactsInput!$M$27,Inputs!$B$4="Chapter Hunt"),CHOOSE(ArtifactsInput!$N$27+1,20,24,28,32,36,40),0)/100)),0)</f>
        <v/>
      </c>
      <c r="R1217">
        <f>IF(AND(Inputs!$B$38&lt;&gt;"pvp",Inputs!$B$43&gt;0),IF(MAX(0,Inputs!$B$43-B1252)&lt;=0,0,(INT(MAX(0,Inputs!$B$43-B1252)/(IF(Inputs!$B$38="pvp",15,MAX(0.1,Skills!E3-IF(Skills!F3=TRUE,Inputs!$B$32,0)))*(1-IF(AND(ArtifactsInput!$M$27,Inputs!$B$4="Chapter Hunt"),CHOOSE(ArtifactsInput!$N$27+1,20,24,28,32,36,40),0)/100)))+1)),0)</f>
        <v/>
      </c>
      <c r="S1217">
        <f>IF(C1217,(H1217*N1217*IF(AND(Inputs!$B$38&lt;&gt;"pvp",Inputs!$B$43&gt;0),((Skills!G3*((R1217-1)*IF(Skills!H3&gt;0,Skills!I3/Skills!H3,1)+IF(Skills!H3&gt;0,MIN(Skills!I3,MAX(0,MAX(0,Inputs!$B$43-B1252)-((R1217-1)*(IF(Inputs!$B$38="pvp",15,MAX(0.1,Skills!E3-IF(Skills!F3=TRUE,Inputs!$B$32,0)))*(1-IF(AND(ArtifactsInput!$M$27,Inputs!$B$4="Chapter Hunt"),CHOOSE(ArtifactsInput!$N$27+1,20,24,28,32,36,40),0)/100)))))/Skills!H3,1)))/Inputs!$B$43),G1217*Q1217)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1217*(1-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1217*(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1217*(1-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1217*(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217">
        <f>INDEX(FactorTable!$B$2:$Y$301, MATCH(ROUND(MIN(300,MAX(1,T1216)),0), FactorTable!$A$2:$A$301,0), 22)</f>
        <v/>
      </c>
      <c r="U1217">
        <f>IF(C1217,(H1217*N1217*IF(AND(Inputs!$B$38&lt;&gt;"pvp",Inputs!$B$43&gt;0),((Skills!G3*((R1217-1)*IF(Skills!H3&gt;0,Skills!I3/Skills!H3,1)+IF(Skills!H3&gt;0,MIN(Skills!I3,MAX(0,MAX(0,Inputs!$B$43-B1252)-((R1217-1)*(IF(Inputs!$B$38="pvp",15,MAX(0.1,Skills!E3-IF(Skills!F3=TRUE,Inputs!$B$32,0)))*(1-IF(AND(ArtifactsInput!$M$27,Inputs!$B$4="Chapter Hunt"),CHOOSE(ArtifactsInput!$N$27+1,20,24,28,32,36,40),0)/100)))))/Skills!H3,1)))/Inputs!$B$43),G1217*Q1217)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217">
        <f>INDEX(FactorTable!$B$2:$Y$301, MATCH(ROUND(MIN(300,MAX(1,Z1216)),0), FactorTable!$A$2:$A$301,0), 24)</f>
        <v/>
      </c>
    </row>
    <row r="1218">
      <c r="A1218">
        <f>Skills!A4</f>
        <v/>
      </c>
      <c r="B1218">
        <f>Skills!B4</f>
        <v/>
      </c>
      <c r="C1218">
        <f>TRUE</f>
        <v/>
      </c>
      <c r="D1218">
        <f>IF(Skills!C4=1,60+Inputs!$B$25+Inputs!$B$29,IF(Skills!C4=2,90+Inputs!$B$26+Inputs!$B$29,IF(Skills!C4=3,120+Inputs!$B$27+Inputs!$B$29,MAX(0,(Inputs!$B$3-100)*3)+Inputs!$B$28+Inputs!$B$29)))</f>
        <v/>
      </c>
      <c r="E1218">
        <f>INDEX(FactorTable!$B$2:$Y$301, MATCH(ROUND(MIN(300,MAX(1,D1218)),0), FactorTable!$A$2:$A$301,0), Skills!M4+1)</f>
        <v/>
      </c>
      <c r="F1218">
        <f>IF(Skills!N4=TRUE,(Skills!L4/10)*(E1218/1000),Skills!L4/10)+Skills!O4</f>
        <v/>
      </c>
      <c r="G1218">
        <f>Calc!G4</f>
        <v/>
      </c>
      <c r="H1218">
        <f>Calc!H4</f>
        <v/>
      </c>
      <c r="I1218">
        <f>IF(Skills!X4&lt;&gt;"",1+(Skills!X4/10)*(Z1217/1000)/100,1)</f>
        <v/>
      </c>
      <c r="J1218">
        <f>((Inputs!$B$6*(1+Inputs!$B$7/100))+(((Inputs!$B$12*(1+Inputs!$B$13/100))-(Inputs!$B$12*(1+Inputs!$B$13/100)))+0.25*(Inputs!$B$14-Inputs!$B$14))*(1+Inputs!$B$7/100))*(F1218/100)</f>
        <v/>
      </c>
      <c r="K1218">
        <f>J1218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1218)</f>
        <v/>
      </c>
      <c r="L1218">
        <f>K1218*(MIN(Inputs!$B$22+(F1236-Calc!F22),(Inputs!$B$23+(IF(ArtifactsInput!$M$15,CHOOSE(ArtifactsInput!$N$15+1,25,30,35,40,45,50)/100*(Inputs!$B$11-Inputs!$B$11),0))))/100+(Inputs!$B$23+(IF(ArtifactsInput!$M$15,CHOOSE(ArtifactsInput!$N$15+1,25,30,35,40,45,50)/100*(Inputs!$B$11-Inputs!$B$11),0)))/100)/2</f>
        <v/>
      </c>
      <c r="M1218">
        <f>L1218*(1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8">
        <f>L1218*(1-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1218*(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8">
        <f>(1-Summary!$B$11)*S1218+Summary!$B$11*U1218</f>
        <v/>
      </c>
      <c r="P1218">
        <f>IF(B1255=0,0,O1218/B1255)</f>
        <v/>
      </c>
      <c r="Q1218">
        <f>IFERROR(1/(IF(Inputs!$B$38="pvp",15,MAX(0.1,Skills!E4-IF(Skills!F4=TRUE,Inputs!$B$32,0)))*(1-IF(AND(ArtifactsInput!$M$27,Inputs!$B$4="Chapter Hunt"),CHOOSE(ArtifactsInput!$N$27+1,20,24,28,32,36,40),0)/100)),0)</f>
        <v/>
      </c>
      <c r="R1218">
        <f>IF(AND(Inputs!$B$38&lt;&gt;"pvp",Inputs!$B$43&gt;0),IF(MAX(0,Inputs!$B$43-B1252)&lt;=0,0,(INT(MAX(0,Inputs!$B$43-B1252)/(IF(Inputs!$B$38="pvp",15,MAX(0.1,Skills!E4-IF(Skills!F4=TRUE,Inputs!$B$32,0)))*(1-IF(AND(ArtifactsInput!$M$27,Inputs!$B$4="Chapter Hunt"),CHOOSE(ArtifactsInput!$N$27+1,20,24,28,32,36,40),0)/100)))+1)),0)</f>
        <v/>
      </c>
      <c r="S1218">
        <f>IF(C1218,(H1218*N1218*IF(AND(Inputs!$B$38&lt;&gt;"pvp",Inputs!$B$43&gt;0),((Skills!G4*((R1218-1)*IF(Skills!H4&gt;0,Skills!I4/Skills!H4,1)+IF(Skills!H4&gt;0,MIN(Skills!I4,MAX(0,MAX(0,Inputs!$B$43-B1252)-((R1218-1)*(IF(Inputs!$B$38="pvp",15,MAX(0.1,Skills!E4-IF(Skills!F4=TRUE,Inputs!$B$32,0)))*(1-IF(AND(ArtifactsInput!$M$27,Inputs!$B$4="Chapter Hunt"),CHOOSE(ArtifactsInput!$N$27+1,20,24,28,32,36,40),0)/100)))))/Skills!H4,1)))/Inputs!$B$43),G1218*Q1218)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1218*(1-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1218*(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1218*(1-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1218*(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218">
        <f>290*T1217/1000</f>
        <v/>
      </c>
      <c r="U1218">
        <f>IF(C1218,(H1218*N1218*IF(AND(Inputs!$B$38&lt;&gt;"pvp",Inputs!$B$43&gt;0),((Skills!G4*((R1218-1)*IF(Skills!H4&gt;0,Skills!I4/Skills!H4,1)+IF(Skills!H4&gt;0,MIN(Skills!I4,MAX(0,MAX(0,Inputs!$B$43-B1252)-((R1218-1)*(IF(Inputs!$B$38="pvp",15,MAX(0.1,Skills!E4-IF(Skills!F4=TRUE,Inputs!$B$32,0)))*(1-IF(AND(ArtifactsInput!$M$27,Inputs!$B$4="Chapter Hunt"),CHOOSE(ArtifactsInput!$N$27+1,20,24,28,32,36,40),0)/100)))))/Skills!H4,1)))/Inputs!$B$43),G1218*Q1218)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9">
      <c r="A1219">
        <f>Skills!A5</f>
        <v/>
      </c>
      <c r="B1219">
        <f>Skills!B5</f>
        <v/>
      </c>
      <c r="C1219">
        <f>TRUE</f>
        <v/>
      </c>
      <c r="D1219">
        <f>IF(Skills!C5=1,60+Inputs!$B$25+Inputs!$B$29,IF(Skills!C5=2,90+Inputs!$B$26+Inputs!$B$29,IF(Skills!C5=3,120+Inputs!$B$27+Inputs!$B$29,MAX(0,(Inputs!$B$3-100)*3)+Inputs!$B$28+Inputs!$B$29)))</f>
        <v/>
      </c>
      <c r="E1219">
        <f>INDEX(FactorTable!$B$2:$Y$301, MATCH(ROUND(MIN(300,MAX(1,D1219)),0), FactorTable!$A$2:$A$301,0), Skills!M5+1)</f>
        <v/>
      </c>
      <c r="F1219">
        <f>IF(Skills!N5=TRUE,(Skills!L5/10)*(E1219/1000),Skills!L5/10)+Skills!O5</f>
        <v/>
      </c>
      <c r="G1219">
        <f>Calc!G5</f>
        <v/>
      </c>
      <c r="H1219">
        <f>Calc!H5</f>
        <v/>
      </c>
      <c r="I1219">
        <f>IF(Skills!X5&lt;&gt;"",1+(Skills!X5/10)*(Z1217/1000)/100,1)</f>
        <v/>
      </c>
      <c r="J1219">
        <f>((Inputs!$B$6*(1+Inputs!$B$7/100))+(((Inputs!$B$12*(1+Inputs!$B$13/100))-(Inputs!$B$12*(1+Inputs!$B$13/100)))+0.25*(Inputs!$B$14-Inputs!$B$14))*(1+Inputs!$B$7/100))*(F1219/100)</f>
        <v/>
      </c>
      <c r="K1219">
        <f>J1219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1219)</f>
        <v/>
      </c>
      <c r="L1219">
        <f>K1219*(MIN(Inputs!$B$22+(F1236-Calc!F22),(Inputs!$B$23+(IF(ArtifactsInput!$M$15,CHOOSE(ArtifactsInput!$N$15+1,25,30,35,40,45,50)/100*(Inputs!$B$11-Inputs!$B$11),0))))/100+(Inputs!$B$23+(IF(ArtifactsInput!$M$15,CHOOSE(ArtifactsInput!$N$15+1,25,30,35,40,45,50)/100*(Inputs!$B$11-Inputs!$B$11),0)))/100)/2</f>
        <v/>
      </c>
      <c r="M1219">
        <f>L1219*(1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9">
        <f>L1219*(1-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1219*(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9">
        <f>(1-Summary!$B$11)*S1219+Summary!$B$11*U1219</f>
        <v/>
      </c>
      <c r="P1219">
        <f>IF(B1255=0,0,O1219/B1255)</f>
        <v/>
      </c>
      <c r="Q1219">
        <f>IFERROR(1/(IF(Inputs!$B$38="pvp",15,MAX(0.1,Skills!E5-IF(Skills!F5=TRUE,Inputs!$B$32,0)))*(1-IF(AND(ArtifactsInput!$M$27,Inputs!$B$4="Chapter Hunt"),CHOOSE(ArtifactsInput!$N$27+1,20,24,28,32,36,40),0)/100)),0)</f>
        <v/>
      </c>
      <c r="R1219">
        <f>IF(AND(Inputs!$B$38&lt;&gt;"pvp",Inputs!$B$43&gt;0),IF(MAX(0,Inputs!$B$43-B1252)&lt;=0,0,(INT(MAX(0,Inputs!$B$43-B1252)/(IF(Inputs!$B$38="pvp",15,MAX(0.1,Skills!E5-IF(Skills!F5=TRUE,Inputs!$B$32,0)))*(1-IF(AND(ArtifactsInput!$M$27,Inputs!$B$4="Chapter Hunt"),CHOOSE(ArtifactsInput!$N$27+1,20,24,28,32,36,40),0)/100)))+1)),0)</f>
        <v/>
      </c>
      <c r="S1219">
        <f>IF(C1219,(H1219*N1219*IF(AND(Inputs!$B$38&lt;&gt;"pvp",Inputs!$B$43&gt;0),((Skills!G5*((R1219-1)*IF(Skills!H5&gt;0,Skills!I5/Skills!H5,1)+IF(Skills!H5&gt;0,MIN(Skills!I5,MAX(0,MAX(0,Inputs!$B$43-B1252)-((R1219-1)*(IF(Inputs!$B$38="pvp",15,MAX(0.1,Skills!E5-IF(Skills!F5=TRUE,Inputs!$B$32,0)))*(1-IF(AND(ArtifactsInput!$M$27,Inputs!$B$4="Chapter Hunt"),CHOOSE(ArtifactsInput!$N$27+1,20,24,28,32,36,40),0)/100)))))/Skills!H5,1)))/Inputs!$B$43),G1219*Q1219)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1219*(1-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1219*(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1219*(1-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1219*(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19">
        <f>IF(C1219,(H1219*N1219*IF(AND(Inputs!$B$38&lt;&gt;"pvp",Inputs!$B$43&gt;0),((Skills!G5*((R1219-1)*IF(Skills!H5&gt;0,Skills!I5/Skills!H5,1)+IF(Skills!H5&gt;0,MIN(Skills!I5,MAX(0,MAX(0,Inputs!$B$43-B1252)-((R1219-1)*(IF(Inputs!$B$38="pvp",15,MAX(0.1,Skills!E5-IF(Skills!F5=TRUE,Inputs!$B$32,0)))*(1-IF(AND(ArtifactsInput!$M$27,Inputs!$B$4="Chapter Hunt"),CHOOSE(ArtifactsInput!$N$27+1,20,24,28,32,36,40),0)/100)))))/Skills!H5,1)))/Inputs!$B$43),G1219*Q1219)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0">
      <c r="A1220">
        <f>Skills!A6</f>
        <v/>
      </c>
      <c r="B1220">
        <f>Skills!B6</f>
        <v/>
      </c>
      <c r="C1220">
        <f>TRUE</f>
        <v/>
      </c>
      <c r="D1220">
        <f>IF(Skills!C6=1,60+Inputs!$B$25+Inputs!$B$29,IF(Skills!C6=2,90+Inputs!$B$26+Inputs!$B$29,IF(Skills!C6=3,120+Inputs!$B$27+Inputs!$B$29,MAX(0,(Inputs!$B$3-100)*3)+Inputs!$B$28+Inputs!$B$29)))</f>
        <v/>
      </c>
      <c r="E1220">
        <f>INDEX(FactorTable!$B$2:$Y$301, MATCH(ROUND(MIN(300,MAX(1,D1220)),0), FactorTable!$A$2:$A$301,0), Skills!M6+1)</f>
        <v/>
      </c>
      <c r="F1220">
        <f>IF(Skills!N6=TRUE,(Skills!L6/10)*(E1220/1000),Skills!L6/10)+Skills!O6</f>
        <v/>
      </c>
      <c r="G1220">
        <f>Calc!G6</f>
        <v/>
      </c>
      <c r="H1220">
        <f>Calc!H6</f>
        <v/>
      </c>
      <c r="I1220">
        <f>IF(Skills!X6&lt;&gt;"",1+(Skills!X6/10)*(Z1217/1000)/100,1)</f>
        <v/>
      </c>
      <c r="J1220" t="inlineStr"/>
      <c r="K1220" t="inlineStr"/>
      <c r="L1220" t="inlineStr"/>
      <c r="M1220" t="inlineStr"/>
      <c r="N1220" t="inlineStr"/>
      <c r="O1220">
        <f>(1-Summary!$B$11)*S1220+Summary!$B$11*U1220</f>
        <v/>
      </c>
      <c r="P1220">
        <f>IF(B1255=0,0,O1220/B1255)</f>
        <v/>
      </c>
      <c r="Q1220">
        <f>IFERROR(1/(IF(Inputs!$B$38="pvp",15,MAX(0.1,Skills!E6-IF(Skills!F6=TRUE,Inputs!$B$32,0)))*(1-IF(AND(ArtifactsInput!$M$27,Inputs!$B$4="Chapter Hunt"),CHOOSE(ArtifactsInput!$N$27+1,20,24,28,32,36,40),0)/100)),0)</f>
        <v/>
      </c>
      <c r="R1220">
        <f>IF(AND(Inputs!$B$38&lt;&gt;"pvp",Inputs!$B$43&gt;0),IF(Inputs!$B$43&lt;=0,0,(INT(Inputs!$B$43/(IF(Inputs!$B$38="pvp",15,MAX(0.1,Skills!E6-IF(Skills!F6=TRUE,Inputs!$B$32,0)))*(1-IF(AND(ArtifactsInput!$M$27,Inputs!$B$4="Chapter Hunt"),CHOOSE(ArtifactsInput!$N$27+1,20,24,28,32,36,40),0)/100)))+1)),0)</f>
        <v/>
      </c>
      <c r="S1220" t="n">
        <v>0</v>
      </c>
      <c r="U1220" t="n">
        <v>0</v>
      </c>
    </row>
    <row r="1221">
      <c r="A1221">
        <f>Skills!A7</f>
        <v/>
      </c>
      <c r="B1221">
        <f>Skills!B7</f>
        <v/>
      </c>
      <c r="C1221">
        <f>TRUE</f>
        <v/>
      </c>
      <c r="D1221">
        <f>IF(Skills!C7=1,60+Inputs!$B$25+Inputs!$B$29,IF(Skills!C7=2,90+Inputs!$B$26+Inputs!$B$29,IF(Skills!C7=3,120+Inputs!$B$27+Inputs!$B$29,MAX(0,(Inputs!$B$3-100)*3)+Inputs!$B$28+Inputs!$B$29)))</f>
        <v/>
      </c>
      <c r="E1221">
        <f>INDEX(FactorTable!$B$2:$Y$301, MATCH(ROUND(MIN(300,MAX(1,D1221)),0), FactorTable!$A$2:$A$301,0), Skills!M7+1)</f>
        <v/>
      </c>
      <c r="F1221">
        <f>IF(Skills!N7=TRUE,(Skills!L7/10)*(E1221/1000),Skills!L7/10)+Skills!O7</f>
        <v/>
      </c>
      <c r="G1221">
        <f>Calc!G7</f>
        <v/>
      </c>
      <c r="H1221">
        <f>Calc!H7</f>
        <v/>
      </c>
      <c r="I1221">
        <f>IF(Skills!X7&lt;&gt;"",1+(Skills!X7/10)*(Z1217/1000)/100,1)</f>
        <v/>
      </c>
      <c r="J1221">
        <f>((Inputs!$B$6*(1+Inputs!$B$7/100))+(((Inputs!$B$12*(1+Inputs!$B$13/100))-(Inputs!$B$12*(1+Inputs!$B$13/100)))+0.25*(Inputs!$B$14-Inputs!$B$14))*(1+Inputs!$B$7/100))*(F1221/100)</f>
        <v/>
      </c>
      <c r="K1221">
        <f>J1221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1221)</f>
        <v/>
      </c>
      <c r="L1221">
        <f>K1221*(MIN(Inputs!$B$22+(F1236-Calc!F22),(Inputs!$B$23+(IF(ArtifactsInput!$M$15,CHOOSE(ArtifactsInput!$N$15+1,25,30,35,40,45,50)/100*(Inputs!$B$11-Inputs!$B$11),0))))/100+(Inputs!$B$23+(IF(ArtifactsInput!$M$15,CHOOSE(ArtifactsInput!$N$15+1,25,30,35,40,45,50)/100*(Inputs!$B$11-Inputs!$B$11),0)))/100)/2</f>
        <v/>
      </c>
      <c r="M1221">
        <f>L1221*(1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1">
        <f>L1221*(1-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1">
        <f>(1-Summary!$B$11)*S1221+Summary!$B$11*U1221</f>
        <v/>
      </c>
      <c r="P1221">
        <f>IF(B1255=0,0,O1221/B1255)</f>
        <v/>
      </c>
      <c r="Q1221">
        <f>IFERROR(1/(IF(Inputs!$B$38="pvp",15,MAX(0.1,Skills!E7-IF(Skills!F7=TRUE,Inputs!$B$32,0)))*(1-IF(AND(ArtifactsInput!$M$27,Inputs!$B$4="Chapter Hunt"),CHOOSE(ArtifactsInput!$N$27+1,20,24,28,32,36,40),0)/100)),0)</f>
        <v/>
      </c>
      <c r="R1221">
        <f>IF(AND(Inputs!$B$38&lt;&gt;"pvp",Inputs!$B$43&gt;0),IF(MAX(0,Inputs!$B$43-B1252)&lt;=0,0,(INT(MAX(0,Inputs!$B$43-B1252)/(IF(Inputs!$B$38="pvp",15,MAX(0.1,Skills!E7-IF(Skills!F7=TRUE,Inputs!$B$32,0)))*(1-IF(AND(ArtifactsInput!$M$27,Inputs!$B$4="Chapter Hunt"),CHOOSE(ArtifactsInput!$N$27+1,20,24,28,32,36,40),0)/100)))+1)),0)</f>
        <v/>
      </c>
      <c r="S1221">
        <f>IF(C1221,(H1221*N1221*IF(AND(Inputs!$B$38&lt;&gt;"pvp",Inputs!$B$43&gt;0),((Skills!G7*((R1221-1)*IF(Skills!H7&gt;0,Skills!I7/Skills!H7,1)+IF(Skills!H7&gt;0,MIN(Skills!I7,MAX(0,MAX(0,Inputs!$B$43-B1252)-((R1221-1)*(IF(Inputs!$B$38="pvp",15,MAX(0.1,Skills!E7-IF(Skills!F7=TRUE,Inputs!$B$32,0)))*(1-IF(AND(ArtifactsInput!$M$27,Inputs!$B$4="Chapter Hunt"),CHOOSE(ArtifactsInput!$N$27+1,20,24,28,32,36,40),0)/100)))))/Skills!H7,1)))/Inputs!$B$43),G1221*Q1221)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1221*(1-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1">
        <f>IF(C1221,(H1221*N1221*IF(AND(Inputs!$B$38&lt;&gt;"pvp",Inputs!$B$43&gt;0),((Skills!G7*((R1221-1)*IF(Skills!H7&gt;0,Skills!I7/Skills!H7,1)+IF(Skills!H7&gt;0,MIN(Skills!I7,MAX(0,MAX(0,Inputs!$B$43-B1252)-((R1221-1)*(IF(Inputs!$B$38="pvp",15,MAX(0.1,Skills!E7-IF(Skills!F7=TRUE,Inputs!$B$32,0)))*(1-IF(AND(ArtifactsInput!$M$27,Inputs!$B$4="Chapter Hunt"),CHOOSE(ArtifactsInput!$N$27+1,20,24,28,32,36,40),0)/100)))))/Skills!H7,1)))/Inputs!$B$43),G1221*Q1221)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2">
      <c r="A1222">
        <f>Skills!A8</f>
        <v/>
      </c>
      <c r="B1222">
        <f>Skills!B8</f>
        <v/>
      </c>
      <c r="C1222">
        <f>TRUE</f>
        <v/>
      </c>
      <c r="D1222">
        <f>IF(Skills!C8=1,60+Inputs!$B$25+Inputs!$B$29,IF(Skills!C8=2,90+Inputs!$B$26+Inputs!$B$29,IF(Skills!C8=3,120+Inputs!$B$27+Inputs!$B$29,MAX(0,(Inputs!$B$3-100)*3)+Inputs!$B$28+Inputs!$B$29)))</f>
        <v/>
      </c>
      <c r="E1222">
        <f>INDEX(FactorTable!$B$2:$Y$301, MATCH(ROUND(MIN(300,MAX(1,D1222)),0), FactorTable!$A$2:$A$301,0), Skills!M8+1)</f>
        <v/>
      </c>
      <c r="F1222">
        <f>IF(Skills!N8=TRUE,(Skills!L8/10)*(E1222/1000),Skills!L8/10)+Skills!O8</f>
        <v/>
      </c>
      <c r="G1222">
        <f>Calc!G8</f>
        <v/>
      </c>
      <c r="H1222">
        <f>Calc!H8</f>
        <v/>
      </c>
      <c r="I1222">
        <f>IF(Skills!X8&lt;&gt;"",1+(Skills!X8/10)*(Z1217/1000)/100,1)</f>
        <v/>
      </c>
      <c r="J1222">
        <f>((Inputs!$B$6*(1+Inputs!$B$7/100))+(((Inputs!$B$12*(1+Inputs!$B$13/100))-(Inputs!$B$12*(1+Inputs!$B$13/100)))+0.25*(Inputs!$B$14-Inputs!$B$14))*(1+Inputs!$B$7/100))*(F1222/100)</f>
        <v/>
      </c>
      <c r="K1222">
        <f>J1222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1222)</f>
        <v/>
      </c>
      <c r="L1222">
        <f>K1222*(MIN(Inputs!$B$22+(F1236-Calc!F22),(Inputs!$B$23+(IF(ArtifactsInput!$M$15,CHOOSE(ArtifactsInput!$N$15+1,25,30,35,40,45,50)/100*(Inputs!$B$11-Inputs!$B$11),0))))/100+(Inputs!$B$23+(IF(ArtifactsInput!$M$15,CHOOSE(ArtifactsInput!$N$15+1,25,30,35,40,45,50)/100*(Inputs!$B$11-Inputs!$B$11),0)))/100)/2</f>
        <v/>
      </c>
      <c r="M1222">
        <f>L1222*(1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2">
        <f>L1222*(1-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1222*(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2">
        <f>(1-Summary!$B$11)*S1222+Summary!$B$11*U1222</f>
        <v/>
      </c>
      <c r="P1222">
        <f>IF(B1255=0,0,O1222/B1255)</f>
        <v/>
      </c>
      <c r="Q1222">
        <f>IFERROR(1/(IF(Inputs!$B$38="pvp",15,MAX(0.1,Skills!E8-IF(Skills!F8=TRUE,Inputs!$B$32,0)))*(1-IF(AND(ArtifactsInput!$M$27,Inputs!$B$4="Chapter Hunt"),CHOOSE(ArtifactsInput!$N$27+1,20,24,28,32,36,40),0)/100)),0)</f>
        <v/>
      </c>
      <c r="R1222">
        <f>IF(AND(Inputs!$B$38&lt;&gt;"pvp",Inputs!$B$43&gt;0),IF(MAX(0,Inputs!$B$43-B1252)&lt;=0,0,(INT(MAX(0,Inputs!$B$43-B1252)/(IF(Inputs!$B$38="pvp",15,MAX(0.1,Skills!E8-IF(Skills!F8=TRUE,Inputs!$B$32,0)))*(1-IF(AND(ArtifactsInput!$M$27,Inputs!$B$4="Chapter Hunt"),CHOOSE(ArtifactsInput!$N$27+1,20,24,28,32,36,40),0)/100)))+1)),0)</f>
        <v/>
      </c>
      <c r="S1222">
        <f>IF(C1222,(H1222*N1222*IF(AND(Inputs!$B$38&lt;&gt;"pvp",Inputs!$B$43&gt;0),((Skills!G8*((R1222-1)*IF(Skills!H8&gt;0,Skills!I8/Skills!H8,1)+IF(Skills!H8&gt;0,MIN(Skills!I8,MAX(0,MAX(0,Inputs!$B$43-B1252)-((R1222-1)*(IF(Inputs!$B$38="pvp",15,MAX(0.1,Skills!E8-IF(Skills!F8=TRUE,Inputs!$B$32,0)))*(1-IF(AND(ArtifactsInput!$M$27,Inputs!$B$4="Chapter Hunt"),CHOOSE(ArtifactsInput!$N$27+1,20,24,28,32,36,40),0)/100)))))/Skills!H8,1)))/Inputs!$B$43),G1222*Q1222)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1222*(1-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1222*(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1222*(1-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1222*(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2">
        <f>IF(C1222,(H1222*N1222*IF(AND(Inputs!$B$38&lt;&gt;"pvp",Inputs!$B$43&gt;0),((Skills!G8*((R1222-1)*IF(Skills!H8&gt;0,Skills!I8/Skills!H8,1)+IF(Skills!H8&gt;0,MIN(Skills!I8,MAX(0,MAX(0,Inputs!$B$43-B1252)-((R1222-1)*(IF(Inputs!$B$38="pvp",15,MAX(0.1,Skills!E8-IF(Skills!F8=TRUE,Inputs!$B$32,0)))*(1-IF(AND(ArtifactsInput!$M$27,Inputs!$B$4="Chapter Hunt"),CHOOSE(ArtifactsInput!$N$27+1,20,24,28,32,36,40),0)/100)))))/Skills!H8,1)))/Inputs!$B$43),G1222*Q1222)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3">
      <c r="A1223">
        <f>Skills!A9</f>
        <v/>
      </c>
      <c r="B1223">
        <f>Skills!B9</f>
        <v/>
      </c>
      <c r="C1223">
        <f>Inputs!$B$3&gt;=103</f>
        <v/>
      </c>
      <c r="D1223">
        <f>IF(Skills!C9=1,60+Inputs!$B$25+Inputs!$B$29,IF(Skills!C9=2,90+Inputs!$B$26+Inputs!$B$29,IF(Skills!C9=3,120+Inputs!$B$27+Inputs!$B$29,MAX(0,(Inputs!$B$3-100)*3)+Inputs!$B$28+Inputs!$B$29)))</f>
        <v/>
      </c>
      <c r="E1223">
        <f>INDEX(FactorTable!$B$2:$Y$301, MATCH(ROUND(MIN(300,MAX(1,D1223)),0), FactorTable!$A$2:$A$301,0), Skills!M9+1)</f>
        <v/>
      </c>
      <c r="F1223">
        <f>IF(Skills!N9=TRUE,(Skills!L9/10)*(E1223/1000),Skills!L9/10)+Skills!O9</f>
        <v/>
      </c>
      <c r="G1223">
        <f>Calc!G9</f>
        <v/>
      </c>
      <c r="H1223">
        <f>Calc!H9</f>
        <v/>
      </c>
      <c r="I1223">
        <f>IF(Skills!X9&lt;&gt;"",1+(Skills!X9/10)*(Z1217/1000)/100,1)</f>
        <v/>
      </c>
      <c r="J1223">
        <f>((Inputs!$B$6*(1+Inputs!$B$7/100))+(((Inputs!$B$12*(1+Inputs!$B$13/100))-(Inputs!$B$12*(1+Inputs!$B$13/100)))+0.25*(Inputs!$B$14-Inputs!$B$14))*(1+Inputs!$B$7/100))*(F1223/100)</f>
        <v/>
      </c>
      <c r="K1223">
        <f>J1223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1223)</f>
        <v/>
      </c>
      <c r="L1223">
        <f>K1223*(MIN(Inputs!$B$22+(F1236-Calc!F22),(Inputs!$B$23+(IF(ArtifactsInput!$M$15,CHOOSE(ArtifactsInput!$N$15+1,25,30,35,40,45,50)/100*(Inputs!$B$11-Inputs!$B$11),0))))/100+(Inputs!$B$23+(IF(ArtifactsInput!$M$15,CHOOSE(ArtifactsInput!$N$15+1,25,30,35,40,45,50)/100*(Inputs!$B$11-Inputs!$B$11),0)))/100)/2</f>
        <v/>
      </c>
      <c r="M1223">
        <f>L1223*(1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3">
        <f>L1223*(1-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1223*(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3">
        <f>(1-Summary!$B$11)*S1223+Summary!$B$11*U1223</f>
        <v/>
      </c>
      <c r="P1223">
        <f>IF(B1255=0,0,O1223/B1255)</f>
        <v/>
      </c>
      <c r="Q1223">
        <f>IFERROR(1/(IF(Inputs!$B$38="pvp",15,MAX(0.1,Skills!E9-IF(Skills!F7=TRUE,Inputs!$B$32,0)))*(1-IF(AND(ArtifactsInput!$M$27,Inputs!$B$4="Chapter Hunt"),CHOOSE(ArtifactsInput!$N$27+1,20,24,28,32,36,40),0)/100)),0)</f>
        <v/>
      </c>
      <c r="R1223">
        <f>IF(AND(Inputs!$B$38&lt;&gt;"pvp",Inputs!$B$43&gt;0),IF(MAX(0,Inputs!$B$43-B1252)&lt;=0,0,(INT(MAX(0,Inputs!$B$43-B1252)/(IF(Inputs!$B$38="pvp",15,MAX(0.1,Skills!E9-IF(Skills!F7=TRUE,Inputs!$B$32,0)))*(1-IF(AND(ArtifactsInput!$M$27,Inputs!$B$4="Chapter Hunt"),CHOOSE(ArtifactsInput!$N$27+1,20,24,28,32,36,40),0)/100)))+1)),0)</f>
        <v/>
      </c>
      <c r="S1223">
        <f>IF(C1223,(H1223*N1223*IF(AND(Inputs!$B$38&lt;&gt;"pvp",Inputs!$B$43&gt;0),((Skills!G9*((R1223-1)*IF(Skills!H9&gt;0,Skills!I9/Skills!H9,1)+IF(Skills!H9&gt;0,MIN(Skills!I9,MAX(0,MAX(0,Inputs!$B$43-B1252)-((R1223-1)*(IF(Inputs!$B$38="pvp",15,MAX(0.1,Skills!E9-IF(Skills!F7=TRUE,Inputs!$B$32,0)))*(1-IF(AND(ArtifactsInput!$M$27,Inputs!$B$4="Chapter Hunt"),CHOOSE(ArtifactsInput!$N$27+1,20,24,28,32,36,40),0)/100)))))/Skills!H9,1)))/Inputs!$B$43),G1223*Q1223)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1223*(1-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1223*(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1223*(1-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1223*(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3">
        <f>IF(C1223,(H1223*N1223*IF(AND(Inputs!$B$38&lt;&gt;"pvp",Inputs!$B$43&gt;0),((Skills!G9*((R1223-1)*IF(Skills!H9&gt;0,Skills!I9/Skills!H9,1)+IF(Skills!H9&gt;0,MIN(Skills!I9,MAX(0,MAX(0,Inputs!$B$43-B1252)-((R1223-1)*(IF(Inputs!$B$38="pvp",15,MAX(0.1,Skills!E9-IF(Skills!F7=TRUE,Inputs!$B$32,0)))*(1-IF(AND(ArtifactsInput!$M$27,Inputs!$B$4="Chapter Hunt"),CHOOSE(ArtifactsInput!$N$27+1,20,24,28,32,36,40),0)/100)))))/Skills!H9,1)))/Inputs!$B$43),G1223*Q1223)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4">
      <c r="A1224">
        <f>Skills!A10</f>
        <v/>
      </c>
      <c r="B1224">
        <f>Skills!B10</f>
        <v/>
      </c>
      <c r="C1224">
        <f>TRUE</f>
        <v/>
      </c>
      <c r="D1224">
        <f>IF(Skills!C10=1,60+Inputs!$B$25+Inputs!$B$29,IF(Skills!C10=2,90+Inputs!$B$26+Inputs!$B$29,IF(Skills!C10=3,120+Inputs!$B$27+Inputs!$B$29,MAX(0,(Inputs!$B$3-100)*3)+Inputs!$B$28+Inputs!$B$29)))</f>
        <v/>
      </c>
      <c r="E1224">
        <f>INDEX(FactorTable!$B$2:$Y$301, MATCH(ROUND(MIN(300,MAX(1,D1224)),0), FactorTable!$A$2:$A$301,0), Skills!M10+1)</f>
        <v/>
      </c>
      <c r="F1224">
        <f>IF(Skills!N10=TRUE,(Skills!L10/10)*(E1224/1000),Skills!L10/10)+Skills!O10</f>
        <v/>
      </c>
      <c r="G1224">
        <f>Calc!G10</f>
        <v/>
      </c>
      <c r="H1224">
        <f>Calc!H10</f>
        <v/>
      </c>
      <c r="I1224">
        <f>IF(Skills!X10&lt;&gt;"",1+(Skills!X10/10)*(Z1217/1000)/100,1)</f>
        <v/>
      </c>
      <c r="J1224">
        <f>((Inputs!$B$6*(1+Inputs!$B$7/100))+(((Inputs!$B$12*(1+Inputs!$B$13/100))-(Inputs!$B$12*(1+Inputs!$B$13/100)))+0.25*(Inputs!$B$14-Inputs!$B$14))*(1+Inputs!$B$7/100))*(F1224/100)</f>
        <v/>
      </c>
      <c r="K1224">
        <f>J1224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1224)</f>
        <v/>
      </c>
      <c r="L1224">
        <f>K1224*(MIN(Inputs!$B$22+(F1236-Calc!F22),(Inputs!$B$23+(IF(ArtifactsInput!$M$15,CHOOSE(ArtifactsInput!$N$15+1,25,30,35,40,45,50)/100*(Inputs!$B$11-Inputs!$B$11),0))))/100+(Inputs!$B$23+(IF(ArtifactsInput!$M$15,CHOOSE(ArtifactsInput!$N$15+1,25,30,35,40,45,50)/100*(Inputs!$B$11-Inputs!$B$11),0)))/100)/2</f>
        <v/>
      </c>
      <c r="M1224">
        <f>L1224*(1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4">
        <f>L1224*(1-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1224*(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4">
        <f>(1-Summary!$B$11)*S1224+Summary!$B$11*U1224</f>
        <v/>
      </c>
      <c r="P1224">
        <f>IF(B1255=0,0,O1224/B1255)</f>
        <v/>
      </c>
      <c r="Q1224">
        <f>IFERROR(1/(IF(Inputs!$B$38="pvp",15,MAX(0.1,Skills!E10-IF(Skills!F10=TRUE,Inputs!$B$32,0)))*(1-IF(AND(ArtifactsInput!$M$27,Inputs!$B$4="Chapter Hunt"),CHOOSE(ArtifactsInput!$N$27+1,20,24,28,32,36,40),0)/100)),0)</f>
        <v/>
      </c>
      <c r="R1224">
        <f>IF(AND(Inputs!$B$38&lt;&gt;"pvp",Inputs!$B$43&gt;0),IF(MAX(0,Inputs!$B$43-B1252)&lt;=0,0,(INT(MAX(0,Inputs!$B$43-B1252)/(IF(Inputs!$B$38="pvp",15,MAX(0.1,Skills!E10-IF(Skills!F10=TRUE,Inputs!$B$32,0)))*(1-IF(AND(ArtifactsInput!$M$27,Inputs!$B$4="Chapter Hunt"),CHOOSE(ArtifactsInput!$N$27+1,20,24,28,32,36,40),0)/100)))+1)),0)</f>
        <v/>
      </c>
      <c r="S1224">
        <f>IF(C1224,(H1224*N1224*IF(AND(Inputs!$B$38&lt;&gt;"pvp",Inputs!$B$43&gt;0),((Skills!G10*((R1224-1)*IF(Skills!H10&gt;0,Skills!I10/Skills!H10,1)+IF(Skills!H10&gt;0,MIN(Skills!I10,MAX(0,MAX(0,Inputs!$B$43-B1252)-((R1224-1)*(IF(Inputs!$B$38="pvp",15,MAX(0.1,Skills!E10-IF(Skills!F10=TRUE,Inputs!$B$32,0)))*(1-IF(AND(ArtifactsInput!$M$27,Inputs!$B$4="Chapter Hunt"),CHOOSE(ArtifactsInput!$N$27+1,20,24,28,32,36,40),0)/100)))))/Skills!H10,1)))/Inputs!$B$43),G1224*Q1224)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1224*(1-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1224*(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1224*(1-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1224*(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4">
        <f>IF(C1224,(H1224*N1224*IF(AND(Inputs!$B$38&lt;&gt;"pvp",Inputs!$B$43&gt;0),((Skills!G10*((R1224-1)*IF(Skills!H10&gt;0,Skills!I10/Skills!H10,1)+IF(Skills!H10&gt;0,MIN(Skills!I10,MAX(0,MAX(0,Inputs!$B$43-B1252)-((R1224-1)*(IF(Inputs!$B$38="pvp",15,MAX(0.1,Skills!E10-IF(Skills!F10=TRUE,Inputs!$B$32,0)))*(1-IF(AND(ArtifactsInput!$M$27,Inputs!$B$4="Chapter Hunt"),CHOOSE(ArtifactsInput!$N$27+1,20,24,28,32,36,40),0)/100)))))/Skills!H10,1)))/Inputs!$B$43),G1224*Q1224)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5">
      <c r="A1225">
        <f>Skills!A11</f>
        <v/>
      </c>
      <c r="B1225">
        <f>Skills!B11</f>
        <v/>
      </c>
      <c r="C1225">
        <f>TRUE</f>
        <v/>
      </c>
      <c r="D1225">
        <f>IF(Skills!C11=1,60+Inputs!$B$25+Inputs!$B$29,IF(Skills!C11=2,90+Inputs!$B$26+Inputs!$B$29,IF(Skills!C11=3,120+Inputs!$B$27+Inputs!$B$29,MAX(0,(Inputs!$B$3-100)*3)+Inputs!$B$28+Inputs!$B$29)))</f>
        <v/>
      </c>
      <c r="E1225">
        <f>INDEX(FactorTable!$B$2:$Y$301, MATCH(ROUND(MIN(300,MAX(1,D1225)),0), FactorTable!$A$2:$A$301,0), Skills!M11+1)</f>
        <v/>
      </c>
      <c r="F1225">
        <f>IF(Skills!N11=TRUE,(Skills!L11/10)*(E1225/1000),Skills!L11/10)+Skills!O11</f>
        <v/>
      </c>
      <c r="G1225">
        <f>Calc!G11</f>
        <v/>
      </c>
      <c r="H1225">
        <f>Calc!H11</f>
        <v/>
      </c>
      <c r="I1225">
        <f>IF(Skills!X11&lt;&gt;"",1+(Skills!X11/10)*(Z1217/1000)/100,1)</f>
        <v/>
      </c>
      <c r="J1225" t="inlineStr"/>
      <c r="K1225" t="inlineStr"/>
      <c r="L1225" t="inlineStr"/>
      <c r="M1225" t="inlineStr"/>
      <c r="N1225" t="inlineStr"/>
      <c r="O1225">
        <f>(1-Summary!$B$11)*S1225+Summary!$B$11*U1225</f>
        <v/>
      </c>
      <c r="P1225">
        <f>IF(B1255=0,0,O1225/B1255)</f>
        <v/>
      </c>
      <c r="Q1225">
        <f>IFERROR(1/(IF(Inputs!$B$38="pvp",15,MAX(0.1,Skills!E11-IF(Skills!F11=TRUE,Inputs!$B$32,0)))*(1-IF(AND(ArtifactsInput!$M$27,Inputs!$B$4="Chapter Hunt"),CHOOSE(ArtifactsInput!$N$27+1,20,24,28,32,36,40),0)/100)),0)</f>
        <v/>
      </c>
      <c r="R1225" t="n">
        <v>0</v>
      </c>
      <c r="S1225" t="n">
        <v>0</v>
      </c>
      <c r="U1225" t="n">
        <v>0</v>
      </c>
    </row>
    <row r="1226">
      <c r="A1226">
        <f>Skills!A12</f>
        <v/>
      </c>
      <c r="B1226">
        <f>Skills!B12</f>
        <v/>
      </c>
      <c r="C1226">
        <f>TRUE</f>
        <v/>
      </c>
      <c r="D1226">
        <f>IF(Skills!C12=1,60+Inputs!$B$25+Inputs!$B$29,IF(Skills!C12=2,90+Inputs!$B$26+Inputs!$B$29,IF(Skills!C12=3,120+Inputs!$B$27+Inputs!$B$29,MAX(0,(Inputs!$B$3-100)*3)+Inputs!$B$28+Inputs!$B$29)))</f>
        <v/>
      </c>
      <c r="E1226">
        <f>INDEX(FactorTable!$B$2:$Y$301, MATCH(ROUND(MIN(300,MAX(1,D1226)),0), FactorTable!$A$2:$A$301,0), Skills!M12+1)</f>
        <v/>
      </c>
      <c r="F1226">
        <f>IF(Skills!N12=TRUE,(Skills!L12/10)*(E1226/1000),Skills!L12/10)+Skills!O12</f>
        <v/>
      </c>
      <c r="G1226">
        <f>Calc!G12</f>
        <v/>
      </c>
      <c r="H1226">
        <f>Calc!H12</f>
        <v/>
      </c>
      <c r="I1226">
        <f>IF(Skills!X12&lt;&gt;"",1+(Skills!X12/10)*(Z1217/1000)/100,1)</f>
        <v/>
      </c>
      <c r="J1226" t="inlineStr"/>
      <c r="K1226" t="inlineStr"/>
      <c r="L1226" t="inlineStr"/>
      <c r="M1226" t="inlineStr"/>
      <c r="N1226" t="inlineStr"/>
      <c r="O1226">
        <f>(1-Summary!$B$11)*S1226+Summary!$B$11*U1226</f>
        <v/>
      </c>
      <c r="P1226">
        <f>IF(B1255=0,0,O1226/B1255)</f>
        <v/>
      </c>
      <c r="Q1226">
        <f>IFERROR(1/(IF(Inputs!$B$38="pvp",15,MAX(0.1,Skills!E12-IF(Skills!F12=TRUE,Inputs!$B$32,0)))*(1-IF(AND(ArtifactsInput!$M$27,Inputs!$B$4="Chapter Hunt"),CHOOSE(ArtifactsInput!$N$27+1,20,24,28,32,36,40),0)/100)),0)</f>
        <v/>
      </c>
      <c r="R1226" t="n">
        <v>0</v>
      </c>
      <c r="S1226" t="n">
        <v>0</v>
      </c>
      <c r="U1226" t="n">
        <v>0</v>
      </c>
    </row>
    <row r="1227">
      <c r="A1227">
        <f>Skills!A13</f>
        <v/>
      </c>
      <c r="B1227">
        <f>Skills!B13</f>
        <v/>
      </c>
      <c r="C1227">
        <f>Inputs!$B$3&gt;=105</f>
        <v/>
      </c>
      <c r="D1227">
        <f>IF(Skills!C13=1,60+Inputs!$B$25+Inputs!$B$29,IF(Skills!C13=2,90+Inputs!$B$26+Inputs!$B$29,IF(Skills!C13=3,120+Inputs!$B$27+Inputs!$B$29,MAX(0,(Inputs!$B$3-100)*3)+Inputs!$B$28+Inputs!$B$29)))</f>
        <v/>
      </c>
      <c r="E1227">
        <f>INDEX(FactorTable!$B$2:$Y$301, MATCH(ROUND(MIN(300,MAX(1,D1227)),0), FactorTable!$A$2:$A$301,0), Skills!M13+1)</f>
        <v/>
      </c>
      <c r="F1227">
        <f>IF(Skills!N13=TRUE,(Skills!L13/10)*(E1227/1000),Skills!L13/10)+Skills!O13</f>
        <v/>
      </c>
      <c r="G1227">
        <f>Calc!G13</f>
        <v/>
      </c>
      <c r="H1227">
        <f>Calc!H13</f>
        <v/>
      </c>
      <c r="I1227">
        <f>IF(Skills!X13&lt;&gt;"",1+(Skills!X13/10)*(Z1217/1000)/100,1)</f>
        <v/>
      </c>
      <c r="J1227">
        <f>((Inputs!$B$6*(1+Inputs!$B$7/100))+(((Inputs!$B$12*(1+Inputs!$B$13/100))-(Inputs!$B$12*(1+Inputs!$B$13/100)))+0.25*(Inputs!$B$14-Inputs!$B$14))*(1+Inputs!$B$7/100))*(F1227/100)</f>
        <v/>
      </c>
      <c r="K1227">
        <f>J1227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1227)</f>
        <v/>
      </c>
      <c r="L1227">
        <f>K1227*(MIN(Inputs!$B$22+(F1236-Calc!F22),(Inputs!$B$23+(IF(ArtifactsInput!$M$15,CHOOSE(ArtifactsInput!$N$15+1,25,30,35,40,45,50)/100*(Inputs!$B$11-Inputs!$B$11),0))))/100+(Inputs!$B$23+(IF(ArtifactsInput!$M$15,CHOOSE(ArtifactsInput!$N$15+1,25,30,35,40,45,50)/100*(Inputs!$B$11-Inputs!$B$11),0)))/100)/2</f>
        <v/>
      </c>
      <c r="M1227">
        <f>L1227*(1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7">
        <f>L1227*(1-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1227*(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7">
        <f>(1-Summary!$B$11)*S1227+Summary!$B$11*U1227</f>
        <v/>
      </c>
      <c r="P1227">
        <f>IF(B1255=0,0,O1227/B1255)</f>
        <v/>
      </c>
      <c r="Q1227">
        <f>IFERROR(1/(IF(Inputs!$B$38="pvp",15,MAX(0.1,Skills!E13-IF(Skills!F13=TRUE,Inputs!$B$32,0)))*(1-IF(AND(ArtifactsInput!$M$27,Inputs!$B$4="Chapter Hunt"),CHOOSE(ArtifactsInput!$N$27+1,20,24,28,32,36,40),0)/100)),0)</f>
        <v/>
      </c>
      <c r="R1227">
        <f>IF(AND(Inputs!$B$38&lt;&gt;"pvp",Inputs!$B$43&gt;0),IF(MAX(0,Inputs!$B$43-B1252)&lt;=0,0,(INT(MAX(0,Inputs!$B$43-B1252)/(IF(Inputs!$B$38="pvp",15,MAX(0.1,Skills!E13-IF(Skills!F13=TRUE,Inputs!$B$32,0)))*(1-IF(AND(ArtifactsInput!$M$27,Inputs!$B$4="Chapter Hunt"),CHOOSE(ArtifactsInput!$N$27+1,20,24,28,32,36,40),0)/100)))+1)),0)</f>
        <v/>
      </c>
      <c r="S1227">
        <f>IF(C1227,(H1227*N1227*IF(AND(Inputs!$B$38&lt;&gt;"pvp",Inputs!$B$43&gt;0),((Skills!G13*((R1227-1)*IF(Skills!H13&gt;0,Skills!I13/Skills!H13,1)+IF(Skills!H13&gt;0,MIN(Skills!I13,MAX(0,MAX(0,Inputs!$B$43-B1252)-((R1227-1)*(IF(Inputs!$B$38="pvp",15,MAX(0.1,Skills!E13-IF(Skills!F13=TRUE,Inputs!$B$32,0)))*(1-IF(AND(ArtifactsInput!$M$27,Inputs!$B$4="Chapter Hunt"),CHOOSE(ArtifactsInput!$N$27+1,20,24,28,32,36,40),0)/100)))))/Skills!H13,1)))/Inputs!$B$43),G1227*Q1227)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1227*(1-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1227*(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1227*(1-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1227*(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7">
        <f>IF(C1227,(H1227*N1227*IF(AND(Inputs!$B$38&lt;&gt;"pvp",Inputs!$B$43&gt;0),((Skills!G13*((R1227-1)*IF(Skills!H13&gt;0,Skills!I13/Skills!H13,1)+IF(Skills!H13&gt;0,MIN(Skills!I13,MAX(0,MAX(0,Inputs!$B$43-B1252)-((R1227-1)*(IF(Inputs!$B$38="pvp",15,MAX(0.1,Skills!E13-IF(Skills!F13=TRUE,Inputs!$B$32,0)))*(1-IF(AND(ArtifactsInput!$M$27,Inputs!$B$4="Chapter Hunt"),CHOOSE(ArtifactsInput!$N$27+1,20,24,28,32,36,40),0)/100)))))/Skills!H13,1)))/Inputs!$B$43),G1227*Q1227)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8">
      <c r="A1228">
        <f>Skills!A14</f>
        <v/>
      </c>
      <c r="B1228">
        <f>Skills!B14</f>
        <v/>
      </c>
      <c r="C1228">
        <f>Inputs!$B$3&gt;=113</f>
        <v/>
      </c>
      <c r="D1228">
        <f>IF(Skills!C14=1,60+Inputs!$B$25+Inputs!$B$29,IF(Skills!C14=2,90+Inputs!$B$26+Inputs!$B$29,IF(Skills!C14=3,120+Inputs!$B$27+Inputs!$B$29,MAX(0,(Inputs!$B$3-100)*3)+Inputs!$B$28+Inputs!$B$29)))</f>
        <v/>
      </c>
      <c r="E1228">
        <f>INDEX(FactorTable!$B$2:$Y$301, MATCH(ROUND(MIN(300,MAX(1,D1228)),0), FactorTable!$A$2:$A$301,0), Skills!M14+1)</f>
        <v/>
      </c>
      <c r="F1228">
        <f>IF(Skills!N14=TRUE,(Skills!L14/10)*(E1228/1000),Skills!L14/10)+Skills!O14</f>
        <v/>
      </c>
      <c r="G1228">
        <f>Calc!G14</f>
        <v/>
      </c>
      <c r="H1228">
        <f>Calc!H14</f>
        <v/>
      </c>
      <c r="I1228">
        <f>IF(Skills!X14&lt;&gt;"",1+(Skills!X14/10)*(Z1217/1000)/100,1)</f>
        <v/>
      </c>
      <c r="J1228">
        <f>((Inputs!$B$6*(1+Inputs!$B$7/100))+(((Inputs!$B$12*(1+Inputs!$B$13/100))-(Inputs!$B$12*(1+Inputs!$B$13/100)))+0.25*(Inputs!$B$14-Inputs!$B$14))*(1+Inputs!$B$7/100))*(F1228/100)</f>
        <v/>
      </c>
      <c r="K1228">
        <f>J1228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1228)</f>
        <v/>
      </c>
      <c r="L1228">
        <f>K1228*(MIN(Inputs!$B$22+(F1236-Calc!F22),(Inputs!$B$23+(IF(ArtifactsInput!$M$15,CHOOSE(ArtifactsInput!$N$15+1,25,30,35,40,45,50)/100*(Inputs!$B$11-Inputs!$B$11),0))))/100+(Inputs!$B$23+(IF(ArtifactsInput!$M$15,CHOOSE(ArtifactsInput!$N$15+1,25,30,35,40,45,50)/100*(Inputs!$B$11-Inputs!$B$11),0)))/100)/2</f>
        <v/>
      </c>
      <c r="M1228">
        <f>L1228*(1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8">
        <f>L1228*(1-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1228*(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8">
        <f>(1-Summary!$B$11)*S1228+Summary!$B$11*U1228</f>
        <v/>
      </c>
      <c r="P1228">
        <f>IF(B1255=0,0,O1228/B1255)</f>
        <v/>
      </c>
      <c r="Q1228">
        <f>IFERROR(1/(IF(Inputs!$B$38="pvp",15,MAX(0.1,Skills!E14-IF(Skills!F14=TRUE,Inputs!$B$32,0)))*(1-IF(AND(ArtifactsInput!$M$27,Inputs!$B$4="Chapter Hunt"),CHOOSE(ArtifactsInput!$N$27+1,20,24,28,32,36,40),0)/100)),0)</f>
        <v/>
      </c>
      <c r="R1228" t="n">
        <v>0</v>
      </c>
      <c r="S1228">
        <f>IF(C1228,((H1228*B1251)/(1+Skills!H14*H1228*B1251)*N1228)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1228*(1-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1228*(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1228*(1-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1228*(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8">
        <f>IF(C1228,((H1228*B1251)/(1+Skills!H14*H1228*B1251)*N1228)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9">
      <c r="A1229">
        <f>Skills!A15</f>
        <v/>
      </c>
      <c r="B1229">
        <f>Skills!B15</f>
        <v/>
      </c>
      <c r="C1229">
        <f>Inputs!$B$3&gt;=107</f>
        <v/>
      </c>
      <c r="D1229">
        <f>IF(Skills!C15=1,60+Inputs!$B$25+Inputs!$B$29,IF(Skills!C15=2,90+Inputs!$B$26+Inputs!$B$29,IF(Skills!C15=3,120+Inputs!$B$27+Inputs!$B$29,MAX(0,(Inputs!$B$3-100)*3)+Inputs!$B$28+Inputs!$B$29)))</f>
        <v/>
      </c>
      <c r="E1229">
        <f>INDEX(FactorTable!$B$2:$Y$301, MATCH(ROUND(MIN(300,MAX(1,D1229)),0), FactorTable!$A$2:$A$301,0), Skills!M15+1)</f>
        <v/>
      </c>
      <c r="F1229">
        <f>IF(Skills!N15=TRUE,(Skills!L15/10)*(E1229/1000),Skills!L15/10)+Skills!O15</f>
        <v/>
      </c>
      <c r="G1229">
        <f>Calc!G15</f>
        <v/>
      </c>
      <c r="H1229">
        <f>Calc!H15</f>
        <v/>
      </c>
      <c r="I1229">
        <f>IF(Skills!X15&lt;&gt;"",1+(Skills!X15/10)*(Z1217/1000)/100,1)</f>
        <v/>
      </c>
      <c r="J1229">
        <f>((Inputs!$B$6*(1+Inputs!$B$7/100))+(((Inputs!$B$12*(1+Inputs!$B$13/100))-(Inputs!$B$12*(1+Inputs!$B$13/100)))+0.25*(Inputs!$B$14-Inputs!$B$14))*(1+Inputs!$B$7/100))*(F1229/100)</f>
        <v/>
      </c>
      <c r="K1229">
        <f>J1229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1229)</f>
        <v/>
      </c>
      <c r="L1229">
        <f>K1229*(MIN(Inputs!$B$22+(F1236-Calc!F22),(Inputs!$B$23+(IF(ArtifactsInput!$M$15,CHOOSE(ArtifactsInput!$N$15+1,25,30,35,40,45,50)/100*(Inputs!$B$11-Inputs!$B$11),0))))/100+(Inputs!$B$23+(IF(ArtifactsInput!$M$15,CHOOSE(ArtifactsInput!$N$15+1,25,30,35,40,45,50)/100*(Inputs!$B$11-Inputs!$B$11),0)))/100)/2</f>
        <v/>
      </c>
      <c r="M1229">
        <f>L1229*(1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9">
        <f>L1229*(1-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1229*(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9">
        <f>(1-Summary!$B$11)*S1229+Summary!$B$11*U1229</f>
        <v/>
      </c>
      <c r="P1229">
        <f>IF(B1255=0,0,O1229/B1255)</f>
        <v/>
      </c>
      <c r="Q1229">
        <f>IFERROR(1/(IF(Inputs!$B$38="pvp",15,MAX(0.1,Skills!E15-IF(Skills!F15=TRUE,Inputs!$B$32,0)))*(1-IF(AND(ArtifactsInput!$M$27,Inputs!$B$4="Chapter Hunt"),CHOOSE(ArtifactsInput!$N$27+1,20,24,28,32,36,40),0)/100)),0)</f>
        <v/>
      </c>
      <c r="R1229">
        <f>IF(AND(Inputs!$B$38&lt;&gt;"pvp",Inputs!$B$43&gt;0),IF(MAX(0,Inputs!$B$43-B1252)&lt;=0,0,(INT(MAX(0,Inputs!$B$43-B1252)/(IF(Inputs!$B$38="pvp",15,MAX(0.1,Skills!E15-IF(Skills!F15=TRUE,Inputs!$B$32,0)))*(1-IF(AND(ArtifactsInput!$M$27,Inputs!$B$4="Chapter Hunt"),CHOOSE(ArtifactsInput!$N$27+1,20,24,28,32,36,40),0)/100)))+1)),0)</f>
        <v/>
      </c>
      <c r="S1229">
        <f>IF(C1229,(H1229*N1229*IF(AND(Inputs!$B$38&lt;&gt;"pvp",Inputs!$B$43&gt;0),((Skills!G15*((R1229-1)*IF(Skills!H15&gt;0,Skills!I15/Skills!H15,1)+IF(Skills!H15&gt;0,MIN(Skills!I15,MAX(0,MAX(0,Inputs!$B$43-B1252)-((R1229-1)*(IF(Inputs!$B$38="pvp",15,MAX(0.1,Skills!E15-IF(Skills!F15=TRUE,Inputs!$B$32,0)))*(1-IF(AND(ArtifactsInput!$M$27,Inputs!$B$4="Chapter Hunt"),CHOOSE(ArtifactsInput!$N$27+1,20,24,28,32,36,40),0)/100)))))/Skills!H15,1)))/Inputs!$B$43),G1229*Q1229)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1229*(1-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1229*(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1229*(1-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1229*(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9">
        <f>IF(C1229,(H1229*N1229*IF(AND(Inputs!$B$38&lt;&gt;"pvp",Inputs!$B$43&gt;0),((Skills!G15*((R1229-1)*IF(Skills!H15&gt;0,Skills!I15/Skills!H15,1)+IF(Skills!H15&gt;0,MIN(Skills!I15,MAX(0,MAX(0,Inputs!$B$43-B1252)-((R1229-1)*(IF(Inputs!$B$38="pvp",15,MAX(0.1,Skills!E15-IF(Skills!F15=TRUE,Inputs!$B$32,0)))*(1-IF(AND(ArtifactsInput!$M$27,Inputs!$B$4="Chapter Hunt"),CHOOSE(ArtifactsInput!$N$27+1,20,24,28,32,36,40),0)/100)))))/Skills!H15,1)))/Inputs!$B$43),G1229*Q1229)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0">
      <c r="A1230">
        <f>Skills!A16</f>
        <v/>
      </c>
      <c r="B1230">
        <f>Skills!B16</f>
        <v/>
      </c>
      <c r="C1230">
        <f>Inputs!$B$3&gt;=107</f>
        <v/>
      </c>
      <c r="D1230">
        <f>IF(Skills!C16=1,60+Inputs!$B$25+Inputs!$B$29,IF(Skills!C16=2,90+Inputs!$B$26+Inputs!$B$29,IF(Skills!C16=3,120+Inputs!$B$27+Inputs!$B$29,MAX(0,(Inputs!$B$3-100)*3)+Inputs!$B$28+Inputs!$B$29)))</f>
        <v/>
      </c>
      <c r="E1230">
        <f>INDEX(FactorTable!$B$2:$Y$301, MATCH(ROUND(MIN(300,MAX(1,D1230)),0), FactorTable!$A$2:$A$301,0), Skills!M16+1)</f>
        <v/>
      </c>
      <c r="F1230">
        <f>IF(Skills!N16=TRUE,(Skills!L16/10)*(E1230/1000),Skills!L16/10)+Skills!O16</f>
        <v/>
      </c>
      <c r="G1230">
        <f>Calc!G16</f>
        <v/>
      </c>
      <c r="H1230">
        <f>Calc!H16</f>
        <v/>
      </c>
      <c r="I1230">
        <f>IF(Skills!X16&lt;&gt;"",1+(Skills!X16/10)*(Z1217/1000)/100,1)</f>
        <v/>
      </c>
      <c r="J1230">
        <f>((Inputs!$B$6*(1+Inputs!$B$7/100))+(((Inputs!$B$12*(1+Inputs!$B$13/100))-(Inputs!$B$12*(1+Inputs!$B$13/100)))+0.25*(Inputs!$B$14-Inputs!$B$14))*(1+Inputs!$B$7/100))*(F1230/100)</f>
        <v/>
      </c>
      <c r="K1230">
        <f>J1230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1230)</f>
        <v/>
      </c>
      <c r="L1230">
        <f>K1230*(MIN(Inputs!$B$22+(F1236-Calc!F22),(Inputs!$B$23+(IF(ArtifactsInput!$M$15,CHOOSE(ArtifactsInput!$N$15+1,25,30,35,40,45,50)/100*(Inputs!$B$11-Inputs!$B$11),0))))/100+(Inputs!$B$23+(IF(ArtifactsInput!$M$15,CHOOSE(ArtifactsInput!$N$15+1,25,30,35,40,45,50)/100*(Inputs!$B$11-Inputs!$B$11),0)))/100)/2</f>
        <v/>
      </c>
      <c r="M1230">
        <f>L1230*(1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0">
        <f>L1230*(1-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1230*(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0">
        <f>(1-Summary!$B$11)*S1230+Summary!$B$11*U1230</f>
        <v/>
      </c>
      <c r="P1230">
        <f>IF(B1255=0,0,O1230/B1255)</f>
        <v/>
      </c>
      <c r="Q1230">
        <f>IFERROR(1/(IF(Inputs!$B$38="pvp",15,MAX(0.1,Skills!E16-IF(Skills!F16=TRUE,Inputs!$B$32,0)))*(1-IF(AND(ArtifactsInput!$M$27,Inputs!$B$4="Chapter Hunt"),CHOOSE(ArtifactsInput!$N$27+1,20,24,28,32,36,40),0)/100)),0)</f>
        <v/>
      </c>
      <c r="R1230">
        <f>IF(AND(Inputs!$B$38&lt;&gt;"pvp",Inputs!$B$43&gt;0),IF(MAX(0,Inputs!$B$43-B1252)&lt;=0,0,(INT(MAX(0,Inputs!$B$43-B1252)/(IF(Inputs!$B$38="pvp",15,MAX(0.1,Skills!E16-IF(Skills!F16=TRUE,Inputs!$B$32,0)))*(1-IF(AND(ArtifactsInput!$M$27,Inputs!$B$4="Chapter Hunt"),CHOOSE(ArtifactsInput!$N$27+1,20,24,28,32,36,40),0)/100)))+1)),0)</f>
        <v/>
      </c>
      <c r="S1230">
        <f>IF(C1230,(H1230*N1230*IF(AND(Inputs!$B$38&lt;&gt;"pvp",Inputs!$B$43&gt;0),((Skills!G16*((R1230-1)*IF(Skills!H16&gt;0,Skills!I16/Skills!H16,1)+IF(Skills!H16&gt;0,MIN(Skills!I16,MAX(0,MAX(0,Inputs!$B$43-B1252)-((R1230-1)*(IF(Inputs!$B$38="pvp",15,MAX(0.1,Skills!E16-IF(Skills!F16=TRUE,Inputs!$B$32,0)))*(1-IF(AND(ArtifactsInput!$M$27,Inputs!$B$4="Chapter Hunt"),CHOOSE(ArtifactsInput!$N$27+1,20,24,28,32,36,40),0)/100)))))/Skills!H16,1)))/Inputs!$B$43),G1230*Q1230)*(1+IF(Inputs!$B$3&gt;=126,0.05*(B1250+Q1227+(H1228*B1251)/(1+Skills!H14*H1228*B1251)+Q1238)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1230*(1-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1230*(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1230*(1-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1230*(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30">
        <f>IF(C1230,(H1230*N1230*IF(AND(Inputs!$B$38&lt;&gt;"pvp",Inputs!$B$43&gt;0),((Skills!G16*((R1230-1)*IF(Skills!H16&gt;0,Skills!I16/Skills!H16,1)+IF(Skills!H16&gt;0,MIN(Skills!I16,MAX(0,MAX(0,Inputs!$B$43-B1252)-((R1230-1)*(IF(Inputs!$B$38="pvp",15,MAX(0.1,Skills!E16-IF(Skills!F16=TRUE,Inputs!$B$32,0)))*(1-IF(AND(ArtifactsInput!$M$27,Inputs!$B$4="Chapter Hunt"),CHOOSE(ArtifactsInput!$N$27+1,20,24,28,32,36,40),0)/100)))))/Skills!H16,1)))/Inputs!$B$43),G1230*Q1230)*(1+IF(Inputs!$B$3&gt;=126,0.05*(B1250+Q1227+(H1228*B1251)/(1+Skills!H14*H1228*B1251)+Q1238)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1">
      <c r="A1231">
        <f>Skills!A17</f>
        <v/>
      </c>
      <c r="B1231">
        <f>Skills!B17</f>
        <v/>
      </c>
      <c r="C1231">
        <f>TRUE</f>
        <v/>
      </c>
      <c r="D1231">
        <f>IF(Skills!C17=1,60+Inputs!$B$25+Inputs!$B$29,IF(Skills!C17=2,90+Inputs!$B$26+Inputs!$B$29,IF(Skills!C17=3,120+Inputs!$B$27+Inputs!$B$29,MAX(0,(Inputs!$B$3-100)*3)+Inputs!$B$28+Inputs!$B$29)))</f>
        <v/>
      </c>
      <c r="E1231">
        <f>INDEX(FactorTable!$B$2:$Y$301, MATCH(ROUND(MIN(300,MAX(1,D1231)),0), FactorTable!$A$2:$A$301,0), Skills!M17+1)</f>
        <v/>
      </c>
      <c r="F1231">
        <f>IF(Skills!N17=TRUE,(Skills!L17/10)*(E1231/1000),Skills!L17/10)+Skills!O17</f>
        <v/>
      </c>
      <c r="G1231">
        <f>Calc!G17</f>
        <v/>
      </c>
      <c r="H1231">
        <f>Calc!H17</f>
        <v/>
      </c>
      <c r="I1231">
        <f>IF(Skills!X17&lt;&gt;"",1+(Skills!X17/10)*(Z1217/1000)/100,1)</f>
        <v/>
      </c>
      <c r="J1231" t="inlineStr"/>
      <c r="K1231" t="inlineStr"/>
      <c r="L1231" t="inlineStr"/>
      <c r="M1231" t="inlineStr"/>
      <c r="N1231" t="inlineStr"/>
      <c r="O1231">
        <f>(1-Summary!$B$11)*S1231+Summary!$B$11*U1231</f>
        <v/>
      </c>
      <c r="P1231">
        <f>IF(B1255=0,0,O1231/B1255)</f>
        <v/>
      </c>
      <c r="Q1231">
        <f>IFERROR(1/(IF(Inputs!$B$38="pvp",15,MAX(0.1,Skills!E17-IF(Skills!F17=TRUE,Inputs!$B$32,0)))*(1-IF(AND(ArtifactsInput!$M$27,Inputs!$B$4="Chapter Hunt"),CHOOSE(ArtifactsInput!$N$27+1,20,24,28,32,36,40),0)/100)),0)</f>
        <v/>
      </c>
      <c r="R1231">
        <f>IF(AND(Inputs!$B$38&lt;&gt;"pvp",Inputs!$B$43&gt;0),IF(Inputs!$B$43&lt;=0,0,(INT(Inputs!$B$43/(IF(Inputs!$B$38="pvp",15,MAX(0.1,Skills!E17-IF(Skills!F17=TRUE,Inputs!$B$32,0)))*(1-IF(AND(ArtifactsInput!$M$27,Inputs!$B$4="Chapter Hunt"),CHOOSE(ArtifactsInput!$N$27+1,20,24,28,32,36,40),0)/100)))+1)),0)</f>
        <v/>
      </c>
      <c r="S1231" t="n">
        <v>0</v>
      </c>
      <c r="U1231" t="n">
        <v>0</v>
      </c>
    </row>
    <row r="1232">
      <c r="A1232">
        <f>Skills!A18</f>
        <v/>
      </c>
      <c r="B1232">
        <f>Skills!B18</f>
        <v/>
      </c>
      <c r="C1232">
        <f>TRUE</f>
        <v/>
      </c>
      <c r="D1232">
        <f>IF(Skills!C18=1,60+Inputs!$B$25+Inputs!$B$29,IF(Skills!C18=2,90+Inputs!$B$26+Inputs!$B$29,IF(Skills!C18=3,120+Inputs!$B$27+Inputs!$B$29,MAX(0,(Inputs!$B$3-100)*3)+Inputs!$B$28+Inputs!$B$29)))</f>
        <v/>
      </c>
      <c r="E1232">
        <f>INDEX(FactorTable!$B$2:$Y$301, MATCH(ROUND(MIN(300,MAX(1,D1232)),0), FactorTable!$A$2:$A$301,0), Skills!M18+1)</f>
        <v/>
      </c>
      <c r="F1232">
        <f>IF(Skills!N18=TRUE,(Skills!L18/10)*(E1232/1000),Skills!L18/10)+Skills!O18</f>
        <v/>
      </c>
      <c r="G1232">
        <f>Calc!G18</f>
        <v/>
      </c>
      <c r="H1232">
        <f>Calc!H18</f>
        <v/>
      </c>
      <c r="I1232">
        <f>IF(Skills!X18&lt;&gt;"",1+(Skills!X18/10)*(Z1217/1000)/100,1)</f>
        <v/>
      </c>
      <c r="J1232" t="inlineStr"/>
      <c r="K1232" t="inlineStr"/>
      <c r="L1232" t="inlineStr"/>
      <c r="M1232" t="inlineStr"/>
      <c r="N1232" t="inlineStr"/>
      <c r="O1232">
        <f>(1-Summary!$B$11)*S1232+Summary!$B$11*U1232</f>
        <v/>
      </c>
      <c r="P1232">
        <f>IF(B1255=0,0,O1232/B1255)</f>
        <v/>
      </c>
      <c r="Q1232">
        <f>IFERROR(1/(IF(Inputs!$B$38="pvp",15,MAX(0.1,Skills!E18-IF(Skills!F18=TRUE,Inputs!$B$32,0)))*(1-IF(AND(ArtifactsInput!$M$27,Inputs!$B$4="Chapter Hunt"),CHOOSE(ArtifactsInput!$N$27+1,20,24,28,32,36,40),0)/100)),0)</f>
        <v/>
      </c>
      <c r="R1232">
        <f>IF(AND(Inputs!$B$38&lt;&gt;"pvp",Inputs!$B$43&gt;0),IF(Inputs!$B$43&lt;=0,0,(INT(Inputs!$B$43/(IF(Inputs!$B$38="pvp",15,MAX(0.1,Skills!E18-IF(Skills!F18=TRUE,Inputs!$B$32,0)))*(1-IF(AND(ArtifactsInput!$M$27,Inputs!$B$4="Chapter Hunt"),CHOOSE(ArtifactsInput!$N$27+1,20,24,28,32,36,40),0)/100)))+1)),0)</f>
        <v/>
      </c>
      <c r="S1232" t="n">
        <v>0</v>
      </c>
      <c r="U1232" t="n">
        <v>0</v>
      </c>
    </row>
    <row r="1233">
      <c r="A1233">
        <f>Skills!A19</f>
        <v/>
      </c>
      <c r="B1233">
        <f>Skills!B19</f>
        <v/>
      </c>
      <c r="C1233">
        <f>Inputs!$B$3&gt;=110</f>
        <v/>
      </c>
      <c r="D1233">
        <f>IF(Skills!C19=1,60+Inputs!$B$25+Inputs!$B$29,IF(Skills!C19=2,90+Inputs!$B$26+Inputs!$B$29,IF(Skills!C19=3,120+Inputs!$B$27+Inputs!$B$29,MAX(0,(Inputs!$B$3-100)*3)+Inputs!$B$28+Inputs!$B$29)))</f>
        <v/>
      </c>
      <c r="E1233">
        <f>INDEX(FactorTable!$B$2:$Y$301, MATCH(ROUND(MIN(300,MAX(1,D1233)),0), FactorTable!$A$2:$A$301,0), Skills!M19+1)</f>
        <v/>
      </c>
      <c r="F1233">
        <f>IF(Skills!N19=TRUE,(Skills!L19/10)*(E1233/1000),Skills!L19/10)+Skills!O19</f>
        <v/>
      </c>
      <c r="G1233">
        <f>Calc!G19</f>
        <v/>
      </c>
      <c r="H1233">
        <f>Calc!H19</f>
        <v/>
      </c>
      <c r="I1233">
        <f>IF(Skills!X19&lt;&gt;"",1+(Skills!X19/10)*(Z1217/1000)/100,1)</f>
        <v/>
      </c>
      <c r="J1233" t="inlineStr"/>
      <c r="K1233" t="inlineStr"/>
      <c r="L1233" t="inlineStr"/>
      <c r="M1233" t="inlineStr"/>
      <c r="N1233" t="inlineStr"/>
      <c r="O1233">
        <f>(1-Summary!$B$11)*S1233+Summary!$B$11*U1233</f>
        <v/>
      </c>
      <c r="P1233">
        <f>IF(B1255=0,0,O1233/B1255)</f>
        <v/>
      </c>
      <c r="Q1233">
        <f>IFERROR(1/(IF(Inputs!$B$38="pvp",15,MAX(0.1,Skills!E19-IF(Skills!F19=TRUE,Inputs!$B$32,0)))*(1-IF(AND(ArtifactsInput!$M$27,Inputs!$B$4="Chapter Hunt"),CHOOSE(ArtifactsInput!$N$27+1,20,24,28,32,36,40),0)/100)),0)</f>
        <v/>
      </c>
      <c r="R1233">
        <f>IF(AND(Inputs!$B$38&lt;&gt;"pvp",Inputs!$B$43&gt;0),IF(Inputs!$B$43&lt;=0,0,(INT(Inputs!$B$43/(IF(Inputs!$B$38="pvp",15,MAX(0.1,Skills!E19-IF(Skills!F19=TRUE,Inputs!$B$32,0)))*(1-IF(AND(ArtifactsInput!$M$27,Inputs!$B$4="Chapter Hunt"),CHOOSE(ArtifactsInput!$N$27+1,20,24,28,32,36,40),0)/100)))+1)),0)</f>
        <v/>
      </c>
      <c r="S1233" t="n">
        <v>0</v>
      </c>
      <c r="U1233" t="n">
        <v>0</v>
      </c>
    </row>
    <row r="1234">
      <c r="A1234">
        <f>Skills!A20</f>
        <v/>
      </c>
      <c r="B1234">
        <f>Skills!B20</f>
        <v/>
      </c>
      <c r="C1234">
        <f>TRUE</f>
        <v/>
      </c>
      <c r="D1234">
        <f>IF(Skills!C20=1,60+Inputs!$B$25+Inputs!$B$29,IF(Skills!C20=2,90+Inputs!$B$26+Inputs!$B$29,IF(Skills!C20=3,120+Inputs!$B$27+Inputs!$B$29,MAX(0,(Inputs!$B$3-100)*3)+Inputs!$B$28+Inputs!$B$29)))</f>
        <v/>
      </c>
      <c r="E1234">
        <f>INDEX(FactorTable!$B$2:$Y$301, MATCH(ROUND(MIN(300,MAX(1,D1234)),0), FactorTable!$A$2:$A$301,0), Skills!M20+1)</f>
        <v/>
      </c>
      <c r="F1234">
        <f>IF(Skills!N20=TRUE,(Skills!L20/10)*(E1234/1000),Skills!L20/10)+Skills!O20</f>
        <v/>
      </c>
      <c r="G1234">
        <f>Calc!G20</f>
        <v/>
      </c>
      <c r="H1234">
        <f>Calc!H20</f>
        <v/>
      </c>
      <c r="I1234">
        <f>IF(Skills!X20&lt;&gt;"",1+(Skills!X20/10)*(Z1217/1000)/100,1)</f>
        <v/>
      </c>
      <c r="J1234" t="inlineStr"/>
      <c r="K1234" t="inlineStr"/>
      <c r="L1234" t="inlineStr"/>
      <c r="M1234" t="inlineStr"/>
      <c r="N1234" t="inlineStr"/>
      <c r="O1234">
        <f>(1-Summary!$B$11)*S1234+Summary!$B$11*U1234</f>
        <v/>
      </c>
      <c r="P1234">
        <f>IF(B1255=0,0,O1234/B1255)</f>
        <v/>
      </c>
      <c r="Q1234">
        <f>IFERROR(1/(IF(Inputs!$B$38="pvp",15,MAX(0.1,Skills!E20-IF(Skills!F20=TRUE,Inputs!$B$32,0)))*(1-IF(AND(ArtifactsInput!$M$27,Inputs!$B$4="Chapter Hunt"),CHOOSE(ArtifactsInput!$N$27+1,20,24,28,32,36,40),0)/100)),0)</f>
        <v/>
      </c>
      <c r="R1234" t="n">
        <v>0</v>
      </c>
      <c r="S1234" t="n">
        <v>0</v>
      </c>
      <c r="U1234" t="n">
        <v>0</v>
      </c>
    </row>
    <row r="1235">
      <c r="A1235">
        <f>Skills!A21</f>
        <v/>
      </c>
      <c r="B1235">
        <f>Skills!B21</f>
        <v/>
      </c>
      <c r="C1235">
        <f>TRUE</f>
        <v/>
      </c>
      <c r="D1235">
        <f>IF(Skills!C21=1,60+Inputs!$B$25+Inputs!$B$29,IF(Skills!C21=2,90+Inputs!$B$26+Inputs!$B$29,IF(Skills!C21=3,120+Inputs!$B$27+Inputs!$B$29,MAX(0,(Inputs!$B$3-100)*3)+Inputs!$B$28+Inputs!$B$29)))</f>
        <v/>
      </c>
      <c r="E1235">
        <f>INDEX(FactorTable!$B$2:$Y$301, MATCH(ROUND(MIN(300,MAX(1,D1235)),0), FactorTable!$A$2:$A$301,0), Skills!M21+1)</f>
        <v/>
      </c>
      <c r="F1235">
        <f>IF(Skills!N21=TRUE,(Skills!L21/10)*(E1235/1000),Skills!L21/10)+Skills!O21</f>
        <v/>
      </c>
      <c r="G1235">
        <f>Calc!G21</f>
        <v/>
      </c>
      <c r="H1235">
        <f>Calc!H21</f>
        <v/>
      </c>
      <c r="I1235">
        <f>IF(Skills!X21&lt;&gt;"",1+(Skills!X21/10)*(Z1217/1000)/100,1)</f>
        <v/>
      </c>
      <c r="J1235" t="inlineStr"/>
      <c r="K1235" t="inlineStr"/>
      <c r="L1235" t="inlineStr"/>
      <c r="M1235" t="inlineStr"/>
      <c r="N1235" t="inlineStr"/>
      <c r="O1235">
        <f>(1-Summary!$B$11)*S1235+Summary!$B$11*U1235</f>
        <v/>
      </c>
      <c r="P1235">
        <f>IF(B1255=0,0,O1235/B1255)</f>
        <v/>
      </c>
      <c r="Q1235">
        <f>IFERROR(1/(IF(Inputs!$B$38="pvp",15,MAX(0.1,Skills!E21-IF(Skills!F21=TRUE,Inputs!$B$32,0)))*(1-IF(AND(ArtifactsInput!$M$27,Inputs!$B$4="Chapter Hunt"),CHOOSE(ArtifactsInput!$N$27+1,20,24,28,32,36,40),0)/100)),0)</f>
        <v/>
      </c>
      <c r="R1235" t="n">
        <v>0</v>
      </c>
      <c r="S1235" t="n">
        <v>0</v>
      </c>
      <c r="U1235" t="n">
        <v>0</v>
      </c>
    </row>
    <row r="1236">
      <c r="A1236">
        <f>Skills!A22</f>
        <v/>
      </c>
      <c r="B1236">
        <f>Skills!B22</f>
        <v/>
      </c>
      <c r="C1236">
        <f>TRUE</f>
        <v/>
      </c>
      <c r="D1236">
        <f>IF(Skills!C22=1,60+Inputs!$B$25+Inputs!$B$29,IF(Skills!C22=2,90+Inputs!$B$26+Inputs!$B$29,IF(Skills!C22=3,120+Inputs!$B$27+Inputs!$B$29,MAX(0,(Inputs!$B$3-100)*3)+Inputs!$B$28+Inputs!$B$29)))</f>
        <v/>
      </c>
      <c r="E1236">
        <f>INDEX(FactorTable!$B$2:$Y$301, MATCH(ROUND(MIN(300,MAX(1,D1236)),0), FactorTable!$A$2:$A$301,0), Skills!M22+1)</f>
        <v/>
      </c>
      <c r="F1236">
        <f>IF(Skills!N22=TRUE,(Skills!L22/10)*(E1236/1000),Skills!L22/10)+Skills!O22</f>
        <v/>
      </c>
      <c r="G1236">
        <f>Calc!G22</f>
        <v/>
      </c>
      <c r="H1236">
        <f>Calc!H22</f>
        <v/>
      </c>
      <c r="I1236">
        <f>IF(Skills!X22&lt;&gt;"",1+(Skills!X22/10)*(Z1217/1000)/100,1)</f>
        <v/>
      </c>
      <c r="J1236" t="inlineStr"/>
      <c r="K1236" t="inlineStr"/>
      <c r="L1236" t="inlineStr"/>
      <c r="M1236" t="inlineStr"/>
      <c r="N1236" t="inlineStr"/>
      <c r="O1236">
        <f>(1-Summary!$B$11)*S1236+Summary!$B$11*U1236</f>
        <v/>
      </c>
      <c r="P1236">
        <f>IF(B1255=0,0,O1236/B1255)</f>
        <v/>
      </c>
      <c r="Q1236">
        <f>IFERROR(1/(IF(Inputs!$B$38="pvp",15,MAX(0.1,Skills!E22-IF(Skills!F22=TRUE,Inputs!$B$32,0)))*(1-IF(AND(ArtifactsInput!$M$27,Inputs!$B$4="Chapter Hunt"),CHOOSE(ArtifactsInput!$N$27+1,20,24,28,32,36,40),0)/100)),0)</f>
        <v/>
      </c>
      <c r="R1236" t="n">
        <v>0</v>
      </c>
      <c r="S1236" t="n">
        <v>0</v>
      </c>
      <c r="U1236" t="n">
        <v>0</v>
      </c>
    </row>
    <row r="1237">
      <c r="A1237">
        <f>Skills!A23</f>
        <v/>
      </c>
      <c r="B1237">
        <f>Skills!B23</f>
        <v/>
      </c>
      <c r="C1237">
        <f>TRUE</f>
        <v/>
      </c>
      <c r="D1237">
        <f>IF(Skills!C23=1,60+Inputs!$B$25+Inputs!$B$29,IF(Skills!C23=2,90+Inputs!$B$26+Inputs!$B$29,IF(Skills!C23=3,120+Inputs!$B$27+Inputs!$B$29,MAX(0,(Inputs!$B$3-100)*3)+Inputs!$B$28+Inputs!$B$29)))</f>
        <v/>
      </c>
      <c r="E1237">
        <f>INDEX(FactorTable!$B$2:$Y$301, MATCH(ROUND(MIN(300,MAX(1,D1237)),0), FactorTable!$A$2:$A$301,0), Skills!M23+1)</f>
        <v/>
      </c>
      <c r="F1237">
        <f>IF(Skills!N23=TRUE,(Skills!L23/10)*(E1237/1000),Skills!L23/10)+Skills!O23</f>
        <v/>
      </c>
      <c r="G1237">
        <f>Calc!G23</f>
        <v/>
      </c>
      <c r="H1237">
        <f>Calc!H23</f>
        <v/>
      </c>
      <c r="I1237">
        <f>IF(Skills!X23&lt;&gt;"",1+(Skills!X23/10)*(Z1217/1000)/100,1)</f>
        <v/>
      </c>
      <c r="J1237" t="inlineStr"/>
      <c r="K1237" t="inlineStr"/>
      <c r="L1237" t="inlineStr"/>
      <c r="M1237" t="inlineStr"/>
      <c r="N1237" t="inlineStr"/>
      <c r="O1237">
        <f>(1-Summary!$B$11)*S1237+Summary!$B$11*U1237</f>
        <v/>
      </c>
      <c r="P1237">
        <f>IF(B1255=0,0,O1237/B1255)</f>
        <v/>
      </c>
      <c r="Q1237">
        <f>IFERROR(1/(IF(Inputs!$B$38="pvp",15,MAX(0.1,Skills!E23-IF(Skills!F23=TRUE,Inputs!$B$32,0)))*(1-IF(AND(ArtifactsInput!$M$27,Inputs!$B$4="Chapter Hunt"),CHOOSE(ArtifactsInput!$N$27+1,20,24,28,32,36,40),0)/100)),0)</f>
        <v/>
      </c>
      <c r="R1237" t="n">
        <v>0</v>
      </c>
      <c r="S1237" t="n">
        <v>0</v>
      </c>
      <c r="U1237" t="n">
        <v>0</v>
      </c>
    </row>
    <row r="1238">
      <c r="A1238">
        <f>Skills!A24</f>
        <v/>
      </c>
      <c r="B1238">
        <f>Skills!B24</f>
        <v/>
      </c>
      <c r="C1238">
        <f>Inputs!$B$3&gt;=115</f>
        <v/>
      </c>
      <c r="D1238">
        <f>IF(Skills!C24=1,60+Inputs!$B$25+Inputs!$B$29,IF(Skills!C24=2,90+Inputs!$B$26+Inputs!$B$29,IF(Skills!C24=3,120+Inputs!$B$27+Inputs!$B$29,MAX(0,(Inputs!$B$3-100)*3)+Inputs!$B$28+Inputs!$B$29)))</f>
        <v/>
      </c>
      <c r="E1238">
        <f>INDEX(FactorTable!$B$2:$Y$301, MATCH(ROUND(MIN(300,MAX(1,D1238)),0), FactorTable!$A$2:$A$301,0), Skills!M24+1)</f>
        <v/>
      </c>
      <c r="F1238">
        <f>IF(Skills!N24=TRUE,(Skills!L24/10)*(E1238/1000),Skills!L24/10)+Skills!O24</f>
        <v/>
      </c>
      <c r="G1238">
        <f>Calc!G24</f>
        <v/>
      </c>
      <c r="H1238">
        <f>Calc!H24</f>
        <v/>
      </c>
      <c r="I1238">
        <f>IF(Skills!X24&lt;&gt;"",1+(Skills!X24/10)*(Z1217/1000)/100,1)</f>
        <v/>
      </c>
      <c r="J1238">
        <f>((Inputs!$B$6*(1+Inputs!$B$7/100))+(((Inputs!$B$12*(1+Inputs!$B$13/100))-(Inputs!$B$12*(1+Inputs!$B$13/100)))+0.25*(Inputs!$B$14-Inputs!$B$14))*(1+Inputs!$B$7/100))*(F1238/100)</f>
        <v/>
      </c>
      <c r="K1238">
        <f>J1238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1238)</f>
        <v/>
      </c>
      <c r="L1238">
        <f>K1238*(MIN(Inputs!$B$22+(F1236-Calc!F22),(Inputs!$B$23+(IF(ArtifactsInput!$M$15,CHOOSE(ArtifactsInput!$N$15+1,25,30,35,40,45,50)/100*(Inputs!$B$11-Inputs!$B$11),0))))/100+(Inputs!$B$23+(IF(ArtifactsInput!$M$15,CHOOSE(ArtifactsInput!$N$15+1,25,30,35,40,45,50)/100*(Inputs!$B$11-Inputs!$B$11),0)))/100)/2</f>
        <v/>
      </c>
      <c r="M1238">
        <f>L1238*(1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8">
        <f>L1238*(1-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1238*(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8">
        <f>(1-Summary!$B$11)*S1238+Summary!$B$11*U1238</f>
        <v/>
      </c>
      <c r="P1238">
        <f>IF(B1255=0,0,O1238/B1255)</f>
        <v/>
      </c>
      <c r="Q1238">
        <f>IFERROR(1/(IF(Inputs!$B$38="pvp",15,MAX(0.1,Skills!E24-IF(Skills!F24=TRUE,Inputs!$B$32,0)))*(1-IF(AND(ArtifactsInput!$M$27,Inputs!$B$4="Chapter Hunt"),CHOOSE(ArtifactsInput!$N$27+1,20,24,28,32,36,40),0)/100)),0)</f>
        <v/>
      </c>
      <c r="R1238">
        <f>IF(AND(Inputs!$B$38&lt;&gt;"pvp",Inputs!$B$43&gt;0),IF(MAX(0,Inputs!$B$43-B1252)&lt;=0,0,(INT(MAX(0,Inputs!$B$43-B1252)/(IF(Inputs!$B$38="pvp",15,MAX(0.1,Skills!E24-IF(Skills!F24=TRUE,Inputs!$B$32,0)))*(1-IF(AND(ArtifactsInput!$M$27,Inputs!$B$4="Chapter Hunt"),CHOOSE(ArtifactsInput!$N$27+1,20,24,28,32,36,40),0)/100)))+1)),0)</f>
        <v/>
      </c>
      <c r="S1238">
        <f>IF(C1238,(H1238*N1238*IF(AND(Inputs!$B$38&lt;&gt;"pvp",Inputs!$B$43&gt;0),((Skills!G24*((R1238-1)*IF(Skills!H24&gt;0,Skills!I24/Skills!H24,1)+IF(Skills!H24&gt;0,MIN(Skills!I24,MAX(0,MAX(0,Inputs!$B$43-B1252)-((R1238-1)*(IF(Inputs!$B$38="pvp",15,MAX(0.1,Skills!E24-IF(Skills!F24=TRUE,Inputs!$B$32,0)))*(1-IF(AND(ArtifactsInput!$M$27,Inputs!$B$4="Chapter Hunt"),CHOOSE(ArtifactsInput!$N$27+1,20,24,28,32,36,40),0)/100)))))/Skills!H24,1)))/Inputs!$B$43),G1238*Q1238)*(1+IF(Inputs!$B$3&gt;=130,0.2*(Skills!I16/Skills!E15+IF(Inputs!$B$3&gt;=126,0.05*(B1250+Q1227+(H1228*B1251)/(1+Skills!H14*H1228*B1251)+Q1238)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1238*(1-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1238*(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1238*(1-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1238*(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38">
        <f>IF(C1238,(H1238*N1238*IF(AND(Inputs!$B$38&lt;&gt;"pvp",Inputs!$B$43&gt;0),((Skills!G24*((R1238-1)*IF(Skills!H24&gt;0,Skills!I24/Skills!H24,1)+IF(Skills!H24&gt;0,MIN(Skills!I24,MAX(0,MAX(0,Inputs!$B$43-B1252)-((R1238-1)*(IF(Inputs!$B$38="pvp",15,MAX(0.1,Skills!E24-IF(Skills!F24=TRUE,Inputs!$B$32,0)))*(1-IF(AND(ArtifactsInput!$M$27,Inputs!$B$4="Chapter Hunt"),CHOOSE(ArtifactsInput!$N$27+1,20,24,28,32,36,40),0)/100)))))/Skills!H24,1)))/Inputs!$B$43),G1238*Q1238)*(1+IF(Inputs!$B$3&gt;=130,0.2*(Skills!I16/Skills!E15+IF(Inputs!$B$3&gt;=126,0.05*(B1250+Q1227+(H1228*B1251)/(1+Skills!H14*H1228*B1251)+Q1238)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9">
      <c r="A1239">
        <f>Skills!A25</f>
        <v/>
      </c>
      <c r="B1239">
        <f>Skills!B25</f>
        <v/>
      </c>
      <c r="C1239">
        <f>Inputs!$B$3&gt;=117</f>
        <v/>
      </c>
      <c r="D1239">
        <f>IF(Skills!C25=1,60+Inputs!$B$25+Inputs!$B$29,IF(Skills!C25=2,90+Inputs!$B$26+Inputs!$B$29,IF(Skills!C25=3,120+Inputs!$B$27+Inputs!$B$29,MAX(0,(Inputs!$B$3-100)*3)+Inputs!$B$28+Inputs!$B$29)))</f>
        <v/>
      </c>
      <c r="E1239">
        <f>INDEX(FactorTable!$B$2:$Y$301, MATCH(ROUND(MIN(300,MAX(1,D1239)),0), FactorTable!$A$2:$A$301,0), Skills!M25+1)</f>
        <v/>
      </c>
      <c r="F1239">
        <f>IF(Skills!N25=TRUE,(Skills!L25/10)*(E1239/1000),Skills!L25/10)+Skills!O25</f>
        <v/>
      </c>
      <c r="G1239">
        <f>Calc!G25</f>
        <v/>
      </c>
      <c r="H1239">
        <f>Calc!H25</f>
        <v/>
      </c>
      <c r="I1239">
        <f>IF(Skills!X25&lt;&gt;"",1+(Skills!X25/10)*(Z1217/1000)/100,1)</f>
        <v/>
      </c>
      <c r="J1239" t="inlineStr"/>
      <c r="K1239" t="inlineStr"/>
      <c r="L1239" t="inlineStr"/>
      <c r="M1239" t="inlineStr"/>
      <c r="N1239" t="inlineStr"/>
      <c r="O1239">
        <f>(1-Summary!$B$11)*S1239+Summary!$B$11*U1239</f>
        <v/>
      </c>
      <c r="P1239">
        <f>IF(B1255=0,0,O1239/B1255)</f>
        <v/>
      </c>
      <c r="Q1239">
        <f>IFERROR(1/(IF(Inputs!$B$38="pvp",15,MAX(0.1,Skills!E25-IF(Skills!F25=TRUE,Inputs!$B$32,0)))*(1-IF(AND(ArtifactsInput!$M$27,Inputs!$B$4="Chapter Hunt"),CHOOSE(ArtifactsInput!$N$27+1,20,24,28,32,36,40),0)/100)),0)</f>
        <v/>
      </c>
      <c r="R1239" t="n">
        <v>0</v>
      </c>
      <c r="S1239" t="n">
        <v>0</v>
      </c>
      <c r="U1239" t="n">
        <v>0</v>
      </c>
    </row>
    <row r="1240">
      <c r="A1240">
        <f>Skills!A26</f>
        <v/>
      </c>
      <c r="B1240">
        <f>Skills!B26</f>
        <v/>
      </c>
      <c r="C1240">
        <f>Inputs!$B$3&gt;=120</f>
        <v/>
      </c>
      <c r="D1240">
        <f>IF(Skills!C26=1,60+Inputs!$B$25+Inputs!$B$29,IF(Skills!C26=2,90+Inputs!$B$26+Inputs!$B$29,IF(Skills!C26=3,120+Inputs!$B$27+Inputs!$B$29,MAX(0,(Inputs!$B$3-100)*3)+Inputs!$B$28+Inputs!$B$29)))</f>
        <v/>
      </c>
      <c r="E1240">
        <f>INDEX(FactorTable!$B$2:$Y$301, MATCH(ROUND(MIN(300,MAX(1,D1240)),0), FactorTable!$A$2:$A$301,0), Skills!M26+1)</f>
        <v/>
      </c>
      <c r="F1240">
        <f>IF(Skills!N26=TRUE,(Skills!L26/10)*(E1240/1000),Skills!L26/10)+Skills!O26</f>
        <v/>
      </c>
      <c r="G1240">
        <f>Calc!G26</f>
        <v/>
      </c>
      <c r="H1240">
        <f>Calc!H26</f>
        <v/>
      </c>
      <c r="I1240">
        <f>IF(Skills!X26&lt;&gt;"",1+(Skills!X26/10)*(Z1217/1000)/100,1)</f>
        <v/>
      </c>
      <c r="J1240" t="inlineStr"/>
      <c r="K1240" t="inlineStr"/>
      <c r="L1240" t="inlineStr"/>
      <c r="M1240" t="inlineStr"/>
      <c r="N1240" t="inlineStr"/>
      <c r="O1240">
        <f>(1-Summary!$B$11)*S1240+Summary!$B$11*U1240</f>
        <v/>
      </c>
      <c r="P1240">
        <f>IF(B1255=0,0,O1240/B1255)</f>
        <v/>
      </c>
      <c r="Q1240">
        <f>IFERROR(1/(IF(Inputs!$B$38="pvp",15,MAX(0.1,Skills!E26-IF(Skills!F26=TRUE,Inputs!$B$32,0)))*(1-IF(AND(ArtifactsInput!$M$27,Inputs!$B$4="Chapter Hunt"),CHOOSE(ArtifactsInput!$N$27+1,20,24,28,32,36,40),0)/100)),0)</f>
        <v/>
      </c>
      <c r="R1240" t="n">
        <v>0</v>
      </c>
      <c r="S1240" t="n">
        <v>0</v>
      </c>
      <c r="U1240" t="n">
        <v>0</v>
      </c>
    </row>
    <row r="1241">
      <c r="A1241">
        <f>Skills!A27</f>
        <v/>
      </c>
      <c r="B1241">
        <f>Skills!B27</f>
        <v/>
      </c>
      <c r="C1241">
        <f>Inputs!$B$3&gt;=125</f>
        <v/>
      </c>
      <c r="D1241">
        <f>IF(Skills!C27=1,60+Inputs!$B$25+Inputs!$B$29,IF(Skills!C27=2,90+Inputs!$B$26+Inputs!$B$29,IF(Skills!C27=3,120+Inputs!$B$27+Inputs!$B$29,MAX(0,(Inputs!$B$3-100)*3)+Inputs!$B$28+Inputs!$B$29)))</f>
        <v/>
      </c>
      <c r="E1241">
        <f>INDEX(FactorTable!$B$2:$Y$301, MATCH(ROUND(MIN(300,MAX(1,D1241)),0), FactorTable!$A$2:$A$301,0), Skills!M27+1)</f>
        <v/>
      </c>
      <c r="F1241">
        <f>IF(Skills!N27=TRUE,(Skills!L27/10)*(E1241/1000),Skills!L27/10)+Skills!O27</f>
        <v/>
      </c>
      <c r="G1241">
        <f>Calc!G27</f>
        <v/>
      </c>
      <c r="H1241">
        <f>Calc!H27</f>
        <v/>
      </c>
      <c r="I1241">
        <f>IF(Skills!X27&lt;&gt;"",1+(Skills!X27/10)*(Z1217/1000)/100,1)</f>
        <v/>
      </c>
      <c r="J1241" t="inlineStr"/>
      <c r="K1241" t="inlineStr"/>
      <c r="L1241" t="inlineStr"/>
      <c r="M1241" t="inlineStr"/>
      <c r="N1241" t="inlineStr"/>
      <c r="O1241">
        <f>(1-Summary!$B$11)*S1241+Summary!$B$11*U1241</f>
        <v/>
      </c>
      <c r="P1241">
        <f>IF(B1255=0,0,O1241/B1255)</f>
        <v/>
      </c>
      <c r="Q1241">
        <f>IFERROR(1/(IF(Inputs!$B$38="pvp",15,MAX(0.1,Skills!E27-IF(Skills!F27=TRUE,Inputs!$B$32,0)))*(1-IF(AND(ArtifactsInput!$M$27,Inputs!$B$4="Chapter Hunt"),CHOOSE(ArtifactsInput!$N$27+1,20,24,28,32,36,40),0)/100)),0)</f>
        <v/>
      </c>
      <c r="R1241" t="n">
        <v>0</v>
      </c>
      <c r="S1241" t="n">
        <v>0</v>
      </c>
      <c r="U1241" t="n">
        <v>0</v>
      </c>
    </row>
    <row r="1242">
      <c r="A1242">
        <f>Skills!A28</f>
        <v/>
      </c>
      <c r="B1242">
        <f>Skills!B28</f>
        <v/>
      </c>
      <c r="C1242">
        <f>Inputs!$B$3&gt;=118</f>
        <v/>
      </c>
      <c r="D1242">
        <f>IF(Skills!C28=1,60+Inputs!$B$25+Inputs!$B$29,IF(Skills!C28=2,90+Inputs!$B$26+Inputs!$B$29,IF(Skills!C28=3,120+Inputs!$B$27+Inputs!$B$29,MAX(0,(Inputs!$B$3-100)*3)+Inputs!$B$28+Inputs!$B$29)))</f>
        <v/>
      </c>
      <c r="E1242">
        <f>INDEX(FactorTable!$B$2:$Y$301, MATCH(ROUND(MIN(300,MAX(1,D1242)),0), FactorTable!$A$2:$A$301,0), Skills!M28+1)</f>
        <v/>
      </c>
      <c r="F1242">
        <f>IF(Skills!N28=TRUE,(Skills!L28/10)*(E1242/1000),Skills!L28/10)+Skills!O28</f>
        <v/>
      </c>
      <c r="G1242">
        <f>Calc!G28</f>
        <v/>
      </c>
      <c r="H1242">
        <f>Calc!H28</f>
        <v/>
      </c>
      <c r="I1242">
        <f>IF(Skills!X28&lt;&gt;"",1+(Skills!X28/10)*(Z1217/1000)/100,1)</f>
        <v/>
      </c>
      <c r="J1242">
        <f>((Inputs!$B$6*(1+Inputs!$B$7/100))+(((Inputs!$B$12*(1+Inputs!$B$13/100))-(Inputs!$B$12*(1+Inputs!$B$13/100)))+0.25*(Inputs!$B$14-Inputs!$B$14))*(1+Inputs!$B$7/100))*(F1242/100)</f>
        <v/>
      </c>
      <c r="K1242">
        <f>J1242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1237/100)*(1+IF(Inputs!$B$3&gt;=120,F1240,0)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1241*5,0)))/100)*(B1244*B1245*B1246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1242)</f>
        <v/>
      </c>
      <c r="L1242">
        <f>K1242*(MIN(Inputs!$B$22+(F1236-Calc!F22),(Inputs!$B$23+(IF(ArtifactsInput!$M$15,CHOOSE(ArtifactsInput!$N$15+1,25,30,35,40,45,50)/100*(Inputs!$B$11-Inputs!$B$11),0))))/100+(Inputs!$B$23+(IF(ArtifactsInput!$M$15,CHOOSE(ArtifactsInput!$N$15+1,25,30,35,40,45,50)/100*(Inputs!$B$11-Inputs!$B$11),0)))/100)/2</f>
        <v/>
      </c>
      <c r="M1242">
        <f>L1242*(1+(Inputs!$B$10+(F1235-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2">
        <f>L1242*(1-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1242*(MIN((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2">
        <f>(1-Summary!$B$11)*S1242+Summary!$B$11*U1242</f>
        <v/>
      </c>
      <c r="P1242">
        <f>IF(B1255=0,0,O1242/B1255)</f>
        <v/>
      </c>
      <c r="Q1242">
        <f>IFERROR(1/(IF(Inputs!$B$38="pvp",15,MAX(0.1,Skills!E28-IF(Skills!F28=TRUE,Inputs!$B$32,0)))*(1-IF(AND(ArtifactsInput!$M$27,Inputs!$B$4="Chapter Hunt"),CHOOSE(ArtifactsInput!$N$27+1,20,24,28,32,36,40),0)/100)),0)</f>
        <v/>
      </c>
      <c r="R1242">
        <f>IF(AND(Inputs!$B$38&lt;&gt;"pvp",Inputs!$B$43&gt;0),IF(MAX(0,Inputs!$B$43-B1252)&lt;=0,0,(INT(MAX(0,Inputs!$B$43-B1252)/(IF(Inputs!$B$38="pvp",15,MAX(0.1,Skills!E28-IF(Skills!F28=TRUE,Inputs!$B$32,0)))*(1-IF(AND(ArtifactsInput!$M$27,Inputs!$B$4="Chapter Hunt"),CHOOSE(ArtifactsInput!$N$27+1,20,24,28,32,36,40),0)/100)))+1)),0)</f>
        <v/>
      </c>
      <c r="S1242">
        <f>IF(C1242,(H1242*N1242*IF(AND(Inputs!$B$38&lt;&gt;"pvp",Inputs!$B$43&gt;0),((Skills!G28*((R1242-1)*IF(Skills!H28&gt;0,Skills!I28/Skills!H28,1)+IF(Skills!H28&gt;0,MIN(Skills!I28,MAX(0,MAX(0,Inputs!$B$43-B1252)-((R1242-1)*(IF(Inputs!$B$38="pvp",15,MAX(0.1,Skills!E28-IF(Skills!F28=TRUE,Inputs!$B$32,0)))*(1-IF(AND(ArtifactsInput!$M$27,Inputs!$B$4="Chapter Hunt"),CHOOSE(ArtifactsInput!$N$27+1,20,24,28,32,36,40),0)/100)))))/Skills!H28,1)))/Inputs!$B$43),G1242*Q1242)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1242*(1-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1242*(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1242*(1-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1242*(MIN(100,(Inputs!$B$9+(F1234-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2">
        <f>IF(C1242,(H1242*N1242*IF(AND(Inputs!$B$38&lt;&gt;"pvp",Inputs!$B$43&gt;0),((Skills!G28*((R1242-1)*IF(Skills!H28&gt;0,Skills!I28/Skills!H28,1)+IF(Skills!H28&gt;0,MIN(Skills!I28,MAX(0,MAX(0,Inputs!$B$43-B1252)-((R1242-1)*(IF(Inputs!$B$38="pvp",15,MAX(0.1,Skills!E28-IF(Skills!F28=TRUE,Inputs!$B$32,0)))*(1-IF(AND(ArtifactsInput!$M$27,Inputs!$B$4="Chapter Hunt"),CHOOSE(ArtifactsInput!$N$27+1,20,24,28,32,36,40),0)/100)))))/Skills!H28,1)))/Inputs!$B$43),G1242*Q1242)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4">
      <c r="A1244" t="inlineStr">
        <is>
          <t>Burning Magic Multiplier</t>
        </is>
      </c>
      <c r="B1244">
        <f>1+(F1225*Skills!Z11)/100</f>
        <v/>
      </c>
    </row>
    <row r="1245">
      <c r="A1245" t="inlineStr">
        <is>
          <t>Elemental Decrease Multiplier (always-on)</t>
        </is>
      </c>
      <c r="B1245">
        <f>1+(F1226+(IF(AND(ArtifactsInput!$M$35,Inputs!$B$4&lt;&gt;"Chapter Hunt"),CHOOSE(ArtifactsInput!$N$35+1,15,18,21,24,27,30)*(1-EXP(-(0.2*B1248)*5)),0)+IF(AND(ArtifactsInput!$M$22,Inputs!$B$4&lt;&gt;"Chapter Hunt"),CHOOSE(ArtifactsInput!$N$22+1,10,12,14,16,18,20)*((0*(((0.15*B1248*5))^0/1)+1*(((0.15*B1248*5))^1/1)+2*(((0.15*B1248*5))^2/2)+3*(((0.15*B1248*5))^3/6)+4*(((0.15*B1248*5))^4/24)+5*(((0.15*B1248*5))^5/120))/((((0.15*B1248*5))^0/1)+(((0.15*B1248*5))^1/1)+(((0.15*B1248*5))^2/2)+(((0.15*B1248*5))^3/6)+(((0.15*B1248*5))^4/24)+(((0.15*B1248*5))^5/120))),0)))/100</f>
        <v/>
      </c>
    </row>
    <row r="1246">
      <c r="A1246" t="inlineStr">
        <is>
          <t>Average Buff Multiplier (Magic Guard + Meditation + Artifact Attack%, summed; then Infinity)</t>
        </is>
      </c>
      <c r="B1246">
        <f>(1+(F1220*IF(AND(Inputs!$B$38&lt;&gt;"pvp",Inputs!$B$43&gt;0),(((R1220-1)*(Skills!T6*(1+((Inputs!$B$34+(ArtifactsInput!$M$7-ArtifactsInput!$M$7)*CHOOSE(ArtifactsInput!$N$7+1,6,7.2,8.4,9.6,10.8,12)))/100))+MIN((Skills!T6*(1+((Inputs!$B$34+(ArtifactsInput!$M$7-ArtifactsInput!$M$7)*CHOOSE(ArtifactsInput!$N$7+1,6,7.2,8.4,9.6,10.8,12)))/100)),MAX(0,Inputs!$B$43-((R1220-1)*Skills!E6))))/Inputs!$B$43),IF(Inputs!$B$38="pvp",MIN((Skills!T6*(1+((Inputs!$B$34+(ArtifactsInput!$M$7-ArtifactsInput!$M$7)*CHOOSE(ArtifactsInput!$N$7+1,6,7.2,8.4,9.6,10.8,12)))/100)),15)/15,(Skills!T6*(1+((Inputs!$B$34+(ArtifactsInput!$M$7-ArtifactsInput!$M$7)*CHOOSE(ArtifactsInput!$N$7+1,6,7.2,8.4,9.6,10.8,12)))/100))/Skills!E6))+F1231*IF(AND(Inputs!$B$38&lt;&gt;"pvp",Inputs!$B$43&gt;0),(((R1231-1)*(Skills!T17*(1+((Inputs!$B$34+(ArtifactsInput!$M$7-ArtifactsInput!$M$7)*CHOOSE(ArtifactsInput!$N$7+1,6,7.2,8.4,9.6,10.8,12)))/100))+MIN((Skills!T17*(1+((Inputs!$B$34+(ArtifactsInput!$M$7-ArtifactsInput!$M$7)*CHOOSE(ArtifactsInput!$N$7+1,6,7.2,8.4,9.6,10.8,12)))/100)),MAX(0,Inputs!$B$43-((R1231-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1233=TRUE,(1+F1233*IF(AND(Inputs!$B$38&lt;&gt;"pvp",Inputs!$B$43&gt;0),(((R1233-1)*(Skills!T19*(1+((Inputs!$B$34+(ArtifactsInput!$M$7-ArtifactsInput!$M$7)*CHOOSE(ArtifactsInput!$N$7+1,6,7.2,8.4,9.6,10.8,12)))/100))+MIN((Skills!T19*(1+((Inputs!$B$34+(ArtifactsInput!$M$7-ArtifactsInput!$M$7)*CHOOSE(ArtifactsInput!$N$7+1,6,7.2,8.4,9.6,10.8,12)))/100)),MAX(0,Inputs!$B$43-((R1233-1)*Skills!E19))))/Inputs!$B$43),IF(Inputs!$B$38="pvp",MIN((Skills!T19*(1+((Inputs!$B$34+(ArtifactsInput!$M$7-ArtifactsInput!$M$7)*CHOOSE(ArtifactsInput!$N$7+1,6,7.2,8.4,9.6,10.8,12)))/100)),15)/15,(Skills!T19*(1+((Inputs!$B$34+(ArtifactsInput!$M$7-ArtifactsInput!$M$7)*CHOOSE(ArtifactsInput!$N$7+1,6,7.2,8.4,9.6,10.8,12)))/100))/Skills!E19))/100),1)</f>
        <v/>
      </c>
    </row>
    <row r="1247">
      <c r="A1247" t="inlineStr">
        <is>
          <t>Attack Speed Buff Bonus % (Nimble Feet, averaged)</t>
        </is>
      </c>
      <c r="B1247">
        <f>F1232*IF(AND(Inputs!$B$38&lt;&gt;"pvp",Inputs!$B$43&gt;0),(((R1232-1)*(Skills!T18*(1+((Inputs!$B$34+(ArtifactsInput!$M$7-ArtifactsInput!$M$7)*CHOOSE(ArtifactsInput!$N$7+1,6,7.2,8.4,9.6,10.8,12)))/100))+MIN((Skills!T18*(1+((Inputs!$B$34+(ArtifactsInput!$M$7-ArtifactsInput!$M$7)*CHOOSE(ArtifactsInput!$N$7+1,6,7.2,8.4,9.6,10.8,12)))/100)),MAX(0,Inputs!$B$43-((R1232-1)*Skills!E18))))/Inputs!$B$43),IF(Inputs!$B$38="pvp",MIN((Skills!T18*(1+((Inputs!$B$34+(ArtifactsInput!$M$7-ArtifactsInput!$M$7)*CHOOSE(ArtifactsInput!$N$7+1,6,7.2,8.4,9.6,10.8,12)))/100)),15)/15,(Skills!T18*(1+((Inputs!$B$34+(ArtifactsInput!$M$7-ArtifactsInput!$M$7)*CHOOSE(ArtifactsInput!$N$7+1,6,7.2,8.4,9.6,10.8,12)))/100))/Skills!E18))</f>
        <v/>
      </c>
    </row>
    <row r="1248">
      <c r="A1248" t="inlineStr">
        <is>
          <t>Actions Per Second</t>
        </is>
      </c>
      <c r="B1248">
        <f>1+MIN(150,150*(1-(1-(Inputs!$B$11+(ArtifactsInput!$M$15-ArtifactsInput!$M$15)*CHOOSE(ArtifactsInput!$N$15+1,8,9.6,11.2,12.8,14.4,16))/150)*(1-B1247/150)))/100</f>
        <v/>
      </c>
    </row>
    <row r="1249">
      <c r="A1249" t="inlineStr">
        <is>
          <t>Skill + Buff Cast Rate</t>
        </is>
      </c>
      <c r="B1249">
        <f>IF(AND(Inputs!$B$38&lt;&gt;"pvp",Inputs!$B$43&gt;0),SUMPRODUCT((Skills!F2:F28=TRUE)*(C1216:C1242=TRUE)*R1216:R1242)/Inputs!$B$43,SUMPRODUCT((Skills!F2:F28=TRUE)*(C1216:C1242=TRUE)*Q1216:Q1242))</f>
        <v/>
      </c>
    </row>
    <row r="1250">
      <c r="A1250" t="inlineStr">
        <is>
          <t>Basic Attacks Per Second</t>
        </is>
      </c>
      <c r="B1250">
        <f>MAX(0,B1248-B1249)</f>
        <v/>
      </c>
    </row>
    <row r="1251">
      <c r="A1251" t="inlineStr">
        <is>
          <t>Meteor Proc — combined trigger cast rate</t>
        </is>
      </c>
      <c r="B1251">
        <f>IF(AND(Inputs!$B$38&lt;&gt;"pvp",Inputs!$B$43&gt;0),SUMPRODUCT((Skills!V2:V28=TRUE)*(C1216:C1242=TRUE)*R1216:R1242*Skills!W2:W28)/Inputs!$B$43,SUMPRODUCT((Skills!V2:V28=TRUE)*(C1216:C1242=TRUE)*Q1216:Q1242*Skills!W2:W28))+B1250</f>
        <v/>
      </c>
    </row>
    <row r="1252">
      <c r="A1252" t="inlineStr">
        <is>
          <t>Buff-Casting Startup Delay (s, fixed-duration only)</t>
        </is>
      </c>
      <c r="B1252">
        <f>IF(AND(Inputs!$B$38&lt;&gt;"pvp",Inputs!$B$43&gt;0),SUMPRODUCT((Skills!T2:T28&gt;0)*(Skills!F2:F28=TRUE)*(C1216:C1242=TRUE))/B1248,0)</f>
        <v/>
      </c>
    </row>
    <row r="1253">
      <c r="A1253" t="inlineStr">
        <is>
          <t>Boss-Only Total DPS (this block's swept value)</t>
        </is>
      </c>
      <c r="B1253">
        <f>SUM(S1216:S1242)</f>
        <v/>
      </c>
    </row>
    <row r="1254">
      <c r="A1254" t="inlineStr">
        <is>
          <t>Normal-Only Total DPS (this block's swept value)</t>
        </is>
      </c>
      <c r="B1254">
        <f>SUM(U1216:U1242)</f>
        <v/>
      </c>
    </row>
    <row r="1255">
      <c r="A1255" s="6" t="inlineStr">
        <is>
          <t>TOTAL DPS</t>
        </is>
      </c>
      <c r="B1255" s="6">
        <f>SUM(O1216:O1242)</f>
        <v/>
      </c>
    </row>
    <row r="1258">
      <c r="A1258" s="6" t="inlineStr">
        <is>
          <t>Stat: Shamaness Marble (Equip)</t>
        </is>
      </c>
    </row>
    <row r="1259">
      <c r="A1259" s="5" t="inlineStr">
        <is>
          <t>Key</t>
        </is>
      </c>
      <c r="B1259" s="5" t="inlineStr">
        <is>
          <t>Name</t>
        </is>
      </c>
      <c r="C1259" s="5" t="inlineStr">
        <is>
          <t>Unlocked</t>
        </is>
      </c>
      <c r="D1259" s="5" t="inlineStr">
        <is>
          <t>InputLevel</t>
        </is>
      </c>
      <c r="E1259" s="5" t="inlineStr">
        <is>
          <t>Factor</t>
        </is>
      </c>
      <c r="F1259" s="5" t="inlineStr">
        <is>
          <t>CoefficientPercent</t>
        </is>
      </c>
      <c r="G1259" s="5" t="inlineStr">
        <is>
          <t>EffectiveHits</t>
        </is>
      </c>
      <c r="H1259" s="5" t="inlineStr">
        <is>
          <t>ProcProbability</t>
        </is>
      </c>
      <c r="I1259" s="5" t="inlineStr">
        <is>
          <t>MapleHeroMultiplier</t>
        </is>
      </c>
      <c r="J1259" s="5" t="inlineStr">
        <is>
          <t>BaseDamage</t>
        </is>
      </c>
      <c r="K1259" s="5" t="inlineStr">
        <is>
          <t>BaseHitDamage</t>
        </is>
      </c>
      <c r="L1259" s="5" t="inlineStr">
        <is>
          <t>NonCritAvg</t>
        </is>
      </c>
      <c r="M1259" s="5" t="inlineStr">
        <is>
          <t>CritAvg</t>
        </is>
      </c>
      <c r="N1259" s="5" t="inlineStr">
        <is>
          <t>ExpectedDamage(perHit)</t>
        </is>
      </c>
      <c r="O1259" s="5" t="inlineStr">
        <is>
          <t>DPS</t>
        </is>
      </c>
      <c r="P1259" s="5" t="inlineStr">
        <is>
          <t>% of Total</t>
        </is>
      </c>
      <c r="R1259" t="inlineStr">
        <is>
          <t>helpers</t>
        </is>
      </c>
    </row>
    <row r="1260">
      <c r="A1260">
        <f>Skills!A2</f>
        <v/>
      </c>
      <c r="B1260">
        <f>Skills!B2</f>
        <v/>
      </c>
      <c r="C1260">
        <f>TRUE</f>
        <v/>
      </c>
      <c r="D1260" t="inlineStr"/>
      <c r="E1260" t="inlineStr"/>
      <c r="F1260">
        <f>T1262+Skills!O2</f>
        <v/>
      </c>
      <c r="G1260">
        <f>Calc!G2</f>
        <v/>
      </c>
      <c r="H1260">
        <f>Calc!H2</f>
        <v/>
      </c>
      <c r="I1260">
        <f>IF(Skills!X2&lt;&gt;"",1+(Skills!X2/10)*(Z1261/1000)/100,1)</f>
        <v/>
      </c>
      <c r="J1260">
        <f>((Inputs!$B$6*(1+Inputs!$B$7/100))+(((Inputs!$B$12*(1+Inputs!$B$13/100))-(Inputs!$B$12*(1+Inputs!$B$13/100)))+0.25*(Inputs!$B$14-Inputs!$B$14))*(1+Inputs!$B$7/100))*(F1260/100)</f>
        <v/>
      </c>
      <c r="K1260">
        <f>J1260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1260)</f>
        <v/>
      </c>
      <c r="L1260">
        <f>K1260*(MIN(Inputs!$B$22+(F1280-Calc!F22),(Inputs!$B$23+(IF(ArtifactsInput!$M$15,CHOOSE(ArtifactsInput!$N$15+1,25,30,35,40,45,50)/100*(Inputs!$B$11-Inputs!$B$11),0))))/100+(Inputs!$B$23+(IF(ArtifactsInput!$M$15,CHOOSE(ArtifactsInput!$N$15+1,25,30,35,40,45,50)/100*(Inputs!$B$11-Inputs!$B$11),0)))/100)/2</f>
        <v/>
      </c>
      <c r="M1260">
        <f>L1260*(1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0">
        <f>L1260*(1-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1260*(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0">
        <f>(1-Summary!$B$11)*S1260+Summary!$B$11*U1260</f>
        <v/>
      </c>
      <c r="P1260">
        <f>IF(B1299=0,0,O1260/B1299)</f>
        <v/>
      </c>
      <c r="Q1260">
        <f>IFERROR(1/(IF(Inputs!$B$38="pvp",15,MAX(0.1,Skills!E2-IF(Skills!F2=TRUE,Inputs!$B$32,0)))*(1-IF(AND(ArtifactsInput!$M$27,Inputs!$B$4="Chapter Hunt"),CHOOSE(ArtifactsInput!$N$27+1,20,24,28,32,36,40),0)/100)),0)</f>
        <v/>
      </c>
      <c r="R1260" t="n">
        <v>0</v>
      </c>
      <c r="S1260">
        <f>(Skills!G2*N1260*B1294)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1260*(1-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1260*(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1260*(1-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1260*(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260">
        <f>MAX(0,(Inputs!$B$3-100)*3)+Inputs!$B$28+Inputs!$B$29</f>
        <v/>
      </c>
      <c r="U1260">
        <f>(Skills!G2*N1260*B1294)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260">
        <f>MAX(0,(Inputs!$B$3-100)*3)+Inputs!$B$28+Inputs!$B$29</f>
        <v/>
      </c>
    </row>
    <row r="1261">
      <c r="A1261">
        <f>Skills!A3</f>
        <v/>
      </c>
      <c r="B1261">
        <f>Skills!B3</f>
        <v/>
      </c>
      <c r="C1261">
        <f>TRUE</f>
        <v/>
      </c>
      <c r="D1261">
        <f>IF(Skills!C3=1,60+Inputs!$B$25+Inputs!$B$29,IF(Skills!C3=2,90+Inputs!$B$26+Inputs!$B$29,IF(Skills!C3=3,120+Inputs!$B$27+Inputs!$B$29,MAX(0,(Inputs!$B$3-100)*3)+Inputs!$B$28+Inputs!$B$29)))</f>
        <v/>
      </c>
      <c r="E1261">
        <f>INDEX(FactorTable!$B$2:$Y$301, MATCH(ROUND(MIN(300,MAX(1,D1261)),0), FactorTable!$A$2:$A$301,0), Skills!M3+1)</f>
        <v/>
      </c>
      <c r="F1261">
        <f>IF(Skills!N3=TRUE,(Skills!L3/10)*(E1261/1000),Skills!L3/10)+Skills!O3</f>
        <v/>
      </c>
      <c r="G1261">
        <f>Calc!G3</f>
        <v/>
      </c>
      <c r="H1261">
        <f>Calc!H3</f>
        <v/>
      </c>
      <c r="I1261">
        <f>IF(Skills!X3&lt;&gt;"",1+(Skills!X3/10)*(Z1261/1000)/100,1)</f>
        <v/>
      </c>
      <c r="J1261">
        <f>((Inputs!$B$6*(1+Inputs!$B$7/100))+(((Inputs!$B$12*(1+Inputs!$B$13/100))-(Inputs!$B$12*(1+Inputs!$B$13/100)))+0.25*(Inputs!$B$14-Inputs!$B$14))*(1+Inputs!$B$7/100))*(F1261/100)</f>
        <v/>
      </c>
      <c r="K1261">
        <f>J1261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1261)</f>
        <v/>
      </c>
      <c r="L1261">
        <f>K1261*(MIN(Inputs!$B$22+(F1280-Calc!F22),(Inputs!$B$23+(IF(ArtifactsInput!$M$15,CHOOSE(ArtifactsInput!$N$15+1,25,30,35,40,45,50)/100*(Inputs!$B$11-Inputs!$B$11),0))))/100+(Inputs!$B$23+(IF(ArtifactsInput!$M$15,CHOOSE(ArtifactsInput!$N$15+1,25,30,35,40,45,50)/100*(Inputs!$B$11-Inputs!$B$11),0)))/100)/2</f>
        <v/>
      </c>
      <c r="M1261">
        <f>L1261*(1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1">
        <f>L1261*(1-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1">
        <f>(1-Summary!$B$11)*S1261+Summary!$B$11*U1261</f>
        <v/>
      </c>
      <c r="P1261">
        <f>IF(B1299=0,0,O1261/B1299)</f>
        <v/>
      </c>
      <c r="Q1261">
        <f>IFERROR(1/(IF(Inputs!$B$38="pvp",15,MAX(0.1,Skills!E3-IF(Skills!F3=TRUE,Inputs!$B$32,0)))*(1-IF(AND(ArtifactsInput!$M$27,Inputs!$B$4="Chapter Hunt"),CHOOSE(ArtifactsInput!$N$27+1,20,24,28,32,36,40),0)/100)),0)</f>
        <v/>
      </c>
      <c r="R1261">
        <f>IF(AND(Inputs!$B$38&lt;&gt;"pvp",Inputs!$B$43&gt;0),IF(MAX(0,Inputs!$B$43-B1296)&lt;=0,0,(INT(MAX(0,Inputs!$B$43-B1296)/(IF(Inputs!$B$38="pvp",15,MAX(0.1,Skills!E3-IF(Skills!F3=TRUE,Inputs!$B$32,0)))*(1-IF(AND(ArtifactsInput!$M$27,Inputs!$B$4="Chapter Hunt"),CHOOSE(ArtifactsInput!$N$27+1,20,24,28,32,36,40),0)/100)))+1)),0)</f>
        <v/>
      </c>
      <c r="S1261">
        <f>IF(C1261,(H1261*N1261*IF(AND(Inputs!$B$38&lt;&gt;"pvp",Inputs!$B$43&gt;0),((Skills!G3*((R1261-1)*IF(Skills!H3&gt;0,Skills!I3/Skills!H3,1)+IF(Skills!H3&gt;0,MIN(Skills!I3,MAX(0,MAX(0,Inputs!$B$43-B1296)-((R1261-1)*(IF(Inputs!$B$38="pvp",15,MAX(0.1,Skills!E3-IF(Skills!F3=TRUE,Inputs!$B$32,0)))*(1-IF(AND(ArtifactsInput!$M$27,Inputs!$B$4="Chapter Hunt"),CHOOSE(ArtifactsInput!$N$27+1,20,24,28,32,36,40),0)/100)))))/Skills!H3,1)))/Inputs!$B$43),G1261*Q1261)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1261*(1-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1261*(1-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261">
        <f>INDEX(FactorTable!$B$2:$Y$301, MATCH(ROUND(MIN(300,MAX(1,T1260)),0), FactorTable!$A$2:$A$301,0), 22)</f>
        <v/>
      </c>
      <c r="U1261">
        <f>IF(C1261,(H1261*N1261*IF(AND(Inputs!$B$38&lt;&gt;"pvp",Inputs!$B$43&gt;0),((Skills!G3*((R1261-1)*IF(Skills!H3&gt;0,Skills!I3/Skills!H3,1)+IF(Skills!H3&gt;0,MIN(Skills!I3,MAX(0,MAX(0,Inputs!$B$43-B1296)-((R1261-1)*(IF(Inputs!$B$38="pvp",15,MAX(0.1,Skills!E3-IF(Skills!F3=TRUE,Inputs!$B$32,0)))*(1-IF(AND(ArtifactsInput!$M$27,Inputs!$B$4="Chapter Hunt"),CHOOSE(ArtifactsInput!$N$27+1,20,24,28,32,36,40),0)/100)))))/Skills!H3,1)))/Inputs!$B$43),G1261*Q1261)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261">
        <f>INDEX(FactorTable!$B$2:$Y$301, MATCH(ROUND(MIN(300,MAX(1,Z1260)),0), FactorTable!$A$2:$A$301,0), 24)</f>
        <v/>
      </c>
    </row>
    <row r="1262">
      <c r="A1262">
        <f>Skills!A4</f>
        <v/>
      </c>
      <c r="B1262">
        <f>Skills!B4</f>
        <v/>
      </c>
      <c r="C1262">
        <f>TRUE</f>
        <v/>
      </c>
      <c r="D1262">
        <f>IF(Skills!C4=1,60+Inputs!$B$25+Inputs!$B$29,IF(Skills!C4=2,90+Inputs!$B$26+Inputs!$B$29,IF(Skills!C4=3,120+Inputs!$B$27+Inputs!$B$29,MAX(0,(Inputs!$B$3-100)*3)+Inputs!$B$28+Inputs!$B$29)))</f>
        <v/>
      </c>
      <c r="E1262">
        <f>INDEX(FactorTable!$B$2:$Y$301, MATCH(ROUND(MIN(300,MAX(1,D1262)),0), FactorTable!$A$2:$A$301,0), Skills!M4+1)</f>
        <v/>
      </c>
      <c r="F1262">
        <f>IF(Skills!N4=TRUE,(Skills!L4/10)*(E1262/1000),Skills!L4/10)+Skills!O4</f>
        <v/>
      </c>
      <c r="G1262">
        <f>Calc!G4</f>
        <v/>
      </c>
      <c r="H1262">
        <f>Calc!H4</f>
        <v/>
      </c>
      <c r="I1262">
        <f>IF(Skills!X4&lt;&gt;"",1+(Skills!X4/10)*(Z1261/1000)/100,1)</f>
        <v/>
      </c>
      <c r="J1262">
        <f>((Inputs!$B$6*(1+Inputs!$B$7/100))+(((Inputs!$B$12*(1+Inputs!$B$13/100))-(Inputs!$B$12*(1+Inputs!$B$13/100)))+0.25*(Inputs!$B$14-Inputs!$B$14))*(1+Inputs!$B$7/100))*(F1262/100)</f>
        <v/>
      </c>
      <c r="K1262">
        <f>J1262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1262)</f>
        <v/>
      </c>
      <c r="L1262">
        <f>K1262*(MIN(Inputs!$B$22+(F1280-Calc!F22),(Inputs!$B$23+(IF(ArtifactsInput!$M$15,CHOOSE(ArtifactsInput!$N$15+1,25,30,35,40,45,50)/100*(Inputs!$B$11-Inputs!$B$11),0))))/100+(Inputs!$B$23+(IF(ArtifactsInput!$M$15,CHOOSE(ArtifactsInput!$N$15+1,25,30,35,40,45,50)/100*(Inputs!$B$11-Inputs!$B$11),0)))/100)/2</f>
        <v/>
      </c>
      <c r="M1262">
        <f>L1262*(1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2">
        <f>L1262*(1-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1262*(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2">
        <f>(1-Summary!$B$11)*S1262+Summary!$B$11*U1262</f>
        <v/>
      </c>
      <c r="P1262">
        <f>IF(B1299=0,0,O1262/B1299)</f>
        <v/>
      </c>
      <c r="Q1262">
        <f>IFERROR(1/(IF(Inputs!$B$38="pvp",15,MAX(0.1,Skills!E4-IF(Skills!F4=TRUE,Inputs!$B$32,0)))*(1-IF(AND(ArtifactsInput!$M$27,Inputs!$B$4="Chapter Hunt"),CHOOSE(ArtifactsInput!$N$27+1,20,24,28,32,36,40),0)/100)),0)</f>
        <v/>
      </c>
      <c r="R1262">
        <f>IF(AND(Inputs!$B$38&lt;&gt;"pvp",Inputs!$B$43&gt;0),IF(MAX(0,Inputs!$B$43-B1296)&lt;=0,0,(INT(MAX(0,Inputs!$B$43-B1296)/(IF(Inputs!$B$38="pvp",15,MAX(0.1,Skills!E4-IF(Skills!F4=TRUE,Inputs!$B$32,0)))*(1-IF(AND(ArtifactsInput!$M$27,Inputs!$B$4="Chapter Hunt"),CHOOSE(ArtifactsInput!$N$27+1,20,24,28,32,36,40),0)/100)))+1)),0)</f>
        <v/>
      </c>
      <c r="S1262">
        <f>IF(C1262,(H1262*N1262*IF(AND(Inputs!$B$38&lt;&gt;"pvp",Inputs!$B$43&gt;0),((Skills!G4*((R1262-1)*IF(Skills!H4&gt;0,Skills!I4/Skills!H4,1)+IF(Skills!H4&gt;0,MIN(Skills!I4,MAX(0,MAX(0,Inputs!$B$43-B1296)-((R1262-1)*(IF(Inputs!$B$38="pvp",15,MAX(0.1,Skills!E4-IF(Skills!F4=TRUE,Inputs!$B$32,0)))*(1-IF(AND(ArtifactsInput!$M$27,Inputs!$B$4="Chapter Hunt"),CHOOSE(ArtifactsInput!$N$27+1,20,24,28,32,36,40),0)/100)))))/Skills!H4,1)))/Inputs!$B$43),G1262*Q1262)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1262*(1-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1262*(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1262*(1-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1262*(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262">
        <f>290*T1261/1000</f>
        <v/>
      </c>
      <c r="U1262">
        <f>IF(C1262,(H1262*N1262*IF(AND(Inputs!$B$38&lt;&gt;"pvp",Inputs!$B$43&gt;0),((Skills!G4*((R1262-1)*IF(Skills!H4&gt;0,Skills!I4/Skills!H4,1)+IF(Skills!H4&gt;0,MIN(Skills!I4,MAX(0,MAX(0,Inputs!$B$43-B1296)-((R1262-1)*(IF(Inputs!$B$38="pvp",15,MAX(0.1,Skills!E4-IF(Skills!F4=TRUE,Inputs!$B$32,0)))*(1-IF(AND(ArtifactsInput!$M$27,Inputs!$B$4="Chapter Hunt"),CHOOSE(ArtifactsInput!$N$27+1,20,24,28,32,36,40),0)/100)))))/Skills!H4,1)))/Inputs!$B$43),G1262*Q1262)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3">
      <c r="A1263">
        <f>Skills!A5</f>
        <v/>
      </c>
      <c r="B1263">
        <f>Skills!B5</f>
        <v/>
      </c>
      <c r="C1263">
        <f>TRUE</f>
        <v/>
      </c>
      <c r="D1263">
        <f>IF(Skills!C5=1,60+Inputs!$B$25+Inputs!$B$29,IF(Skills!C5=2,90+Inputs!$B$26+Inputs!$B$29,IF(Skills!C5=3,120+Inputs!$B$27+Inputs!$B$29,MAX(0,(Inputs!$B$3-100)*3)+Inputs!$B$28+Inputs!$B$29)))</f>
        <v/>
      </c>
      <c r="E1263">
        <f>INDEX(FactorTable!$B$2:$Y$301, MATCH(ROUND(MIN(300,MAX(1,D1263)),0), FactorTable!$A$2:$A$301,0), Skills!M5+1)</f>
        <v/>
      </c>
      <c r="F1263">
        <f>IF(Skills!N5=TRUE,(Skills!L5/10)*(E1263/1000),Skills!L5/10)+Skills!O5</f>
        <v/>
      </c>
      <c r="G1263">
        <f>Calc!G5</f>
        <v/>
      </c>
      <c r="H1263">
        <f>Calc!H5</f>
        <v/>
      </c>
      <c r="I1263">
        <f>IF(Skills!X5&lt;&gt;"",1+(Skills!X5/10)*(Z1261/1000)/100,1)</f>
        <v/>
      </c>
      <c r="J1263">
        <f>((Inputs!$B$6*(1+Inputs!$B$7/100))+(((Inputs!$B$12*(1+Inputs!$B$13/100))-(Inputs!$B$12*(1+Inputs!$B$13/100)))+0.25*(Inputs!$B$14-Inputs!$B$14))*(1+Inputs!$B$7/100))*(F1263/100)</f>
        <v/>
      </c>
      <c r="K1263">
        <f>J1263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1263)</f>
        <v/>
      </c>
      <c r="L1263">
        <f>K1263*(MIN(Inputs!$B$22+(F1280-Calc!F22),(Inputs!$B$23+(IF(ArtifactsInput!$M$15,CHOOSE(ArtifactsInput!$N$15+1,25,30,35,40,45,50)/100*(Inputs!$B$11-Inputs!$B$11),0))))/100+(Inputs!$B$23+(IF(ArtifactsInput!$M$15,CHOOSE(ArtifactsInput!$N$15+1,25,30,35,40,45,50)/100*(Inputs!$B$11-Inputs!$B$11),0)))/100)/2</f>
        <v/>
      </c>
      <c r="M1263">
        <f>L1263*(1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3">
        <f>L1263*(1-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1263*(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3">
        <f>(1-Summary!$B$11)*S1263+Summary!$B$11*U1263</f>
        <v/>
      </c>
      <c r="P1263">
        <f>IF(B1299=0,0,O1263/B1299)</f>
        <v/>
      </c>
      <c r="Q1263">
        <f>IFERROR(1/(IF(Inputs!$B$38="pvp",15,MAX(0.1,Skills!E5-IF(Skills!F5=TRUE,Inputs!$B$32,0)))*(1-IF(AND(ArtifactsInput!$M$27,Inputs!$B$4="Chapter Hunt"),CHOOSE(ArtifactsInput!$N$27+1,20,24,28,32,36,40),0)/100)),0)</f>
        <v/>
      </c>
      <c r="R1263">
        <f>IF(AND(Inputs!$B$38&lt;&gt;"pvp",Inputs!$B$43&gt;0),IF(MAX(0,Inputs!$B$43-B1296)&lt;=0,0,(INT(MAX(0,Inputs!$B$43-B1296)/(IF(Inputs!$B$38="pvp",15,MAX(0.1,Skills!E5-IF(Skills!F5=TRUE,Inputs!$B$32,0)))*(1-IF(AND(ArtifactsInput!$M$27,Inputs!$B$4="Chapter Hunt"),CHOOSE(ArtifactsInput!$N$27+1,20,24,28,32,36,40),0)/100)))+1)),0)</f>
        <v/>
      </c>
      <c r="S1263">
        <f>IF(C1263,(H1263*N1263*IF(AND(Inputs!$B$38&lt;&gt;"pvp",Inputs!$B$43&gt;0),((Skills!G5*((R1263-1)*IF(Skills!H5&gt;0,Skills!I5/Skills!H5,1)+IF(Skills!H5&gt;0,MIN(Skills!I5,MAX(0,MAX(0,Inputs!$B$43-B1296)-((R1263-1)*(IF(Inputs!$B$38="pvp",15,MAX(0.1,Skills!E5-IF(Skills!F5=TRUE,Inputs!$B$32,0)))*(1-IF(AND(ArtifactsInput!$M$27,Inputs!$B$4="Chapter Hunt"),CHOOSE(ArtifactsInput!$N$27+1,20,24,28,32,36,40),0)/100)))))/Skills!H5,1)))/Inputs!$B$43),G1263*Q1263)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1263*(1-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1263*(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1263*(1-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1263*(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3">
        <f>IF(C1263,(H1263*N1263*IF(AND(Inputs!$B$38&lt;&gt;"pvp",Inputs!$B$43&gt;0),((Skills!G5*((R1263-1)*IF(Skills!H5&gt;0,Skills!I5/Skills!H5,1)+IF(Skills!H5&gt;0,MIN(Skills!I5,MAX(0,MAX(0,Inputs!$B$43-B1296)-((R1263-1)*(IF(Inputs!$B$38="pvp",15,MAX(0.1,Skills!E5-IF(Skills!F5=TRUE,Inputs!$B$32,0)))*(1-IF(AND(ArtifactsInput!$M$27,Inputs!$B$4="Chapter Hunt"),CHOOSE(ArtifactsInput!$N$27+1,20,24,28,32,36,40),0)/100)))))/Skills!H5,1)))/Inputs!$B$43),G1263*Q1263)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4">
      <c r="A1264">
        <f>Skills!A6</f>
        <v/>
      </c>
      <c r="B1264">
        <f>Skills!B6</f>
        <v/>
      </c>
      <c r="C1264">
        <f>TRUE</f>
        <v/>
      </c>
      <c r="D1264">
        <f>IF(Skills!C6=1,60+Inputs!$B$25+Inputs!$B$29,IF(Skills!C6=2,90+Inputs!$B$26+Inputs!$B$29,IF(Skills!C6=3,120+Inputs!$B$27+Inputs!$B$29,MAX(0,(Inputs!$B$3-100)*3)+Inputs!$B$28+Inputs!$B$29)))</f>
        <v/>
      </c>
      <c r="E1264">
        <f>INDEX(FactorTable!$B$2:$Y$301, MATCH(ROUND(MIN(300,MAX(1,D1264)),0), FactorTable!$A$2:$A$301,0), Skills!M6+1)</f>
        <v/>
      </c>
      <c r="F1264">
        <f>IF(Skills!N6=TRUE,(Skills!L6/10)*(E1264/1000),Skills!L6/10)+Skills!O6</f>
        <v/>
      </c>
      <c r="G1264">
        <f>Calc!G6</f>
        <v/>
      </c>
      <c r="H1264">
        <f>Calc!H6</f>
        <v/>
      </c>
      <c r="I1264">
        <f>IF(Skills!X6&lt;&gt;"",1+(Skills!X6/10)*(Z1261/1000)/100,1)</f>
        <v/>
      </c>
      <c r="J1264" t="inlineStr"/>
      <c r="K1264" t="inlineStr"/>
      <c r="L1264" t="inlineStr"/>
      <c r="M1264" t="inlineStr"/>
      <c r="N1264" t="inlineStr"/>
      <c r="O1264">
        <f>(1-Summary!$B$11)*S1264+Summary!$B$11*U1264</f>
        <v/>
      </c>
      <c r="P1264">
        <f>IF(B1299=0,0,O1264/B1299)</f>
        <v/>
      </c>
      <c r="Q1264">
        <f>IFERROR(1/(IF(Inputs!$B$38="pvp",15,MAX(0.1,Skills!E6-IF(Skills!F6=TRUE,Inputs!$B$32,0)))*(1-IF(AND(ArtifactsInput!$M$27,Inputs!$B$4="Chapter Hunt"),CHOOSE(ArtifactsInput!$N$27+1,20,24,28,32,36,40),0)/100)),0)</f>
        <v/>
      </c>
      <c r="R1264">
        <f>IF(AND(Inputs!$B$38&lt;&gt;"pvp",Inputs!$B$43&gt;0),IF(Inputs!$B$43&lt;=0,0,(INT(Inputs!$B$43/(IF(Inputs!$B$38="pvp",15,MAX(0.1,Skills!E6-IF(Skills!F6=TRUE,Inputs!$B$32,0)))*(1-IF(AND(ArtifactsInput!$M$27,Inputs!$B$4="Chapter Hunt"),CHOOSE(ArtifactsInput!$N$27+1,20,24,28,32,36,40),0)/100)))+1)),0)</f>
        <v/>
      </c>
      <c r="S1264" t="n">
        <v>0</v>
      </c>
      <c r="U1264" t="n">
        <v>0</v>
      </c>
    </row>
    <row r="1265">
      <c r="A1265">
        <f>Skills!A7</f>
        <v/>
      </c>
      <c r="B1265">
        <f>Skills!B7</f>
        <v/>
      </c>
      <c r="C1265">
        <f>TRUE</f>
        <v/>
      </c>
      <c r="D1265">
        <f>IF(Skills!C7=1,60+Inputs!$B$25+Inputs!$B$29,IF(Skills!C7=2,90+Inputs!$B$26+Inputs!$B$29,IF(Skills!C7=3,120+Inputs!$B$27+Inputs!$B$29,MAX(0,(Inputs!$B$3-100)*3)+Inputs!$B$28+Inputs!$B$29)))</f>
        <v/>
      </c>
      <c r="E1265">
        <f>INDEX(FactorTable!$B$2:$Y$301, MATCH(ROUND(MIN(300,MAX(1,D1265)),0), FactorTable!$A$2:$A$301,0), Skills!M7+1)</f>
        <v/>
      </c>
      <c r="F1265">
        <f>IF(Skills!N7=TRUE,(Skills!L7/10)*(E1265/1000),Skills!L7/10)+Skills!O7</f>
        <v/>
      </c>
      <c r="G1265">
        <f>Calc!G7</f>
        <v/>
      </c>
      <c r="H1265">
        <f>Calc!H7</f>
        <v/>
      </c>
      <c r="I1265">
        <f>IF(Skills!X7&lt;&gt;"",1+(Skills!X7/10)*(Z1261/1000)/100,1)</f>
        <v/>
      </c>
      <c r="J1265">
        <f>((Inputs!$B$6*(1+Inputs!$B$7/100))+(((Inputs!$B$12*(1+Inputs!$B$13/100))-(Inputs!$B$12*(1+Inputs!$B$13/100)))+0.25*(Inputs!$B$14-Inputs!$B$14))*(1+Inputs!$B$7/100))*(F1265/100)</f>
        <v/>
      </c>
      <c r="K1265">
        <f>J1265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1265)</f>
        <v/>
      </c>
      <c r="L1265">
        <f>K1265*(MIN(Inputs!$B$22+(F1280-Calc!F22),(Inputs!$B$23+(IF(ArtifactsInput!$M$15,CHOOSE(ArtifactsInput!$N$15+1,25,30,35,40,45,50)/100*(Inputs!$B$11-Inputs!$B$11),0))))/100+(Inputs!$B$23+(IF(ArtifactsInput!$M$15,CHOOSE(ArtifactsInput!$N$15+1,25,30,35,40,45,50)/100*(Inputs!$B$11-Inputs!$B$11),0)))/100)/2</f>
        <v/>
      </c>
      <c r="M1265">
        <f>L1265*(1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5">
        <f>L1265*(1-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1265*(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5">
        <f>(1-Summary!$B$11)*S1265+Summary!$B$11*U1265</f>
        <v/>
      </c>
      <c r="P1265">
        <f>IF(B1299=0,0,O1265/B1299)</f>
        <v/>
      </c>
      <c r="Q1265">
        <f>IFERROR(1/(IF(Inputs!$B$38="pvp",15,MAX(0.1,Skills!E7-IF(Skills!F7=TRUE,Inputs!$B$32,0)))*(1-IF(AND(ArtifactsInput!$M$27,Inputs!$B$4="Chapter Hunt"),CHOOSE(ArtifactsInput!$N$27+1,20,24,28,32,36,40),0)/100)),0)</f>
        <v/>
      </c>
      <c r="R1265">
        <f>IF(AND(Inputs!$B$38&lt;&gt;"pvp",Inputs!$B$43&gt;0),IF(MAX(0,Inputs!$B$43-B1296)&lt;=0,0,(INT(MAX(0,Inputs!$B$43-B1296)/(IF(Inputs!$B$38="pvp",15,MAX(0.1,Skills!E7-IF(Skills!F7=TRUE,Inputs!$B$32,0)))*(1-IF(AND(ArtifactsInput!$M$27,Inputs!$B$4="Chapter Hunt"),CHOOSE(ArtifactsInput!$N$27+1,20,24,28,32,36,40),0)/100)))+1)),0)</f>
        <v/>
      </c>
      <c r="S1265">
        <f>IF(C1265,(H1265*N1265*IF(AND(Inputs!$B$38&lt;&gt;"pvp",Inputs!$B$43&gt;0),((Skills!G7*((R1265-1)*IF(Skills!H7&gt;0,Skills!I7/Skills!H7,1)+IF(Skills!H7&gt;0,MIN(Skills!I7,MAX(0,MAX(0,Inputs!$B$43-B1296)-((R1265-1)*(IF(Inputs!$B$38="pvp",15,MAX(0.1,Skills!E7-IF(Skills!F7=TRUE,Inputs!$B$32,0)))*(1-IF(AND(ArtifactsInput!$M$27,Inputs!$B$4="Chapter Hunt"),CHOOSE(ArtifactsInput!$N$27+1,20,24,28,32,36,40),0)/100)))))/Skills!H7,1)))/Inputs!$B$43),G1265*Q1265)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1265*(1-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1265*(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1265*(1-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1265*(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5">
        <f>IF(C1265,(H1265*N1265*IF(AND(Inputs!$B$38&lt;&gt;"pvp",Inputs!$B$43&gt;0),((Skills!G7*((R1265-1)*IF(Skills!H7&gt;0,Skills!I7/Skills!H7,1)+IF(Skills!H7&gt;0,MIN(Skills!I7,MAX(0,MAX(0,Inputs!$B$43-B1296)-((R1265-1)*(IF(Inputs!$B$38="pvp",15,MAX(0.1,Skills!E7-IF(Skills!F7=TRUE,Inputs!$B$32,0)))*(1-IF(AND(ArtifactsInput!$M$27,Inputs!$B$4="Chapter Hunt"),CHOOSE(ArtifactsInput!$N$27+1,20,24,28,32,36,40),0)/100)))))/Skills!H7,1)))/Inputs!$B$43),G1265*Q1265)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6">
      <c r="A1266">
        <f>Skills!A8</f>
        <v/>
      </c>
      <c r="B1266">
        <f>Skills!B8</f>
        <v/>
      </c>
      <c r="C1266">
        <f>TRUE</f>
        <v/>
      </c>
      <c r="D1266">
        <f>IF(Skills!C8=1,60+Inputs!$B$25+Inputs!$B$29,IF(Skills!C8=2,90+Inputs!$B$26+Inputs!$B$29,IF(Skills!C8=3,120+Inputs!$B$27+Inputs!$B$29,MAX(0,(Inputs!$B$3-100)*3)+Inputs!$B$28+Inputs!$B$29)))</f>
        <v/>
      </c>
      <c r="E1266">
        <f>INDEX(FactorTable!$B$2:$Y$301, MATCH(ROUND(MIN(300,MAX(1,D1266)),0), FactorTable!$A$2:$A$301,0), Skills!M8+1)</f>
        <v/>
      </c>
      <c r="F1266">
        <f>IF(Skills!N8=TRUE,(Skills!L8/10)*(E1266/1000),Skills!L8/10)+Skills!O8</f>
        <v/>
      </c>
      <c r="G1266">
        <f>Calc!G8</f>
        <v/>
      </c>
      <c r="H1266">
        <f>Calc!H8</f>
        <v/>
      </c>
      <c r="I1266">
        <f>IF(Skills!X8&lt;&gt;"",1+(Skills!X8/10)*(Z1261/1000)/100,1)</f>
        <v/>
      </c>
      <c r="J1266">
        <f>((Inputs!$B$6*(1+Inputs!$B$7/100))+(((Inputs!$B$12*(1+Inputs!$B$13/100))-(Inputs!$B$12*(1+Inputs!$B$13/100)))+0.25*(Inputs!$B$14-Inputs!$B$14))*(1+Inputs!$B$7/100))*(F1266/100)</f>
        <v/>
      </c>
      <c r="K1266">
        <f>J1266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1266)</f>
        <v/>
      </c>
      <c r="L1266">
        <f>K1266*(MIN(Inputs!$B$22+(F1280-Calc!F22),(Inputs!$B$23+(IF(ArtifactsInput!$M$15,CHOOSE(ArtifactsInput!$N$15+1,25,30,35,40,45,50)/100*(Inputs!$B$11-Inputs!$B$11),0))))/100+(Inputs!$B$23+(IF(ArtifactsInput!$M$15,CHOOSE(ArtifactsInput!$N$15+1,25,30,35,40,45,50)/100*(Inputs!$B$11-Inputs!$B$11),0)))/100)/2</f>
        <v/>
      </c>
      <c r="M1266">
        <f>L1266*(1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6">
        <f>L1266*(1-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1266*(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6">
        <f>(1-Summary!$B$11)*S1266+Summary!$B$11*U1266</f>
        <v/>
      </c>
      <c r="P1266">
        <f>IF(B1299=0,0,O1266/B1299)</f>
        <v/>
      </c>
      <c r="Q1266">
        <f>IFERROR(1/(IF(Inputs!$B$38="pvp",15,MAX(0.1,Skills!E8-IF(Skills!F8=TRUE,Inputs!$B$32,0)))*(1-IF(AND(ArtifactsInput!$M$27,Inputs!$B$4="Chapter Hunt"),CHOOSE(ArtifactsInput!$N$27+1,20,24,28,32,36,40),0)/100)),0)</f>
        <v/>
      </c>
      <c r="R1266">
        <f>IF(AND(Inputs!$B$38&lt;&gt;"pvp",Inputs!$B$43&gt;0),IF(MAX(0,Inputs!$B$43-B1296)&lt;=0,0,(INT(MAX(0,Inputs!$B$43-B1296)/(IF(Inputs!$B$38="pvp",15,MAX(0.1,Skills!E8-IF(Skills!F8=TRUE,Inputs!$B$32,0)))*(1-IF(AND(ArtifactsInput!$M$27,Inputs!$B$4="Chapter Hunt"),CHOOSE(ArtifactsInput!$N$27+1,20,24,28,32,36,40),0)/100)))+1)),0)</f>
        <v/>
      </c>
      <c r="S1266">
        <f>IF(C1266,(H1266*N1266*IF(AND(Inputs!$B$38&lt;&gt;"pvp",Inputs!$B$43&gt;0),((Skills!G8*((R1266-1)*IF(Skills!H8&gt;0,Skills!I8/Skills!H8,1)+IF(Skills!H8&gt;0,MIN(Skills!I8,MAX(0,MAX(0,Inputs!$B$43-B1296)-((R1266-1)*(IF(Inputs!$B$38="pvp",15,MAX(0.1,Skills!E8-IF(Skills!F8=TRUE,Inputs!$B$32,0)))*(1-IF(AND(ArtifactsInput!$M$27,Inputs!$B$4="Chapter Hunt"),CHOOSE(ArtifactsInput!$N$27+1,20,24,28,32,36,40),0)/100)))))/Skills!H8,1)))/Inputs!$B$43),G1266*Q1266)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1266*(1-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1266*(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1266*(1-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1266*(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6">
        <f>IF(C1266,(H1266*N1266*IF(AND(Inputs!$B$38&lt;&gt;"pvp",Inputs!$B$43&gt;0),((Skills!G8*((R1266-1)*IF(Skills!H8&gt;0,Skills!I8/Skills!H8,1)+IF(Skills!H8&gt;0,MIN(Skills!I8,MAX(0,MAX(0,Inputs!$B$43-B1296)-((R1266-1)*(IF(Inputs!$B$38="pvp",15,MAX(0.1,Skills!E8-IF(Skills!F8=TRUE,Inputs!$B$32,0)))*(1-IF(AND(ArtifactsInput!$M$27,Inputs!$B$4="Chapter Hunt"),CHOOSE(ArtifactsInput!$N$27+1,20,24,28,32,36,40),0)/100)))))/Skills!H8,1)))/Inputs!$B$43),G1266*Q1266)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7">
      <c r="A1267">
        <f>Skills!A9</f>
        <v/>
      </c>
      <c r="B1267">
        <f>Skills!B9</f>
        <v/>
      </c>
      <c r="C1267">
        <f>Inputs!$B$3&gt;=103</f>
        <v/>
      </c>
      <c r="D1267">
        <f>IF(Skills!C9=1,60+Inputs!$B$25+Inputs!$B$29,IF(Skills!C9=2,90+Inputs!$B$26+Inputs!$B$29,IF(Skills!C9=3,120+Inputs!$B$27+Inputs!$B$29,MAX(0,(Inputs!$B$3-100)*3)+Inputs!$B$28+Inputs!$B$29)))</f>
        <v/>
      </c>
      <c r="E1267">
        <f>INDEX(FactorTable!$B$2:$Y$301, MATCH(ROUND(MIN(300,MAX(1,D1267)),0), FactorTable!$A$2:$A$301,0), Skills!M9+1)</f>
        <v/>
      </c>
      <c r="F1267">
        <f>IF(Skills!N9=TRUE,(Skills!L9/10)*(E1267/1000),Skills!L9/10)+Skills!O9</f>
        <v/>
      </c>
      <c r="G1267">
        <f>Calc!G9</f>
        <v/>
      </c>
      <c r="H1267">
        <f>Calc!H9</f>
        <v/>
      </c>
      <c r="I1267">
        <f>IF(Skills!X9&lt;&gt;"",1+(Skills!X9/10)*(Z1261/1000)/100,1)</f>
        <v/>
      </c>
      <c r="J1267">
        <f>((Inputs!$B$6*(1+Inputs!$B$7/100))+(((Inputs!$B$12*(1+Inputs!$B$13/100))-(Inputs!$B$12*(1+Inputs!$B$13/100)))+0.25*(Inputs!$B$14-Inputs!$B$14))*(1+Inputs!$B$7/100))*(F1267/100)</f>
        <v/>
      </c>
      <c r="K1267">
        <f>J1267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1267)</f>
        <v/>
      </c>
      <c r="L1267">
        <f>K1267*(MIN(Inputs!$B$22+(F1280-Calc!F22),(Inputs!$B$23+(IF(ArtifactsInput!$M$15,CHOOSE(ArtifactsInput!$N$15+1,25,30,35,40,45,50)/100*(Inputs!$B$11-Inputs!$B$11),0))))/100+(Inputs!$B$23+(IF(ArtifactsInput!$M$15,CHOOSE(ArtifactsInput!$N$15+1,25,30,35,40,45,50)/100*(Inputs!$B$11-Inputs!$B$11),0)))/100)/2</f>
        <v/>
      </c>
      <c r="M1267">
        <f>L1267*(1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7">
        <f>L1267*(1-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1267*(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7">
        <f>(1-Summary!$B$11)*S1267+Summary!$B$11*U1267</f>
        <v/>
      </c>
      <c r="P1267">
        <f>IF(B1299=0,0,O1267/B1299)</f>
        <v/>
      </c>
      <c r="Q1267">
        <f>IFERROR(1/(IF(Inputs!$B$38="pvp",15,MAX(0.1,Skills!E9-IF(Skills!F7=TRUE,Inputs!$B$32,0)))*(1-IF(AND(ArtifactsInput!$M$27,Inputs!$B$4="Chapter Hunt"),CHOOSE(ArtifactsInput!$N$27+1,20,24,28,32,36,40),0)/100)),0)</f>
        <v/>
      </c>
      <c r="R1267">
        <f>IF(AND(Inputs!$B$38&lt;&gt;"pvp",Inputs!$B$43&gt;0),IF(MAX(0,Inputs!$B$43-B1296)&lt;=0,0,(INT(MAX(0,Inputs!$B$43-B1296)/(IF(Inputs!$B$38="pvp",15,MAX(0.1,Skills!E9-IF(Skills!F7=TRUE,Inputs!$B$32,0)))*(1-IF(AND(ArtifactsInput!$M$27,Inputs!$B$4="Chapter Hunt"),CHOOSE(ArtifactsInput!$N$27+1,20,24,28,32,36,40),0)/100)))+1)),0)</f>
        <v/>
      </c>
      <c r="S1267">
        <f>IF(C1267,(H1267*N1267*IF(AND(Inputs!$B$38&lt;&gt;"pvp",Inputs!$B$43&gt;0),((Skills!G9*((R1267-1)*IF(Skills!H9&gt;0,Skills!I9/Skills!H9,1)+IF(Skills!H9&gt;0,MIN(Skills!I9,MAX(0,MAX(0,Inputs!$B$43-B1296)-((R1267-1)*(IF(Inputs!$B$38="pvp",15,MAX(0.1,Skills!E9-IF(Skills!F7=TRUE,Inputs!$B$32,0)))*(1-IF(AND(ArtifactsInput!$M$27,Inputs!$B$4="Chapter Hunt"),CHOOSE(ArtifactsInput!$N$27+1,20,24,28,32,36,40),0)/100)))))/Skills!H9,1)))/Inputs!$B$43),G1267*Q1267)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1267*(1-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1267*(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1267*(1-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1267*(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7">
        <f>IF(C1267,(H1267*N1267*IF(AND(Inputs!$B$38&lt;&gt;"pvp",Inputs!$B$43&gt;0),((Skills!G9*((R1267-1)*IF(Skills!H9&gt;0,Skills!I9/Skills!H9,1)+IF(Skills!H9&gt;0,MIN(Skills!I9,MAX(0,MAX(0,Inputs!$B$43-B1296)-((R1267-1)*(IF(Inputs!$B$38="pvp",15,MAX(0.1,Skills!E9-IF(Skills!F7=TRUE,Inputs!$B$32,0)))*(1-IF(AND(ArtifactsInput!$M$27,Inputs!$B$4="Chapter Hunt"),CHOOSE(ArtifactsInput!$N$27+1,20,24,28,32,36,40),0)/100)))))/Skills!H9,1)))/Inputs!$B$43),G1267*Q1267)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8">
      <c r="A1268">
        <f>Skills!A10</f>
        <v/>
      </c>
      <c r="B1268">
        <f>Skills!B10</f>
        <v/>
      </c>
      <c r="C1268">
        <f>TRUE</f>
        <v/>
      </c>
      <c r="D1268">
        <f>IF(Skills!C10=1,60+Inputs!$B$25+Inputs!$B$29,IF(Skills!C10=2,90+Inputs!$B$26+Inputs!$B$29,IF(Skills!C10=3,120+Inputs!$B$27+Inputs!$B$29,MAX(0,(Inputs!$B$3-100)*3)+Inputs!$B$28+Inputs!$B$29)))</f>
        <v/>
      </c>
      <c r="E1268">
        <f>INDEX(FactorTable!$B$2:$Y$301, MATCH(ROUND(MIN(300,MAX(1,D1268)),0), FactorTable!$A$2:$A$301,0), Skills!M10+1)</f>
        <v/>
      </c>
      <c r="F1268">
        <f>IF(Skills!N10=TRUE,(Skills!L10/10)*(E1268/1000),Skills!L10/10)+Skills!O10</f>
        <v/>
      </c>
      <c r="G1268">
        <f>Calc!G10</f>
        <v/>
      </c>
      <c r="H1268">
        <f>Calc!H10</f>
        <v/>
      </c>
      <c r="I1268">
        <f>IF(Skills!X10&lt;&gt;"",1+(Skills!X10/10)*(Z1261/1000)/100,1)</f>
        <v/>
      </c>
      <c r="J1268">
        <f>((Inputs!$B$6*(1+Inputs!$B$7/100))+(((Inputs!$B$12*(1+Inputs!$B$13/100))-(Inputs!$B$12*(1+Inputs!$B$13/100)))+0.25*(Inputs!$B$14-Inputs!$B$14))*(1+Inputs!$B$7/100))*(F1268/100)</f>
        <v/>
      </c>
      <c r="K1268">
        <f>J1268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1268)</f>
        <v/>
      </c>
      <c r="L1268">
        <f>K1268*(MIN(Inputs!$B$22+(F1280-Calc!F22),(Inputs!$B$23+(IF(ArtifactsInput!$M$15,CHOOSE(ArtifactsInput!$N$15+1,25,30,35,40,45,50)/100*(Inputs!$B$11-Inputs!$B$11),0))))/100+(Inputs!$B$23+(IF(ArtifactsInput!$M$15,CHOOSE(ArtifactsInput!$N$15+1,25,30,35,40,45,50)/100*(Inputs!$B$11-Inputs!$B$11),0)))/100)/2</f>
        <v/>
      </c>
      <c r="M1268">
        <f>L1268*(1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8">
        <f>L1268*(1-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1268*(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8">
        <f>(1-Summary!$B$11)*S1268+Summary!$B$11*U1268</f>
        <v/>
      </c>
      <c r="P1268">
        <f>IF(B1299=0,0,O1268/B1299)</f>
        <v/>
      </c>
      <c r="Q1268">
        <f>IFERROR(1/(IF(Inputs!$B$38="pvp",15,MAX(0.1,Skills!E10-IF(Skills!F10=TRUE,Inputs!$B$32,0)))*(1-IF(AND(ArtifactsInput!$M$27,Inputs!$B$4="Chapter Hunt"),CHOOSE(ArtifactsInput!$N$27+1,20,24,28,32,36,40),0)/100)),0)</f>
        <v/>
      </c>
      <c r="R1268">
        <f>IF(AND(Inputs!$B$38&lt;&gt;"pvp",Inputs!$B$43&gt;0),IF(MAX(0,Inputs!$B$43-B1296)&lt;=0,0,(INT(MAX(0,Inputs!$B$43-B1296)/(IF(Inputs!$B$38="pvp",15,MAX(0.1,Skills!E10-IF(Skills!F10=TRUE,Inputs!$B$32,0)))*(1-IF(AND(ArtifactsInput!$M$27,Inputs!$B$4="Chapter Hunt"),CHOOSE(ArtifactsInput!$N$27+1,20,24,28,32,36,40),0)/100)))+1)),0)</f>
        <v/>
      </c>
      <c r="S1268">
        <f>IF(C1268,(H1268*N1268*IF(AND(Inputs!$B$38&lt;&gt;"pvp",Inputs!$B$43&gt;0),((Skills!G10*((R1268-1)*IF(Skills!H10&gt;0,Skills!I10/Skills!H10,1)+IF(Skills!H10&gt;0,MIN(Skills!I10,MAX(0,MAX(0,Inputs!$B$43-B1296)-((R1268-1)*(IF(Inputs!$B$38="pvp",15,MAX(0.1,Skills!E10-IF(Skills!F10=TRUE,Inputs!$B$32,0)))*(1-IF(AND(ArtifactsInput!$M$27,Inputs!$B$4="Chapter Hunt"),CHOOSE(ArtifactsInput!$N$27+1,20,24,28,32,36,40),0)/100)))))/Skills!H10,1)))/Inputs!$B$43),G1268*Q1268)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1268*(1-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1268*(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1268*(1-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1268*(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8">
        <f>IF(C1268,(H1268*N1268*IF(AND(Inputs!$B$38&lt;&gt;"pvp",Inputs!$B$43&gt;0),((Skills!G10*((R1268-1)*IF(Skills!H10&gt;0,Skills!I10/Skills!H10,1)+IF(Skills!H10&gt;0,MIN(Skills!I10,MAX(0,MAX(0,Inputs!$B$43-B1296)-((R1268-1)*(IF(Inputs!$B$38="pvp",15,MAX(0.1,Skills!E10-IF(Skills!F10=TRUE,Inputs!$B$32,0)))*(1-IF(AND(ArtifactsInput!$M$27,Inputs!$B$4="Chapter Hunt"),CHOOSE(ArtifactsInput!$N$27+1,20,24,28,32,36,40),0)/100)))))/Skills!H10,1)))/Inputs!$B$43),G1268*Q1268)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9">
      <c r="A1269">
        <f>Skills!A11</f>
        <v/>
      </c>
      <c r="B1269">
        <f>Skills!B11</f>
        <v/>
      </c>
      <c r="C1269">
        <f>TRUE</f>
        <v/>
      </c>
      <c r="D1269">
        <f>IF(Skills!C11=1,60+Inputs!$B$25+Inputs!$B$29,IF(Skills!C11=2,90+Inputs!$B$26+Inputs!$B$29,IF(Skills!C11=3,120+Inputs!$B$27+Inputs!$B$29,MAX(0,(Inputs!$B$3-100)*3)+Inputs!$B$28+Inputs!$B$29)))</f>
        <v/>
      </c>
      <c r="E1269">
        <f>INDEX(FactorTable!$B$2:$Y$301, MATCH(ROUND(MIN(300,MAX(1,D1269)),0), FactorTable!$A$2:$A$301,0), Skills!M11+1)</f>
        <v/>
      </c>
      <c r="F1269">
        <f>IF(Skills!N11=TRUE,(Skills!L11/10)*(E1269/1000),Skills!L11/10)+Skills!O11</f>
        <v/>
      </c>
      <c r="G1269">
        <f>Calc!G11</f>
        <v/>
      </c>
      <c r="H1269">
        <f>Calc!H11</f>
        <v/>
      </c>
      <c r="I1269">
        <f>IF(Skills!X11&lt;&gt;"",1+(Skills!X11/10)*(Z1261/1000)/100,1)</f>
        <v/>
      </c>
      <c r="J1269" t="inlineStr"/>
      <c r="K1269" t="inlineStr"/>
      <c r="L1269" t="inlineStr"/>
      <c r="M1269" t="inlineStr"/>
      <c r="N1269" t="inlineStr"/>
      <c r="O1269">
        <f>(1-Summary!$B$11)*S1269+Summary!$B$11*U1269</f>
        <v/>
      </c>
      <c r="P1269">
        <f>IF(B1299=0,0,O1269/B1299)</f>
        <v/>
      </c>
      <c r="Q1269">
        <f>IFERROR(1/(IF(Inputs!$B$38="pvp",15,MAX(0.1,Skills!E11-IF(Skills!F11=TRUE,Inputs!$B$32,0)))*(1-IF(AND(ArtifactsInput!$M$27,Inputs!$B$4="Chapter Hunt"),CHOOSE(ArtifactsInput!$N$27+1,20,24,28,32,36,40),0)/100)),0)</f>
        <v/>
      </c>
      <c r="R1269" t="n">
        <v>0</v>
      </c>
      <c r="S1269" t="n">
        <v>0</v>
      </c>
      <c r="U1269" t="n">
        <v>0</v>
      </c>
    </row>
    <row r="1270">
      <c r="A1270">
        <f>Skills!A12</f>
        <v/>
      </c>
      <c r="B1270">
        <f>Skills!B12</f>
        <v/>
      </c>
      <c r="C1270">
        <f>TRUE</f>
        <v/>
      </c>
      <c r="D1270">
        <f>IF(Skills!C12=1,60+Inputs!$B$25+Inputs!$B$29,IF(Skills!C12=2,90+Inputs!$B$26+Inputs!$B$29,IF(Skills!C12=3,120+Inputs!$B$27+Inputs!$B$29,MAX(0,(Inputs!$B$3-100)*3)+Inputs!$B$28+Inputs!$B$29)))</f>
        <v/>
      </c>
      <c r="E1270">
        <f>INDEX(FactorTable!$B$2:$Y$301, MATCH(ROUND(MIN(300,MAX(1,D1270)),0), FactorTable!$A$2:$A$301,0), Skills!M12+1)</f>
        <v/>
      </c>
      <c r="F1270">
        <f>IF(Skills!N12=TRUE,(Skills!L12/10)*(E1270/1000),Skills!L12/10)+Skills!O12</f>
        <v/>
      </c>
      <c r="G1270">
        <f>Calc!G12</f>
        <v/>
      </c>
      <c r="H1270">
        <f>Calc!H12</f>
        <v/>
      </c>
      <c r="I1270">
        <f>IF(Skills!X12&lt;&gt;"",1+(Skills!X12/10)*(Z1261/1000)/100,1)</f>
        <v/>
      </c>
      <c r="J1270" t="inlineStr"/>
      <c r="K1270" t="inlineStr"/>
      <c r="L1270" t="inlineStr"/>
      <c r="M1270" t="inlineStr"/>
      <c r="N1270" t="inlineStr"/>
      <c r="O1270">
        <f>(1-Summary!$B$11)*S1270+Summary!$B$11*U1270</f>
        <v/>
      </c>
      <c r="P1270">
        <f>IF(B1299=0,0,O1270/B1299)</f>
        <v/>
      </c>
      <c r="Q1270">
        <f>IFERROR(1/(IF(Inputs!$B$38="pvp",15,MAX(0.1,Skills!E12-IF(Skills!F12=TRUE,Inputs!$B$32,0)))*(1-IF(AND(ArtifactsInput!$M$27,Inputs!$B$4="Chapter Hunt"),CHOOSE(ArtifactsInput!$N$27+1,20,24,28,32,36,40),0)/100)),0)</f>
        <v/>
      </c>
      <c r="R1270" t="n">
        <v>0</v>
      </c>
      <c r="S1270" t="n">
        <v>0</v>
      </c>
      <c r="U1270" t="n">
        <v>0</v>
      </c>
    </row>
    <row r="1271">
      <c r="A1271">
        <f>Skills!A13</f>
        <v/>
      </c>
      <c r="B1271">
        <f>Skills!B13</f>
        <v/>
      </c>
      <c r="C1271">
        <f>Inputs!$B$3&gt;=105</f>
        <v/>
      </c>
      <c r="D1271">
        <f>IF(Skills!C13=1,60+Inputs!$B$25+Inputs!$B$29,IF(Skills!C13=2,90+Inputs!$B$26+Inputs!$B$29,IF(Skills!C13=3,120+Inputs!$B$27+Inputs!$B$29,MAX(0,(Inputs!$B$3-100)*3)+Inputs!$B$28+Inputs!$B$29)))</f>
        <v/>
      </c>
      <c r="E1271">
        <f>INDEX(FactorTable!$B$2:$Y$301, MATCH(ROUND(MIN(300,MAX(1,D1271)),0), FactorTable!$A$2:$A$301,0), Skills!M13+1)</f>
        <v/>
      </c>
      <c r="F1271">
        <f>IF(Skills!N13=TRUE,(Skills!L13/10)*(E1271/1000),Skills!L13/10)+Skills!O13</f>
        <v/>
      </c>
      <c r="G1271">
        <f>Calc!G13</f>
        <v/>
      </c>
      <c r="H1271">
        <f>Calc!H13</f>
        <v/>
      </c>
      <c r="I1271">
        <f>IF(Skills!X13&lt;&gt;"",1+(Skills!X13/10)*(Z1261/1000)/100,1)</f>
        <v/>
      </c>
      <c r="J1271">
        <f>((Inputs!$B$6*(1+Inputs!$B$7/100))+(((Inputs!$B$12*(1+Inputs!$B$13/100))-(Inputs!$B$12*(1+Inputs!$B$13/100)))+0.25*(Inputs!$B$14-Inputs!$B$14))*(1+Inputs!$B$7/100))*(F1271/100)</f>
        <v/>
      </c>
      <c r="K1271">
        <f>J1271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1271)</f>
        <v/>
      </c>
      <c r="L1271">
        <f>K1271*(MIN(Inputs!$B$22+(F1280-Calc!F22),(Inputs!$B$23+(IF(ArtifactsInput!$M$15,CHOOSE(ArtifactsInput!$N$15+1,25,30,35,40,45,50)/100*(Inputs!$B$11-Inputs!$B$11),0))))/100+(Inputs!$B$23+(IF(ArtifactsInput!$M$15,CHOOSE(ArtifactsInput!$N$15+1,25,30,35,40,45,50)/100*(Inputs!$B$11-Inputs!$B$11),0)))/100)/2</f>
        <v/>
      </c>
      <c r="M1271">
        <f>L1271*(1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1">
        <f>L1271*(1-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1">
        <f>(1-Summary!$B$11)*S1271+Summary!$B$11*U1271</f>
        <v/>
      </c>
      <c r="P1271">
        <f>IF(B1299=0,0,O1271/B1299)</f>
        <v/>
      </c>
      <c r="Q1271">
        <f>IFERROR(1/(IF(Inputs!$B$38="pvp",15,MAX(0.1,Skills!E13-IF(Skills!F13=TRUE,Inputs!$B$32,0)))*(1-IF(AND(ArtifactsInput!$M$27,Inputs!$B$4="Chapter Hunt"),CHOOSE(ArtifactsInput!$N$27+1,20,24,28,32,36,40),0)/100)),0)</f>
        <v/>
      </c>
      <c r="R1271">
        <f>IF(AND(Inputs!$B$38&lt;&gt;"pvp",Inputs!$B$43&gt;0),IF(MAX(0,Inputs!$B$43-B1296)&lt;=0,0,(INT(MAX(0,Inputs!$B$43-B1296)/(IF(Inputs!$B$38="pvp",15,MAX(0.1,Skills!E13-IF(Skills!F13=TRUE,Inputs!$B$32,0)))*(1-IF(AND(ArtifactsInput!$M$27,Inputs!$B$4="Chapter Hunt"),CHOOSE(ArtifactsInput!$N$27+1,20,24,28,32,36,40),0)/100)))+1)),0)</f>
        <v/>
      </c>
      <c r="S1271">
        <f>IF(C1271,(H1271*N1271*IF(AND(Inputs!$B$38&lt;&gt;"pvp",Inputs!$B$43&gt;0),((Skills!G13*((R1271-1)*IF(Skills!H13&gt;0,Skills!I13/Skills!H13,1)+IF(Skills!H13&gt;0,MIN(Skills!I13,MAX(0,MAX(0,Inputs!$B$43-B1296)-((R1271-1)*(IF(Inputs!$B$38="pvp",15,MAX(0.1,Skills!E13-IF(Skills!F13=TRUE,Inputs!$B$32,0)))*(1-IF(AND(ArtifactsInput!$M$27,Inputs!$B$4="Chapter Hunt"),CHOOSE(ArtifactsInput!$N$27+1,20,24,28,32,36,40),0)/100)))))/Skills!H13,1)))/Inputs!$B$43),G1271*Q1271)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1271*(1-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1271*(1-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1">
        <f>IF(C1271,(H1271*N1271*IF(AND(Inputs!$B$38&lt;&gt;"pvp",Inputs!$B$43&gt;0),((Skills!G13*((R1271-1)*IF(Skills!H13&gt;0,Skills!I13/Skills!H13,1)+IF(Skills!H13&gt;0,MIN(Skills!I13,MAX(0,MAX(0,Inputs!$B$43-B1296)-((R1271-1)*(IF(Inputs!$B$38="pvp",15,MAX(0.1,Skills!E13-IF(Skills!F13=TRUE,Inputs!$B$32,0)))*(1-IF(AND(ArtifactsInput!$M$27,Inputs!$B$4="Chapter Hunt"),CHOOSE(ArtifactsInput!$N$27+1,20,24,28,32,36,40),0)/100)))))/Skills!H13,1)))/Inputs!$B$43),G1271*Q1271)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2">
      <c r="A1272">
        <f>Skills!A14</f>
        <v/>
      </c>
      <c r="B1272">
        <f>Skills!B14</f>
        <v/>
      </c>
      <c r="C1272">
        <f>Inputs!$B$3&gt;=113</f>
        <v/>
      </c>
      <c r="D1272">
        <f>IF(Skills!C14=1,60+Inputs!$B$25+Inputs!$B$29,IF(Skills!C14=2,90+Inputs!$B$26+Inputs!$B$29,IF(Skills!C14=3,120+Inputs!$B$27+Inputs!$B$29,MAX(0,(Inputs!$B$3-100)*3)+Inputs!$B$28+Inputs!$B$29)))</f>
        <v/>
      </c>
      <c r="E1272">
        <f>INDEX(FactorTable!$B$2:$Y$301, MATCH(ROUND(MIN(300,MAX(1,D1272)),0), FactorTable!$A$2:$A$301,0), Skills!M14+1)</f>
        <v/>
      </c>
      <c r="F1272">
        <f>IF(Skills!N14=TRUE,(Skills!L14/10)*(E1272/1000),Skills!L14/10)+Skills!O14</f>
        <v/>
      </c>
      <c r="G1272">
        <f>Calc!G14</f>
        <v/>
      </c>
      <c r="H1272">
        <f>Calc!H14</f>
        <v/>
      </c>
      <c r="I1272">
        <f>IF(Skills!X14&lt;&gt;"",1+(Skills!X14/10)*(Z1261/1000)/100,1)</f>
        <v/>
      </c>
      <c r="J1272">
        <f>((Inputs!$B$6*(1+Inputs!$B$7/100))+(((Inputs!$B$12*(1+Inputs!$B$13/100))-(Inputs!$B$12*(1+Inputs!$B$13/100)))+0.25*(Inputs!$B$14-Inputs!$B$14))*(1+Inputs!$B$7/100))*(F1272/100)</f>
        <v/>
      </c>
      <c r="K1272">
        <f>J1272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1272)</f>
        <v/>
      </c>
      <c r="L1272">
        <f>K1272*(MIN(Inputs!$B$22+(F1280-Calc!F22),(Inputs!$B$23+(IF(ArtifactsInput!$M$15,CHOOSE(ArtifactsInput!$N$15+1,25,30,35,40,45,50)/100*(Inputs!$B$11-Inputs!$B$11),0))))/100+(Inputs!$B$23+(IF(ArtifactsInput!$M$15,CHOOSE(ArtifactsInput!$N$15+1,25,30,35,40,45,50)/100*(Inputs!$B$11-Inputs!$B$11),0)))/100)/2</f>
        <v/>
      </c>
      <c r="M1272">
        <f>L1272*(1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2">
        <f>L1272*(1-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1272*(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2">
        <f>(1-Summary!$B$11)*S1272+Summary!$B$11*U1272</f>
        <v/>
      </c>
      <c r="P1272">
        <f>IF(B1299=0,0,O1272/B1299)</f>
        <v/>
      </c>
      <c r="Q1272">
        <f>IFERROR(1/(IF(Inputs!$B$38="pvp",15,MAX(0.1,Skills!E14-IF(Skills!F14=TRUE,Inputs!$B$32,0)))*(1-IF(AND(ArtifactsInput!$M$27,Inputs!$B$4="Chapter Hunt"),CHOOSE(ArtifactsInput!$N$27+1,20,24,28,32,36,40),0)/100)),0)</f>
        <v/>
      </c>
      <c r="R1272" t="n">
        <v>0</v>
      </c>
      <c r="S1272">
        <f>IF(C1272,((H1272*B1295)/(1+Skills!H14*H1272*B1295)*N1272)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1272*(1-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1272*(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1272*(1-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1272*(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2">
        <f>IF(C1272,((H1272*B1295)/(1+Skills!H14*H1272*B1295)*N1272)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3">
      <c r="A1273">
        <f>Skills!A15</f>
        <v/>
      </c>
      <c r="B1273">
        <f>Skills!B15</f>
        <v/>
      </c>
      <c r="C1273">
        <f>Inputs!$B$3&gt;=107</f>
        <v/>
      </c>
      <c r="D1273">
        <f>IF(Skills!C15=1,60+Inputs!$B$25+Inputs!$B$29,IF(Skills!C15=2,90+Inputs!$B$26+Inputs!$B$29,IF(Skills!C15=3,120+Inputs!$B$27+Inputs!$B$29,MAX(0,(Inputs!$B$3-100)*3)+Inputs!$B$28+Inputs!$B$29)))</f>
        <v/>
      </c>
      <c r="E1273">
        <f>INDEX(FactorTable!$B$2:$Y$301, MATCH(ROUND(MIN(300,MAX(1,D1273)),0), FactorTable!$A$2:$A$301,0), Skills!M15+1)</f>
        <v/>
      </c>
      <c r="F1273">
        <f>IF(Skills!N15=TRUE,(Skills!L15/10)*(E1273/1000),Skills!L15/10)+Skills!O15</f>
        <v/>
      </c>
      <c r="G1273">
        <f>Calc!G15</f>
        <v/>
      </c>
      <c r="H1273">
        <f>Calc!H15</f>
        <v/>
      </c>
      <c r="I1273">
        <f>IF(Skills!X15&lt;&gt;"",1+(Skills!X15/10)*(Z1261/1000)/100,1)</f>
        <v/>
      </c>
      <c r="J1273">
        <f>((Inputs!$B$6*(1+Inputs!$B$7/100))+(((Inputs!$B$12*(1+Inputs!$B$13/100))-(Inputs!$B$12*(1+Inputs!$B$13/100)))+0.25*(Inputs!$B$14-Inputs!$B$14))*(1+Inputs!$B$7/100))*(F1273/100)</f>
        <v/>
      </c>
      <c r="K1273">
        <f>J1273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1273)</f>
        <v/>
      </c>
      <c r="L1273">
        <f>K1273*(MIN(Inputs!$B$22+(F1280-Calc!F22),(Inputs!$B$23+(IF(ArtifactsInput!$M$15,CHOOSE(ArtifactsInput!$N$15+1,25,30,35,40,45,50)/100*(Inputs!$B$11-Inputs!$B$11),0))))/100+(Inputs!$B$23+(IF(ArtifactsInput!$M$15,CHOOSE(ArtifactsInput!$N$15+1,25,30,35,40,45,50)/100*(Inputs!$B$11-Inputs!$B$11),0)))/100)/2</f>
        <v/>
      </c>
      <c r="M1273">
        <f>L1273*(1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3">
        <f>L1273*(1-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1273*(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3">
        <f>(1-Summary!$B$11)*S1273+Summary!$B$11*U1273</f>
        <v/>
      </c>
      <c r="P1273">
        <f>IF(B1299=0,0,O1273/B1299)</f>
        <v/>
      </c>
      <c r="Q1273">
        <f>IFERROR(1/(IF(Inputs!$B$38="pvp",15,MAX(0.1,Skills!E15-IF(Skills!F15=TRUE,Inputs!$B$32,0)))*(1-IF(AND(ArtifactsInput!$M$27,Inputs!$B$4="Chapter Hunt"),CHOOSE(ArtifactsInput!$N$27+1,20,24,28,32,36,40),0)/100)),0)</f>
        <v/>
      </c>
      <c r="R1273">
        <f>IF(AND(Inputs!$B$38&lt;&gt;"pvp",Inputs!$B$43&gt;0),IF(MAX(0,Inputs!$B$43-B1296)&lt;=0,0,(INT(MAX(0,Inputs!$B$43-B1296)/(IF(Inputs!$B$38="pvp",15,MAX(0.1,Skills!E15-IF(Skills!F15=TRUE,Inputs!$B$32,0)))*(1-IF(AND(ArtifactsInput!$M$27,Inputs!$B$4="Chapter Hunt"),CHOOSE(ArtifactsInput!$N$27+1,20,24,28,32,36,40),0)/100)))+1)),0)</f>
        <v/>
      </c>
      <c r="S1273">
        <f>IF(C1273,(H1273*N1273*IF(AND(Inputs!$B$38&lt;&gt;"pvp",Inputs!$B$43&gt;0),((Skills!G15*((R1273-1)*IF(Skills!H15&gt;0,Skills!I15/Skills!H15,1)+IF(Skills!H15&gt;0,MIN(Skills!I15,MAX(0,MAX(0,Inputs!$B$43-B1296)-((R1273-1)*(IF(Inputs!$B$38="pvp",15,MAX(0.1,Skills!E15-IF(Skills!F15=TRUE,Inputs!$B$32,0)))*(1-IF(AND(ArtifactsInput!$M$27,Inputs!$B$4="Chapter Hunt"),CHOOSE(ArtifactsInput!$N$27+1,20,24,28,32,36,40),0)/100)))))/Skills!H15,1)))/Inputs!$B$43),G1273*Q1273)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1273*(1-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1273*(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1273*(1-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1273*(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3">
        <f>IF(C1273,(H1273*N1273*IF(AND(Inputs!$B$38&lt;&gt;"pvp",Inputs!$B$43&gt;0),((Skills!G15*((R1273-1)*IF(Skills!H15&gt;0,Skills!I15/Skills!H15,1)+IF(Skills!H15&gt;0,MIN(Skills!I15,MAX(0,MAX(0,Inputs!$B$43-B1296)-((R1273-1)*(IF(Inputs!$B$38="pvp",15,MAX(0.1,Skills!E15-IF(Skills!F15=TRUE,Inputs!$B$32,0)))*(1-IF(AND(ArtifactsInput!$M$27,Inputs!$B$4="Chapter Hunt"),CHOOSE(ArtifactsInput!$N$27+1,20,24,28,32,36,40),0)/100)))))/Skills!H15,1)))/Inputs!$B$43),G1273*Q1273)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4">
      <c r="A1274">
        <f>Skills!A16</f>
        <v/>
      </c>
      <c r="B1274">
        <f>Skills!B16</f>
        <v/>
      </c>
      <c r="C1274">
        <f>Inputs!$B$3&gt;=107</f>
        <v/>
      </c>
      <c r="D1274">
        <f>IF(Skills!C16=1,60+Inputs!$B$25+Inputs!$B$29,IF(Skills!C16=2,90+Inputs!$B$26+Inputs!$B$29,IF(Skills!C16=3,120+Inputs!$B$27+Inputs!$B$29,MAX(0,(Inputs!$B$3-100)*3)+Inputs!$B$28+Inputs!$B$29)))</f>
        <v/>
      </c>
      <c r="E1274">
        <f>INDEX(FactorTable!$B$2:$Y$301, MATCH(ROUND(MIN(300,MAX(1,D1274)),0), FactorTable!$A$2:$A$301,0), Skills!M16+1)</f>
        <v/>
      </c>
      <c r="F1274">
        <f>IF(Skills!N16=TRUE,(Skills!L16/10)*(E1274/1000),Skills!L16/10)+Skills!O16</f>
        <v/>
      </c>
      <c r="G1274">
        <f>Calc!G16</f>
        <v/>
      </c>
      <c r="H1274">
        <f>Calc!H16</f>
        <v/>
      </c>
      <c r="I1274">
        <f>IF(Skills!X16&lt;&gt;"",1+(Skills!X16/10)*(Z1261/1000)/100,1)</f>
        <v/>
      </c>
      <c r="J1274">
        <f>((Inputs!$B$6*(1+Inputs!$B$7/100))+(((Inputs!$B$12*(1+Inputs!$B$13/100))-(Inputs!$B$12*(1+Inputs!$B$13/100)))+0.25*(Inputs!$B$14-Inputs!$B$14))*(1+Inputs!$B$7/100))*(F1274/100)</f>
        <v/>
      </c>
      <c r="K1274">
        <f>J1274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1274)</f>
        <v/>
      </c>
      <c r="L1274">
        <f>K1274*(MIN(Inputs!$B$22+(F1280-Calc!F22),(Inputs!$B$23+(IF(ArtifactsInput!$M$15,CHOOSE(ArtifactsInput!$N$15+1,25,30,35,40,45,50)/100*(Inputs!$B$11-Inputs!$B$11),0))))/100+(Inputs!$B$23+(IF(ArtifactsInput!$M$15,CHOOSE(ArtifactsInput!$N$15+1,25,30,35,40,45,50)/100*(Inputs!$B$11-Inputs!$B$11),0)))/100)/2</f>
        <v/>
      </c>
      <c r="M1274">
        <f>L1274*(1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4">
        <f>L1274*(1-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1274*(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4">
        <f>(1-Summary!$B$11)*S1274+Summary!$B$11*U1274</f>
        <v/>
      </c>
      <c r="P1274">
        <f>IF(B1299=0,0,O1274/B1299)</f>
        <v/>
      </c>
      <c r="Q1274">
        <f>IFERROR(1/(IF(Inputs!$B$38="pvp",15,MAX(0.1,Skills!E16-IF(Skills!F16=TRUE,Inputs!$B$32,0)))*(1-IF(AND(ArtifactsInput!$M$27,Inputs!$B$4="Chapter Hunt"),CHOOSE(ArtifactsInput!$N$27+1,20,24,28,32,36,40),0)/100)),0)</f>
        <v/>
      </c>
      <c r="R1274">
        <f>IF(AND(Inputs!$B$38&lt;&gt;"pvp",Inputs!$B$43&gt;0),IF(MAX(0,Inputs!$B$43-B1296)&lt;=0,0,(INT(MAX(0,Inputs!$B$43-B1296)/(IF(Inputs!$B$38="pvp",15,MAX(0.1,Skills!E16-IF(Skills!F16=TRUE,Inputs!$B$32,0)))*(1-IF(AND(ArtifactsInput!$M$27,Inputs!$B$4="Chapter Hunt"),CHOOSE(ArtifactsInput!$N$27+1,20,24,28,32,36,40),0)/100)))+1)),0)</f>
        <v/>
      </c>
      <c r="S1274">
        <f>IF(C1274,(H1274*N1274*IF(AND(Inputs!$B$38&lt;&gt;"pvp",Inputs!$B$43&gt;0),((Skills!G16*((R1274-1)*IF(Skills!H16&gt;0,Skills!I16/Skills!H16,1)+IF(Skills!H16&gt;0,MIN(Skills!I16,MAX(0,MAX(0,Inputs!$B$43-B1296)-((R1274-1)*(IF(Inputs!$B$38="pvp",15,MAX(0.1,Skills!E16-IF(Skills!F16=TRUE,Inputs!$B$32,0)))*(1-IF(AND(ArtifactsInput!$M$27,Inputs!$B$4="Chapter Hunt"),CHOOSE(ArtifactsInput!$N$27+1,20,24,28,32,36,40),0)/100)))))/Skills!H16,1)))/Inputs!$B$43),G1274*Q1274)*(1+IF(Inputs!$B$3&gt;=126,0.05*(B1294+Q1271+(H1272*B1295)/(1+Skills!H14*H1272*B1295)+Q1282)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1274*(1-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1274*(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1274*(1-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1274*(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4">
        <f>IF(C1274,(H1274*N1274*IF(AND(Inputs!$B$38&lt;&gt;"pvp",Inputs!$B$43&gt;0),((Skills!G16*((R1274-1)*IF(Skills!H16&gt;0,Skills!I16/Skills!H16,1)+IF(Skills!H16&gt;0,MIN(Skills!I16,MAX(0,MAX(0,Inputs!$B$43-B1296)-((R1274-1)*(IF(Inputs!$B$38="pvp",15,MAX(0.1,Skills!E16-IF(Skills!F16=TRUE,Inputs!$B$32,0)))*(1-IF(AND(ArtifactsInput!$M$27,Inputs!$B$4="Chapter Hunt"),CHOOSE(ArtifactsInput!$N$27+1,20,24,28,32,36,40),0)/100)))))/Skills!H16,1)))/Inputs!$B$43),G1274*Q1274)*(1+IF(Inputs!$B$3&gt;=126,0.05*(B1294+Q1271+(H1272*B1295)/(1+Skills!H14*H1272*B1295)+Q1282)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5">
      <c r="A1275">
        <f>Skills!A17</f>
        <v/>
      </c>
      <c r="B1275">
        <f>Skills!B17</f>
        <v/>
      </c>
      <c r="C1275">
        <f>TRUE</f>
        <v/>
      </c>
      <c r="D1275">
        <f>IF(Skills!C17=1,60+Inputs!$B$25+Inputs!$B$29,IF(Skills!C17=2,90+Inputs!$B$26+Inputs!$B$29,IF(Skills!C17=3,120+Inputs!$B$27+Inputs!$B$29,MAX(0,(Inputs!$B$3-100)*3)+Inputs!$B$28+Inputs!$B$29)))</f>
        <v/>
      </c>
      <c r="E1275">
        <f>INDEX(FactorTable!$B$2:$Y$301, MATCH(ROUND(MIN(300,MAX(1,D1275)),0), FactorTable!$A$2:$A$301,0), Skills!M17+1)</f>
        <v/>
      </c>
      <c r="F1275">
        <f>IF(Skills!N17=TRUE,(Skills!L17/10)*(E1275/1000),Skills!L17/10)+Skills!O17</f>
        <v/>
      </c>
      <c r="G1275">
        <f>Calc!G17</f>
        <v/>
      </c>
      <c r="H1275">
        <f>Calc!H17</f>
        <v/>
      </c>
      <c r="I1275">
        <f>IF(Skills!X17&lt;&gt;"",1+(Skills!X17/10)*(Z1261/1000)/100,1)</f>
        <v/>
      </c>
      <c r="J1275" t="inlineStr"/>
      <c r="K1275" t="inlineStr"/>
      <c r="L1275" t="inlineStr"/>
      <c r="M1275" t="inlineStr"/>
      <c r="N1275" t="inlineStr"/>
      <c r="O1275">
        <f>(1-Summary!$B$11)*S1275+Summary!$B$11*U1275</f>
        <v/>
      </c>
      <c r="P1275">
        <f>IF(B1299=0,0,O1275/B1299)</f>
        <v/>
      </c>
      <c r="Q1275">
        <f>IFERROR(1/(IF(Inputs!$B$38="pvp",15,MAX(0.1,Skills!E17-IF(Skills!F17=TRUE,Inputs!$B$32,0)))*(1-IF(AND(ArtifactsInput!$M$27,Inputs!$B$4="Chapter Hunt"),CHOOSE(ArtifactsInput!$N$27+1,20,24,28,32,36,40),0)/100)),0)</f>
        <v/>
      </c>
      <c r="R1275">
        <f>IF(AND(Inputs!$B$38&lt;&gt;"pvp",Inputs!$B$43&gt;0),IF(Inputs!$B$43&lt;=0,0,(INT(Inputs!$B$43/(IF(Inputs!$B$38="pvp",15,MAX(0.1,Skills!E17-IF(Skills!F17=TRUE,Inputs!$B$32,0)))*(1-IF(AND(ArtifactsInput!$M$27,Inputs!$B$4="Chapter Hunt"),CHOOSE(ArtifactsInput!$N$27+1,20,24,28,32,36,40),0)/100)))+1)),0)</f>
        <v/>
      </c>
      <c r="S1275" t="n">
        <v>0</v>
      </c>
      <c r="U1275" t="n">
        <v>0</v>
      </c>
    </row>
    <row r="1276">
      <c r="A1276">
        <f>Skills!A18</f>
        <v/>
      </c>
      <c r="B1276">
        <f>Skills!B18</f>
        <v/>
      </c>
      <c r="C1276">
        <f>TRUE</f>
        <v/>
      </c>
      <c r="D1276">
        <f>IF(Skills!C18=1,60+Inputs!$B$25+Inputs!$B$29,IF(Skills!C18=2,90+Inputs!$B$26+Inputs!$B$29,IF(Skills!C18=3,120+Inputs!$B$27+Inputs!$B$29,MAX(0,(Inputs!$B$3-100)*3)+Inputs!$B$28+Inputs!$B$29)))</f>
        <v/>
      </c>
      <c r="E1276">
        <f>INDEX(FactorTable!$B$2:$Y$301, MATCH(ROUND(MIN(300,MAX(1,D1276)),0), FactorTable!$A$2:$A$301,0), Skills!M18+1)</f>
        <v/>
      </c>
      <c r="F1276">
        <f>IF(Skills!N18=TRUE,(Skills!L18/10)*(E1276/1000),Skills!L18/10)+Skills!O18</f>
        <v/>
      </c>
      <c r="G1276">
        <f>Calc!G18</f>
        <v/>
      </c>
      <c r="H1276">
        <f>Calc!H18</f>
        <v/>
      </c>
      <c r="I1276">
        <f>IF(Skills!X18&lt;&gt;"",1+(Skills!X18/10)*(Z1261/1000)/100,1)</f>
        <v/>
      </c>
      <c r="J1276" t="inlineStr"/>
      <c r="K1276" t="inlineStr"/>
      <c r="L1276" t="inlineStr"/>
      <c r="M1276" t="inlineStr"/>
      <c r="N1276" t="inlineStr"/>
      <c r="O1276">
        <f>(1-Summary!$B$11)*S1276+Summary!$B$11*U1276</f>
        <v/>
      </c>
      <c r="P1276">
        <f>IF(B1299=0,0,O1276/B1299)</f>
        <v/>
      </c>
      <c r="Q1276">
        <f>IFERROR(1/(IF(Inputs!$B$38="pvp",15,MAX(0.1,Skills!E18-IF(Skills!F18=TRUE,Inputs!$B$32,0)))*(1-IF(AND(ArtifactsInput!$M$27,Inputs!$B$4="Chapter Hunt"),CHOOSE(ArtifactsInput!$N$27+1,20,24,28,32,36,40),0)/100)),0)</f>
        <v/>
      </c>
      <c r="R1276">
        <f>IF(AND(Inputs!$B$38&lt;&gt;"pvp",Inputs!$B$43&gt;0),IF(Inputs!$B$43&lt;=0,0,(INT(Inputs!$B$43/(IF(Inputs!$B$38="pvp",15,MAX(0.1,Skills!E18-IF(Skills!F18=TRUE,Inputs!$B$32,0)))*(1-IF(AND(ArtifactsInput!$M$27,Inputs!$B$4="Chapter Hunt"),CHOOSE(ArtifactsInput!$N$27+1,20,24,28,32,36,40),0)/100)))+1)),0)</f>
        <v/>
      </c>
      <c r="S1276" t="n">
        <v>0</v>
      </c>
      <c r="U1276" t="n">
        <v>0</v>
      </c>
    </row>
    <row r="1277">
      <c r="A1277">
        <f>Skills!A19</f>
        <v/>
      </c>
      <c r="B1277">
        <f>Skills!B19</f>
        <v/>
      </c>
      <c r="C1277">
        <f>Inputs!$B$3&gt;=110</f>
        <v/>
      </c>
      <c r="D1277">
        <f>IF(Skills!C19=1,60+Inputs!$B$25+Inputs!$B$29,IF(Skills!C19=2,90+Inputs!$B$26+Inputs!$B$29,IF(Skills!C19=3,120+Inputs!$B$27+Inputs!$B$29,MAX(0,(Inputs!$B$3-100)*3)+Inputs!$B$28+Inputs!$B$29)))</f>
        <v/>
      </c>
      <c r="E1277">
        <f>INDEX(FactorTable!$B$2:$Y$301, MATCH(ROUND(MIN(300,MAX(1,D1277)),0), FactorTable!$A$2:$A$301,0), Skills!M19+1)</f>
        <v/>
      </c>
      <c r="F1277">
        <f>IF(Skills!N19=TRUE,(Skills!L19/10)*(E1277/1000),Skills!L19/10)+Skills!O19</f>
        <v/>
      </c>
      <c r="G1277">
        <f>Calc!G19</f>
        <v/>
      </c>
      <c r="H1277">
        <f>Calc!H19</f>
        <v/>
      </c>
      <c r="I1277">
        <f>IF(Skills!X19&lt;&gt;"",1+(Skills!X19/10)*(Z1261/1000)/100,1)</f>
        <v/>
      </c>
      <c r="J1277" t="inlineStr"/>
      <c r="K1277" t="inlineStr"/>
      <c r="L1277" t="inlineStr"/>
      <c r="M1277" t="inlineStr"/>
      <c r="N1277" t="inlineStr"/>
      <c r="O1277">
        <f>(1-Summary!$B$11)*S1277+Summary!$B$11*U1277</f>
        <v/>
      </c>
      <c r="P1277">
        <f>IF(B1299=0,0,O1277/B1299)</f>
        <v/>
      </c>
      <c r="Q1277">
        <f>IFERROR(1/(IF(Inputs!$B$38="pvp",15,MAX(0.1,Skills!E19-IF(Skills!F19=TRUE,Inputs!$B$32,0)))*(1-IF(AND(ArtifactsInput!$M$27,Inputs!$B$4="Chapter Hunt"),CHOOSE(ArtifactsInput!$N$27+1,20,24,28,32,36,40),0)/100)),0)</f>
        <v/>
      </c>
      <c r="R1277">
        <f>IF(AND(Inputs!$B$38&lt;&gt;"pvp",Inputs!$B$43&gt;0),IF(Inputs!$B$43&lt;=0,0,(INT(Inputs!$B$43/(IF(Inputs!$B$38="pvp",15,MAX(0.1,Skills!E19-IF(Skills!F19=TRUE,Inputs!$B$32,0)))*(1-IF(AND(ArtifactsInput!$M$27,Inputs!$B$4="Chapter Hunt"),CHOOSE(ArtifactsInput!$N$27+1,20,24,28,32,36,40),0)/100)))+1)),0)</f>
        <v/>
      </c>
      <c r="S1277" t="n">
        <v>0</v>
      </c>
      <c r="U1277" t="n">
        <v>0</v>
      </c>
    </row>
    <row r="1278">
      <c r="A1278">
        <f>Skills!A20</f>
        <v/>
      </c>
      <c r="B1278">
        <f>Skills!B20</f>
        <v/>
      </c>
      <c r="C1278">
        <f>TRUE</f>
        <v/>
      </c>
      <c r="D1278">
        <f>IF(Skills!C20=1,60+Inputs!$B$25+Inputs!$B$29,IF(Skills!C20=2,90+Inputs!$B$26+Inputs!$B$29,IF(Skills!C20=3,120+Inputs!$B$27+Inputs!$B$29,MAX(0,(Inputs!$B$3-100)*3)+Inputs!$B$28+Inputs!$B$29)))</f>
        <v/>
      </c>
      <c r="E1278">
        <f>INDEX(FactorTable!$B$2:$Y$301, MATCH(ROUND(MIN(300,MAX(1,D1278)),0), FactorTable!$A$2:$A$301,0), Skills!M20+1)</f>
        <v/>
      </c>
      <c r="F1278">
        <f>IF(Skills!N20=TRUE,(Skills!L20/10)*(E1278/1000),Skills!L20/10)+Skills!O20</f>
        <v/>
      </c>
      <c r="G1278">
        <f>Calc!G20</f>
        <v/>
      </c>
      <c r="H1278">
        <f>Calc!H20</f>
        <v/>
      </c>
      <c r="I1278">
        <f>IF(Skills!X20&lt;&gt;"",1+(Skills!X20/10)*(Z1261/1000)/100,1)</f>
        <v/>
      </c>
      <c r="J1278" t="inlineStr"/>
      <c r="K1278" t="inlineStr"/>
      <c r="L1278" t="inlineStr"/>
      <c r="M1278" t="inlineStr"/>
      <c r="N1278" t="inlineStr"/>
      <c r="O1278">
        <f>(1-Summary!$B$11)*S1278+Summary!$B$11*U1278</f>
        <v/>
      </c>
      <c r="P1278">
        <f>IF(B1299=0,0,O1278/B1299)</f>
        <v/>
      </c>
      <c r="Q1278">
        <f>IFERROR(1/(IF(Inputs!$B$38="pvp",15,MAX(0.1,Skills!E20-IF(Skills!F20=TRUE,Inputs!$B$32,0)))*(1-IF(AND(ArtifactsInput!$M$27,Inputs!$B$4="Chapter Hunt"),CHOOSE(ArtifactsInput!$N$27+1,20,24,28,32,36,40),0)/100)),0)</f>
        <v/>
      </c>
      <c r="R1278" t="n">
        <v>0</v>
      </c>
      <c r="S1278" t="n">
        <v>0</v>
      </c>
      <c r="U1278" t="n">
        <v>0</v>
      </c>
    </row>
    <row r="1279">
      <c r="A1279">
        <f>Skills!A21</f>
        <v/>
      </c>
      <c r="B1279">
        <f>Skills!B21</f>
        <v/>
      </c>
      <c r="C1279">
        <f>TRUE</f>
        <v/>
      </c>
      <c r="D1279">
        <f>IF(Skills!C21=1,60+Inputs!$B$25+Inputs!$B$29,IF(Skills!C21=2,90+Inputs!$B$26+Inputs!$B$29,IF(Skills!C21=3,120+Inputs!$B$27+Inputs!$B$29,MAX(0,(Inputs!$B$3-100)*3)+Inputs!$B$28+Inputs!$B$29)))</f>
        <v/>
      </c>
      <c r="E1279">
        <f>INDEX(FactorTable!$B$2:$Y$301, MATCH(ROUND(MIN(300,MAX(1,D1279)),0), FactorTable!$A$2:$A$301,0), Skills!M21+1)</f>
        <v/>
      </c>
      <c r="F1279">
        <f>IF(Skills!N21=TRUE,(Skills!L21/10)*(E1279/1000),Skills!L21/10)+Skills!O21</f>
        <v/>
      </c>
      <c r="G1279">
        <f>Calc!G21</f>
        <v/>
      </c>
      <c r="H1279">
        <f>Calc!H21</f>
        <v/>
      </c>
      <c r="I1279">
        <f>IF(Skills!X21&lt;&gt;"",1+(Skills!X21/10)*(Z1261/1000)/100,1)</f>
        <v/>
      </c>
      <c r="J1279" t="inlineStr"/>
      <c r="K1279" t="inlineStr"/>
      <c r="L1279" t="inlineStr"/>
      <c r="M1279" t="inlineStr"/>
      <c r="N1279" t="inlineStr"/>
      <c r="O1279">
        <f>(1-Summary!$B$11)*S1279+Summary!$B$11*U1279</f>
        <v/>
      </c>
      <c r="P1279">
        <f>IF(B1299=0,0,O1279/B1299)</f>
        <v/>
      </c>
      <c r="Q1279">
        <f>IFERROR(1/(IF(Inputs!$B$38="pvp",15,MAX(0.1,Skills!E21-IF(Skills!F21=TRUE,Inputs!$B$32,0)))*(1-IF(AND(ArtifactsInput!$M$27,Inputs!$B$4="Chapter Hunt"),CHOOSE(ArtifactsInput!$N$27+1,20,24,28,32,36,40),0)/100)),0)</f>
        <v/>
      </c>
      <c r="R1279" t="n">
        <v>0</v>
      </c>
      <c r="S1279" t="n">
        <v>0</v>
      </c>
      <c r="U1279" t="n">
        <v>0</v>
      </c>
    </row>
    <row r="1280">
      <c r="A1280">
        <f>Skills!A22</f>
        <v/>
      </c>
      <c r="B1280">
        <f>Skills!B22</f>
        <v/>
      </c>
      <c r="C1280">
        <f>TRUE</f>
        <v/>
      </c>
      <c r="D1280">
        <f>IF(Skills!C22=1,60+Inputs!$B$25+Inputs!$B$29,IF(Skills!C22=2,90+Inputs!$B$26+Inputs!$B$29,IF(Skills!C22=3,120+Inputs!$B$27+Inputs!$B$29,MAX(0,(Inputs!$B$3-100)*3)+Inputs!$B$28+Inputs!$B$29)))</f>
        <v/>
      </c>
      <c r="E1280">
        <f>INDEX(FactorTable!$B$2:$Y$301, MATCH(ROUND(MIN(300,MAX(1,D1280)),0), FactorTable!$A$2:$A$301,0), Skills!M22+1)</f>
        <v/>
      </c>
      <c r="F1280">
        <f>IF(Skills!N22=TRUE,(Skills!L22/10)*(E1280/1000),Skills!L22/10)+Skills!O22</f>
        <v/>
      </c>
      <c r="G1280">
        <f>Calc!G22</f>
        <v/>
      </c>
      <c r="H1280">
        <f>Calc!H22</f>
        <v/>
      </c>
      <c r="I1280">
        <f>IF(Skills!X22&lt;&gt;"",1+(Skills!X22/10)*(Z1261/1000)/100,1)</f>
        <v/>
      </c>
      <c r="J1280" t="inlineStr"/>
      <c r="K1280" t="inlineStr"/>
      <c r="L1280" t="inlineStr"/>
      <c r="M1280" t="inlineStr"/>
      <c r="N1280" t="inlineStr"/>
      <c r="O1280">
        <f>(1-Summary!$B$11)*S1280+Summary!$B$11*U1280</f>
        <v/>
      </c>
      <c r="P1280">
        <f>IF(B1299=0,0,O1280/B1299)</f>
        <v/>
      </c>
      <c r="Q1280">
        <f>IFERROR(1/(IF(Inputs!$B$38="pvp",15,MAX(0.1,Skills!E22-IF(Skills!F22=TRUE,Inputs!$B$32,0)))*(1-IF(AND(ArtifactsInput!$M$27,Inputs!$B$4="Chapter Hunt"),CHOOSE(ArtifactsInput!$N$27+1,20,24,28,32,36,40),0)/100)),0)</f>
        <v/>
      </c>
      <c r="R1280" t="n">
        <v>0</v>
      </c>
      <c r="S1280" t="n">
        <v>0</v>
      </c>
      <c r="U1280" t="n">
        <v>0</v>
      </c>
    </row>
    <row r="1281">
      <c r="A1281">
        <f>Skills!A23</f>
        <v/>
      </c>
      <c r="B1281">
        <f>Skills!B23</f>
        <v/>
      </c>
      <c r="C1281">
        <f>TRUE</f>
        <v/>
      </c>
      <c r="D1281">
        <f>IF(Skills!C23=1,60+Inputs!$B$25+Inputs!$B$29,IF(Skills!C23=2,90+Inputs!$B$26+Inputs!$B$29,IF(Skills!C23=3,120+Inputs!$B$27+Inputs!$B$29,MAX(0,(Inputs!$B$3-100)*3)+Inputs!$B$28+Inputs!$B$29)))</f>
        <v/>
      </c>
      <c r="E1281">
        <f>INDEX(FactorTable!$B$2:$Y$301, MATCH(ROUND(MIN(300,MAX(1,D1281)),0), FactorTable!$A$2:$A$301,0), Skills!M23+1)</f>
        <v/>
      </c>
      <c r="F1281">
        <f>IF(Skills!N23=TRUE,(Skills!L23/10)*(E1281/1000),Skills!L23/10)+Skills!O23</f>
        <v/>
      </c>
      <c r="G1281">
        <f>Calc!G23</f>
        <v/>
      </c>
      <c r="H1281">
        <f>Calc!H23</f>
        <v/>
      </c>
      <c r="I1281">
        <f>IF(Skills!X23&lt;&gt;"",1+(Skills!X23/10)*(Z1261/1000)/100,1)</f>
        <v/>
      </c>
      <c r="J1281" t="inlineStr"/>
      <c r="K1281" t="inlineStr"/>
      <c r="L1281" t="inlineStr"/>
      <c r="M1281" t="inlineStr"/>
      <c r="N1281" t="inlineStr"/>
      <c r="O1281">
        <f>(1-Summary!$B$11)*S1281+Summary!$B$11*U1281</f>
        <v/>
      </c>
      <c r="P1281">
        <f>IF(B1299=0,0,O1281/B1299)</f>
        <v/>
      </c>
      <c r="Q1281">
        <f>IFERROR(1/(IF(Inputs!$B$38="pvp",15,MAX(0.1,Skills!E23-IF(Skills!F23=TRUE,Inputs!$B$32,0)))*(1-IF(AND(ArtifactsInput!$M$27,Inputs!$B$4="Chapter Hunt"),CHOOSE(ArtifactsInput!$N$27+1,20,24,28,32,36,40),0)/100)),0)</f>
        <v/>
      </c>
      <c r="R1281" t="n">
        <v>0</v>
      </c>
      <c r="S1281" t="n">
        <v>0</v>
      </c>
      <c r="U1281" t="n">
        <v>0</v>
      </c>
    </row>
    <row r="1282">
      <c r="A1282">
        <f>Skills!A24</f>
        <v/>
      </c>
      <c r="B1282">
        <f>Skills!B24</f>
        <v/>
      </c>
      <c r="C1282">
        <f>Inputs!$B$3&gt;=115</f>
        <v/>
      </c>
      <c r="D1282">
        <f>IF(Skills!C24=1,60+Inputs!$B$25+Inputs!$B$29,IF(Skills!C24=2,90+Inputs!$B$26+Inputs!$B$29,IF(Skills!C24=3,120+Inputs!$B$27+Inputs!$B$29,MAX(0,(Inputs!$B$3-100)*3)+Inputs!$B$28+Inputs!$B$29)))</f>
        <v/>
      </c>
      <c r="E1282">
        <f>INDEX(FactorTable!$B$2:$Y$301, MATCH(ROUND(MIN(300,MAX(1,D1282)),0), FactorTable!$A$2:$A$301,0), Skills!M24+1)</f>
        <v/>
      </c>
      <c r="F1282">
        <f>IF(Skills!N24=TRUE,(Skills!L24/10)*(E1282/1000),Skills!L24/10)+Skills!O24</f>
        <v/>
      </c>
      <c r="G1282">
        <f>Calc!G24</f>
        <v/>
      </c>
      <c r="H1282">
        <f>Calc!H24</f>
        <v/>
      </c>
      <c r="I1282">
        <f>IF(Skills!X24&lt;&gt;"",1+(Skills!X24/10)*(Z1261/1000)/100,1)</f>
        <v/>
      </c>
      <c r="J1282">
        <f>((Inputs!$B$6*(1+Inputs!$B$7/100))+(((Inputs!$B$12*(1+Inputs!$B$13/100))-(Inputs!$B$12*(1+Inputs!$B$13/100)))+0.25*(Inputs!$B$14-Inputs!$B$14))*(1+Inputs!$B$7/100))*(F1282/100)</f>
        <v/>
      </c>
      <c r="K1282">
        <f>J1282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1282)</f>
        <v/>
      </c>
      <c r="L1282">
        <f>K1282*(MIN(Inputs!$B$22+(F1280-Calc!F22),(Inputs!$B$23+(IF(ArtifactsInput!$M$15,CHOOSE(ArtifactsInput!$N$15+1,25,30,35,40,45,50)/100*(Inputs!$B$11-Inputs!$B$11),0))))/100+(Inputs!$B$23+(IF(ArtifactsInput!$M$15,CHOOSE(ArtifactsInput!$N$15+1,25,30,35,40,45,50)/100*(Inputs!$B$11-Inputs!$B$11),0)))/100)/2</f>
        <v/>
      </c>
      <c r="M1282">
        <f>L1282*(1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2">
        <f>L1282*(1-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1282*(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2">
        <f>(1-Summary!$B$11)*S1282+Summary!$B$11*U1282</f>
        <v/>
      </c>
      <c r="P1282">
        <f>IF(B1299=0,0,O1282/B1299)</f>
        <v/>
      </c>
      <c r="Q1282">
        <f>IFERROR(1/(IF(Inputs!$B$38="pvp",15,MAX(0.1,Skills!E24-IF(Skills!F24=TRUE,Inputs!$B$32,0)))*(1-IF(AND(ArtifactsInput!$M$27,Inputs!$B$4="Chapter Hunt"),CHOOSE(ArtifactsInput!$N$27+1,20,24,28,32,36,40),0)/100)),0)</f>
        <v/>
      </c>
      <c r="R1282">
        <f>IF(AND(Inputs!$B$38&lt;&gt;"pvp",Inputs!$B$43&gt;0),IF(MAX(0,Inputs!$B$43-B1296)&lt;=0,0,(INT(MAX(0,Inputs!$B$43-B1296)/(IF(Inputs!$B$38="pvp",15,MAX(0.1,Skills!E24-IF(Skills!F24=TRUE,Inputs!$B$32,0)))*(1-IF(AND(ArtifactsInput!$M$27,Inputs!$B$4="Chapter Hunt"),CHOOSE(ArtifactsInput!$N$27+1,20,24,28,32,36,40),0)/100)))+1)),0)</f>
        <v/>
      </c>
      <c r="S1282">
        <f>IF(C1282,(H1282*N1282*IF(AND(Inputs!$B$38&lt;&gt;"pvp",Inputs!$B$43&gt;0),((Skills!G24*((R1282-1)*IF(Skills!H24&gt;0,Skills!I24/Skills!H24,1)+IF(Skills!H24&gt;0,MIN(Skills!I24,MAX(0,MAX(0,Inputs!$B$43-B1296)-((R1282-1)*(IF(Inputs!$B$38="pvp",15,MAX(0.1,Skills!E24-IF(Skills!F24=TRUE,Inputs!$B$32,0)))*(1-IF(AND(ArtifactsInput!$M$27,Inputs!$B$4="Chapter Hunt"),CHOOSE(ArtifactsInput!$N$27+1,20,24,28,32,36,40),0)/100)))))/Skills!H24,1)))/Inputs!$B$43),G1282*Q1282)*(1+IF(Inputs!$B$3&gt;=130,0.2*(Skills!I16/Skills!E15+IF(Inputs!$B$3&gt;=126,0.05*(B1294+Q1271+(H1272*B1295)/(1+Skills!H14*H1272*B1295)+Q1282)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1282*(1-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1282*(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1282*(1-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1282*(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82">
        <f>IF(C1282,(H1282*N1282*IF(AND(Inputs!$B$38&lt;&gt;"pvp",Inputs!$B$43&gt;0),((Skills!G24*((R1282-1)*IF(Skills!H24&gt;0,Skills!I24/Skills!H24,1)+IF(Skills!H24&gt;0,MIN(Skills!I24,MAX(0,MAX(0,Inputs!$B$43-B1296)-((R1282-1)*(IF(Inputs!$B$38="pvp",15,MAX(0.1,Skills!E24-IF(Skills!F24=TRUE,Inputs!$B$32,0)))*(1-IF(AND(ArtifactsInput!$M$27,Inputs!$B$4="Chapter Hunt"),CHOOSE(ArtifactsInput!$N$27+1,20,24,28,32,36,40),0)/100)))))/Skills!H24,1)))/Inputs!$B$43),G1282*Q1282)*(1+IF(Inputs!$B$3&gt;=130,0.2*(Skills!I16/Skills!E15+IF(Inputs!$B$3&gt;=126,0.05*(B1294+Q1271+(H1272*B1295)/(1+Skills!H14*H1272*B1295)+Q1282)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3">
      <c r="A1283">
        <f>Skills!A25</f>
        <v/>
      </c>
      <c r="B1283">
        <f>Skills!B25</f>
        <v/>
      </c>
      <c r="C1283">
        <f>Inputs!$B$3&gt;=117</f>
        <v/>
      </c>
      <c r="D1283">
        <f>IF(Skills!C25=1,60+Inputs!$B$25+Inputs!$B$29,IF(Skills!C25=2,90+Inputs!$B$26+Inputs!$B$29,IF(Skills!C25=3,120+Inputs!$B$27+Inputs!$B$29,MAX(0,(Inputs!$B$3-100)*3)+Inputs!$B$28+Inputs!$B$29)))</f>
        <v/>
      </c>
      <c r="E1283">
        <f>INDEX(FactorTable!$B$2:$Y$301, MATCH(ROUND(MIN(300,MAX(1,D1283)),0), FactorTable!$A$2:$A$301,0), Skills!M25+1)</f>
        <v/>
      </c>
      <c r="F1283">
        <f>IF(Skills!N25=TRUE,(Skills!L25/10)*(E1283/1000),Skills!L25/10)+Skills!O25</f>
        <v/>
      </c>
      <c r="G1283">
        <f>Calc!G25</f>
        <v/>
      </c>
      <c r="H1283">
        <f>Calc!H25</f>
        <v/>
      </c>
      <c r="I1283">
        <f>IF(Skills!X25&lt;&gt;"",1+(Skills!X25/10)*(Z1261/1000)/100,1)</f>
        <v/>
      </c>
      <c r="J1283" t="inlineStr"/>
      <c r="K1283" t="inlineStr"/>
      <c r="L1283" t="inlineStr"/>
      <c r="M1283" t="inlineStr"/>
      <c r="N1283" t="inlineStr"/>
      <c r="O1283">
        <f>(1-Summary!$B$11)*S1283+Summary!$B$11*U1283</f>
        <v/>
      </c>
      <c r="P1283">
        <f>IF(B1299=0,0,O1283/B1299)</f>
        <v/>
      </c>
      <c r="Q1283">
        <f>IFERROR(1/(IF(Inputs!$B$38="pvp",15,MAX(0.1,Skills!E25-IF(Skills!F25=TRUE,Inputs!$B$32,0)))*(1-IF(AND(ArtifactsInput!$M$27,Inputs!$B$4="Chapter Hunt"),CHOOSE(ArtifactsInput!$N$27+1,20,24,28,32,36,40),0)/100)),0)</f>
        <v/>
      </c>
      <c r="R1283" t="n">
        <v>0</v>
      </c>
      <c r="S1283" t="n">
        <v>0</v>
      </c>
      <c r="U1283" t="n">
        <v>0</v>
      </c>
    </row>
    <row r="1284">
      <c r="A1284">
        <f>Skills!A26</f>
        <v/>
      </c>
      <c r="B1284">
        <f>Skills!B26</f>
        <v/>
      </c>
      <c r="C1284">
        <f>Inputs!$B$3&gt;=120</f>
        <v/>
      </c>
      <c r="D1284">
        <f>IF(Skills!C26=1,60+Inputs!$B$25+Inputs!$B$29,IF(Skills!C26=2,90+Inputs!$B$26+Inputs!$B$29,IF(Skills!C26=3,120+Inputs!$B$27+Inputs!$B$29,MAX(0,(Inputs!$B$3-100)*3)+Inputs!$B$28+Inputs!$B$29)))</f>
        <v/>
      </c>
      <c r="E1284">
        <f>INDEX(FactorTable!$B$2:$Y$301, MATCH(ROUND(MIN(300,MAX(1,D1284)),0), FactorTable!$A$2:$A$301,0), Skills!M26+1)</f>
        <v/>
      </c>
      <c r="F1284">
        <f>IF(Skills!N26=TRUE,(Skills!L26/10)*(E1284/1000),Skills!L26/10)+Skills!O26</f>
        <v/>
      </c>
      <c r="G1284">
        <f>Calc!G26</f>
        <v/>
      </c>
      <c r="H1284">
        <f>Calc!H26</f>
        <v/>
      </c>
      <c r="I1284">
        <f>IF(Skills!X26&lt;&gt;"",1+(Skills!X26/10)*(Z1261/1000)/100,1)</f>
        <v/>
      </c>
      <c r="J1284" t="inlineStr"/>
      <c r="K1284" t="inlineStr"/>
      <c r="L1284" t="inlineStr"/>
      <c r="M1284" t="inlineStr"/>
      <c r="N1284" t="inlineStr"/>
      <c r="O1284">
        <f>(1-Summary!$B$11)*S1284+Summary!$B$11*U1284</f>
        <v/>
      </c>
      <c r="P1284">
        <f>IF(B1299=0,0,O1284/B1299)</f>
        <v/>
      </c>
      <c r="Q1284">
        <f>IFERROR(1/(IF(Inputs!$B$38="pvp",15,MAX(0.1,Skills!E26-IF(Skills!F26=TRUE,Inputs!$B$32,0)))*(1-IF(AND(ArtifactsInput!$M$27,Inputs!$B$4="Chapter Hunt"),CHOOSE(ArtifactsInput!$N$27+1,20,24,28,32,36,40),0)/100)),0)</f>
        <v/>
      </c>
      <c r="R1284" t="n">
        <v>0</v>
      </c>
      <c r="S1284" t="n">
        <v>0</v>
      </c>
      <c r="U1284" t="n">
        <v>0</v>
      </c>
    </row>
    <row r="1285">
      <c r="A1285">
        <f>Skills!A27</f>
        <v/>
      </c>
      <c r="B1285">
        <f>Skills!B27</f>
        <v/>
      </c>
      <c r="C1285">
        <f>Inputs!$B$3&gt;=125</f>
        <v/>
      </c>
      <c r="D1285">
        <f>IF(Skills!C27=1,60+Inputs!$B$25+Inputs!$B$29,IF(Skills!C27=2,90+Inputs!$B$26+Inputs!$B$29,IF(Skills!C27=3,120+Inputs!$B$27+Inputs!$B$29,MAX(0,(Inputs!$B$3-100)*3)+Inputs!$B$28+Inputs!$B$29)))</f>
        <v/>
      </c>
      <c r="E1285">
        <f>INDEX(FactorTable!$B$2:$Y$301, MATCH(ROUND(MIN(300,MAX(1,D1285)),0), FactorTable!$A$2:$A$301,0), Skills!M27+1)</f>
        <v/>
      </c>
      <c r="F1285">
        <f>IF(Skills!N27=TRUE,(Skills!L27/10)*(E1285/1000),Skills!L27/10)+Skills!O27</f>
        <v/>
      </c>
      <c r="G1285">
        <f>Calc!G27</f>
        <v/>
      </c>
      <c r="H1285">
        <f>Calc!H27</f>
        <v/>
      </c>
      <c r="I1285">
        <f>IF(Skills!X27&lt;&gt;"",1+(Skills!X27/10)*(Z1261/1000)/100,1)</f>
        <v/>
      </c>
      <c r="J1285" t="inlineStr"/>
      <c r="K1285" t="inlineStr"/>
      <c r="L1285" t="inlineStr"/>
      <c r="M1285" t="inlineStr"/>
      <c r="N1285" t="inlineStr"/>
      <c r="O1285">
        <f>(1-Summary!$B$11)*S1285+Summary!$B$11*U1285</f>
        <v/>
      </c>
      <c r="P1285">
        <f>IF(B1299=0,0,O1285/B1299)</f>
        <v/>
      </c>
      <c r="Q1285">
        <f>IFERROR(1/(IF(Inputs!$B$38="pvp",15,MAX(0.1,Skills!E27-IF(Skills!F27=TRUE,Inputs!$B$32,0)))*(1-IF(AND(ArtifactsInput!$M$27,Inputs!$B$4="Chapter Hunt"),CHOOSE(ArtifactsInput!$N$27+1,20,24,28,32,36,40),0)/100)),0)</f>
        <v/>
      </c>
      <c r="R1285" t="n">
        <v>0</v>
      </c>
      <c r="S1285" t="n">
        <v>0</v>
      </c>
      <c r="U1285" t="n">
        <v>0</v>
      </c>
    </row>
    <row r="1286">
      <c r="A1286">
        <f>Skills!A28</f>
        <v/>
      </c>
      <c r="B1286">
        <f>Skills!B28</f>
        <v/>
      </c>
      <c r="C1286">
        <f>Inputs!$B$3&gt;=118</f>
        <v/>
      </c>
      <c r="D1286">
        <f>IF(Skills!C28=1,60+Inputs!$B$25+Inputs!$B$29,IF(Skills!C28=2,90+Inputs!$B$26+Inputs!$B$29,IF(Skills!C28=3,120+Inputs!$B$27+Inputs!$B$29,MAX(0,(Inputs!$B$3-100)*3)+Inputs!$B$28+Inputs!$B$29)))</f>
        <v/>
      </c>
      <c r="E1286">
        <f>INDEX(FactorTable!$B$2:$Y$301, MATCH(ROUND(MIN(300,MAX(1,D1286)),0), FactorTable!$A$2:$A$301,0), Skills!M28+1)</f>
        <v/>
      </c>
      <c r="F1286">
        <f>IF(Skills!N28=TRUE,(Skills!L28/10)*(E1286/1000),Skills!L28/10)+Skills!O28</f>
        <v/>
      </c>
      <c r="G1286">
        <f>Calc!G28</f>
        <v/>
      </c>
      <c r="H1286">
        <f>Calc!H28</f>
        <v/>
      </c>
      <c r="I1286">
        <f>IF(Skills!X28&lt;&gt;"",1+(Skills!X28/10)*(Z1261/1000)/100,1)</f>
        <v/>
      </c>
      <c r="J1286">
        <f>((Inputs!$B$6*(1+Inputs!$B$7/100))+(((Inputs!$B$12*(1+Inputs!$B$13/100))-(Inputs!$B$12*(1+Inputs!$B$13/100)))+0.25*(Inputs!$B$14-Inputs!$B$14))*(1+Inputs!$B$7/100))*(F1286/100)</f>
        <v/>
      </c>
      <c r="K1286">
        <f>J1286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1281/100)*(1+IF(Inputs!$B$3&gt;=120,F1284,0)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1285*5,0)))/100)*(B1288*B1289*B1290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1286)</f>
        <v/>
      </c>
      <c r="L1286">
        <f>K1286*(MIN(Inputs!$B$22+(F1280-Calc!F22),(Inputs!$B$23+(IF(ArtifactsInput!$M$15,CHOOSE(ArtifactsInput!$N$15+1,25,30,35,40,45,50)/100*(Inputs!$B$11-Inputs!$B$11),0))))/100+(Inputs!$B$23+(IF(ArtifactsInput!$M$15,CHOOSE(ArtifactsInput!$N$15+1,25,30,35,40,45,50)/100*(Inputs!$B$11-Inputs!$B$11),0)))/100)/2</f>
        <v/>
      </c>
      <c r="M1286">
        <f>L1286*(1+(Inputs!$B$10+(F1279-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6">
        <f>L1286*(1-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1286*(MIN((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6">
        <f>(1-Summary!$B$11)*S1286+Summary!$B$11*U1286</f>
        <v/>
      </c>
      <c r="P1286">
        <f>IF(B1299=0,0,O1286/B1299)</f>
        <v/>
      </c>
      <c r="Q1286">
        <f>IFERROR(1/(IF(Inputs!$B$38="pvp",15,MAX(0.1,Skills!E28-IF(Skills!F28=TRUE,Inputs!$B$32,0)))*(1-IF(AND(ArtifactsInput!$M$27,Inputs!$B$4="Chapter Hunt"),CHOOSE(ArtifactsInput!$N$27+1,20,24,28,32,36,40),0)/100)),0)</f>
        <v/>
      </c>
      <c r="R1286">
        <f>IF(AND(Inputs!$B$38&lt;&gt;"pvp",Inputs!$B$43&gt;0),IF(MAX(0,Inputs!$B$43-B1296)&lt;=0,0,(INT(MAX(0,Inputs!$B$43-B1296)/(IF(Inputs!$B$38="pvp",15,MAX(0.1,Skills!E28-IF(Skills!F28=TRUE,Inputs!$B$32,0)))*(1-IF(AND(ArtifactsInput!$M$27,Inputs!$B$4="Chapter Hunt"),CHOOSE(ArtifactsInput!$N$27+1,20,24,28,32,36,40),0)/100)))+1)),0)</f>
        <v/>
      </c>
      <c r="S1286">
        <f>IF(C1286,(H1286*N1286*IF(AND(Inputs!$B$38&lt;&gt;"pvp",Inputs!$B$43&gt;0),((Skills!G28*((R1286-1)*IF(Skills!H28&gt;0,Skills!I28/Skills!H28,1)+IF(Skills!H28&gt;0,MIN(Skills!I28,MAX(0,MAX(0,Inputs!$B$43-B1296)-((R1286-1)*(IF(Inputs!$B$38="pvp",15,MAX(0.1,Skills!E28-IF(Skills!F28=TRUE,Inputs!$B$32,0)))*(1-IF(AND(ArtifactsInput!$M$27,Inputs!$B$4="Chapter Hunt"),CHOOSE(ArtifactsInput!$N$27+1,20,24,28,32,36,40),0)/100)))))/Skills!H28,1)))/Inputs!$B$43),G1286*Q1286)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1286*(1-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1286*(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1286*(1-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1286*(MIN(100,(Inputs!$B$9+(F1278-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86">
        <f>IF(C1286,(H1286*N1286*IF(AND(Inputs!$B$38&lt;&gt;"pvp",Inputs!$B$43&gt;0),((Skills!G28*((R1286-1)*IF(Skills!H28&gt;0,Skills!I28/Skills!H28,1)+IF(Skills!H28&gt;0,MIN(Skills!I28,MAX(0,MAX(0,Inputs!$B$43-B1296)-((R1286-1)*(IF(Inputs!$B$38="pvp",15,MAX(0.1,Skills!E28-IF(Skills!F28=TRUE,Inputs!$B$32,0)))*(1-IF(AND(ArtifactsInput!$M$27,Inputs!$B$4="Chapter Hunt"),CHOOSE(ArtifactsInput!$N$27+1,20,24,28,32,36,40),0)/100)))))/Skills!H28,1)))/Inputs!$B$43),G1286*Q1286)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8">
      <c r="A1288" t="inlineStr">
        <is>
          <t>Burning Magic Multiplier</t>
        </is>
      </c>
      <c r="B1288">
        <f>1+(F1269*Skills!Z11)/100</f>
        <v/>
      </c>
    </row>
    <row r="1289">
      <c r="A1289" t="inlineStr">
        <is>
          <t>Elemental Decrease Multiplier (always-on)</t>
        </is>
      </c>
      <c r="B1289">
        <f>1+(F1270+(IF(AND(ArtifactsInput!$M$35,Inputs!$B$4&lt;&gt;"Chapter Hunt"),CHOOSE(ArtifactsInput!$N$35+1,15,18,21,24,27,30)*(1-EXP(-(0.2*B1292)*5)),0)+IF(AND(ArtifactsInput!$M$22,Inputs!$B$4&lt;&gt;"Chapter Hunt"),CHOOSE(ArtifactsInput!$N$22+1,10,12,14,16,18,20)*((0*(((0.15*B1292*5))^0/1)+1*(((0.15*B1292*5))^1/1)+2*(((0.15*B1292*5))^2/2)+3*(((0.15*B1292*5))^3/6)+4*(((0.15*B1292*5))^4/24)+5*(((0.15*B1292*5))^5/120))/((((0.15*B1292*5))^0/1)+(((0.15*B1292*5))^1/1)+(((0.15*B1292*5))^2/2)+(((0.15*B1292*5))^3/6)+(((0.15*B1292*5))^4/24)+(((0.15*B1292*5))^5/120))),0)))/100</f>
        <v/>
      </c>
    </row>
    <row r="1290">
      <c r="A1290" t="inlineStr">
        <is>
          <t>Average Buff Multiplier (Magic Guard + Meditation + Artifact Attack%, summed; then Infinity)</t>
        </is>
      </c>
      <c r="B1290">
        <f>(1+(F1264*IF(AND(Inputs!$B$38&lt;&gt;"pvp",Inputs!$B$43&gt;0),(((R1264-1)*(Skills!T6*(1+((Inputs!$B$34+(IF(ArtifactsInput!$M$7,FALSE,TRUE)-ArtifactsInput!$M$7)*CHOOSE(ArtifactsInput!$N$7+1,6,7.2,8.4,9.6,10.8,12)))/100))+MIN((Skills!T6*(1+((Inputs!$B$34+(IF(ArtifactsInput!$M$7,FALSE,TRUE)-ArtifactsInput!$M$7)*CHOOSE(ArtifactsInput!$N$7+1,6,7.2,8.4,9.6,10.8,12)))/100)),MAX(0,Inputs!$B$43-((R1264-1)*Skills!E6))))/Inputs!$B$43),IF(Inputs!$B$38="pvp",MIN((Skills!T6*(1+((Inputs!$B$34+(IF(ArtifactsInput!$M$7,FALSE,TRUE)-ArtifactsInput!$M$7)*CHOOSE(ArtifactsInput!$N$7+1,6,7.2,8.4,9.6,10.8,12)))/100)),15)/15,(Skills!T6*(1+((Inputs!$B$34+(IF(ArtifactsInput!$M$7,FALSE,TRUE)-ArtifactsInput!$M$7)*CHOOSE(ArtifactsInput!$N$7+1,6,7.2,8.4,9.6,10.8,12)))/100))/Skills!E6))+F1275*IF(AND(Inputs!$B$38&lt;&gt;"pvp",Inputs!$B$43&gt;0),(((R1275-1)*(Skills!T17*(1+((Inputs!$B$34+(IF(ArtifactsInput!$M$7,FALSE,TRUE)-ArtifactsInput!$M$7)*CHOOSE(ArtifactsInput!$N$7+1,6,7.2,8.4,9.6,10.8,12)))/100))+MIN((Skills!T17*(1+((Inputs!$B$34+(IF(ArtifactsInput!$M$7,FALSE,TRUE)-ArtifactsInput!$M$7)*CHOOSE(ArtifactsInput!$N$7+1,6,7.2,8.4,9.6,10.8,12)))/100)),MAX(0,Inputs!$B$43-((R1275-1)*Skills!E17))))/Inputs!$B$43),IF(Inputs!$B$38="pvp",MIN((Skills!T17*(1+((Inputs!$B$34+(IF(ArtifactsInput!$M$7,FALSE,TRUE)-ArtifactsInput!$M$7)*CHOOSE(ArtifactsInput!$N$7+1,6,7.2,8.4,9.6,10.8,12)))/100)),15)/15,(Skills!T17*(1+((Inputs!$B$34+(IF(ArtifactsInput!$M$7,FALSE,TRUE)-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1277=TRUE,(1+F1277*IF(AND(Inputs!$B$38&lt;&gt;"pvp",Inputs!$B$43&gt;0),(((R1277-1)*(Skills!T19*(1+((Inputs!$B$34+(IF(ArtifactsInput!$M$7,FALSE,TRUE)-ArtifactsInput!$M$7)*CHOOSE(ArtifactsInput!$N$7+1,6,7.2,8.4,9.6,10.8,12)))/100))+MIN((Skills!T19*(1+((Inputs!$B$34+(IF(ArtifactsInput!$M$7,FALSE,TRUE)-ArtifactsInput!$M$7)*CHOOSE(ArtifactsInput!$N$7+1,6,7.2,8.4,9.6,10.8,12)))/100)),MAX(0,Inputs!$B$43-((R1277-1)*Skills!E19))))/Inputs!$B$43),IF(Inputs!$B$38="pvp",MIN((Skills!T19*(1+((Inputs!$B$34+(IF(ArtifactsInput!$M$7,FALSE,TRUE)-ArtifactsInput!$M$7)*CHOOSE(ArtifactsInput!$N$7+1,6,7.2,8.4,9.6,10.8,12)))/100)),15)/15,(Skills!T19*(1+((Inputs!$B$34+(IF(ArtifactsInput!$M$7,FALSE,TRUE)-ArtifactsInput!$M$7)*CHOOSE(ArtifactsInput!$N$7+1,6,7.2,8.4,9.6,10.8,12)))/100))/Skills!E19))/100),1)</f>
        <v/>
      </c>
    </row>
    <row r="1291">
      <c r="A1291" t="inlineStr">
        <is>
          <t>Attack Speed Buff Bonus % (Nimble Feet, averaged)</t>
        </is>
      </c>
      <c r="B1291">
        <f>F1276*IF(AND(Inputs!$B$38&lt;&gt;"pvp",Inputs!$B$43&gt;0),(((R1276-1)*(Skills!T18*(1+((Inputs!$B$34+(IF(ArtifactsInput!$M$7,FALSE,TRUE)-ArtifactsInput!$M$7)*CHOOSE(ArtifactsInput!$N$7+1,6,7.2,8.4,9.6,10.8,12)))/100))+MIN((Skills!T18*(1+((Inputs!$B$34+(IF(ArtifactsInput!$M$7,FALSE,TRUE)-ArtifactsInput!$M$7)*CHOOSE(ArtifactsInput!$N$7+1,6,7.2,8.4,9.6,10.8,12)))/100)),MAX(0,Inputs!$B$43-((R1276-1)*Skills!E18))))/Inputs!$B$43),IF(Inputs!$B$38="pvp",MIN((Skills!T18*(1+((Inputs!$B$34+(IF(ArtifactsInput!$M$7,FALSE,TRUE)-ArtifactsInput!$M$7)*CHOOSE(ArtifactsInput!$N$7+1,6,7.2,8.4,9.6,10.8,12)))/100)),15)/15,(Skills!T18*(1+((Inputs!$B$34+(IF(ArtifactsInput!$M$7,FALSE,TRUE)-ArtifactsInput!$M$7)*CHOOSE(ArtifactsInput!$N$7+1,6,7.2,8.4,9.6,10.8,12)))/100))/Skills!E18))</f>
        <v/>
      </c>
    </row>
    <row r="1292">
      <c r="A1292" t="inlineStr">
        <is>
          <t>Actions Per Second</t>
        </is>
      </c>
      <c r="B1292">
        <f>1+MIN(150,150*(1-(1-(Inputs!$B$11+(ArtifactsInput!$M$15-ArtifactsInput!$M$15)*CHOOSE(ArtifactsInput!$N$15+1,8,9.6,11.2,12.8,14.4,16))/150)*(1-B1291/150)))/100</f>
        <v/>
      </c>
    </row>
    <row r="1293">
      <c r="A1293" t="inlineStr">
        <is>
          <t>Skill + Buff Cast Rate</t>
        </is>
      </c>
      <c r="B1293">
        <f>IF(AND(Inputs!$B$38&lt;&gt;"pvp",Inputs!$B$43&gt;0),SUMPRODUCT((Skills!F2:F28=TRUE)*(C1260:C1286=TRUE)*R1260:R1286)/Inputs!$B$43,SUMPRODUCT((Skills!F2:F28=TRUE)*(C1260:C1286=TRUE)*Q1260:Q1286))</f>
        <v/>
      </c>
    </row>
    <row r="1294">
      <c r="A1294" t="inlineStr">
        <is>
          <t>Basic Attacks Per Second</t>
        </is>
      </c>
      <c r="B1294">
        <f>MAX(0,B1292-B1293)</f>
        <v/>
      </c>
    </row>
    <row r="1295">
      <c r="A1295" t="inlineStr">
        <is>
          <t>Meteor Proc — combined trigger cast rate</t>
        </is>
      </c>
      <c r="B1295">
        <f>IF(AND(Inputs!$B$38&lt;&gt;"pvp",Inputs!$B$43&gt;0),SUMPRODUCT((Skills!V2:V28=TRUE)*(C1260:C1286=TRUE)*R1260:R1286*Skills!W2:W28)/Inputs!$B$43,SUMPRODUCT((Skills!V2:V28=TRUE)*(C1260:C1286=TRUE)*Q1260:Q1286*Skills!W2:W28))+B1294</f>
        <v/>
      </c>
    </row>
    <row r="1296">
      <c r="A1296" t="inlineStr">
        <is>
          <t>Buff-Casting Startup Delay (s, fixed-duration only)</t>
        </is>
      </c>
      <c r="B1296">
        <f>IF(AND(Inputs!$B$38&lt;&gt;"pvp",Inputs!$B$43&gt;0),SUMPRODUCT((Skills!T2:T28&gt;0)*(Skills!F2:F28=TRUE)*(C1260:C1286=TRUE))/B1292,0)</f>
        <v/>
      </c>
    </row>
    <row r="1297">
      <c r="A1297" t="inlineStr">
        <is>
          <t>Boss-Only Total DPS (this block's swept value)</t>
        </is>
      </c>
      <c r="B1297">
        <f>SUM(S1260:S1286)</f>
        <v/>
      </c>
    </row>
    <row r="1298">
      <c r="A1298" t="inlineStr">
        <is>
          <t>Normal-Only Total DPS (this block's swept value)</t>
        </is>
      </c>
      <c r="B1298">
        <f>SUM(U1260:U1286)</f>
        <v/>
      </c>
    </row>
    <row r="1299">
      <c r="A1299" s="6" t="inlineStr">
        <is>
          <t>TOTAL DPS</t>
        </is>
      </c>
      <c r="B1299" s="6">
        <f>SUM(O1260:O1286)</f>
        <v/>
      </c>
    </row>
    <row r="1302">
      <c r="A1302" s="6" t="inlineStr">
        <is>
          <t>Stat: The Contract of Darkness (Equip)</t>
        </is>
      </c>
    </row>
    <row r="1303">
      <c r="A1303" s="5" t="inlineStr">
        <is>
          <t>Key</t>
        </is>
      </c>
      <c r="B1303" s="5" t="inlineStr">
        <is>
          <t>Name</t>
        </is>
      </c>
      <c r="C1303" s="5" t="inlineStr">
        <is>
          <t>Unlocked</t>
        </is>
      </c>
      <c r="D1303" s="5" t="inlineStr">
        <is>
          <t>InputLevel</t>
        </is>
      </c>
      <c r="E1303" s="5" t="inlineStr">
        <is>
          <t>Factor</t>
        </is>
      </c>
      <c r="F1303" s="5" t="inlineStr">
        <is>
          <t>CoefficientPercent</t>
        </is>
      </c>
      <c r="G1303" s="5" t="inlineStr">
        <is>
          <t>EffectiveHits</t>
        </is>
      </c>
      <c r="H1303" s="5" t="inlineStr">
        <is>
          <t>ProcProbability</t>
        </is>
      </c>
      <c r="I1303" s="5" t="inlineStr">
        <is>
          <t>MapleHeroMultiplier</t>
        </is>
      </c>
      <c r="J1303" s="5" t="inlineStr">
        <is>
          <t>BaseDamage</t>
        </is>
      </c>
      <c r="K1303" s="5" t="inlineStr">
        <is>
          <t>BaseHitDamage</t>
        </is>
      </c>
      <c r="L1303" s="5" t="inlineStr">
        <is>
          <t>NonCritAvg</t>
        </is>
      </c>
      <c r="M1303" s="5" t="inlineStr">
        <is>
          <t>CritAvg</t>
        </is>
      </c>
      <c r="N1303" s="5" t="inlineStr">
        <is>
          <t>ExpectedDamage(perHit)</t>
        </is>
      </c>
      <c r="O1303" s="5" t="inlineStr">
        <is>
          <t>DPS</t>
        </is>
      </c>
      <c r="P1303" s="5" t="inlineStr">
        <is>
          <t>% of Total</t>
        </is>
      </c>
      <c r="R1303" t="inlineStr">
        <is>
          <t>helpers</t>
        </is>
      </c>
    </row>
    <row r="1304">
      <c r="A1304">
        <f>Skills!A2</f>
        <v/>
      </c>
      <c r="B1304">
        <f>Skills!B2</f>
        <v/>
      </c>
      <c r="C1304">
        <f>TRUE</f>
        <v/>
      </c>
      <c r="D1304" t="inlineStr"/>
      <c r="E1304" t="inlineStr"/>
      <c r="F1304">
        <f>T1306+Skills!O2</f>
        <v/>
      </c>
      <c r="G1304">
        <f>Calc!G2</f>
        <v/>
      </c>
      <c r="H1304">
        <f>Calc!H2</f>
        <v/>
      </c>
      <c r="I1304">
        <f>IF(Skills!X2&lt;&gt;"",1+(Skills!X2/10)*(Z1305/1000)/100,1)</f>
        <v/>
      </c>
      <c r="J1304">
        <f>((Inputs!$B$6*(1+Inputs!$B$7/100))+(((Inputs!$B$12*(1+Inputs!$B$13/100))-(Inputs!$B$12*(1+Inputs!$B$13/100)))+0.25*(Inputs!$B$14-Inputs!$B$14))*(1+Inputs!$B$7/100))*(F1304/100)</f>
        <v/>
      </c>
      <c r="K1304">
        <f>J1304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1304)</f>
        <v/>
      </c>
      <c r="L1304">
        <f>K1304*(MIN(Inputs!$B$22+(F1324-Calc!F22),(Inputs!$B$23+(IF(ArtifactsInput!$M$15,CHOOSE(ArtifactsInput!$N$15+1,25,30,35,40,45,50)/100*(Inputs!$B$11-Inputs!$B$11),0))))/100+(Inputs!$B$23+(IF(ArtifactsInput!$M$15,CHOOSE(ArtifactsInput!$N$15+1,25,30,35,40,45,50)/100*(Inputs!$B$11-Inputs!$B$11),0)))/100)/2</f>
        <v/>
      </c>
      <c r="M1304">
        <f>L1304*(1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4">
        <f>L1304*(1-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1304*(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4">
        <f>(1-Summary!$B$11)*S1304+Summary!$B$11*U1304</f>
        <v/>
      </c>
      <c r="P1304">
        <f>IF(B1343=0,0,O1304/B1343)</f>
        <v/>
      </c>
      <c r="Q1304">
        <f>IFERROR(1/(IF(Inputs!$B$38="pvp",15,MAX(0.1,Skills!E2-IF(Skills!F2=TRUE,Inputs!$B$32,0)))*(1-IF(AND(ArtifactsInput!$M$27,Inputs!$B$4="Chapter Hunt"),CHOOSE(ArtifactsInput!$N$27+1,20,24,28,32,36,40),0)/100)),0)</f>
        <v/>
      </c>
      <c r="R1304" t="n">
        <v>0</v>
      </c>
      <c r="S1304">
        <f>(Skills!G2*N1304*B1338)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1304*(1-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1304*(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1304*(1-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1304*(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304">
        <f>MAX(0,(Inputs!$B$3-100)*3)+Inputs!$B$28+Inputs!$B$29</f>
        <v/>
      </c>
      <c r="U1304">
        <f>(Skills!G2*N1304*B1338)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304">
        <f>MAX(0,(Inputs!$B$3-100)*3)+Inputs!$B$28+Inputs!$B$29</f>
        <v/>
      </c>
    </row>
    <row r="1305">
      <c r="A1305">
        <f>Skills!A3</f>
        <v/>
      </c>
      <c r="B1305">
        <f>Skills!B3</f>
        <v/>
      </c>
      <c r="C1305">
        <f>TRUE</f>
        <v/>
      </c>
      <c r="D1305">
        <f>IF(Skills!C3=1,60+Inputs!$B$25+Inputs!$B$29,IF(Skills!C3=2,90+Inputs!$B$26+Inputs!$B$29,IF(Skills!C3=3,120+Inputs!$B$27+Inputs!$B$29,MAX(0,(Inputs!$B$3-100)*3)+Inputs!$B$28+Inputs!$B$29)))</f>
        <v/>
      </c>
      <c r="E1305">
        <f>INDEX(FactorTable!$B$2:$Y$301, MATCH(ROUND(MIN(300,MAX(1,D1305)),0), FactorTable!$A$2:$A$301,0), Skills!M3+1)</f>
        <v/>
      </c>
      <c r="F1305">
        <f>IF(Skills!N3=TRUE,(Skills!L3/10)*(E1305/1000),Skills!L3/10)+Skills!O3</f>
        <v/>
      </c>
      <c r="G1305">
        <f>Calc!G3</f>
        <v/>
      </c>
      <c r="H1305">
        <f>Calc!H3</f>
        <v/>
      </c>
      <c r="I1305">
        <f>IF(Skills!X3&lt;&gt;"",1+(Skills!X3/10)*(Z1305/1000)/100,1)</f>
        <v/>
      </c>
      <c r="J1305">
        <f>((Inputs!$B$6*(1+Inputs!$B$7/100))+(((Inputs!$B$12*(1+Inputs!$B$13/100))-(Inputs!$B$12*(1+Inputs!$B$13/100)))+0.25*(Inputs!$B$14-Inputs!$B$14))*(1+Inputs!$B$7/100))*(F1305/100)</f>
        <v/>
      </c>
      <c r="K1305">
        <f>J1305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1305)</f>
        <v/>
      </c>
      <c r="L1305">
        <f>K1305*(MIN(Inputs!$B$22+(F1324-Calc!F22),(Inputs!$B$23+(IF(ArtifactsInput!$M$15,CHOOSE(ArtifactsInput!$N$15+1,25,30,35,40,45,50)/100*(Inputs!$B$11-Inputs!$B$11),0))))/100+(Inputs!$B$23+(IF(ArtifactsInput!$M$15,CHOOSE(ArtifactsInput!$N$15+1,25,30,35,40,45,50)/100*(Inputs!$B$11-Inputs!$B$11),0)))/100)/2</f>
        <v/>
      </c>
      <c r="M1305">
        <f>L1305*(1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5">
        <f>L1305*(1-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1305*(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5">
        <f>(1-Summary!$B$11)*S1305+Summary!$B$11*U1305</f>
        <v/>
      </c>
      <c r="P1305">
        <f>IF(B1343=0,0,O1305/B1343)</f>
        <v/>
      </c>
      <c r="Q1305">
        <f>IFERROR(1/(IF(Inputs!$B$38="pvp",15,MAX(0.1,Skills!E3-IF(Skills!F3=TRUE,Inputs!$B$32,0)))*(1-IF(AND(ArtifactsInput!$M$27,Inputs!$B$4="Chapter Hunt"),CHOOSE(ArtifactsInput!$N$27+1,20,24,28,32,36,40),0)/100)),0)</f>
        <v/>
      </c>
      <c r="R1305">
        <f>IF(AND(Inputs!$B$38&lt;&gt;"pvp",Inputs!$B$43&gt;0),IF(MAX(0,Inputs!$B$43-B1340)&lt;=0,0,(INT(MAX(0,Inputs!$B$43-B1340)/(IF(Inputs!$B$38="pvp",15,MAX(0.1,Skills!E3-IF(Skills!F3=TRUE,Inputs!$B$32,0)))*(1-IF(AND(ArtifactsInput!$M$27,Inputs!$B$4="Chapter Hunt"),CHOOSE(ArtifactsInput!$N$27+1,20,24,28,32,36,40),0)/100)))+1)),0)</f>
        <v/>
      </c>
      <c r="S1305">
        <f>IF(C1305,(H1305*N1305*IF(AND(Inputs!$B$38&lt;&gt;"pvp",Inputs!$B$43&gt;0),((Skills!G3*((R1305-1)*IF(Skills!H3&gt;0,Skills!I3/Skills!H3,1)+IF(Skills!H3&gt;0,MIN(Skills!I3,MAX(0,MAX(0,Inputs!$B$43-B1340)-((R1305-1)*(IF(Inputs!$B$38="pvp",15,MAX(0.1,Skills!E3-IF(Skills!F3=TRUE,Inputs!$B$32,0)))*(1-IF(AND(ArtifactsInput!$M$27,Inputs!$B$4="Chapter Hunt"),CHOOSE(ArtifactsInput!$N$27+1,20,24,28,32,36,40),0)/100)))))/Skills!H3,1)))/Inputs!$B$43),G1305*Q1305)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1305*(1-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1305*(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1305*(1-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1305*(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05">
        <f>INDEX(FactorTable!$B$2:$Y$301, MATCH(ROUND(MIN(300,MAX(1,T1304)),0), FactorTable!$A$2:$A$301,0), 22)</f>
        <v/>
      </c>
      <c r="U1305">
        <f>IF(C1305,(H1305*N1305*IF(AND(Inputs!$B$38&lt;&gt;"pvp",Inputs!$B$43&gt;0),((Skills!G3*((R1305-1)*IF(Skills!H3&gt;0,Skills!I3/Skills!H3,1)+IF(Skills!H3&gt;0,MIN(Skills!I3,MAX(0,MAX(0,Inputs!$B$43-B1340)-((R1305-1)*(IF(Inputs!$B$38="pvp",15,MAX(0.1,Skills!E3-IF(Skills!F3=TRUE,Inputs!$B$32,0)))*(1-IF(AND(ArtifactsInput!$M$27,Inputs!$B$4="Chapter Hunt"),CHOOSE(ArtifactsInput!$N$27+1,20,24,28,32,36,40),0)/100)))))/Skills!H3,1)))/Inputs!$B$43),G1305*Q1305)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305">
        <f>INDEX(FactorTable!$B$2:$Y$301, MATCH(ROUND(MIN(300,MAX(1,Z1304)),0), FactorTable!$A$2:$A$301,0), 24)</f>
        <v/>
      </c>
    </row>
    <row r="1306">
      <c r="A1306">
        <f>Skills!A4</f>
        <v/>
      </c>
      <c r="B1306">
        <f>Skills!B4</f>
        <v/>
      </c>
      <c r="C1306">
        <f>TRUE</f>
        <v/>
      </c>
      <c r="D1306">
        <f>IF(Skills!C4=1,60+Inputs!$B$25+Inputs!$B$29,IF(Skills!C4=2,90+Inputs!$B$26+Inputs!$B$29,IF(Skills!C4=3,120+Inputs!$B$27+Inputs!$B$29,MAX(0,(Inputs!$B$3-100)*3)+Inputs!$B$28+Inputs!$B$29)))</f>
        <v/>
      </c>
      <c r="E1306">
        <f>INDEX(FactorTable!$B$2:$Y$301, MATCH(ROUND(MIN(300,MAX(1,D1306)),0), FactorTable!$A$2:$A$301,0), Skills!M4+1)</f>
        <v/>
      </c>
      <c r="F1306">
        <f>IF(Skills!N4=TRUE,(Skills!L4/10)*(E1306/1000),Skills!L4/10)+Skills!O4</f>
        <v/>
      </c>
      <c r="G1306">
        <f>Calc!G4</f>
        <v/>
      </c>
      <c r="H1306">
        <f>Calc!H4</f>
        <v/>
      </c>
      <c r="I1306">
        <f>IF(Skills!X4&lt;&gt;"",1+(Skills!X4/10)*(Z1305/1000)/100,1)</f>
        <v/>
      </c>
      <c r="J1306">
        <f>((Inputs!$B$6*(1+Inputs!$B$7/100))+(((Inputs!$B$12*(1+Inputs!$B$13/100))-(Inputs!$B$12*(1+Inputs!$B$13/100)))+0.25*(Inputs!$B$14-Inputs!$B$14))*(1+Inputs!$B$7/100))*(F1306/100)</f>
        <v/>
      </c>
      <c r="K1306">
        <f>J1306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1306)</f>
        <v/>
      </c>
      <c r="L1306">
        <f>K1306*(MIN(Inputs!$B$22+(F1324-Calc!F22),(Inputs!$B$23+(IF(ArtifactsInput!$M$15,CHOOSE(ArtifactsInput!$N$15+1,25,30,35,40,45,50)/100*(Inputs!$B$11-Inputs!$B$11),0))))/100+(Inputs!$B$23+(IF(ArtifactsInput!$M$15,CHOOSE(ArtifactsInput!$N$15+1,25,30,35,40,45,50)/100*(Inputs!$B$11-Inputs!$B$11),0)))/100)/2</f>
        <v/>
      </c>
      <c r="M1306">
        <f>L1306*(1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6">
        <f>L1306*(1-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1306*(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6">
        <f>(1-Summary!$B$11)*S1306+Summary!$B$11*U1306</f>
        <v/>
      </c>
      <c r="P1306">
        <f>IF(B1343=0,0,O1306/B1343)</f>
        <v/>
      </c>
      <c r="Q1306">
        <f>IFERROR(1/(IF(Inputs!$B$38="pvp",15,MAX(0.1,Skills!E4-IF(Skills!F4=TRUE,Inputs!$B$32,0)))*(1-IF(AND(ArtifactsInput!$M$27,Inputs!$B$4="Chapter Hunt"),CHOOSE(ArtifactsInput!$N$27+1,20,24,28,32,36,40),0)/100)),0)</f>
        <v/>
      </c>
      <c r="R1306">
        <f>IF(AND(Inputs!$B$38&lt;&gt;"pvp",Inputs!$B$43&gt;0),IF(MAX(0,Inputs!$B$43-B1340)&lt;=0,0,(INT(MAX(0,Inputs!$B$43-B1340)/(IF(Inputs!$B$38="pvp",15,MAX(0.1,Skills!E4-IF(Skills!F4=TRUE,Inputs!$B$32,0)))*(1-IF(AND(ArtifactsInput!$M$27,Inputs!$B$4="Chapter Hunt"),CHOOSE(ArtifactsInput!$N$27+1,20,24,28,32,36,40),0)/100)))+1)),0)</f>
        <v/>
      </c>
      <c r="S1306">
        <f>IF(C1306,(H1306*N1306*IF(AND(Inputs!$B$38&lt;&gt;"pvp",Inputs!$B$43&gt;0),((Skills!G4*((R1306-1)*IF(Skills!H4&gt;0,Skills!I4/Skills!H4,1)+IF(Skills!H4&gt;0,MIN(Skills!I4,MAX(0,MAX(0,Inputs!$B$43-B1340)-((R1306-1)*(IF(Inputs!$B$38="pvp",15,MAX(0.1,Skills!E4-IF(Skills!F4=TRUE,Inputs!$B$32,0)))*(1-IF(AND(ArtifactsInput!$M$27,Inputs!$B$4="Chapter Hunt"),CHOOSE(ArtifactsInput!$N$27+1,20,24,28,32,36,40),0)/100)))))/Skills!H4,1)))/Inputs!$B$43),G1306*Q1306)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1306*(1-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1306*(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1306*(1-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1306*(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06">
        <f>290*T1305/1000</f>
        <v/>
      </c>
      <c r="U1306">
        <f>IF(C1306,(H1306*N1306*IF(AND(Inputs!$B$38&lt;&gt;"pvp",Inputs!$B$43&gt;0),((Skills!G4*((R1306-1)*IF(Skills!H4&gt;0,Skills!I4/Skills!H4,1)+IF(Skills!H4&gt;0,MIN(Skills!I4,MAX(0,MAX(0,Inputs!$B$43-B1340)-((R1306-1)*(IF(Inputs!$B$38="pvp",15,MAX(0.1,Skills!E4-IF(Skills!F4=TRUE,Inputs!$B$32,0)))*(1-IF(AND(ArtifactsInput!$M$27,Inputs!$B$4="Chapter Hunt"),CHOOSE(ArtifactsInput!$N$27+1,20,24,28,32,36,40),0)/100)))))/Skills!H4,1)))/Inputs!$B$43),G1306*Q1306)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7">
      <c r="A1307">
        <f>Skills!A5</f>
        <v/>
      </c>
      <c r="B1307">
        <f>Skills!B5</f>
        <v/>
      </c>
      <c r="C1307">
        <f>TRUE</f>
        <v/>
      </c>
      <c r="D1307">
        <f>IF(Skills!C5=1,60+Inputs!$B$25+Inputs!$B$29,IF(Skills!C5=2,90+Inputs!$B$26+Inputs!$B$29,IF(Skills!C5=3,120+Inputs!$B$27+Inputs!$B$29,MAX(0,(Inputs!$B$3-100)*3)+Inputs!$B$28+Inputs!$B$29)))</f>
        <v/>
      </c>
      <c r="E1307">
        <f>INDEX(FactorTable!$B$2:$Y$301, MATCH(ROUND(MIN(300,MAX(1,D1307)),0), FactorTable!$A$2:$A$301,0), Skills!M5+1)</f>
        <v/>
      </c>
      <c r="F1307">
        <f>IF(Skills!N5=TRUE,(Skills!L5/10)*(E1307/1000),Skills!L5/10)+Skills!O5</f>
        <v/>
      </c>
      <c r="G1307">
        <f>Calc!G5</f>
        <v/>
      </c>
      <c r="H1307">
        <f>Calc!H5</f>
        <v/>
      </c>
      <c r="I1307">
        <f>IF(Skills!X5&lt;&gt;"",1+(Skills!X5/10)*(Z1305/1000)/100,1)</f>
        <v/>
      </c>
      <c r="J1307">
        <f>((Inputs!$B$6*(1+Inputs!$B$7/100))+(((Inputs!$B$12*(1+Inputs!$B$13/100))-(Inputs!$B$12*(1+Inputs!$B$13/100)))+0.25*(Inputs!$B$14-Inputs!$B$14))*(1+Inputs!$B$7/100))*(F1307/100)</f>
        <v/>
      </c>
      <c r="K1307">
        <f>J1307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1307)</f>
        <v/>
      </c>
      <c r="L1307">
        <f>K1307*(MIN(Inputs!$B$22+(F1324-Calc!F22),(Inputs!$B$23+(IF(ArtifactsInput!$M$15,CHOOSE(ArtifactsInput!$N$15+1,25,30,35,40,45,50)/100*(Inputs!$B$11-Inputs!$B$11),0))))/100+(Inputs!$B$23+(IF(ArtifactsInput!$M$15,CHOOSE(ArtifactsInput!$N$15+1,25,30,35,40,45,50)/100*(Inputs!$B$11-Inputs!$B$11),0)))/100)/2</f>
        <v/>
      </c>
      <c r="M1307">
        <f>L1307*(1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7">
        <f>L1307*(1-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1307*(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7">
        <f>(1-Summary!$B$11)*S1307+Summary!$B$11*U1307</f>
        <v/>
      </c>
      <c r="P1307">
        <f>IF(B1343=0,0,O1307/B1343)</f>
        <v/>
      </c>
      <c r="Q1307">
        <f>IFERROR(1/(IF(Inputs!$B$38="pvp",15,MAX(0.1,Skills!E5-IF(Skills!F5=TRUE,Inputs!$B$32,0)))*(1-IF(AND(ArtifactsInput!$M$27,Inputs!$B$4="Chapter Hunt"),CHOOSE(ArtifactsInput!$N$27+1,20,24,28,32,36,40),0)/100)),0)</f>
        <v/>
      </c>
      <c r="R1307">
        <f>IF(AND(Inputs!$B$38&lt;&gt;"pvp",Inputs!$B$43&gt;0),IF(MAX(0,Inputs!$B$43-B1340)&lt;=0,0,(INT(MAX(0,Inputs!$B$43-B1340)/(IF(Inputs!$B$38="pvp",15,MAX(0.1,Skills!E5-IF(Skills!F5=TRUE,Inputs!$B$32,0)))*(1-IF(AND(ArtifactsInput!$M$27,Inputs!$B$4="Chapter Hunt"),CHOOSE(ArtifactsInput!$N$27+1,20,24,28,32,36,40),0)/100)))+1)),0)</f>
        <v/>
      </c>
      <c r="S1307">
        <f>IF(C1307,(H1307*N1307*IF(AND(Inputs!$B$38&lt;&gt;"pvp",Inputs!$B$43&gt;0),((Skills!G5*((R1307-1)*IF(Skills!H5&gt;0,Skills!I5/Skills!H5,1)+IF(Skills!H5&gt;0,MIN(Skills!I5,MAX(0,MAX(0,Inputs!$B$43-B1340)-((R1307-1)*(IF(Inputs!$B$38="pvp",15,MAX(0.1,Skills!E5-IF(Skills!F5=TRUE,Inputs!$B$32,0)))*(1-IF(AND(ArtifactsInput!$M$27,Inputs!$B$4="Chapter Hunt"),CHOOSE(ArtifactsInput!$N$27+1,20,24,28,32,36,40),0)/100)))))/Skills!H5,1)))/Inputs!$B$43),G1307*Q1307)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1307*(1-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1307*(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1307*(1-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1307*(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7">
        <f>IF(C1307,(H1307*N1307*IF(AND(Inputs!$B$38&lt;&gt;"pvp",Inputs!$B$43&gt;0),((Skills!G5*((R1307-1)*IF(Skills!H5&gt;0,Skills!I5/Skills!H5,1)+IF(Skills!H5&gt;0,MIN(Skills!I5,MAX(0,MAX(0,Inputs!$B$43-B1340)-((R1307-1)*(IF(Inputs!$B$38="pvp",15,MAX(0.1,Skills!E5-IF(Skills!F5=TRUE,Inputs!$B$32,0)))*(1-IF(AND(ArtifactsInput!$M$27,Inputs!$B$4="Chapter Hunt"),CHOOSE(ArtifactsInput!$N$27+1,20,24,28,32,36,40),0)/100)))))/Skills!H5,1)))/Inputs!$B$43),G1307*Q1307)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8">
      <c r="A1308">
        <f>Skills!A6</f>
        <v/>
      </c>
      <c r="B1308">
        <f>Skills!B6</f>
        <v/>
      </c>
      <c r="C1308">
        <f>TRUE</f>
        <v/>
      </c>
      <c r="D1308">
        <f>IF(Skills!C6=1,60+Inputs!$B$25+Inputs!$B$29,IF(Skills!C6=2,90+Inputs!$B$26+Inputs!$B$29,IF(Skills!C6=3,120+Inputs!$B$27+Inputs!$B$29,MAX(0,(Inputs!$B$3-100)*3)+Inputs!$B$28+Inputs!$B$29)))</f>
        <v/>
      </c>
      <c r="E1308">
        <f>INDEX(FactorTable!$B$2:$Y$301, MATCH(ROUND(MIN(300,MAX(1,D1308)),0), FactorTable!$A$2:$A$301,0), Skills!M6+1)</f>
        <v/>
      </c>
      <c r="F1308">
        <f>IF(Skills!N6=TRUE,(Skills!L6/10)*(E1308/1000),Skills!L6/10)+Skills!O6</f>
        <v/>
      </c>
      <c r="G1308">
        <f>Calc!G6</f>
        <v/>
      </c>
      <c r="H1308">
        <f>Calc!H6</f>
        <v/>
      </c>
      <c r="I1308">
        <f>IF(Skills!X6&lt;&gt;"",1+(Skills!X6/10)*(Z1305/1000)/100,1)</f>
        <v/>
      </c>
      <c r="J1308" t="inlineStr"/>
      <c r="K1308" t="inlineStr"/>
      <c r="L1308" t="inlineStr"/>
      <c r="M1308" t="inlineStr"/>
      <c r="N1308" t="inlineStr"/>
      <c r="O1308">
        <f>(1-Summary!$B$11)*S1308+Summary!$B$11*U1308</f>
        <v/>
      </c>
      <c r="P1308">
        <f>IF(B1343=0,0,O1308/B1343)</f>
        <v/>
      </c>
      <c r="Q1308">
        <f>IFERROR(1/(IF(Inputs!$B$38="pvp",15,MAX(0.1,Skills!E6-IF(Skills!F6=TRUE,Inputs!$B$32,0)))*(1-IF(AND(ArtifactsInput!$M$27,Inputs!$B$4="Chapter Hunt"),CHOOSE(ArtifactsInput!$N$27+1,20,24,28,32,36,40),0)/100)),0)</f>
        <v/>
      </c>
      <c r="R1308">
        <f>IF(AND(Inputs!$B$38&lt;&gt;"pvp",Inputs!$B$43&gt;0),IF(Inputs!$B$43&lt;=0,0,(INT(Inputs!$B$43/(IF(Inputs!$B$38="pvp",15,MAX(0.1,Skills!E6-IF(Skills!F6=TRUE,Inputs!$B$32,0)))*(1-IF(AND(ArtifactsInput!$M$27,Inputs!$B$4="Chapter Hunt"),CHOOSE(ArtifactsInput!$N$27+1,20,24,28,32,36,40),0)/100)))+1)),0)</f>
        <v/>
      </c>
      <c r="S1308" t="n">
        <v>0</v>
      </c>
      <c r="U1308" t="n">
        <v>0</v>
      </c>
    </row>
    <row r="1309">
      <c r="A1309">
        <f>Skills!A7</f>
        <v/>
      </c>
      <c r="B1309">
        <f>Skills!B7</f>
        <v/>
      </c>
      <c r="C1309">
        <f>TRUE</f>
        <v/>
      </c>
      <c r="D1309">
        <f>IF(Skills!C7=1,60+Inputs!$B$25+Inputs!$B$29,IF(Skills!C7=2,90+Inputs!$B$26+Inputs!$B$29,IF(Skills!C7=3,120+Inputs!$B$27+Inputs!$B$29,MAX(0,(Inputs!$B$3-100)*3)+Inputs!$B$28+Inputs!$B$29)))</f>
        <v/>
      </c>
      <c r="E1309">
        <f>INDEX(FactorTable!$B$2:$Y$301, MATCH(ROUND(MIN(300,MAX(1,D1309)),0), FactorTable!$A$2:$A$301,0), Skills!M7+1)</f>
        <v/>
      </c>
      <c r="F1309">
        <f>IF(Skills!N7=TRUE,(Skills!L7/10)*(E1309/1000),Skills!L7/10)+Skills!O7</f>
        <v/>
      </c>
      <c r="G1309">
        <f>Calc!G7</f>
        <v/>
      </c>
      <c r="H1309">
        <f>Calc!H7</f>
        <v/>
      </c>
      <c r="I1309">
        <f>IF(Skills!X7&lt;&gt;"",1+(Skills!X7/10)*(Z1305/1000)/100,1)</f>
        <v/>
      </c>
      <c r="J1309">
        <f>((Inputs!$B$6*(1+Inputs!$B$7/100))+(((Inputs!$B$12*(1+Inputs!$B$13/100))-(Inputs!$B$12*(1+Inputs!$B$13/100)))+0.25*(Inputs!$B$14-Inputs!$B$14))*(1+Inputs!$B$7/100))*(F1309/100)</f>
        <v/>
      </c>
      <c r="K1309">
        <f>J1309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1309)</f>
        <v/>
      </c>
      <c r="L1309">
        <f>K1309*(MIN(Inputs!$B$22+(F1324-Calc!F22),(Inputs!$B$23+(IF(ArtifactsInput!$M$15,CHOOSE(ArtifactsInput!$N$15+1,25,30,35,40,45,50)/100*(Inputs!$B$11-Inputs!$B$11),0))))/100+(Inputs!$B$23+(IF(ArtifactsInput!$M$15,CHOOSE(ArtifactsInput!$N$15+1,25,30,35,40,45,50)/100*(Inputs!$B$11-Inputs!$B$11),0)))/100)/2</f>
        <v/>
      </c>
      <c r="M1309">
        <f>L1309*(1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9">
        <f>L1309*(1-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1309*(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9">
        <f>(1-Summary!$B$11)*S1309+Summary!$B$11*U1309</f>
        <v/>
      </c>
      <c r="P1309">
        <f>IF(B1343=0,0,O1309/B1343)</f>
        <v/>
      </c>
      <c r="Q1309">
        <f>IFERROR(1/(IF(Inputs!$B$38="pvp",15,MAX(0.1,Skills!E7-IF(Skills!F7=TRUE,Inputs!$B$32,0)))*(1-IF(AND(ArtifactsInput!$M$27,Inputs!$B$4="Chapter Hunt"),CHOOSE(ArtifactsInput!$N$27+1,20,24,28,32,36,40),0)/100)),0)</f>
        <v/>
      </c>
      <c r="R1309">
        <f>IF(AND(Inputs!$B$38&lt;&gt;"pvp",Inputs!$B$43&gt;0),IF(MAX(0,Inputs!$B$43-B1340)&lt;=0,0,(INT(MAX(0,Inputs!$B$43-B1340)/(IF(Inputs!$B$38="pvp",15,MAX(0.1,Skills!E7-IF(Skills!F7=TRUE,Inputs!$B$32,0)))*(1-IF(AND(ArtifactsInput!$M$27,Inputs!$B$4="Chapter Hunt"),CHOOSE(ArtifactsInput!$N$27+1,20,24,28,32,36,40),0)/100)))+1)),0)</f>
        <v/>
      </c>
      <c r="S1309">
        <f>IF(C1309,(H1309*N1309*IF(AND(Inputs!$B$38&lt;&gt;"pvp",Inputs!$B$43&gt;0),((Skills!G7*((R1309-1)*IF(Skills!H7&gt;0,Skills!I7/Skills!H7,1)+IF(Skills!H7&gt;0,MIN(Skills!I7,MAX(0,MAX(0,Inputs!$B$43-B1340)-((R1309-1)*(IF(Inputs!$B$38="pvp",15,MAX(0.1,Skills!E7-IF(Skills!F7=TRUE,Inputs!$B$32,0)))*(1-IF(AND(ArtifactsInput!$M$27,Inputs!$B$4="Chapter Hunt"),CHOOSE(ArtifactsInput!$N$27+1,20,24,28,32,36,40),0)/100)))))/Skills!H7,1)))/Inputs!$B$43),G1309*Q1309)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1309*(1-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1309*(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1309*(1-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1309*(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9">
        <f>IF(C1309,(H1309*N1309*IF(AND(Inputs!$B$38&lt;&gt;"pvp",Inputs!$B$43&gt;0),((Skills!G7*((R1309-1)*IF(Skills!H7&gt;0,Skills!I7/Skills!H7,1)+IF(Skills!H7&gt;0,MIN(Skills!I7,MAX(0,MAX(0,Inputs!$B$43-B1340)-((R1309-1)*(IF(Inputs!$B$38="pvp",15,MAX(0.1,Skills!E7-IF(Skills!F7=TRUE,Inputs!$B$32,0)))*(1-IF(AND(ArtifactsInput!$M$27,Inputs!$B$4="Chapter Hunt"),CHOOSE(ArtifactsInput!$N$27+1,20,24,28,32,36,40),0)/100)))))/Skills!H7,1)))/Inputs!$B$43),G1309*Q1309)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0">
      <c r="A1310">
        <f>Skills!A8</f>
        <v/>
      </c>
      <c r="B1310">
        <f>Skills!B8</f>
        <v/>
      </c>
      <c r="C1310">
        <f>TRUE</f>
        <v/>
      </c>
      <c r="D1310">
        <f>IF(Skills!C8=1,60+Inputs!$B$25+Inputs!$B$29,IF(Skills!C8=2,90+Inputs!$B$26+Inputs!$B$29,IF(Skills!C8=3,120+Inputs!$B$27+Inputs!$B$29,MAX(0,(Inputs!$B$3-100)*3)+Inputs!$B$28+Inputs!$B$29)))</f>
        <v/>
      </c>
      <c r="E1310">
        <f>INDEX(FactorTable!$B$2:$Y$301, MATCH(ROUND(MIN(300,MAX(1,D1310)),0), FactorTable!$A$2:$A$301,0), Skills!M8+1)</f>
        <v/>
      </c>
      <c r="F1310">
        <f>IF(Skills!N8=TRUE,(Skills!L8/10)*(E1310/1000),Skills!L8/10)+Skills!O8</f>
        <v/>
      </c>
      <c r="G1310">
        <f>Calc!G8</f>
        <v/>
      </c>
      <c r="H1310">
        <f>Calc!H8</f>
        <v/>
      </c>
      <c r="I1310">
        <f>IF(Skills!X8&lt;&gt;"",1+(Skills!X8/10)*(Z1305/1000)/100,1)</f>
        <v/>
      </c>
      <c r="J1310">
        <f>((Inputs!$B$6*(1+Inputs!$B$7/100))+(((Inputs!$B$12*(1+Inputs!$B$13/100))-(Inputs!$B$12*(1+Inputs!$B$13/100)))+0.25*(Inputs!$B$14-Inputs!$B$14))*(1+Inputs!$B$7/100))*(F1310/100)</f>
        <v/>
      </c>
      <c r="K1310">
        <f>J1310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1310)</f>
        <v/>
      </c>
      <c r="L1310">
        <f>K1310*(MIN(Inputs!$B$22+(F1324-Calc!F22),(Inputs!$B$23+(IF(ArtifactsInput!$M$15,CHOOSE(ArtifactsInput!$N$15+1,25,30,35,40,45,50)/100*(Inputs!$B$11-Inputs!$B$11),0))))/100+(Inputs!$B$23+(IF(ArtifactsInput!$M$15,CHOOSE(ArtifactsInput!$N$15+1,25,30,35,40,45,50)/100*(Inputs!$B$11-Inputs!$B$11),0)))/100)/2</f>
        <v/>
      </c>
      <c r="M1310">
        <f>L1310*(1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0">
        <f>L1310*(1-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1310*(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0">
        <f>(1-Summary!$B$11)*S1310+Summary!$B$11*U1310</f>
        <v/>
      </c>
      <c r="P1310">
        <f>IF(B1343=0,0,O1310/B1343)</f>
        <v/>
      </c>
      <c r="Q1310">
        <f>IFERROR(1/(IF(Inputs!$B$38="pvp",15,MAX(0.1,Skills!E8-IF(Skills!F8=TRUE,Inputs!$B$32,0)))*(1-IF(AND(ArtifactsInput!$M$27,Inputs!$B$4="Chapter Hunt"),CHOOSE(ArtifactsInput!$N$27+1,20,24,28,32,36,40),0)/100)),0)</f>
        <v/>
      </c>
      <c r="R1310">
        <f>IF(AND(Inputs!$B$38&lt;&gt;"pvp",Inputs!$B$43&gt;0),IF(MAX(0,Inputs!$B$43-B1340)&lt;=0,0,(INT(MAX(0,Inputs!$B$43-B1340)/(IF(Inputs!$B$38="pvp",15,MAX(0.1,Skills!E8-IF(Skills!F8=TRUE,Inputs!$B$32,0)))*(1-IF(AND(ArtifactsInput!$M$27,Inputs!$B$4="Chapter Hunt"),CHOOSE(ArtifactsInput!$N$27+1,20,24,28,32,36,40),0)/100)))+1)),0)</f>
        <v/>
      </c>
      <c r="S1310">
        <f>IF(C1310,(H1310*N1310*IF(AND(Inputs!$B$38&lt;&gt;"pvp",Inputs!$B$43&gt;0),((Skills!G8*((R1310-1)*IF(Skills!H8&gt;0,Skills!I8/Skills!H8,1)+IF(Skills!H8&gt;0,MIN(Skills!I8,MAX(0,MAX(0,Inputs!$B$43-B1340)-((R1310-1)*(IF(Inputs!$B$38="pvp",15,MAX(0.1,Skills!E8-IF(Skills!F8=TRUE,Inputs!$B$32,0)))*(1-IF(AND(ArtifactsInput!$M$27,Inputs!$B$4="Chapter Hunt"),CHOOSE(ArtifactsInput!$N$27+1,20,24,28,32,36,40),0)/100)))))/Skills!H8,1)))/Inputs!$B$43),G1310*Q1310)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1310*(1-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1310*(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1310*(1-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1310*(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0">
        <f>IF(C1310,(H1310*N1310*IF(AND(Inputs!$B$38&lt;&gt;"pvp",Inputs!$B$43&gt;0),((Skills!G8*((R1310-1)*IF(Skills!H8&gt;0,Skills!I8/Skills!H8,1)+IF(Skills!H8&gt;0,MIN(Skills!I8,MAX(0,MAX(0,Inputs!$B$43-B1340)-((R1310-1)*(IF(Inputs!$B$38="pvp",15,MAX(0.1,Skills!E8-IF(Skills!F8=TRUE,Inputs!$B$32,0)))*(1-IF(AND(ArtifactsInput!$M$27,Inputs!$B$4="Chapter Hunt"),CHOOSE(ArtifactsInput!$N$27+1,20,24,28,32,36,40),0)/100)))))/Skills!H8,1)))/Inputs!$B$43),G1310*Q1310)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1">
      <c r="A1311">
        <f>Skills!A9</f>
        <v/>
      </c>
      <c r="B1311">
        <f>Skills!B9</f>
        <v/>
      </c>
      <c r="C1311">
        <f>Inputs!$B$3&gt;=103</f>
        <v/>
      </c>
      <c r="D1311">
        <f>IF(Skills!C9=1,60+Inputs!$B$25+Inputs!$B$29,IF(Skills!C9=2,90+Inputs!$B$26+Inputs!$B$29,IF(Skills!C9=3,120+Inputs!$B$27+Inputs!$B$29,MAX(0,(Inputs!$B$3-100)*3)+Inputs!$B$28+Inputs!$B$29)))</f>
        <v/>
      </c>
      <c r="E1311">
        <f>INDEX(FactorTable!$B$2:$Y$301, MATCH(ROUND(MIN(300,MAX(1,D1311)),0), FactorTable!$A$2:$A$301,0), Skills!M9+1)</f>
        <v/>
      </c>
      <c r="F1311">
        <f>IF(Skills!N9=TRUE,(Skills!L9/10)*(E1311/1000),Skills!L9/10)+Skills!O9</f>
        <v/>
      </c>
      <c r="G1311">
        <f>Calc!G9</f>
        <v/>
      </c>
      <c r="H1311">
        <f>Calc!H9</f>
        <v/>
      </c>
      <c r="I1311">
        <f>IF(Skills!X9&lt;&gt;"",1+(Skills!X9/10)*(Z1305/1000)/100,1)</f>
        <v/>
      </c>
      <c r="J1311">
        <f>((Inputs!$B$6*(1+Inputs!$B$7/100))+(((Inputs!$B$12*(1+Inputs!$B$13/100))-(Inputs!$B$12*(1+Inputs!$B$13/100)))+0.25*(Inputs!$B$14-Inputs!$B$14))*(1+Inputs!$B$7/100))*(F1311/100)</f>
        <v/>
      </c>
      <c r="K1311">
        <f>J1311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1311)</f>
        <v/>
      </c>
      <c r="L1311">
        <f>K1311*(MIN(Inputs!$B$22+(F1324-Calc!F22),(Inputs!$B$23+(IF(ArtifactsInput!$M$15,CHOOSE(ArtifactsInput!$N$15+1,25,30,35,40,45,50)/100*(Inputs!$B$11-Inputs!$B$11),0))))/100+(Inputs!$B$23+(IF(ArtifactsInput!$M$15,CHOOSE(ArtifactsInput!$N$15+1,25,30,35,40,45,50)/100*(Inputs!$B$11-Inputs!$B$11),0)))/100)/2</f>
        <v/>
      </c>
      <c r="M1311">
        <f>L1311*(1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1">
        <f>L1311*(1-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1">
        <f>(1-Summary!$B$11)*S1311+Summary!$B$11*U1311</f>
        <v/>
      </c>
      <c r="P1311">
        <f>IF(B1343=0,0,O1311/B1343)</f>
        <v/>
      </c>
      <c r="Q1311">
        <f>IFERROR(1/(IF(Inputs!$B$38="pvp",15,MAX(0.1,Skills!E9-IF(Skills!F7=TRUE,Inputs!$B$32,0)))*(1-IF(AND(ArtifactsInput!$M$27,Inputs!$B$4="Chapter Hunt"),CHOOSE(ArtifactsInput!$N$27+1,20,24,28,32,36,40),0)/100)),0)</f>
        <v/>
      </c>
      <c r="R1311">
        <f>IF(AND(Inputs!$B$38&lt;&gt;"pvp",Inputs!$B$43&gt;0),IF(MAX(0,Inputs!$B$43-B1340)&lt;=0,0,(INT(MAX(0,Inputs!$B$43-B1340)/(IF(Inputs!$B$38="pvp",15,MAX(0.1,Skills!E9-IF(Skills!F7=TRUE,Inputs!$B$32,0)))*(1-IF(AND(ArtifactsInput!$M$27,Inputs!$B$4="Chapter Hunt"),CHOOSE(ArtifactsInput!$N$27+1,20,24,28,32,36,40),0)/100)))+1)),0)</f>
        <v/>
      </c>
      <c r="S1311">
        <f>IF(C1311,(H1311*N1311*IF(AND(Inputs!$B$38&lt;&gt;"pvp",Inputs!$B$43&gt;0),((Skills!G9*((R1311-1)*IF(Skills!H9&gt;0,Skills!I9/Skills!H9,1)+IF(Skills!H9&gt;0,MIN(Skills!I9,MAX(0,MAX(0,Inputs!$B$43-B1340)-((R1311-1)*(IF(Inputs!$B$38="pvp",15,MAX(0.1,Skills!E9-IF(Skills!F7=TRUE,Inputs!$B$32,0)))*(1-IF(AND(ArtifactsInput!$M$27,Inputs!$B$4="Chapter Hunt"),CHOOSE(ArtifactsInput!$N$27+1,20,24,28,32,36,40),0)/100)))))/Skills!H9,1)))/Inputs!$B$43),G1311*Q1311)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1311*(1-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1311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1311*(1-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1">
        <f>IF(C1311,(H1311*N1311*IF(AND(Inputs!$B$38&lt;&gt;"pvp",Inputs!$B$43&gt;0),((Skills!G9*((R1311-1)*IF(Skills!H9&gt;0,Skills!I9/Skills!H9,1)+IF(Skills!H9&gt;0,MIN(Skills!I9,MAX(0,MAX(0,Inputs!$B$43-B1340)-((R1311-1)*(IF(Inputs!$B$38="pvp",15,MAX(0.1,Skills!E9-IF(Skills!F7=TRUE,Inputs!$B$32,0)))*(1-IF(AND(ArtifactsInput!$M$27,Inputs!$B$4="Chapter Hunt"),CHOOSE(ArtifactsInput!$N$27+1,20,24,28,32,36,40),0)/100)))))/Skills!H9,1)))/Inputs!$B$43),G1311*Q1311)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2">
      <c r="A1312">
        <f>Skills!A10</f>
        <v/>
      </c>
      <c r="B1312">
        <f>Skills!B10</f>
        <v/>
      </c>
      <c r="C1312">
        <f>TRUE</f>
        <v/>
      </c>
      <c r="D1312">
        <f>IF(Skills!C10=1,60+Inputs!$B$25+Inputs!$B$29,IF(Skills!C10=2,90+Inputs!$B$26+Inputs!$B$29,IF(Skills!C10=3,120+Inputs!$B$27+Inputs!$B$29,MAX(0,(Inputs!$B$3-100)*3)+Inputs!$B$28+Inputs!$B$29)))</f>
        <v/>
      </c>
      <c r="E1312">
        <f>INDEX(FactorTable!$B$2:$Y$301, MATCH(ROUND(MIN(300,MAX(1,D1312)),0), FactorTable!$A$2:$A$301,0), Skills!M10+1)</f>
        <v/>
      </c>
      <c r="F1312">
        <f>IF(Skills!N10=TRUE,(Skills!L10/10)*(E1312/1000),Skills!L10/10)+Skills!O10</f>
        <v/>
      </c>
      <c r="G1312">
        <f>Calc!G10</f>
        <v/>
      </c>
      <c r="H1312">
        <f>Calc!H10</f>
        <v/>
      </c>
      <c r="I1312">
        <f>IF(Skills!X10&lt;&gt;"",1+(Skills!X10/10)*(Z1305/1000)/100,1)</f>
        <v/>
      </c>
      <c r="J1312">
        <f>((Inputs!$B$6*(1+Inputs!$B$7/100))+(((Inputs!$B$12*(1+Inputs!$B$13/100))-(Inputs!$B$12*(1+Inputs!$B$13/100)))+0.25*(Inputs!$B$14-Inputs!$B$14))*(1+Inputs!$B$7/100))*(F1312/100)</f>
        <v/>
      </c>
      <c r="K1312">
        <f>J1312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1312)</f>
        <v/>
      </c>
      <c r="L1312">
        <f>K1312*(MIN(Inputs!$B$22+(F1324-Calc!F22),(Inputs!$B$23+(IF(ArtifactsInput!$M$15,CHOOSE(ArtifactsInput!$N$15+1,25,30,35,40,45,50)/100*(Inputs!$B$11-Inputs!$B$11),0))))/100+(Inputs!$B$23+(IF(ArtifactsInput!$M$15,CHOOSE(ArtifactsInput!$N$15+1,25,30,35,40,45,50)/100*(Inputs!$B$11-Inputs!$B$11),0)))/100)/2</f>
        <v/>
      </c>
      <c r="M1312">
        <f>L1312*(1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2">
        <f>L1312*(1-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1312*(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2">
        <f>(1-Summary!$B$11)*S1312+Summary!$B$11*U1312</f>
        <v/>
      </c>
      <c r="P1312">
        <f>IF(B1343=0,0,O1312/B1343)</f>
        <v/>
      </c>
      <c r="Q1312">
        <f>IFERROR(1/(IF(Inputs!$B$38="pvp",15,MAX(0.1,Skills!E10-IF(Skills!F10=TRUE,Inputs!$B$32,0)))*(1-IF(AND(ArtifactsInput!$M$27,Inputs!$B$4="Chapter Hunt"),CHOOSE(ArtifactsInput!$N$27+1,20,24,28,32,36,40),0)/100)),0)</f>
        <v/>
      </c>
      <c r="R1312">
        <f>IF(AND(Inputs!$B$38&lt;&gt;"pvp",Inputs!$B$43&gt;0),IF(MAX(0,Inputs!$B$43-B1340)&lt;=0,0,(INT(MAX(0,Inputs!$B$43-B1340)/(IF(Inputs!$B$38="pvp",15,MAX(0.1,Skills!E10-IF(Skills!F10=TRUE,Inputs!$B$32,0)))*(1-IF(AND(ArtifactsInput!$M$27,Inputs!$B$4="Chapter Hunt"),CHOOSE(ArtifactsInput!$N$27+1,20,24,28,32,36,40),0)/100)))+1)),0)</f>
        <v/>
      </c>
      <c r="S1312">
        <f>IF(C1312,(H1312*N1312*IF(AND(Inputs!$B$38&lt;&gt;"pvp",Inputs!$B$43&gt;0),((Skills!G10*((R1312-1)*IF(Skills!H10&gt;0,Skills!I10/Skills!H10,1)+IF(Skills!H10&gt;0,MIN(Skills!I10,MAX(0,MAX(0,Inputs!$B$43-B1340)-((R1312-1)*(IF(Inputs!$B$38="pvp",15,MAX(0.1,Skills!E10-IF(Skills!F10=TRUE,Inputs!$B$32,0)))*(1-IF(AND(ArtifactsInput!$M$27,Inputs!$B$4="Chapter Hunt"),CHOOSE(ArtifactsInput!$N$27+1,20,24,28,32,36,40),0)/100)))))/Skills!H10,1)))/Inputs!$B$43),G1312*Q1312)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1312*(1-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1312*(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1312*(1-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1312*(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2">
        <f>IF(C1312,(H1312*N1312*IF(AND(Inputs!$B$38&lt;&gt;"pvp",Inputs!$B$43&gt;0),((Skills!G10*((R1312-1)*IF(Skills!H10&gt;0,Skills!I10/Skills!H10,1)+IF(Skills!H10&gt;0,MIN(Skills!I10,MAX(0,MAX(0,Inputs!$B$43-B1340)-((R1312-1)*(IF(Inputs!$B$38="pvp",15,MAX(0.1,Skills!E10-IF(Skills!F10=TRUE,Inputs!$B$32,0)))*(1-IF(AND(ArtifactsInput!$M$27,Inputs!$B$4="Chapter Hunt"),CHOOSE(ArtifactsInput!$N$27+1,20,24,28,32,36,40),0)/100)))))/Skills!H10,1)))/Inputs!$B$43),G1312*Q1312)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3">
      <c r="A1313">
        <f>Skills!A11</f>
        <v/>
      </c>
      <c r="B1313">
        <f>Skills!B11</f>
        <v/>
      </c>
      <c r="C1313">
        <f>TRUE</f>
        <v/>
      </c>
      <c r="D1313">
        <f>IF(Skills!C11=1,60+Inputs!$B$25+Inputs!$B$29,IF(Skills!C11=2,90+Inputs!$B$26+Inputs!$B$29,IF(Skills!C11=3,120+Inputs!$B$27+Inputs!$B$29,MAX(0,(Inputs!$B$3-100)*3)+Inputs!$B$28+Inputs!$B$29)))</f>
        <v/>
      </c>
      <c r="E1313">
        <f>INDEX(FactorTable!$B$2:$Y$301, MATCH(ROUND(MIN(300,MAX(1,D1313)),0), FactorTable!$A$2:$A$301,0), Skills!M11+1)</f>
        <v/>
      </c>
      <c r="F1313">
        <f>IF(Skills!N11=TRUE,(Skills!L11/10)*(E1313/1000),Skills!L11/10)+Skills!O11</f>
        <v/>
      </c>
      <c r="G1313">
        <f>Calc!G11</f>
        <v/>
      </c>
      <c r="H1313">
        <f>Calc!H11</f>
        <v/>
      </c>
      <c r="I1313">
        <f>IF(Skills!X11&lt;&gt;"",1+(Skills!X11/10)*(Z1305/1000)/100,1)</f>
        <v/>
      </c>
      <c r="J1313" t="inlineStr"/>
      <c r="K1313" t="inlineStr"/>
      <c r="L1313" t="inlineStr"/>
      <c r="M1313" t="inlineStr"/>
      <c r="N1313" t="inlineStr"/>
      <c r="O1313">
        <f>(1-Summary!$B$11)*S1313+Summary!$B$11*U1313</f>
        <v/>
      </c>
      <c r="P1313">
        <f>IF(B1343=0,0,O1313/B1343)</f>
        <v/>
      </c>
      <c r="Q1313">
        <f>IFERROR(1/(IF(Inputs!$B$38="pvp",15,MAX(0.1,Skills!E11-IF(Skills!F11=TRUE,Inputs!$B$32,0)))*(1-IF(AND(ArtifactsInput!$M$27,Inputs!$B$4="Chapter Hunt"),CHOOSE(ArtifactsInput!$N$27+1,20,24,28,32,36,40),0)/100)),0)</f>
        <v/>
      </c>
      <c r="R1313" t="n">
        <v>0</v>
      </c>
      <c r="S1313" t="n">
        <v>0</v>
      </c>
      <c r="U1313" t="n">
        <v>0</v>
      </c>
    </row>
    <row r="1314">
      <c r="A1314">
        <f>Skills!A12</f>
        <v/>
      </c>
      <c r="B1314">
        <f>Skills!B12</f>
        <v/>
      </c>
      <c r="C1314">
        <f>TRUE</f>
        <v/>
      </c>
      <c r="D1314">
        <f>IF(Skills!C12=1,60+Inputs!$B$25+Inputs!$B$29,IF(Skills!C12=2,90+Inputs!$B$26+Inputs!$B$29,IF(Skills!C12=3,120+Inputs!$B$27+Inputs!$B$29,MAX(0,(Inputs!$B$3-100)*3)+Inputs!$B$28+Inputs!$B$29)))</f>
        <v/>
      </c>
      <c r="E1314">
        <f>INDEX(FactorTable!$B$2:$Y$301, MATCH(ROUND(MIN(300,MAX(1,D1314)),0), FactorTable!$A$2:$A$301,0), Skills!M12+1)</f>
        <v/>
      </c>
      <c r="F1314">
        <f>IF(Skills!N12=TRUE,(Skills!L12/10)*(E1314/1000),Skills!L12/10)+Skills!O12</f>
        <v/>
      </c>
      <c r="G1314">
        <f>Calc!G12</f>
        <v/>
      </c>
      <c r="H1314">
        <f>Calc!H12</f>
        <v/>
      </c>
      <c r="I1314">
        <f>IF(Skills!X12&lt;&gt;"",1+(Skills!X12/10)*(Z1305/1000)/100,1)</f>
        <v/>
      </c>
      <c r="J1314" t="inlineStr"/>
      <c r="K1314" t="inlineStr"/>
      <c r="L1314" t="inlineStr"/>
      <c r="M1314" t="inlineStr"/>
      <c r="N1314" t="inlineStr"/>
      <c r="O1314">
        <f>(1-Summary!$B$11)*S1314+Summary!$B$11*U1314</f>
        <v/>
      </c>
      <c r="P1314">
        <f>IF(B1343=0,0,O1314/B1343)</f>
        <v/>
      </c>
      <c r="Q1314">
        <f>IFERROR(1/(IF(Inputs!$B$38="pvp",15,MAX(0.1,Skills!E12-IF(Skills!F12=TRUE,Inputs!$B$32,0)))*(1-IF(AND(ArtifactsInput!$M$27,Inputs!$B$4="Chapter Hunt"),CHOOSE(ArtifactsInput!$N$27+1,20,24,28,32,36,40),0)/100)),0)</f>
        <v/>
      </c>
      <c r="R1314" t="n">
        <v>0</v>
      </c>
      <c r="S1314" t="n">
        <v>0</v>
      </c>
      <c r="U1314" t="n">
        <v>0</v>
      </c>
    </row>
    <row r="1315">
      <c r="A1315">
        <f>Skills!A13</f>
        <v/>
      </c>
      <c r="B1315">
        <f>Skills!B13</f>
        <v/>
      </c>
      <c r="C1315">
        <f>Inputs!$B$3&gt;=105</f>
        <v/>
      </c>
      <c r="D1315">
        <f>IF(Skills!C13=1,60+Inputs!$B$25+Inputs!$B$29,IF(Skills!C13=2,90+Inputs!$B$26+Inputs!$B$29,IF(Skills!C13=3,120+Inputs!$B$27+Inputs!$B$29,MAX(0,(Inputs!$B$3-100)*3)+Inputs!$B$28+Inputs!$B$29)))</f>
        <v/>
      </c>
      <c r="E1315">
        <f>INDEX(FactorTable!$B$2:$Y$301, MATCH(ROUND(MIN(300,MAX(1,D1315)),0), FactorTable!$A$2:$A$301,0), Skills!M13+1)</f>
        <v/>
      </c>
      <c r="F1315">
        <f>IF(Skills!N13=TRUE,(Skills!L13/10)*(E1315/1000),Skills!L13/10)+Skills!O13</f>
        <v/>
      </c>
      <c r="G1315">
        <f>Calc!G13</f>
        <v/>
      </c>
      <c r="H1315">
        <f>Calc!H13</f>
        <v/>
      </c>
      <c r="I1315">
        <f>IF(Skills!X13&lt;&gt;"",1+(Skills!X13/10)*(Z1305/1000)/100,1)</f>
        <v/>
      </c>
      <c r="J1315">
        <f>((Inputs!$B$6*(1+Inputs!$B$7/100))+(((Inputs!$B$12*(1+Inputs!$B$13/100))-(Inputs!$B$12*(1+Inputs!$B$13/100)))+0.25*(Inputs!$B$14-Inputs!$B$14))*(1+Inputs!$B$7/100))*(F1315/100)</f>
        <v/>
      </c>
      <c r="K1315">
        <f>J1315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1315)</f>
        <v/>
      </c>
      <c r="L1315">
        <f>K1315*(MIN(Inputs!$B$22+(F1324-Calc!F22),(Inputs!$B$23+(IF(ArtifactsInput!$M$15,CHOOSE(ArtifactsInput!$N$15+1,25,30,35,40,45,50)/100*(Inputs!$B$11-Inputs!$B$11),0))))/100+(Inputs!$B$23+(IF(ArtifactsInput!$M$15,CHOOSE(ArtifactsInput!$N$15+1,25,30,35,40,45,50)/100*(Inputs!$B$11-Inputs!$B$11),0)))/100)/2</f>
        <v/>
      </c>
      <c r="M1315">
        <f>L1315*(1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5">
        <f>L1315*(1-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1315*(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5">
        <f>(1-Summary!$B$11)*S1315+Summary!$B$11*U1315</f>
        <v/>
      </c>
      <c r="P1315">
        <f>IF(B1343=0,0,O1315/B1343)</f>
        <v/>
      </c>
      <c r="Q1315">
        <f>IFERROR(1/(IF(Inputs!$B$38="pvp",15,MAX(0.1,Skills!E13-IF(Skills!F13=TRUE,Inputs!$B$32,0)))*(1-IF(AND(ArtifactsInput!$M$27,Inputs!$B$4="Chapter Hunt"),CHOOSE(ArtifactsInput!$N$27+1,20,24,28,32,36,40),0)/100)),0)</f>
        <v/>
      </c>
      <c r="R1315">
        <f>IF(AND(Inputs!$B$38&lt;&gt;"pvp",Inputs!$B$43&gt;0),IF(MAX(0,Inputs!$B$43-B1340)&lt;=0,0,(INT(MAX(0,Inputs!$B$43-B1340)/(IF(Inputs!$B$38="pvp",15,MAX(0.1,Skills!E13-IF(Skills!F13=TRUE,Inputs!$B$32,0)))*(1-IF(AND(ArtifactsInput!$M$27,Inputs!$B$4="Chapter Hunt"),CHOOSE(ArtifactsInput!$N$27+1,20,24,28,32,36,40),0)/100)))+1)),0)</f>
        <v/>
      </c>
      <c r="S1315">
        <f>IF(C1315,(H1315*N1315*IF(AND(Inputs!$B$38&lt;&gt;"pvp",Inputs!$B$43&gt;0),((Skills!G13*((R1315-1)*IF(Skills!H13&gt;0,Skills!I13/Skills!H13,1)+IF(Skills!H13&gt;0,MIN(Skills!I13,MAX(0,MAX(0,Inputs!$B$43-B1340)-((R1315-1)*(IF(Inputs!$B$38="pvp",15,MAX(0.1,Skills!E13-IF(Skills!F13=TRUE,Inputs!$B$32,0)))*(1-IF(AND(ArtifactsInput!$M$27,Inputs!$B$4="Chapter Hunt"),CHOOSE(ArtifactsInput!$N$27+1,20,24,28,32,36,40),0)/100)))))/Skills!H13,1)))/Inputs!$B$43),G1315*Q1315)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1315*(1-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1315*(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1315*(1-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1315*(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5">
        <f>IF(C1315,(H1315*N1315*IF(AND(Inputs!$B$38&lt;&gt;"pvp",Inputs!$B$43&gt;0),((Skills!G13*((R1315-1)*IF(Skills!H13&gt;0,Skills!I13/Skills!H13,1)+IF(Skills!H13&gt;0,MIN(Skills!I13,MAX(0,MAX(0,Inputs!$B$43-B1340)-((R1315-1)*(IF(Inputs!$B$38="pvp",15,MAX(0.1,Skills!E13-IF(Skills!F13=TRUE,Inputs!$B$32,0)))*(1-IF(AND(ArtifactsInput!$M$27,Inputs!$B$4="Chapter Hunt"),CHOOSE(ArtifactsInput!$N$27+1,20,24,28,32,36,40),0)/100)))))/Skills!H13,1)))/Inputs!$B$43),G1315*Q1315)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6">
      <c r="A1316">
        <f>Skills!A14</f>
        <v/>
      </c>
      <c r="B1316">
        <f>Skills!B14</f>
        <v/>
      </c>
      <c r="C1316">
        <f>Inputs!$B$3&gt;=113</f>
        <v/>
      </c>
      <c r="D1316">
        <f>IF(Skills!C14=1,60+Inputs!$B$25+Inputs!$B$29,IF(Skills!C14=2,90+Inputs!$B$26+Inputs!$B$29,IF(Skills!C14=3,120+Inputs!$B$27+Inputs!$B$29,MAX(0,(Inputs!$B$3-100)*3)+Inputs!$B$28+Inputs!$B$29)))</f>
        <v/>
      </c>
      <c r="E1316">
        <f>INDEX(FactorTable!$B$2:$Y$301, MATCH(ROUND(MIN(300,MAX(1,D1316)),0), FactorTable!$A$2:$A$301,0), Skills!M14+1)</f>
        <v/>
      </c>
      <c r="F1316">
        <f>IF(Skills!N14=TRUE,(Skills!L14/10)*(E1316/1000),Skills!L14/10)+Skills!O14</f>
        <v/>
      </c>
      <c r="G1316">
        <f>Calc!G14</f>
        <v/>
      </c>
      <c r="H1316">
        <f>Calc!H14</f>
        <v/>
      </c>
      <c r="I1316">
        <f>IF(Skills!X14&lt;&gt;"",1+(Skills!X14/10)*(Z1305/1000)/100,1)</f>
        <v/>
      </c>
      <c r="J1316">
        <f>((Inputs!$B$6*(1+Inputs!$B$7/100))+(((Inputs!$B$12*(1+Inputs!$B$13/100))-(Inputs!$B$12*(1+Inputs!$B$13/100)))+0.25*(Inputs!$B$14-Inputs!$B$14))*(1+Inputs!$B$7/100))*(F1316/100)</f>
        <v/>
      </c>
      <c r="K1316">
        <f>J1316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1316)</f>
        <v/>
      </c>
      <c r="L1316">
        <f>K1316*(MIN(Inputs!$B$22+(F1324-Calc!F22),(Inputs!$B$23+(IF(ArtifactsInput!$M$15,CHOOSE(ArtifactsInput!$N$15+1,25,30,35,40,45,50)/100*(Inputs!$B$11-Inputs!$B$11),0))))/100+(Inputs!$B$23+(IF(ArtifactsInput!$M$15,CHOOSE(ArtifactsInput!$N$15+1,25,30,35,40,45,50)/100*(Inputs!$B$11-Inputs!$B$11),0)))/100)/2</f>
        <v/>
      </c>
      <c r="M1316">
        <f>L1316*(1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6">
        <f>L1316*(1-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1316*(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6">
        <f>(1-Summary!$B$11)*S1316+Summary!$B$11*U1316</f>
        <v/>
      </c>
      <c r="P1316">
        <f>IF(B1343=0,0,O1316/B1343)</f>
        <v/>
      </c>
      <c r="Q1316">
        <f>IFERROR(1/(IF(Inputs!$B$38="pvp",15,MAX(0.1,Skills!E14-IF(Skills!F14=TRUE,Inputs!$B$32,0)))*(1-IF(AND(ArtifactsInput!$M$27,Inputs!$B$4="Chapter Hunt"),CHOOSE(ArtifactsInput!$N$27+1,20,24,28,32,36,40),0)/100)),0)</f>
        <v/>
      </c>
      <c r="R1316" t="n">
        <v>0</v>
      </c>
      <c r="S1316">
        <f>IF(C1316,((H1316*B1339)/(1+Skills!H14*H1316*B1339)*N1316)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1316*(1-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1316*(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1316*(1-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1316*(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6">
        <f>IF(C1316,((H1316*B1339)/(1+Skills!H14*H1316*B1339)*N1316)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7">
      <c r="A1317">
        <f>Skills!A15</f>
        <v/>
      </c>
      <c r="B1317">
        <f>Skills!B15</f>
        <v/>
      </c>
      <c r="C1317">
        <f>Inputs!$B$3&gt;=107</f>
        <v/>
      </c>
      <c r="D1317">
        <f>IF(Skills!C15=1,60+Inputs!$B$25+Inputs!$B$29,IF(Skills!C15=2,90+Inputs!$B$26+Inputs!$B$29,IF(Skills!C15=3,120+Inputs!$B$27+Inputs!$B$29,MAX(0,(Inputs!$B$3-100)*3)+Inputs!$B$28+Inputs!$B$29)))</f>
        <v/>
      </c>
      <c r="E1317">
        <f>INDEX(FactorTable!$B$2:$Y$301, MATCH(ROUND(MIN(300,MAX(1,D1317)),0), FactorTable!$A$2:$A$301,0), Skills!M15+1)</f>
        <v/>
      </c>
      <c r="F1317">
        <f>IF(Skills!N15=TRUE,(Skills!L15/10)*(E1317/1000),Skills!L15/10)+Skills!O15</f>
        <v/>
      </c>
      <c r="G1317">
        <f>Calc!G15</f>
        <v/>
      </c>
      <c r="H1317">
        <f>Calc!H15</f>
        <v/>
      </c>
      <c r="I1317">
        <f>IF(Skills!X15&lt;&gt;"",1+(Skills!X15/10)*(Z1305/1000)/100,1)</f>
        <v/>
      </c>
      <c r="J1317">
        <f>((Inputs!$B$6*(1+Inputs!$B$7/100))+(((Inputs!$B$12*(1+Inputs!$B$13/100))-(Inputs!$B$12*(1+Inputs!$B$13/100)))+0.25*(Inputs!$B$14-Inputs!$B$14))*(1+Inputs!$B$7/100))*(F1317/100)</f>
        <v/>
      </c>
      <c r="K1317">
        <f>J1317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1317)</f>
        <v/>
      </c>
      <c r="L1317">
        <f>K1317*(MIN(Inputs!$B$22+(F1324-Calc!F22),(Inputs!$B$23+(IF(ArtifactsInput!$M$15,CHOOSE(ArtifactsInput!$N$15+1,25,30,35,40,45,50)/100*(Inputs!$B$11-Inputs!$B$11),0))))/100+(Inputs!$B$23+(IF(ArtifactsInput!$M$15,CHOOSE(ArtifactsInput!$N$15+1,25,30,35,40,45,50)/100*(Inputs!$B$11-Inputs!$B$11),0)))/100)/2</f>
        <v/>
      </c>
      <c r="M1317">
        <f>L1317*(1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7">
        <f>L1317*(1-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1317*(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7">
        <f>(1-Summary!$B$11)*S1317+Summary!$B$11*U1317</f>
        <v/>
      </c>
      <c r="P1317">
        <f>IF(B1343=0,0,O1317/B1343)</f>
        <v/>
      </c>
      <c r="Q1317">
        <f>IFERROR(1/(IF(Inputs!$B$38="pvp",15,MAX(0.1,Skills!E15-IF(Skills!F15=TRUE,Inputs!$B$32,0)))*(1-IF(AND(ArtifactsInput!$M$27,Inputs!$B$4="Chapter Hunt"),CHOOSE(ArtifactsInput!$N$27+1,20,24,28,32,36,40),0)/100)),0)</f>
        <v/>
      </c>
      <c r="R1317">
        <f>IF(AND(Inputs!$B$38&lt;&gt;"pvp",Inputs!$B$43&gt;0),IF(MAX(0,Inputs!$B$43-B1340)&lt;=0,0,(INT(MAX(0,Inputs!$B$43-B1340)/(IF(Inputs!$B$38="pvp",15,MAX(0.1,Skills!E15-IF(Skills!F15=TRUE,Inputs!$B$32,0)))*(1-IF(AND(ArtifactsInput!$M$27,Inputs!$B$4="Chapter Hunt"),CHOOSE(ArtifactsInput!$N$27+1,20,24,28,32,36,40),0)/100)))+1)),0)</f>
        <v/>
      </c>
      <c r="S1317">
        <f>IF(C1317,(H1317*N1317*IF(AND(Inputs!$B$38&lt;&gt;"pvp",Inputs!$B$43&gt;0),((Skills!G15*((R1317-1)*IF(Skills!H15&gt;0,Skills!I15/Skills!H15,1)+IF(Skills!H15&gt;0,MIN(Skills!I15,MAX(0,MAX(0,Inputs!$B$43-B1340)-((R1317-1)*(IF(Inputs!$B$38="pvp",15,MAX(0.1,Skills!E15-IF(Skills!F15=TRUE,Inputs!$B$32,0)))*(1-IF(AND(ArtifactsInput!$M$27,Inputs!$B$4="Chapter Hunt"),CHOOSE(ArtifactsInput!$N$27+1,20,24,28,32,36,40),0)/100)))))/Skills!H15,1)))/Inputs!$B$43),G1317*Q1317)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1317*(1-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1317*(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1317*(1-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1317*(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7">
        <f>IF(C1317,(H1317*N1317*IF(AND(Inputs!$B$38&lt;&gt;"pvp",Inputs!$B$43&gt;0),((Skills!G15*((R1317-1)*IF(Skills!H15&gt;0,Skills!I15/Skills!H15,1)+IF(Skills!H15&gt;0,MIN(Skills!I15,MAX(0,MAX(0,Inputs!$B$43-B1340)-((R1317-1)*(IF(Inputs!$B$38="pvp",15,MAX(0.1,Skills!E15-IF(Skills!F15=TRUE,Inputs!$B$32,0)))*(1-IF(AND(ArtifactsInput!$M$27,Inputs!$B$4="Chapter Hunt"),CHOOSE(ArtifactsInput!$N$27+1,20,24,28,32,36,40),0)/100)))))/Skills!H15,1)))/Inputs!$B$43),G1317*Q1317)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8">
      <c r="A1318">
        <f>Skills!A16</f>
        <v/>
      </c>
      <c r="B1318">
        <f>Skills!B16</f>
        <v/>
      </c>
      <c r="C1318">
        <f>Inputs!$B$3&gt;=107</f>
        <v/>
      </c>
      <c r="D1318">
        <f>IF(Skills!C16=1,60+Inputs!$B$25+Inputs!$B$29,IF(Skills!C16=2,90+Inputs!$B$26+Inputs!$B$29,IF(Skills!C16=3,120+Inputs!$B$27+Inputs!$B$29,MAX(0,(Inputs!$B$3-100)*3)+Inputs!$B$28+Inputs!$B$29)))</f>
        <v/>
      </c>
      <c r="E1318">
        <f>INDEX(FactorTable!$B$2:$Y$301, MATCH(ROUND(MIN(300,MAX(1,D1318)),0), FactorTable!$A$2:$A$301,0), Skills!M16+1)</f>
        <v/>
      </c>
      <c r="F1318">
        <f>IF(Skills!N16=TRUE,(Skills!L16/10)*(E1318/1000),Skills!L16/10)+Skills!O16</f>
        <v/>
      </c>
      <c r="G1318">
        <f>Calc!G16</f>
        <v/>
      </c>
      <c r="H1318">
        <f>Calc!H16</f>
        <v/>
      </c>
      <c r="I1318">
        <f>IF(Skills!X16&lt;&gt;"",1+(Skills!X16/10)*(Z1305/1000)/100,1)</f>
        <v/>
      </c>
      <c r="J1318">
        <f>((Inputs!$B$6*(1+Inputs!$B$7/100))+(((Inputs!$B$12*(1+Inputs!$B$13/100))-(Inputs!$B$12*(1+Inputs!$B$13/100)))+0.25*(Inputs!$B$14-Inputs!$B$14))*(1+Inputs!$B$7/100))*(F1318/100)</f>
        <v/>
      </c>
      <c r="K1318">
        <f>J1318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1318)</f>
        <v/>
      </c>
      <c r="L1318">
        <f>K1318*(MIN(Inputs!$B$22+(F1324-Calc!F22),(Inputs!$B$23+(IF(ArtifactsInput!$M$15,CHOOSE(ArtifactsInput!$N$15+1,25,30,35,40,45,50)/100*(Inputs!$B$11-Inputs!$B$11),0))))/100+(Inputs!$B$23+(IF(ArtifactsInput!$M$15,CHOOSE(ArtifactsInput!$N$15+1,25,30,35,40,45,50)/100*(Inputs!$B$11-Inputs!$B$11),0)))/100)/2</f>
        <v/>
      </c>
      <c r="M1318">
        <f>L1318*(1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8">
        <f>L1318*(1-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1318*(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8">
        <f>(1-Summary!$B$11)*S1318+Summary!$B$11*U1318</f>
        <v/>
      </c>
      <c r="P1318">
        <f>IF(B1343=0,0,O1318/B1343)</f>
        <v/>
      </c>
      <c r="Q1318">
        <f>IFERROR(1/(IF(Inputs!$B$38="pvp",15,MAX(0.1,Skills!E16-IF(Skills!F16=TRUE,Inputs!$B$32,0)))*(1-IF(AND(ArtifactsInput!$M$27,Inputs!$B$4="Chapter Hunt"),CHOOSE(ArtifactsInput!$N$27+1,20,24,28,32,36,40),0)/100)),0)</f>
        <v/>
      </c>
      <c r="R1318">
        <f>IF(AND(Inputs!$B$38&lt;&gt;"pvp",Inputs!$B$43&gt;0),IF(MAX(0,Inputs!$B$43-B1340)&lt;=0,0,(INT(MAX(0,Inputs!$B$43-B1340)/(IF(Inputs!$B$38="pvp",15,MAX(0.1,Skills!E16-IF(Skills!F16=TRUE,Inputs!$B$32,0)))*(1-IF(AND(ArtifactsInput!$M$27,Inputs!$B$4="Chapter Hunt"),CHOOSE(ArtifactsInput!$N$27+1,20,24,28,32,36,40),0)/100)))+1)),0)</f>
        <v/>
      </c>
      <c r="S1318">
        <f>IF(C1318,(H1318*N1318*IF(AND(Inputs!$B$38&lt;&gt;"pvp",Inputs!$B$43&gt;0),((Skills!G16*((R1318-1)*IF(Skills!H16&gt;0,Skills!I16/Skills!H16,1)+IF(Skills!H16&gt;0,MIN(Skills!I16,MAX(0,MAX(0,Inputs!$B$43-B1340)-((R1318-1)*(IF(Inputs!$B$38="pvp",15,MAX(0.1,Skills!E16-IF(Skills!F16=TRUE,Inputs!$B$32,0)))*(1-IF(AND(ArtifactsInput!$M$27,Inputs!$B$4="Chapter Hunt"),CHOOSE(ArtifactsInput!$N$27+1,20,24,28,32,36,40),0)/100)))))/Skills!H16,1)))/Inputs!$B$43),G1318*Q1318)*(1+IF(Inputs!$B$3&gt;=126,0.05*(B1338+Q1315+(H1316*B1339)/(1+Skills!H14*H1316*B1339)+Q1326)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1318*(1-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1318*(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1318*(1-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1318*(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8">
        <f>IF(C1318,(H1318*N1318*IF(AND(Inputs!$B$38&lt;&gt;"pvp",Inputs!$B$43&gt;0),((Skills!G16*((R1318-1)*IF(Skills!H16&gt;0,Skills!I16/Skills!H16,1)+IF(Skills!H16&gt;0,MIN(Skills!I16,MAX(0,MAX(0,Inputs!$B$43-B1340)-((R1318-1)*(IF(Inputs!$B$38="pvp",15,MAX(0.1,Skills!E16-IF(Skills!F16=TRUE,Inputs!$B$32,0)))*(1-IF(AND(ArtifactsInput!$M$27,Inputs!$B$4="Chapter Hunt"),CHOOSE(ArtifactsInput!$N$27+1,20,24,28,32,36,40),0)/100)))))/Skills!H16,1)))/Inputs!$B$43),G1318*Q1318)*(1+IF(Inputs!$B$3&gt;=126,0.05*(B1338+Q1315+(H1316*B1339)/(1+Skills!H14*H1316*B1339)+Q1326)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9">
      <c r="A1319">
        <f>Skills!A17</f>
        <v/>
      </c>
      <c r="B1319">
        <f>Skills!B17</f>
        <v/>
      </c>
      <c r="C1319">
        <f>TRUE</f>
        <v/>
      </c>
      <c r="D1319">
        <f>IF(Skills!C17=1,60+Inputs!$B$25+Inputs!$B$29,IF(Skills!C17=2,90+Inputs!$B$26+Inputs!$B$29,IF(Skills!C17=3,120+Inputs!$B$27+Inputs!$B$29,MAX(0,(Inputs!$B$3-100)*3)+Inputs!$B$28+Inputs!$B$29)))</f>
        <v/>
      </c>
      <c r="E1319">
        <f>INDEX(FactorTable!$B$2:$Y$301, MATCH(ROUND(MIN(300,MAX(1,D1319)),0), FactorTable!$A$2:$A$301,0), Skills!M17+1)</f>
        <v/>
      </c>
      <c r="F1319">
        <f>IF(Skills!N17=TRUE,(Skills!L17/10)*(E1319/1000),Skills!L17/10)+Skills!O17</f>
        <v/>
      </c>
      <c r="G1319">
        <f>Calc!G17</f>
        <v/>
      </c>
      <c r="H1319">
        <f>Calc!H17</f>
        <v/>
      </c>
      <c r="I1319">
        <f>IF(Skills!X17&lt;&gt;"",1+(Skills!X17/10)*(Z1305/1000)/100,1)</f>
        <v/>
      </c>
      <c r="J1319" t="inlineStr"/>
      <c r="K1319" t="inlineStr"/>
      <c r="L1319" t="inlineStr"/>
      <c r="M1319" t="inlineStr"/>
      <c r="N1319" t="inlineStr"/>
      <c r="O1319">
        <f>(1-Summary!$B$11)*S1319+Summary!$B$11*U1319</f>
        <v/>
      </c>
      <c r="P1319">
        <f>IF(B1343=0,0,O1319/B1343)</f>
        <v/>
      </c>
      <c r="Q1319">
        <f>IFERROR(1/(IF(Inputs!$B$38="pvp",15,MAX(0.1,Skills!E17-IF(Skills!F17=TRUE,Inputs!$B$32,0)))*(1-IF(AND(ArtifactsInput!$M$27,Inputs!$B$4="Chapter Hunt"),CHOOSE(ArtifactsInput!$N$27+1,20,24,28,32,36,40),0)/100)),0)</f>
        <v/>
      </c>
      <c r="R1319">
        <f>IF(AND(Inputs!$B$38&lt;&gt;"pvp",Inputs!$B$43&gt;0),IF(Inputs!$B$43&lt;=0,0,(INT(Inputs!$B$43/(IF(Inputs!$B$38="pvp",15,MAX(0.1,Skills!E17-IF(Skills!F17=TRUE,Inputs!$B$32,0)))*(1-IF(AND(ArtifactsInput!$M$27,Inputs!$B$4="Chapter Hunt"),CHOOSE(ArtifactsInput!$N$27+1,20,24,28,32,36,40),0)/100)))+1)),0)</f>
        <v/>
      </c>
      <c r="S1319" t="n">
        <v>0</v>
      </c>
      <c r="U1319" t="n">
        <v>0</v>
      </c>
    </row>
    <row r="1320">
      <c r="A1320">
        <f>Skills!A18</f>
        <v/>
      </c>
      <c r="B1320">
        <f>Skills!B18</f>
        <v/>
      </c>
      <c r="C1320">
        <f>TRUE</f>
        <v/>
      </c>
      <c r="D1320">
        <f>IF(Skills!C18=1,60+Inputs!$B$25+Inputs!$B$29,IF(Skills!C18=2,90+Inputs!$B$26+Inputs!$B$29,IF(Skills!C18=3,120+Inputs!$B$27+Inputs!$B$29,MAX(0,(Inputs!$B$3-100)*3)+Inputs!$B$28+Inputs!$B$29)))</f>
        <v/>
      </c>
      <c r="E1320">
        <f>INDEX(FactorTable!$B$2:$Y$301, MATCH(ROUND(MIN(300,MAX(1,D1320)),0), FactorTable!$A$2:$A$301,0), Skills!M18+1)</f>
        <v/>
      </c>
      <c r="F1320">
        <f>IF(Skills!N18=TRUE,(Skills!L18/10)*(E1320/1000),Skills!L18/10)+Skills!O18</f>
        <v/>
      </c>
      <c r="G1320">
        <f>Calc!G18</f>
        <v/>
      </c>
      <c r="H1320">
        <f>Calc!H18</f>
        <v/>
      </c>
      <c r="I1320">
        <f>IF(Skills!X18&lt;&gt;"",1+(Skills!X18/10)*(Z1305/1000)/100,1)</f>
        <v/>
      </c>
      <c r="J1320" t="inlineStr"/>
      <c r="K1320" t="inlineStr"/>
      <c r="L1320" t="inlineStr"/>
      <c r="M1320" t="inlineStr"/>
      <c r="N1320" t="inlineStr"/>
      <c r="O1320">
        <f>(1-Summary!$B$11)*S1320+Summary!$B$11*U1320</f>
        <v/>
      </c>
      <c r="P1320">
        <f>IF(B1343=0,0,O1320/B1343)</f>
        <v/>
      </c>
      <c r="Q1320">
        <f>IFERROR(1/(IF(Inputs!$B$38="pvp",15,MAX(0.1,Skills!E18-IF(Skills!F18=TRUE,Inputs!$B$32,0)))*(1-IF(AND(ArtifactsInput!$M$27,Inputs!$B$4="Chapter Hunt"),CHOOSE(ArtifactsInput!$N$27+1,20,24,28,32,36,40),0)/100)),0)</f>
        <v/>
      </c>
      <c r="R1320">
        <f>IF(AND(Inputs!$B$38&lt;&gt;"pvp",Inputs!$B$43&gt;0),IF(Inputs!$B$43&lt;=0,0,(INT(Inputs!$B$43/(IF(Inputs!$B$38="pvp",15,MAX(0.1,Skills!E18-IF(Skills!F18=TRUE,Inputs!$B$32,0)))*(1-IF(AND(ArtifactsInput!$M$27,Inputs!$B$4="Chapter Hunt"),CHOOSE(ArtifactsInput!$N$27+1,20,24,28,32,36,40),0)/100)))+1)),0)</f>
        <v/>
      </c>
      <c r="S1320" t="n">
        <v>0</v>
      </c>
      <c r="U1320" t="n">
        <v>0</v>
      </c>
    </row>
    <row r="1321">
      <c r="A1321">
        <f>Skills!A19</f>
        <v/>
      </c>
      <c r="B1321">
        <f>Skills!B19</f>
        <v/>
      </c>
      <c r="C1321">
        <f>Inputs!$B$3&gt;=110</f>
        <v/>
      </c>
      <c r="D1321">
        <f>IF(Skills!C19=1,60+Inputs!$B$25+Inputs!$B$29,IF(Skills!C19=2,90+Inputs!$B$26+Inputs!$B$29,IF(Skills!C19=3,120+Inputs!$B$27+Inputs!$B$29,MAX(0,(Inputs!$B$3-100)*3)+Inputs!$B$28+Inputs!$B$29)))</f>
        <v/>
      </c>
      <c r="E1321">
        <f>INDEX(FactorTable!$B$2:$Y$301, MATCH(ROUND(MIN(300,MAX(1,D1321)),0), FactorTable!$A$2:$A$301,0), Skills!M19+1)</f>
        <v/>
      </c>
      <c r="F1321">
        <f>IF(Skills!N19=TRUE,(Skills!L19/10)*(E1321/1000),Skills!L19/10)+Skills!O19</f>
        <v/>
      </c>
      <c r="G1321">
        <f>Calc!G19</f>
        <v/>
      </c>
      <c r="H1321">
        <f>Calc!H19</f>
        <v/>
      </c>
      <c r="I1321">
        <f>IF(Skills!X19&lt;&gt;"",1+(Skills!X19/10)*(Z1305/1000)/100,1)</f>
        <v/>
      </c>
      <c r="J1321" t="inlineStr"/>
      <c r="K1321" t="inlineStr"/>
      <c r="L1321" t="inlineStr"/>
      <c r="M1321" t="inlineStr"/>
      <c r="N1321" t="inlineStr"/>
      <c r="O1321">
        <f>(1-Summary!$B$11)*S1321+Summary!$B$11*U1321</f>
        <v/>
      </c>
      <c r="P1321">
        <f>IF(B1343=0,0,O1321/B1343)</f>
        <v/>
      </c>
      <c r="Q1321">
        <f>IFERROR(1/(IF(Inputs!$B$38="pvp",15,MAX(0.1,Skills!E19-IF(Skills!F19=TRUE,Inputs!$B$32,0)))*(1-IF(AND(ArtifactsInput!$M$27,Inputs!$B$4="Chapter Hunt"),CHOOSE(ArtifactsInput!$N$27+1,20,24,28,32,36,40),0)/100)),0)</f>
        <v/>
      </c>
      <c r="R1321">
        <f>IF(AND(Inputs!$B$38&lt;&gt;"pvp",Inputs!$B$43&gt;0),IF(Inputs!$B$43&lt;=0,0,(INT(Inputs!$B$43/(IF(Inputs!$B$38="pvp",15,MAX(0.1,Skills!E19-IF(Skills!F19=TRUE,Inputs!$B$32,0)))*(1-IF(AND(ArtifactsInput!$M$27,Inputs!$B$4="Chapter Hunt"),CHOOSE(ArtifactsInput!$N$27+1,20,24,28,32,36,40),0)/100)))+1)),0)</f>
        <v/>
      </c>
      <c r="S1321" t="n">
        <v>0</v>
      </c>
      <c r="U1321" t="n">
        <v>0</v>
      </c>
    </row>
    <row r="1322">
      <c r="A1322">
        <f>Skills!A20</f>
        <v/>
      </c>
      <c r="B1322">
        <f>Skills!B20</f>
        <v/>
      </c>
      <c r="C1322">
        <f>TRUE</f>
        <v/>
      </c>
      <c r="D1322">
        <f>IF(Skills!C20=1,60+Inputs!$B$25+Inputs!$B$29,IF(Skills!C20=2,90+Inputs!$B$26+Inputs!$B$29,IF(Skills!C20=3,120+Inputs!$B$27+Inputs!$B$29,MAX(0,(Inputs!$B$3-100)*3)+Inputs!$B$28+Inputs!$B$29)))</f>
        <v/>
      </c>
      <c r="E1322">
        <f>INDEX(FactorTable!$B$2:$Y$301, MATCH(ROUND(MIN(300,MAX(1,D1322)),0), FactorTable!$A$2:$A$301,0), Skills!M20+1)</f>
        <v/>
      </c>
      <c r="F1322">
        <f>IF(Skills!N20=TRUE,(Skills!L20/10)*(E1322/1000),Skills!L20/10)+Skills!O20</f>
        <v/>
      </c>
      <c r="G1322">
        <f>Calc!G20</f>
        <v/>
      </c>
      <c r="H1322">
        <f>Calc!H20</f>
        <v/>
      </c>
      <c r="I1322">
        <f>IF(Skills!X20&lt;&gt;"",1+(Skills!X20/10)*(Z1305/1000)/100,1)</f>
        <v/>
      </c>
      <c r="J1322" t="inlineStr"/>
      <c r="K1322" t="inlineStr"/>
      <c r="L1322" t="inlineStr"/>
      <c r="M1322" t="inlineStr"/>
      <c r="N1322" t="inlineStr"/>
      <c r="O1322">
        <f>(1-Summary!$B$11)*S1322+Summary!$B$11*U1322</f>
        <v/>
      </c>
      <c r="P1322">
        <f>IF(B1343=0,0,O1322/B1343)</f>
        <v/>
      </c>
      <c r="Q1322">
        <f>IFERROR(1/(IF(Inputs!$B$38="pvp",15,MAX(0.1,Skills!E20-IF(Skills!F20=TRUE,Inputs!$B$32,0)))*(1-IF(AND(ArtifactsInput!$M$27,Inputs!$B$4="Chapter Hunt"),CHOOSE(ArtifactsInput!$N$27+1,20,24,28,32,36,40),0)/100)),0)</f>
        <v/>
      </c>
      <c r="R1322" t="n">
        <v>0</v>
      </c>
      <c r="S1322" t="n">
        <v>0</v>
      </c>
      <c r="U1322" t="n">
        <v>0</v>
      </c>
    </row>
    <row r="1323">
      <c r="A1323">
        <f>Skills!A21</f>
        <v/>
      </c>
      <c r="B1323">
        <f>Skills!B21</f>
        <v/>
      </c>
      <c r="C1323">
        <f>TRUE</f>
        <v/>
      </c>
      <c r="D1323">
        <f>IF(Skills!C21=1,60+Inputs!$B$25+Inputs!$B$29,IF(Skills!C21=2,90+Inputs!$B$26+Inputs!$B$29,IF(Skills!C21=3,120+Inputs!$B$27+Inputs!$B$29,MAX(0,(Inputs!$B$3-100)*3)+Inputs!$B$28+Inputs!$B$29)))</f>
        <v/>
      </c>
      <c r="E1323">
        <f>INDEX(FactorTable!$B$2:$Y$301, MATCH(ROUND(MIN(300,MAX(1,D1323)),0), FactorTable!$A$2:$A$301,0), Skills!M21+1)</f>
        <v/>
      </c>
      <c r="F1323">
        <f>IF(Skills!N21=TRUE,(Skills!L21/10)*(E1323/1000),Skills!L21/10)+Skills!O21</f>
        <v/>
      </c>
      <c r="G1323">
        <f>Calc!G21</f>
        <v/>
      </c>
      <c r="H1323">
        <f>Calc!H21</f>
        <v/>
      </c>
      <c r="I1323">
        <f>IF(Skills!X21&lt;&gt;"",1+(Skills!X21/10)*(Z1305/1000)/100,1)</f>
        <v/>
      </c>
      <c r="J1323" t="inlineStr"/>
      <c r="K1323" t="inlineStr"/>
      <c r="L1323" t="inlineStr"/>
      <c r="M1323" t="inlineStr"/>
      <c r="N1323" t="inlineStr"/>
      <c r="O1323">
        <f>(1-Summary!$B$11)*S1323+Summary!$B$11*U1323</f>
        <v/>
      </c>
      <c r="P1323">
        <f>IF(B1343=0,0,O1323/B1343)</f>
        <v/>
      </c>
      <c r="Q1323">
        <f>IFERROR(1/(IF(Inputs!$B$38="pvp",15,MAX(0.1,Skills!E21-IF(Skills!F21=TRUE,Inputs!$B$32,0)))*(1-IF(AND(ArtifactsInput!$M$27,Inputs!$B$4="Chapter Hunt"),CHOOSE(ArtifactsInput!$N$27+1,20,24,28,32,36,40),0)/100)),0)</f>
        <v/>
      </c>
      <c r="R1323" t="n">
        <v>0</v>
      </c>
      <c r="S1323" t="n">
        <v>0</v>
      </c>
      <c r="U1323" t="n">
        <v>0</v>
      </c>
    </row>
    <row r="1324">
      <c r="A1324">
        <f>Skills!A22</f>
        <v/>
      </c>
      <c r="B1324">
        <f>Skills!B22</f>
        <v/>
      </c>
      <c r="C1324">
        <f>TRUE</f>
        <v/>
      </c>
      <c r="D1324">
        <f>IF(Skills!C22=1,60+Inputs!$B$25+Inputs!$B$29,IF(Skills!C22=2,90+Inputs!$B$26+Inputs!$B$29,IF(Skills!C22=3,120+Inputs!$B$27+Inputs!$B$29,MAX(0,(Inputs!$B$3-100)*3)+Inputs!$B$28+Inputs!$B$29)))</f>
        <v/>
      </c>
      <c r="E1324">
        <f>INDEX(FactorTable!$B$2:$Y$301, MATCH(ROUND(MIN(300,MAX(1,D1324)),0), FactorTable!$A$2:$A$301,0), Skills!M22+1)</f>
        <v/>
      </c>
      <c r="F1324">
        <f>IF(Skills!N22=TRUE,(Skills!L22/10)*(E1324/1000),Skills!L22/10)+Skills!O22</f>
        <v/>
      </c>
      <c r="G1324">
        <f>Calc!G22</f>
        <v/>
      </c>
      <c r="H1324">
        <f>Calc!H22</f>
        <v/>
      </c>
      <c r="I1324">
        <f>IF(Skills!X22&lt;&gt;"",1+(Skills!X22/10)*(Z1305/1000)/100,1)</f>
        <v/>
      </c>
      <c r="J1324" t="inlineStr"/>
      <c r="K1324" t="inlineStr"/>
      <c r="L1324" t="inlineStr"/>
      <c r="M1324" t="inlineStr"/>
      <c r="N1324" t="inlineStr"/>
      <c r="O1324">
        <f>(1-Summary!$B$11)*S1324+Summary!$B$11*U1324</f>
        <v/>
      </c>
      <c r="P1324">
        <f>IF(B1343=0,0,O1324/B1343)</f>
        <v/>
      </c>
      <c r="Q1324">
        <f>IFERROR(1/(IF(Inputs!$B$38="pvp",15,MAX(0.1,Skills!E22-IF(Skills!F22=TRUE,Inputs!$B$32,0)))*(1-IF(AND(ArtifactsInput!$M$27,Inputs!$B$4="Chapter Hunt"),CHOOSE(ArtifactsInput!$N$27+1,20,24,28,32,36,40),0)/100)),0)</f>
        <v/>
      </c>
      <c r="R1324" t="n">
        <v>0</v>
      </c>
      <c r="S1324" t="n">
        <v>0</v>
      </c>
      <c r="U1324" t="n">
        <v>0</v>
      </c>
    </row>
    <row r="1325">
      <c r="A1325">
        <f>Skills!A23</f>
        <v/>
      </c>
      <c r="B1325">
        <f>Skills!B23</f>
        <v/>
      </c>
      <c r="C1325">
        <f>TRUE</f>
        <v/>
      </c>
      <c r="D1325">
        <f>IF(Skills!C23=1,60+Inputs!$B$25+Inputs!$B$29,IF(Skills!C23=2,90+Inputs!$B$26+Inputs!$B$29,IF(Skills!C23=3,120+Inputs!$B$27+Inputs!$B$29,MAX(0,(Inputs!$B$3-100)*3)+Inputs!$B$28+Inputs!$B$29)))</f>
        <v/>
      </c>
      <c r="E1325">
        <f>INDEX(FactorTable!$B$2:$Y$301, MATCH(ROUND(MIN(300,MAX(1,D1325)),0), FactorTable!$A$2:$A$301,0), Skills!M23+1)</f>
        <v/>
      </c>
      <c r="F1325">
        <f>IF(Skills!N23=TRUE,(Skills!L23/10)*(E1325/1000),Skills!L23/10)+Skills!O23</f>
        <v/>
      </c>
      <c r="G1325">
        <f>Calc!G23</f>
        <v/>
      </c>
      <c r="H1325">
        <f>Calc!H23</f>
        <v/>
      </c>
      <c r="I1325">
        <f>IF(Skills!X23&lt;&gt;"",1+(Skills!X23/10)*(Z1305/1000)/100,1)</f>
        <v/>
      </c>
      <c r="J1325" t="inlineStr"/>
      <c r="K1325" t="inlineStr"/>
      <c r="L1325" t="inlineStr"/>
      <c r="M1325" t="inlineStr"/>
      <c r="N1325" t="inlineStr"/>
      <c r="O1325">
        <f>(1-Summary!$B$11)*S1325+Summary!$B$11*U1325</f>
        <v/>
      </c>
      <c r="P1325">
        <f>IF(B1343=0,0,O1325/B1343)</f>
        <v/>
      </c>
      <c r="Q1325">
        <f>IFERROR(1/(IF(Inputs!$B$38="pvp",15,MAX(0.1,Skills!E23-IF(Skills!F23=TRUE,Inputs!$B$32,0)))*(1-IF(AND(ArtifactsInput!$M$27,Inputs!$B$4="Chapter Hunt"),CHOOSE(ArtifactsInput!$N$27+1,20,24,28,32,36,40),0)/100)),0)</f>
        <v/>
      </c>
      <c r="R1325" t="n">
        <v>0</v>
      </c>
      <c r="S1325" t="n">
        <v>0</v>
      </c>
      <c r="U1325" t="n">
        <v>0</v>
      </c>
    </row>
    <row r="1326">
      <c r="A1326">
        <f>Skills!A24</f>
        <v/>
      </c>
      <c r="B1326">
        <f>Skills!B24</f>
        <v/>
      </c>
      <c r="C1326">
        <f>Inputs!$B$3&gt;=115</f>
        <v/>
      </c>
      <c r="D1326">
        <f>IF(Skills!C24=1,60+Inputs!$B$25+Inputs!$B$29,IF(Skills!C24=2,90+Inputs!$B$26+Inputs!$B$29,IF(Skills!C24=3,120+Inputs!$B$27+Inputs!$B$29,MAX(0,(Inputs!$B$3-100)*3)+Inputs!$B$28+Inputs!$B$29)))</f>
        <v/>
      </c>
      <c r="E1326">
        <f>INDEX(FactorTable!$B$2:$Y$301, MATCH(ROUND(MIN(300,MAX(1,D1326)),0), FactorTable!$A$2:$A$301,0), Skills!M24+1)</f>
        <v/>
      </c>
      <c r="F1326">
        <f>IF(Skills!N24=TRUE,(Skills!L24/10)*(E1326/1000),Skills!L24/10)+Skills!O24</f>
        <v/>
      </c>
      <c r="G1326">
        <f>Calc!G24</f>
        <v/>
      </c>
      <c r="H1326">
        <f>Calc!H24</f>
        <v/>
      </c>
      <c r="I1326">
        <f>IF(Skills!X24&lt;&gt;"",1+(Skills!X24/10)*(Z1305/1000)/100,1)</f>
        <v/>
      </c>
      <c r="J1326">
        <f>((Inputs!$B$6*(1+Inputs!$B$7/100))+(((Inputs!$B$12*(1+Inputs!$B$13/100))-(Inputs!$B$12*(1+Inputs!$B$13/100)))+0.25*(Inputs!$B$14-Inputs!$B$14))*(1+Inputs!$B$7/100))*(F1326/100)</f>
        <v/>
      </c>
      <c r="K1326">
        <f>J1326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1326)</f>
        <v/>
      </c>
      <c r="L1326">
        <f>K1326*(MIN(Inputs!$B$22+(F1324-Calc!F22),(Inputs!$B$23+(IF(ArtifactsInput!$M$15,CHOOSE(ArtifactsInput!$N$15+1,25,30,35,40,45,50)/100*(Inputs!$B$11-Inputs!$B$11),0))))/100+(Inputs!$B$23+(IF(ArtifactsInput!$M$15,CHOOSE(ArtifactsInput!$N$15+1,25,30,35,40,45,50)/100*(Inputs!$B$11-Inputs!$B$11),0)))/100)/2</f>
        <v/>
      </c>
      <c r="M1326">
        <f>L1326*(1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6">
        <f>L1326*(1-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1326*(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6">
        <f>(1-Summary!$B$11)*S1326+Summary!$B$11*U1326</f>
        <v/>
      </c>
      <c r="P1326">
        <f>IF(B1343=0,0,O1326/B1343)</f>
        <v/>
      </c>
      <c r="Q1326">
        <f>IFERROR(1/(IF(Inputs!$B$38="pvp",15,MAX(0.1,Skills!E24-IF(Skills!F24=TRUE,Inputs!$B$32,0)))*(1-IF(AND(ArtifactsInput!$M$27,Inputs!$B$4="Chapter Hunt"),CHOOSE(ArtifactsInput!$N$27+1,20,24,28,32,36,40),0)/100)),0)</f>
        <v/>
      </c>
      <c r="R1326">
        <f>IF(AND(Inputs!$B$38&lt;&gt;"pvp",Inputs!$B$43&gt;0),IF(MAX(0,Inputs!$B$43-B1340)&lt;=0,0,(INT(MAX(0,Inputs!$B$43-B1340)/(IF(Inputs!$B$38="pvp",15,MAX(0.1,Skills!E24-IF(Skills!F24=TRUE,Inputs!$B$32,0)))*(1-IF(AND(ArtifactsInput!$M$27,Inputs!$B$4="Chapter Hunt"),CHOOSE(ArtifactsInput!$N$27+1,20,24,28,32,36,40),0)/100)))+1)),0)</f>
        <v/>
      </c>
      <c r="S1326">
        <f>IF(C1326,(H1326*N1326*IF(AND(Inputs!$B$38&lt;&gt;"pvp",Inputs!$B$43&gt;0),((Skills!G24*((R1326-1)*IF(Skills!H24&gt;0,Skills!I24/Skills!H24,1)+IF(Skills!H24&gt;0,MIN(Skills!I24,MAX(0,MAX(0,Inputs!$B$43-B1340)-((R1326-1)*(IF(Inputs!$B$38="pvp",15,MAX(0.1,Skills!E24-IF(Skills!F24=TRUE,Inputs!$B$32,0)))*(1-IF(AND(ArtifactsInput!$M$27,Inputs!$B$4="Chapter Hunt"),CHOOSE(ArtifactsInput!$N$27+1,20,24,28,32,36,40),0)/100)))))/Skills!H24,1)))/Inputs!$B$43),G1326*Q1326)*(1+IF(Inputs!$B$3&gt;=130,0.2*(Skills!I16/Skills!E15+IF(Inputs!$B$3&gt;=126,0.05*(B1338+Q1315+(H1316*B1339)/(1+Skills!H14*H1316*B1339)+Q1326)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1326*(1-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1326*(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1326*(1-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1326*(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26">
        <f>IF(C1326,(H1326*N1326*IF(AND(Inputs!$B$38&lt;&gt;"pvp",Inputs!$B$43&gt;0),((Skills!G24*((R1326-1)*IF(Skills!H24&gt;0,Skills!I24/Skills!H24,1)+IF(Skills!H24&gt;0,MIN(Skills!I24,MAX(0,MAX(0,Inputs!$B$43-B1340)-((R1326-1)*(IF(Inputs!$B$38="pvp",15,MAX(0.1,Skills!E24-IF(Skills!F24=TRUE,Inputs!$B$32,0)))*(1-IF(AND(ArtifactsInput!$M$27,Inputs!$B$4="Chapter Hunt"),CHOOSE(ArtifactsInput!$N$27+1,20,24,28,32,36,40),0)/100)))))/Skills!H24,1)))/Inputs!$B$43),G1326*Q1326)*(1+IF(Inputs!$B$3&gt;=130,0.2*(Skills!I16/Skills!E15+IF(Inputs!$B$3&gt;=126,0.05*(B1338+Q1315+(H1316*B1339)/(1+Skills!H14*H1316*B1339)+Q1326)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7">
      <c r="A1327">
        <f>Skills!A25</f>
        <v/>
      </c>
      <c r="B1327">
        <f>Skills!B25</f>
        <v/>
      </c>
      <c r="C1327">
        <f>Inputs!$B$3&gt;=117</f>
        <v/>
      </c>
      <c r="D1327">
        <f>IF(Skills!C25=1,60+Inputs!$B$25+Inputs!$B$29,IF(Skills!C25=2,90+Inputs!$B$26+Inputs!$B$29,IF(Skills!C25=3,120+Inputs!$B$27+Inputs!$B$29,MAX(0,(Inputs!$B$3-100)*3)+Inputs!$B$28+Inputs!$B$29)))</f>
        <v/>
      </c>
      <c r="E1327">
        <f>INDEX(FactorTable!$B$2:$Y$301, MATCH(ROUND(MIN(300,MAX(1,D1327)),0), FactorTable!$A$2:$A$301,0), Skills!M25+1)</f>
        <v/>
      </c>
      <c r="F1327">
        <f>IF(Skills!N25=TRUE,(Skills!L25/10)*(E1327/1000),Skills!L25/10)+Skills!O25</f>
        <v/>
      </c>
      <c r="G1327">
        <f>Calc!G25</f>
        <v/>
      </c>
      <c r="H1327">
        <f>Calc!H25</f>
        <v/>
      </c>
      <c r="I1327">
        <f>IF(Skills!X25&lt;&gt;"",1+(Skills!X25/10)*(Z1305/1000)/100,1)</f>
        <v/>
      </c>
      <c r="J1327" t="inlineStr"/>
      <c r="K1327" t="inlineStr"/>
      <c r="L1327" t="inlineStr"/>
      <c r="M1327" t="inlineStr"/>
      <c r="N1327" t="inlineStr"/>
      <c r="O1327">
        <f>(1-Summary!$B$11)*S1327+Summary!$B$11*U1327</f>
        <v/>
      </c>
      <c r="P1327">
        <f>IF(B1343=0,0,O1327/B1343)</f>
        <v/>
      </c>
      <c r="Q1327">
        <f>IFERROR(1/(IF(Inputs!$B$38="pvp",15,MAX(0.1,Skills!E25-IF(Skills!F25=TRUE,Inputs!$B$32,0)))*(1-IF(AND(ArtifactsInput!$M$27,Inputs!$B$4="Chapter Hunt"),CHOOSE(ArtifactsInput!$N$27+1,20,24,28,32,36,40),0)/100)),0)</f>
        <v/>
      </c>
      <c r="R1327" t="n">
        <v>0</v>
      </c>
      <c r="S1327" t="n">
        <v>0</v>
      </c>
      <c r="U1327" t="n">
        <v>0</v>
      </c>
    </row>
    <row r="1328">
      <c r="A1328">
        <f>Skills!A26</f>
        <v/>
      </c>
      <c r="B1328">
        <f>Skills!B26</f>
        <v/>
      </c>
      <c r="C1328">
        <f>Inputs!$B$3&gt;=120</f>
        <v/>
      </c>
      <c r="D1328">
        <f>IF(Skills!C26=1,60+Inputs!$B$25+Inputs!$B$29,IF(Skills!C26=2,90+Inputs!$B$26+Inputs!$B$29,IF(Skills!C26=3,120+Inputs!$B$27+Inputs!$B$29,MAX(0,(Inputs!$B$3-100)*3)+Inputs!$B$28+Inputs!$B$29)))</f>
        <v/>
      </c>
      <c r="E1328">
        <f>INDEX(FactorTable!$B$2:$Y$301, MATCH(ROUND(MIN(300,MAX(1,D1328)),0), FactorTable!$A$2:$A$301,0), Skills!M26+1)</f>
        <v/>
      </c>
      <c r="F1328">
        <f>IF(Skills!N26=TRUE,(Skills!L26/10)*(E1328/1000),Skills!L26/10)+Skills!O26</f>
        <v/>
      </c>
      <c r="G1328">
        <f>Calc!G26</f>
        <v/>
      </c>
      <c r="H1328">
        <f>Calc!H26</f>
        <v/>
      </c>
      <c r="I1328">
        <f>IF(Skills!X26&lt;&gt;"",1+(Skills!X26/10)*(Z1305/1000)/100,1)</f>
        <v/>
      </c>
      <c r="J1328" t="inlineStr"/>
      <c r="K1328" t="inlineStr"/>
      <c r="L1328" t="inlineStr"/>
      <c r="M1328" t="inlineStr"/>
      <c r="N1328" t="inlineStr"/>
      <c r="O1328">
        <f>(1-Summary!$B$11)*S1328+Summary!$B$11*U1328</f>
        <v/>
      </c>
      <c r="P1328">
        <f>IF(B1343=0,0,O1328/B1343)</f>
        <v/>
      </c>
      <c r="Q1328">
        <f>IFERROR(1/(IF(Inputs!$B$38="pvp",15,MAX(0.1,Skills!E26-IF(Skills!F26=TRUE,Inputs!$B$32,0)))*(1-IF(AND(ArtifactsInput!$M$27,Inputs!$B$4="Chapter Hunt"),CHOOSE(ArtifactsInput!$N$27+1,20,24,28,32,36,40),0)/100)),0)</f>
        <v/>
      </c>
      <c r="R1328" t="n">
        <v>0</v>
      </c>
      <c r="S1328" t="n">
        <v>0</v>
      </c>
      <c r="U1328" t="n">
        <v>0</v>
      </c>
    </row>
    <row r="1329">
      <c r="A1329">
        <f>Skills!A27</f>
        <v/>
      </c>
      <c r="B1329">
        <f>Skills!B27</f>
        <v/>
      </c>
      <c r="C1329">
        <f>Inputs!$B$3&gt;=125</f>
        <v/>
      </c>
      <c r="D1329">
        <f>IF(Skills!C27=1,60+Inputs!$B$25+Inputs!$B$29,IF(Skills!C27=2,90+Inputs!$B$26+Inputs!$B$29,IF(Skills!C27=3,120+Inputs!$B$27+Inputs!$B$29,MAX(0,(Inputs!$B$3-100)*3)+Inputs!$B$28+Inputs!$B$29)))</f>
        <v/>
      </c>
      <c r="E1329">
        <f>INDEX(FactorTable!$B$2:$Y$301, MATCH(ROUND(MIN(300,MAX(1,D1329)),0), FactorTable!$A$2:$A$301,0), Skills!M27+1)</f>
        <v/>
      </c>
      <c r="F1329">
        <f>IF(Skills!N27=TRUE,(Skills!L27/10)*(E1329/1000),Skills!L27/10)+Skills!O27</f>
        <v/>
      </c>
      <c r="G1329">
        <f>Calc!G27</f>
        <v/>
      </c>
      <c r="H1329">
        <f>Calc!H27</f>
        <v/>
      </c>
      <c r="I1329">
        <f>IF(Skills!X27&lt;&gt;"",1+(Skills!X27/10)*(Z1305/1000)/100,1)</f>
        <v/>
      </c>
      <c r="J1329" t="inlineStr"/>
      <c r="K1329" t="inlineStr"/>
      <c r="L1329" t="inlineStr"/>
      <c r="M1329" t="inlineStr"/>
      <c r="N1329" t="inlineStr"/>
      <c r="O1329">
        <f>(1-Summary!$B$11)*S1329+Summary!$B$11*U1329</f>
        <v/>
      </c>
      <c r="P1329">
        <f>IF(B1343=0,0,O1329/B1343)</f>
        <v/>
      </c>
      <c r="Q1329">
        <f>IFERROR(1/(IF(Inputs!$B$38="pvp",15,MAX(0.1,Skills!E27-IF(Skills!F27=TRUE,Inputs!$B$32,0)))*(1-IF(AND(ArtifactsInput!$M$27,Inputs!$B$4="Chapter Hunt"),CHOOSE(ArtifactsInput!$N$27+1,20,24,28,32,36,40),0)/100)),0)</f>
        <v/>
      </c>
      <c r="R1329" t="n">
        <v>0</v>
      </c>
      <c r="S1329" t="n">
        <v>0</v>
      </c>
      <c r="U1329" t="n">
        <v>0</v>
      </c>
    </row>
    <row r="1330">
      <c r="A1330">
        <f>Skills!A28</f>
        <v/>
      </c>
      <c r="B1330">
        <f>Skills!B28</f>
        <v/>
      </c>
      <c r="C1330">
        <f>Inputs!$B$3&gt;=118</f>
        <v/>
      </c>
      <c r="D1330">
        <f>IF(Skills!C28=1,60+Inputs!$B$25+Inputs!$B$29,IF(Skills!C28=2,90+Inputs!$B$26+Inputs!$B$29,IF(Skills!C28=3,120+Inputs!$B$27+Inputs!$B$29,MAX(0,(Inputs!$B$3-100)*3)+Inputs!$B$28+Inputs!$B$29)))</f>
        <v/>
      </c>
      <c r="E1330">
        <f>INDEX(FactorTable!$B$2:$Y$301, MATCH(ROUND(MIN(300,MAX(1,D1330)),0), FactorTable!$A$2:$A$301,0), Skills!M28+1)</f>
        <v/>
      </c>
      <c r="F1330">
        <f>IF(Skills!N28=TRUE,(Skills!L28/10)*(E1330/1000),Skills!L28/10)+Skills!O28</f>
        <v/>
      </c>
      <c r="G1330">
        <f>Calc!G28</f>
        <v/>
      </c>
      <c r="H1330">
        <f>Calc!H28</f>
        <v/>
      </c>
      <c r="I1330">
        <f>IF(Skills!X28&lt;&gt;"",1+(Skills!X28/10)*(Z1305/1000)/100,1)</f>
        <v/>
      </c>
      <c r="J1330">
        <f>((Inputs!$B$6*(1+Inputs!$B$7/100))+(((Inputs!$B$12*(1+Inputs!$B$13/100))-(Inputs!$B$12*(1+Inputs!$B$13/100)))+0.25*(Inputs!$B$14-Inputs!$B$14))*(1+Inputs!$B$7/100))*(F1330/100)</f>
        <v/>
      </c>
      <c r="K1330">
        <f>J1330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1325/100)*(1+IF(Inputs!$B$3&gt;=120,F1328,0)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1329*5,0)))/100)*(B1332*B1333*B1334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1330)</f>
        <v/>
      </c>
      <c r="L1330">
        <f>K1330*(MIN(Inputs!$B$22+(F1324-Calc!F22),(Inputs!$B$23+(IF(ArtifactsInput!$M$15,CHOOSE(ArtifactsInput!$N$15+1,25,30,35,40,45,50)/100*(Inputs!$B$11-Inputs!$B$11),0))))/100+(Inputs!$B$23+(IF(ArtifactsInput!$M$15,CHOOSE(ArtifactsInput!$N$15+1,25,30,35,40,45,50)/100*(Inputs!$B$11-Inputs!$B$11),0)))/100)/2</f>
        <v/>
      </c>
      <c r="M1330">
        <f>L1330*(1+(Inputs!$B$10+(F1323-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0">
        <f>L1330*(1-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1330*(MIN((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0">
        <f>(1-Summary!$B$11)*S1330+Summary!$B$11*U1330</f>
        <v/>
      </c>
      <c r="P1330">
        <f>IF(B1343=0,0,O1330/B1343)</f>
        <v/>
      </c>
      <c r="Q1330">
        <f>IFERROR(1/(IF(Inputs!$B$38="pvp",15,MAX(0.1,Skills!E28-IF(Skills!F28=TRUE,Inputs!$B$32,0)))*(1-IF(AND(ArtifactsInput!$M$27,Inputs!$B$4="Chapter Hunt"),CHOOSE(ArtifactsInput!$N$27+1,20,24,28,32,36,40),0)/100)),0)</f>
        <v/>
      </c>
      <c r="R1330">
        <f>IF(AND(Inputs!$B$38&lt;&gt;"pvp",Inputs!$B$43&gt;0),IF(MAX(0,Inputs!$B$43-B1340)&lt;=0,0,(INT(MAX(0,Inputs!$B$43-B1340)/(IF(Inputs!$B$38="pvp",15,MAX(0.1,Skills!E28-IF(Skills!F28=TRUE,Inputs!$B$32,0)))*(1-IF(AND(ArtifactsInput!$M$27,Inputs!$B$4="Chapter Hunt"),CHOOSE(ArtifactsInput!$N$27+1,20,24,28,32,36,40),0)/100)))+1)),0)</f>
        <v/>
      </c>
      <c r="S1330">
        <f>IF(C1330,(H1330*N1330*IF(AND(Inputs!$B$38&lt;&gt;"pvp",Inputs!$B$43&gt;0),((Skills!G28*((R1330-1)*IF(Skills!H28&gt;0,Skills!I28/Skills!H28,1)+IF(Skills!H28&gt;0,MIN(Skills!I28,MAX(0,MAX(0,Inputs!$B$43-B1340)-((R1330-1)*(IF(Inputs!$B$38="pvp",15,MAX(0.1,Skills!E28-IF(Skills!F28=TRUE,Inputs!$B$32,0)))*(1-IF(AND(ArtifactsInput!$M$27,Inputs!$B$4="Chapter Hunt"),CHOOSE(ArtifactsInput!$N$27+1,20,24,28,32,36,40),0)/100)))))/Skills!H28,1)))/Inputs!$B$43),G1330*Q1330)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1330*(1-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1330*(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1330*(1-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1330*(MIN(100,(Inputs!$B$9+(F1322-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30">
        <f>IF(C1330,(H1330*N1330*IF(AND(Inputs!$B$38&lt;&gt;"pvp",Inputs!$B$43&gt;0),((Skills!G28*((R1330-1)*IF(Skills!H28&gt;0,Skills!I28/Skills!H28,1)+IF(Skills!H28&gt;0,MIN(Skills!I28,MAX(0,MAX(0,Inputs!$B$43-B1340)-((R1330-1)*(IF(Inputs!$B$38="pvp",15,MAX(0.1,Skills!E28-IF(Skills!F28=TRUE,Inputs!$B$32,0)))*(1-IF(AND(ArtifactsInput!$M$27,Inputs!$B$4="Chapter Hunt"),CHOOSE(ArtifactsInput!$N$27+1,20,24,28,32,36,40),0)/100)))))/Skills!H28,1)))/Inputs!$B$43),G1330*Q1330)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2">
      <c r="A1332" t="inlineStr">
        <is>
          <t>Burning Magic Multiplier</t>
        </is>
      </c>
      <c r="B1332">
        <f>1+(F1313*Skills!Z11)/100</f>
        <v/>
      </c>
    </row>
    <row r="1333">
      <c r="A1333" t="inlineStr">
        <is>
          <t>Elemental Decrease Multiplier (always-on)</t>
        </is>
      </c>
      <c r="B1333">
        <f>1+(F1314+(IF(AND(ArtifactsInput!$M$35,Inputs!$B$4&lt;&gt;"Chapter Hunt"),CHOOSE(ArtifactsInput!$N$35+1,15,18,21,24,27,30)*(1-EXP(-(0.2*B1336)*5)),0)+IF(AND(ArtifactsInput!$M$22,Inputs!$B$4&lt;&gt;"Chapter Hunt"),CHOOSE(ArtifactsInput!$N$22+1,10,12,14,16,18,20)*((0*(((0.15*B1336*5))^0/1)+1*(((0.15*B1336*5))^1/1)+2*(((0.15*B1336*5))^2/2)+3*(((0.15*B1336*5))^3/6)+4*(((0.15*B1336*5))^4/24)+5*(((0.15*B1336*5))^5/120))/((((0.15*B1336*5))^0/1)+(((0.15*B1336*5))^1/1)+(((0.15*B1336*5))^2/2)+(((0.15*B1336*5))^3/6)+(((0.15*B1336*5))^4/24)+(((0.15*B1336*5))^5/120))),0)))/100</f>
        <v/>
      </c>
    </row>
    <row r="1334">
      <c r="A1334" t="inlineStr">
        <is>
          <t>Average Buff Multiplier (Magic Guard + Meditation + Artifact Attack%, summed; then Infinity)</t>
        </is>
      </c>
      <c r="B1334">
        <f>(1+(F1308*IF(AND(Inputs!$B$38&lt;&gt;"pvp",Inputs!$B$43&gt;0),(((R1308-1)*(Skills!T6*(1+((Inputs!$B$34+(ArtifactsInput!$M$7-ArtifactsInput!$M$7)*CHOOSE(ArtifactsInput!$N$7+1,6,7.2,8.4,9.6,10.8,12)))/100))+MIN((Skills!T6*(1+((Inputs!$B$34+(ArtifactsInput!$M$7-ArtifactsInput!$M$7)*CHOOSE(ArtifactsInput!$N$7+1,6,7.2,8.4,9.6,10.8,12)))/100)),MAX(0,Inputs!$B$43-((R1308-1)*Skills!E6))))/Inputs!$B$43),IF(Inputs!$B$38="pvp",MIN((Skills!T6*(1+((Inputs!$B$34+(ArtifactsInput!$M$7-ArtifactsInput!$M$7)*CHOOSE(ArtifactsInput!$N$7+1,6,7.2,8.4,9.6,10.8,12)))/100)),15)/15,(Skills!T6*(1+((Inputs!$B$34+(ArtifactsInput!$M$7-ArtifactsInput!$M$7)*CHOOSE(ArtifactsInput!$N$7+1,6,7.2,8.4,9.6,10.8,12)))/100))/Skills!E6))+F1319*IF(AND(Inputs!$B$38&lt;&gt;"pvp",Inputs!$B$43&gt;0),(((R1319-1)*(Skills!T17*(1+((Inputs!$B$34+(ArtifactsInput!$M$7-ArtifactsInput!$M$7)*CHOOSE(ArtifactsInput!$N$7+1,6,7.2,8.4,9.6,10.8,12)))/100))+MIN((Skills!T17*(1+((Inputs!$B$34+(ArtifactsInput!$M$7-ArtifactsInput!$M$7)*CHOOSE(ArtifactsInput!$N$7+1,6,7.2,8.4,9.6,10.8,12)))/100)),MAX(0,Inputs!$B$43-((R1319-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1321=TRUE,(1+F1321*IF(AND(Inputs!$B$38&lt;&gt;"pvp",Inputs!$B$43&gt;0),(((R1321-1)*(Skills!T19*(1+((Inputs!$B$34+(ArtifactsInput!$M$7-ArtifactsInput!$M$7)*CHOOSE(ArtifactsInput!$N$7+1,6,7.2,8.4,9.6,10.8,12)))/100))+MIN((Skills!T19*(1+((Inputs!$B$34+(ArtifactsInput!$M$7-ArtifactsInput!$M$7)*CHOOSE(ArtifactsInput!$N$7+1,6,7.2,8.4,9.6,10.8,12)))/100)),MAX(0,Inputs!$B$43-((R1321-1)*Skills!E19))))/Inputs!$B$43),IF(Inputs!$B$38="pvp",MIN((Skills!T19*(1+((Inputs!$B$34+(ArtifactsInput!$M$7-ArtifactsInput!$M$7)*CHOOSE(ArtifactsInput!$N$7+1,6,7.2,8.4,9.6,10.8,12)))/100)),15)/15,(Skills!T19*(1+((Inputs!$B$34+(ArtifactsInput!$M$7-ArtifactsInput!$M$7)*CHOOSE(ArtifactsInput!$N$7+1,6,7.2,8.4,9.6,10.8,12)))/100))/Skills!E19))/100),1)</f>
        <v/>
      </c>
    </row>
    <row r="1335">
      <c r="A1335" t="inlineStr">
        <is>
          <t>Attack Speed Buff Bonus % (Nimble Feet, averaged)</t>
        </is>
      </c>
      <c r="B1335">
        <f>F1320*IF(AND(Inputs!$B$38&lt;&gt;"pvp",Inputs!$B$43&gt;0),(((R1320-1)*(Skills!T18*(1+((Inputs!$B$34+(ArtifactsInput!$M$7-ArtifactsInput!$M$7)*CHOOSE(ArtifactsInput!$N$7+1,6,7.2,8.4,9.6,10.8,12)))/100))+MIN((Skills!T18*(1+((Inputs!$B$34+(ArtifactsInput!$M$7-ArtifactsInput!$M$7)*CHOOSE(ArtifactsInput!$N$7+1,6,7.2,8.4,9.6,10.8,12)))/100)),MAX(0,Inputs!$B$43-((R1320-1)*Skills!E18))))/Inputs!$B$43),IF(Inputs!$B$38="pvp",MIN((Skills!T18*(1+((Inputs!$B$34+(ArtifactsInput!$M$7-ArtifactsInput!$M$7)*CHOOSE(ArtifactsInput!$N$7+1,6,7.2,8.4,9.6,10.8,12)))/100)),15)/15,(Skills!T18*(1+((Inputs!$B$34+(ArtifactsInput!$M$7-ArtifactsInput!$M$7)*CHOOSE(ArtifactsInput!$N$7+1,6,7.2,8.4,9.6,10.8,12)))/100))/Skills!E18))</f>
        <v/>
      </c>
    </row>
    <row r="1336">
      <c r="A1336" t="inlineStr">
        <is>
          <t>Actions Per Second</t>
        </is>
      </c>
      <c r="B1336">
        <f>1+MIN(150,150*(1-(1-(Inputs!$B$11+(ArtifactsInput!$M$15-ArtifactsInput!$M$15)*CHOOSE(ArtifactsInput!$N$15+1,8,9.6,11.2,12.8,14.4,16))/150)*(1-B1335/150)))/100</f>
        <v/>
      </c>
    </row>
    <row r="1337">
      <c r="A1337" t="inlineStr">
        <is>
          <t>Skill + Buff Cast Rate</t>
        </is>
      </c>
      <c r="B1337">
        <f>IF(AND(Inputs!$B$38&lt;&gt;"pvp",Inputs!$B$43&gt;0),SUMPRODUCT((Skills!F2:F28=TRUE)*(C1304:C1330=TRUE)*R1304:R1330)/Inputs!$B$43,SUMPRODUCT((Skills!F2:F28=TRUE)*(C1304:C1330=TRUE)*Q1304:Q1330))</f>
        <v/>
      </c>
    </row>
    <row r="1338">
      <c r="A1338" t="inlineStr">
        <is>
          <t>Basic Attacks Per Second</t>
        </is>
      </c>
      <c r="B1338">
        <f>MAX(0,B1336-B1337)</f>
        <v/>
      </c>
    </row>
    <row r="1339">
      <c r="A1339" t="inlineStr">
        <is>
          <t>Meteor Proc — combined trigger cast rate</t>
        </is>
      </c>
      <c r="B1339">
        <f>IF(AND(Inputs!$B$38&lt;&gt;"pvp",Inputs!$B$43&gt;0),SUMPRODUCT((Skills!V2:V28=TRUE)*(C1304:C1330=TRUE)*R1304:R1330*Skills!W2:W28)/Inputs!$B$43,SUMPRODUCT((Skills!V2:V28=TRUE)*(C1304:C1330=TRUE)*Q1304:Q1330*Skills!W2:W28))+B1338</f>
        <v/>
      </c>
    </row>
    <row r="1340">
      <c r="A1340" t="inlineStr">
        <is>
          <t>Buff-Casting Startup Delay (s, fixed-duration only)</t>
        </is>
      </c>
      <c r="B1340">
        <f>IF(AND(Inputs!$B$38&lt;&gt;"pvp",Inputs!$B$43&gt;0),SUMPRODUCT((Skills!T2:T28&gt;0)*(Skills!F2:F28=TRUE)*(C1304:C1330=TRUE))/B1336,0)</f>
        <v/>
      </c>
    </row>
    <row r="1341">
      <c r="A1341" t="inlineStr">
        <is>
          <t>Boss-Only Total DPS (this block's swept value)</t>
        </is>
      </c>
      <c r="B1341">
        <f>SUM(S1304:S1330)</f>
        <v/>
      </c>
    </row>
    <row r="1342">
      <c r="A1342" t="inlineStr">
        <is>
          <t>Normal-Only Total DPS (this block's swept value)</t>
        </is>
      </c>
      <c r="B1342">
        <f>SUM(U1304:U1330)</f>
        <v/>
      </c>
    </row>
    <row r="1343">
      <c r="A1343" s="6" t="inlineStr">
        <is>
          <t>TOTAL DPS</t>
        </is>
      </c>
      <c r="B1343" s="6">
        <f>SUM(O1304:O1330)</f>
        <v/>
      </c>
    </row>
    <row r="1346">
      <c r="A1346" s="6" t="inlineStr">
        <is>
          <t>Stat: Rainbow-colored Snail Shell (Equip)</t>
        </is>
      </c>
    </row>
    <row r="1347">
      <c r="A1347" s="5" t="inlineStr">
        <is>
          <t>Key</t>
        </is>
      </c>
      <c r="B1347" s="5" t="inlineStr">
        <is>
          <t>Name</t>
        </is>
      </c>
      <c r="C1347" s="5" t="inlineStr">
        <is>
          <t>Unlocked</t>
        </is>
      </c>
      <c r="D1347" s="5" t="inlineStr">
        <is>
          <t>InputLevel</t>
        </is>
      </c>
      <c r="E1347" s="5" t="inlineStr">
        <is>
          <t>Factor</t>
        </is>
      </c>
      <c r="F1347" s="5" t="inlineStr">
        <is>
          <t>CoefficientPercent</t>
        </is>
      </c>
      <c r="G1347" s="5" t="inlineStr">
        <is>
          <t>EffectiveHits</t>
        </is>
      </c>
      <c r="H1347" s="5" t="inlineStr">
        <is>
          <t>ProcProbability</t>
        </is>
      </c>
      <c r="I1347" s="5" t="inlineStr">
        <is>
          <t>MapleHeroMultiplier</t>
        </is>
      </c>
      <c r="J1347" s="5" t="inlineStr">
        <is>
          <t>BaseDamage</t>
        </is>
      </c>
      <c r="K1347" s="5" t="inlineStr">
        <is>
          <t>BaseHitDamage</t>
        </is>
      </c>
      <c r="L1347" s="5" t="inlineStr">
        <is>
          <t>NonCritAvg</t>
        </is>
      </c>
      <c r="M1347" s="5" t="inlineStr">
        <is>
          <t>CritAvg</t>
        </is>
      </c>
      <c r="N1347" s="5" t="inlineStr">
        <is>
          <t>ExpectedDamage(perHit)</t>
        </is>
      </c>
      <c r="O1347" s="5" t="inlineStr">
        <is>
          <t>DPS</t>
        </is>
      </c>
      <c r="P1347" s="5" t="inlineStr">
        <is>
          <t>% of Total</t>
        </is>
      </c>
      <c r="R1347" t="inlineStr">
        <is>
          <t>helpers</t>
        </is>
      </c>
    </row>
    <row r="1348">
      <c r="A1348">
        <f>Skills!A2</f>
        <v/>
      </c>
      <c r="B1348">
        <f>Skills!B2</f>
        <v/>
      </c>
      <c r="C1348">
        <f>TRUE</f>
        <v/>
      </c>
      <c r="D1348" t="inlineStr"/>
      <c r="E1348" t="inlineStr"/>
      <c r="F1348">
        <f>T1350+Skills!O2</f>
        <v/>
      </c>
      <c r="G1348">
        <f>Calc!G2</f>
        <v/>
      </c>
      <c r="H1348">
        <f>Calc!H2</f>
        <v/>
      </c>
      <c r="I1348">
        <f>IF(Skills!X2&lt;&gt;"",1+(Skills!X2/10)*(Z1349/1000)/100,1)</f>
        <v/>
      </c>
      <c r="J1348">
        <f>((Inputs!$B$6*(1+Inputs!$B$7/100))+(((Inputs!$B$12*(1+Inputs!$B$13/100))-(Inputs!$B$12*(1+Inputs!$B$13/100)))+0.25*(Inputs!$B$14-Inputs!$B$14))*(1+Inputs!$B$7/100))*(F1348/100)</f>
        <v/>
      </c>
      <c r="K1348">
        <f>J1348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2="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1348)</f>
        <v/>
      </c>
      <c r="L1348">
        <f>K1348*(MIN(Inputs!$B$22+(F1368-Calc!F22),(Inputs!$B$23+(IF(ArtifactsInput!$M$15,CHOOSE(ArtifactsInput!$N$15+1,25,30,35,40,45,50)/100*(Inputs!$B$11-Inputs!$B$11),0))))/100+(Inputs!$B$23+(IF(ArtifactsInput!$M$15,CHOOSE(ArtifactsInput!$N$15+1,25,30,35,40,45,50)/100*(Inputs!$B$11-Inputs!$B$11),0)))/100)/2</f>
        <v/>
      </c>
      <c r="M1348">
        <f>L1348*(1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48">
        <f>L1348*(1-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1348*(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48">
        <f>(1-Summary!$B$11)*S1348+Summary!$B$11*U1348</f>
        <v/>
      </c>
      <c r="P1348">
        <f>IF(B1387=0,0,O1348/B1387)</f>
        <v/>
      </c>
      <c r="Q1348">
        <f>IFERROR(1/(IF(Inputs!$B$38="pvp",15,MAX(0.1,Skills!E2-IF(Skills!F2=TRUE,Inputs!$B$32,0)))*(1-IF(AND(ArtifactsInput!$M$27,Inputs!$B$4="Chapter Hunt"),CHOOSE(ArtifactsInput!$N$27+1,20,24,28,32,36,40),0)/100)),0)</f>
        <v/>
      </c>
      <c r="R1348" t="n">
        <v>0</v>
      </c>
      <c r="S1348">
        <f>(Skills!G2*N1348*B1382)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1348*(1-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1348*(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1348*(1-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1348*(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348">
        <f>MAX(0,(Inputs!$B$3-100)*3)+Inputs!$B$28+Inputs!$B$29</f>
        <v/>
      </c>
      <c r="U1348">
        <f>(Skills!G2*N1348*B1382)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348">
        <f>MAX(0,(Inputs!$B$3-100)*3)+Inputs!$B$28+Inputs!$B$29</f>
        <v/>
      </c>
    </row>
    <row r="1349">
      <c r="A1349">
        <f>Skills!A3</f>
        <v/>
      </c>
      <c r="B1349">
        <f>Skills!B3</f>
        <v/>
      </c>
      <c r="C1349">
        <f>TRUE</f>
        <v/>
      </c>
      <c r="D1349">
        <f>IF(Skills!C3=1,60+Inputs!$B$25+Inputs!$B$29,IF(Skills!C3=2,90+Inputs!$B$26+Inputs!$B$29,IF(Skills!C3=3,120+Inputs!$B$27+Inputs!$B$29,MAX(0,(Inputs!$B$3-100)*3)+Inputs!$B$28+Inputs!$B$29)))</f>
        <v/>
      </c>
      <c r="E1349">
        <f>INDEX(FactorTable!$B$2:$Y$301, MATCH(ROUND(MIN(300,MAX(1,D1349)),0), FactorTable!$A$2:$A$301,0), Skills!M3+1)</f>
        <v/>
      </c>
      <c r="F1349">
        <f>IF(Skills!N3=TRUE,(Skills!L3/10)*(E1349/1000),Skills!L3/10)+Skills!O3</f>
        <v/>
      </c>
      <c r="G1349">
        <f>Calc!G3</f>
        <v/>
      </c>
      <c r="H1349">
        <f>Calc!H3</f>
        <v/>
      </c>
      <c r="I1349">
        <f>IF(Skills!X3&lt;&gt;"",1+(Skills!X3/10)*(Z1349/1000)/100,1)</f>
        <v/>
      </c>
      <c r="J1349">
        <f>((Inputs!$B$6*(1+Inputs!$B$7/100))+(((Inputs!$B$12*(1+Inputs!$B$13/100))-(Inputs!$B$12*(1+Inputs!$B$13/100)))+0.25*(Inputs!$B$14-Inputs!$B$14))*(1+Inputs!$B$7/100))*(F1349/100)</f>
        <v/>
      </c>
      <c r="K1349">
        <f>J1349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3="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1349)</f>
        <v/>
      </c>
      <c r="L1349">
        <f>K1349*(MIN(Inputs!$B$22+(F1368-Calc!F22),(Inputs!$B$23+(IF(ArtifactsInput!$M$15,CHOOSE(ArtifactsInput!$N$15+1,25,30,35,40,45,50)/100*(Inputs!$B$11-Inputs!$B$11),0))))/100+(Inputs!$B$23+(IF(ArtifactsInput!$M$15,CHOOSE(ArtifactsInput!$N$15+1,25,30,35,40,45,50)/100*(Inputs!$B$11-Inputs!$B$11),0)))/100)/2</f>
        <v/>
      </c>
      <c r="M1349">
        <f>L1349*(1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49">
        <f>L1349*(1-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1349*(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49">
        <f>(1-Summary!$B$11)*S1349+Summary!$B$11*U1349</f>
        <v/>
      </c>
      <c r="P1349">
        <f>IF(B1387=0,0,O1349/B1387)</f>
        <v/>
      </c>
      <c r="Q1349">
        <f>IFERROR(1/(IF(Inputs!$B$38="pvp",15,MAX(0.1,Skills!E3-IF(Skills!F3=TRUE,Inputs!$B$32,0)))*(1-IF(AND(ArtifactsInput!$M$27,Inputs!$B$4="Chapter Hunt"),CHOOSE(ArtifactsInput!$N$27+1,20,24,28,32,36,40),0)/100)),0)</f>
        <v/>
      </c>
      <c r="R1349">
        <f>IF(AND(Inputs!$B$38&lt;&gt;"pvp",Inputs!$B$43&gt;0),IF(MAX(0,Inputs!$B$43-B1384)&lt;=0,0,(INT(MAX(0,Inputs!$B$43-B1384)/(IF(Inputs!$B$38="pvp",15,MAX(0.1,Skills!E3-IF(Skills!F3=TRUE,Inputs!$B$32,0)))*(1-IF(AND(ArtifactsInput!$M$27,Inputs!$B$4="Chapter Hunt"),CHOOSE(ArtifactsInput!$N$27+1,20,24,28,32,36,40),0)/100)))+1)),0)</f>
        <v/>
      </c>
      <c r="S1349">
        <f>IF(C1349,(H1349*N1349*IF(AND(Inputs!$B$38&lt;&gt;"pvp",Inputs!$B$43&gt;0),((Skills!G3*((R1349-1)*IF(Skills!H3&gt;0,Skills!I3/Skills!H3,1)+IF(Skills!H3&gt;0,MIN(Skills!I3,MAX(0,MAX(0,Inputs!$B$43-B1384)-((R1349-1)*(IF(Inputs!$B$38="pvp",15,MAX(0.1,Skills!E3-IF(Skills!F3=TRUE,Inputs!$B$32,0)))*(1-IF(AND(ArtifactsInput!$M$27,Inputs!$B$4="Chapter Hunt"),CHOOSE(ArtifactsInput!$N$27+1,20,24,28,32,36,40),0)/100)))))/Skills!H3,1)))/Inputs!$B$43),G1349*Q1349)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1349*(1-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1349*(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1349*(1-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1349*(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49">
        <f>INDEX(FactorTable!$B$2:$Y$301, MATCH(ROUND(MIN(300,MAX(1,T1348)),0), FactorTable!$A$2:$A$301,0), 22)</f>
        <v/>
      </c>
      <c r="U1349">
        <f>IF(C1349,(H1349*N1349*IF(AND(Inputs!$B$38&lt;&gt;"pvp",Inputs!$B$43&gt;0),((Skills!G3*((R1349-1)*IF(Skills!H3&gt;0,Skills!I3/Skills!H3,1)+IF(Skills!H3&gt;0,MIN(Skills!I3,MAX(0,MAX(0,Inputs!$B$43-B1384)-((R1349-1)*(IF(Inputs!$B$38="pvp",15,MAX(0.1,Skills!E3-IF(Skills!F3=TRUE,Inputs!$B$32,0)))*(1-IF(AND(ArtifactsInput!$M$27,Inputs!$B$4="Chapter Hunt"),CHOOSE(ArtifactsInput!$N$27+1,20,24,28,32,36,40),0)/100)))))/Skills!H3,1)))/Inputs!$B$43),G1349*Q1349)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349">
        <f>INDEX(FactorTable!$B$2:$Y$301, MATCH(ROUND(MIN(300,MAX(1,Z1348)),0), FactorTable!$A$2:$A$301,0), 24)</f>
        <v/>
      </c>
    </row>
    <row r="1350">
      <c r="A1350">
        <f>Skills!A4</f>
        <v/>
      </c>
      <c r="B1350">
        <f>Skills!B4</f>
        <v/>
      </c>
      <c r="C1350">
        <f>TRUE</f>
        <v/>
      </c>
      <c r="D1350">
        <f>IF(Skills!C4=1,60+Inputs!$B$25+Inputs!$B$29,IF(Skills!C4=2,90+Inputs!$B$26+Inputs!$B$29,IF(Skills!C4=3,120+Inputs!$B$27+Inputs!$B$29,MAX(0,(Inputs!$B$3-100)*3)+Inputs!$B$28+Inputs!$B$29)))</f>
        <v/>
      </c>
      <c r="E1350">
        <f>INDEX(FactorTable!$B$2:$Y$301, MATCH(ROUND(MIN(300,MAX(1,D1350)),0), FactorTable!$A$2:$A$301,0), Skills!M4+1)</f>
        <v/>
      </c>
      <c r="F1350">
        <f>IF(Skills!N4=TRUE,(Skills!L4/10)*(E1350/1000),Skills!L4/10)+Skills!O4</f>
        <v/>
      </c>
      <c r="G1350">
        <f>Calc!G4</f>
        <v/>
      </c>
      <c r="H1350">
        <f>Calc!H4</f>
        <v/>
      </c>
      <c r="I1350">
        <f>IF(Skills!X4&lt;&gt;"",1+(Skills!X4/10)*(Z1349/1000)/100,1)</f>
        <v/>
      </c>
      <c r="J1350">
        <f>((Inputs!$B$6*(1+Inputs!$B$7/100))+(((Inputs!$B$12*(1+Inputs!$B$13/100))-(Inputs!$B$12*(1+Inputs!$B$13/100)))+0.25*(Inputs!$B$14-Inputs!$B$14))*(1+Inputs!$B$7/100))*(F1350/100)</f>
        <v/>
      </c>
      <c r="K1350">
        <f>J1350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4="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1350)</f>
        <v/>
      </c>
      <c r="L1350">
        <f>K1350*(MIN(Inputs!$B$22+(F1368-Calc!F22),(Inputs!$B$23+(IF(ArtifactsInput!$M$15,CHOOSE(ArtifactsInput!$N$15+1,25,30,35,40,45,50)/100*(Inputs!$B$11-Inputs!$B$11),0))))/100+(Inputs!$B$23+(IF(ArtifactsInput!$M$15,CHOOSE(ArtifactsInput!$N$15+1,25,30,35,40,45,50)/100*(Inputs!$B$11-Inputs!$B$11),0)))/100)/2</f>
        <v/>
      </c>
      <c r="M1350">
        <f>L1350*(1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50">
        <f>L1350*(1-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1350*(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50">
        <f>(1-Summary!$B$11)*S1350+Summary!$B$11*U1350</f>
        <v/>
      </c>
      <c r="P1350">
        <f>IF(B1387=0,0,O1350/B1387)</f>
        <v/>
      </c>
      <c r="Q1350">
        <f>IFERROR(1/(IF(Inputs!$B$38="pvp",15,MAX(0.1,Skills!E4-IF(Skills!F4=TRUE,Inputs!$B$32,0)))*(1-IF(AND(ArtifactsInput!$M$27,Inputs!$B$4="Chapter Hunt"),CHOOSE(ArtifactsInput!$N$27+1,20,24,28,32,36,40),0)/100)),0)</f>
        <v/>
      </c>
      <c r="R1350">
        <f>IF(AND(Inputs!$B$38&lt;&gt;"pvp",Inputs!$B$43&gt;0),IF(MAX(0,Inputs!$B$43-B1384)&lt;=0,0,(INT(MAX(0,Inputs!$B$43-B1384)/(IF(Inputs!$B$38="pvp",15,MAX(0.1,Skills!E4-IF(Skills!F4=TRUE,Inputs!$B$32,0)))*(1-IF(AND(ArtifactsInput!$M$27,Inputs!$B$4="Chapter Hunt"),CHOOSE(ArtifactsInput!$N$27+1,20,24,28,32,36,40),0)/100)))+1)),0)</f>
        <v/>
      </c>
      <c r="S1350">
        <f>IF(C1350,(H1350*N1350*IF(AND(Inputs!$B$38&lt;&gt;"pvp",Inputs!$B$43&gt;0),((Skills!G4*((R1350-1)*IF(Skills!H4&gt;0,Skills!I4/Skills!H4,1)+IF(Skills!H4&gt;0,MIN(Skills!I4,MAX(0,MAX(0,Inputs!$B$43-B1384)-((R1350-1)*(IF(Inputs!$B$38="pvp",15,MAX(0.1,Skills!E4-IF(Skills!F4=TRUE,Inputs!$B$32,0)))*(1-IF(AND(ArtifactsInput!$M$27,Inputs!$B$4="Chapter Hunt"),CHOOSE(ArtifactsInput!$N$27+1,20,24,28,32,36,40),0)/100)))))/Skills!H4,1)))/Inputs!$B$43),G1350*Q1350)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1350*(1-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1350*(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1350*(1-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1350*(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50">
        <f>290*T1349/1000</f>
        <v/>
      </c>
      <c r="U1350">
        <f>IF(C1350,(H1350*N1350*IF(AND(Inputs!$B$38&lt;&gt;"pvp",Inputs!$B$43&gt;0),((Skills!G4*((R1350-1)*IF(Skills!H4&gt;0,Skills!I4/Skills!H4,1)+IF(Skills!H4&gt;0,MIN(Skills!I4,MAX(0,MAX(0,Inputs!$B$43-B1384)-((R1350-1)*(IF(Inputs!$B$38="pvp",15,MAX(0.1,Skills!E4-IF(Skills!F4=TRUE,Inputs!$B$32,0)))*(1-IF(AND(ArtifactsInput!$M$27,Inputs!$B$4="Chapter Hunt"),CHOOSE(ArtifactsInput!$N$27+1,20,24,28,32,36,40),0)/100)))))/Skills!H4,1)))/Inputs!$B$43),G1350*Q1350)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1">
      <c r="A1351">
        <f>Skills!A5</f>
        <v/>
      </c>
      <c r="B1351">
        <f>Skills!B5</f>
        <v/>
      </c>
      <c r="C1351">
        <f>TRUE</f>
        <v/>
      </c>
      <c r="D1351">
        <f>IF(Skills!C5=1,60+Inputs!$B$25+Inputs!$B$29,IF(Skills!C5=2,90+Inputs!$B$26+Inputs!$B$29,IF(Skills!C5=3,120+Inputs!$B$27+Inputs!$B$29,MAX(0,(Inputs!$B$3-100)*3)+Inputs!$B$28+Inputs!$B$29)))</f>
        <v/>
      </c>
      <c r="E1351">
        <f>INDEX(FactorTable!$B$2:$Y$301, MATCH(ROUND(MIN(300,MAX(1,D1351)),0), FactorTable!$A$2:$A$301,0), Skills!M5+1)</f>
        <v/>
      </c>
      <c r="F1351">
        <f>IF(Skills!N5=TRUE,(Skills!L5/10)*(E1351/1000),Skills!L5/10)+Skills!O5</f>
        <v/>
      </c>
      <c r="G1351">
        <f>Calc!G5</f>
        <v/>
      </c>
      <c r="H1351">
        <f>Calc!H5</f>
        <v/>
      </c>
      <c r="I1351">
        <f>IF(Skills!X5&lt;&gt;"",1+(Skills!X5/10)*(Z1349/1000)/100,1)</f>
        <v/>
      </c>
      <c r="J1351">
        <f>((Inputs!$B$6*(1+Inputs!$B$7/100))+(((Inputs!$B$12*(1+Inputs!$B$13/100))-(Inputs!$B$12*(1+Inputs!$B$13/100)))+0.25*(Inputs!$B$14-Inputs!$B$14))*(1+Inputs!$B$7/100))*(F1351/100)</f>
        <v/>
      </c>
      <c r="K1351">
        <f>J1351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5="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1351)</f>
        <v/>
      </c>
      <c r="L1351">
        <f>K1351*(MIN(Inputs!$B$22+(F1368-Calc!F22),(Inputs!$B$23+(IF(ArtifactsInput!$M$15,CHOOSE(ArtifactsInput!$N$15+1,25,30,35,40,45,50)/100*(Inputs!$B$11-Inputs!$B$11),0))))/100+(Inputs!$B$23+(IF(ArtifactsInput!$M$15,CHOOSE(ArtifactsInput!$N$15+1,25,30,35,40,45,50)/100*(Inputs!$B$11-Inputs!$B$11),0)))/100)/2</f>
        <v/>
      </c>
      <c r="M1351">
        <f>L1351*(1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51">
        <f>L1351*(1-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1351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51">
        <f>(1-Summary!$B$11)*S1351+Summary!$B$11*U1351</f>
        <v/>
      </c>
      <c r="P1351">
        <f>IF(B1387=0,0,O1351/B1387)</f>
        <v/>
      </c>
      <c r="Q1351">
        <f>IFERROR(1/(IF(Inputs!$B$38="pvp",15,MAX(0.1,Skills!E5-IF(Skills!F5=TRUE,Inputs!$B$32,0)))*(1-IF(AND(ArtifactsInput!$M$27,Inputs!$B$4="Chapter Hunt"),CHOOSE(ArtifactsInput!$N$27+1,20,24,28,32,36,40),0)/100)),0)</f>
        <v/>
      </c>
      <c r="R1351">
        <f>IF(AND(Inputs!$B$38&lt;&gt;"pvp",Inputs!$B$43&gt;0),IF(MAX(0,Inputs!$B$43-B1384)&lt;=0,0,(INT(MAX(0,Inputs!$B$43-B1384)/(IF(Inputs!$B$38="pvp",15,MAX(0.1,Skills!E5-IF(Skills!F5=TRUE,Inputs!$B$32,0)))*(1-IF(AND(ArtifactsInput!$M$27,Inputs!$B$4="Chapter Hunt"),CHOOSE(ArtifactsInput!$N$27+1,20,24,28,32,36,40),0)/100)))+1)),0)</f>
        <v/>
      </c>
      <c r="S1351">
        <f>IF(C1351,(H1351*N1351*IF(AND(Inputs!$B$38&lt;&gt;"pvp",Inputs!$B$43&gt;0),((Skills!G5*((R1351-1)*IF(Skills!H5&gt;0,Skills!I5/Skills!H5,1)+IF(Skills!H5&gt;0,MIN(Skills!I5,MAX(0,MAX(0,Inputs!$B$43-B1384)-((R1351-1)*(IF(Inputs!$B$38="pvp",15,MAX(0.1,Skills!E5-IF(Skills!F5=TRUE,Inputs!$B$32,0)))*(1-IF(AND(ArtifactsInput!$M$27,Inputs!$B$4="Chapter Hunt"),CHOOSE(ArtifactsInput!$N$27+1,20,24,28,32,36,40),0)/100)))))/Skills!H5,1)))/Inputs!$B$43),G1351*Q1351)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1351*(1-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1351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1351*(1-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1351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1">
        <f>IF(C1351,(H1351*N1351*IF(AND(Inputs!$B$38&lt;&gt;"pvp",Inputs!$B$43&gt;0),((Skills!G5*((R1351-1)*IF(Skills!H5&gt;0,Skills!I5/Skills!H5,1)+IF(Skills!H5&gt;0,MIN(Skills!I5,MAX(0,MAX(0,Inputs!$B$43-B1384)-((R1351-1)*(IF(Inputs!$B$38="pvp",15,MAX(0.1,Skills!E5-IF(Skills!F5=TRUE,Inputs!$B$32,0)))*(1-IF(AND(ArtifactsInput!$M$27,Inputs!$B$4="Chapter Hunt"),CHOOSE(ArtifactsInput!$N$27+1,20,24,28,32,36,40),0)/100)))))/Skills!H5,1)))/Inputs!$B$43),G1351*Q1351)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2">
      <c r="A1352">
        <f>Skills!A6</f>
        <v/>
      </c>
      <c r="B1352">
        <f>Skills!B6</f>
        <v/>
      </c>
      <c r="C1352">
        <f>TRUE</f>
        <v/>
      </c>
      <c r="D1352">
        <f>IF(Skills!C6=1,60+Inputs!$B$25+Inputs!$B$29,IF(Skills!C6=2,90+Inputs!$B$26+Inputs!$B$29,IF(Skills!C6=3,120+Inputs!$B$27+Inputs!$B$29,MAX(0,(Inputs!$B$3-100)*3)+Inputs!$B$28+Inputs!$B$29)))</f>
        <v/>
      </c>
      <c r="E1352">
        <f>INDEX(FactorTable!$B$2:$Y$301, MATCH(ROUND(MIN(300,MAX(1,D1352)),0), FactorTable!$A$2:$A$301,0), Skills!M6+1)</f>
        <v/>
      </c>
      <c r="F1352">
        <f>IF(Skills!N6=TRUE,(Skills!L6/10)*(E1352/1000),Skills!L6/10)+Skills!O6</f>
        <v/>
      </c>
      <c r="G1352">
        <f>Calc!G6</f>
        <v/>
      </c>
      <c r="H1352">
        <f>Calc!H6</f>
        <v/>
      </c>
      <c r="I1352">
        <f>IF(Skills!X6&lt;&gt;"",1+(Skills!X6/10)*(Z1349/1000)/100,1)</f>
        <v/>
      </c>
      <c r="J1352" t="inlineStr"/>
      <c r="K1352" t="inlineStr"/>
      <c r="L1352" t="inlineStr"/>
      <c r="M1352" t="inlineStr"/>
      <c r="N1352" t="inlineStr"/>
      <c r="O1352">
        <f>(1-Summary!$B$11)*S1352+Summary!$B$11*U1352</f>
        <v/>
      </c>
      <c r="P1352">
        <f>IF(B1387=0,0,O1352/B1387)</f>
        <v/>
      </c>
      <c r="Q1352">
        <f>IFERROR(1/(IF(Inputs!$B$38="pvp",15,MAX(0.1,Skills!E6-IF(Skills!F6=TRUE,Inputs!$B$32,0)))*(1-IF(AND(ArtifactsInput!$M$27,Inputs!$B$4="Chapter Hunt"),CHOOSE(ArtifactsInput!$N$27+1,20,24,28,32,36,40),0)/100)),0)</f>
        <v/>
      </c>
      <c r="R1352">
        <f>IF(AND(Inputs!$B$38&lt;&gt;"pvp",Inputs!$B$43&gt;0),IF(Inputs!$B$43&lt;=0,0,(INT(Inputs!$B$43/(IF(Inputs!$B$38="pvp",15,MAX(0.1,Skills!E6-IF(Skills!F6=TRUE,Inputs!$B$32,0)))*(1-IF(AND(ArtifactsInput!$M$27,Inputs!$B$4="Chapter Hunt"),CHOOSE(ArtifactsInput!$N$27+1,20,24,28,32,36,40),0)/100)))+1)),0)</f>
        <v/>
      </c>
      <c r="S1352" t="n">
        <v>0</v>
      </c>
      <c r="U1352" t="n">
        <v>0</v>
      </c>
    </row>
    <row r="1353">
      <c r="A1353">
        <f>Skills!A7</f>
        <v/>
      </c>
      <c r="B1353">
        <f>Skills!B7</f>
        <v/>
      </c>
      <c r="C1353">
        <f>TRUE</f>
        <v/>
      </c>
      <c r="D1353">
        <f>IF(Skills!C7=1,60+Inputs!$B$25+Inputs!$B$29,IF(Skills!C7=2,90+Inputs!$B$26+Inputs!$B$29,IF(Skills!C7=3,120+Inputs!$B$27+Inputs!$B$29,MAX(0,(Inputs!$B$3-100)*3)+Inputs!$B$28+Inputs!$B$29)))</f>
        <v/>
      </c>
      <c r="E1353">
        <f>INDEX(FactorTable!$B$2:$Y$301, MATCH(ROUND(MIN(300,MAX(1,D1353)),0), FactorTable!$A$2:$A$301,0), Skills!M7+1)</f>
        <v/>
      </c>
      <c r="F1353">
        <f>IF(Skills!N7=TRUE,(Skills!L7/10)*(E1353/1000),Skills!L7/10)+Skills!O7</f>
        <v/>
      </c>
      <c r="G1353">
        <f>Calc!G7</f>
        <v/>
      </c>
      <c r="H1353">
        <f>Calc!H7</f>
        <v/>
      </c>
      <c r="I1353">
        <f>IF(Skills!X7&lt;&gt;"",1+(Skills!X7/10)*(Z1349/1000)/100,1)</f>
        <v/>
      </c>
      <c r="J1353">
        <f>((Inputs!$B$6*(1+Inputs!$B$7/100))+(((Inputs!$B$12*(1+Inputs!$B$13/100))-(Inputs!$B$12*(1+Inputs!$B$13/100)))+0.25*(Inputs!$B$14-Inputs!$B$14))*(1+Inputs!$B$7/100))*(F1353/100)</f>
        <v/>
      </c>
      <c r="K1353">
        <f>J1353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7="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1353)</f>
        <v/>
      </c>
      <c r="L1353">
        <f>K1353*(MIN(Inputs!$B$22+(F1368-Calc!F22),(Inputs!$B$23+(IF(ArtifactsInput!$M$15,CHOOSE(ArtifactsInput!$N$15+1,25,30,35,40,45,50)/100*(Inputs!$B$11-Inputs!$B$11),0))))/100+(Inputs!$B$23+(IF(ArtifactsInput!$M$15,CHOOSE(ArtifactsInput!$N$15+1,25,30,35,40,45,50)/100*(Inputs!$B$11-Inputs!$B$11),0)))/100)/2</f>
        <v/>
      </c>
      <c r="M1353">
        <f>L1353*(1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53">
        <f>L1353*(1-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1353*(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53">
        <f>(1-Summary!$B$11)*S1353+Summary!$B$11*U1353</f>
        <v/>
      </c>
      <c r="P1353">
        <f>IF(B1387=0,0,O1353/B1387)</f>
        <v/>
      </c>
      <c r="Q1353">
        <f>IFERROR(1/(IF(Inputs!$B$38="pvp",15,MAX(0.1,Skills!E7-IF(Skills!F7=TRUE,Inputs!$B$32,0)))*(1-IF(AND(ArtifactsInput!$M$27,Inputs!$B$4="Chapter Hunt"),CHOOSE(ArtifactsInput!$N$27+1,20,24,28,32,36,40),0)/100)),0)</f>
        <v/>
      </c>
      <c r="R1353">
        <f>IF(AND(Inputs!$B$38&lt;&gt;"pvp",Inputs!$B$43&gt;0),IF(MAX(0,Inputs!$B$43-B1384)&lt;=0,0,(INT(MAX(0,Inputs!$B$43-B1384)/(IF(Inputs!$B$38="pvp",15,MAX(0.1,Skills!E7-IF(Skills!F7=TRUE,Inputs!$B$32,0)))*(1-IF(AND(ArtifactsInput!$M$27,Inputs!$B$4="Chapter Hunt"),CHOOSE(ArtifactsInput!$N$27+1,20,24,28,32,36,40),0)/100)))+1)),0)</f>
        <v/>
      </c>
      <c r="S1353">
        <f>IF(C1353,(H1353*N1353*IF(AND(Inputs!$B$38&lt;&gt;"pvp",Inputs!$B$43&gt;0),((Skills!G7*((R1353-1)*IF(Skills!H7&gt;0,Skills!I7/Skills!H7,1)+IF(Skills!H7&gt;0,MIN(Skills!I7,MAX(0,MAX(0,Inputs!$B$43-B1384)-((R1353-1)*(IF(Inputs!$B$38="pvp",15,MAX(0.1,Skills!E7-IF(Skills!F7=TRUE,Inputs!$B$32,0)))*(1-IF(AND(ArtifactsInput!$M$27,Inputs!$B$4="Chapter Hunt"),CHOOSE(ArtifactsInput!$N$27+1,20,24,28,32,36,40),0)/100)))))/Skills!H7,1)))/Inputs!$B$43),G1353*Q1353)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1353*(1-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1353*(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1353*(1-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1353*(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3">
        <f>IF(C1353,(H1353*N1353*IF(AND(Inputs!$B$38&lt;&gt;"pvp",Inputs!$B$43&gt;0),((Skills!G7*((R1353-1)*IF(Skills!H7&gt;0,Skills!I7/Skills!H7,1)+IF(Skills!H7&gt;0,MIN(Skills!I7,MAX(0,MAX(0,Inputs!$B$43-B1384)-((R1353-1)*(IF(Inputs!$B$38="pvp",15,MAX(0.1,Skills!E7-IF(Skills!F7=TRUE,Inputs!$B$32,0)))*(1-IF(AND(ArtifactsInput!$M$27,Inputs!$B$4="Chapter Hunt"),CHOOSE(ArtifactsInput!$N$27+1,20,24,28,32,36,40),0)/100)))))/Skills!H7,1)))/Inputs!$B$43),G1353*Q1353)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4">
      <c r="A1354">
        <f>Skills!A8</f>
        <v/>
      </c>
      <c r="B1354">
        <f>Skills!B8</f>
        <v/>
      </c>
      <c r="C1354">
        <f>TRUE</f>
        <v/>
      </c>
      <c r="D1354">
        <f>IF(Skills!C8=1,60+Inputs!$B$25+Inputs!$B$29,IF(Skills!C8=2,90+Inputs!$B$26+Inputs!$B$29,IF(Skills!C8=3,120+Inputs!$B$27+Inputs!$B$29,MAX(0,(Inputs!$B$3-100)*3)+Inputs!$B$28+Inputs!$B$29)))</f>
        <v/>
      </c>
      <c r="E1354">
        <f>INDEX(FactorTable!$B$2:$Y$301, MATCH(ROUND(MIN(300,MAX(1,D1354)),0), FactorTable!$A$2:$A$301,0), Skills!M8+1)</f>
        <v/>
      </c>
      <c r="F1354">
        <f>IF(Skills!N8=TRUE,(Skills!L8/10)*(E1354/1000),Skills!L8/10)+Skills!O8</f>
        <v/>
      </c>
      <c r="G1354">
        <f>Calc!G8</f>
        <v/>
      </c>
      <c r="H1354">
        <f>Calc!H8</f>
        <v/>
      </c>
      <c r="I1354">
        <f>IF(Skills!X8&lt;&gt;"",1+(Skills!X8/10)*(Z1349/1000)/100,1)</f>
        <v/>
      </c>
      <c r="J1354">
        <f>((Inputs!$B$6*(1+Inputs!$B$7/100))+(((Inputs!$B$12*(1+Inputs!$B$13/100))-(Inputs!$B$12*(1+Inputs!$B$13/100)))+0.25*(Inputs!$B$14-Inputs!$B$14))*(1+Inputs!$B$7/100))*(F1354/100)</f>
        <v/>
      </c>
      <c r="K1354">
        <f>J1354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8="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1354)</f>
        <v/>
      </c>
      <c r="L1354">
        <f>K1354*(MIN(Inputs!$B$22+(F1368-Calc!F22),(Inputs!$B$23+(IF(ArtifactsInput!$M$15,CHOOSE(ArtifactsInput!$N$15+1,25,30,35,40,45,50)/100*(Inputs!$B$11-Inputs!$B$11),0))))/100+(Inputs!$B$23+(IF(ArtifactsInput!$M$15,CHOOSE(ArtifactsInput!$N$15+1,25,30,35,40,45,50)/100*(Inputs!$B$11-Inputs!$B$11),0)))/100)/2</f>
        <v/>
      </c>
      <c r="M1354">
        <f>L1354*(1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54">
        <f>L1354*(1-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1354*(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54">
        <f>(1-Summary!$B$11)*S1354+Summary!$B$11*U1354</f>
        <v/>
      </c>
      <c r="P1354">
        <f>IF(B1387=0,0,O1354/B1387)</f>
        <v/>
      </c>
      <c r="Q1354">
        <f>IFERROR(1/(IF(Inputs!$B$38="pvp",15,MAX(0.1,Skills!E8-IF(Skills!F8=TRUE,Inputs!$B$32,0)))*(1-IF(AND(ArtifactsInput!$M$27,Inputs!$B$4="Chapter Hunt"),CHOOSE(ArtifactsInput!$N$27+1,20,24,28,32,36,40),0)/100)),0)</f>
        <v/>
      </c>
      <c r="R1354">
        <f>IF(AND(Inputs!$B$38&lt;&gt;"pvp",Inputs!$B$43&gt;0),IF(MAX(0,Inputs!$B$43-B1384)&lt;=0,0,(INT(MAX(0,Inputs!$B$43-B1384)/(IF(Inputs!$B$38="pvp",15,MAX(0.1,Skills!E8-IF(Skills!F8=TRUE,Inputs!$B$32,0)))*(1-IF(AND(ArtifactsInput!$M$27,Inputs!$B$4="Chapter Hunt"),CHOOSE(ArtifactsInput!$N$27+1,20,24,28,32,36,40),0)/100)))+1)),0)</f>
        <v/>
      </c>
      <c r="S1354">
        <f>IF(C1354,(H1354*N1354*IF(AND(Inputs!$B$38&lt;&gt;"pvp",Inputs!$B$43&gt;0),((Skills!G8*((R1354-1)*IF(Skills!H8&gt;0,Skills!I8/Skills!H8,1)+IF(Skills!H8&gt;0,MIN(Skills!I8,MAX(0,MAX(0,Inputs!$B$43-B1384)-((R1354-1)*(IF(Inputs!$B$38="pvp",15,MAX(0.1,Skills!E8-IF(Skills!F8=TRUE,Inputs!$B$32,0)))*(1-IF(AND(ArtifactsInput!$M$27,Inputs!$B$4="Chapter Hunt"),CHOOSE(ArtifactsInput!$N$27+1,20,24,28,32,36,40),0)/100)))))/Skills!H8,1)))/Inputs!$B$43),G1354*Q1354)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1354*(1-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1354*(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1354*(1-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1354*(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4">
        <f>IF(C1354,(H1354*N1354*IF(AND(Inputs!$B$38&lt;&gt;"pvp",Inputs!$B$43&gt;0),((Skills!G8*((R1354-1)*IF(Skills!H8&gt;0,Skills!I8/Skills!H8,1)+IF(Skills!H8&gt;0,MIN(Skills!I8,MAX(0,MAX(0,Inputs!$B$43-B1384)-((R1354-1)*(IF(Inputs!$B$38="pvp",15,MAX(0.1,Skills!E8-IF(Skills!F8=TRUE,Inputs!$B$32,0)))*(1-IF(AND(ArtifactsInput!$M$27,Inputs!$B$4="Chapter Hunt"),CHOOSE(ArtifactsInput!$N$27+1,20,24,28,32,36,40),0)/100)))))/Skills!H8,1)))/Inputs!$B$43),G1354*Q1354)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5">
      <c r="A1355">
        <f>Skills!A9</f>
        <v/>
      </c>
      <c r="B1355">
        <f>Skills!B9</f>
        <v/>
      </c>
      <c r="C1355">
        <f>Inputs!$B$3&gt;=103</f>
        <v/>
      </c>
      <c r="D1355">
        <f>IF(Skills!C9=1,60+Inputs!$B$25+Inputs!$B$29,IF(Skills!C9=2,90+Inputs!$B$26+Inputs!$B$29,IF(Skills!C9=3,120+Inputs!$B$27+Inputs!$B$29,MAX(0,(Inputs!$B$3-100)*3)+Inputs!$B$28+Inputs!$B$29)))</f>
        <v/>
      </c>
      <c r="E1355">
        <f>INDEX(FactorTable!$B$2:$Y$301, MATCH(ROUND(MIN(300,MAX(1,D1355)),0), FactorTable!$A$2:$A$301,0), Skills!M9+1)</f>
        <v/>
      </c>
      <c r="F1355">
        <f>IF(Skills!N9=TRUE,(Skills!L9/10)*(E1355/1000),Skills!L9/10)+Skills!O9</f>
        <v/>
      </c>
      <c r="G1355">
        <f>Calc!G9</f>
        <v/>
      </c>
      <c r="H1355">
        <f>Calc!H9</f>
        <v/>
      </c>
      <c r="I1355">
        <f>IF(Skills!X9&lt;&gt;"",1+(Skills!X9/10)*(Z1349/1000)/100,1)</f>
        <v/>
      </c>
      <c r="J1355">
        <f>((Inputs!$B$6*(1+Inputs!$B$7/100))+(((Inputs!$B$12*(1+Inputs!$B$13/100))-(Inputs!$B$12*(1+Inputs!$B$13/100)))+0.25*(Inputs!$B$14-Inputs!$B$14))*(1+Inputs!$B$7/100))*(F1355/100)</f>
        <v/>
      </c>
      <c r="K1355">
        <f>J1355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9="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1355)</f>
        <v/>
      </c>
      <c r="L1355">
        <f>K1355*(MIN(Inputs!$B$22+(F1368-Calc!F22),(Inputs!$B$23+(IF(ArtifactsInput!$M$15,CHOOSE(ArtifactsInput!$N$15+1,25,30,35,40,45,50)/100*(Inputs!$B$11-Inputs!$B$11),0))))/100+(Inputs!$B$23+(IF(ArtifactsInput!$M$15,CHOOSE(ArtifactsInput!$N$15+1,25,30,35,40,45,50)/100*(Inputs!$B$11-Inputs!$B$11),0)))/100)/2</f>
        <v/>
      </c>
      <c r="M1355">
        <f>L1355*(1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55">
        <f>L1355*(1-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1355*(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55">
        <f>(1-Summary!$B$11)*S1355+Summary!$B$11*U1355</f>
        <v/>
      </c>
      <c r="P1355">
        <f>IF(B1387=0,0,O1355/B1387)</f>
        <v/>
      </c>
      <c r="Q1355">
        <f>IFERROR(1/(IF(Inputs!$B$38="pvp",15,MAX(0.1,Skills!E9-IF(Skills!F7=TRUE,Inputs!$B$32,0)))*(1-IF(AND(ArtifactsInput!$M$27,Inputs!$B$4="Chapter Hunt"),CHOOSE(ArtifactsInput!$N$27+1,20,24,28,32,36,40),0)/100)),0)</f>
        <v/>
      </c>
      <c r="R1355">
        <f>IF(AND(Inputs!$B$38&lt;&gt;"pvp",Inputs!$B$43&gt;0),IF(MAX(0,Inputs!$B$43-B1384)&lt;=0,0,(INT(MAX(0,Inputs!$B$43-B1384)/(IF(Inputs!$B$38="pvp",15,MAX(0.1,Skills!E9-IF(Skills!F7=TRUE,Inputs!$B$32,0)))*(1-IF(AND(ArtifactsInput!$M$27,Inputs!$B$4="Chapter Hunt"),CHOOSE(ArtifactsInput!$N$27+1,20,24,28,32,36,40),0)/100)))+1)),0)</f>
        <v/>
      </c>
      <c r="S1355">
        <f>IF(C1355,(H1355*N1355*IF(AND(Inputs!$B$38&lt;&gt;"pvp",Inputs!$B$43&gt;0),((Skills!G9*((R1355-1)*IF(Skills!H9&gt;0,Skills!I9/Skills!H9,1)+IF(Skills!H9&gt;0,MIN(Skills!I9,MAX(0,MAX(0,Inputs!$B$43-B1384)-((R1355-1)*(IF(Inputs!$B$38="pvp",15,MAX(0.1,Skills!E9-IF(Skills!F7=TRUE,Inputs!$B$32,0)))*(1-IF(AND(ArtifactsInput!$M$27,Inputs!$B$4="Chapter Hunt"),CHOOSE(ArtifactsInput!$N$27+1,20,24,28,32,36,40),0)/100)))))/Skills!H9,1)))/Inputs!$B$43),G1355*Q1355)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1355*(1-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1355*(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1355*(1-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1355*(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5">
        <f>IF(C1355,(H1355*N1355*IF(AND(Inputs!$B$38&lt;&gt;"pvp",Inputs!$B$43&gt;0),((Skills!G9*((R1355-1)*IF(Skills!H9&gt;0,Skills!I9/Skills!H9,1)+IF(Skills!H9&gt;0,MIN(Skills!I9,MAX(0,MAX(0,Inputs!$B$43-B1384)-((R1355-1)*(IF(Inputs!$B$38="pvp",15,MAX(0.1,Skills!E9-IF(Skills!F7=TRUE,Inputs!$B$32,0)))*(1-IF(AND(ArtifactsInput!$M$27,Inputs!$B$4="Chapter Hunt"),CHOOSE(ArtifactsInput!$N$27+1,20,24,28,32,36,40),0)/100)))))/Skills!H9,1)))/Inputs!$B$43),G1355*Q1355)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6">
      <c r="A1356">
        <f>Skills!A10</f>
        <v/>
      </c>
      <c r="B1356">
        <f>Skills!B10</f>
        <v/>
      </c>
      <c r="C1356">
        <f>TRUE</f>
        <v/>
      </c>
      <c r="D1356">
        <f>IF(Skills!C10=1,60+Inputs!$B$25+Inputs!$B$29,IF(Skills!C10=2,90+Inputs!$B$26+Inputs!$B$29,IF(Skills!C10=3,120+Inputs!$B$27+Inputs!$B$29,MAX(0,(Inputs!$B$3-100)*3)+Inputs!$B$28+Inputs!$B$29)))</f>
        <v/>
      </c>
      <c r="E1356">
        <f>INDEX(FactorTable!$B$2:$Y$301, MATCH(ROUND(MIN(300,MAX(1,D1356)),0), FactorTable!$A$2:$A$301,0), Skills!M10+1)</f>
        <v/>
      </c>
      <c r="F1356">
        <f>IF(Skills!N10=TRUE,(Skills!L10/10)*(E1356/1000),Skills!L10/10)+Skills!O10</f>
        <v/>
      </c>
      <c r="G1356">
        <f>Calc!G10</f>
        <v/>
      </c>
      <c r="H1356">
        <f>Calc!H10</f>
        <v/>
      </c>
      <c r="I1356">
        <f>IF(Skills!X10&lt;&gt;"",1+(Skills!X10/10)*(Z1349/1000)/100,1)</f>
        <v/>
      </c>
      <c r="J1356">
        <f>((Inputs!$B$6*(1+Inputs!$B$7/100))+(((Inputs!$B$12*(1+Inputs!$B$13/100))-(Inputs!$B$12*(1+Inputs!$B$13/100)))+0.25*(Inputs!$B$14-Inputs!$B$14))*(1+Inputs!$B$7/100))*(F1356/100)</f>
        <v/>
      </c>
      <c r="K1356">
        <f>J1356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10="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1356)</f>
        <v/>
      </c>
      <c r="L1356">
        <f>K1356*(MIN(Inputs!$B$22+(F1368-Calc!F22),(Inputs!$B$23+(IF(ArtifactsInput!$M$15,CHOOSE(ArtifactsInput!$N$15+1,25,30,35,40,45,50)/100*(Inputs!$B$11-Inputs!$B$11),0))))/100+(Inputs!$B$23+(IF(ArtifactsInput!$M$15,CHOOSE(ArtifactsInput!$N$15+1,25,30,35,40,45,50)/100*(Inputs!$B$11-Inputs!$B$11),0)))/100)/2</f>
        <v/>
      </c>
      <c r="M1356">
        <f>L1356*(1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56">
        <f>L1356*(1-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1356*(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56">
        <f>(1-Summary!$B$11)*S1356+Summary!$B$11*U1356</f>
        <v/>
      </c>
      <c r="P1356">
        <f>IF(B1387=0,0,O1356/B1387)</f>
        <v/>
      </c>
      <c r="Q1356">
        <f>IFERROR(1/(IF(Inputs!$B$38="pvp",15,MAX(0.1,Skills!E10-IF(Skills!F10=TRUE,Inputs!$B$32,0)))*(1-IF(AND(ArtifactsInput!$M$27,Inputs!$B$4="Chapter Hunt"),CHOOSE(ArtifactsInput!$N$27+1,20,24,28,32,36,40),0)/100)),0)</f>
        <v/>
      </c>
      <c r="R1356">
        <f>IF(AND(Inputs!$B$38&lt;&gt;"pvp",Inputs!$B$43&gt;0),IF(MAX(0,Inputs!$B$43-B1384)&lt;=0,0,(INT(MAX(0,Inputs!$B$43-B1384)/(IF(Inputs!$B$38="pvp",15,MAX(0.1,Skills!E10-IF(Skills!F10=TRUE,Inputs!$B$32,0)))*(1-IF(AND(ArtifactsInput!$M$27,Inputs!$B$4="Chapter Hunt"),CHOOSE(ArtifactsInput!$N$27+1,20,24,28,32,36,40),0)/100)))+1)),0)</f>
        <v/>
      </c>
      <c r="S1356">
        <f>IF(C1356,(H1356*N1356*IF(AND(Inputs!$B$38&lt;&gt;"pvp",Inputs!$B$43&gt;0),((Skills!G10*((R1356-1)*IF(Skills!H10&gt;0,Skills!I10/Skills!H10,1)+IF(Skills!H10&gt;0,MIN(Skills!I10,MAX(0,MAX(0,Inputs!$B$43-B1384)-((R1356-1)*(IF(Inputs!$B$38="pvp",15,MAX(0.1,Skills!E10-IF(Skills!F10=TRUE,Inputs!$B$32,0)))*(1-IF(AND(ArtifactsInput!$M$27,Inputs!$B$4="Chapter Hunt"),CHOOSE(ArtifactsInput!$N$27+1,20,24,28,32,36,40),0)/100)))))/Skills!H10,1)))/Inputs!$B$43),G1356*Q1356)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1356*(1-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1356*(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1356*(1-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1356*(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6">
        <f>IF(C1356,(H1356*N1356*IF(AND(Inputs!$B$38&lt;&gt;"pvp",Inputs!$B$43&gt;0),((Skills!G10*((R1356-1)*IF(Skills!H10&gt;0,Skills!I10/Skills!H10,1)+IF(Skills!H10&gt;0,MIN(Skills!I10,MAX(0,MAX(0,Inputs!$B$43-B1384)-((R1356-1)*(IF(Inputs!$B$38="pvp",15,MAX(0.1,Skills!E10-IF(Skills!F10=TRUE,Inputs!$B$32,0)))*(1-IF(AND(ArtifactsInput!$M$27,Inputs!$B$4="Chapter Hunt"),CHOOSE(ArtifactsInput!$N$27+1,20,24,28,32,36,40),0)/100)))))/Skills!H10,1)))/Inputs!$B$43),G1356*Q1356)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7">
      <c r="A1357">
        <f>Skills!A11</f>
        <v/>
      </c>
      <c r="B1357">
        <f>Skills!B11</f>
        <v/>
      </c>
      <c r="C1357">
        <f>TRUE</f>
        <v/>
      </c>
      <c r="D1357">
        <f>IF(Skills!C11=1,60+Inputs!$B$25+Inputs!$B$29,IF(Skills!C11=2,90+Inputs!$B$26+Inputs!$B$29,IF(Skills!C11=3,120+Inputs!$B$27+Inputs!$B$29,MAX(0,(Inputs!$B$3-100)*3)+Inputs!$B$28+Inputs!$B$29)))</f>
        <v/>
      </c>
      <c r="E1357">
        <f>INDEX(FactorTable!$B$2:$Y$301, MATCH(ROUND(MIN(300,MAX(1,D1357)),0), FactorTable!$A$2:$A$301,0), Skills!M11+1)</f>
        <v/>
      </c>
      <c r="F1357">
        <f>IF(Skills!N11=TRUE,(Skills!L11/10)*(E1357/1000),Skills!L11/10)+Skills!O11</f>
        <v/>
      </c>
      <c r="G1357">
        <f>Calc!G11</f>
        <v/>
      </c>
      <c r="H1357">
        <f>Calc!H11</f>
        <v/>
      </c>
      <c r="I1357">
        <f>IF(Skills!X11&lt;&gt;"",1+(Skills!X11/10)*(Z1349/1000)/100,1)</f>
        <v/>
      </c>
      <c r="J1357" t="inlineStr"/>
      <c r="K1357" t="inlineStr"/>
      <c r="L1357" t="inlineStr"/>
      <c r="M1357" t="inlineStr"/>
      <c r="N1357" t="inlineStr"/>
      <c r="O1357">
        <f>(1-Summary!$B$11)*S1357+Summary!$B$11*U1357</f>
        <v/>
      </c>
      <c r="P1357">
        <f>IF(B1387=0,0,O1357/B1387)</f>
        <v/>
      </c>
      <c r="Q1357">
        <f>IFERROR(1/(IF(Inputs!$B$38="pvp",15,MAX(0.1,Skills!E11-IF(Skills!F11=TRUE,Inputs!$B$32,0)))*(1-IF(AND(ArtifactsInput!$M$27,Inputs!$B$4="Chapter Hunt"),CHOOSE(ArtifactsInput!$N$27+1,20,24,28,32,36,40),0)/100)),0)</f>
        <v/>
      </c>
      <c r="R1357" t="n">
        <v>0</v>
      </c>
      <c r="S1357" t="n">
        <v>0</v>
      </c>
      <c r="U1357" t="n">
        <v>0</v>
      </c>
    </row>
    <row r="1358">
      <c r="A1358">
        <f>Skills!A12</f>
        <v/>
      </c>
      <c r="B1358">
        <f>Skills!B12</f>
        <v/>
      </c>
      <c r="C1358">
        <f>TRUE</f>
        <v/>
      </c>
      <c r="D1358">
        <f>IF(Skills!C12=1,60+Inputs!$B$25+Inputs!$B$29,IF(Skills!C12=2,90+Inputs!$B$26+Inputs!$B$29,IF(Skills!C12=3,120+Inputs!$B$27+Inputs!$B$29,MAX(0,(Inputs!$B$3-100)*3)+Inputs!$B$28+Inputs!$B$29)))</f>
        <v/>
      </c>
      <c r="E1358">
        <f>INDEX(FactorTable!$B$2:$Y$301, MATCH(ROUND(MIN(300,MAX(1,D1358)),0), FactorTable!$A$2:$A$301,0), Skills!M12+1)</f>
        <v/>
      </c>
      <c r="F1358">
        <f>IF(Skills!N12=TRUE,(Skills!L12/10)*(E1358/1000),Skills!L12/10)+Skills!O12</f>
        <v/>
      </c>
      <c r="G1358">
        <f>Calc!G12</f>
        <v/>
      </c>
      <c r="H1358">
        <f>Calc!H12</f>
        <v/>
      </c>
      <c r="I1358">
        <f>IF(Skills!X12&lt;&gt;"",1+(Skills!X12/10)*(Z1349/1000)/100,1)</f>
        <v/>
      </c>
      <c r="J1358" t="inlineStr"/>
      <c r="K1358" t="inlineStr"/>
      <c r="L1358" t="inlineStr"/>
      <c r="M1358" t="inlineStr"/>
      <c r="N1358" t="inlineStr"/>
      <c r="O1358">
        <f>(1-Summary!$B$11)*S1358+Summary!$B$11*U1358</f>
        <v/>
      </c>
      <c r="P1358">
        <f>IF(B1387=0,0,O1358/B1387)</f>
        <v/>
      </c>
      <c r="Q1358">
        <f>IFERROR(1/(IF(Inputs!$B$38="pvp",15,MAX(0.1,Skills!E12-IF(Skills!F12=TRUE,Inputs!$B$32,0)))*(1-IF(AND(ArtifactsInput!$M$27,Inputs!$B$4="Chapter Hunt"),CHOOSE(ArtifactsInput!$N$27+1,20,24,28,32,36,40),0)/100)),0)</f>
        <v/>
      </c>
      <c r="R1358" t="n">
        <v>0</v>
      </c>
      <c r="S1358" t="n">
        <v>0</v>
      </c>
      <c r="U1358" t="n">
        <v>0</v>
      </c>
    </row>
    <row r="1359">
      <c r="A1359">
        <f>Skills!A13</f>
        <v/>
      </c>
      <c r="B1359">
        <f>Skills!B13</f>
        <v/>
      </c>
      <c r="C1359">
        <f>Inputs!$B$3&gt;=105</f>
        <v/>
      </c>
      <c r="D1359">
        <f>IF(Skills!C13=1,60+Inputs!$B$25+Inputs!$B$29,IF(Skills!C13=2,90+Inputs!$B$26+Inputs!$B$29,IF(Skills!C13=3,120+Inputs!$B$27+Inputs!$B$29,MAX(0,(Inputs!$B$3-100)*3)+Inputs!$B$28+Inputs!$B$29)))</f>
        <v/>
      </c>
      <c r="E1359">
        <f>INDEX(FactorTable!$B$2:$Y$301, MATCH(ROUND(MIN(300,MAX(1,D1359)),0), FactorTable!$A$2:$A$301,0), Skills!M13+1)</f>
        <v/>
      </c>
      <c r="F1359">
        <f>IF(Skills!N13=TRUE,(Skills!L13/10)*(E1359/1000),Skills!L13/10)+Skills!O13</f>
        <v/>
      </c>
      <c r="G1359">
        <f>Calc!G13</f>
        <v/>
      </c>
      <c r="H1359">
        <f>Calc!H13</f>
        <v/>
      </c>
      <c r="I1359">
        <f>IF(Skills!X13&lt;&gt;"",1+(Skills!X13/10)*(Z1349/1000)/100,1)</f>
        <v/>
      </c>
      <c r="J1359">
        <f>((Inputs!$B$6*(1+Inputs!$B$7/100))+(((Inputs!$B$12*(1+Inputs!$B$13/100))-(Inputs!$B$12*(1+Inputs!$B$13/100)))+0.25*(Inputs!$B$14-Inputs!$B$14))*(1+Inputs!$B$7/100))*(F1359/100)</f>
        <v/>
      </c>
      <c r="K1359">
        <f>J1359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13="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1359)</f>
        <v/>
      </c>
      <c r="L1359">
        <f>K1359*(MIN(Inputs!$B$22+(F1368-Calc!F22),(Inputs!$B$23+(IF(ArtifactsInput!$M$15,CHOOSE(ArtifactsInput!$N$15+1,25,30,35,40,45,50)/100*(Inputs!$B$11-Inputs!$B$11),0))))/100+(Inputs!$B$23+(IF(ArtifactsInput!$M$15,CHOOSE(ArtifactsInput!$N$15+1,25,30,35,40,45,50)/100*(Inputs!$B$11-Inputs!$B$11),0)))/100)/2</f>
        <v/>
      </c>
      <c r="M1359">
        <f>L1359*(1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59">
        <f>L1359*(1-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1359*(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59">
        <f>(1-Summary!$B$11)*S1359+Summary!$B$11*U1359</f>
        <v/>
      </c>
      <c r="P1359">
        <f>IF(B1387=0,0,O1359/B1387)</f>
        <v/>
      </c>
      <c r="Q1359">
        <f>IFERROR(1/(IF(Inputs!$B$38="pvp",15,MAX(0.1,Skills!E13-IF(Skills!F13=TRUE,Inputs!$B$32,0)))*(1-IF(AND(ArtifactsInput!$M$27,Inputs!$B$4="Chapter Hunt"),CHOOSE(ArtifactsInput!$N$27+1,20,24,28,32,36,40),0)/100)),0)</f>
        <v/>
      </c>
      <c r="R1359">
        <f>IF(AND(Inputs!$B$38&lt;&gt;"pvp",Inputs!$B$43&gt;0),IF(MAX(0,Inputs!$B$43-B1384)&lt;=0,0,(INT(MAX(0,Inputs!$B$43-B1384)/(IF(Inputs!$B$38="pvp",15,MAX(0.1,Skills!E13-IF(Skills!F13=TRUE,Inputs!$B$32,0)))*(1-IF(AND(ArtifactsInput!$M$27,Inputs!$B$4="Chapter Hunt"),CHOOSE(ArtifactsInput!$N$27+1,20,24,28,32,36,40),0)/100)))+1)),0)</f>
        <v/>
      </c>
      <c r="S1359">
        <f>IF(C1359,(H1359*N1359*IF(AND(Inputs!$B$38&lt;&gt;"pvp",Inputs!$B$43&gt;0),((Skills!G13*((R1359-1)*IF(Skills!H13&gt;0,Skills!I13/Skills!H13,1)+IF(Skills!H13&gt;0,MIN(Skills!I13,MAX(0,MAX(0,Inputs!$B$43-B1384)-((R1359-1)*(IF(Inputs!$B$38="pvp",15,MAX(0.1,Skills!E13-IF(Skills!F13=TRUE,Inputs!$B$32,0)))*(1-IF(AND(ArtifactsInput!$M$27,Inputs!$B$4="Chapter Hunt"),CHOOSE(ArtifactsInput!$N$27+1,20,24,28,32,36,40),0)/100)))))/Skills!H13,1)))/Inputs!$B$43),G1359*Q1359)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1359*(1-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1359*(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1359*(1-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1359*(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9">
        <f>IF(C1359,(H1359*N1359*IF(AND(Inputs!$B$38&lt;&gt;"pvp",Inputs!$B$43&gt;0),((Skills!G13*((R1359-1)*IF(Skills!H13&gt;0,Skills!I13/Skills!H13,1)+IF(Skills!H13&gt;0,MIN(Skills!I13,MAX(0,MAX(0,Inputs!$B$43-B1384)-((R1359-1)*(IF(Inputs!$B$38="pvp",15,MAX(0.1,Skills!E13-IF(Skills!F13=TRUE,Inputs!$B$32,0)))*(1-IF(AND(ArtifactsInput!$M$27,Inputs!$B$4="Chapter Hunt"),CHOOSE(ArtifactsInput!$N$27+1,20,24,28,32,36,40),0)/100)))))/Skills!H13,1)))/Inputs!$B$43),G1359*Q1359)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0">
      <c r="A1360">
        <f>Skills!A14</f>
        <v/>
      </c>
      <c r="B1360">
        <f>Skills!B14</f>
        <v/>
      </c>
      <c r="C1360">
        <f>Inputs!$B$3&gt;=113</f>
        <v/>
      </c>
      <c r="D1360">
        <f>IF(Skills!C14=1,60+Inputs!$B$25+Inputs!$B$29,IF(Skills!C14=2,90+Inputs!$B$26+Inputs!$B$29,IF(Skills!C14=3,120+Inputs!$B$27+Inputs!$B$29,MAX(0,(Inputs!$B$3-100)*3)+Inputs!$B$28+Inputs!$B$29)))</f>
        <v/>
      </c>
      <c r="E1360">
        <f>INDEX(FactorTable!$B$2:$Y$301, MATCH(ROUND(MIN(300,MAX(1,D1360)),0), FactorTable!$A$2:$A$301,0), Skills!M14+1)</f>
        <v/>
      </c>
      <c r="F1360">
        <f>IF(Skills!N14=TRUE,(Skills!L14/10)*(E1360/1000),Skills!L14/10)+Skills!O14</f>
        <v/>
      </c>
      <c r="G1360">
        <f>Calc!G14</f>
        <v/>
      </c>
      <c r="H1360">
        <f>Calc!H14</f>
        <v/>
      </c>
      <c r="I1360">
        <f>IF(Skills!X14&lt;&gt;"",1+(Skills!X14/10)*(Z1349/1000)/100,1)</f>
        <v/>
      </c>
      <c r="J1360">
        <f>((Inputs!$B$6*(1+Inputs!$B$7/100))+(((Inputs!$B$12*(1+Inputs!$B$13/100))-(Inputs!$B$12*(1+Inputs!$B$13/100)))+0.25*(Inputs!$B$14-Inputs!$B$14))*(1+Inputs!$B$7/100))*(F1360/100)</f>
        <v/>
      </c>
      <c r="K1360">
        <f>J1360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14="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1360)</f>
        <v/>
      </c>
      <c r="L1360">
        <f>K1360*(MIN(Inputs!$B$22+(F1368-Calc!F22),(Inputs!$B$23+(IF(ArtifactsInput!$M$15,CHOOSE(ArtifactsInput!$N$15+1,25,30,35,40,45,50)/100*(Inputs!$B$11-Inputs!$B$11),0))))/100+(Inputs!$B$23+(IF(ArtifactsInput!$M$15,CHOOSE(ArtifactsInput!$N$15+1,25,30,35,40,45,50)/100*(Inputs!$B$11-Inputs!$B$11),0)))/100)/2</f>
        <v/>
      </c>
      <c r="M1360">
        <f>L1360*(1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60">
        <f>L1360*(1-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1360*(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60">
        <f>(1-Summary!$B$11)*S1360+Summary!$B$11*U1360</f>
        <v/>
      </c>
      <c r="P1360">
        <f>IF(B1387=0,0,O1360/B1387)</f>
        <v/>
      </c>
      <c r="Q1360">
        <f>IFERROR(1/(IF(Inputs!$B$38="pvp",15,MAX(0.1,Skills!E14-IF(Skills!F14=TRUE,Inputs!$B$32,0)))*(1-IF(AND(ArtifactsInput!$M$27,Inputs!$B$4="Chapter Hunt"),CHOOSE(ArtifactsInput!$N$27+1,20,24,28,32,36,40),0)/100)),0)</f>
        <v/>
      </c>
      <c r="R1360" t="n">
        <v>0</v>
      </c>
      <c r="S1360">
        <f>IF(C1360,((H1360*B1383)/(1+Skills!H14*H1360*B1383)*N1360)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1360*(1-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1360*(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1360*(1-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1360*(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60">
        <f>IF(C1360,((H1360*B1383)/(1+Skills!H14*H1360*B1383)*N1360)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1">
      <c r="A1361">
        <f>Skills!A15</f>
        <v/>
      </c>
      <c r="B1361">
        <f>Skills!B15</f>
        <v/>
      </c>
      <c r="C1361">
        <f>Inputs!$B$3&gt;=107</f>
        <v/>
      </c>
      <c r="D1361">
        <f>IF(Skills!C15=1,60+Inputs!$B$25+Inputs!$B$29,IF(Skills!C15=2,90+Inputs!$B$26+Inputs!$B$29,IF(Skills!C15=3,120+Inputs!$B$27+Inputs!$B$29,MAX(0,(Inputs!$B$3-100)*3)+Inputs!$B$28+Inputs!$B$29)))</f>
        <v/>
      </c>
      <c r="E1361">
        <f>INDEX(FactorTable!$B$2:$Y$301, MATCH(ROUND(MIN(300,MAX(1,D1361)),0), FactorTable!$A$2:$A$301,0), Skills!M15+1)</f>
        <v/>
      </c>
      <c r="F1361">
        <f>IF(Skills!N15=TRUE,(Skills!L15/10)*(E1361/1000),Skills!L15/10)+Skills!O15</f>
        <v/>
      </c>
      <c r="G1361">
        <f>Calc!G15</f>
        <v/>
      </c>
      <c r="H1361">
        <f>Calc!H15</f>
        <v/>
      </c>
      <c r="I1361">
        <f>IF(Skills!X15&lt;&gt;"",1+(Skills!X15/10)*(Z1349/1000)/100,1)</f>
        <v/>
      </c>
      <c r="J1361">
        <f>((Inputs!$B$6*(1+Inputs!$B$7/100))+(((Inputs!$B$12*(1+Inputs!$B$13/100))-(Inputs!$B$12*(1+Inputs!$B$13/100)))+0.25*(Inputs!$B$14-Inputs!$B$14))*(1+Inputs!$B$7/100))*(F1361/100)</f>
        <v/>
      </c>
      <c r="K1361">
        <f>J1361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15="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1361)</f>
        <v/>
      </c>
      <c r="L1361">
        <f>K1361*(MIN(Inputs!$B$22+(F1368-Calc!F22),(Inputs!$B$23+(IF(ArtifactsInput!$M$15,CHOOSE(ArtifactsInput!$N$15+1,25,30,35,40,45,50)/100*(Inputs!$B$11-Inputs!$B$11),0))))/100+(Inputs!$B$23+(IF(ArtifactsInput!$M$15,CHOOSE(ArtifactsInput!$N$15+1,25,30,35,40,45,50)/100*(Inputs!$B$11-Inputs!$B$11),0)))/100)/2</f>
        <v/>
      </c>
      <c r="M1361">
        <f>L1361*(1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61">
        <f>L1361*(1-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1361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61">
        <f>(1-Summary!$B$11)*S1361+Summary!$B$11*U1361</f>
        <v/>
      </c>
      <c r="P1361">
        <f>IF(B1387=0,0,O1361/B1387)</f>
        <v/>
      </c>
      <c r="Q1361">
        <f>IFERROR(1/(IF(Inputs!$B$38="pvp",15,MAX(0.1,Skills!E15-IF(Skills!F15=TRUE,Inputs!$B$32,0)))*(1-IF(AND(ArtifactsInput!$M$27,Inputs!$B$4="Chapter Hunt"),CHOOSE(ArtifactsInput!$N$27+1,20,24,28,32,36,40),0)/100)),0)</f>
        <v/>
      </c>
      <c r="R1361">
        <f>IF(AND(Inputs!$B$38&lt;&gt;"pvp",Inputs!$B$43&gt;0),IF(MAX(0,Inputs!$B$43-B1384)&lt;=0,0,(INT(MAX(0,Inputs!$B$43-B1384)/(IF(Inputs!$B$38="pvp",15,MAX(0.1,Skills!E15-IF(Skills!F15=TRUE,Inputs!$B$32,0)))*(1-IF(AND(ArtifactsInput!$M$27,Inputs!$B$4="Chapter Hunt"),CHOOSE(ArtifactsInput!$N$27+1,20,24,28,32,36,40),0)/100)))+1)),0)</f>
        <v/>
      </c>
      <c r="S1361">
        <f>IF(C1361,(H1361*N1361*IF(AND(Inputs!$B$38&lt;&gt;"pvp",Inputs!$B$43&gt;0),((Skills!G15*((R1361-1)*IF(Skills!H15&gt;0,Skills!I15/Skills!H15,1)+IF(Skills!H15&gt;0,MIN(Skills!I15,MAX(0,MAX(0,Inputs!$B$43-B1384)-((R1361-1)*(IF(Inputs!$B$38="pvp",15,MAX(0.1,Skills!E15-IF(Skills!F15=TRUE,Inputs!$B$32,0)))*(1-IF(AND(ArtifactsInput!$M$27,Inputs!$B$4="Chapter Hunt"),CHOOSE(ArtifactsInput!$N$27+1,20,24,28,32,36,40),0)/100)))))/Skills!H15,1)))/Inputs!$B$43),G1361*Q1361)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1361*(1-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1361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1361*(1-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1361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61">
        <f>IF(C1361,(H1361*N1361*IF(AND(Inputs!$B$38&lt;&gt;"pvp",Inputs!$B$43&gt;0),((Skills!G15*((R1361-1)*IF(Skills!H15&gt;0,Skills!I15/Skills!H15,1)+IF(Skills!H15&gt;0,MIN(Skills!I15,MAX(0,MAX(0,Inputs!$B$43-B1384)-((R1361-1)*(IF(Inputs!$B$38="pvp",15,MAX(0.1,Skills!E15-IF(Skills!F15=TRUE,Inputs!$B$32,0)))*(1-IF(AND(ArtifactsInput!$M$27,Inputs!$B$4="Chapter Hunt"),CHOOSE(ArtifactsInput!$N$27+1,20,24,28,32,36,40),0)/100)))))/Skills!H15,1)))/Inputs!$B$43),G1361*Q1361)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2">
      <c r="A1362">
        <f>Skills!A16</f>
        <v/>
      </c>
      <c r="B1362">
        <f>Skills!B16</f>
        <v/>
      </c>
      <c r="C1362">
        <f>Inputs!$B$3&gt;=107</f>
        <v/>
      </c>
      <c r="D1362">
        <f>IF(Skills!C16=1,60+Inputs!$B$25+Inputs!$B$29,IF(Skills!C16=2,90+Inputs!$B$26+Inputs!$B$29,IF(Skills!C16=3,120+Inputs!$B$27+Inputs!$B$29,MAX(0,(Inputs!$B$3-100)*3)+Inputs!$B$28+Inputs!$B$29)))</f>
        <v/>
      </c>
      <c r="E1362">
        <f>INDEX(FactorTable!$B$2:$Y$301, MATCH(ROUND(MIN(300,MAX(1,D1362)),0), FactorTable!$A$2:$A$301,0), Skills!M16+1)</f>
        <v/>
      </c>
      <c r="F1362">
        <f>IF(Skills!N16=TRUE,(Skills!L16/10)*(E1362/1000),Skills!L16/10)+Skills!O16</f>
        <v/>
      </c>
      <c r="G1362">
        <f>Calc!G16</f>
        <v/>
      </c>
      <c r="H1362">
        <f>Calc!H16</f>
        <v/>
      </c>
      <c r="I1362">
        <f>IF(Skills!X16&lt;&gt;"",1+(Skills!X16/10)*(Z1349/1000)/100,1)</f>
        <v/>
      </c>
      <c r="J1362">
        <f>((Inputs!$B$6*(1+Inputs!$B$7/100))+(((Inputs!$B$12*(1+Inputs!$B$13/100))-(Inputs!$B$12*(1+Inputs!$B$13/100)))+0.25*(Inputs!$B$14-Inputs!$B$14))*(1+Inputs!$B$7/100))*(F1362/100)</f>
        <v/>
      </c>
      <c r="K1362">
        <f>J1362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16="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1362)</f>
        <v/>
      </c>
      <c r="L1362">
        <f>K1362*(MIN(Inputs!$B$22+(F1368-Calc!F22),(Inputs!$B$23+(IF(ArtifactsInput!$M$15,CHOOSE(ArtifactsInput!$N$15+1,25,30,35,40,45,50)/100*(Inputs!$B$11-Inputs!$B$11),0))))/100+(Inputs!$B$23+(IF(ArtifactsInput!$M$15,CHOOSE(ArtifactsInput!$N$15+1,25,30,35,40,45,50)/100*(Inputs!$B$11-Inputs!$B$11),0)))/100)/2</f>
        <v/>
      </c>
      <c r="M1362">
        <f>L1362*(1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62">
        <f>L1362*(1-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1362*(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62">
        <f>(1-Summary!$B$11)*S1362+Summary!$B$11*U1362</f>
        <v/>
      </c>
      <c r="P1362">
        <f>IF(B1387=0,0,O1362/B1387)</f>
        <v/>
      </c>
      <c r="Q1362">
        <f>IFERROR(1/(IF(Inputs!$B$38="pvp",15,MAX(0.1,Skills!E16-IF(Skills!F16=TRUE,Inputs!$B$32,0)))*(1-IF(AND(ArtifactsInput!$M$27,Inputs!$B$4="Chapter Hunt"),CHOOSE(ArtifactsInput!$N$27+1,20,24,28,32,36,40),0)/100)),0)</f>
        <v/>
      </c>
      <c r="R1362">
        <f>IF(AND(Inputs!$B$38&lt;&gt;"pvp",Inputs!$B$43&gt;0),IF(MAX(0,Inputs!$B$43-B1384)&lt;=0,0,(INT(MAX(0,Inputs!$B$43-B1384)/(IF(Inputs!$B$38="pvp",15,MAX(0.1,Skills!E16-IF(Skills!F16=TRUE,Inputs!$B$32,0)))*(1-IF(AND(ArtifactsInput!$M$27,Inputs!$B$4="Chapter Hunt"),CHOOSE(ArtifactsInput!$N$27+1,20,24,28,32,36,40),0)/100)))+1)),0)</f>
        <v/>
      </c>
      <c r="S1362">
        <f>IF(C1362,(H1362*N1362*IF(AND(Inputs!$B$38&lt;&gt;"pvp",Inputs!$B$43&gt;0),((Skills!G16*((R1362-1)*IF(Skills!H16&gt;0,Skills!I16/Skills!H16,1)+IF(Skills!H16&gt;0,MIN(Skills!I16,MAX(0,MAX(0,Inputs!$B$43-B1384)-((R1362-1)*(IF(Inputs!$B$38="pvp",15,MAX(0.1,Skills!E16-IF(Skills!F16=TRUE,Inputs!$B$32,0)))*(1-IF(AND(ArtifactsInput!$M$27,Inputs!$B$4="Chapter Hunt"),CHOOSE(ArtifactsInput!$N$27+1,20,24,28,32,36,40),0)/100)))))/Skills!H16,1)))/Inputs!$B$43),G1362*Q1362)*(1+IF(Inputs!$B$3&gt;=126,0.05*(B1382+Q1359+(H1360*B1383)/(1+Skills!H14*H1360*B1383)+Q1370)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1362*(1-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1362*(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1362*(1-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1362*(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62">
        <f>IF(C1362,(H1362*N1362*IF(AND(Inputs!$B$38&lt;&gt;"pvp",Inputs!$B$43&gt;0),((Skills!G16*((R1362-1)*IF(Skills!H16&gt;0,Skills!I16/Skills!H16,1)+IF(Skills!H16&gt;0,MIN(Skills!I16,MAX(0,MAX(0,Inputs!$B$43-B1384)-((R1362-1)*(IF(Inputs!$B$38="pvp",15,MAX(0.1,Skills!E16-IF(Skills!F16=TRUE,Inputs!$B$32,0)))*(1-IF(AND(ArtifactsInput!$M$27,Inputs!$B$4="Chapter Hunt"),CHOOSE(ArtifactsInput!$N$27+1,20,24,28,32,36,40),0)/100)))))/Skills!H16,1)))/Inputs!$B$43),G1362*Q1362)*(1+IF(Inputs!$B$3&gt;=126,0.05*(B1382+Q1359+(H1360*B1383)/(1+Skills!H14*H1360*B1383)+Q1370)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3">
      <c r="A1363">
        <f>Skills!A17</f>
        <v/>
      </c>
      <c r="B1363">
        <f>Skills!B17</f>
        <v/>
      </c>
      <c r="C1363">
        <f>TRUE</f>
        <v/>
      </c>
      <c r="D1363">
        <f>IF(Skills!C17=1,60+Inputs!$B$25+Inputs!$B$29,IF(Skills!C17=2,90+Inputs!$B$26+Inputs!$B$29,IF(Skills!C17=3,120+Inputs!$B$27+Inputs!$B$29,MAX(0,(Inputs!$B$3-100)*3)+Inputs!$B$28+Inputs!$B$29)))</f>
        <v/>
      </c>
      <c r="E1363">
        <f>INDEX(FactorTable!$B$2:$Y$301, MATCH(ROUND(MIN(300,MAX(1,D1363)),0), FactorTable!$A$2:$A$301,0), Skills!M17+1)</f>
        <v/>
      </c>
      <c r="F1363">
        <f>IF(Skills!N17=TRUE,(Skills!L17/10)*(E1363/1000),Skills!L17/10)+Skills!O17</f>
        <v/>
      </c>
      <c r="G1363">
        <f>Calc!G17</f>
        <v/>
      </c>
      <c r="H1363">
        <f>Calc!H17</f>
        <v/>
      </c>
      <c r="I1363">
        <f>IF(Skills!X17&lt;&gt;"",1+(Skills!X17/10)*(Z1349/1000)/100,1)</f>
        <v/>
      </c>
      <c r="J1363" t="inlineStr"/>
      <c r="K1363" t="inlineStr"/>
      <c r="L1363" t="inlineStr"/>
      <c r="M1363" t="inlineStr"/>
      <c r="N1363" t="inlineStr"/>
      <c r="O1363">
        <f>(1-Summary!$B$11)*S1363+Summary!$B$11*U1363</f>
        <v/>
      </c>
      <c r="P1363">
        <f>IF(B1387=0,0,O1363/B1387)</f>
        <v/>
      </c>
      <c r="Q1363">
        <f>IFERROR(1/(IF(Inputs!$B$38="pvp",15,MAX(0.1,Skills!E17-IF(Skills!F17=TRUE,Inputs!$B$32,0)))*(1-IF(AND(ArtifactsInput!$M$27,Inputs!$B$4="Chapter Hunt"),CHOOSE(ArtifactsInput!$N$27+1,20,24,28,32,36,40),0)/100)),0)</f>
        <v/>
      </c>
      <c r="R1363">
        <f>IF(AND(Inputs!$B$38&lt;&gt;"pvp",Inputs!$B$43&gt;0),IF(Inputs!$B$43&lt;=0,0,(INT(Inputs!$B$43/(IF(Inputs!$B$38="pvp",15,MAX(0.1,Skills!E17-IF(Skills!F17=TRUE,Inputs!$B$32,0)))*(1-IF(AND(ArtifactsInput!$M$27,Inputs!$B$4="Chapter Hunt"),CHOOSE(ArtifactsInput!$N$27+1,20,24,28,32,36,40),0)/100)))+1)),0)</f>
        <v/>
      </c>
      <c r="S1363" t="n">
        <v>0</v>
      </c>
      <c r="U1363" t="n">
        <v>0</v>
      </c>
    </row>
    <row r="1364">
      <c r="A1364">
        <f>Skills!A18</f>
        <v/>
      </c>
      <c r="B1364">
        <f>Skills!B18</f>
        <v/>
      </c>
      <c r="C1364">
        <f>TRUE</f>
        <v/>
      </c>
      <c r="D1364">
        <f>IF(Skills!C18=1,60+Inputs!$B$25+Inputs!$B$29,IF(Skills!C18=2,90+Inputs!$B$26+Inputs!$B$29,IF(Skills!C18=3,120+Inputs!$B$27+Inputs!$B$29,MAX(0,(Inputs!$B$3-100)*3)+Inputs!$B$28+Inputs!$B$29)))</f>
        <v/>
      </c>
      <c r="E1364">
        <f>INDEX(FactorTable!$B$2:$Y$301, MATCH(ROUND(MIN(300,MAX(1,D1364)),0), FactorTable!$A$2:$A$301,0), Skills!M18+1)</f>
        <v/>
      </c>
      <c r="F1364">
        <f>IF(Skills!N18=TRUE,(Skills!L18/10)*(E1364/1000),Skills!L18/10)+Skills!O18</f>
        <v/>
      </c>
      <c r="G1364">
        <f>Calc!G18</f>
        <v/>
      </c>
      <c r="H1364">
        <f>Calc!H18</f>
        <v/>
      </c>
      <c r="I1364">
        <f>IF(Skills!X18&lt;&gt;"",1+(Skills!X18/10)*(Z1349/1000)/100,1)</f>
        <v/>
      </c>
      <c r="J1364" t="inlineStr"/>
      <c r="K1364" t="inlineStr"/>
      <c r="L1364" t="inlineStr"/>
      <c r="M1364" t="inlineStr"/>
      <c r="N1364" t="inlineStr"/>
      <c r="O1364">
        <f>(1-Summary!$B$11)*S1364+Summary!$B$11*U1364</f>
        <v/>
      </c>
      <c r="P1364">
        <f>IF(B1387=0,0,O1364/B1387)</f>
        <v/>
      </c>
      <c r="Q1364">
        <f>IFERROR(1/(IF(Inputs!$B$38="pvp",15,MAX(0.1,Skills!E18-IF(Skills!F18=TRUE,Inputs!$B$32,0)))*(1-IF(AND(ArtifactsInput!$M$27,Inputs!$B$4="Chapter Hunt"),CHOOSE(ArtifactsInput!$N$27+1,20,24,28,32,36,40),0)/100)),0)</f>
        <v/>
      </c>
      <c r="R1364">
        <f>IF(AND(Inputs!$B$38&lt;&gt;"pvp",Inputs!$B$43&gt;0),IF(Inputs!$B$43&lt;=0,0,(INT(Inputs!$B$43/(IF(Inputs!$B$38="pvp",15,MAX(0.1,Skills!E18-IF(Skills!F18=TRUE,Inputs!$B$32,0)))*(1-IF(AND(ArtifactsInput!$M$27,Inputs!$B$4="Chapter Hunt"),CHOOSE(ArtifactsInput!$N$27+1,20,24,28,32,36,40),0)/100)))+1)),0)</f>
        <v/>
      </c>
      <c r="S1364" t="n">
        <v>0</v>
      </c>
      <c r="U1364" t="n">
        <v>0</v>
      </c>
    </row>
    <row r="1365">
      <c r="A1365">
        <f>Skills!A19</f>
        <v/>
      </c>
      <c r="B1365">
        <f>Skills!B19</f>
        <v/>
      </c>
      <c r="C1365">
        <f>Inputs!$B$3&gt;=110</f>
        <v/>
      </c>
      <c r="D1365">
        <f>IF(Skills!C19=1,60+Inputs!$B$25+Inputs!$B$29,IF(Skills!C19=2,90+Inputs!$B$26+Inputs!$B$29,IF(Skills!C19=3,120+Inputs!$B$27+Inputs!$B$29,MAX(0,(Inputs!$B$3-100)*3)+Inputs!$B$28+Inputs!$B$29)))</f>
        <v/>
      </c>
      <c r="E1365">
        <f>INDEX(FactorTable!$B$2:$Y$301, MATCH(ROUND(MIN(300,MAX(1,D1365)),0), FactorTable!$A$2:$A$301,0), Skills!M19+1)</f>
        <v/>
      </c>
      <c r="F1365">
        <f>IF(Skills!N19=TRUE,(Skills!L19/10)*(E1365/1000),Skills!L19/10)+Skills!O19</f>
        <v/>
      </c>
      <c r="G1365">
        <f>Calc!G19</f>
        <v/>
      </c>
      <c r="H1365">
        <f>Calc!H19</f>
        <v/>
      </c>
      <c r="I1365">
        <f>IF(Skills!X19&lt;&gt;"",1+(Skills!X19/10)*(Z1349/1000)/100,1)</f>
        <v/>
      </c>
      <c r="J1365" t="inlineStr"/>
      <c r="K1365" t="inlineStr"/>
      <c r="L1365" t="inlineStr"/>
      <c r="M1365" t="inlineStr"/>
      <c r="N1365" t="inlineStr"/>
      <c r="O1365">
        <f>(1-Summary!$B$11)*S1365+Summary!$B$11*U1365</f>
        <v/>
      </c>
      <c r="P1365">
        <f>IF(B1387=0,0,O1365/B1387)</f>
        <v/>
      </c>
      <c r="Q1365">
        <f>IFERROR(1/(IF(Inputs!$B$38="pvp",15,MAX(0.1,Skills!E19-IF(Skills!F19=TRUE,Inputs!$B$32,0)))*(1-IF(AND(ArtifactsInput!$M$27,Inputs!$B$4="Chapter Hunt"),CHOOSE(ArtifactsInput!$N$27+1,20,24,28,32,36,40),0)/100)),0)</f>
        <v/>
      </c>
      <c r="R1365">
        <f>IF(AND(Inputs!$B$38&lt;&gt;"pvp",Inputs!$B$43&gt;0),IF(Inputs!$B$43&lt;=0,0,(INT(Inputs!$B$43/(IF(Inputs!$B$38="pvp",15,MAX(0.1,Skills!E19-IF(Skills!F19=TRUE,Inputs!$B$32,0)))*(1-IF(AND(ArtifactsInput!$M$27,Inputs!$B$4="Chapter Hunt"),CHOOSE(ArtifactsInput!$N$27+1,20,24,28,32,36,40),0)/100)))+1)),0)</f>
        <v/>
      </c>
      <c r="S1365" t="n">
        <v>0</v>
      </c>
      <c r="U1365" t="n">
        <v>0</v>
      </c>
    </row>
    <row r="1366">
      <c r="A1366">
        <f>Skills!A20</f>
        <v/>
      </c>
      <c r="B1366">
        <f>Skills!B20</f>
        <v/>
      </c>
      <c r="C1366">
        <f>TRUE</f>
        <v/>
      </c>
      <c r="D1366">
        <f>IF(Skills!C20=1,60+Inputs!$B$25+Inputs!$B$29,IF(Skills!C20=2,90+Inputs!$B$26+Inputs!$B$29,IF(Skills!C20=3,120+Inputs!$B$27+Inputs!$B$29,MAX(0,(Inputs!$B$3-100)*3)+Inputs!$B$28+Inputs!$B$29)))</f>
        <v/>
      </c>
      <c r="E1366">
        <f>INDEX(FactorTable!$B$2:$Y$301, MATCH(ROUND(MIN(300,MAX(1,D1366)),0), FactorTable!$A$2:$A$301,0), Skills!M20+1)</f>
        <v/>
      </c>
      <c r="F1366">
        <f>IF(Skills!N20=TRUE,(Skills!L20/10)*(E1366/1000),Skills!L20/10)+Skills!O20</f>
        <v/>
      </c>
      <c r="G1366">
        <f>Calc!G20</f>
        <v/>
      </c>
      <c r="H1366">
        <f>Calc!H20</f>
        <v/>
      </c>
      <c r="I1366">
        <f>IF(Skills!X20&lt;&gt;"",1+(Skills!X20/10)*(Z1349/1000)/100,1)</f>
        <v/>
      </c>
      <c r="J1366" t="inlineStr"/>
      <c r="K1366" t="inlineStr"/>
      <c r="L1366" t="inlineStr"/>
      <c r="M1366" t="inlineStr"/>
      <c r="N1366" t="inlineStr"/>
      <c r="O1366">
        <f>(1-Summary!$B$11)*S1366+Summary!$B$11*U1366</f>
        <v/>
      </c>
      <c r="P1366">
        <f>IF(B1387=0,0,O1366/B1387)</f>
        <v/>
      </c>
      <c r="Q1366">
        <f>IFERROR(1/(IF(Inputs!$B$38="pvp",15,MAX(0.1,Skills!E20-IF(Skills!F20=TRUE,Inputs!$B$32,0)))*(1-IF(AND(ArtifactsInput!$M$27,Inputs!$B$4="Chapter Hunt"),CHOOSE(ArtifactsInput!$N$27+1,20,24,28,32,36,40),0)/100)),0)</f>
        <v/>
      </c>
      <c r="R1366" t="n">
        <v>0</v>
      </c>
      <c r="S1366" t="n">
        <v>0</v>
      </c>
      <c r="U1366" t="n">
        <v>0</v>
      </c>
    </row>
    <row r="1367">
      <c r="A1367">
        <f>Skills!A21</f>
        <v/>
      </c>
      <c r="B1367">
        <f>Skills!B21</f>
        <v/>
      </c>
      <c r="C1367">
        <f>TRUE</f>
        <v/>
      </c>
      <c r="D1367">
        <f>IF(Skills!C21=1,60+Inputs!$B$25+Inputs!$B$29,IF(Skills!C21=2,90+Inputs!$B$26+Inputs!$B$29,IF(Skills!C21=3,120+Inputs!$B$27+Inputs!$B$29,MAX(0,(Inputs!$B$3-100)*3)+Inputs!$B$28+Inputs!$B$29)))</f>
        <v/>
      </c>
      <c r="E1367">
        <f>INDEX(FactorTable!$B$2:$Y$301, MATCH(ROUND(MIN(300,MAX(1,D1367)),0), FactorTable!$A$2:$A$301,0), Skills!M21+1)</f>
        <v/>
      </c>
      <c r="F1367">
        <f>IF(Skills!N21=TRUE,(Skills!L21/10)*(E1367/1000),Skills!L21/10)+Skills!O21</f>
        <v/>
      </c>
      <c r="G1367">
        <f>Calc!G21</f>
        <v/>
      </c>
      <c r="H1367">
        <f>Calc!H21</f>
        <v/>
      </c>
      <c r="I1367">
        <f>IF(Skills!X21&lt;&gt;"",1+(Skills!X21/10)*(Z1349/1000)/100,1)</f>
        <v/>
      </c>
      <c r="J1367" t="inlineStr"/>
      <c r="K1367" t="inlineStr"/>
      <c r="L1367" t="inlineStr"/>
      <c r="M1367" t="inlineStr"/>
      <c r="N1367" t="inlineStr"/>
      <c r="O1367">
        <f>(1-Summary!$B$11)*S1367+Summary!$B$11*U1367</f>
        <v/>
      </c>
      <c r="P1367">
        <f>IF(B1387=0,0,O1367/B1387)</f>
        <v/>
      </c>
      <c r="Q1367">
        <f>IFERROR(1/(IF(Inputs!$B$38="pvp",15,MAX(0.1,Skills!E21-IF(Skills!F21=TRUE,Inputs!$B$32,0)))*(1-IF(AND(ArtifactsInput!$M$27,Inputs!$B$4="Chapter Hunt"),CHOOSE(ArtifactsInput!$N$27+1,20,24,28,32,36,40),0)/100)),0)</f>
        <v/>
      </c>
      <c r="R1367" t="n">
        <v>0</v>
      </c>
      <c r="S1367" t="n">
        <v>0</v>
      </c>
      <c r="U1367" t="n">
        <v>0</v>
      </c>
    </row>
    <row r="1368">
      <c r="A1368">
        <f>Skills!A22</f>
        <v/>
      </c>
      <c r="B1368">
        <f>Skills!B22</f>
        <v/>
      </c>
      <c r="C1368">
        <f>TRUE</f>
        <v/>
      </c>
      <c r="D1368">
        <f>IF(Skills!C22=1,60+Inputs!$B$25+Inputs!$B$29,IF(Skills!C22=2,90+Inputs!$B$26+Inputs!$B$29,IF(Skills!C22=3,120+Inputs!$B$27+Inputs!$B$29,MAX(0,(Inputs!$B$3-100)*3)+Inputs!$B$28+Inputs!$B$29)))</f>
        <v/>
      </c>
      <c r="E1368">
        <f>INDEX(FactorTable!$B$2:$Y$301, MATCH(ROUND(MIN(300,MAX(1,D1368)),0), FactorTable!$A$2:$A$301,0), Skills!M22+1)</f>
        <v/>
      </c>
      <c r="F1368">
        <f>IF(Skills!N22=TRUE,(Skills!L22/10)*(E1368/1000),Skills!L22/10)+Skills!O22</f>
        <v/>
      </c>
      <c r="G1368">
        <f>Calc!G22</f>
        <v/>
      </c>
      <c r="H1368">
        <f>Calc!H22</f>
        <v/>
      </c>
      <c r="I1368">
        <f>IF(Skills!X22&lt;&gt;"",1+(Skills!X22/10)*(Z1349/1000)/100,1)</f>
        <v/>
      </c>
      <c r="J1368" t="inlineStr"/>
      <c r="K1368" t="inlineStr"/>
      <c r="L1368" t="inlineStr"/>
      <c r="M1368" t="inlineStr"/>
      <c r="N1368" t="inlineStr"/>
      <c r="O1368">
        <f>(1-Summary!$B$11)*S1368+Summary!$B$11*U1368</f>
        <v/>
      </c>
      <c r="P1368">
        <f>IF(B1387=0,0,O1368/B1387)</f>
        <v/>
      </c>
      <c r="Q1368">
        <f>IFERROR(1/(IF(Inputs!$B$38="pvp",15,MAX(0.1,Skills!E22-IF(Skills!F22=TRUE,Inputs!$B$32,0)))*(1-IF(AND(ArtifactsInput!$M$27,Inputs!$B$4="Chapter Hunt"),CHOOSE(ArtifactsInput!$N$27+1,20,24,28,32,36,40),0)/100)),0)</f>
        <v/>
      </c>
      <c r="R1368" t="n">
        <v>0</v>
      </c>
      <c r="S1368" t="n">
        <v>0</v>
      </c>
      <c r="U1368" t="n">
        <v>0</v>
      </c>
    </row>
    <row r="1369">
      <c r="A1369">
        <f>Skills!A23</f>
        <v/>
      </c>
      <c r="B1369">
        <f>Skills!B23</f>
        <v/>
      </c>
      <c r="C1369">
        <f>TRUE</f>
        <v/>
      </c>
      <c r="D1369">
        <f>IF(Skills!C23=1,60+Inputs!$B$25+Inputs!$B$29,IF(Skills!C23=2,90+Inputs!$B$26+Inputs!$B$29,IF(Skills!C23=3,120+Inputs!$B$27+Inputs!$B$29,MAX(0,(Inputs!$B$3-100)*3)+Inputs!$B$28+Inputs!$B$29)))</f>
        <v/>
      </c>
      <c r="E1369">
        <f>INDEX(FactorTable!$B$2:$Y$301, MATCH(ROUND(MIN(300,MAX(1,D1369)),0), FactorTable!$A$2:$A$301,0), Skills!M23+1)</f>
        <v/>
      </c>
      <c r="F1369">
        <f>IF(Skills!N23=TRUE,(Skills!L23/10)*(E1369/1000),Skills!L23/10)+Skills!O23</f>
        <v/>
      </c>
      <c r="G1369">
        <f>Calc!G23</f>
        <v/>
      </c>
      <c r="H1369">
        <f>Calc!H23</f>
        <v/>
      </c>
      <c r="I1369">
        <f>IF(Skills!X23&lt;&gt;"",1+(Skills!X23/10)*(Z1349/1000)/100,1)</f>
        <v/>
      </c>
      <c r="J1369" t="inlineStr"/>
      <c r="K1369" t="inlineStr"/>
      <c r="L1369" t="inlineStr"/>
      <c r="M1369" t="inlineStr"/>
      <c r="N1369" t="inlineStr"/>
      <c r="O1369">
        <f>(1-Summary!$B$11)*S1369+Summary!$B$11*U1369</f>
        <v/>
      </c>
      <c r="P1369">
        <f>IF(B1387=0,0,O1369/B1387)</f>
        <v/>
      </c>
      <c r="Q1369">
        <f>IFERROR(1/(IF(Inputs!$B$38="pvp",15,MAX(0.1,Skills!E23-IF(Skills!F23=TRUE,Inputs!$B$32,0)))*(1-IF(AND(ArtifactsInput!$M$27,Inputs!$B$4="Chapter Hunt"),CHOOSE(ArtifactsInput!$N$27+1,20,24,28,32,36,40),0)/100)),0)</f>
        <v/>
      </c>
      <c r="R1369" t="n">
        <v>0</v>
      </c>
      <c r="S1369" t="n">
        <v>0</v>
      </c>
      <c r="U1369" t="n">
        <v>0</v>
      </c>
    </row>
    <row r="1370">
      <c r="A1370">
        <f>Skills!A24</f>
        <v/>
      </c>
      <c r="B1370">
        <f>Skills!B24</f>
        <v/>
      </c>
      <c r="C1370">
        <f>Inputs!$B$3&gt;=115</f>
        <v/>
      </c>
      <c r="D1370">
        <f>IF(Skills!C24=1,60+Inputs!$B$25+Inputs!$B$29,IF(Skills!C24=2,90+Inputs!$B$26+Inputs!$B$29,IF(Skills!C24=3,120+Inputs!$B$27+Inputs!$B$29,MAX(0,(Inputs!$B$3-100)*3)+Inputs!$B$28+Inputs!$B$29)))</f>
        <v/>
      </c>
      <c r="E1370">
        <f>INDEX(FactorTable!$B$2:$Y$301, MATCH(ROUND(MIN(300,MAX(1,D1370)),0), FactorTable!$A$2:$A$301,0), Skills!M24+1)</f>
        <v/>
      </c>
      <c r="F1370">
        <f>IF(Skills!N24=TRUE,(Skills!L24/10)*(E1370/1000),Skills!L24/10)+Skills!O24</f>
        <v/>
      </c>
      <c r="G1370">
        <f>Calc!G24</f>
        <v/>
      </c>
      <c r="H1370">
        <f>Calc!H24</f>
        <v/>
      </c>
      <c r="I1370">
        <f>IF(Skills!X24&lt;&gt;"",1+(Skills!X24/10)*(Z1349/1000)/100,1)</f>
        <v/>
      </c>
      <c r="J1370">
        <f>((Inputs!$B$6*(1+Inputs!$B$7/100))+(((Inputs!$B$12*(1+Inputs!$B$13/100))-(Inputs!$B$12*(1+Inputs!$B$13/100)))+0.25*(Inputs!$B$14-Inputs!$B$14))*(1+Inputs!$B$7/100))*(F1370/100)</f>
        <v/>
      </c>
      <c r="K1370">
        <f>J1370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24="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1370)</f>
        <v/>
      </c>
      <c r="L1370">
        <f>K1370*(MIN(Inputs!$B$22+(F1368-Calc!F22),(Inputs!$B$23+(IF(ArtifactsInput!$M$15,CHOOSE(ArtifactsInput!$N$15+1,25,30,35,40,45,50)/100*(Inputs!$B$11-Inputs!$B$11),0))))/100+(Inputs!$B$23+(IF(ArtifactsInput!$M$15,CHOOSE(ArtifactsInput!$N$15+1,25,30,35,40,45,50)/100*(Inputs!$B$11-Inputs!$B$11),0)))/100)/2</f>
        <v/>
      </c>
      <c r="M1370">
        <f>L1370*(1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70">
        <f>L1370*(1-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1370*(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70">
        <f>(1-Summary!$B$11)*S1370+Summary!$B$11*U1370</f>
        <v/>
      </c>
      <c r="P1370">
        <f>IF(B1387=0,0,O1370/B1387)</f>
        <v/>
      </c>
      <c r="Q1370">
        <f>IFERROR(1/(IF(Inputs!$B$38="pvp",15,MAX(0.1,Skills!E24-IF(Skills!F24=TRUE,Inputs!$B$32,0)))*(1-IF(AND(ArtifactsInput!$M$27,Inputs!$B$4="Chapter Hunt"),CHOOSE(ArtifactsInput!$N$27+1,20,24,28,32,36,40),0)/100)),0)</f>
        <v/>
      </c>
      <c r="R1370">
        <f>IF(AND(Inputs!$B$38&lt;&gt;"pvp",Inputs!$B$43&gt;0),IF(MAX(0,Inputs!$B$43-B1384)&lt;=0,0,(INT(MAX(0,Inputs!$B$43-B1384)/(IF(Inputs!$B$38="pvp",15,MAX(0.1,Skills!E24-IF(Skills!F24=TRUE,Inputs!$B$32,0)))*(1-IF(AND(ArtifactsInput!$M$27,Inputs!$B$4="Chapter Hunt"),CHOOSE(ArtifactsInput!$N$27+1,20,24,28,32,36,40),0)/100)))+1)),0)</f>
        <v/>
      </c>
      <c r="S1370">
        <f>IF(C1370,(H1370*N1370*IF(AND(Inputs!$B$38&lt;&gt;"pvp",Inputs!$B$43&gt;0),((Skills!G24*((R1370-1)*IF(Skills!H24&gt;0,Skills!I24/Skills!H24,1)+IF(Skills!H24&gt;0,MIN(Skills!I24,MAX(0,MAX(0,Inputs!$B$43-B1384)-((R1370-1)*(IF(Inputs!$B$38="pvp",15,MAX(0.1,Skills!E24-IF(Skills!F24=TRUE,Inputs!$B$32,0)))*(1-IF(AND(ArtifactsInput!$M$27,Inputs!$B$4="Chapter Hunt"),CHOOSE(ArtifactsInput!$N$27+1,20,24,28,32,36,40),0)/100)))))/Skills!H24,1)))/Inputs!$B$43),G1370*Q1370)*(1+IF(Inputs!$B$3&gt;=130,0.2*(Skills!I16/Skills!E15+IF(Inputs!$B$3&gt;=126,0.05*(B1382+Q1359+(H1360*B1383)/(1+Skills!H14*H1360*B1383)+Q1370)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1370*(1-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1370*(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1370*(1-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1370*(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70">
        <f>IF(C1370,(H1370*N1370*IF(AND(Inputs!$B$38&lt;&gt;"pvp",Inputs!$B$43&gt;0),((Skills!G24*((R1370-1)*IF(Skills!H24&gt;0,Skills!I24/Skills!H24,1)+IF(Skills!H24&gt;0,MIN(Skills!I24,MAX(0,MAX(0,Inputs!$B$43-B1384)-((R1370-1)*(IF(Inputs!$B$38="pvp",15,MAX(0.1,Skills!E24-IF(Skills!F24=TRUE,Inputs!$B$32,0)))*(1-IF(AND(ArtifactsInput!$M$27,Inputs!$B$4="Chapter Hunt"),CHOOSE(ArtifactsInput!$N$27+1,20,24,28,32,36,40),0)/100)))))/Skills!H24,1)))/Inputs!$B$43),G1370*Q1370)*(1+IF(Inputs!$B$3&gt;=130,0.2*(Skills!I16/Skills!E15+IF(Inputs!$B$3&gt;=126,0.05*(B1382+Q1359+(H1360*B1383)/(1+Skills!H14*H1360*B1383)+Q1370)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1">
      <c r="A1371">
        <f>Skills!A25</f>
        <v/>
      </c>
      <c r="B1371">
        <f>Skills!B25</f>
        <v/>
      </c>
      <c r="C1371">
        <f>Inputs!$B$3&gt;=117</f>
        <v/>
      </c>
      <c r="D1371">
        <f>IF(Skills!C25=1,60+Inputs!$B$25+Inputs!$B$29,IF(Skills!C25=2,90+Inputs!$B$26+Inputs!$B$29,IF(Skills!C25=3,120+Inputs!$B$27+Inputs!$B$29,MAX(0,(Inputs!$B$3-100)*3)+Inputs!$B$28+Inputs!$B$29)))</f>
        <v/>
      </c>
      <c r="E1371">
        <f>INDEX(FactorTable!$B$2:$Y$301, MATCH(ROUND(MIN(300,MAX(1,D1371)),0), FactorTable!$A$2:$A$301,0), Skills!M25+1)</f>
        <v/>
      </c>
      <c r="F1371">
        <f>IF(Skills!N25=TRUE,(Skills!L25/10)*(E1371/1000),Skills!L25/10)+Skills!O25</f>
        <v/>
      </c>
      <c r="G1371">
        <f>Calc!G25</f>
        <v/>
      </c>
      <c r="H1371">
        <f>Calc!H25</f>
        <v/>
      </c>
      <c r="I1371">
        <f>IF(Skills!X25&lt;&gt;"",1+(Skills!X25/10)*(Z1349/1000)/100,1)</f>
        <v/>
      </c>
      <c r="J1371" t="inlineStr"/>
      <c r="K1371" t="inlineStr"/>
      <c r="L1371" t="inlineStr"/>
      <c r="M1371" t="inlineStr"/>
      <c r="N1371" t="inlineStr"/>
      <c r="O1371">
        <f>(1-Summary!$B$11)*S1371+Summary!$B$11*U1371</f>
        <v/>
      </c>
      <c r="P1371">
        <f>IF(B1387=0,0,O1371/B1387)</f>
        <v/>
      </c>
      <c r="Q1371">
        <f>IFERROR(1/(IF(Inputs!$B$38="pvp",15,MAX(0.1,Skills!E25-IF(Skills!F25=TRUE,Inputs!$B$32,0)))*(1-IF(AND(ArtifactsInput!$M$27,Inputs!$B$4="Chapter Hunt"),CHOOSE(ArtifactsInput!$N$27+1,20,24,28,32,36,40),0)/100)),0)</f>
        <v/>
      </c>
      <c r="R1371" t="n">
        <v>0</v>
      </c>
      <c r="S1371" t="n">
        <v>0</v>
      </c>
      <c r="U1371" t="n">
        <v>0</v>
      </c>
    </row>
    <row r="1372">
      <c r="A1372">
        <f>Skills!A26</f>
        <v/>
      </c>
      <c r="B1372">
        <f>Skills!B26</f>
        <v/>
      </c>
      <c r="C1372">
        <f>Inputs!$B$3&gt;=120</f>
        <v/>
      </c>
      <c r="D1372">
        <f>IF(Skills!C26=1,60+Inputs!$B$25+Inputs!$B$29,IF(Skills!C26=2,90+Inputs!$B$26+Inputs!$B$29,IF(Skills!C26=3,120+Inputs!$B$27+Inputs!$B$29,MAX(0,(Inputs!$B$3-100)*3)+Inputs!$B$28+Inputs!$B$29)))</f>
        <v/>
      </c>
      <c r="E1372">
        <f>INDEX(FactorTable!$B$2:$Y$301, MATCH(ROUND(MIN(300,MAX(1,D1372)),0), FactorTable!$A$2:$A$301,0), Skills!M26+1)</f>
        <v/>
      </c>
      <c r="F1372">
        <f>IF(Skills!N26=TRUE,(Skills!L26/10)*(E1372/1000),Skills!L26/10)+Skills!O26</f>
        <v/>
      </c>
      <c r="G1372">
        <f>Calc!G26</f>
        <v/>
      </c>
      <c r="H1372">
        <f>Calc!H26</f>
        <v/>
      </c>
      <c r="I1372">
        <f>IF(Skills!X26&lt;&gt;"",1+(Skills!X26/10)*(Z1349/1000)/100,1)</f>
        <v/>
      </c>
      <c r="J1372" t="inlineStr"/>
      <c r="K1372" t="inlineStr"/>
      <c r="L1372" t="inlineStr"/>
      <c r="M1372" t="inlineStr"/>
      <c r="N1372" t="inlineStr"/>
      <c r="O1372">
        <f>(1-Summary!$B$11)*S1372+Summary!$B$11*U1372</f>
        <v/>
      </c>
      <c r="P1372">
        <f>IF(B1387=0,0,O1372/B1387)</f>
        <v/>
      </c>
      <c r="Q1372">
        <f>IFERROR(1/(IF(Inputs!$B$38="pvp",15,MAX(0.1,Skills!E26-IF(Skills!F26=TRUE,Inputs!$B$32,0)))*(1-IF(AND(ArtifactsInput!$M$27,Inputs!$B$4="Chapter Hunt"),CHOOSE(ArtifactsInput!$N$27+1,20,24,28,32,36,40),0)/100)),0)</f>
        <v/>
      </c>
      <c r="R1372" t="n">
        <v>0</v>
      </c>
      <c r="S1372" t="n">
        <v>0</v>
      </c>
      <c r="U1372" t="n">
        <v>0</v>
      </c>
    </row>
    <row r="1373">
      <c r="A1373">
        <f>Skills!A27</f>
        <v/>
      </c>
      <c r="B1373">
        <f>Skills!B27</f>
        <v/>
      </c>
      <c r="C1373">
        <f>Inputs!$B$3&gt;=125</f>
        <v/>
      </c>
      <c r="D1373">
        <f>IF(Skills!C27=1,60+Inputs!$B$25+Inputs!$B$29,IF(Skills!C27=2,90+Inputs!$B$26+Inputs!$B$29,IF(Skills!C27=3,120+Inputs!$B$27+Inputs!$B$29,MAX(0,(Inputs!$B$3-100)*3)+Inputs!$B$28+Inputs!$B$29)))</f>
        <v/>
      </c>
      <c r="E1373">
        <f>INDEX(FactorTable!$B$2:$Y$301, MATCH(ROUND(MIN(300,MAX(1,D1373)),0), FactorTable!$A$2:$A$301,0), Skills!M27+1)</f>
        <v/>
      </c>
      <c r="F1373">
        <f>IF(Skills!N27=TRUE,(Skills!L27/10)*(E1373/1000),Skills!L27/10)+Skills!O27</f>
        <v/>
      </c>
      <c r="G1373">
        <f>Calc!G27</f>
        <v/>
      </c>
      <c r="H1373">
        <f>Calc!H27</f>
        <v/>
      </c>
      <c r="I1373">
        <f>IF(Skills!X27&lt;&gt;"",1+(Skills!X27/10)*(Z1349/1000)/100,1)</f>
        <v/>
      </c>
      <c r="J1373" t="inlineStr"/>
      <c r="K1373" t="inlineStr"/>
      <c r="L1373" t="inlineStr"/>
      <c r="M1373" t="inlineStr"/>
      <c r="N1373" t="inlineStr"/>
      <c r="O1373">
        <f>(1-Summary!$B$11)*S1373+Summary!$B$11*U1373</f>
        <v/>
      </c>
      <c r="P1373">
        <f>IF(B1387=0,0,O1373/B1387)</f>
        <v/>
      </c>
      <c r="Q1373">
        <f>IFERROR(1/(IF(Inputs!$B$38="pvp",15,MAX(0.1,Skills!E27-IF(Skills!F27=TRUE,Inputs!$B$32,0)))*(1-IF(AND(ArtifactsInput!$M$27,Inputs!$B$4="Chapter Hunt"),CHOOSE(ArtifactsInput!$N$27+1,20,24,28,32,36,40),0)/100)),0)</f>
        <v/>
      </c>
      <c r="R1373" t="n">
        <v>0</v>
      </c>
      <c r="S1373" t="n">
        <v>0</v>
      </c>
      <c r="U1373" t="n">
        <v>0</v>
      </c>
    </row>
    <row r="1374">
      <c r="A1374">
        <f>Skills!A28</f>
        <v/>
      </c>
      <c r="B1374">
        <f>Skills!B28</f>
        <v/>
      </c>
      <c r="C1374">
        <f>Inputs!$B$3&gt;=118</f>
        <v/>
      </c>
      <c r="D1374">
        <f>IF(Skills!C28=1,60+Inputs!$B$25+Inputs!$B$29,IF(Skills!C28=2,90+Inputs!$B$26+Inputs!$B$29,IF(Skills!C28=3,120+Inputs!$B$27+Inputs!$B$29,MAX(0,(Inputs!$B$3-100)*3)+Inputs!$B$28+Inputs!$B$29)))</f>
        <v/>
      </c>
      <c r="E1374">
        <f>INDEX(FactorTable!$B$2:$Y$301, MATCH(ROUND(MIN(300,MAX(1,D1374)),0), FactorTable!$A$2:$A$301,0), Skills!M28+1)</f>
        <v/>
      </c>
      <c r="F1374">
        <f>IF(Skills!N28=TRUE,(Skills!L28/10)*(E1374/1000),Skills!L28/10)+Skills!O28</f>
        <v/>
      </c>
      <c r="G1374">
        <f>Calc!G28</f>
        <v/>
      </c>
      <c r="H1374">
        <f>Calc!H28</f>
        <v/>
      </c>
      <c r="I1374">
        <f>IF(Skills!X28&lt;&gt;"",1+(Skills!X28/10)*(Z1349/1000)/100,1)</f>
        <v/>
      </c>
      <c r="J1374">
        <f>((Inputs!$B$6*(1+Inputs!$B$7/100))+(((Inputs!$B$12*(1+Inputs!$B$13/100))-(Inputs!$B$12*(1+Inputs!$B$13/100)))+0.25*(Inputs!$B$14-Inputs!$B$14))*(1+Inputs!$B$7/100))*(F1374/100)</f>
        <v/>
      </c>
      <c r="K1374">
        <f>J1374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1369/100)*(1+IF(Inputs!$B$3&gt;=120,F1372,0)/100)^5*(1+(IF(Skills!A28="BASIC_ATTACK",Inputs!$B$17+(((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IF(Inputs!$B$3&gt;=125,F1373*5,0)))/100)*(B1376*B1377*B1378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1374)</f>
        <v/>
      </c>
      <c r="L1374">
        <f>K1374*(MIN(Inputs!$B$22+(F1368-Calc!F22),(Inputs!$B$23+(IF(ArtifactsInput!$M$15,CHOOSE(ArtifactsInput!$N$15+1,25,30,35,40,45,50)/100*(Inputs!$B$11-Inputs!$B$11),0))))/100+(Inputs!$B$23+(IF(ArtifactsInput!$M$15,CHOOSE(ArtifactsInput!$N$15+1,25,30,35,40,45,50)/100*(Inputs!$B$11-Inputs!$B$11),0)))/100)/2</f>
        <v/>
      </c>
      <c r="M1374">
        <f>L1374*(1+(Inputs!$B$10+(F1367-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374">
        <f>L1374*(1-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1374*(MIN((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374">
        <f>(1-Summary!$B$11)*S1374+Summary!$B$11*U1374</f>
        <v/>
      </c>
      <c r="P1374">
        <f>IF(B1387=0,0,O1374/B1387)</f>
        <v/>
      </c>
      <c r="Q1374">
        <f>IFERROR(1/(IF(Inputs!$B$38="pvp",15,MAX(0.1,Skills!E28-IF(Skills!F28=TRUE,Inputs!$B$32,0)))*(1-IF(AND(ArtifactsInput!$M$27,Inputs!$B$4="Chapter Hunt"),CHOOSE(ArtifactsInput!$N$27+1,20,24,28,32,36,40),0)/100)),0)</f>
        <v/>
      </c>
      <c r="R1374">
        <f>IF(AND(Inputs!$B$38&lt;&gt;"pvp",Inputs!$B$43&gt;0),IF(MAX(0,Inputs!$B$43-B1384)&lt;=0,0,(INT(MAX(0,Inputs!$B$43-B1384)/(IF(Inputs!$B$38="pvp",15,MAX(0.1,Skills!E28-IF(Skills!F28=TRUE,Inputs!$B$32,0)))*(1-IF(AND(ArtifactsInput!$M$27,Inputs!$B$4="Chapter Hunt"),CHOOSE(ArtifactsInput!$N$27+1,20,24,28,32,36,40),0)/100)))+1)),0)</f>
        <v/>
      </c>
      <c r="S1374">
        <f>IF(C1374,(H1374*N1374*IF(AND(Inputs!$B$38&lt;&gt;"pvp",Inputs!$B$43&gt;0),((Skills!G28*((R1374-1)*IF(Skills!H28&gt;0,Skills!I28/Skills!H28,1)+IF(Skills!H28&gt;0,MIN(Skills!I28,MAX(0,MAX(0,Inputs!$B$43-B1384)-((R1374-1)*(IF(Inputs!$B$38="pvp",15,MAX(0.1,Skills!E28-IF(Skills!F28=TRUE,Inputs!$B$32,0)))*(1-IF(AND(ArtifactsInput!$M$27,Inputs!$B$4="Chapter Hunt"),CHOOSE(ArtifactsInput!$N$27+1,20,24,28,32,36,40),0)/100)))))/Skills!H28,1)))/Inputs!$B$43),G1374*Q1374)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1374*(1-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1374*(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1374*(1-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1374*(MIN(100,(Inputs!$B$9+(F1366-Calc!F20)+(ArtifactsInput!$M$24-ArtifactsInput!$M$24)*CHOOSE(ArtifactsInput!$N$24+1,10,12,14,16,18,20)+(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74">
        <f>IF(C1374,(H1374*N1374*IF(AND(Inputs!$B$38&lt;&gt;"pvp",Inputs!$B$43&gt;0),((Skills!G28*((R1374-1)*IF(Skills!H28&gt;0,Skills!I28/Skills!H28,1)+IF(Skills!H28&gt;0,MIN(Skills!I28,MAX(0,MAX(0,Inputs!$B$43-B1384)-((R1374-1)*(IF(Inputs!$B$38="pvp",15,MAX(0.1,Skills!E28-IF(Skills!F28=TRUE,Inputs!$B$32,0)))*(1-IF(AND(ArtifactsInput!$M$27,Inputs!$B$4="Chapter Hunt"),CHOOSE(ArtifactsInput!$N$27+1,20,24,28,32,36,40),0)/100)))))/Skills!H28,1)))/Inputs!$B$43),G1374*Q1374)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6">
      <c r="A1376" t="inlineStr">
        <is>
          <t>Burning Magic Multiplier</t>
        </is>
      </c>
      <c r="B1376">
        <f>1+(F1357*Skills!Z11)/100</f>
        <v/>
      </c>
    </row>
    <row r="1377">
      <c r="A1377" t="inlineStr">
        <is>
          <t>Elemental Decrease Multiplier (always-on)</t>
        </is>
      </c>
      <c r="B1377">
        <f>1+(F1358+(IF(AND(ArtifactsInput!$M$35,Inputs!$B$4&lt;&gt;"Chapter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100</f>
        <v/>
      </c>
    </row>
    <row r="1378">
      <c r="A1378" t="inlineStr">
        <is>
          <t>Average Buff Multiplier (Magic Guard + Meditation + Artifact Attack%, summed; then Infinity)</t>
        </is>
      </c>
      <c r="B1378">
        <f>(1+(F1352*IF(AND(Inputs!$B$38&lt;&gt;"pvp",Inputs!$B$43&gt;0),(((R1352-1)*(Skills!T6*(1+((Inputs!$B$34+(ArtifactsInput!$M$7-ArtifactsInput!$M$7)*CHOOSE(ArtifactsInput!$N$7+1,6,7.2,8.4,9.6,10.8,12)))/100))+MIN((Skills!T6*(1+((Inputs!$B$34+(ArtifactsInput!$M$7-ArtifactsInput!$M$7)*CHOOSE(ArtifactsInput!$N$7+1,6,7.2,8.4,9.6,10.8,12)))/100)),MAX(0,Inputs!$B$43-((R1352-1)*Skills!E6))))/Inputs!$B$43),IF(Inputs!$B$38="pvp",MIN((Skills!T6*(1+((Inputs!$B$34+(ArtifactsInput!$M$7-ArtifactsInput!$M$7)*CHOOSE(ArtifactsInput!$N$7+1,6,7.2,8.4,9.6,10.8,12)))/100)),15)/15,(Skills!T6*(1+((Inputs!$B$34+(ArtifactsInput!$M$7-ArtifactsInput!$M$7)*CHOOSE(ArtifactsInput!$N$7+1,6,7.2,8.4,9.6,10.8,12)))/100))/Skills!E6))+F1363*IF(AND(Inputs!$B$38&lt;&gt;"pvp",Inputs!$B$43&gt;0),(((R1363-1)*(Skills!T17*(1+((Inputs!$B$34+(ArtifactsInput!$M$7-ArtifactsInput!$M$7)*CHOOSE(ArtifactsInput!$N$7+1,6,7.2,8.4,9.6,10.8,12)))/100))+MIN((Skills!T17*(1+((Inputs!$B$34+(ArtifactsInput!$M$7-ArtifactsInput!$M$7)*CHOOSE(ArtifactsInput!$N$7+1,6,7.2,8.4,9.6,10.8,12)))/100)),MAX(0,Inputs!$B$43-((R1363-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1365=TRUE,(1+F1365*IF(AND(Inputs!$B$38&lt;&gt;"pvp",Inputs!$B$43&gt;0),(((R1365-1)*(Skills!T19*(1+((Inputs!$B$34+(ArtifactsInput!$M$7-ArtifactsInput!$M$7)*CHOOSE(ArtifactsInput!$N$7+1,6,7.2,8.4,9.6,10.8,12)))/100))+MIN((Skills!T19*(1+((Inputs!$B$34+(ArtifactsInput!$M$7-ArtifactsInput!$M$7)*CHOOSE(ArtifactsInput!$N$7+1,6,7.2,8.4,9.6,10.8,12)))/100)),MAX(0,Inputs!$B$43-((R1365-1)*Skills!E19))))/Inputs!$B$43),IF(Inputs!$B$38="pvp",MIN((Skills!T19*(1+((Inputs!$B$34+(ArtifactsInput!$M$7-ArtifactsInput!$M$7)*CHOOSE(ArtifactsInput!$N$7+1,6,7.2,8.4,9.6,10.8,12)))/100)),15)/15,(Skills!T19*(1+((Inputs!$B$34+(ArtifactsInput!$M$7-ArtifactsInput!$M$7)*CHOOSE(ArtifactsInput!$N$7+1,6,7.2,8.4,9.6,10.8,12)))/100))/Skills!E19))/100),1)</f>
        <v/>
      </c>
    </row>
    <row r="1379">
      <c r="A1379" t="inlineStr">
        <is>
          <t>Attack Speed Buff Bonus % (Nimble Feet, averaged)</t>
        </is>
      </c>
      <c r="B1379">
        <f>F1364*IF(AND(Inputs!$B$38&lt;&gt;"pvp",Inputs!$B$43&gt;0),(((R1364-1)*(Skills!T18*(1+((Inputs!$B$34+(ArtifactsInput!$M$7-ArtifactsInput!$M$7)*CHOOSE(ArtifactsInput!$N$7+1,6,7.2,8.4,9.6,10.8,12)))/100))+MIN((Skills!T18*(1+((Inputs!$B$34+(ArtifactsInput!$M$7-ArtifactsInput!$M$7)*CHOOSE(ArtifactsInput!$N$7+1,6,7.2,8.4,9.6,10.8,12)))/100)),MAX(0,Inputs!$B$43-((R1364-1)*Skills!E18))))/Inputs!$B$43),IF(Inputs!$B$38="pvp",MIN((Skills!T18*(1+((Inputs!$B$34+(ArtifactsInput!$M$7-ArtifactsInput!$M$7)*CHOOSE(ArtifactsInput!$N$7+1,6,7.2,8.4,9.6,10.8,12)))/100)),15)/15,(Skills!T18*(1+((Inputs!$B$34+(ArtifactsInput!$M$7-ArtifactsInput!$M$7)*CHOOSE(ArtifactsInput!$N$7+1,6,7.2,8.4,9.6,10.8,12)))/100))/Skills!E18))</f>
        <v/>
      </c>
    </row>
    <row r="1380">
      <c r="A1380" t="inlineStr">
        <is>
          <t>Actions Per Second</t>
        </is>
      </c>
      <c r="B1380">
        <f>1+MIN(150,150*(1-(1-(Inputs!$B$11+(ArtifactsInput!$M$15-ArtifactsInput!$M$15)*CHOOSE(ArtifactsInput!$N$15+1,8,9.6,11.2,12.8,14.4,16))/150)*(1-B1379/150)))/100</f>
        <v/>
      </c>
    </row>
    <row r="1381">
      <c r="A1381" t="inlineStr">
        <is>
          <t>Skill + Buff Cast Rate</t>
        </is>
      </c>
      <c r="B1381">
        <f>IF(AND(Inputs!$B$38&lt;&gt;"pvp",Inputs!$B$43&gt;0),SUMPRODUCT((Skills!F2:F28=TRUE)*(C1348:C1374=TRUE)*R1348:R1374)/Inputs!$B$43,SUMPRODUCT((Skills!F2:F28=TRUE)*(C1348:C1374=TRUE)*Q1348:Q1374))</f>
        <v/>
      </c>
    </row>
    <row r="1382">
      <c r="A1382" t="inlineStr">
        <is>
          <t>Basic Attacks Per Second</t>
        </is>
      </c>
      <c r="B1382">
        <f>MAX(0,B1380-B1381)</f>
        <v/>
      </c>
    </row>
    <row r="1383">
      <c r="A1383" t="inlineStr">
        <is>
          <t>Meteor Proc — combined trigger cast rate</t>
        </is>
      </c>
      <c r="B1383">
        <f>IF(AND(Inputs!$B$38&lt;&gt;"pvp",Inputs!$B$43&gt;0),SUMPRODUCT((Skills!V2:V28=TRUE)*(C1348:C1374=TRUE)*R1348:R1374*Skills!W2:W28)/Inputs!$B$43,SUMPRODUCT((Skills!V2:V28=TRUE)*(C1348:C1374=TRUE)*Q1348:Q1374*Skills!W2:W28))+B1382</f>
        <v/>
      </c>
    </row>
    <row r="1384">
      <c r="A1384" t="inlineStr">
        <is>
          <t>Buff-Casting Startup Delay (s, fixed-duration only)</t>
        </is>
      </c>
      <c r="B1384">
        <f>IF(AND(Inputs!$B$38&lt;&gt;"pvp",Inputs!$B$43&gt;0),SUMPRODUCT((Skills!T2:T28&gt;0)*(Skills!F2:F28=TRUE)*(C1348:C1374=TRUE))/B1380,0)</f>
        <v/>
      </c>
    </row>
    <row r="1385">
      <c r="A1385" t="inlineStr">
        <is>
          <t>Boss-Only Total DPS (this block's swept value)</t>
        </is>
      </c>
      <c r="B1385">
        <f>SUM(S1348:S1374)</f>
        <v/>
      </c>
    </row>
    <row r="1386">
      <c r="A1386" t="inlineStr">
        <is>
          <t>Normal-Only Total DPS (this block's swept value)</t>
        </is>
      </c>
      <c r="B1386">
        <f>SUM(U1348:U1374)</f>
        <v/>
      </c>
    </row>
    <row r="1387">
      <c r="A1387" s="6" t="inlineStr">
        <is>
          <t>TOTAL DPS</t>
        </is>
      </c>
      <c r="B1387" s="6">
        <f>SUM(O1348:O1374)</f>
        <v/>
      </c>
    </row>
    <row r="1390">
      <c r="A1390" s="6" t="inlineStr">
        <is>
          <t>Stat: Hexagon Necklace (Equip)</t>
        </is>
      </c>
    </row>
    <row r="1391">
      <c r="A1391" s="5" t="inlineStr">
        <is>
          <t>Key</t>
        </is>
      </c>
      <c r="B1391" s="5" t="inlineStr">
        <is>
          <t>Name</t>
        </is>
      </c>
      <c r="C1391" s="5" t="inlineStr">
        <is>
          <t>Unlocked</t>
        </is>
      </c>
      <c r="D1391" s="5" t="inlineStr">
        <is>
          <t>InputLevel</t>
        </is>
      </c>
      <c r="E1391" s="5" t="inlineStr">
        <is>
          <t>Factor</t>
        </is>
      </c>
      <c r="F1391" s="5" t="inlineStr">
        <is>
          <t>CoefficientPercent</t>
        </is>
      </c>
      <c r="G1391" s="5" t="inlineStr">
        <is>
          <t>EffectiveHits</t>
        </is>
      </c>
      <c r="H1391" s="5" t="inlineStr">
        <is>
          <t>ProcProbability</t>
        </is>
      </c>
      <c r="I1391" s="5" t="inlineStr">
        <is>
          <t>MapleHeroMultiplier</t>
        </is>
      </c>
      <c r="J1391" s="5" t="inlineStr">
        <is>
          <t>BaseDamage</t>
        </is>
      </c>
      <c r="K1391" s="5" t="inlineStr">
        <is>
          <t>BaseHitDamage</t>
        </is>
      </c>
      <c r="L1391" s="5" t="inlineStr">
        <is>
          <t>NonCritAvg</t>
        </is>
      </c>
      <c r="M1391" s="5" t="inlineStr">
        <is>
          <t>CritAvg</t>
        </is>
      </c>
      <c r="N1391" s="5" t="inlineStr">
        <is>
          <t>ExpectedDamage(perHit)</t>
        </is>
      </c>
      <c r="O1391" s="5" t="inlineStr">
        <is>
          <t>DPS</t>
        </is>
      </c>
      <c r="P1391" s="5" t="inlineStr">
        <is>
          <t>% of Total</t>
        </is>
      </c>
      <c r="R1391" t="inlineStr">
        <is>
          <t>helpers</t>
        </is>
      </c>
    </row>
    <row r="1392">
      <c r="A1392">
        <f>Skills!A2</f>
        <v/>
      </c>
      <c r="B1392">
        <f>Skills!B2</f>
        <v/>
      </c>
      <c r="C1392">
        <f>TRUE</f>
        <v/>
      </c>
      <c r="D1392" t="inlineStr"/>
      <c r="E1392" t="inlineStr"/>
      <c r="F1392">
        <f>T1394+Skills!O2</f>
        <v/>
      </c>
      <c r="G1392">
        <f>Calc!G2</f>
        <v/>
      </c>
      <c r="H1392">
        <f>Calc!H2</f>
        <v/>
      </c>
      <c r="I1392">
        <f>IF(Skills!X2&lt;&gt;"",1+(Skills!X2/10)*(Z1393/1000)/100,1)</f>
        <v/>
      </c>
      <c r="J1392">
        <f>((Inputs!$B$6*(1+Inputs!$B$7/100))+(((Inputs!$B$12*(1+Inputs!$B$13/100))-(Inputs!$B$12*(1+Inputs!$B$13/100)))+0.25*(Inputs!$B$14-Inputs!$B$14))*(1+Inputs!$B$7/100))*(F1392/100)</f>
        <v/>
      </c>
      <c r="K1392">
        <f>J1392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1392)</f>
        <v/>
      </c>
      <c r="L1392">
        <f>K1392*(MIN(Inputs!$B$22+(F1412-Calc!F22),(Inputs!$B$23+(IF(ArtifactsInput!$M$15,CHOOSE(ArtifactsInput!$N$15+1,25,30,35,40,45,50)/100*(Inputs!$B$11-Inputs!$B$11),0))))/100+(Inputs!$B$23+(IF(ArtifactsInput!$M$15,CHOOSE(ArtifactsInput!$N$15+1,25,30,35,40,45,50)/100*(Inputs!$B$11-Inputs!$B$11),0)))/100)/2</f>
        <v/>
      </c>
      <c r="M1392">
        <f>L1392*(1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2">
        <f>L1392*(1-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1392*(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2">
        <f>(1-Summary!$B$11)*S1392+Summary!$B$11*U1392</f>
        <v/>
      </c>
      <c r="P1392">
        <f>IF(B1431=0,0,O1392/B1431)</f>
        <v/>
      </c>
      <c r="Q1392">
        <f>IFERROR(1/(IF(Inputs!$B$38="pvp",15,MAX(0.1,Skills!E2-IF(Skills!F2=TRUE,Inputs!$B$32,0)))*(1-IF(AND(ArtifactsInput!$M$27,Inputs!$B$4="Chapter Hunt"),CHOOSE(ArtifactsInput!$N$27+1,20,24,28,32,36,40),0)/100)),0)</f>
        <v/>
      </c>
      <c r="R1392" t="n">
        <v>0</v>
      </c>
      <c r="S1392">
        <f>(Skills!G2*N1392*B1426)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1392*(1-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1392*(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1392*(1-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1392*(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392">
        <f>MAX(0,(Inputs!$B$3-100)*3)+Inputs!$B$28+Inputs!$B$29</f>
        <v/>
      </c>
      <c r="U1392">
        <f>(Skills!G2*N1392*B1426)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392">
        <f>MAX(0,(Inputs!$B$3-100)*3)+Inputs!$B$28+Inputs!$B$29</f>
        <v/>
      </c>
    </row>
    <row r="1393">
      <c r="A1393">
        <f>Skills!A3</f>
        <v/>
      </c>
      <c r="B1393">
        <f>Skills!B3</f>
        <v/>
      </c>
      <c r="C1393">
        <f>TRUE</f>
        <v/>
      </c>
      <c r="D1393">
        <f>IF(Skills!C3=1,60+Inputs!$B$25+Inputs!$B$29,IF(Skills!C3=2,90+Inputs!$B$26+Inputs!$B$29,IF(Skills!C3=3,120+Inputs!$B$27+Inputs!$B$29,MAX(0,(Inputs!$B$3-100)*3)+Inputs!$B$28+Inputs!$B$29)))</f>
        <v/>
      </c>
      <c r="E1393">
        <f>INDEX(FactorTable!$B$2:$Y$301, MATCH(ROUND(MIN(300,MAX(1,D1393)),0), FactorTable!$A$2:$A$301,0), Skills!M3+1)</f>
        <v/>
      </c>
      <c r="F1393">
        <f>IF(Skills!N3=TRUE,(Skills!L3/10)*(E1393/1000),Skills!L3/10)+Skills!O3</f>
        <v/>
      </c>
      <c r="G1393">
        <f>Calc!G3</f>
        <v/>
      </c>
      <c r="H1393">
        <f>Calc!H3</f>
        <v/>
      </c>
      <c r="I1393">
        <f>IF(Skills!X3&lt;&gt;"",1+(Skills!X3/10)*(Z1393/1000)/100,1)</f>
        <v/>
      </c>
      <c r="J1393">
        <f>((Inputs!$B$6*(1+Inputs!$B$7/100))+(((Inputs!$B$12*(1+Inputs!$B$13/100))-(Inputs!$B$12*(1+Inputs!$B$13/100)))+0.25*(Inputs!$B$14-Inputs!$B$14))*(1+Inputs!$B$7/100))*(F1393/100)</f>
        <v/>
      </c>
      <c r="K1393">
        <f>J1393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1393)</f>
        <v/>
      </c>
      <c r="L1393">
        <f>K1393*(MIN(Inputs!$B$22+(F1412-Calc!F22),(Inputs!$B$23+(IF(ArtifactsInput!$M$15,CHOOSE(ArtifactsInput!$N$15+1,25,30,35,40,45,50)/100*(Inputs!$B$11-Inputs!$B$11),0))))/100+(Inputs!$B$23+(IF(ArtifactsInput!$M$15,CHOOSE(ArtifactsInput!$N$15+1,25,30,35,40,45,50)/100*(Inputs!$B$11-Inputs!$B$11),0)))/100)/2</f>
        <v/>
      </c>
      <c r="M1393">
        <f>L1393*(1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3">
        <f>L1393*(1-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1393*(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3">
        <f>(1-Summary!$B$11)*S1393+Summary!$B$11*U1393</f>
        <v/>
      </c>
      <c r="P1393">
        <f>IF(B1431=0,0,O1393/B1431)</f>
        <v/>
      </c>
      <c r="Q1393">
        <f>IFERROR(1/(IF(Inputs!$B$38="pvp",15,MAX(0.1,Skills!E3-IF(Skills!F3=TRUE,Inputs!$B$32,0)))*(1-IF(AND(ArtifactsInput!$M$27,Inputs!$B$4="Chapter Hunt"),CHOOSE(ArtifactsInput!$N$27+1,20,24,28,32,36,40),0)/100)),0)</f>
        <v/>
      </c>
      <c r="R1393">
        <f>IF(AND(Inputs!$B$38&lt;&gt;"pvp",Inputs!$B$43&gt;0),IF(MAX(0,Inputs!$B$43-B1428)&lt;=0,0,(INT(MAX(0,Inputs!$B$43-B1428)/(IF(Inputs!$B$38="pvp",15,MAX(0.1,Skills!E3-IF(Skills!F3=TRUE,Inputs!$B$32,0)))*(1-IF(AND(ArtifactsInput!$M$27,Inputs!$B$4="Chapter Hunt"),CHOOSE(ArtifactsInput!$N$27+1,20,24,28,32,36,40),0)/100)))+1)),0)</f>
        <v/>
      </c>
      <c r="S1393">
        <f>IF(C1393,(H1393*N1393*IF(AND(Inputs!$B$38&lt;&gt;"pvp",Inputs!$B$43&gt;0),((Skills!G3*((R1393-1)*IF(Skills!H3&gt;0,Skills!I3/Skills!H3,1)+IF(Skills!H3&gt;0,MIN(Skills!I3,MAX(0,MAX(0,Inputs!$B$43-B1428)-((R1393-1)*(IF(Inputs!$B$38="pvp",15,MAX(0.1,Skills!E3-IF(Skills!F3=TRUE,Inputs!$B$32,0)))*(1-IF(AND(ArtifactsInput!$M$27,Inputs!$B$4="Chapter Hunt"),CHOOSE(ArtifactsInput!$N$27+1,20,24,28,32,36,40),0)/100)))))/Skills!H3,1)))/Inputs!$B$43),G1393*Q1393)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1393*(1-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1393*(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1393*(1-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1393*(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93">
        <f>INDEX(FactorTable!$B$2:$Y$301, MATCH(ROUND(MIN(300,MAX(1,T1392)),0), FactorTable!$A$2:$A$301,0), 22)</f>
        <v/>
      </c>
      <c r="U1393">
        <f>IF(C1393,(H1393*N1393*IF(AND(Inputs!$B$38&lt;&gt;"pvp",Inputs!$B$43&gt;0),((Skills!G3*((R1393-1)*IF(Skills!H3&gt;0,Skills!I3/Skills!H3,1)+IF(Skills!H3&gt;0,MIN(Skills!I3,MAX(0,MAX(0,Inputs!$B$43-B1428)-((R1393-1)*(IF(Inputs!$B$38="pvp",15,MAX(0.1,Skills!E3-IF(Skills!F3=TRUE,Inputs!$B$32,0)))*(1-IF(AND(ArtifactsInput!$M$27,Inputs!$B$4="Chapter Hunt"),CHOOSE(ArtifactsInput!$N$27+1,20,24,28,32,36,40),0)/100)))))/Skills!H3,1)))/Inputs!$B$43),G1393*Q1393)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393">
        <f>INDEX(FactorTable!$B$2:$Y$301, MATCH(ROUND(MIN(300,MAX(1,Z1392)),0), FactorTable!$A$2:$A$301,0), 24)</f>
        <v/>
      </c>
    </row>
    <row r="1394">
      <c r="A1394">
        <f>Skills!A4</f>
        <v/>
      </c>
      <c r="B1394">
        <f>Skills!B4</f>
        <v/>
      </c>
      <c r="C1394">
        <f>TRUE</f>
        <v/>
      </c>
      <c r="D1394">
        <f>IF(Skills!C4=1,60+Inputs!$B$25+Inputs!$B$29,IF(Skills!C4=2,90+Inputs!$B$26+Inputs!$B$29,IF(Skills!C4=3,120+Inputs!$B$27+Inputs!$B$29,MAX(0,(Inputs!$B$3-100)*3)+Inputs!$B$28+Inputs!$B$29)))</f>
        <v/>
      </c>
      <c r="E1394">
        <f>INDEX(FactorTable!$B$2:$Y$301, MATCH(ROUND(MIN(300,MAX(1,D1394)),0), FactorTable!$A$2:$A$301,0), Skills!M4+1)</f>
        <v/>
      </c>
      <c r="F1394">
        <f>IF(Skills!N4=TRUE,(Skills!L4/10)*(E1394/1000),Skills!L4/10)+Skills!O4</f>
        <v/>
      </c>
      <c r="G1394">
        <f>Calc!G4</f>
        <v/>
      </c>
      <c r="H1394">
        <f>Calc!H4</f>
        <v/>
      </c>
      <c r="I1394">
        <f>IF(Skills!X4&lt;&gt;"",1+(Skills!X4/10)*(Z1393/1000)/100,1)</f>
        <v/>
      </c>
      <c r="J1394">
        <f>((Inputs!$B$6*(1+Inputs!$B$7/100))+(((Inputs!$B$12*(1+Inputs!$B$13/100))-(Inputs!$B$12*(1+Inputs!$B$13/100)))+0.25*(Inputs!$B$14-Inputs!$B$14))*(1+Inputs!$B$7/100))*(F1394/100)</f>
        <v/>
      </c>
      <c r="K1394">
        <f>J1394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1394)</f>
        <v/>
      </c>
      <c r="L1394">
        <f>K1394*(MIN(Inputs!$B$22+(F1412-Calc!F22),(Inputs!$B$23+(IF(ArtifactsInput!$M$15,CHOOSE(ArtifactsInput!$N$15+1,25,30,35,40,45,50)/100*(Inputs!$B$11-Inputs!$B$11),0))))/100+(Inputs!$B$23+(IF(ArtifactsInput!$M$15,CHOOSE(ArtifactsInput!$N$15+1,25,30,35,40,45,50)/100*(Inputs!$B$11-Inputs!$B$11),0)))/100)/2</f>
        <v/>
      </c>
      <c r="M1394">
        <f>L1394*(1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4">
        <f>L1394*(1-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1394*(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4">
        <f>(1-Summary!$B$11)*S1394+Summary!$B$11*U1394</f>
        <v/>
      </c>
      <c r="P1394">
        <f>IF(B1431=0,0,O1394/B1431)</f>
        <v/>
      </c>
      <c r="Q1394">
        <f>IFERROR(1/(IF(Inputs!$B$38="pvp",15,MAX(0.1,Skills!E4-IF(Skills!F4=TRUE,Inputs!$B$32,0)))*(1-IF(AND(ArtifactsInput!$M$27,Inputs!$B$4="Chapter Hunt"),CHOOSE(ArtifactsInput!$N$27+1,20,24,28,32,36,40),0)/100)),0)</f>
        <v/>
      </c>
      <c r="R1394">
        <f>IF(AND(Inputs!$B$38&lt;&gt;"pvp",Inputs!$B$43&gt;0),IF(MAX(0,Inputs!$B$43-B1428)&lt;=0,0,(INT(MAX(0,Inputs!$B$43-B1428)/(IF(Inputs!$B$38="pvp",15,MAX(0.1,Skills!E4-IF(Skills!F4=TRUE,Inputs!$B$32,0)))*(1-IF(AND(ArtifactsInput!$M$27,Inputs!$B$4="Chapter Hunt"),CHOOSE(ArtifactsInput!$N$27+1,20,24,28,32,36,40),0)/100)))+1)),0)</f>
        <v/>
      </c>
      <c r="S1394">
        <f>IF(C1394,(H1394*N1394*IF(AND(Inputs!$B$38&lt;&gt;"pvp",Inputs!$B$43&gt;0),((Skills!G4*((R1394-1)*IF(Skills!H4&gt;0,Skills!I4/Skills!H4,1)+IF(Skills!H4&gt;0,MIN(Skills!I4,MAX(0,MAX(0,Inputs!$B$43-B1428)-((R1394-1)*(IF(Inputs!$B$38="pvp",15,MAX(0.1,Skills!E4-IF(Skills!F4=TRUE,Inputs!$B$32,0)))*(1-IF(AND(ArtifactsInput!$M$27,Inputs!$B$4="Chapter Hunt"),CHOOSE(ArtifactsInput!$N$27+1,20,24,28,32,36,40),0)/100)))))/Skills!H4,1)))/Inputs!$B$43),G1394*Q1394)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1394*(1-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1394*(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1394*(1-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1394*(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94">
        <f>290*T1393/1000</f>
        <v/>
      </c>
      <c r="U1394">
        <f>IF(C1394,(H1394*N1394*IF(AND(Inputs!$B$38&lt;&gt;"pvp",Inputs!$B$43&gt;0),((Skills!G4*((R1394-1)*IF(Skills!H4&gt;0,Skills!I4/Skills!H4,1)+IF(Skills!H4&gt;0,MIN(Skills!I4,MAX(0,MAX(0,Inputs!$B$43-B1428)-((R1394-1)*(IF(Inputs!$B$38="pvp",15,MAX(0.1,Skills!E4-IF(Skills!F4=TRUE,Inputs!$B$32,0)))*(1-IF(AND(ArtifactsInput!$M$27,Inputs!$B$4="Chapter Hunt"),CHOOSE(ArtifactsInput!$N$27+1,20,24,28,32,36,40),0)/100)))))/Skills!H4,1)))/Inputs!$B$43),G1394*Q1394)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5">
      <c r="A1395">
        <f>Skills!A5</f>
        <v/>
      </c>
      <c r="B1395">
        <f>Skills!B5</f>
        <v/>
      </c>
      <c r="C1395">
        <f>TRUE</f>
        <v/>
      </c>
      <c r="D1395">
        <f>IF(Skills!C5=1,60+Inputs!$B$25+Inputs!$B$29,IF(Skills!C5=2,90+Inputs!$B$26+Inputs!$B$29,IF(Skills!C5=3,120+Inputs!$B$27+Inputs!$B$29,MAX(0,(Inputs!$B$3-100)*3)+Inputs!$B$28+Inputs!$B$29)))</f>
        <v/>
      </c>
      <c r="E1395">
        <f>INDEX(FactorTable!$B$2:$Y$301, MATCH(ROUND(MIN(300,MAX(1,D1395)),0), FactorTable!$A$2:$A$301,0), Skills!M5+1)</f>
        <v/>
      </c>
      <c r="F1395">
        <f>IF(Skills!N5=TRUE,(Skills!L5/10)*(E1395/1000),Skills!L5/10)+Skills!O5</f>
        <v/>
      </c>
      <c r="G1395">
        <f>Calc!G5</f>
        <v/>
      </c>
      <c r="H1395">
        <f>Calc!H5</f>
        <v/>
      </c>
      <c r="I1395">
        <f>IF(Skills!X5&lt;&gt;"",1+(Skills!X5/10)*(Z1393/1000)/100,1)</f>
        <v/>
      </c>
      <c r="J1395">
        <f>((Inputs!$B$6*(1+Inputs!$B$7/100))+(((Inputs!$B$12*(1+Inputs!$B$13/100))-(Inputs!$B$12*(1+Inputs!$B$13/100)))+0.25*(Inputs!$B$14-Inputs!$B$14))*(1+Inputs!$B$7/100))*(F1395/100)</f>
        <v/>
      </c>
      <c r="K1395">
        <f>J1395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1395)</f>
        <v/>
      </c>
      <c r="L1395">
        <f>K1395*(MIN(Inputs!$B$22+(F1412-Calc!F22),(Inputs!$B$23+(IF(ArtifactsInput!$M$15,CHOOSE(ArtifactsInput!$N$15+1,25,30,35,40,45,50)/100*(Inputs!$B$11-Inputs!$B$11),0))))/100+(Inputs!$B$23+(IF(ArtifactsInput!$M$15,CHOOSE(ArtifactsInput!$N$15+1,25,30,35,40,45,50)/100*(Inputs!$B$11-Inputs!$B$11),0)))/100)/2</f>
        <v/>
      </c>
      <c r="M1395">
        <f>L1395*(1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5">
        <f>L1395*(1-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1395*(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5">
        <f>(1-Summary!$B$11)*S1395+Summary!$B$11*U1395</f>
        <v/>
      </c>
      <c r="P1395">
        <f>IF(B1431=0,0,O1395/B1431)</f>
        <v/>
      </c>
      <c r="Q1395">
        <f>IFERROR(1/(IF(Inputs!$B$38="pvp",15,MAX(0.1,Skills!E5-IF(Skills!F5=TRUE,Inputs!$B$32,0)))*(1-IF(AND(ArtifactsInput!$M$27,Inputs!$B$4="Chapter Hunt"),CHOOSE(ArtifactsInput!$N$27+1,20,24,28,32,36,40),0)/100)),0)</f>
        <v/>
      </c>
      <c r="R1395">
        <f>IF(AND(Inputs!$B$38&lt;&gt;"pvp",Inputs!$B$43&gt;0),IF(MAX(0,Inputs!$B$43-B1428)&lt;=0,0,(INT(MAX(0,Inputs!$B$43-B1428)/(IF(Inputs!$B$38="pvp",15,MAX(0.1,Skills!E5-IF(Skills!F5=TRUE,Inputs!$B$32,0)))*(1-IF(AND(ArtifactsInput!$M$27,Inputs!$B$4="Chapter Hunt"),CHOOSE(ArtifactsInput!$N$27+1,20,24,28,32,36,40),0)/100)))+1)),0)</f>
        <v/>
      </c>
      <c r="S1395">
        <f>IF(C1395,(H1395*N1395*IF(AND(Inputs!$B$38&lt;&gt;"pvp",Inputs!$B$43&gt;0),((Skills!G5*((R1395-1)*IF(Skills!H5&gt;0,Skills!I5/Skills!H5,1)+IF(Skills!H5&gt;0,MIN(Skills!I5,MAX(0,MAX(0,Inputs!$B$43-B1428)-((R1395-1)*(IF(Inputs!$B$38="pvp",15,MAX(0.1,Skills!E5-IF(Skills!F5=TRUE,Inputs!$B$32,0)))*(1-IF(AND(ArtifactsInput!$M$27,Inputs!$B$4="Chapter Hunt"),CHOOSE(ArtifactsInput!$N$27+1,20,24,28,32,36,40),0)/100)))))/Skills!H5,1)))/Inputs!$B$43),G1395*Q1395)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1395*(1-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1395*(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1395*(1-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1395*(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5">
        <f>IF(C1395,(H1395*N1395*IF(AND(Inputs!$B$38&lt;&gt;"pvp",Inputs!$B$43&gt;0),((Skills!G5*((R1395-1)*IF(Skills!H5&gt;0,Skills!I5/Skills!H5,1)+IF(Skills!H5&gt;0,MIN(Skills!I5,MAX(0,MAX(0,Inputs!$B$43-B1428)-((R1395-1)*(IF(Inputs!$B$38="pvp",15,MAX(0.1,Skills!E5-IF(Skills!F5=TRUE,Inputs!$B$32,0)))*(1-IF(AND(ArtifactsInput!$M$27,Inputs!$B$4="Chapter Hunt"),CHOOSE(ArtifactsInput!$N$27+1,20,24,28,32,36,40),0)/100)))))/Skills!H5,1)))/Inputs!$B$43),G1395*Q1395)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6">
      <c r="A1396">
        <f>Skills!A6</f>
        <v/>
      </c>
      <c r="B1396">
        <f>Skills!B6</f>
        <v/>
      </c>
      <c r="C1396">
        <f>TRUE</f>
        <v/>
      </c>
      <c r="D1396">
        <f>IF(Skills!C6=1,60+Inputs!$B$25+Inputs!$B$29,IF(Skills!C6=2,90+Inputs!$B$26+Inputs!$B$29,IF(Skills!C6=3,120+Inputs!$B$27+Inputs!$B$29,MAX(0,(Inputs!$B$3-100)*3)+Inputs!$B$28+Inputs!$B$29)))</f>
        <v/>
      </c>
      <c r="E1396">
        <f>INDEX(FactorTable!$B$2:$Y$301, MATCH(ROUND(MIN(300,MAX(1,D1396)),0), FactorTable!$A$2:$A$301,0), Skills!M6+1)</f>
        <v/>
      </c>
      <c r="F1396">
        <f>IF(Skills!N6=TRUE,(Skills!L6/10)*(E1396/1000),Skills!L6/10)+Skills!O6</f>
        <v/>
      </c>
      <c r="G1396">
        <f>Calc!G6</f>
        <v/>
      </c>
      <c r="H1396">
        <f>Calc!H6</f>
        <v/>
      </c>
      <c r="I1396">
        <f>IF(Skills!X6&lt;&gt;"",1+(Skills!X6/10)*(Z1393/1000)/100,1)</f>
        <v/>
      </c>
      <c r="J1396" t="inlineStr"/>
      <c r="K1396" t="inlineStr"/>
      <c r="L1396" t="inlineStr"/>
      <c r="M1396" t="inlineStr"/>
      <c r="N1396" t="inlineStr"/>
      <c r="O1396">
        <f>(1-Summary!$B$11)*S1396+Summary!$B$11*U1396</f>
        <v/>
      </c>
      <c r="P1396">
        <f>IF(B1431=0,0,O1396/B1431)</f>
        <v/>
      </c>
      <c r="Q1396">
        <f>IFERROR(1/(IF(Inputs!$B$38="pvp",15,MAX(0.1,Skills!E6-IF(Skills!F6=TRUE,Inputs!$B$32,0)))*(1-IF(AND(ArtifactsInput!$M$27,Inputs!$B$4="Chapter Hunt"),CHOOSE(ArtifactsInput!$N$27+1,20,24,28,32,36,40),0)/100)),0)</f>
        <v/>
      </c>
      <c r="R1396">
        <f>IF(AND(Inputs!$B$38&lt;&gt;"pvp",Inputs!$B$43&gt;0),IF(Inputs!$B$43&lt;=0,0,(INT(Inputs!$B$43/(IF(Inputs!$B$38="pvp",15,MAX(0.1,Skills!E6-IF(Skills!F6=TRUE,Inputs!$B$32,0)))*(1-IF(AND(ArtifactsInput!$M$27,Inputs!$B$4="Chapter Hunt"),CHOOSE(ArtifactsInput!$N$27+1,20,24,28,32,36,40),0)/100)))+1)),0)</f>
        <v/>
      </c>
      <c r="S1396" t="n">
        <v>0</v>
      </c>
      <c r="U1396" t="n">
        <v>0</v>
      </c>
    </row>
    <row r="1397">
      <c r="A1397">
        <f>Skills!A7</f>
        <v/>
      </c>
      <c r="B1397">
        <f>Skills!B7</f>
        <v/>
      </c>
      <c r="C1397">
        <f>TRUE</f>
        <v/>
      </c>
      <c r="D1397">
        <f>IF(Skills!C7=1,60+Inputs!$B$25+Inputs!$B$29,IF(Skills!C7=2,90+Inputs!$B$26+Inputs!$B$29,IF(Skills!C7=3,120+Inputs!$B$27+Inputs!$B$29,MAX(0,(Inputs!$B$3-100)*3)+Inputs!$B$28+Inputs!$B$29)))</f>
        <v/>
      </c>
      <c r="E1397">
        <f>INDEX(FactorTable!$B$2:$Y$301, MATCH(ROUND(MIN(300,MAX(1,D1397)),0), FactorTable!$A$2:$A$301,0), Skills!M7+1)</f>
        <v/>
      </c>
      <c r="F1397">
        <f>IF(Skills!N7=TRUE,(Skills!L7/10)*(E1397/1000),Skills!L7/10)+Skills!O7</f>
        <v/>
      </c>
      <c r="G1397">
        <f>Calc!G7</f>
        <v/>
      </c>
      <c r="H1397">
        <f>Calc!H7</f>
        <v/>
      </c>
      <c r="I1397">
        <f>IF(Skills!X7&lt;&gt;"",1+(Skills!X7/10)*(Z1393/1000)/100,1)</f>
        <v/>
      </c>
      <c r="J1397">
        <f>((Inputs!$B$6*(1+Inputs!$B$7/100))+(((Inputs!$B$12*(1+Inputs!$B$13/100))-(Inputs!$B$12*(1+Inputs!$B$13/100)))+0.25*(Inputs!$B$14-Inputs!$B$14))*(1+Inputs!$B$7/100))*(F1397/100)</f>
        <v/>
      </c>
      <c r="K1397">
        <f>J1397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1397)</f>
        <v/>
      </c>
      <c r="L1397">
        <f>K1397*(MIN(Inputs!$B$22+(F1412-Calc!F22),(Inputs!$B$23+(IF(ArtifactsInput!$M$15,CHOOSE(ArtifactsInput!$N$15+1,25,30,35,40,45,50)/100*(Inputs!$B$11-Inputs!$B$11),0))))/100+(Inputs!$B$23+(IF(ArtifactsInput!$M$15,CHOOSE(ArtifactsInput!$N$15+1,25,30,35,40,45,50)/100*(Inputs!$B$11-Inputs!$B$11),0)))/100)/2</f>
        <v/>
      </c>
      <c r="M1397">
        <f>L1397*(1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7">
        <f>L1397*(1-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1397*(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7">
        <f>(1-Summary!$B$11)*S1397+Summary!$B$11*U1397</f>
        <v/>
      </c>
      <c r="P1397">
        <f>IF(B1431=0,0,O1397/B1431)</f>
        <v/>
      </c>
      <c r="Q1397">
        <f>IFERROR(1/(IF(Inputs!$B$38="pvp",15,MAX(0.1,Skills!E7-IF(Skills!F7=TRUE,Inputs!$B$32,0)))*(1-IF(AND(ArtifactsInput!$M$27,Inputs!$B$4="Chapter Hunt"),CHOOSE(ArtifactsInput!$N$27+1,20,24,28,32,36,40),0)/100)),0)</f>
        <v/>
      </c>
      <c r="R1397">
        <f>IF(AND(Inputs!$B$38&lt;&gt;"pvp",Inputs!$B$43&gt;0),IF(MAX(0,Inputs!$B$43-B1428)&lt;=0,0,(INT(MAX(0,Inputs!$B$43-B1428)/(IF(Inputs!$B$38="pvp",15,MAX(0.1,Skills!E7-IF(Skills!F7=TRUE,Inputs!$B$32,0)))*(1-IF(AND(ArtifactsInput!$M$27,Inputs!$B$4="Chapter Hunt"),CHOOSE(ArtifactsInput!$N$27+1,20,24,28,32,36,40),0)/100)))+1)),0)</f>
        <v/>
      </c>
      <c r="S1397">
        <f>IF(C1397,(H1397*N1397*IF(AND(Inputs!$B$38&lt;&gt;"pvp",Inputs!$B$43&gt;0),((Skills!G7*((R1397-1)*IF(Skills!H7&gt;0,Skills!I7/Skills!H7,1)+IF(Skills!H7&gt;0,MIN(Skills!I7,MAX(0,MAX(0,Inputs!$B$43-B1428)-((R1397-1)*(IF(Inputs!$B$38="pvp",15,MAX(0.1,Skills!E7-IF(Skills!F7=TRUE,Inputs!$B$32,0)))*(1-IF(AND(ArtifactsInput!$M$27,Inputs!$B$4="Chapter Hunt"),CHOOSE(ArtifactsInput!$N$27+1,20,24,28,32,36,40),0)/100)))))/Skills!H7,1)))/Inputs!$B$43),G1397*Q1397)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1397*(1-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1397*(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1397*(1-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1397*(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7">
        <f>IF(C1397,(H1397*N1397*IF(AND(Inputs!$B$38&lt;&gt;"pvp",Inputs!$B$43&gt;0),((Skills!G7*((R1397-1)*IF(Skills!H7&gt;0,Skills!I7/Skills!H7,1)+IF(Skills!H7&gt;0,MIN(Skills!I7,MAX(0,MAX(0,Inputs!$B$43-B1428)-((R1397-1)*(IF(Inputs!$B$38="pvp",15,MAX(0.1,Skills!E7-IF(Skills!F7=TRUE,Inputs!$B$32,0)))*(1-IF(AND(ArtifactsInput!$M$27,Inputs!$B$4="Chapter Hunt"),CHOOSE(ArtifactsInput!$N$27+1,20,24,28,32,36,40),0)/100)))))/Skills!H7,1)))/Inputs!$B$43),G1397*Q1397)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8">
      <c r="A1398">
        <f>Skills!A8</f>
        <v/>
      </c>
      <c r="B1398">
        <f>Skills!B8</f>
        <v/>
      </c>
      <c r="C1398">
        <f>TRUE</f>
        <v/>
      </c>
      <c r="D1398">
        <f>IF(Skills!C8=1,60+Inputs!$B$25+Inputs!$B$29,IF(Skills!C8=2,90+Inputs!$B$26+Inputs!$B$29,IF(Skills!C8=3,120+Inputs!$B$27+Inputs!$B$29,MAX(0,(Inputs!$B$3-100)*3)+Inputs!$B$28+Inputs!$B$29)))</f>
        <v/>
      </c>
      <c r="E1398">
        <f>INDEX(FactorTable!$B$2:$Y$301, MATCH(ROUND(MIN(300,MAX(1,D1398)),0), FactorTable!$A$2:$A$301,0), Skills!M8+1)</f>
        <v/>
      </c>
      <c r="F1398">
        <f>IF(Skills!N8=TRUE,(Skills!L8/10)*(E1398/1000),Skills!L8/10)+Skills!O8</f>
        <v/>
      </c>
      <c r="G1398">
        <f>Calc!G8</f>
        <v/>
      </c>
      <c r="H1398">
        <f>Calc!H8</f>
        <v/>
      </c>
      <c r="I1398">
        <f>IF(Skills!X8&lt;&gt;"",1+(Skills!X8/10)*(Z1393/1000)/100,1)</f>
        <v/>
      </c>
      <c r="J1398">
        <f>((Inputs!$B$6*(1+Inputs!$B$7/100))+(((Inputs!$B$12*(1+Inputs!$B$13/100))-(Inputs!$B$12*(1+Inputs!$B$13/100)))+0.25*(Inputs!$B$14-Inputs!$B$14))*(1+Inputs!$B$7/100))*(F1398/100)</f>
        <v/>
      </c>
      <c r="K1398">
        <f>J1398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1398)</f>
        <v/>
      </c>
      <c r="L1398">
        <f>K1398*(MIN(Inputs!$B$22+(F1412-Calc!F22),(Inputs!$B$23+(IF(ArtifactsInput!$M$15,CHOOSE(ArtifactsInput!$N$15+1,25,30,35,40,45,50)/100*(Inputs!$B$11-Inputs!$B$11),0))))/100+(Inputs!$B$23+(IF(ArtifactsInput!$M$15,CHOOSE(ArtifactsInput!$N$15+1,25,30,35,40,45,50)/100*(Inputs!$B$11-Inputs!$B$11),0)))/100)/2</f>
        <v/>
      </c>
      <c r="M1398">
        <f>L1398*(1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8">
        <f>L1398*(1-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1398*(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8">
        <f>(1-Summary!$B$11)*S1398+Summary!$B$11*U1398</f>
        <v/>
      </c>
      <c r="P1398">
        <f>IF(B1431=0,0,O1398/B1431)</f>
        <v/>
      </c>
      <c r="Q1398">
        <f>IFERROR(1/(IF(Inputs!$B$38="pvp",15,MAX(0.1,Skills!E8-IF(Skills!F8=TRUE,Inputs!$B$32,0)))*(1-IF(AND(ArtifactsInput!$M$27,Inputs!$B$4="Chapter Hunt"),CHOOSE(ArtifactsInput!$N$27+1,20,24,28,32,36,40),0)/100)),0)</f>
        <v/>
      </c>
      <c r="R1398">
        <f>IF(AND(Inputs!$B$38&lt;&gt;"pvp",Inputs!$B$43&gt;0),IF(MAX(0,Inputs!$B$43-B1428)&lt;=0,0,(INT(MAX(0,Inputs!$B$43-B1428)/(IF(Inputs!$B$38="pvp",15,MAX(0.1,Skills!E8-IF(Skills!F8=TRUE,Inputs!$B$32,0)))*(1-IF(AND(ArtifactsInput!$M$27,Inputs!$B$4="Chapter Hunt"),CHOOSE(ArtifactsInput!$N$27+1,20,24,28,32,36,40),0)/100)))+1)),0)</f>
        <v/>
      </c>
      <c r="S1398">
        <f>IF(C1398,(H1398*N1398*IF(AND(Inputs!$B$38&lt;&gt;"pvp",Inputs!$B$43&gt;0),((Skills!G8*((R1398-1)*IF(Skills!H8&gt;0,Skills!I8/Skills!H8,1)+IF(Skills!H8&gt;0,MIN(Skills!I8,MAX(0,MAX(0,Inputs!$B$43-B1428)-((R1398-1)*(IF(Inputs!$B$38="pvp",15,MAX(0.1,Skills!E8-IF(Skills!F8=TRUE,Inputs!$B$32,0)))*(1-IF(AND(ArtifactsInput!$M$27,Inputs!$B$4="Chapter Hunt"),CHOOSE(ArtifactsInput!$N$27+1,20,24,28,32,36,40),0)/100)))))/Skills!H8,1)))/Inputs!$B$43),G1398*Q1398)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1398*(1-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1398*(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1398*(1-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1398*(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8">
        <f>IF(C1398,(H1398*N1398*IF(AND(Inputs!$B$38&lt;&gt;"pvp",Inputs!$B$43&gt;0),((Skills!G8*((R1398-1)*IF(Skills!H8&gt;0,Skills!I8/Skills!H8,1)+IF(Skills!H8&gt;0,MIN(Skills!I8,MAX(0,MAX(0,Inputs!$B$43-B1428)-((R1398-1)*(IF(Inputs!$B$38="pvp",15,MAX(0.1,Skills!E8-IF(Skills!F8=TRUE,Inputs!$B$32,0)))*(1-IF(AND(ArtifactsInput!$M$27,Inputs!$B$4="Chapter Hunt"),CHOOSE(ArtifactsInput!$N$27+1,20,24,28,32,36,40),0)/100)))))/Skills!H8,1)))/Inputs!$B$43),G1398*Q1398)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9">
      <c r="A1399">
        <f>Skills!A9</f>
        <v/>
      </c>
      <c r="B1399">
        <f>Skills!B9</f>
        <v/>
      </c>
      <c r="C1399">
        <f>Inputs!$B$3&gt;=103</f>
        <v/>
      </c>
      <c r="D1399">
        <f>IF(Skills!C9=1,60+Inputs!$B$25+Inputs!$B$29,IF(Skills!C9=2,90+Inputs!$B$26+Inputs!$B$29,IF(Skills!C9=3,120+Inputs!$B$27+Inputs!$B$29,MAX(0,(Inputs!$B$3-100)*3)+Inputs!$B$28+Inputs!$B$29)))</f>
        <v/>
      </c>
      <c r="E1399">
        <f>INDEX(FactorTable!$B$2:$Y$301, MATCH(ROUND(MIN(300,MAX(1,D1399)),0), FactorTable!$A$2:$A$301,0), Skills!M9+1)</f>
        <v/>
      </c>
      <c r="F1399">
        <f>IF(Skills!N9=TRUE,(Skills!L9/10)*(E1399/1000),Skills!L9/10)+Skills!O9</f>
        <v/>
      </c>
      <c r="G1399">
        <f>Calc!G9</f>
        <v/>
      </c>
      <c r="H1399">
        <f>Calc!H9</f>
        <v/>
      </c>
      <c r="I1399">
        <f>IF(Skills!X9&lt;&gt;"",1+(Skills!X9/10)*(Z1393/1000)/100,1)</f>
        <v/>
      </c>
      <c r="J1399">
        <f>((Inputs!$B$6*(1+Inputs!$B$7/100))+(((Inputs!$B$12*(1+Inputs!$B$13/100))-(Inputs!$B$12*(1+Inputs!$B$13/100)))+0.25*(Inputs!$B$14-Inputs!$B$14))*(1+Inputs!$B$7/100))*(F1399/100)</f>
        <v/>
      </c>
      <c r="K1399">
        <f>J1399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1399)</f>
        <v/>
      </c>
      <c r="L1399">
        <f>K1399*(MIN(Inputs!$B$22+(F1412-Calc!F22),(Inputs!$B$23+(IF(ArtifactsInput!$M$15,CHOOSE(ArtifactsInput!$N$15+1,25,30,35,40,45,50)/100*(Inputs!$B$11-Inputs!$B$11),0))))/100+(Inputs!$B$23+(IF(ArtifactsInput!$M$15,CHOOSE(ArtifactsInput!$N$15+1,25,30,35,40,45,50)/100*(Inputs!$B$11-Inputs!$B$11),0)))/100)/2</f>
        <v/>
      </c>
      <c r="M1399">
        <f>L1399*(1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9">
        <f>L1399*(1-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1399*(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9">
        <f>(1-Summary!$B$11)*S1399+Summary!$B$11*U1399</f>
        <v/>
      </c>
      <c r="P1399">
        <f>IF(B1431=0,0,O1399/B1431)</f>
        <v/>
      </c>
      <c r="Q1399">
        <f>IFERROR(1/(IF(Inputs!$B$38="pvp",15,MAX(0.1,Skills!E9-IF(Skills!F7=TRUE,Inputs!$B$32,0)))*(1-IF(AND(ArtifactsInput!$M$27,Inputs!$B$4="Chapter Hunt"),CHOOSE(ArtifactsInput!$N$27+1,20,24,28,32,36,40),0)/100)),0)</f>
        <v/>
      </c>
      <c r="R1399">
        <f>IF(AND(Inputs!$B$38&lt;&gt;"pvp",Inputs!$B$43&gt;0),IF(MAX(0,Inputs!$B$43-B1428)&lt;=0,0,(INT(MAX(0,Inputs!$B$43-B1428)/(IF(Inputs!$B$38="pvp",15,MAX(0.1,Skills!E9-IF(Skills!F7=TRUE,Inputs!$B$32,0)))*(1-IF(AND(ArtifactsInput!$M$27,Inputs!$B$4="Chapter Hunt"),CHOOSE(ArtifactsInput!$N$27+1,20,24,28,32,36,40),0)/100)))+1)),0)</f>
        <v/>
      </c>
      <c r="S1399">
        <f>IF(C1399,(H1399*N1399*IF(AND(Inputs!$B$38&lt;&gt;"pvp",Inputs!$B$43&gt;0),((Skills!G9*((R1399-1)*IF(Skills!H9&gt;0,Skills!I9/Skills!H9,1)+IF(Skills!H9&gt;0,MIN(Skills!I9,MAX(0,MAX(0,Inputs!$B$43-B1428)-((R1399-1)*(IF(Inputs!$B$38="pvp",15,MAX(0.1,Skills!E9-IF(Skills!F7=TRUE,Inputs!$B$32,0)))*(1-IF(AND(ArtifactsInput!$M$27,Inputs!$B$4="Chapter Hunt"),CHOOSE(ArtifactsInput!$N$27+1,20,24,28,32,36,40),0)/100)))))/Skills!H9,1)))/Inputs!$B$43),G1399*Q1399)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1399*(1-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1399*(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1399*(1-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1399*(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9">
        <f>IF(C1399,(H1399*N1399*IF(AND(Inputs!$B$38&lt;&gt;"pvp",Inputs!$B$43&gt;0),((Skills!G9*((R1399-1)*IF(Skills!H9&gt;0,Skills!I9/Skills!H9,1)+IF(Skills!H9&gt;0,MIN(Skills!I9,MAX(0,MAX(0,Inputs!$B$43-B1428)-((R1399-1)*(IF(Inputs!$B$38="pvp",15,MAX(0.1,Skills!E9-IF(Skills!F7=TRUE,Inputs!$B$32,0)))*(1-IF(AND(ArtifactsInput!$M$27,Inputs!$B$4="Chapter Hunt"),CHOOSE(ArtifactsInput!$N$27+1,20,24,28,32,36,40),0)/100)))))/Skills!H9,1)))/Inputs!$B$43),G1399*Q1399)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0">
      <c r="A1400">
        <f>Skills!A10</f>
        <v/>
      </c>
      <c r="B1400">
        <f>Skills!B10</f>
        <v/>
      </c>
      <c r="C1400">
        <f>TRUE</f>
        <v/>
      </c>
      <c r="D1400">
        <f>IF(Skills!C10=1,60+Inputs!$B$25+Inputs!$B$29,IF(Skills!C10=2,90+Inputs!$B$26+Inputs!$B$29,IF(Skills!C10=3,120+Inputs!$B$27+Inputs!$B$29,MAX(0,(Inputs!$B$3-100)*3)+Inputs!$B$28+Inputs!$B$29)))</f>
        <v/>
      </c>
      <c r="E1400">
        <f>INDEX(FactorTable!$B$2:$Y$301, MATCH(ROUND(MIN(300,MAX(1,D1400)),0), FactorTable!$A$2:$A$301,0), Skills!M10+1)</f>
        <v/>
      </c>
      <c r="F1400">
        <f>IF(Skills!N10=TRUE,(Skills!L10/10)*(E1400/1000),Skills!L10/10)+Skills!O10</f>
        <v/>
      </c>
      <c r="G1400">
        <f>Calc!G10</f>
        <v/>
      </c>
      <c r="H1400">
        <f>Calc!H10</f>
        <v/>
      </c>
      <c r="I1400">
        <f>IF(Skills!X10&lt;&gt;"",1+(Skills!X10/10)*(Z1393/1000)/100,1)</f>
        <v/>
      </c>
      <c r="J1400">
        <f>((Inputs!$B$6*(1+Inputs!$B$7/100))+(((Inputs!$B$12*(1+Inputs!$B$13/100))-(Inputs!$B$12*(1+Inputs!$B$13/100)))+0.25*(Inputs!$B$14-Inputs!$B$14))*(1+Inputs!$B$7/100))*(F1400/100)</f>
        <v/>
      </c>
      <c r="K1400">
        <f>J1400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1400)</f>
        <v/>
      </c>
      <c r="L1400">
        <f>K1400*(MIN(Inputs!$B$22+(F1412-Calc!F22),(Inputs!$B$23+(IF(ArtifactsInput!$M$15,CHOOSE(ArtifactsInput!$N$15+1,25,30,35,40,45,50)/100*(Inputs!$B$11-Inputs!$B$11),0))))/100+(Inputs!$B$23+(IF(ArtifactsInput!$M$15,CHOOSE(ArtifactsInput!$N$15+1,25,30,35,40,45,50)/100*(Inputs!$B$11-Inputs!$B$11),0)))/100)/2</f>
        <v/>
      </c>
      <c r="M1400">
        <f>L1400*(1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0">
        <f>L1400*(1-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1400*(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0">
        <f>(1-Summary!$B$11)*S1400+Summary!$B$11*U1400</f>
        <v/>
      </c>
      <c r="P1400">
        <f>IF(B1431=0,0,O1400/B1431)</f>
        <v/>
      </c>
      <c r="Q1400">
        <f>IFERROR(1/(IF(Inputs!$B$38="pvp",15,MAX(0.1,Skills!E10-IF(Skills!F10=TRUE,Inputs!$B$32,0)))*(1-IF(AND(ArtifactsInput!$M$27,Inputs!$B$4="Chapter Hunt"),CHOOSE(ArtifactsInput!$N$27+1,20,24,28,32,36,40),0)/100)),0)</f>
        <v/>
      </c>
      <c r="R1400">
        <f>IF(AND(Inputs!$B$38&lt;&gt;"pvp",Inputs!$B$43&gt;0),IF(MAX(0,Inputs!$B$43-B1428)&lt;=0,0,(INT(MAX(0,Inputs!$B$43-B1428)/(IF(Inputs!$B$38="pvp",15,MAX(0.1,Skills!E10-IF(Skills!F10=TRUE,Inputs!$B$32,0)))*(1-IF(AND(ArtifactsInput!$M$27,Inputs!$B$4="Chapter Hunt"),CHOOSE(ArtifactsInput!$N$27+1,20,24,28,32,36,40),0)/100)))+1)),0)</f>
        <v/>
      </c>
      <c r="S1400">
        <f>IF(C1400,(H1400*N1400*IF(AND(Inputs!$B$38&lt;&gt;"pvp",Inputs!$B$43&gt;0),((Skills!G10*((R1400-1)*IF(Skills!H10&gt;0,Skills!I10/Skills!H10,1)+IF(Skills!H10&gt;0,MIN(Skills!I10,MAX(0,MAX(0,Inputs!$B$43-B1428)-((R1400-1)*(IF(Inputs!$B$38="pvp",15,MAX(0.1,Skills!E10-IF(Skills!F10=TRUE,Inputs!$B$32,0)))*(1-IF(AND(ArtifactsInput!$M$27,Inputs!$B$4="Chapter Hunt"),CHOOSE(ArtifactsInput!$N$27+1,20,24,28,32,36,40),0)/100)))))/Skills!H10,1)))/Inputs!$B$43),G1400*Q1400)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1400*(1-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1400*(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1400*(1-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1400*(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0">
        <f>IF(C1400,(H1400*N1400*IF(AND(Inputs!$B$38&lt;&gt;"pvp",Inputs!$B$43&gt;0),((Skills!G10*((R1400-1)*IF(Skills!H10&gt;0,Skills!I10/Skills!H10,1)+IF(Skills!H10&gt;0,MIN(Skills!I10,MAX(0,MAX(0,Inputs!$B$43-B1428)-((R1400-1)*(IF(Inputs!$B$38="pvp",15,MAX(0.1,Skills!E10-IF(Skills!F10=TRUE,Inputs!$B$32,0)))*(1-IF(AND(ArtifactsInput!$M$27,Inputs!$B$4="Chapter Hunt"),CHOOSE(ArtifactsInput!$N$27+1,20,24,28,32,36,40),0)/100)))))/Skills!H10,1)))/Inputs!$B$43),G1400*Q1400)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1">
      <c r="A1401">
        <f>Skills!A11</f>
        <v/>
      </c>
      <c r="B1401">
        <f>Skills!B11</f>
        <v/>
      </c>
      <c r="C1401">
        <f>TRUE</f>
        <v/>
      </c>
      <c r="D1401">
        <f>IF(Skills!C11=1,60+Inputs!$B$25+Inputs!$B$29,IF(Skills!C11=2,90+Inputs!$B$26+Inputs!$B$29,IF(Skills!C11=3,120+Inputs!$B$27+Inputs!$B$29,MAX(0,(Inputs!$B$3-100)*3)+Inputs!$B$28+Inputs!$B$29)))</f>
        <v/>
      </c>
      <c r="E1401">
        <f>INDEX(FactorTable!$B$2:$Y$301, MATCH(ROUND(MIN(300,MAX(1,D1401)),0), FactorTable!$A$2:$A$301,0), Skills!M11+1)</f>
        <v/>
      </c>
      <c r="F1401">
        <f>IF(Skills!N11=TRUE,(Skills!L11/10)*(E1401/1000),Skills!L11/10)+Skills!O11</f>
        <v/>
      </c>
      <c r="G1401">
        <f>Calc!G11</f>
        <v/>
      </c>
      <c r="H1401">
        <f>Calc!H11</f>
        <v/>
      </c>
      <c r="I1401">
        <f>IF(Skills!X11&lt;&gt;"",1+(Skills!X11/10)*(Z1393/1000)/100,1)</f>
        <v/>
      </c>
      <c r="J1401" t="inlineStr"/>
      <c r="K1401" t="inlineStr"/>
      <c r="L1401" t="inlineStr"/>
      <c r="M1401" t="inlineStr"/>
      <c r="N1401" t="inlineStr"/>
      <c r="O1401">
        <f>(1-Summary!$B$11)*S1401+Summary!$B$11*U1401</f>
        <v/>
      </c>
      <c r="P1401">
        <f>IF(B1431=0,0,O1401/B1431)</f>
        <v/>
      </c>
      <c r="Q1401">
        <f>IFERROR(1/(IF(Inputs!$B$38="pvp",15,MAX(0.1,Skills!E11-IF(Skills!F11=TRUE,Inputs!$B$32,0)))*(1-IF(AND(ArtifactsInput!$M$27,Inputs!$B$4="Chapter Hunt"),CHOOSE(ArtifactsInput!$N$27+1,20,24,28,32,36,40),0)/100)),0)</f>
        <v/>
      </c>
      <c r="R1401" t="n">
        <v>0</v>
      </c>
      <c r="S1401" t="n">
        <v>0</v>
      </c>
      <c r="U1401" t="n">
        <v>0</v>
      </c>
    </row>
    <row r="1402">
      <c r="A1402">
        <f>Skills!A12</f>
        <v/>
      </c>
      <c r="B1402">
        <f>Skills!B12</f>
        <v/>
      </c>
      <c r="C1402">
        <f>TRUE</f>
        <v/>
      </c>
      <c r="D1402">
        <f>IF(Skills!C12=1,60+Inputs!$B$25+Inputs!$B$29,IF(Skills!C12=2,90+Inputs!$B$26+Inputs!$B$29,IF(Skills!C12=3,120+Inputs!$B$27+Inputs!$B$29,MAX(0,(Inputs!$B$3-100)*3)+Inputs!$B$28+Inputs!$B$29)))</f>
        <v/>
      </c>
      <c r="E1402">
        <f>INDEX(FactorTable!$B$2:$Y$301, MATCH(ROUND(MIN(300,MAX(1,D1402)),0), FactorTable!$A$2:$A$301,0), Skills!M12+1)</f>
        <v/>
      </c>
      <c r="F1402">
        <f>IF(Skills!N12=TRUE,(Skills!L12/10)*(E1402/1000),Skills!L12/10)+Skills!O12</f>
        <v/>
      </c>
      <c r="G1402">
        <f>Calc!G12</f>
        <v/>
      </c>
      <c r="H1402">
        <f>Calc!H12</f>
        <v/>
      </c>
      <c r="I1402">
        <f>IF(Skills!X12&lt;&gt;"",1+(Skills!X12/10)*(Z1393/1000)/100,1)</f>
        <v/>
      </c>
      <c r="J1402" t="inlineStr"/>
      <c r="K1402" t="inlineStr"/>
      <c r="L1402" t="inlineStr"/>
      <c r="M1402" t="inlineStr"/>
      <c r="N1402" t="inlineStr"/>
      <c r="O1402">
        <f>(1-Summary!$B$11)*S1402+Summary!$B$11*U1402</f>
        <v/>
      </c>
      <c r="P1402">
        <f>IF(B1431=0,0,O1402/B1431)</f>
        <v/>
      </c>
      <c r="Q1402">
        <f>IFERROR(1/(IF(Inputs!$B$38="pvp",15,MAX(0.1,Skills!E12-IF(Skills!F12=TRUE,Inputs!$B$32,0)))*(1-IF(AND(ArtifactsInput!$M$27,Inputs!$B$4="Chapter Hunt"),CHOOSE(ArtifactsInput!$N$27+1,20,24,28,32,36,40),0)/100)),0)</f>
        <v/>
      </c>
      <c r="R1402" t="n">
        <v>0</v>
      </c>
      <c r="S1402" t="n">
        <v>0</v>
      </c>
      <c r="U1402" t="n">
        <v>0</v>
      </c>
    </row>
    <row r="1403">
      <c r="A1403">
        <f>Skills!A13</f>
        <v/>
      </c>
      <c r="B1403">
        <f>Skills!B13</f>
        <v/>
      </c>
      <c r="C1403">
        <f>Inputs!$B$3&gt;=105</f>
        <v/>
      </c>
      <c r="D1403">
        <f>IF(Skills!C13=1,60+Inputs!$B$25+Inputs!$B$29,IF(Skills!C13=2,90+Inputs!$B$26+Inputs!$B$29,IF(Skills!C13=3,120+Inputs!$B$27+Inputs!$B$29,MAX(0,(Inputs!$B$3-100)*3)+Inputs!$B$28+Inputs!$B$29)))</f>
        <v/>
      </c>
      <c r="E1403">
        <f>INDEX(FactorTable!$B$2:$Y$301, MATCH(ROUND(MIN(300,MAX(1,D1403)),0), FactorTable!$A$2:$A$301,0), Skills!M13+1)</f>
        <v/>
      </c>
      <c r="F1403">
        <f>IF(Skills!N13=TRUE,(Skills!L13/10)*(E1403/1000),Skills!L13/10)+Skills!O13</f>
        <v/>
      </c>
      <c r="G1403">
        <f>Calc!G13</f>
        <v/>
      </c>
      <c r="H1403">
        <f>Calc!H13</f>
        <v/>
      </c>
      <c r="I1403">
        <f>IF(Skills!X13&lt;&gt;"",1+(Skills!X13/10)*(Z1393/1000)/100,1)</f>
        <v/>
      </c>
      <c r="J1403">
        <f>((Inputs!$B$6*(1+Inputs!$B$7/100))+(((Inputs!$B$12*(1+Inputs!$B$13/100))-(Inputs!$B$12*(1+Inputs!$B$13/100)))+0.25*(Inputs!$B$14-Inputs!$B$14))*(1+Inputs!$B$7/100))*(F1403/100)</f>
        <v/>
      </c>
      <c r="K1403">
        <f>J1403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1403)</f>
        <v/>
      </c>
      <c r="L1403">
        <f>K1403*(MIN(Inputs!$B$22+(F1412-Calc!F22),(Inputs!$B$23+(IF(ArtifactsInput!$M$15,CHOOSE(ArtifactsInput!$N$15+1,25,30,35,40,45,50)/100*(Inputs!$B$11-Inputs!$B$11),0))))/100+(Inputs!$B$23+(IF(ArtifactsInput!$M$15,CHOOSE(ArtifactsInput!$N$15+1,25,30,35,40,45,50)/100*(Inputs!$B$11-Inputs!$B$11),0)))/100)/2</f>
        <v/>
      </c>
      <c r="M1403">
        <f>L1403*(1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3">
        <f>L1403*(1-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1403*(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3">
        <f>(1-Summary!$B$11)*S1403+Summary!$B$11*U1403</f>
        <v/>
      </c>
      <c r="P1403">
        <f>IF(B1431=0,0,O1403/B1431)</f>
        <v/>
      </c>
      <c r="Q1403">
        <f>IFERROR(1/(IF(Inputs!$B$38="pvp",15,MAX(0.1,Skills!E13-IF(Skills!F13=TRUE,Inputs!$B$32,0)))*(1-IF(AND(ArtifactsInput!$M$27,Inputs!$B$4="Chapter Hunt"),CHOOSE(ArtifactsInput!$N$27+1,20,24,28,32,36,40),0)/100)),0)</f>
        <v/>
      </c>
      <c r="R1403">
        <f>IF(AND(Inputs!$B$38&lt;&gt;"pvp",Inputs!$B$43&gt;0),IF(MAX(0,Inputs!$B$43-B1428)&lt;=0,0,(INT(MAX(0,Inputs!$B$43-B1428)/(IF(Inputs!$B$38="pvp",15,MAX(0.1,Skills!E13-IF(Skills!F13=TRUE,Inputs!$B$32,0)))*(1-IF(AND(ArtifactsInput!$M$27,Inputs!$B$4="Chapter Hunt"),CHOOSE(ArtifactsInput!$N$27+1,20,24,28,32,36,40),0)/100)))+1)),0)</f>
        <v/>
      </c>
      <c r="S1403">
        <f>IF(C1403,(H1403*N1403*IF(AND(Inputs!$B$38&lt;&gt;"pvp",Inputs!$B$43&gt;0),((Skills!G13*((R1403-1)*IF(Skills!H13&gt;0,Skills!I13/Skills!H13,1)+IF(Skills!H13&gt;0,MIN(Skills!I13,MAX(0,MAX(0,Inputs!$B$43-B1428)-((R1403-1)*(IF(Inputs!$B$38="pvp",15,MAX(0.1,Skills!E13-IF(Skills!F13=TRUE,Inputs!$B$32,0)))*(1-IF(AND(ArtifactsInput!$M$27,Inputs!$B$4="Chapter Hunt"),CHOOSE(ArtifactsInput!$N$27+1,20,24,28,32,36,40),0)/100)))))/Skills!H13,1)))/Inputs!$B$43),G1403*Q1403)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1403*(1-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1403*(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1403*(1-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1403*(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3">
        <f>IF(C1403,(H1403*N1403*IF(AND(Inputs!$B$38&lt;&gt;"pvp",Inputs!$B$43&gt;0),((Skills!G13*((R1403-1)*IF(Skills!H13&gt;0,Skills!I13/Skills!H13,1)+IF(Skills!H13&gt;0,MIN(Skills!I13,MAX(0,MAX(0,Inputs!$B$43-B1428)-((R1403-1)*(IF(Inputs!$B$38="pvp",15,MAX(0.1,Skills!E13-IF(Skills!F13=TRUE,Inputs!$B$32,0)))*(1-IF(AND(ArtifactsInput!$M$27,Inputs!$B$4="Chapter Hunt"),CHOOSE(ArtifactsInput!$N$27+1,20,24,28,32,36,40),0)/100)))))/Skills!H13,1)))/Inputs!$B$43),G1403*Q1403)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4">
      <c r="A1404">
        <f>Skills!A14</f>
        <v/>
      </c>
      <c r="B1404">
        <f>Skills!B14</f>
        <v/>
      </c>
      <c r="C1404">
        <f>Inputs!$B$3&gt;=113</f>
        <v/>
      </c>
      <c r="D1404">
        <f>IF(Skills!C14=1,60+Inputs!$B$25+Inputs!$B$29,IF(Skills!C14=2,90+Inputs!$B$26+Inputs!$B$29,IF(Skills!C14=3,120+Inputs!$B$27+Inputs!$B$29,MAX(0,(Inputs!$B$3-100)*3)+Inputs!$B$28+Inputs!$B$29)))</f>
        <v/>
      </c>
      <c r="E1404">
        <f>INDEX(FactorTable!$B$2:$Y$301, MATCH(ROUND(MIN(300,MAX(1,D1404)),0), FactorTable!$A$2:$A$301,0), Skills!M14+1)</f>
        <v/>
      </c>
      <c r="F1404">
        <f>IF(Skills!N14=TRUE,(Skills!L14/10)*(E1404/1000),Skills!L14/10)+Skills!O14</f>
        <v/>
      </c>
      <c r="G1404">
        <f>Calc!G14</f>
        <v/>
      </c>
      <c r="H1404">
        <f>Calc!H14</f>
        <v/>
      </c>
      <c r="I1404">
        <f>IF(Skills!X14&lt;&gt;"",1+(Skills!X14/10)*(Z1393/1000)/100,1)</f>
        <v/>
      </c>
      <c r="J1404">
        <f>((Inputs!$B$6*(1+Inputs!$B$7/100))+(((Inputs!$B$12*(1+Inputs!$B$13/100))-(Inputs!$B$12*(1+Inputs!$B$13/100)))+0.25*(Inputs!$B$14-Inputs!$B$14))*(1+Inputs!$B$7/100))*(F1404/100)</f>
        <v/>
      </c>
      <c r="K1404">
        <f>J1404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1404)</f>
        <v/>
      </c>
      <c r="L1404">
        <f>K1404*(MIN(Inputs!$B$22+(F1412-Calc!F22),(Inputs!$B$23+(IF(ArtifactsInput!$M$15,CHOOSE(ArtifactsInput!$N$15+1,25,30,35,40,45,50)/100*(Inputs!$B$11-Inputs!$B$11),0))))/100+(Inputs!$B$23+(IF(ArtifactsInput!$M$15,CHOOSE(ArtifactsInput!$N$15+1,25,30,35,40,45,50)/100*(Inputs!$B$11-Inputs!$B$11),0)))/100)/2</f>
        <v/>
      </c>
      <c r="M1404">
        <f>L1404*(1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4">
        <f>L1404*(1-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1404*(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4">
        <f>(1-Summary!$B$11)*S1404+Summary!$B$11*U1404</f>
        <v/>
      </c>
      <c r="P1404">
        <f>IF(B1431=0,0,O1404/B1431)</f>
        <v/>
      </c>
      <c r="Q1404">
        <f>IFERROR(1/(IF(Inputs!$B$38="pvp",15,MAX(0.1,Skills!E14-IF(Skills!F14=TRUE,Inputs!$B$32,0)))*(1-IF(AND(ArtifactsInput!$M$27,Inputs!$B$4="Chapter Hunt"),CHOOSE(ArtifactsInput!$N$27+1,20,24,28,32,36,40),0)/100)),0)</f>
        <v/>
      </c>
      <c r="R1404" t="n">
        <v>0</v>
      </c>
      <c r="S1404">
        <f>IF(C1404,((H1404*B1427)/(1+Skills!H14*H1404*B1427)*N1404)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1404*(1-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1404*(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1404*(1-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1404*(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4">
        <f>IF(C1404,((H1404*B1427)/(1+Skills!H14*H1404*B1427)*N1404)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5">
      <c r="A1405">
        <f>Skills!A15</f>
        <v/>
      </c>
      <c r="B1405">
        <f>Skills!B15</f>
        <v/>
      </c>
      <c r="C1405">
        <f>Inputs!$B$3&gt;=107</f>
        <v/>
      </c>
      <c r="D1405">
        <f>IF(Skills!C15=1,60+Inputs!$B$25+Inputs!$B$29,IF(Skills!C15=2,90+Inputs!$B$26+Inputs!$B$29,IF(Skills!C15=3,120+Inputs!$B$27+Inputs!$B$29,MAX(0,(Inputs!$B$3-100)*3)+Inputs!$B$28+Inputs!$B$29)))</f>
        <v/>
      </c>
      <c r="E1405">
        <f>INDEX(FactorTable!$B$2:$Y$301, MATCH(ROUND(MIN(300,MAX(1,D1405)),0), FactorTable!$A$2:$A$301,0), Skills!M15+1)</f>
        <v/>
      </c>
      <c r="F1405">
        <f>IF(Skills!N15=TRUE,(Skills!L15/10)*(E1405/1000),Skills!L15/10)+Skills!O15</f>
        <v/>
      </c>
      <c r="G1405">
        <f>Calc!G15</f>
        <v/>
      </c>
      <c r="H1405">
        <f>Calc!H15</f>
        <v/>
      </c>
      <c r="I1405">
        <f>IF(Skills!X15&lt;&gt;"",1+(Skills!X15/10)*(Z1393/1000)/100,1)</f>
        <v/>
      </c>
      <c r="J1405">
        <f>((Inputs!$B$6*(1+Inputs!$B$7/100))+(((Inputs!$B$12*(1+Inputs!$B$13/100))-(Inputs!$B$12*(1+Inputs!$B$13/100)))+0.25*(Inputs!$B$14-Inputs!$B$14))*(1+Inputs!$B$7/100))*(F1405/100)</f>
        <v/>
      </c>
      <c r="K1405">
        <f>J1405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1405)</f>
        <v/>
      </c>
      <c r="L1405">
        <f>K1405*(MIN(Inputs!$B$22+(F1412-Calc!F22),(Inputs!$B$23+(IF(ArtifactsInput!$M$15,CHOOSE(ArtifactsInput!$N$15+1,25,30,35,40,45,50)/100*(Inputs!$B$11-Inputs!$B$11),0))))/100+(Inputs!$B$23+(IF(ArtifactsInput!$M$15,CHOOSE(ArtifactsInput!$N$15+1,25,30,35,40,45,50)/100*(Inputs!$B$11-Inputs!$B$11),0)))/100)/2</f>
        <v/>
      </c>
      <c r="M1405">
        <f>L1405*(1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5">
        <f>L1405*(1-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1405*(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5">
        <f>(1-Summary!$B$11)*S1405+Summary!$B$11*U1405</f>
        <v/>
      </c>
      <c r="P1405">
        <f>IF(B1431=0,0,O1405/B1431)</f>
        <v/>
      </c>
      <c r="Q1405">
        <f>IFERROR(1/(IF(Inputs!$B$38="pvp",15,MAX(0.1,Skills!E15-IF(Skills!F15=TRUE,Inputs!$B$32,0)))*(1-IF(AND(ArtifactsInput!$M$27,Inputs!$B$4="Chapter Hunt"),CHOOSE(ArtifactsInput!$N$27+1,20,24,28,32,36,40),0)/100)),0)</f>
        <v/>
      </c>
      <c r="R1405">
        <f>IF(AND(Inputs!$B$38&lt;&gt;"pvp",Inputs!$B$43&gt;0),IF(MAX(0,Inputs!$B$43-B1428)&lt;=0,0,(INT(MAX(0,Inputs!$B$43-B1428)/(IF(Inputs!$B$38="pvp",15,MAX(0.1,Skills!E15-IF(Skills!F15=TRUE,Inputs!$B$32,0)))*(1-IF(AND(ArtifactsInput!$M$27,Inputs!$B$4="Chapter Hunt"),CHOOSE(ArtifactsInput!$N$27+1,20,24,28,32,36,40),0)/100)))+1)),0)</f>
        <v/>
      </c>
      <c r="S1405">
        <f>IF(C1405,(H1405*N1405*IF(AND(Inputs!$B$38&lt;&gt;"pvp",Inputs!$B$43&gt;0),((Skills!G15*((R1405-1)*IF(Skills!H15&gt;0,Skills!I15/Skills!H15,1)+IF(Skills!H15&gt;0,MIN(Skills!I15,MAX(0,MAX(0,Inputs!$B$43-B1428)-((R1405-1)*(IF(Inputs!$B$38="pvp",15,MAX(0.1,Skills!E15-IF(Skills!F15=TRUE,Inputs!$B$32,0)))*(1-IF(AND(ArtifactsInput!$M$27,Inputs!$B$4="Chapter Hunt"),CHOOSE(ArtifactsInput!$N$27+1,20,24,28,32,36,40),0)/100)))))/Skills!H15,1)))/Inputs!$B$43),G1405*Q1405)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1405*(1-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1405*(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1405*(1-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1405*(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5">
        <f>IF(C1405,(H1405*N1405*IF(AND(Inputs!$B$38&lt;&gt;"pvp",Inputs!$B$43&gt;0),((Skills!G15*((R1405-1)*IF(Skills!H15&gt;0,Skills!I15/Skills!H15,1)+IF(Skills!H15&gt;0,MIN(Skills!I15,MAX(0,MAX(0,Inputs!$B$43-B1428)-((R1405-1)*(IF(Inputs!$B$38="pvp",15,MAX(0.1,Skills!E15-IF(Skills!F15=TRUE,Inputs!$B$32,0)))*(1-IF(AND(ArtifactsInput!$M$27,Inputs!$B$4="Chapter Hunt"),CHOOSE(ArtifactsInput!$N$27+1,20,24,28,32,36,40),0)/100)))))/Skills!H15,1)))/Inputs!$B$43),G1405*Q1405)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6">
      <c r="A1406">
        <f>Skills!A16</f>
        <v/>
      </c>
      <c r="B1406">
        <f>Skills!B16</f>
        <v/>
      </c>
      <c r="C1406">
        <f>Inputs!$B$3&gt;=107</f>
        <v/>
      </c>
      <c r="D1406">
        <f>IF(Skills!C16=1,60+Inputs!$B$25+Inputs!$B$29,IF(Skills!C16=2,90+Inputs!$B$26+Inputs!$B$29,IF(Skills!C16=3,120+Inputs!$B$27+Inputs!$B$29,MAX(0,(Inputs!$B$3-100)*3)+Inputs!$B$28+Inputs!$B$29)))</f>
        <v/>
      </c>
      <c r="E1406">
        <f>INDEX(FactorTable!$B$2:$Y$301, MATCH(ROUND(MIN(300,MAX(1,D1406)),0), FactorTable!$A$2:$A$301,0), Skills!M16+1)</f>
        <v/>
      </c>
      <c r="F1406">
        <f>IF(Skills!N16=TRUE,(Skills!L16/10)*(E1406/1000),Skills!L16/10)+Skills!O16</f>
        <v/>
      </c>
      <c r="G1406">
        <f>Calc!G16</f>
        <v/>
      </c>
      <c r="H1406">
        <f>Calc!H16</f>
        <v/>
      </c>
      <c r="I1406">
        <f>IF(Skills!X16&lt;&gt;"",1+(Skills!X16/10)*(Z1393/1000)/100,1)</f>
        <v/>
      </c>
      <c r="J1406">
        <f>((Inputs!$B$6*(1+Inputs!$B$7/100))+(((Inputs!$B$12*(1+Inputs!$B$13/100))-(Inputs!$B$12*(1+Inputs!$B$13/100)))+0.25*(Inputs!$B$14-Inputs!$B$14))*(1+Inputs!$B$7/100))*(F1406/100)</f>
        <v/>
      </c>
      <c r="K1406">
        <f>J1406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1406)</f>
        <v/>
      </c>
      <c r="L1406">
        <f>K1406*(MIN(Inputs!$B$22+(F1412-Calc!F22),(Inputs!$B$23+(IF(ArtifactsInput!$M$15,CHOOSE(ArtifactsInput!$N$15+1,25,30,35,40,45,50)/100*(Inputs!$B$11-Inputs!$B$11),0))))/100+(Inputs!$B$23+(IF(ArtifactsInput!$M$15,CHOOSE(ArtifactsInput!$N$15+1,25,30,35,40,45,50)/100*(Inputs!$B$11-Inputs!$B$11),0)))/100)/2</f>
        <v/>
      </c>
      <c r="M1406">
        <f>L1406*(1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6">
        <f>L1406*(1-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1406*(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6">
        <f>(1-Summary!$B$11)*S1406+Summary!$B$11*U1406</f>
        <v/>
      </c>
      <c r="P1406">
        <f>IF(B1431=0,0,O1406/B1431)</f>
        <v/>
      </c>
      <c r="Q1406">
        <f>IFERROR(1/(IF(Inputs!$B$38="pvp",15,MAX(0.1,Skills!E16-IF(Skills!F16=TRUE,Inputs!$B$32,0)))*(1-IF(AND(ArtifactsInput!$M$27,Inputs!$B$4="Chapter Hunt"),CHOOSE(ArtifactsInput!$N$27+1,20,24,28,32,36,40),0)/100)),0)</f>
        <v/>
      </c>
      <c r="R1406">
        <f>IF(AND(Inputs!$B$38&lt;&gt;"pvp",Inputs!$B$43&gt;0),IF(MAX(0,Inputs!$B$43-B1428)&lt;=0,0,(INT(MAX(0,Inputs!$B$43-B1428)/(IF(Inputs!$B$38="pvp",15,MAX(0.1,Skills!E16-IF(Skills!F16=TRUE,Inputs!$B$32,0)))*(1-IF(AND(ArtifactsInput!$M$27,Inputs!$B$4="Chapter Hunt"),CHOOSE(ArtifactsInput!$N$27+1,20,24,28,32,36,40),0)/100)))+1)),0)</f>
        <v/>
      </c>
      <c r="S1406">
        <f>IF(C1406,(H1406*N1406*IF(AND(Inputs!$B$38&lt;&gt;"pvp",Inputs!$B$43&gt;0),((Skills!G16*((R1406-1)*IF(Skills!H16&gt;0,Skills!I16/Skills!H16,1)+IF(Skills!H16&gt;0,MIN(Skills!I16,MAX(0,MAX(0,Inputs!$B$43-B1428)-((R1406-1)*(IF(Inputs!$B$38="pvp",15,MAX(0.1,Skills!E16-IF(Skills!F16=TRUE,Inputs!$B$32,0)))*(1-IF(AND(ArtifactsInput!$M$27,Inputs!$B$4="Chapter Hunt"),CHOOSE(ArtifactsInput!$N$27+1,20,24,28,32,36,40),0)/100)))))/Skills!H16,1)))/Inputs!$B$43),G1406*Q1406)*(1+IF(Inputs!$B$3&gt;=126,0.05*(B1426+Q1403+(H1404*B1427)/(1+Skills!H14*H1404*B1427)+Q1414)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1406*(1-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1406*(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1406*(1-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1406*(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06">
        <f>IF(C1406,(H1406*N1406*IF(AND(Inputs!$B$38&lt;&gt;"pvp",Inputs!$B$43&gt;0),((Skills!G16*((R1406-1)*IF(Skills!H16&gt;0,Skills!I16/Skills!H16,1)+IF(Skills!H16&gt;0,MIN(Skills!I16,MAX(0,MAX(0,Inputs!$B$43-B1428)-((R1406-1)*(IF(Inputs!$B$38="pvp",15,MAX(0.1,Skills!E16-IF(Skills!F16=TRUE,Inputs!$B$32,0)))*(1-IF(AND(ArtifactsInput!$M$27,Inputs!$B$4="Chapter Hunt"),CHOOSE(ArtifactsInput!$N$27+1,20,24,28,32,36,40),0)/100)))))/Skills!H16,1)))/Inputs!$B$43),G1406*Q1406)*(1+IF(Inputs!$B$3&gt;=126,0.05*(B1426+Q1403+(H1404*B1427)/(1+Skills!H14*H1404*B1427)+Q1414)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7">
      <c r="A1407">
        <f>Skills!A17</f>
        <v/>
      </c>
      <c r="B1407">
        <f>Skills!B17</f>
        <v/>
      </c>
      <c r="C1407">
        <f>TRUE</f>
        <v/>
      </c>
      <c r="D1407">
        <f>IF(Skills!C17=1,60+Inputs!$B$25+Inputs!$B$29,IF(Skills!C17=2,90+Inputs!$B$26+Inputs!$B$29,IF(Skills!C17=3,120+Inputs!$B$27+Inputs!$B$29,MAX(0,(Inputs!$B$3-100)*3)+Inputs!$B$28+Inputs!$B$29)))</f>
        <v/>
      </c>
      <c r="E1407">
        <f>INDEX(FactorTable!$B$2:$Y$301, MATCH(ROUND(MIN(300,MAX(1,D1407)),0), FactorTable!$A$2:$A$301,0), Skills!M17+1)</f>
        <v/>
      </c>
      <c r="F1407">
        <f>IF(Skills!N17=TRUE,(Skills!L17/10)*(E1407/1000),Skills!L17/10)+Skills!O17</f>
        <v/>
      </c>
      <c r="G1407">
        <f>Calc!G17</f>
        <v/>
      </c>
      <c r="H1407">
        <f>Calc!H17</f>
        <v/>
      </c>
      <c r="I1407">
        <f>IF(Skills!X17&lt;&gt;"",1+(Skills!X17/10)*(Z1393/1000)/100,1)</f>
        <v/>
      </c>
      <c r="J1407" t="inlineStr"/>
      <c r="K1407" t="inlineStr"/>
      <c r="L1407" t="inlineStr"/>
      <c r="M1407" t="inlineStr"/>
      <c r="N1407" t="inlineStr"/>
      <c r="O1407">
        <f>(1-Summary!$B$11)*S1407+Summary!$B$11*U1407</f>
        <v/>
      </c>
      <c r="P1407">
        <f>IF(B1431=0,0,O1407/B1431)</f>
        <v/>
      </c>
      <c r="Q1407">
        <f>IFERROR(1/(IF(Inputs!$B$38="pvp",15,MAX(0.1,Skills!E17-IF(Skills!F17=TRUE,Inputs!$B$32,0)))*(1-IF(AND(ArtifactsInput!$M$27,Inputs!$B$4="Chapter Hunt"),CHOOSE(ArtifactsInput!$N$27+1,20,24,28,32,36,40),0)/100)),0)</f>
        <v/>
      </c>
      <c r="R1407">
        <f>IF(AND(Inputs!$B$38&lt;&gt;"pvp",Inputs!$B$43&gt;0),IF(Inputs!$B$43&lt;=0,0,(INT(Inputs!$B$43/(IF(Inputs!$B$38="pvp",15,MAX(0.1,Skills!E17-IF(Skills!F17=TRUE,Inputs!$B$32,0)))*(1-IF(AND(ArtifactsInput!$M$27,Inputs!$B$4="Chapter Hunt"),CHOOSE(ArtifactsInput!$N$27+1,20,24,28,32,36,40),0)/100)))+1)),0)</f>
        <v/>
      </c>
      <c r="S1407" t="n">
        <v>0</v>
      </c>
      <c r="U1407" t="n">
        <v>0</v>
      </c>
    </row>
    <row r="1408">
      <c r="A1408">
        <f>Skills!A18</f>
        <v/>
      </c>
      <c r="B1408">
        <f>Skills!B18</f>
        <v/>
      </c>
      <c r="C1408">
        <f>TRUE</f>
        <v/>
      </c>
      <c r="D1408">
        <f>IF(Skills!C18=1,60+Inputs!$B$25+Inputs!$B$29,IF(Skills!C18=2,90+Inputs!$B$26+Inputs!$B$29,IF(Skills!C18=3,120+Inputs!$B$27+Inputs!$B$29,MAX(0,(Inputs!$B$3-100)*3)+Inputs!$B$28+Inputs!$B$29)))</f>
        <v/>
      </c>
      <c r="E1408">
        <f>INDEX(FactorTable!$B$2:$Y$301, MATCH(ROUND(MIN(300,MAX(1,D1408)),0), FactorTable!$A$2:$A$301,0), Skills!M18+1)</f>
        <v/>
      </c>
      <c r="F1408">
        <f>IF(Skills!N18=TRUE,(Skills!L18/10)*(E1408/1000),Skills!L18/10)+Skills!O18</f>
        <v/>
      </c>
      <c r="G1408">
        <f>Calc!G18</f>
        <v/>
      </c>
      <c r="H1408">
        <f>Calc!H18</f>
        <v/>
      </c>
      <c r="I1408">
        <f>IF(Skills!X18&lt;&gt;"",1+(Skills!X18/10)*(Z1393/1000)/100,1)</f>
        <v/>
      </c>
      <c r="J1408" t="inlineStr"/>
      <c r="K1408" t="inlineStr"/>
      <c r="L1408" t="inlineStr"/>
      <c r="M1408" t="inlineStr"/>
      <c r="N1408" t="inlineStr"/>
      <c r="O1408">
        <f>(1-Summary!$B$11)*S1408+Summary!$B$11*U1408</f>
        <v/>
      </c>
      <c r="P1408">
        <f>IF(B1431=0,0,O1408/B1431)</f>
        <v/>
      </c>
      <c r="Q1408">
        <f>IFERROR(1/(IF(Inputs!$B$38="pvp",15,MAX(0.1,Skills!E18-IF(Skills!F18=TRUE,Inputs!$B$32,0)))*(1-IF(AND(ArtifactsInput!$M$27,Inputs!$B$4="Chapter Hunt"),CHOOSE(ArtifactsInput!$N$27+1,20,24,28,32,36,40),0)/100)),0)</f>
        <v/>
      </c>
      <c r="R1408">
        <f>IF(AND(Inputs!$B$38&lt;&gt;"pvp",Inputs!$B$43&gt;0),IF(Inputs!$B$43&lt;=0,0,(INT(Inputs!$B$43/(IF(Inputs!$B$38="pvp",15,MAX(0.1,Skills!E18-IF(Skills!F18=TRUE,Inputs!$B$32,0)))*(1-IF(AND(ArtifactsInput!$M$27,Inputs!$B$4="Chapter Hunt"),CHOOSE(ArtifactsInput!$N$27+1,20,24,28,32,36,40),0)/100)))+1)),0)</f>
        <v/>
      </c>
      <c r="S1408" t="n">
        <v>0</v>
      </c>
      <c r="U1408" t="n">
        <v>0</v>
      </c>
    </row>
    <row r="1409">
      <c r="A1409">
        <f>Skills!A19</f>
        <v/>
      </c>
      <c r="B1409">
        <f>Skills!B19</f>
        <v/>
      </c>
      <c r="C1409">
        <f>Inputs!$B$3&gt;=110</f>
        <v/>
      </c>
      <c r="D1409">
        <f>IF(Skills!C19=1,60+Inputs!$B$25+Inputs!$B$29,IF(Skills!C19=2,90+Inputs!$B$26+Inputs!$B$29,IF(Skills!C19=3,120+Inputs!$B$27+Inputs!$B$29,MAX(0,(Inputs!$B$3-100)*3)+Inputs!$B$28+Inputs!$B$29)))</f>
        <v/>
      </c>
      <c r="E1409">
        <f>INDEX(FactorTable!$B$2:$Y$301, MATCH(ROUND(MIN(300,MAX(1,D1409)),0), FactorTable!$A$2:$A$301,0), Skills!M19+1)</f>
        <v/>
      </c>
      <c r="F1409">
        <f>IF(Skills!N19=TRUE,(Skills!L19/10)*(E1409/1000),Skills!L19/10)+Skills!O19</f>
        <v/>
      </c>
      <c r="G1409">
        <f>Calc!G19</f>
        <v/>
      </c>
      <c r="H1409">
        <f>Calc!H19</f>
        <v/>
      </c>
      <c r="I1409">
        <f>IF(Skills!X19&lt;&gt;"",1+(Skills!X19/10)*(Z1393/1000)/100,1)</f>
        <v/>
      </c>
      <c r="J1409" t="inlineStr"/>
      <c r="K1409" t="inlineStr"/>
      <c r="L1409" t="inlineStr"/>
      <c r="M1409" t="inlineStr"/>
      <c r="N1409" t="inlineStr"/>
      <c r="O1409">
        <f>(1-Summary!$B$11)*S1409+Summary!$B$11*U1409</f>
        <v/>
      </c>
      <c r="P1409">
        <f>IF(B1431=0,0,O1409/B1431)</f>
        <v/>
      </c>
      <c r="Q1409">
        <f>IFERROR(1/(IF(Inputs!$B$38="pvp",15,MAX(0.1,Skills!E19-IF(Skills!F19=TRUE,Inputs!$B$32,0)))*(1-IF(AND(ArtifactsInput!$M$27,Inputs!$B$4="Chapter Hunt"),CHOOSE(ArtifactsInput!$N$27+1,20,24,28,32,36,40),0)/100)),0)</f>
        <v/>
      </c>
      <c r="R1409">
        <f>IF(AND(Inputs!$B$38&lt;&gt;"pvp",Inputs!$B$43&gt;0),IF(Inputs!$B$43&lt;=0,0,(INT(Inputs!$B$43/(IF(Inputs!$B$38="pvp",15,MAX(0.1,Skills!E19-IF(Skills!F19=TRUE,Inputs!$B$32,0)))*(1-IF(AND(ArtifactsInput!$M$27,Inputs!$B$4="Chapter Hunt"),CHOOSE(ArtifactsInput!$N$27+1,20,24,28,32,36,40),0)/100)))+1)),0)</f>
        <v/>
      </c>
      <c r="S1409" t="n">
        <v>0</v>
      </c>
      <c r="U1409" t="n">
        <v>0</v>
      </c>
    </row>
    <row r="1410">
      <c r="A1410">
        <f>Skills!A20</f>
        <v/>
      </c>
      <c r="B1410">
        <f>Skills!B20</f>
        <v/>
      </c>
      <c r="C1410">
        <f>TRUE</f>
        <v/>
      </c>
      <c r="D1410">
        <f>IF(Skills!C20=1,60+Inputs!$B$25+Inputs!$B$29,IF(Skills!C20=2,90+Inputs!$B$26+Inputs!$B$29,IF(Skills!C20=3,120+Inputs!$B$27+Inputs!$B$29,MAX(0,(Inputs!$B$3-100)*3)+Inputs!$B$28+Inputs!$B$29)))</f>
        <v/>
      </c>
      <c r="E1410">
        <f>INDEX(FactorTable!$B$2:$Y$301, MATCH(ROUND(MIN(300,MAX(1,D1410)),0), FactorTable!$A$2:$A$301,0), Skills!M20+1)</f>
        <v/>
      </c>
      <c r="F1410">
        <f>IF(Skills!N20=TRUE,(Skills!L20/10)*(E1410/1000),Skills!L20/10)+Skills!O20</f>
        <v/>
      </c>
      <c r="G1410">
        <f>Calc!G20</f>
        <v/>
      </c>
      <c r="H1410">
        <f>Calc!H20</f>
        <v/>
      </c>
      <c r="I1410">
        <f>IF(Skills!X20&lt;&gt;"",1+(Skills!X20/10)*(Z1393/1000)/100,1)</f>
        <v/>
      </c>
      <c r="J1410" t="inlineStr"/>
      <c r="K1410" t="inlineStr"/>
      <c r="L1410" t="inlineStr"/>
      <c r="M1410" t="inlineStr"/>
      <c r="N1410" t="inlineStr"/>
      <c r="O1410">
        <f>(1-Summary!$B$11)*S1410+Summary!$B$11*U1410</f>
        <v/>
      </c>
      <c r="P1410">
        <f>IF(B1431=0,0,O1410/B1431)</f>
        <v/>
      </c>
      <c r="Q1410">
        <f>IFERROR(1/(IF(Inputs!$B$38="pvp",15,MAX(0.1,Skills!E20-IF(Skills!F20=TRUE,Inputs!$B$32,0)))*(1-IF(AND(ArtifactsInput!$M$27,Inputs!$B$4="Chapter Hunt"),CHOOSE(ArtifactsInput!$N$27+1,20,24,28,32,36,40),0)/100)),0)</f>
        <v/>
      </c>
      <c r="R1410" t="n">
        <v>0</v>
      </c>
      <c r="S1410" t="n">
        <v>0</v>
      </c>
      <c r="U1410" t="n">
        <v>0</v>
      </c>
    </row>
    <row r="1411">
      <c r="A1411">
        <f>Skills!A21</f>
        <v/>
      </c>
      <c r="B1411">
        <f>Skills!B21</f>
        <v/>
      </c>
      <c r="C1411">
        <f>TRUE</f>
        <v/>
      </c>
      <c r="D1411">
        <f>IF(Skills!C21=1,60+Inputs!$B$25+Inputs!$B$29,IF(Skills!C21=2,90+Inputs!$B$26+Inputs!$B$29,IF(Skills!C21=3,120+Inputs!$B$27+Inputs!$B$29,MAX(0,(Inputs!$B$3-100)*3)+Inputs!$B$28+Inputs!$B$29)))</f>
        <v/>
      </c>
      <c r="E1411">
        <f>INDEX(FactorTable!$B$2:$Y$301, MATCH(ROUND(MIN(300,MAX(1,D1411)),0), FactorTable!$A$2:$A$301,0), Skills!M21+1)</f>
        <v/>
      </c>
      <c r="F1411">
        <f>IF(Skills!N21=TRUE,(Skills!L21/10)*(E1411/1000),Skills!L21/10)+Skills!O21</f>
        <v/>
      </c>
      <c r="G1411">
        <f>Calc!G21</f>
        <v/>
      </c>
      <c r="H1411">
        <f>Calc!H21</f>
        <v/>
      </c>
      <c r="I1411">
        <f>IF(Skills!X21&lt;&gt;"",1+(Skills!X21/10)*(Z1393/1000)/100,1)</f>
        <v/>
      </c>
      <c r="J1411" t="inlineStr"/>
      <c r="K1411" t="inlineStr"/>
      <c r="L1411" t="inlineStr"/>
      <c r="M1411" t="inlineStr"/>
      <c r="N1411" t="inlineStr"/>
      <c r="O1411">
        <f>(1-Summary!$B$11)*S1411+Summary!$B$11*U1411</f>
        <v/>
      </c>
      <c r="P1411">
        <f>IF(B1431=0,0,O1411/B1431)</f>
        <v/>
      </c>
      <c r="Q1411">
        <f>IFERROR(1/(IF(Inputs!$B$38="pvp",15,MAX(0.1,Skills!E21-IF(Skills!F21=TRUE,Inputs!$B$32,0)))*(1-IF(AND(ArtifactsInput!$M$27,Inputs!$B$4="Chapter Hunt"),CHOOSE(ArtifactsInput!$N$27+1,20,24,28,32,36,40),0)/100)),0)</f>
        <v/>
      </c>
      <c r="R1411" t="n">
        <v>0</v>
      </c>
      <c r="S1411" t="n">
        <v>0</v>
      </c>
      <c r="U1411" t="n">
        <v>0</v>
      </c>
    </row>
    <row r="1412">
      <c r="A1412">
        <f>Skills!A22</f>
        <v/>
      </c>
      <c r="B1412">
        <f>Skills!B22</f>
        <v/>
      </c>
      <c r="C1412">
        <f>TRUE</f>
        <v/>
      </c>
      <c r="D1412">
        <f>IF(Skills!C22=1,60+Inputs!$B$25+Inputs!$B$29,IF(Skills!C22=2,90+Inputs!$B$26+Inputs!$B$29,IF(Skills!C22=3,120+Inputs!$B$27+Inputs!$B$29,MAX(0,(Inputs!$B$3-100)*3)+Inputs!$B$28+Inputs!$B$29)))</f>
        <v/>
      </c>
      <c r="E1412">
        <f>INDEX(FactorTable!$B$2:$Y$301, MATCH(ROUND(MIN(300,MAX(1,D1412)),0), FactorTable!$A$2:$A$301,0), Skills!M22+1)</f>
        <v/>
      </c>
      <c r="F1412">
        <f>IF(Skills!N22=TRUE,(Skills!L22/10)*(E1412/1000),Skills!L22/10)+Skills!O22</f>
        <v/>
      </c>
      <c r="G1412">
        <f>Calc!G22</f>
        <v/>
      </c>
      <c r="H1412">
        <f>Calc!H22</f>
        <v/>
      </c>
      <c r="I1412">
        <f>IF(Skills!X22&lt;&gt;"",1+(Skills!X22/10)*(Z1393/1000)/100,1)</f>
        <v/>
      </c>
      <c r="J1412" t="inlineStr"/>
      <c r="K1412" t="inlineStr"/>
      <c r="L1412" t="inlineStr"/>
      <c r="M1412" t="inlineStr"/>
      <c r="N1412" t="inlineStr"/>
      <c r="O1412">
        <f>(1-Summary!$B$11)*S1412+Summary!$B$11*U1412</f>
        <v/>
      </c>
      <c r="P1412">
        <f>IF(B1431=0,0,O1412/B1431)</f>
        <v/>
      </c>
      <c r="Q1412">
        <f>IFERROR(1/(IF(Inputs!$B$38="pvp",15,MAX(0.1,Skills!E22-IF(Skills!F22=TRUE,Inputs!$B$32,0)))*(1-IF(AND(ArtifactsInput!$M$27,Inputs!$B$4="Chapter Hunt"),CHOOSE(ArtifactsInput!$N$27+1,20,24,28,32,36,40),0)/100)),0)</f>
        <v/>
      </c>
      <c r="R1412" t="n">
        <v>0</v>
      </c>
      <c r="S1412" t="n">
        <v>0</v>
      </c>
      <c r="U1412" t="n">
        <v>0</v>
      </c>
    </row>
    <row r="1413">
      <c r="A1413">
        <f>Skills!A23</f>
        <v/>
      </c>
      <c r="B1413">
        <f>Skills!B23</f>
        <v/>
      </c>
      <c r="C1413">
        <f>TRUE</f>
        <v/>
      </c>
      <c r="D1413">
        <f>IF(Skills!C23=1,60+Inputs!$B$25+Inputs!$B$29,IF(Skills!C23=2,90+Inputs!$B$26+Inputs!$B$29,IF(Skills!C23=3,120+Inputs!$B$27+Inputs!$B$29,MAX(0,(Inputs!$B$3-100)*3)+Inputs!$B$28+Inputs!$B$29)))</f>
        <v/>
      </c>
      <c r="E1413">
        <f>INDEX(FactorTable!$B$2:$Y$301, MATCH(ROUND(MIN(300,MAX(1,D1413)),0), FactorTable!$A$2:$A$301,0), Skills!M23+1)</f>
        <v/>
      </c>
      <c r="F1413">
        <f>IF(Skills!N23=TRUE,(Skills!L23/10)*(E1413/1000),Skills!L23/10)+Skills!O23</f>
        <v/>
      </c>
      <c r="G1413">
        <f>Calc!G23</f>
        <v/>
      </c>
      <c r="H1413">
        <f>Calc!H23</f>
        <v/>
      </c>
      <c r="I1413">
        <f>IF(Skills!X23&lt;&gt;"",1+(Skills!X23/10)*(Z1393/1000)/100,1)</f>
        <v/>
      </c>
      <c r="J1413" t="inlineStr"/>
      <c r="K1413" t="inlineStr"/>
      <c r="L1413" t="inlineStr"/>
      <c r="M1413" t="inlineStr"/>
      <c r="N1413" t="inlineStr"/>
      <c r="O1413">
        <f>(1-Summary!$B$11)*S1413+Summary!$B$11*U1413</f>
        <v/>
      </c>
      <c r="P1413">
        <f>IF(B1431=0,0,O1413/B1431)</f>
        <v/>
      </c>
      <c r="Q1413">
        <f>IFERROR(1/(IF(Inputs!$B$38="pvp",15,MAX(0.1,Skills!E23-IF(Skills!F23=TRUE,Inputs!$B$32,0)))*(1-IF(AND(ArtifactsInput!$M$27,Inputs!$B$4="Chapter Hunt"),CHOOSE(ArtifactsInput!$N$27+1,20,24,28,32,36,40),0)/100)),0)</f>
        <v/>
      </c>
      <c r="R1413" t="n">
        <v>0</v>
      </c>
      <c r="S1413" t="n">
        <v>0</v>
      </c>
      <c r="U1413" t="n">
        <v>0</v>
      </c>
    </row>
    <row r="1414">
      <c r="A1414">
        <f>Skills!A24</f>
        <v/>
      </c>
      <c r="B1414">
        <f>Skills!B24</f>
        <v/>
      </c>
      <c r="C1414">
        <f>Inputs!$B$3&gt;=115</f>
        <v/>
      </c>
      <c r="D1414">
        <f>IF(Skills!C24=1,60+Inputs!$B$25+Inputs!$B$29,IF(Skills!C24=2,90+Inputs!$B$26+Inputs!$B$29,IF(Skills!C24=3,120+Inputs!$B$27+Inputs!$B$29,MAX(0,(Inputs!$B$3-100)*3)+Inputs!$B$28+Inputs!$B$29)))</f>
        <v/>
      </c>
      <c r="E1414">
        <f>INDEX(FactorTable!$B$2:$Y$301, MATCH(ROUND(MIN(300,MAX(1,D1414)),0), FactorTable!$A$2:$A$301,0), Skills!M24+1)</f>
        <v/>
      </c>
      <c r="F1414">
        <f>IF(Skills!N24=TRUE,(Skills!L24/10)*(E1414/1000),Skills!L24/10)+Skills!O24</f>
        <v/>
      </c>
      <c r="G1414">
        <f>Calc!G24</f>
        <v/>
      </c>
      <c r="H1414">
        <f>Calc!H24</f>
        <v/>
      </c>
      <c r="I1414">
        <f>IF(Skills!X24&lt;&gt;"",1+(Skills!X24/10)*(Z1393/1000)/100,1)</f>
        <v/>
      </c>
      <c r="J1414">
        <f>((Inputs!$B$6*(1+Inputs!$B$7/100))+(((Inputs!$B$12*(1+Inputs!$B$13/100))-(Inputs!$B$12*(1+Inputs!$B$13/100)))+0.25*(Inputs!$B$14-Inputs!$B$14))*(1+Inputs!$B$7/100))*(F1414/100)</f>
        <v/>
      </c>
      <c r="K1414">
        <f>J1414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1414)</f>
        <v/>
      </c>
      <c r="L1414">
        <f>K1414*(MIN(Inputs!$B$22+(F1412-Calc!F22),(Inputs!$B$23+(IF(ArtifactsInput!$M$15,CHOOSE(ArtifactsInput!$N$15+1,25,30,35,40,45,50)/100*(Inputs!$B$11-Inputs!$B$11),0))))/100+(Inputs!$B$23+(IF(ArtifactsInput!$M$15,CHOOSE(ArtifactsInput!$N$15+1,25,30,35,40,45,50)/100*(Inputs!$B$11-Inputs!$B$11),0)))/100)/2</f>
        <v/>
      </c>
      <c r="M1414">
        <f>L1414*(1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4">
        <f>L1414*(1-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1414*(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4">
        <f>(1-Summary!$B$11)*S1414+Summary!$B$11*U1414</f>
        <v/>
      </c>
      <c r="P1414">
        <f>IF(B1431=0,0,O1414/B1431)</f>
        <v/>
      </c>
      <c r="Q1414">
        <f>IFERROR(1/(IF(Inputs!$B$38="pvp",15,MAX(0.1,Skills!E24-IF(Skills!F24=TRUE,Inputs!$B$32,0)))*(1-IF(AND(ArtifactsInput!$M$27,Inputs!$B$4="Chapter Hunt"),CHOOSE(ArtifactsInput!$N$27+1,20,24,28,32,36,40),0)/100)),0)</f>
        <v/>
      </c>
      <c r="R1414">
        <f>IF(AND(Inputs!$B$38&lt;&gt;"pvp",Inputs!$B$43&gt;0),IF(MAX(0,Inputs!$B$43-B1428)&lt;=0,0,(INT(MAX(0,Inputs!$B$43-B1428)/(IF(Inputs!$B$38="pvp",15,MAX(0.1,Skills!E24-IF(Skills!F24=TRUE,Inputs!$B$32,0)))*(1-IF(AND(ArtifactsInput!$M$27,Inputs!$B$4="Chapter Hunt"),CHOOSE(ArtifactsInput!$N$27+1,20,24,28,32,36,40),0)/100)))+1)),0)</f>
        <v/>
      </c>
      <c r="S1414">
        <f>IF(C1414,(H1414*N1414*IF(AND(Inputs!$B$38&lt;&gt;"pvp",Inputs!$B$43&gt;0),((Skills!G24*((R1414-1)*IF(Skills!H24&gt;0,Skills!I24/Skills!H24,1)+IF(Skills!H24&gt;0,MIN(Skills!I24,MAX(0,MAX(0,Inputs!$B$43-B1428)-((R1414-1)*(IF(Inputs!$B$38="pvp",15,MAX(0.1,Skills!E24-IF(Skills!F24=TRUE,Inputs!$B$32,0)))*(1-IF(AND(ArtifactsInput!$M$27,Inputs!$B$4="Chapter Hunt"),CHOOSE(ArtifactsInput!$N$27+1,20,24,28,32,36,40),0)/100)))))/Skills!H24,1)))/Inputs!$B$43),G1414*Q1414)*(1+IF(Inputs!$B$3&gt;=130,0.2*(Skills!I16/Skills!E15+IF(Inputs!$B$3&gt;=126,0.05*(B1426+Q1403+(H1404*B1427)/(1+Skills!H14*H1404*B1427)+Q1414)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1414*(1-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1414*(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1414*(1-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1414*(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14">
        <f>IF(C1414,(H1414*N1414*IF(AND(Inputs!$B$38&lt;&gt;"pvp",Inputs!$B$43&gt;0),((Skills!G24*((R1414-1)*IF(Skills!H24&gt;0,Skills!I24/Skills!H24,1)+IF(Skills!H24&gt;0,MIN(Skills!I24,MAX(0,MAX(0,Inputs!$B$43-B1428)-((R1414-1)*(IF(Inputs!$B$38="pvp",15,MAX(0.1,Skills!E24-IF(Skills!F24=TRUE,Inputs!$B$32,0)))*(1-IF(AND(ArtifactsInput!$M$27,Inputs!$B$4="Chapter Hunt"),CHOOSE(ArtifactsInput!$N$27+1,20,24,28,32,36,40),0)/100)))))/Skills!H24,1)))/Inputs!$B$43),G1414*Q1414)*(1+IF(Inputs!$B$3&gt;=130,0.2*(Skills!I16/Skills!E15+IF(Inputs!$B$3&gt;=126,0.05*(B1426+Q1403+(H1404*B1427)/(1+Skills!H14*H1404*B1427)+Q1414)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15">
      <c r="A1415">
        <f>Skills!A25</f>
        <v/>
      </c>
      <c r="B1415">
        <f>Skills!B25</f>
        <v/>
      </c>
      <c r="C1415">
        <f>Inputs!$B$3&gt;=117</f>
        <v/>
      </c>
      <c r="D1415">
        <f>IF(Skills!C25=1,60+Inputs!$B$25+Inputs!$B$29,IF(Skills!C25=2,90+Inputs!$B$26+Inputs!$B$29,IF(Skills!C25=3,120+Inputs!$B$27+Inputs!$B$29,MAX(0,(Inputs!$B$3-100)*3)+Inputs!$B$28+Inputs!$B$29)))</f>
        <v/>
      </c>
      <c r="E1415">
        <f>INDEX(FactorTable!$B$2:$Y$301, MATCH(ROUND(MIN(300,MAX(1,D1415)),0), FactorTable!$A$2:$A$301,0), Skills!M25+1)</f>
        <v/>
      </c>
      <c r="F1415">
        <f>IF(Skills!N25=TRUE,(Skills!L25/10)*(E1415/1000),Skills!L25/10)+Skills!O25</f>
        <v/>
      </c>
      <c r="G1415">
        <f>Calc!G25</f>
        <v/>
      </c>
      <c r="H1415">
        <f>Calc!H25</f>
        <v/>
      </c>
      <c r="I1415">
        <f>IF(Skills!X25&lt;&gt;"",1+(Skills!X25/10)*(Z1393/1000)/100,1)</f>
        <v/>
      </c>
      <c r="J1415" t="inlineStr"/>
      <c r="K1415" t="inlineStr"/>
      <c r="L1415" t="inlineStr"/>
      <c r="M1415" t="inlineStr"/>
      <c r="N1415" t="inlineStr"/>
      <c r="O1415">
        <f>(1-Summary!$B$11)*S1415+Summary!$B$11*U1415</f>
        <v/>
      </c>
      <c r="P1415">
        <f>IF(B1431=0,0,O1415/B1431)</f>
        <v/>
      </c>
      <c r="Q1415">
        <f>IFERROR(1/(IF(Inputs!$B$38="pvp",15,MAX(0.1,Skills!E25-IF(Skills!F25=TRUE,Inputs!$B$32,0)))*(1-IF(AND(ArtifactsInput!$M$27,Inputs!$B$4="Chapter Hunt"),CHOOSE(ArtifactsInput!$N$27+1,20,24,28,32,36,40),0)/100)),0)</f>
        <v/>
      </c>
      <c r="R1415" t="n">
        <v>0</v>
      </c>
      <c r="S1415" t="n">
        <v>0</v>
      </c>
      <c r="U1415" t="n">
        <v>0</v>
      </c>
    </row>
    <row r="1416">
      <c r="A1416">
        <f>Skills!A26</f>
        <v/>
      </c>
      <c r="B1416">
        <f>Skills!B26</f>
        <v/>
      </c>
      <c r="C1416">
        <f>Inputs!$B$3&gt;=120</f>
        <v/>
      </c>
      <c r="D1416">
        <f>IF(Skills!C26=1,60+Inputs!$B$25+Inputs!$B$29,IF(Skills!C26=2,90+Inputs!$B$26+Inputs!$B$29,IF(Skills!C26=3,120+Inputs!$B$27+Inputs!$B$29,MAX(0,(Inputs!$B$3-100)*3)+Inputs!$B$28+Inputs!$B$29)))</f>
        <v/>
      </c>
      <c r="E1416">
        <f>INDEX(FactorTable!$B$2:$Y$301, MATCH(ROUND(MIN(300,MAX(1,D1416)),0), FactorTable!$A$2:$A$301,0), Skills!M26+1)</f>
        <v/>
      </c>
      <c r="F1416">
        <f>IF(Skills!N26=TRUE,(Skills!L26/10)*(E1416/1000),Skills!L26/10)+Skills!O26</f>
        <v/>
      </c>
      <c r="G1416">
        <f>Calc!G26</f>
        <v/>
      </c>
      <c r="H1416">
        <f>Calc!H26</f>
        <v/>
      </c>
      <c r="I1416">
        <f>IF(Skills!X26&lt;&gt;"",1+(Skills!X26/10)*(Z1393/1000)/100,1)</f>
        <v/>
      </c>
      <c r="J1416" t="inlineStr"/>
      <c r="K1416" t="inlineStr"/>
      <c r="L1416" t="inlineStr"/>
      <c r="M1416" t="inlineStr"/>
      <c r="N1416" t="inlineStr"/>
      <c r="O1416">
        <f>(1-Summary!$B$11)*S1416+Summary!$B$11*U1416</f>
        <v/>
      </c>
      <c r="P1416">
        <f>IF(B1431=0,0,O1416/B1431)</f>
        <v/>
      </c>
      <c r="Q1416">
        <f>IFERROR(1/(IF(Inputs!$B$38="pvp",15,MAX(0.1,Skills!E26-IF(Skills!F26=TRUE,Inputs!$B$32,0)))*(1-IF(AND(ArtifactsInput!$M$27,Inputs!$B$4="Chapter Hunt"),CHOOSE(ArtifactsInput!$N$27+1,20,24,28,32,36,40),0)/100)),0)</f>
        <v/>
      </c>
      <c r="R1416" t="n">
        <v>0</v>
      </c>
      <c r="S1416" t="n">
        <v>0</v>
      </c>
      <c r="U1416" t="n">
        <v>0</v>
      </c>
    </row>
    <row r="1417">
      <c r="A1417">
        <f>Skills!A27</f>
        <v/>
      </c>
      <c r="B1417">
        <f>Skills!B27</f>
        <v/>
      </c>
      <c r="C1417">
        <f>Inputs!$B$3&gt;=125</f>
        <v/>
      </c>
      <c r="D1417">
        <f>IF(Skills!C27=1,60+Inputs!$B$25+Inputs!$B$29,IF(Skills!C27=2,90+Inputs!$B$26+Inputs!$B$29,IF(Skills!C27=3,120+Inputs!$B$27+Inputs!$B$29,MAX(0,(Inputs!$B$3-100)*3)+Inputs!$B$28+Inputs!$B$29)))</f>
        <v/>
      </c>
      <c r="E1417">
        <f>INDEX(FactorTable!$B$2:$Y$301, MATCH(ROUND(MIN(300,MAX(1,D1417)),0), FactorTable!$A$2:$A$301,0), Skills!M27+1)</f>
        <v/>
      </c>
      <c r="F1417">
        <f>IF(Skills!N27=TRUE,(Skills!L27/10)*(E1417/1000),Skills!L27/10)+Skills!O27</f>
        <v/>
      </c>
      <c r="G1417">
        <f>Calc!G27</f>
        <v/>
      </c>
      <c r="H1417">
        <f>Calc!H27</f>
        <v/>
      </c>
      <c r="I1417">
        <f>IF(Skills!X27&lt;&gt;"",1+(Skills!X27/10)*(Z1393/1000)/100,1)</f>
        <v/>
      </c>
      <c r="J1417" t="inlineStr"/>
      <c r="K1417" t="inlineStr"/>
      <c r="L1417" t="inlineStr"/>
      <c r="M1417" t="inlineStr"/>
      <c r="N1417" t="inlineStr"/>
      <c r="O1417">
        <f>(1-Summary!$B$11)*S1417+Summary!$B$11*U1417</f>
        <v/>
      </c>
      <c r="P1417">
        <f>IF(B1431=0,0,O1417/B1431)</f>
        <v/>
      </c>
      <c r="Q1417">
        <f>IFERROR(1/(IF(Inputs!$B$38="pvp",15,MAX(0.1,Skills!E27-IF(Skills!F27=TRUE,Inputs!$B$32,0)))*(1-IF(AND(ArtifactsInput!$M$27,Inputs!$B$4="Chapter Hunt"),CHOOSE(ArtifactsInput!$N$27+1,20,24,28,32,36,40),0)/100)),0)</f>
        <v/>
      </c>
      <c r="R1417" t="n">
        <v>0</v>
      </c>
      <c r="S1417" t="n">
        <v>0</v>
      </c>
      <c r="U1417" t="n">
        <v>0</v>
      </c>
    </row>
    <row r="1418">
      <c r="A1418">
        <f>Skills!A28</f>
        <v/>
      </c>
      <c r="B1418">
        <f>Skills!B28</f>
        <v/>
      </c>
      <c r="C1418">
        <f>Inputs!$B$3&gt;=118</f>
        <v/>
      </c>
      <c r="D1418">
        <f>IF(Skills!C28=1,60+Inputs!$B$25+Inputs!$B$29,IF(Skills!C28=2,90+Inputs!$B$26+Inputs!$B$29,IF(Skills!C28=3,120+Inputs!$B$27+Inputs!$B$29,MAX(0,(Inputs!$B$3-100)*3)+Inputs!$B$28+Inputs!$B$29)))</f>
        <v/>
      </c>
      <c r="E1418">
        <f>INDEX(FactorTable!$B$2:$Y$301, MATCH(ROUND(MIN(300,MAX(1,D1418)),0), FactorTable!$A$2:$A$301,0), Skills!M28+1)</f>
        <v/>
      </c>
      <c r="F1418">
        <f>IF(Skills!N28=TRUE,(Skills!L28/10)*(E1418/1000),Skills!L28/10)+Skills!O28</f>
        <v/>
      </c>
      <c r="G1418">
        <f>Calc!G28</f>
        <v/>
      </c>
      <c r="H1418">
        <f>Calc!H28</f>
        <v/>
      </c>
      <c r="I1418">
        <f>IF(Skills!X28&lt;&gt;"",1+(Skills!X28/10)*(Z1393/1000)/100,1)</f>
        <v/>
      </c>
      <c r="J1418">
        <f>((Inputs!$B$6*(1+Inputs!$B$7/100))+(((Inputs!$B$12*(1+Inputs!$B$13/100))-(Inputs!$B$12*(1+Inputs!$B$13/100)))+0.25*(Inputs!$B$14-Inputs!$B$14))*(1+Inputs!$B$7/100))*(F1418/100)</f>
        <v/>
      </c>
      <c r="K1418">
        <f>J1418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1413/100)*(1+IF(Inputs!$B$3&gt;=120,F1416,0)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1417*5,0)))/100)*(B1420*B1421*B1422*(1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1418)</f>
        <v/>
      </c>
      <c r="L1418">
        <f>K1418*(MIN(Inputs!$B$22+(F1412-Calc!F22),(Inputs!$B$23+(IF(ArtifactsInput!$M$15,CHOOSE(ArtifactsInput!$N$15+1,25,30,35,40,45,50)/100*(Inputs!$B$11-Inputs!$B$11),0))))/100+(Inputs!$B$23+(IF(ArtifactsInput!$M$15,CHOOSE(ArtifactsInput!$N$15+1,25,30,35,40,45,50)/100*(Inputs!$B$11-Inputs!$B$11),0)))/100)/2</f>
        <v/>
      </c>
      <c r="M1418">
        <f>L1418*(1+(Inputs!$B$10+(F1411-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18">
        <f>L1418*(1-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1418*(MIN((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18">
        <f>(1-Summary!$B$11)*S1418+Summary!$B$11*U1418</f>
        <v/>
      </c>
      <c r="P1418">
        <f>IF(B1431=0,0,O1418/B1431)</f>
        <v/>
      </c>
      <c r="Q1418">
        <f>IFERROR(1/(IF(Inputs!$B$38="pvp",15,MAX(0.1,Skills!E28-IF(Skills!F28=TRUE,Inputs!$B$32,0)))*(1-IF(AND(ArtifactsInput!$M$27,Inputs!$B$4="Chapter Hunt"),CHOOSE(ArtifactsInput!$N$27+1,20,24,28,32,36,40),0)/100)),0)</f>
        <v/>
      </c>
      <c r="R1418">
        <f>IF(AND(Inputs!$B$38&lt;&gt;"pvp",Inputs!$B$43&gt;0),IF(MAX(0,Inputs!$B$43-B1428)&lt;=0,0,(INT(MAX(0,Inputs!$B$43-B1428)/(IF(Inputs!$B$38="pvp",15,MAX(0.1,Skills!E28-IF(Skills!F28=TRUE,Inputs!$B$32,0)))*(1-IF(AND(ArtifactsInput!$M$27,Inputs!$B$4="Chapter Hunt"),CHOOSE(ArtifactsInput!$N$27+1,20,24,28,32,36,40),0)/100)))+1)),0)</f>
        <v/>
      </c>
      <c r="S1418">
        <f>IF(C1418,(H1418*N1418*IF(AND(Inputs!$B$38&lt;&gt;"pvp",Inputs!$B$43&gt;0),((Skills!G28*((R1418-1)*IF(Skills!H28&gt;0,Skills!I28/Skills!H28,1)+IF(Skills!H28&gt;0,MIN(Skills!I28,MAX(0,MAX(0,Inputs!$B$43-B1428)-((R1418-1)*(IF(Inputs!$B$38="pvp",15,MAX(0.1,Skills!E28-IF(Skills!F28=TRUE,Inputs!$B$32,0)))*(1-IF(AND(ArtifactsInput!$M$27,Inputs!$B$4="Chapter Hunt"),CHOOSE(ArtifactsInput!$N$27+1,20,24,28,32,36,40),0)/100)))))/Skills!H28,1)))/Inputs!$B$43),G1418*Q1418)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1418*(1-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1418*(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1418*(1-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1418*(MIN(100,(Inputs!$B$9+(F1410-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18">
        <f>IF(C1418,(H1418*N1418*IF(AND(Inputs!$B$38&lt;&gt;"pvp",Inputs!$B$43&gt;0),((Skills!G28*((R1418-1)*IF(Skills!H28&gt;0,Skills!I28/Skills!H28,1)+IF(Skills!H28&gt;0,MIN(Skills!I28,MAX(0,MAX(0,Inputs!$B$43-B1428)-((R1418-1)*(IF(Inputs!$B$38="pvp",15,MAX(0.1,Skills!E28-IF(Skills!F28=TRUE,Inputs!$B$32,0)))*(1-IF(AND(ArtifactsInput!$M$27,Inputs!$B$4="Chapter Hunt"),CHOOSE(ArtifactsInput!$N$27+1,20,24,28,32,36,40),0)/100)))))/Skills!H28,1)))/Inputs!$B$43),G1418*Q1418)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0">
      <c r="A1420" t="inlineStr">
        <is>
          <t>Burning Magic Multiplier</t>
        </is>
      </c>
      <c r="B1420">
        <f>1+(F1401*Skills!Z11)/100</f>
        <v/>
      </c>
    </row>
    <row r="1421">
      <c r="A1421" t="inlineStr">
        <is>
          <t>Elemental Decrease Multiplier (always-on)</t>
        </is>
      </c>
      <c r="B1421">
        <f>1+(F1402+(IF(AND(ArtifactsInput!$M$35,Inputs!$B$4&lt;&gt;"Chapter Hunt"),CHOOSE(ArtifactsInput!$N$35+1,15,18,21,24,27,30)*(1-EXP(-(0.2*B1424)*5)),0)+IF(AND(ArtifactsInput!$M$22,Inputs!$B$4&lt;&gt;"Chapter Hunt"),CHOOSE(ArtifactsInput!$N$22+1,10,12,14,16,18,20)*((0*(((0.15*B1424*5))^0/1)+1*(((0.15*B1424*5))^1/1)+2*(((0.15*B1424*5))^2/2)+3*(((0.15*B1424*5))^3/6)+4*(((0.15*B1424*5))^4/24)+5*(((0.15*B1424*5))^5/120))/((((0.15*B1424*5))^0/1)+(((0.15*B1424*5))^1/1)+(((0.15*B1424*5))^2/2)+(((0.15*B1424*5))^3/6)+(((0.15*B1424*5))^4/24)+(((0.15*B1424*5))^5/120))),0)))/100</f>
        <v/>
      </c>
    </row>
    <row r="1422">
      <c r="A1422" t="inlineStr">
        <is>
          <t>Average Buff Multiplier (Magic Guard + Meditation + Artifact Attack%, summed; then Infinity)</t>
        </is>
      </c>
      <c r="B1422">
        <f>(1+(F1396*IF(AND(Inputs!$B$38&lt;&gt;"pvp",Inputs!$B$43&gt;0),(((R1396-1)*(Skills!T6*(1+((Inputs!$B$34+(ArtifactsInput!$M$7-ArtifactsInput!$M$7)*CHOOSE(ArtifactsInput!$N$7+1,6,7.2,8.4,9.6,10.8,12)))/100))+MIN((Skills!T6*(1+((Inputs!$B$34+(ArtifactsInput!$M$7-ArtifactsInput!$M$7)*CHOOSE(ArtifactsInput!$N$7+1,6,7.2,8.4,9.6,10.8,12)))/100)),MAX(0,Inputs!$B$43-((R1396-1)*Skills!E6))))/Inputs!$B$43),IF(Inputs!$B$38="pvp",MIN((Skills!T6*(1+((Inputs!$B$34+(ArtifactsInput!$M$7-ArtifactsInput!$M$7)*CHOOSE(ArtifactsInput!$N$7+1,6,7.2,8.4,9.6,10.8,12)))/100)),15)/15,(Skills!T6*(1+((Inputs!$B$34+(ArtifactsInput!$M$7-ArtifactsInput!$M$7)*CHOOSE(ArtifactsInput!$N$7+1,6,7.2,8.4,9.6,10.8,12)))/100))/Skills!E6))+F1407*IF(AND(Inputs!$B$38&lt;&gt;"pvp",Inputs!$B$43&gt;0),(((R1407-1)*(Skills!T17*(1+((Inputs!$B$34+(ArtifactsInput!$M$7-ArtifactsInput!$M$7)*CHOOSE(ArtifactsInput!$N$7+1,6,7.2,8.4,9.6,10.8,12)))/100))+MIN((Skills!T17*(1+((Inputs!$B$34+(ArtifactsInput!$M$7-ArtifactsInput!$M$7)*CHOOSE(ArtifactsInput!$N$7+1,6,7.2,8.4,9.6,10.8,12)))/100)),MAX(0,Inputs!$B$43-((R1407-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1409=TRUE,(1+F1409*IF(AND(Inputs!$B$38&lt;&gt;"pvp",Inputs!$B$43&gt;0),(((R1409-1)*(Skills!T19*(1+((Inputs!$B$34+(ArtifactsInput!$M$7-ArtifactsInput!$M$7)*CHOOSE(ArtifactsInput!$N$7+1,6,7.2,8.4,9.6,10.8,12)))/100))+MIN((Skills!T19*(1+((Inputs!$B$34+(ArtifactsInput!$M$7-ArtifactsInput!$M$7)*CHOOSE(ArtifactsInput!$N$7+1,6,7.2,8.4,9.6,10.8,12)))/100)),MAX(0,Inputs!$B$43-((R1409-1)*Skills!E19))))/Inputs!$B$43),IF(Inputs!$B$38="pvp",MIN((Skills!T19*(1+((Inputs!$B$34+(ArtifactsInput!$M$7-ArtifactsInput!$M$7)*CHOOSE(ArtifactsInput!$N$7+1,6,7.2,8.4,9.6,10.8,12)))/100)),15)/15,(Skills!T19*(1+((Inputs!$B$34+(ArtifactsInput!$M$7-ArtifactsInput!$M$7)*CHOOSE(ArtifactsInput!$N$7+1,6,7.2,8.4,9.6,10.8,12)))/100))/Skills!E19))/100),1)</f>
        <v/>
      </c>
    </row>
    <row r="1423">
      <c r="A1423" t="inlineStr">
        <is>
          <t>Attack Speed Buff Bonus % (Nimble Feet, averaged)</t>
        </is>
      </c>
      <c r="B1423">
        <f>F1408*IF(AND(Inputs!$B$38&lt;&gt;"pvp",Inputs!$B$43&gt;0),(((R1408-1)*(Skills!T18*(1+((Inputs!$B$34+(ArtifactsInput!$M$7-ArtifactsInput!$M$7)*CHOOSE(ArtifactsInput!$N$7+1,6,7.2,8.4,9.6,10.8,12)))/100))+MIN((Skills!T18*(1+((Inputs!$B$34+(ArtifactsInput!$M$7-ArtifactsInput!$M$7)*CHOOSE(ArtifactsInput!$N$7+1,6,7.2,8.4,9.6,10.8,12)))/100)),MAX(0,Inputs!$B$43-((R1408-1)*Skills!E18))))/Inputs!$B$43),IF(Inputs!$B$38="pvp",MIN((Skills!T18*(1+((Inputs!$B$34+(ArtifactsInput!$M$7-ArtifactsInput!$M$7)*CHOOSE(ArtifactsInput!$N$7+1,6,7.2,8.4,9.6,10.8,12)))/100)),15)/15,(Skills!T18*(1+((Inputs!$B$34+(ArtifactsInput!$M$7-ArtifactsInput!$M$7)*CHOOSE(ArtifactsInput!$N$7+1,6,7.2,8.4,9.6,10.8,12)))/100))/Skills!E18))</f>
        <v/>
      </c>
    </row>
    <row r="1424">
      <c r="A1424" t="inlineStr">
        <is>
          <t>Actions Per Second</t>
        </is>
      </c>
      <c r="B1424">
        <f>1+MIN(150,150*(1-(1-(Inputs!$B$11+(ArtifactsInput!$M$15-ArtifactsInput!$M$15)*CHOOSE(ArtifactsInput!$N$15+1,8,9.6,11.2,12.8,14.4,16))/150)*(1-B1423/150)))/100</f>
        <v/>
      </c>
    </row>
    <row r="1425">
      <c r="A1425" t="inlineStr">
        <is>
          <t>Skill + Buff Cast Rate</t>
        </is>
      </c>
      <c r="B1425">
        <f>IF(AND(Inputs!$B$38&lt;&gt;"pvp",Inputs!$B$43&gt;0),SUMPRODUCT((Skills!F2:F28=TRUE)*(C1392:C1418=TRUE)*R1392:R1418)/Inputs!$B$43,SUMPRODUCT((Skills!F2:F28=TRUE)*(C1392:C1418=TRUE)*Q1392:Q1418))</f>
        <v/>
      </c>
    </row>
    <row r="1426">
      <c r="A1426" t="inlineStr">
        <is>
          <t>Basic Attacks Per Second</t>
        </is>
      </c>
      <c r="B1426">
        <f>MAX(0,B1424-B1425)</f>
        <v/>
      </c>
    </row>
    <row r="1427">
      <c r="A1427" t="inlineStr">
        <is>
          <t>Meteor Proc — combined trigger cast rate</t>
        </is>
      </c>
      <c r="B1427">
        <f>IF(AND(Inputs!$B$38&lt;&gt;"pvp",Inputs!$B$43&gt;0),SUMPRODUCT((Skills!V2:V28=TRUE)*(C1392:C1418=TRUE)*R1392:R1418*Skills!W2:W28)/Inputs!$B$43,SUMPRODUCT((Skills!V2:V28=TRUE)*(C1392:C1418=TRUE)*Q1392:Q1418*Skills!W2:W28))+B1426</f>
        <v/>
      </c>
    </row>
    <row r="1428">
      <c r="A1428" t="inlineStr">
        <is>
          <t>Buff-Casting Startup Delay (s, fixed-duration only)</t>
        </is>
      </c>
      <c r="B1428">
        <f>IF(AND(Inputs!$B$38&lt;&gt;"pvp",Inputs!$B$43&gt;0),SUMPRODUCT((Skills!T2:T28&gt;0)*(Skills!F2:F28=TRUE)*(C1392:C1418=TRUE))/B1424,0)</f>
        <v/>
      </c>
    </row>
    <row r="1429">
      <c r="A1429" t="inlineStr">
        <is>
          <t>Boss-Only Total DPS (this block's swept value)</t>
        </is>
      </c>
      <c r="B1429">
        <f>SUM(S1392:S1418)</f>
        <v/>
      </c>
    </row>
    <row r="1430">
      <c r="A1430" t="inlineStr">
        <is>
          <t>Normal-Only Total DPS (this block's swept value)</t>
        </is>
      </c>
      <c r="B1430">
        <f>SUM(U1392:U1418)</f>
        <v/>
      </c>
    </row>
    <row r="1431">
      <c r="A1431" s="6" t="inlineStr">
        <is>
          <t>TOTAL DPS</t>
        </is>
      </c>
      <c r="B1431" s="6">
        <f>SUM(O1392:O1418)</f>
        <v/>
      </c>
    </row>
    <row r="1434">
      <c r="A1434" s="6" t="inlineStr">
        <is>
          <t>Stat: Arwen's Glass Shoes (Equip)</t>
        </is>
      </c>
    </row>
    <row r="1435">
      <c r="A1435" s="5" t="inlineStr">
        <is>
          <t>Key</t>
        </is>
      </c>
      <c r="B1435" s="5" t="inlineStr">
        <is>
          <t>Name</t>
        </is>
      </c>
      <c r="C1435" s="5" t="inlineStr">
        <is>
          <t>Unlocked</t>
        </is>
      </c>
      <c r="D1435" s="5" t="inlineStr">
        <is>
          <t>InputLevel</t>
        </is>
      </c>
      <c r="E1435" s="5" t="inlineStr">
        <is>
          <t>Factor</t>
        </is>
      </c>
      <c r="F1435" s="5" t="inlineStr">
        <is>
          <t>CoefficientPercent</t>
        </is>
      </c>
      <c r="G1435" s="5" t="inlineStr">
        <is>
          <t>EffectiveHits</t>
        </is>
      </c>
      <c r="H1435" s="5" t="inlineStr">
        <is>
          <t>ProcProbability</t>
        </is>
      </c>
      <c r="I1435" s="5" t="inlineStr">
        <is>
          <t>MapleHeroMultiplier</t>
        </is>
      </c>
      <c r="J1435" s="5" t="inlineStr">
        <is>
          <t>BaseDamage</t>
        </is>
      </c>
      <c r="K1435" s="5" t="inlineStr">
        <is>
          <t>BaseHitDamage</t>
        </is>
      </c>
      <c r="L1435" s="5" t="inlineStr">
        <is>
          <t>NonCritAvg</t>
        </is>
      </c>
      <c r="M1435" s="5" t="inlineStr">
        <is>
          <t>CritAvg</t>
        </is>
      </c>
      <c r="N1435" s="5" t="inlineStr">
        <is>
          <t>ExpectedDamage(perHit)</t>
        </is>
      </c>
      <c r="O1435" s="5" t="inlineStr">
        <is>
          <t>DPS</t>
        </is>
      </c>
      <c r="P1435" s="5" t="inlineStr">
        <is>
          <t>% of Total</t>
        </is>
      </c>
      <c r="R1435" t="inlineStr">
        <is>
          <t>helpers</t>
        </is>
      </c>
    </row>
    <row r="1436">
      <c r="A1436">
        <f>Skills!A2</f>
        <v/>
      </c>
      <c r="B1436">
        <f>Skills!B2</f>
        <v/>
      </c>
      <c r="C1436">
        <f>TRUE</f>
        <v/>
      </c>
      <c r="D1436" t="inlineStr"/>
      <c r="E1436" t="inlineStr"/>
      <c r="F1436">
        <f>T1438+Skills!O2</f>
        <v/>
      </c>
      <c r="G1436">
        <f>Calc!G2</f>
        <v/>
      </c>
      <c r="H1436">
        <f>Calc!H2</f>
        <v/>
      </c>
      <c r="I1436">
        <f>IF(Skills!X2&lt;&gt;"",1+(Skills!X2/10)*(Z1437/1000)/100,1)</f>
        <v/>
      </c>
      <c r="J1436">
        <f>((Inputs!$B$6*(1+Inputs!$B$7/100))+(((Inputs!$B$12*(1+Inputs!$B$13/100))-(Inputs!$B$12*(1+Inputs!$B$13/100)))+0.25*(Inputs!$B$14-Inputs!$B$14))*(1+Inputs!$B$7/100))*(F1436/100)</f>
        <v/>
      </c>
      <c r="K1436">
        <f>J1436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1436)</f>
        <v/>
      </c>
      <c r="L1436">
        <f>K1436*(MIN(Inputs!$B$22+(F1456-Calc!F22),(Inputs!$B$23+(IF(ArtifactsInput!$M$15,CHOOSE(ArtifactsInput!$N$15+1,25,30,35,40,45,50)/100*(Inputs!$B$11-Inputs!$B$11),0))))/100+(Inputs!$B$23+(IF(ArtifactsInput!$M$15,CHOOSE(ArtifactsInput!$N$15+1,25,30,35,40,45,50)/100*(Inputs!$B$11-Inputs!$B$11),0)))/100)/2</f>
        <v/>
      </c>
      <c r="M1436">
        <f>L1436*(1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6">
        <f>L1436*(1-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1436*(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6">
        <f>(1-Summary!$B$11)*S1436+Summary!$B$11*U1436</f>
        <v/>
      </c>
      <c r="P1436">
        <f>IF(B1475=0,0,O1436/B1475)</f>
        <v/>
      </c>
      <c r="Q1436">
        <f>IFERROR(1/(IF(Inputs!$B$38="pvp",15,MAX(0.1,Skills!E2-IF(Skills!F2=TRUE,Inputs!$B$32,0)))*(1-IF(AND(ArtifactsInput!$M$27,Inputs!$B$4="Chapter Hunt"),CHOOSE(ArtifactsInput!$N$27+1,20,24,28,32,36,40),0)/100)),0)</f>
        <v/>
      </c>
      <c r="R1436" t="n">
        <v>0</v>
      </c>
      <c r="S1436">
        <f>(Skills!G2*N1436*B1470)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1436*(1-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1436*(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1436*(1-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1436*(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436">
        <f>MAX(0,(Inputs!$B$3-100)*3)+Inputs!$B$28+Inputs!$B$29</f>
        <v/>
      </c>
      <c r="U1436">
        <f>(Skills!G2*N1436*B1470)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436">
        <f>MAX(0,(Inputs!$B$3-100)*3)+Inputs!$B$28+Inputs!$B$29</f>
        <v/>
      </c>
    </row>
    <row r="1437">
      <c r="A1437">
        <f>Skills!A3</f>
        <v/>
      </c>
      <c r="B1437">
        <f>Skills!B3</f>
        <v/>
      </c>
      <c r="C1437">
        <f>TRUE</f>
        <v/>
      </c>
      <c r="D1437">
        <f>IF(Skills!C3=1,60+Inputs!$B$25+Inputs!$B$29,IF(Skills!C3=2,90+Inputs!$B$26+Inputs!$B$29,IF(Skills!C3=3,120+Inputs!$B$27+Inputs!$B$29,MAX(0,(Inputs!$B$3-100)*3)+Inputs!$B$28+Inputs!$B$29)))</f>
        <v/>
      </c>
      <c r="E1437">
        <f>INDEX(FactorTable!$B$2:$Y$301, MATCH(ROUND(MIN(300,MAX(1,D1437)),0), FactorTable!$A$2:$A$301,0), Skills!M3+1)</f>
        <v/>
      </c>
      <c r="F1437">
        <f>IF(Skills!N3=TRUE,(Skills!L3/10)*(E1437/1000),Skills!L3/10)+Skills!O3</f>
        <v/>
      </c>
      <c r="G1437">
        <f>Calc!G3</f>
        <v/>
      </c>
      <c r="H1437">
        <f>Calc!H3</f>
        <v/>
      </c>
      <c r="I1437">
        <f>IF(Skills!X3&lt;&gt;"",1+(Skills!X3/10)*(Z1437/1000)/100,1)</f>
        <v/>
      </c>
      <c r="J1437">
        <f>((Inputs!$B$6*(1+Inputs!$B$7/100))+(((Inputs!$B$12*(1+Inputs!$B$13/100))-(Inputs!$B$12*(1+Inputs!$B$13/100)))+0.25*(Inputs!$B$14-Inputs!$B$14))*(1+Inputs!$B$7/100))*(F1437/100)</f>
        <v/>
      </c>
      <c r="K1437">
        <f>J1437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1437)</f>
        <v/>
      </c>
      <c r="L1437">
        <f>K1437*(MIN(Inputs!$B$22+(F1456-Calc!F22),(Inputs!$B$23+(IF(ArtifactsInput!$M$15,CHOOSE(ArtifactsInput!$N$15+1,25,30,35,40,45,50)/100*(Inputs!$B$11-Inputs!$B$11),0))))/100+(Inputs!$B$23+(IF(ArtifactsInput!$M$15,CHOOSE(ArtifactsInput!$N$15+1,25,30,35,40,45,50)/100*(Inputs!$B$11-Inputs!$B$11),0)))/100)/2</f>
        <v/>
      </c>
      <c r="M1437">
        <f>L1437*(1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7">
        <f>L1437*(1-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1437*(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7">
        <f>(1-Summary!$B$11)*S1437+Summary!$B$11*U1437</f>
        <v/>
      </c>
      <c r="P1437">
        <f>IF(B1475=0,0,O1437/B1475)</f>
        <v/>
      </c>
      <c r="Q1437">
        <f>IFERROR(1/(IF(Inputs!$B$38="pvp",15,MAX(0.1,Skills!E3-IF(Skills!F3=TRUE,Inputs!$B$32,0)))*(1-IF(AND(ArtifactsInput!$M$27,Inputs!$B$4="Chapter Hunt"),CHOOSE(ArtifactsInput!$N$27+1,20,24,28,32,36,40),0)/100)),0)</f>
        <v/>
      </c>
      <c r="R1437">
        <f>IF(AND(Inputs!$B$38&lt;&gt;"pvp",Inputs!$B$43&gt;0),IF(MAX(0,Inputs!$B$43-B1472)&lt;=0,0,(INT(MAX(0,Inputs!$B$43-B1472)/(IF(Inputs!$B$38="pvp",15,MAX(0.1,Skills!E3-IF(Skills!F3=TRUE,Inputs!$B$32,0)))*(1-IF(AND(ArtifactsInput!$M$27,Inputs!$B$4="Chapter Hunt"),CHOOSE(ArtifactsInput!$N$27+1,20,24,28,32,36,40),0)/100)))+1)),0)</f>
        <v/>
      </c>
      <c r="S1437">
        <f>IF(C1437,(H1437*N1437*IF(AND(Inputs!$B$38&lt;&gt;"pvp",Inputs!$B$43&gt;0),((Skills!G3*((R1437-1)*IF(Skills!H3&gt;0,Skills!I3/Skills!H3,1)+IF(Skills!H3&gt;0,MIN(Skills!I3,MAX(0,MAX(0,Inputs!$B$43-B1472)-((R1437-1)*(IF(Inputs!$B$38="pvp",15,MAX(0.1,Skills!E3-IF(Skills!F3=TRUE,Inputs!$B$32,0)))*(1-IF(AND(ArtifactsInput!$M$27,Inputs!$B$4="Chapter Hunt"),CHOOSE(ArtifactsInput!$N$27+1,20,24,28,32,36,40),0)/100)))))/Skills!H3,1)))/Inputs!$B$43),G1437*Q1437)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1437*(1-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1437*(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1437*(1-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1437*(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437">
        <f>INDEX(FactorTable!$B$2:$Y$301, MATCH(ROUND(MIN(300,MAX(1,T1436)),0), FactorTable!$A$2:$A$301,0), 22)</f>
        <v/>
      </c>
      <c r="U1437">
        <f>IF(C1437,(H1437*N1437*IF(AND(Inputs!$B$38&lt;&gt;"pvp",Inputs!$B$43&gt;0),((Skills!G3*((R1437-1)*IF(Skills!H3&gt;0,Skills!I3/Skills!H3,1)+IF(Skills!H3&gt;0,MIN(Skills!I3,MAX(0,MAX(0,Inputs!$B$43-B1472)-((R1437-1)*(IF(Inputs!$B$38="pvp",15,MAX(0.1,Skills!E3-IF(Skills!F3=TRUE,Inputs!$B$32,0)))*(1-IF(AND(ArtifactsInput!$M$27,Inputs!$B$4="Chapter Hunt"),CHOOSE(ArtifactsInput!$N$27+1,20,24,28,32,36,40),0)/100)))))/Skills!H3,1)))/Inputs!$B$43),G1437*Q1437)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437">
        <f>INDEX(FactorTable!$B$2:$Y$301, MATCH(ROUND(MIN(300,MAX(1,Z1436)),0), FactorTable!$A$2:$A$301,0), 24)</f>
        <v/>
      </c>
    </row>
    <row r="1438">
      <c r="A1438">
        <f>Skills!A4</f>
        <v/>
      </c>
      <c r="B1438">
        <f>Skills!B4</f>
        <v/>
      </c>
      <c r="C1438">
        <f>TRUE</f>
        <v/>
      </c>
      <c r="D1438">
        <f>IF(Skills!C4=1,60+Inputs!$B$25+Inputs!$B$29,IF(Skills!C4=2,90+Inputs!$B$26+Inputs!$B$29,IF(Skills!C4=3,120+Inputs!$B$27+Inputs!$B$29,MAX(0,(Inputs!$B$3-100)*3)+Inputs!$B$28+Inputs!$B$29)))</f>
        <v/>
      </c>
      <c r="E1438">
        <f>INDEX(FactorTable!$B$2:$Y$301, MATCH(ROUND(MIN(300,MAX(1,D1438)),0), FactorTable!$A$2:$A$301,0), Skills!M4+1)</f>
        <v/>
      </c>
      <c r="F1438">
        <f>IF(Skills!N4=TRUE,(Skills!L4/10)*(E1438/1000),Skills!L4/10)+Skills!O4</f>
        <v/>
      </c>
      <c r="G1438">
        <f>Calc!G4</f>
        <v/>
      </c>
      <c r="H1438">
        <f>Calc!H4</f>
        <v/>
      </c>
      <c r="I1438">
        <f>IF(Skills!X4&lt;&gt;"",1+(Skills!X4/10)*(Z1437/1000)/100,1)</f>
        <v/>
      </c>
      <c r="J1438">
        <f>((Inputs!$B$6*(1+Inputs!$B$7/100))+(((Inputs!$B$12*(1+Inputs!$B$13/100))-(Inputs!$B$12*(1+Inputs!$B$13/100)))+0.25*(Inputs!$B$14-Inputs!$B$14))*(1+Inputs!$B$7/100))*(F1438/100)</f>
        <v/>
      </c>
      <c r="K1438">
        <f>J1438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1438)</f>
        <v/>
      </c>
      <c r="L1438">
        <f>K1438*(MIN(Inputs!$B$22+(F1456-Calc!F22),(Inputs!$B$23+(IF(ArtifactsInput!$M$15,CHOOSE(ArtifactsInput!$N$15+1,25,30,35,40,45,50)/100*(Inputs!$B$11-Inputs!$B$11),0))))/100+(Inputs!$B$23+(IF(ArtifactsInput!$M$15,CHOOSE(ArtifactsInput!$N$15+1,25,30,35,40,45,50)/100*(Inputs!$B$11-Inputs!$B$11),0)))/100)/2</f>
        <v/>
      </c>
      <c r="M1438">
        <f>L1438*(1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8">
        <f>L1438*(1-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1438*(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8">
        <f>(1-Summary!$B$11)*S1438+Summary!$B$11*U1438</f>
        <v/>
      </c>
      <c r="P1438">
        <f>IF(B1475=0,0,O1438/B1475)</f>
        <v/>
      </c>
      <c r="Q1438">
        <f>IFERROR(1/(IF(Inputs!$B$38="pvp",15,MAX(0.1,Skills!E4-IF(Skills!F4=TRUE,Inputs!$B$32,0)))*(1-IF(AND(ArtifactsInput!$M$27,Inputs!$B$4="Chapter Hunt"),CHOOSE(ArtifactsInput!$N$27+1,20,24,28,32,36,40),0)/100)),0)</f>
        <v/>
      </c>
      <c r="R1438">
        <f>IF(AND(Inputs!$B$38&lt;&gt;"pvp",Inputs!$B$43&gt;0),IF(MAX(0,Inputs!$B$43-B1472)&lt;=0,0,(INT(MAX(0,Inputs!$B$43-B1472)/(IF(Inputs!$B$38="pvp",15,MAX(0.1,Skills!E4-IF(Skills!F4=TRUE,Inputs!$B$32,0)))*(1-IF(AND(ArtifactsInput!$M$27,Inputs!$B$4="Chapter Hunt"),CHOOSE(ArtifactsInput!$N$27+1,20,24,28,32,36,40),0)/100)))+1)),0)</f>
        <v/>
      </c>
      <c r="S1438">
        <f>IF(C1438,(H1438*N1438*IF(AND(Inputs!$B$38&lt;&gt;"pvp",Inputs!$B$43&gt;0),((Skills!G4*((R1438-1)*IF(Skills!H4&gt;0,Skills!I4/Skills!H4,1)+IF(Skills!H4&gt;0,MIN(Skills!I4,MAX(0,MAX(0,Inputs!$B$43-B1472)-((R1438-1)*(IF(Inputs!$B$38="pvp",15,MAX(0.1,Skills!E4-IF(Skills!F4=TRUE,Inputs!$B$32,0)))*(1-IF(AND(ArtifactsInput!$M$27,Inputs!$B$4="Chapter Hunt"),CHOOSE(ArtifactsInput!$N$27+1,20,24,28,32,36,40),0)/100)))))/Skills!H4,1)))/Inputs!$B$43),G1438*Q1438)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1438*(1-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1438*(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1438*(1-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1438*(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438">
        <f>290*T1437/1000</f>
        <v/>
      </c>
      <c r="U1438">
        <f>IF(C1438,(H1438*N1438*IF(AND(Inputs!$B$38&lt;&gt;"pvp",Inputs!$B$43&gt;0),((Skills!G4*((R1438-1)*IF(Skills!H4&gt;0,Skills!I4/Skills!H4,1)+IF(Skills!H4&gt;0,MIN(Skills!I4,MAX(0,MAX(0,Inputs!$B$43-B1472)-((R1438-1)*(IF(Inputs!$B$38="pvp",15,MAX(0.1,Skills!E4-IF(Skills!F4=TRUE,Inputs!$B$32,0)))*(1-IF(AND(ArtifactsInput!$M$27,Inputs!$B$4="Chapter Hunt"),CHOOSE(ArtifactsInput!$N$27+1,20,24,28,32,36,40),0)/100)))))/Skills!H4,1)))/Inputs!$B$43),G1438*Q1438)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9">
      <c r="A1439">
        <f>Skills!A5</f>
        <v/>
      </c>
      <c r="B1439">
        <f>Skills!B5</f>
        <v/>
      </c>
      <c r="C1439">
        <f>TRUE</f>
        <v/>
      </c>
      <c r="D1439">
        <f>IF(Skills!C5=1,60+Inputs!$B$25+Inputs!$B$29,IF(Skills!C5=2,90+Inputs!$B$26+Inputs!$B$29,IF(Skills!C5=3,120+Inputs!$B$27+Inputs!$B$29,MAX(0,(Inputs!$B$3-100)*3)+Inputs!$B$28+Inputs!$B$29)))</f>
        <v/>
      </c>
      <c r="E1439">
        <f>INDEX(FactorTable!$B$2:$Y$301, MATCH(ROUND(MIN(300,MAX(1,D1439)),0), FactorTable!$A$2:$A$301,0), Skills!M5+1)</f>
        <v/>
      </c>
      <c r="F1439">
        <f>IF(Skills!N5=TRUE,(Skills!L5/10)*(E1439/1000),Skills!L5/10)+Skills!O5</f>
        <v/>
      </c>
      <c r="G1439">
        <f>Calc!G5</f>
        <v/>
      </c>
      <c r="H1439">
        <f>Calc!H5</f>
        <v/>
      </c>
      <c r="I1439">
        <f>IF(Skills!X5&lt;&gt;"",1+(Skills!X5/10)*(Z1437/1000)/100,1)</f>
        <v/>
      </c>
      <c r="J1439">
        <f>((Inputs!$B$6*(1+Inputs!$B$7/100))+(((Inputs!$B$12*(1+Inputs!$B$13/100))-(Inputs!$B$12*(1+Inputs!$B$13/100)))+0.25*(Inputs!$B$14-Inputs!$B$14))*(1+Inputs!$B$7/100))*(F1439/100)</f>
        <v/>
      </c>
      <c r="K1439">
        <f>J1439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1439)</f>
        <v/>
      </c>
      <c r="L1439">
        <f>K1439*(MIN(Inputs!$B$22+(F1456-Calc!F22),(Inputs!$B$23+(IF(ArtifactsInput!$M$15,CHOOSE(ArtifactsInput!$N$15+1,25,30,35,40,45,50)/100*(Inputs!$B$11-Inputs!$B$11),0))))/100+(Inputs!$B$23+(IF(ArtifactsInput!$M$15,CHOOSE(ArtifactsInput!$N$15+1,25,30,35,40,45,50)/100*(Inputs!$B$11-Inputs!$B$11),0)))/100)/2</f>
        <v/>
      </c>
      <c r="M1439">
        <f>L1439*(1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9">
        <f>L1439*(1-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1439*(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9">
        <f>(1-Summary!$B$11)*S1439+Summary!$B$11*U1439</f>
        <v/>
      </c>
      <c r="P1439">
        <f>IF(B1475=0,0,O1439/B1475)</f>
        <v/>
      </c>
      <c r="Q1439">
        <f>IFERROR(1/(IF(Inputs!$B$38="pvp",15,MAX(0.1,Skills!E5-IF(Skills!F5=TRUE,Inputs!$B$32,0)))*(1-IF(AND(ArtifactsInput!$M$27,Inputs!$B$4="Chapter Hunt"),CHOOSE(ArtifactsInput!$N$27+1,20,24,28,32,36,40),0)/100)),0)</f>
        <v/>
      </c>
      <c r="R1439">
        <f>IF(AND(Inputs!$B$38&lt;&gt;"pvp",Inputs!$B$43&gt;0),IF(MAX(0,Inputs!$B$43-B1472)&lt;=0,0,(INT(MAX(0,Inputs!$B$43-B1472)/(IF(Inputs!$B$38="pvp",15,MAX(0.1,Skills!E5-IF(Skills!F5=TRUE,Inputs!$B$32,0)))*(1-IF(AND(ArtifactsInput!$M$27,Inputs!$B$4="Chapter Hunt"),CHOOSE(ArtifactsInput!$N$27+1,20,24,28,32,36,40),0)/100)))+1)),0)</f>
        <v/>
      </c>
      <c r="S1439">
        <f>IF(C1439,(H1439*N1439*IF(AND(Inputs!$B$38&lt;&gt;"pvp",Inputs!$B$43&gt;0),((Skills!G5*((R1439-1)*IF(Skills!H5&gt;0,Skills!I5/Skills!H5,1)+IF(Skills!H5&gt;0,MIN(Skills!I5,MAX(0,MAX(0,Inputs!$B$43-B1472)-((R1439-1)*(IF(Inputs!$B$38="pvp",15,MAX(0.1,Skills!E5-IF(Skills!F5=TRUE,Inputs!$B$32,0)))*(1-IF(AND(ArtifactsInput!$M$27,Inputs!$B$4="Chapter Hunt"),CHOOSE(ArtifactsInput!$N$27+1,20,24,28,32,36,40),0)/100)))))/Skills!H5,1)))/Inputs!$B$43),G1439*Q1439)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1439*(1-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1439*(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1439*(1-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1439*(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9">
        <f>IF(C1439,(H1439*N1439*IF(AND(Inputs!$B$38&lt;&gt;"pvp",Inputs!$B$43&gt;0),((Skills!G5*((R1439-1)*IF(Skills!H5&gt;0,Skills!I5/Skills!H5,1)+IF(Skills!H5&gt;0,MIN(Skills!I5,MAX(0,MAX(0,Inputs!$B$43-B1472)-((R1439-1)*(IF(Inputs!$B$38="pvp",15,MAX(0.1,Skills!E5-IF(Skills!F5=TRUE,Inputs!$B$32,0)))*(1-IF(AND(ArtifactsInput!$M$27,Inputs!$B$4="Chapter Hunt"),CHOOSE(ArtifactsInput!$N$27+1,20,24,28,32,36,40),0)/100)))))/Skills!H5,1)))/Inputs!$B$43),G1439*Q1439)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0">
      <c r="A1440">
        <f>Skills!A6</f>
        <v/>
      </c>
      <c r="B1440">
        <f>Skills!B6</f>
        <v/>
      </c>
      <c r="C1440">
        <f>TRUE</f>
        <v/>
      </c>
      <c r="D1440">
        <f>IF(Skills!C6=1,60+Inputs!$B$25+Inputs!$B$29,IF(Skills!C6=2,90+Inputs!$B$26+Inputs!$B$29,IF(Skills!C6=3,120+Inputs!$B$27+Inputs!$B$29,MAX(0,(Inputs!$B$3-100)*3)+Inputs!$B$28+Inputs!$B$29)))</f>
        <v/>
      </c>
      <c r="E1440">
        <f>INDEX(FactorTable!$B$2:$Y$301, MATCH(ROUND(MIN(300,MAX(1,D1440)),0), FactorTable!$A$2:$A$301,0), Skills!M6+1)</f>
        <v/>
      </c>
      <c r="F1440">
        <f>IF(Skills!N6=TRUE,(Skills!L6/10)*(E1440/1000),Skills!L6/10)+Skills!O6</f>
        <v/>
      </c>
      <c r="G1440">
        <f>Calc!G6</f>
        <v/>
      </c>
      <c r="H1440">
        <f>Calc!H6</f>
        <v/>
      </c>
      <c r="I1440">
        <f>IF(Skills!X6&lt;&gt;"",1+(Skills!X6/10)*(Z1437/1000)/100,1)</f>
        <v/>
      </c>
      <c r="J1440" t="inlineStr"/>
      <c r="K1440" t="inlineStr"/>
      <c r="L1440" t="inlineStr"/>
      <c r="M1440" t="inlineStr"/>
      <c r="N1440" t="inlineStr"/>
      <c r="O1440">
        <f>(1-Summary!$B$11)*S1440+Summary!$B$11*U1440</f>
        <v/>
      </c>
      <c r="P1440">
        <f>IF(B1475=0,0,O1440/B1475)</f>
        <v/>
      </c>
      <c r="Q1440">
        <f>IFERROR(1/(IF(Inputs!$B$38="pvp",15,MAX(0.1,Skills!E6-IF(Skills!F6=TRUE,Inputs!$B$32,0)))*(1-IF(AND(ArtifactsInput!$M$27,Inputs!$B$4="Chapter Hunt"),CHOOSE(ArtifactsInput!$N$27+1,20,24,28,32,36,40),0)/100)),0)</f>
        <v/>
      </c>
      <c r="R1440">
        <f>IF(AND(Inputs!$B$38&lt;&gt;"pvp",Inputs!$B$43&gt;0),IF(Inputs!$B$43&lt;=0,0,(INT(Inputs!$B$43/(IF(Inputs!$B$38="pvp",15,MAX(0.1,Skills!E6-IF(Skills!F6=TRUE,Inputs!$B$32,0)))*(1-IF(AND(ArtifactsInput!$M$27,Inputs!$B$4="Chapter Hunt"),CHOOSE(ArtifactsInput!$N$27+1,20,24,28,32,36,40),0)/100)))+1)),0)</f>
        <v/>
      </c>
      <c r="S1440" t="n">
        <v>0</v>
      </c>
      <c r="U1440" t="n">
        <v>0</v>
      </c>
    </row>
    <row r="1441">
      <c r="A1441">
        <f>Skills!A7</f>
        <v/>
      </c>
      <c r="B1441">
        <f>Skills!B7</f>
        <v/>
      </c>
      <c r="C1441">
        <f>TRUE</f>
        <v/>
      </c>
      <c r="D1441">
        <f>IF(Skills!C7=1,60+Inputs!$B$25+Inputs!$B$29,IF(Skills!C7=2,90+Inputs!$B$26+Inputs!$B$29,IF(Skills!C7=3,120+Inputs!$B$27+Inputs!$B$29,MAX(0,(Inputs!$B$3-100)*3)+Inputs!$B$28+Inputs!$B$29)))</f>
        <v/>
      </c>
      <c r="E1441">
        <f>INDEX(FactorTable!$B$2:$Y$301, MATCH(ROUND(MIN(300,MAX(1,D1441)),0), FactorTable!$A$2:$A$301,0), Skills!M7+1)</f>
        <v/>
      </c>
      <c r="F1441">
        <f>IF(Skills!N7=TRUE,(Skills!L7/10)*(E1441/1000),Skills!L7/10)+Skills!O7</f>
        <v/>
      </c>
      <c r="G1441">
        <f>Calc!G7</f>
        <v/>
      </c>
      <c r="H1441">
        <f>Calc!H7</f>
        <v/>
      </c>
      <c r="I1441">
        <f>IF(Skills!X7&lt;&gt;"",1+(Skills!X7/10)*(Z1437/1000)/100,1)</f>
        <v/>
      </c>
      <c r="J1441">
        <f>((Inputs!$B$6*(1+Inputs!$B$7/100))+(((Inputs!$B$12*(1+Inputs!$B$13/100))-(Inputs!$B$12*(1+Inputs!$B$13/100)))+0.25*(Inputs!$B$14-Inputs!$B$14))*(1+Inputs!$B$7/100))*(F1441/100)</f>
        <v/>
      </c>
      <c r="K1441">
        <f>J1441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1441)</f>
        <v/>
      </c>
      <c r="L1441">
        <f>K1441*(MIN(Inputs!$B$22+(F1456-Calc!F22),(Inputs!$B$23+(IF(ArtifactsInput!$M$15,CHOOSE(ArtifactsInput!$N$15+1,25,30,35,40,45,50)/100*(Inputs!$B$11-Inputs!$B$11),0))))/100+(Inputs!$B$23+(IF(ArtifactsInput!$M$15,CHOOSE(ArtifactsInput!$N$15+1,25,30,35,40,45,50)/100*(Inputs!$B$11-Inputs!$B$11),0)))/100)/2</f>
        <v/>
      </c>
      <c r="M1441">
        <f>L1441*(1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1">
        <f>L1441*(1-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1">
        <f>(1-Summary!$B$11)*S1441+Summary!$B$11*U1441</f>
        <v/>
      </c>
      <c r="P1441">
        <f>IF(B1475=0,0,O1441/B1475)</f>
        <v/>
      </c>
      <c r="Q1441">
        <f>IFERROR(1/(IF(Inputs!$B$38="pvp",15,MAX(0.1,Skills!E7-IF(Skills!F7=TRUE,Inputs!$B$32,0)))*(1-IF(AND(ArtifactsInput!$M$27,Inputs!$B$4="Chapter Hunt"),CHOOSE(ArtifactsInput!$N$27+1,20,24,28,32,36,40),0)/100)),0)</f>
        <v/>
      </c>
      <c r="R1441">
        <f>IF(AND(Inputs!$B$38&lt;&gt;"pvp",Inputs!$B$43&gt;0),IF(MAX(0,Inputs!$B$43-B1472)&lt;=0,0,(INT(MAX(0,Inputs!$B$43-B1472)/(IF(Inputs!$B$38="pvp",15,MAX(0.1,Skills!E7-IF(Skills!F7=TRUE,Inputs!$B$32,0)))*(1-IF(AND(ArtifactsInput!$M$27,Inputs!$B$4="Chapter Hunt"),CHOOSE(ArtifactsInput!$N$27+1,20,24,28,32,36,40),0)/100)))+1)),0)</f>
        <v/>
      </c>
      <c r="S1441">
        <f>IF(C1441,(H1441*N1441*IF(AND(Inputs!$B$38&lt;&gt;"pvp",Inputs!$B$43&gt;0),((Skills!G7*((R1441-1)*IF(Skills!H7&gt;0,Skills!I7/Skills!H7,1)+IF(Skills!H7&gt;0,MIN(Skills!I7,MAX(0,MAX(0,Inputs!$B$43-B1472)-((R1441-1)*(IF(Inputs!$B$38="pvp",15,MAX(0.1,Skills!E7-IF(Skills!F7=TRUE,Inputs!$B$32,0)))*(1-IF(AND(ArtifactsInput!$M$27,Inputs!$B$4="Chapter Hunt"),CHOOSE(ArtifactsInput!$N$27+1,20,24,28,32,36,40),0)/100)))))/Skills!H7,1)))/Inputs!$B$43),G1441*Q1441)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1441*(1-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1441*(1-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41">
        <f>IF(C1441,(H1441*N1441*IF(AND(Inputs!$B$38&lt;&gt;"pvp",Inputs!$B$43&gt;0),((Skills!G7*((R1441-1)*IF(Skills!H7&gt;0,Skills!I7/Skills!H7,1)+IF(Skills!H7&gt;0,MIN(Skills!I7,MAX(0,MAX(0,Inputs!$B$43-B1472)-((R1441-1)*(IF(Inputs!$B$38="pvp",15,MAX(0.1,Skills!E7-IF(Skills!F7=TRUE,Inputs!$B$32,0)))*(1-IF(AND(ArtifactsInput!$M$27,Inputs!$B$4="Chapter Hunt"),CHOOSE(ArtifactsInput!$N$27+1,20,24,28,32,36,40),0)/100)))))/Skills!H7,1)))/Inputs!$B$43),G1441*Q1441)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2">
      <c r="A1442">
        <f>Skills!A8</f>
        <v/>
      </c>
      <c r="B1442">
        <f>Skills!B8</f>
        <v/>
      </c>
      <c r="C1442">
        <f>TRUE</f>
        <v/>
      </c>
      <c r="D1442">
        <f>IF(Skills!C8=1,60+Inputs!$B$25+Inputs!$B$29,IF(Skills!C8=2,90+Inputs!$B$26+Inputs!$B$29,IF(Skills!C8=3,120+Inputs!$B$27+Inputs!$B$29,MAX(0,(Inputs!$B$3-100)*3)+Inputs!$B$28+Inputs!$B$29)))</f>
        <v/>
      </c>
      <c r="E1442">
        <f>INDEX(FactorTable!$B$2:$Y$301, MATCH(ROUND(MIN(300,MAX(1,D1442)),0), FactorTable!$A$2:$A$301,0), Skills!M8+1)</f>
        <v/>
      </c>
      <c r="F1442">
        <f>IF(Skills!N8=TRUE,(Skills!L8/10)*(E1442/1000),Skills!L8/10)+Skills!O8</f>
        <v/>
      </c>
      <c r="G1442">
        <f>Calc!G8</f>
        <v/>
      </c>
      <c r="H1442">
        <f>Calc!H8</f>
        <v/>
      </c>
      <c r="I1442">
        <f>IF(Skills!X8&lt;&gt;"",1+(Skills!X8/10)*(Z1437/1000)/100,1)</f>
        <v/>
      </c>
      <c r="J1442">
        <f>((Inputs!$B$6*(1+Inputs!$B$7/100))+(((Inputs!$B$12*(1+Inputs!$B$13/100))-(Inputs!$B$12*(1+Inputs!$B$13/100)))+0.25*(Inputs!$B$14-Inputs!$B$14))*(1+Inputs!$B$7/100))*(F1442/100)</f>
        <v/>
      </c>
      <c r="K1442">
        <f>J1442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1442)</f>
        <v/>
      </c>
      <c r="L1442">
        <f>K1442*(MIN(Inputs!$B$22+(F1456-Calc!F22),(Inputs!$B$23+(IF(ArtifactsInput!$M$15,CHOOSE(ArtifactsInput!$N$15+1,25,30,35,40,45,50)/100*(Inputs!$B$11-Inputs!$B$11),0))))/100+(Inputs!$B$23+(IF(ArtifactsInput!$M$15,CHOOSE(ArtifactsInput!$N$15+1,25,30,35,40,45,50)/100*(Inputs!$B$11-Inputs!$B$11),0)))/100)/2</f>
        <v/>
      </c>
      <c r="M1442">
        <f>L1442*(1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2">
        <f>L1442*(1-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1442*(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2">
        <f>(1-Summary!$B$11)*S1442+Summary!$B$11*U1442</f>
        <v/>
      </c>
      <c r="P1442">
        <f>IF(B1475=0,0,O1442/B1475)</f>
        <v/>
      </c>
      <c r="Q1442">
        <f>IFERROR(1/(IF(Inputs!$B$38="pvp",15,MAX(0.1,Skills!E8-IF(Skills!F8=TRUE,Inputs!$B$32,0)))*(1-IF(AND(ArtifactsInput!$M$27,Inputs!$B$4="Chapter Hunt"),CHOOSE(ArtifactsInput!$N$27+1,20,24,28,32,36,40),0)/100)),0)</f>
        <v/>
      </c>
      <c r="R1442">
        <f>IF(AND(Inputs!$B$38&lt;&gt;"pvp",Inputs!$B$43&gt;0),IF(MAX(0,Inputs!$B$43-B1472)&lt;=0,0,(INT(MAX(0,Inputs!$B$43-B1472)/(IF(Inputs!$B$38="pvp",15,MAX(0.1,Skills!E8-IF(Skills!F8=TRUE,Inputs!$B$32,0)))*(1-IF(AND(ArtifactsInput!$M$27,Inputs!$B$4="Chapter Hunt"),CHOOSE(ArtifactsInput!$N$27+1,20,24,28,32,36,40),0)/100)))+1)),0)</f>
        <v/>
      </c>
      <c r="S1442">
        <f>IF(C1442,(H1442*N1442*IF(AND(Inputs!$B$38&lt;&gt;"pvp",Inputs!$B$43&gt;0),((Skills!G8*((R1442-1)*IF(Skills!H8&gt;0,Skills!I8/Skills!H8,1)+IF(Skills!H8&gt;0,MIN(Skills!I8,MAX(0,MAX(0,Inputs!$B$43-B1472)-((R1442-1)*(IF(Inputs!$B$38="pvp",15,MAX(0.1,Skills!E8-IF(Skills!F8=TRUE,Inputs!$B$32,0)))*(1-IF(AND(ArtifactsInput!$M$27,Inputs!$B$4="Chapter Hunt"),CHOOSE(ArtifactsInput!$N$27+1,20,24,28,32,36,40),0)/100)))))/Skills!H8,1)))/Inputs!$B$43),G1442*Q1442)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1442*(1-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1442*(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1442*(1-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1442*(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42">
        <f>IF(C1442,(H1442*N1442*IF(AND(Inputs!$B$38&lt;&gt;"pvp",Inputs!$B$43&gt;0),((Skills!G8*((R1442-1)*IF(Skills!H8&gt;0,Skills!I8/Skills!H8,1)+IF(Skills!H8&gt;0,MIN(Skills!I8,MAX(0,MAX(0,Inputs!$B$43-B1472)-((R1442-1)*(IF(Inputs!$B$38="pvp",15,MAX(0.1,Skills!E8-IF(Skills!F8=TRUE,Inputs!$B$32,0)))*(1-IF(AND(ArtifactsInput!$M$27,Inputs!$B$4="Chapter Hunt"),CHOOSE(ArtifactsInput!$N$27+1,20,24,28,32,36,40),0)/100)))))/Skills!H8,1)))/Inputs!$B$43),G1442*Q1442)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3">
      <c r="A1443">
        <f>Skills!A9</f>
        <v/>
      </c>
      <c r="B1443">
        <f>Skills!B9</f>
        <v/>
      </c>
      <c r="C1443">
        <f>Inputs!$B$3&gt;=103</f>
        <v/>
      </c>
      <c r="D1443">
        <f>IF(Skills!C9=1,60+Inputs!$B$25+Inputs!$B$29,IF(Skills!C9=2,90+Inputs!$B$26+Inputs!$B$29,IF(Skills!C9=3,120+Inputs!$B$27+Inputs!$B$29,MAX(0,(Inputs!$B$3-100)*3)+Inputs!$B$28+Inputs!$B$29)))</f>
        <v/>
      </c>
      <c r="E1443">
        <f>INDEX(FactorTable!$B$2:$Y$301, MATCH(ROUND(MIN(300,MAX(1,D1443)),0), FactorTable!$A$2:$A$301,0), Skills!M9+1)</f>
        <v/>
      </c>
      <c r="F1443">
        <f>IF(Skills!N9=TRUE,(Skills!L9/10)*(E1443/1000),Skills!L9/10)+Skills!O9</f>
        <v/>
      </c>
      <c r="G1443">
        <f>Calc!G9</f>
        <v/>
      </c>
      <c r="H1443">
        <f>Calc!H9</f>
        <v/>
      </c>
      <c r="I1443">
        <f>IF(Skills!X9&lt;&gt;"",1+(Skills!X9/10)*(Z1437/1000)/100,1)</f>
        <v/>
      </c>
      <c r="J1443">
        <f>((Inputs!$B$6*(1+Inputs!$B$7/100))+(((Inputs!$B$12*(1+Inputs!$B$13/100))-(Inputs!$B$12*(1+Inputs!$B$13/100)))+0.25*(Inputs!$B$14-Inputs!$B$14))*(1+Inputs!$B$7/100))*(F1443/100)</f>
        <v/>
      </c>
      <c r="K1443">
        <f>J1443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1443)</f>
        <v/>
      </c>
      <c r="L1443">
        <f>K1443*(MIN(Inputs!$B$22+(F1456-Calc!F22),(Inputs!$B$23+(IF(ArtifactsInput!$M$15,CHOOSE(ArtifactsInput!$N$15+1,25,30,35,40,45,50)/100*(Inputs!$B$11-Inputs!$B$11),0))))/100+(Inputs!$B$23+(IF(ArtifactsInput!$M$15,CHOOSE(ArtifactsInput!$N$15+1,25,30,35,40,45,50)/100*(Inputs!$B$11-Inputs!$B$11),0)))/100)/2</f>
        <v/>
      </c>
      <c r="M1443">
        <f>L1443*(1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3">
        <f>L1443*(1-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1443*(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3">
        <f>(1-Summary!$B$11)*S1443+Summary!$B$11*U1443</f>
        <v/>
      </c>
      <c r="P1443">
        <f>IF(B1475=0,0,O1443/B1475)</f>
        <v/>
      </c>
      <c r="Q1443">
        <f>IFERROR(1/(IF(Inputs!$B$38="pvp",15,MAX(0.1,Skills!E9-IF(Skills!F7=TRUE,Inputs!$B$32,0)))*(1-IF(AND(ArtifactsInput!$M$27,Inputs!$B$4="Chapter Hunt"),CHOOSE(ArtifactsInput!$N$27+1,20,24,28,32,36,40),0)/100)),0)</f>
        <v/>
      </c>
      <c r="R1443">
        <f>IF(AND(Inputs!$B$38&lt;&gt;"pvp",Inputs!$B$43&gt;0),IF(MAX(0,Inputs!$B$43-B1472)&lt;=0,0,(INT(MAX(0,Inputs!$B$43-B1472)/(IF(Inputs!$B$38="pvp",15,MAX(0.1,Skills!E9-IF(Skills!F7=TRUE,Inputs!$B$32,0)))*(1-IF(AND(ArtifactsInput!$M$27,Inputs!$B$4="Chapter Hunt"),CHOOSE(ArtifactsInput!$N$27+1,20,24,28,32,36,40),0)/100)))+1)),0)</f>
        <v/>
      </c>
      <c r="S1443">
        <f>IF(C1443,(H1443*N1443*IF(AND(Inputs!$B$38&lt;&gt;"pvp",Inputs!$B$43&gt;0),((Skills!G9*((R1443-1)*IF(Skills!H9&gt;0,Skills!I9/Skills!H9,1)+IF(Skills!H9&gt;0,MIN(Skills!I9,MAX(0,MAX(0,Inputs!$B$43-B1472)-((R1443-1)*(IF(Inputs!$B$38="pvp",15,MAX(0.1,Skills!E9-IF(Skills!F7=TRUE,Inputs!$B$32,0)))*(1-IF(AND(ArtifactsInput!$M$27,Inputs!$B$4="Chapter Hunt"),CHOOSE(ArtifactsInput!$N$27+1,20,24,28,32,36,40),0)/100)))))/Skills!H9,1)))/Inputs!$B$43),G1443*Q1443)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1443*(1-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1443*(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1443*(1-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1443*(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43">
        <f>IF(C1443,(H1443*N1443*IF(AND(Inputs!$B$38&lt;&gt;"pvp",Inputs!$B$43&gt;0),((Skills!G9*((R1443-1)*IF(Skills!H9&gt;0,Skills!I9/Skills!H9,1)+IF(Skills!H9&gt;0,MIN(Skills!I9,MAX(0,MAX(0,Inputs!$B$43-B1472)-((R1443-1)*(IF(Inputs!$B$38="pvp",15,MAX(0.1,Skills!E9-IF(Skills!F7=TRUE,Inputs!$B$32,0)))*(1-IF(AND(ArtifactsInput!$M$27,Inputs!$B$4="Chapter Hunt"),CHOOSE(ArtifactsInput!$N$27+1,20,24,28,32,36,40),0)/100)))))/Skills!H9,1)))/Inputs!$B$43),G1443*Q1443)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4">
      <c r="A1444">
        <f>Skills!A10</f>
        <v/>
      </c>
      <c r="B1444">
        <f>Skills!B10</f>
        <v/>
      </c>
      <c r="C1444">
        <f>TRUE</f>
        <v/>
      </c>
      <c r="D1444">
        <f>IF(Skills!C10=1,60+Inputs!$B$25+Inputs!$B$29,IF(Skills!C10=2,90+Inputs!$B$26+Inputs!$B$29,IF(Skills!C10=3,120+Inputs!$B$27+Inputs!$B$29,MAX(0,(Inputs!$B$3-100)*3)+Inputs!$B$28+Inputs!$B$29)))</f>
        <v/>
      </c>
      <c r="E1444">
        <f>INDEX(FactorTable!$B$2:$Y$301, MATCH(ROUND(MIN(300,MAX(1,D1444)),0), FactorTable!$A$2:$A$301,0), Skills!M10+1)</f>
        <v/>
      </c>
      <c r="F1444">
        <f>IF(Skills!N10=TRUE,(Skills!L10/10)*(E1444/1000),Skills!L10/10)+Skills!O10</f>
        <v/>
      </c>
      <c r="G1444">
        <f>Calc!G10</f>
        <v/>
      </c>
      <c r="H1444">
        <f>Calc!H10</f>
        <v/>
      </c>
      <c r="I1444">
        <f>IF(Skills!X10&lt;&gt;"",1+(Skills!X10/10)*(Z1437/1000)/100,1)</f>
        <v/>
      </c>
      <c r="J1444">
        <f>((Inputs!$B$6*(1+Inputs!$B$7/100))+(((Inputs!$B$12*(1+Inputs!$B$13/100))-(Inputs!$B$12*(1+Inputs!$B$13/100)))+0.25*(Inputs!$B$14-Inputs!$B$14))*(1+Inputs!$B$7/100))*(F1444/100)</f>
        <v/>
      </c>
      <c r="K1444">
        <f>J1444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1444)</f>
        <v/>
      </c>
      <c r="L1444">
        <f>K1444*(MIN(Inputs!$B$22+(F1456-Calc!F22),(Inputs!$B$23+(IF(ArtifactsInput!$M$15,CHOOSE(ArtifactsInput!$N$15+1,25,30,35,40,45,50)/100*(Inputs!$B$11-Inputs!$B$11),0))))/100+(Inputs!$B$23+(IF(ArtifactsInput!$M$15,CHOOSE(ArtifactsInput!$N$15+1,25,30,35,40,45,50)/100*(Inputs!$B$11-Inputs!$B$11),0)))/100)/2</f>
        <v/>
      </c>
      <c r="M1444">
        <f>L1444*(1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4">
        <f>L1444*(1-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1444*(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4">
        <f>(1-Summary!$B$11)*S1444+Summary!$B$11*U1444</f>
        <v/>
      </c>
      <c r="P1444">
        <f>IF(B1475=0,0,O1444/B1475)</f>
        <v/>
      </c>
      <c r="Q1444">
        <f>IFERROR(1/(IF(Inputs!$B$38="pvp",15,MAX(0.1,Skills!E10-IF(Skills!F10=TRUE,Inputs!$B$32,0)))*(1-IF(AND(ArtifactsInput!$M$27,Inputs!$B$4="Chapter Hunt"),CHOOSE(ArtifactsInput!$N$27+1,20,24,28,32,36,40),0)/100)),0)</f>
        <v/>
      </c>
      <c r="R1444">
        <f>IF(AND(Inputs!$B$38&lt;&gt;"pvp",Inputs!$B$43&gt;0),IF(MAX(0,Inputs!$B$43-B1472)&lt;=0,0,(INT(MAX(0,Inputs!$B$43-B1472)/(IF(Inputs!$B$38="pvp",15,MAX(0.1,Skills!E10-IF(Skills!F10=TRUE,Inputs!$B$32,0)))*(1-IF(AND(ArtifactsInput!$M$27,Inputs!$B$4="Chapter Hunt"),CHOOSE(ArtifactsInput!$N$27+1,20,24,28,32,36,40),0)/100)))+1)),0)</f>
        <v/>
      </c>
      <c r="S1444">
        <f>IF(C1444,(H1444*N1444*IF(AND(Inputs!$B$38&lt;&gt;"pvp",Inputs!$B$43&gt;0),((Skills!G10*((R1444-1)*IF(Skills!H10&gt;0,Skills!I10/Skills!H10,1)+IF(Skills!H10&gt;0,MIN(Skills!I10,MAX(0,MAX(0,Inputs!$B$43-B1472)-((R1444-1)*(IF(Inputs!$B$38="pvp",15,MAX(0.1,Skills!E10-IF(Skills!F10=TRUE,Inputs!$B$32,0)))*(1-IF(AND(ArtifactsInput!$M$27,Inputs!$B$4="Chapter Hunt"),CHOOSE(ArtifactsInput!$N$27+1,20,24,28,32,36,40),0)/100)))))/Skills!H10,1)))/Inputs!$B$43),G1444*Q1444)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1444*(1-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1444*(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1444*(1-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1444*(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44">
        <f>IF(C1444,(H1444*N1444*IF(AND(Inputs!$B$38&lt;&gt;"pvp",Inputs!$B$43&gt;0),((Skills!G10*((R1444-1)*IF(Skills!H10&gt;0,Skills!I10/Skills!H10,1)+IF(Skills!H10&gt;0,MIN(Skills!I10,MAX(0,MAX(0,Inputs!$B$43-B1472)-((R1444-1)*(IF(Inputs!$B$38="pvp",15,MAX(0.1,Skills!E10-IF(Skills!F10=TRUE,Inputs!$B$32,0)))*(1-IF(AND(ArtifactsInput!$M$27,Inputs!$B$4="Chapter Hunt"),CHOOSE(ArtifactsInput!$N$27+1,20,24,28,32,36,40),0)/100)))))/Skills!H10,1)))/Inputs!$B$43),G1444*Q1444)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5">
      <c r="A1445">
        <f>Skills!A11</f>
        <v/>
      </c>
      <c r="B1445">
        <f>Skills!B11</f>
        <v/>
      </c>
      <c r="C1445">
        <f>TRUE</f>
        <v/>
      </c>
      <c r="D1445">
        <f>IF(Skills!C11=1,60+Inputs!$B$25+Inputs!$B$29,IF(Skills!C11=2,90+Inputs!$B$26+Inputs!$B$29,IF(Skills!C11=3,120+Inputs!$B$27+Inputs!$B$29,MAX(0,(Inputs!$B$3-100)*3)+Inputs!$B$28+Inputs!$B$29)))</f>
        <v/>
      </c>
      <c r="E1445">
        <f>INDEX(FactorTable!$B$2:$Y$301, MATCH(ROUND(MIN(300,MAX(1,D1445)),0), FactorTable!$A$2:$A$301,0), Skills!M11+1)</f>
        <v/>
      </c>
      <c r="F1445">
        <f>IF(Skills!N11=TRUE,(Skills!L11/10)*(E1445/1000),Skills!L11/10)+Skills!O11</f>
        <v/>
      </c>
      <c r="G1445">
        <f>Calc!G11</f>
        <v/>
      </c>
      <c r="H1445">
        <f>Calc!H11</f>
        <v/>
      </c>
      <c r="I1445">
        <f>IF(Skills!X11&lt;&gt;"",1+(Skills!X11/10)*(Z1437/1000)/100,1)</f>
        <v/>
      </c>
      <c r="J1445" t="inlineStr"/>
      <c r="K1445" t="inlineStr"/>
      <c r="L1445" t="inlineStr"/>
      <c r="M1445" t="inlineStr"/>
      <c r="N1445" t="inlineStr"/>
      <c r="O1445">
        <f>(1-Summary!$B$11)*S1445+Summary!$B$11*U1445</f>
        <v/>
      </c>
      <c r="P1445">
        <f>IF(B1475=0,0,O1445/B1475)</f>
        <v/>
      </c>
      <c r="Q1445">
        <f>IFERROR(1/(IF(Inputs!$B$38="pvp",15,MAX(0.1,Skills!E11-IF(Skills!F11=TRUE,Inputs!$B$32,0)))*(1-IF(AND(ArtifactsInput!$M$27,Inputs!$B$4="Chapter Hunt"),CHOOSE(ArtifactsInput!$N$27+1,20,24,28,32,36,40),0)/100)),0)</f>
        <v/>
      </c>
      <c r="R1445" t="n">
        <v>0</v>
      </c>
      <c r="S1445" t="n">
        <v>0</v>
      </c>
      <c r="U1445" t="n">
        <v>0</v>
      </c>
    </row>
    <row r="1446">
      <c r="A1446">
        <f>Skills!A12</f>
        <v/>
      </c>
      <c r="B1446">
        <f>Skills!B12</f>
        <v/>
      </c>
      <c r="C1446">
        <f>TRUE</f>
        <v/>
      </c>
      <c r="D1446">
        <f>IF(Skills!C12=1,60+Inputs!$B$25+Inputs!$B$29,IF(Skills!C12=2,90+Inputs!$B$26+Inputs!$B$29,IF(Skills!C12=3,120+Inputs!$B$27+Inputs!$B$29,MAX(0,(Inputs!$B$3-100)*3)+Inputs!$B$28+Inputs!$B$29)))</f>
        <v/>
      </c>
      <c r="E1446">
        <f>INDEX(FactorTable!$B$2:$Y$301, MATCH(ROUND(MIN(300,MAX(1,D1446)),0), FactorTable!$A$2:$A$301,0), Skills!M12+1)</f>
        <v/>
      </c>
      <c r="F1446">
        <f>IF(Skills!N12=TRUE,(Skills!L12/10)*(E1446/1000),Skills!L12/10)+Skills!O12</f>
        <v/>
      </c>
      <c r="G1446">
        <f>Calc!G12</f>
        <v/>
      </c>
      <c r="H1446">
        <f>Calc!H12</f>
        <v/>
      </c>
      <c r="I1446">
        <f>IF(Skills!X12&lt;&gt;"",1+(Skills!X12/10)*(Z1437/1000)/100,1)</f>
        <v/>
      </c>
      <c r="J1446" t="inlineStr"/>
      <c r="K1446" t="inlineStr"/>
      <c r="L1446" t="inlineStr"/>
      <c r="M1446" t="inlineStr"/>
      <c r="N1446" t="inlineStr"/>
      <c r="O1446">
        <f>(1-Summary!$B$11)*S1446+Summary!$B$11*U1446</f>
        <v/>
      </c>
      <c r="P1446">
        <f>IF(B1475=0,0,O1446/B1475)</f>
        <v/>
      </c>
      <c r="Q1446">
        <f>IFERROR(1/(IF(Inputs!$B$38="pvp",15,MAX(0.1,Skills!E12-IF(Skills!F12=TRUE,Inputs!$B$32,0)))*(1-IF(AND(ArtifactsInput!$M$27,Inputs!$B$4="Chapter Hunt"),CHOOSE(ArtifactsInput!$N$27+1,20,24,28,32,36,40),0)/100)),0)</f>
        <v/>
      </c>
      <c r="R1446" t="n">
        <v>0</v>
      </c>
      <c r="S1446" t="n">
        <v>0</v>
      </c>
      <c r="U1446" t="n">
        <v>0</v>
      </c>
    </row>
    <row r="1447">
      <c r="A1447">
        <f>Skills!A13</f>
        <v/>
      </c>
      <c r="B1447">
        <f>Skills!B13</f>
        <v/>
      </c>
      <c r="C1447">
        <f>Inputs!$B$3&gt;=105</f>
        <v/>
      </c>
      <c r="D1447">
        <f>IF(Skills!C13=1,60+Inputs!$B$25+Inputs!$B$29,IF(Skills!C13=2,90+Inputs!$B$26+Inputs!$B$29,IF(Skills!C13=3,120+Inputs!$B$27+Inputs!$B$29,MAX(0,(Inputs!$B$3-100)*3)+Inputs!$B$28+Inputs!$B$29)))</f>
        <v/>
      </c>
      <c r="E1447">
        <f>INDEX(FactorTable!$B$2:$Y$301, MATCH(ROUND(MIN(300,MAX(1,D1447)),0), FactorTable!$A$2:$A$301,0), Skills!M13+1)</f>
        <v/>
      </c>
      <c r="F1447">
        <f>IF(Skills!N13=TRUE,(Skills!L13/10)*(E1447/1000),Skills!L13/10)+Skills!O13</f>
        <v/>
      </c>
      <c r="G1447">
        <f>Calc!G13</f>
        <v/>
      </c>
      <c r="H1447">
        <f>Calc!H13</f>
        <v/>
      </c>
      <c r="I1447">
        <f>IF(Skills!X13&lt;&gt;"",1+(Skills!X13/10)*(Z1437/1000)/100,1)</f>
        <v/>
      </c>
      <c r="J1447">
        <f>((Inputs!$B$6*(1+Inputs!$B$7/100))+(((Inputs!$B$12*(1+Inputs!$B$13/100))-(Inputs!$B$12*(1+Inputs!$B$13/100)))+0.25*(Inputs!$B$14-Inputs!$B$14))*(1+Inputs!$B$7/100))*(F1447/100)</f>
        <v/>
      </c>
      <c r="K1447">
        <f>J1447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1447)</f>
        <v/>
      </c>
      <c r="L1447">
        <f>K1447*(MIN(Inputs!$B$22+(F1456-Calc!F22),(Inputs!$B$23+(IF(ArtifactsInput!$M$15,CHOOSE(ArtifactsInput!$N$15+1,25,30,35,40,45,50)/100*(Inputs!$B$11-Inputs!$B$11),0))))/100+(Inputs!$B$23+(IF(ArtifactsInput!$M$15,CHOOSE(ArtifactsInput!$N$15+1,25,30,35,40,45,50)/100*(Inputs!$B$11-Inputs!$B$11),0)))/100)/2</f>
        <v/>
      </c>
      <c r="M1447">
        <f>L1447*(1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7">
        <f>L1447*(1-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1447*(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7">
        <f>(1-Summary!$B$11)*S1447+Summary!$B$11*U1447</f>
        <v/>
      </c>
      <c r="P1447">
        <f>IF(B1475=0,0,O1447/B1475)</f>
        <v/>
      </c>
      <c r="Q1447">
        <f>IFERROR(1/(IF(Inputs!$B$38="pvp",15,MAX(0.1,Skills!E13-IF(Skills!F13=TRUE,Inputs!$B$32,0)))*(1-IF(AND(ArtifactsInput!$M$27,Inputs!$B$4="Chapter Hunt"),CHOOSE(ArtifactsInput!$N$27+1,20,24,28,32,36,40),0)/100)),0)</f>
        <v/>
      </c>
      <c r="R1447">
        <f>IF(AND(Inputs!$B$38&lt;&gt;"pvp",Inputs!$B$43&gt;0),IF(MAX(0,Inputs!$B$43-B1472)&lt;=0,0,(INT(MAX(0,Inputs!$B$43-B1472)/(IF(Inputs!$B$38="pvp",15,MAX(0.1,Skills!E13-IF(Skills!F13=TRUE,Inputs!$B$32,0)))*(1-IF(AND(ArtifactsInput!$M$27,Inputs!$B$4="Chapter Hunt"),CHOOSE(ArtifactsInput!$N$27+1,20,24,28,32,36,40),0)/100)))+1)),0)</f>
        <v/>
      </c>
      <c r="S1447">
        <f>IF(C1447,(H1447*N1447*IF(AND(Inputs!$B$38&lt;&gt;"pvp",Inputs!$B$43&gt;0),((Skills!G13*((R1447-1)*IF(Skills!H13&gt;0,Skills!I13/Skills!H13,1)+IF(Skills!H13&gt;0,MIN(Skills!I13,MAX(0,MAX(0,Inputs!$B$43-B1472)-((R1447-1)*(IF(Inputs!$B$38="pvp",15,MAX(0.1,Skills!E13-IF(Skills!F13=TRUE,Inputs!$B$32,0)))*(1-IF(AND(ArtifactsInput!$M$27,Inputs!$B$4="Chapter Hunt"),CHOOSE(ArtifactsInput!$N$27+1,20,24,28,32,36,40),0)/100)))))/Skills!H13,1)))/Inputs!$B$43),G1447*Q1447)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1447*(1-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1447*(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1447*(1-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1447*(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47">
        <f>IF(C1447,(H1447*N1447*IF(AND(Inputs!$B$38&lt;&gt;"pvp",Inputs!$B$43&gt;0),((Skills!G13*((R1447-1)*IF(Skills!H13&gt;0,Skills!I13/Skills!H13,1)+IF(Skills!H13&gt;0,MIN(Skills!I13,MAX(0,MAX(0,Inputs!$B$43-B1472)-((R1447-1)*(IF(Inputs!$B$38="pvp",15,MAX(0.1,Skills!E13-IF(Skills!F13=TRUE,Inputs!$B$32,0)))*(1-IF(AND(ArtifactsInput!$M$27,Inputs!$B$4="Chapter Hunt"),CHOOSE(ArtifactsInput!$N$27+1,20,24,28,32,36,40),0)/100)))))/Skills!H13,1)))/Inputs!$B$43),G1447*Q1447)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8">
      <c r="A1448">
        <f>Skills!A14</f>
        <v/>
      </c>
      <c r="B1448">
        <f>Skills!B14</f>
        <v/>
      </c>
      <c r="C1448">
        <f>Inputs!$B$3&gt;=113</f>
        <v/>
      </c>
      <c r="D1448">
        <f>IF(Skills!C14=1,60+Inputs!$B$25+Inputs!$B$29,IF(Skills!C14=2,90+Inputs!$B$26+Inputs!$B$29,IF(Skills!C14=3,120+Inputs!$B$27+Inputs!$B$29,MAX(0,(Inputs!$B$3-100)*3)+Inputs!$B$28+Inputs!$B$29)))</f>
        <v/>
      </c>
      <c r="E1448">
        <f>INDEX(FactorTable!$B$2:$Y$301, MATCH(ROUND(MIN(300,MAX(1,D1448)),0), FactorTable!$A$2:$A$301,0), Skills!M14+1)</f>
        <v/>
      </c>
      <c r="F1448">
        <f>IF(Skills!N14=TRUE,(Skills!L14/10)*(E1448/1000),Skills!L14/10)+Skills!O14</f>
        <v/>
      </c>
      <c r="G1448">
        <f>Calc!G14</f>
        <v/>
      </c>
      <c r="H1448">
        <f>Calc!H14</f>
        <v/>
      </c>
      <c r="I1448">
        <f>IF(Skills!X14&lt;&gt;"",1+(Skills!X14/10)*(Z1437/1000)/100,1)</f>
        <v/>
      </c>
      <c r="J1448">
        <f>((Inputs!$B$6*(1+Inputs!$B$7/100))+(((Inputs!$B$12*(1+Inputs!$B$13/100))-(Inputs!$B$12*(1+Inputs!$B$13/100)))+0.25*(Inputs!$B$14-Inputs!$B$14))*(1+Inputs!$B$7/100))*(F1448/100)</f>
        <v/>
      </c>
      <c r="K1448">
        <f>J1448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1448)</f>
        <v/>
      </c>
      <c r="L1448">
        <f>K1448*(MIN(Inputs!$B$22+(F1456-Calc!F22),(Inputs!$B$23+(IF(ArtifactsInput!$M$15,CHOOSE(ArtifactsInput!$N$15+1,25,30,35,40,45,50)/100*(Inputs!$B$11-Inputs!$B$11),0))))/100+(Inputs!$B$23+(IF(ArtifactsInput!$M$15,CHOOSE(ArtifactsInput!$N$15+1,25,30,35,40,45,50)/100*(Inputs!$B$11-Inputs!$B$11),0)))/100)/2</f>
        <v/>
      </c>
      <c r="M1448">
        <f>L1448*(1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8">
        <f>L1448*(1-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1448*(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8">
        <f>(1-Summary!$B$11)*S1448+Summary!$B$11*U1448</f>
        <v/>
      </c>
      <c r="P1448">
        <f>IF(B1475=0,0,O1448/B1475)</f>
        <v/>
      </c>
      <c r="Q1448">
        <f>IFERROR(1/(IF(Inputs!$B$38="pvp",15,MAX(0.1,Skills!E14-IF(Skills!F14=TRUE,Inputs!$B$32,0)))*(1-IF(AND(ArtifactsInput!$M$27,Inputs!$B$4="Chapter Hunt"),CHOOSE(ArtifactsInput!$N$27+1,20,24,28,32,36,40),0)/100)),0)</f>
        <v/>
      </c>
      <c r="R1448" t="n">
        <v>0</v>
      </c>
      <c r="S1448">
        <f>IF(C1448,((H1448*B1471)/(1+Skills!H14*H1448*B1471)*N1448)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1448*(1-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1448*(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1448*(1-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1448*(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48">
        <f>IF(C1448,((H1448*B1471)/(1+Skills!H14*H1448*B1471)*N1448)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9">
      <c r="A1449">
        <f>Skills!A15</f>
        <v/>
      </c>
      <c r="B1449">
        <f>Skills!B15</f>
        <v/>
      </c>
      <c r="C1449">
        <f>Inputs!$B$3&gt;=107</f>
        <v/>
      </c>
      <c r="D1449">
        <f>IF(Skills!C15=1,60+Inputs!$B$25+Inputs!$B$29,IF(Skills!C15=2,90+Inputs!$B$26+Inputs!$B$29,IF(Skills!C15=3,120+Inputs!$B$27+Inputs!$B$29,MAX(0,(Inputs!$B$3-100)*3)+Inputs!$B$28+Inputs!$B$29)))</f>
        <v/>
      </c>
      <c r="E1449">
        <f>INDEX(FactorTable!$B$2:$Y$301, MATCH(ROUND(MIN(300,MAX(1,D1449)),0), FactorTable!$A$2:$A$301,0), Skills!M15+1)</f>
        <v/>
      </c>
      <c r="F1449">
        <f>IF(Skills!N15=TRUE,(Skills!L15/10)*(E1449/1000),Skills!L15/10)+Skills!O15</f>
        <v/>
      </c>
      <c r="G1449">
        <f>Calc!G15</f>
        <v/>
      </c>
      <c r="H1449">
        <f>Calc!H15</f>
        <v/>
      </c>
      <c r="I1449">
        <f>IF(Skills!X15&lt;&gt;"",1+(Skills!X15/10)*(Z1437/1000)/100,1)</f>
        <v/>
      </c>
      <c r="J1449">
        <f>((Inputs!$B$6*(1+Inputs!$B$7/100))+(((Inputs!$B$12*(1+Inputs!$B$13/100))-(Inputs!$B$12*(1+Inputs!$B$13/100)))+0.25*(Inputs!$B$14-Inputs!$B$14))*(1+Inputs!$B$7/100))*(F1449/100)</f>
        <v/>
      </c>
      <c r="K1449">
        <f>J1449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1449)</f>
        <v/>
      </c>
      <c r="L1449">
        <f>K1449*(MIN(Inputs!$B$22+(F1456-Calc!F22),(Inputs!$B$23+(IF(ArtifactsInput!$M$15,CHOOSE(ArtifactsInput!$N$15+1,25,30,35,40,45,50)/100*(Inputs!$B$11-Inputs!$B$11),0))))/100+(Inputs!$B$23+(IF(ArtifactsInput!$M$15,CHOOSE(ArtifactsInput!$N$15+1,25,30,35,40,45,50)/100*(Inputs!$B$11-Inputs!$B$11),0)))/100)/2</f>
        <v/>
      </c>
      <c r="M1449">
        <f>L1449*(1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9">
        <f>L1449*(1-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1449*(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9">
        <f>(1-Summary!$B$11)*S1449+Summary!$B$11*U1449</f>
        <v/>
      </c>
      <c r="P1449">
        <f>IF(B1475=0,0,O1449/B1475)</f>
        <v/>
      </c>
      <c r="Q1449">
        <f>IFERROR(1/(IF(Inputs!$B$38="pvp",15,MAX(0.1,Skills!E15-IF(Skills!F15=TRUE,Inputs!$B$32,0)))*(1-IF(AND(ArtifactsInput!$M$27,Inputs!$B$4="Chapter Hunt"),CHOOSE(ArtifactsInput!$N$27+1,20,24,28,32,36,40),0)/100)),0)</f>
        <v/>
      </c>
      <c r="R1449">
        <f>IF(AND(Inputs!$B$38&lt;&gt;"pvp",Inputs!$B$43&gt;0),IF(MAX(0,Inputs!$B$43-B1472)&lt;=0,0,(INT(MAX(0,Inputs!$B$43-B1472)/(IF(Inputs!$B$38="pvp",15,MAX(0.1,Skills!E15-IF(Skills!F15=TRUE,Inputs!$B$32,0)))*(1-IF(AND(ArtifactsInput!$M$27,Inputs!$B$4="Chapter Hunt"),CHOOSE(ArtifactsInput!$N$27+1,20,24,28,32,36,40),0)/100)))+1)),0)</f>
        <v/>
      </c>
      <c r="S1449">
        <f>IF(C1449,(H1449*N1449*IF(AND(Inputs!$B$38&lt;&gt;"pvp",Inputs!$B$43&gt;0),((Skills!G15*((R1449-1)*IF(Skills!H15&gt;0,Skills!I15/Skills!H15,1)+IF(Skills!H15&gt;0,MIN(Skills!I15,MAX(0,MAX(0,Inputs!$B$43-B1472)-((R1449-1)*(IF(Inputs!$B$38="pvp",15,MAX(0.1,Skills!E15-IF(Skills!F15=TRUE,Inputs!$B$32,0)))*(1-IF(AND(ArtifactsInput!$M$27,Inputs!$B$4="Chapter Hunt"),CHOOSE(ArtifactsInput!$N$27+1,20,24,28,32,36,40),0)/100)))))/Skills!H15,1)))/Inputs!$B$43),G1449*Q1449)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1449*(1-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1449*(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1449*(1-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1449*(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49">
        <f>IF(C1449,(H1449*N1449*IF(AND(Inputs!$B$38&lt;&gt;"pvp",Inputs!$B$43&gt;0),((Skills!G15*((R1449-1)*IF(Skills!H15&gt;0,Skills!I15/Skills!H15,1)+IF(Skills!H15&gt;0,MIN(Skills!I15,MAX(0,MAX(0,Inputs!$B$43-B1472)-((R1449-1)*(IF(Inputs!$B$38="pvp",15,MAX(0.1,Skills!E15-IF(Skills!F15=TRUE,Inputs!$B$32,0)))*(1-IF(AND(ArtifactsInput!$M$27,Inputs!$B$4="Chapter Hunt"),CHOOSE(ArtifactsInput!$N$27+1,20,24,28,32,36,40),0)/100)))))/Skills!H15,1)))/Inputs!$B$43),G1449*Q1449)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0">
      <c r="A1450">
        <f>Skills!A16</f>
        <v/>
      </c>
      <c r="B1450">
        <f>Skills!B16</f>
        <v/>
      </c>
      <c r="C1450">
        <f>Inputs!$B$3&gt;=107</f>
        <v/>
      </c>
      <c r="D1450">
        <f>IF(Skills!C16=1,60+Inputs!$B$25+Inputs!$B$29,IF(Skills!C16=2,90+Inputs!$B$26+Inputs!$B$29,IF(Skills!C16=3,120+Inputs!$B$27+Inputs!$B$29,MAX(0,(Inputs!$B$3-100)*3)+Inputs!$B$28+Inputs!$B$29)))</f>
        <v/>
      </c>
      <c r="E1450">
        <f>INDEX(FactorTable!$B$2:$Y$301, MATCH(ROUND(MIN(300,MAX(1,D1450)),0), FactorTable!$A$2:$A$301,0), Skills!M16+1)</f>
        <v/>
      </c>
      <c r="F1450">
        <f>IF(Skills!N16=TRUE,(Skills!L16/10)*(E1450/1000),Skills!L16/10)+Skills!O16</f>
        <v/>
      </c>
      <c r="G1450">
        <f>Calc!G16</f>
        <v/>
      </c>
      <c r="H1450">
        <f>Calc!H16</f>
        <v/>
      </c>
      <c r="I1450">
        <f>IF(Skills!X16&lt;&gt;"",1+(Skills!X16/10)*(Z1437/1000)/100,1)</f>
        <v/>
      </c>
      <c r="J1450">
        <f>((Inputs!$B$6*(1+Inputs!$B$7/100))+(((Inputs!$B$12*(1+Inputs!$B$13/100))-(Inputs!$B$12*(1+Inputs!$B$13/100)))+0.25*(Inputs!$B$14-Inputs!$B$14))*(1+Inputs!$B$7/100))*(F1450/100)</f>
        <v/>
      </c>
      <c r="K1450">
        <f>J1450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1450)</f>
        <v/>
      </c>
      <c r="L1450">
        <f>K1450*(MIN(Inputs!$B$22+(F1456-Calc!F22),(Inputs!$B$23+(IF(ArtifactsInput!$M$15,CHOOSE(ArtifactsInput!$N$15+1,25,30,35,40,45,50)/100*(Inputs!$B$11-Inputs!$B$11),0))))/100+(Inputs!$B$23+(IF(ArtifactsInput!$M$15,CHOOSE(ArtifactsInput!$N$15+1,25,30,35,40,45,50)/100*(Inputs!$B$11-Inputs!$B$11),0)))/100)/2</f>
        <v/>
      </c>
      <c r="M1450">
        <f>L1450*(1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50">
        <f>L1450*(1-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1450*(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50">
        <f>(1-Summary!$B$11)*S1450+Summary!$B$11*U1450</f>
        <v/>
      </c>
      <c r="P1450">
        <f>IF(B1475=0,0,O1450/B1475)</f>
        <v/>
      </c>
      <c r="Q1450">
        <f>IFERROR(1/(IF(Inputs!$B$38="pvp",15,MAX(0.1,Skills!E16-IF(Skills!F16=TRUE,Inputs!$B$32,0)))*(1-IF(AND(ArtifactsInput!$M$27,Inputs!$B$4="Chapter Hunt"),CHOOSE(ArtifactsInput!$N$27+1,20,24,28,32,36,40),0)/100)),0)</f>
        <v/>
      </c>
      <c r="R1450">
        <f>IF(AND(Inputs!$B$38&lt;&gt;"pvp",Inputs!$B$43&gt;0),IF(MAX(0,Inputs!$B$43-B1472)&lt;=0,0,(INT(MAX(0,Inputs!$B$43-B1472)/(IF(Inputs!$B$38="pvp",15,MAX(0.1,Skills!E16-IF(Skills!F16=TRUE,Inputs!$B$32,0)))*(1-IF(AND(ArtifactsInput!$M$27,Inputs!$B$4="Chapter Hunt"),CHOOSE(ArtifactsInput!$N$27+1,20,24,28,32,36,40),0)/100)))+1)),0)</f>
        <v/>
      </c>
      <c r="S1450">
        <f>IF(C1450,(H1450*N1450*IF(AND(Inputs!$B$38&lt;&gt;"pvp",Inputs!$B$43&gt;0),((Skills!G16*((R1450-1)*IF(Skills!H16&gt;0,Skills!I16/Skills!H16,1)+IF(Skills!H16&gt;0,MIN(Skills!I16,MAX(0,MAX(0,Inputs!$B$43-B1472)-((R1450-1)*(IF(Inputs!$B$38="pvp",15,MAX(0.1,Skills!E16-IF(Skills!F16=TRUE,Inputs!$B$32,0)))*(1-IF(AND(ArtifactsInput!$M$27,Inputs!$B$4="Chapter Hunt"),CHOOSE(ArtifactsInput!$N$27+1,20,24,28,32,36,40),0)/100)))))/Skills!H16,1)))/Inputs!$B$43),G1450*Q1450)*(1+IF(Inputs!$B$3&gt;=126,0.05*(B1470+Q1447+(H1448*B1471)/(1+Skills!H14*H1448*B1471)+Q1458)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1450*(1-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1450*(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1450*(1-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1450*(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50">
        <f>IF(C1450,(H1450*N1450*IF(AND(Inputs!$B$38&lt;&gt;"pvp",Inputs!$B$43&gt;0),((Skills!G16*((R1450-1)*IF(Skills!H16&gt;0,Skills!I16/Skills!H16,1)+IF(Skills!H16&gt;0,MIN(Skills!I16,MAX(0,MAX(0,Inputs!$B$43-B1472)-((R1450-1)*(IF(Inputs!$B$38="pvp",15,MAX(0.1,Skills!E16-IF(Skills!F16=TRUE,Inputs!$B$32,0)))*(1-IF(AND(ArtifactsInput!$M$27,Inputs!$B$4="Chapter Hunt"),CHOOSE(ArtifactsInput!$N$27+1,20,24,28,32,36,40),0)/100)))))/Skills!H16,1)))/Inputs!$B$43),G1450*Q1450)*(1+IF(Inputs!$B$3&gt;=126,0.05*(B1470+Q1447+(H1448*B1471)/(1+Skills!H14*H1448*B1471)+Q1458)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1">
      <c r="A1451">
        <f>Skills!A17</f>
        <v/>
      </c>
      <c r="B1451">
        <f>Skills!B17</f>
        <v/>
      </c>
      <c r="C1451">
        <f>TRUE</f>
        <v/>
      </c>
      <c r="D1451">
        <f>IF(Skills!C17=1,60+Inputs!$B$25+Inputs!$B$29,IF(Skills!C17=2,90+Inputs!$B$26+Inputs!$B$29,IF(Skills!C17=3,120+Inputs!$B$27+Inputs!$B$29,MAX(0,(Inputs!$B$3-100)*3)+Inputs!$B$28+Inputs!$B$29)))</f>
        <v/>
      </c>
      <c r="E1451">
        <f>INDEX(FactorTable!$B$2:$Y$301, MATCH(ROUND(MIN(300,MAX(1,D1451)),0), FactorTable!$A$2:$A$301,0), Skills!M17+1)</f>
        <v/>
      </c>
      <c r="F1451">
        <f>IF(Skills!N17=TRUE,(Skills!L17/10)*(E1451/1000),Skills!L17/10)+Skills!O17</f>
        <v/>
      </c>
      <c r="G1451">
        <f>Calc!G17</f>
        <v/>
      </c>
      <c r="H1451">
        <f>Calc!H17</f>
        <v/>
      </c>
      <c r="I1451">
        <f>IF(Skills!X17&lt;&gt;"",1+(Skills!X17/10)*(Z1437/1000)/100,1)</f>
        <v/>
      </c>
      <c r="J1451" t="inlineStr"/>
      <c r="K1451" t="inlineStr"/>
      <c r="L1451" t="inlineStr"/>
      <c r="M1451" t="inlineStr"/>
      <c r="N1451" t="inlineStr"/>
      <c r="O1451">
        <f>(1-Summary!$B$11)*S1451+Summary!$B$11*U1451</f>
        <v/>
      </c>
      <c r="P1451">
        <f>IF(B1475=0,0,O1451/B1475)</f>
        <v/>
      </c>
      <c r="Q1451">
        <f>IFERROR(1/(IF(Inputs!$B$38="pvp",15,MAX(0.1,Skills!E17-IF(Skills!F17=TRUE,Inputs!$B$32,0)))*(1-IF(AND(ArtifactsInput!$M$27,Inputs!$B$4="Chapter Hunt"),CHOOSE(ArtifactsInput!$N$27+1,20,24,28,32,36,40),0)/100)),0)</f>
        <v/>
      </c>
      <c r="R1451">
        <f>IF(AND(Inputs!$B$38&lt;&gt;"pvp",Inputs!$B$43&gt;0),IF(Inputs!$B$43&lt;=0,0,(INT(Inputs!$B$43/(IF(Inputs!$B$38="pvp",15,MAX(0.1,Skills!E17-IF(Skills!F17=TRUE,Inputs!$B$32,0)))*(1-IF(AND(ArtifactsInput!$M$27,Inputs!$B$4="Chapter Hunt"),CHOOSE(ArtifactsInput!$N$27+1,20,24,28,32,36,40),0)/100)))+1)),0)</f>
        <v/>
      </c>
      <c r="S1451" t="n">
        <v>0</v>
      </c>
      <c r="U1451" t="n">
        <v>0</v>
      </c>
    </row>
    <row r="1452">
      <c r="A1452">
        <f>Skills!A18</f>
        <v/>
      </c>
      <c r="B1452">
        <f>Skills!B18</f>
        <v/>
      </c>
      <c r="C1452">
        <f>TRUE</f>
        <v/>
      </c>
      <c r="D1452">
        <f>IF(Skills!C18=1,60+Inputs!$B$25+Inputs!$B$29,IF(Skills!C18=2,90+Inputs!$B$26+Inputs!$B$29,IF(Skills!C18=3,120+Inputs!$B$27+Inputs!$B$29,MAX(0,(Inputs!$B$3-100)*3)+Inputs!$B$28+Inputs!$B$29)))</f>
        <v/>
      </c>
      <c r="E1452">
        <f>INDEX(FactorTable!$B$2:$Y$301, MATCH(ROUND(MIN(300,MAX(1,D1452)),0), FactorTable!$A$2:$A$301,0), Skills!M18+1)</f>
        <v/>
      </c>
      <c r="F1452">
        <f>IF(Skills!N18=TRUE,(Skills!L18/10)*(E1452/1000),Skills!L18/10)+Skills!O18</f>
        <v/>
      </c>
      <c r="G1452">
        <f>Calc!G18</f>
        <v/>
      </c>
      <c r="H1452">
        <f>Calc!H18</f>
        <v/>
      </c>
      <c r="I1452">
        <f>IF(Skills!X18&lt;&gt;"",1+(Skills!X18/10)*(Z1437/1000)/100,1)</f>
        <v/>
      </c>
      <c r="J1452" t="inlineStr"/>
      <c r="K1452" t="inlineStr"/>
      <c r="L1452" t="inlineStr"/>
      <c r="M1452" t="inlineStr"/>
      <c r="N1452" t="inlineStr"/>
      <c r="O1452">
        <f>(1-Summary!$B$11)*S1452+Summary!$B$11*U1452</f>
        <v/>
      </c>
      <c r="P1452">
        <f>IF(B1475=0,0,O1452/B1475)</f>
        <v/>
      </c>
      <c r="Q1452">
        <f>IFERROR(1/(IF(Inputs!$B$38="pvp",15,MAX(0.1,Skills!E18-IF(Skills!F18=TRUE,Inputs!$B$32,0)))*(1-IF(AND(ArtifactsInput!$M$27,Inputs!$B$4="Chapter Hunt"),CHOOSE(ArtifactsInput!$N$27+1,20,24,28,32,36,40),0)/100)),0)</f>
        <v/>
      </c>
      <c r="R1452">
        <f>IF(AND(Inputs!$B$38&lt;&gt;"pvp",Inputs!$B$43&gt;0),IF(Inputs!$B$43&lt;=0,0,(INT(Inputs!$B$43/(IF(Inputs!$B$38="pvp",15,MAX(0.1,Skills!E18-IF(Skills!F18=TRUE,Inputs!$B$32,0)))*(1-IF(AND(ArtifactsInput!$M$27,Inputs!$B$4="Chapter Hunt"),CHOOSE(ArtifactsInput!$N$27+1,20,24,28,32,36,40),0)/100)))+1)),0)</f>
        <v/>
      </c>
      <c r="S1452" t="n">
        <v>0</v>
      </c>
      <c r="U1452" t="n">
        <v>0</v>
      </c>
    </row>
    <row r="1453">
      <c r="A1453">
        <f>Skills!A19</f>
        <v/>
      </c>
      <c r="B1453">
        <f>Skills!B19</f>
        <v/>
      </c>
      <c r="C1453">
        <f>Inputs!$B$3&gt;=110</f>
        <v/>
      </c>
      <c r="D1453">
        <f>IF(Skills!C19=1,60+Inputs!$B$25+Inputs!$B$29,IF(Skills!C19=2,90+Inputs!$B$26+Inputs!$B$29,IF(Skills!C19=3,120+Inputs!$B$27+Inputs!$B$29,MAX(0,(Inputs!$B$3-100)*3)+Inputs!$B$28+Inputs!$B$29)))</f>
        <v/>
      </c>
      <c r="E1453">
        <f>INDEX(FactorTable!$B$2:$Y$301, MATCH(ROUND(MIN(300,MAX(1,D1453)),0), FactorTable!$A$2:$A$301,0), Skills!M19+1)</f>
        <v/>
      </c>
      <c r="F1453">
        <f>IF(Skills!N19=TRUE,(Skills!L19/10)*(E1453/1000),Skills!L19/10)+Skills!O19</f>
        <v/>
      </c>
      <c r="G1453">
        <f>Calc!G19</f>
        <v/>
      </c>
      <c r="H1453">
        <f>Calc!H19</f>
        <v/>
      </c>
      <c r="I1453">
        <f>IF(Skills!X19&lt;&gt;"",1+(Skills!X19/10)*(Z1437/1000)/100,1)</f>
        <v/>
      </c>
      <c r="J1453" t="inlineStr"/>
      <c r="K1453" t="inlineStr"/>
      <c r="L1453" t="inlineStr"/>
      <c r="M1453" t="inlineStr"/>
      <c r="N1453" t="inlineStr"/>
      <c r="O1453">
        <f>(1-Summary!$B$11)*S1453+Summary!$B$11*U1453</f>
        <v/>
      </c>
      <c r="P1453">
        <f>IF(B1475=0,0,O1453/B1475)</f>
        <v/>
      </c>
      <c r="Q1453">
        <f>IFERROR(1/(IF(Inputs!$B$38="pvp",15,MAX(0.1,Skills!E19-IF(Skills!F19=TRUE,Inputs!$B$32,0)))*(1-IF(AND(ArtifactsInput!$M$27,Inputs!$B$4="Chapter Hunt"),CHOOSE(ArtifactsInput!$N$27+1,20,24,28,32,36,40),0)/100)),0)</f>
        <v/>
      </c>
      <c r="R1453">
        <f>IF(AND(Inputs!$B$38&lt;&gt;"pvp",Inputs!$B$43&gt;0),IF(Inputs!$B$43&lt;=0,0,(INT(Inputs!$B$43/(IF(Inputs!$B$38="pvp",15,MAX(0.1,Skills!E19-IF(Skills!F19=TRUE,Inputs!$B$32,0)))*(1-IF(AND(ArtifactsInput!$M$27,Inputs!$B$4="Chapter Hunt"),CHOOSE(ArtifactsInput!$N$27+1,20,24,28,32,36,40),0)/100)))+1)),0)</f>
        <v/>
      </c>
      <c r="S1453" t="n">
        <v>0</v>
      </c>
      <c r="U1453" t="n">
        <v>0</v>
      </c>
    </row>
    <row r="1454">
      <c r="A1454">
        <f>Skills!A20</f>
        <v/>
      </c>
      <c r="B1454">
        <f>Skills!B20</f>
        <v/>
      </c>
      <c r="C1454">
        <f>TRUE</f>
        <v/>
      </c>
      <c r="D1454">
        <f>IF(Skills!C20=1,60+Inputs!$B$25+Inputs!$B$29,IF(Skills!C20=2,90+Inputs!$B$26+Inputs!$B$29,IF(Skills!C20=3,120+Inputs!$B$27+Inputs!$B$29,MAX(0,(Inputs!$B$3-100)*3)+Inputs!$B$28+Inputs!$B$29)))</f>
        <v/>
      </c>
      <c r="E1454">
        <f>INDEX(FactorTable!$B$2:$Y$301, MATCH(ROUND(MIN(300,MAX(1,D1454)),0), FactorTable!$A$2:$A$301,0), Skills!M20+1)</f>
        <v/>
      </c>
      <c r="F1454">
        <f>IF(Skills!N20=TRUE,(Skills!L20/10)*(E1454/1000),Skills!L20/10)+Skills!O20</f>
        <v/>
      </c>
      <c r="G1454">
        <f>Calc!G20</f>
        <v/>
      </c>
      <c r="H1454">
        <f>Calc!H20</f>
        <v/>
      </c>
      <c r="I1454">
        <f>IF(Skills!X20&lt;&gt;"",1+(Skills!X20/10)*(Z1437/1000)/100,1)</f>
        <v/>
      </c>
      <c r="J1454" t="inlineStr"/>
      <c r="K1454" t="inlineStr"/>
      <c r="L1454" t="inlineStr"/>
      <c r="M1454" t="inlineStr"/>
      <c r="N1454" t="inlineStr"/>
      <c r="O1454">
        <f>(1-Summary!$B$11)*S1454+Summary!$B$11*U1454</f>
        <v/>
      </c>
      <c r="P1454">
        <f>IF(B1475=0,0,O1454/B1475)</f>
        <v/>
      </c>
      <c r="Q1454">
        <f>IFERROR(1/(IF(Inputs!$B$38="pvp",15,MAX(0.1,Skills!E20-IF(Skills!F20=TRUE,Inputs!$B$32,0)))*(1-IF(AND(ArtifactsInput!$M$27,Inputs!$B$4="Chapter Hunt"),CHOOSE(ArtifactsInput!$N$27+1,20,24,28,32,36,40),0)/100)),0)</f>
        <v/>
      </c>
      <c r="R1454" t="n">
        <v>0</v>
      </c>
      <c r="S1454" t="n">
        <v>0</v>
      </c>
      <c r="U1454" t="n">
        <v>0</v>
      </c>
    </row>
    <row r="1455">
      <c r="A1455">
        <f>Skills!A21</f>
        <v/>
      </c>
      <c r="B1455">
        <f>Skills!B21</f>
        <v/>
      </c>
      <c r="C1455">
        <f>TRUE</f>
        <v/>
      </c>
      <c r="D1455">
        <f>IF(Skills!C21=1,60+Inputs!$B$25+Inputs!$B$29,IF(Skills!C21=2,90+Inputs!$B$26+Inputs!$B$29,IF(Skills!C21=3,120+Inputs!$B$27+Inputs!$B$29,MAX(0,(Inputs!$B$3-100)*3)+Inputs!$B$28+Inputs!$B$29)))</f>
        <v/>
      </c>
      <c r="E1455">
        <f>INDEX(FactorTable!$B$2:$Y$301, MATCH(ROUND(MIN(300,MAX(1,D1455)),0), FactorTable!$A$2:$A$301,0), Skills!M21+1)</f>
        <v/>
      </c>
      <c r="F1455">
        <f>IF(Skills!N21=TRUE,(Skills!L21/10)*(E1455/1000),Skills!L21/10)+Skills!O21</f>
        <v/>
      </c>
      <c r="G1455">
        <f>Calc!G21</f>
        <v/>
      </c>
      <c r="H1455">
        <f>Calc!H21</f>
        <v/>
      </c>
      <c r="I1455">
        <f>IF(Skills!X21&lt;&gt;"",1+(Skills!X21/10)*(Z1437/1000)/100,1)</f>
        <v/>
      </c>
      <c r="J1455" t="inlineStr"/>
      <c r="K1455" t="inlineStr"/>
      <c r="L1455" t="inlineStr"/>
      <c r="M1455" t="inlineStr"/>
      <c r="N1455" t="inlineStr"/>
      <c r="O1455">
        <f>(1-Summary!$B$11)*S1455+Summary!$B$11*U1455</f>
        <v/>
      </c>
      <c r="P1455">
        <f>IF(B1475=0,0,O1455/B1475)</f>
        <v/>
      </c>
      <c r="Q1455">
        <f>IFERROR(1/(IF(Inputs!$B$38="pvp",15,MAX(0.1,Skills!E21-IF(Skills!F21=TRUE,Inputs!$B$32,0)))*(1-IF(AND(ArtifactsInput!$M$27,Inputs!$B$4="Chapter Hunt"),CHOOSE(ArtifactsInput!$N$27+1,20,24,28,32,36,40),0)/100)),0)</f>
        <v/>
      </c>
      <c r="R1455" t="n">
        <v>0</v>
      </c>
      <c r="S1455" t="n">
        <v>0</v>
      </c>
      <c r="U1455" t="n">
        <v>0</v>
      </c>
    </row>
    <row r="1456">
      <c r="A1456">
        <f>Skills!A22</f>
        <v/>
      </c>
      <c r="B1456">
        <f>Skills!B22</f>
        <v/>
      </c>
      <c r="C1456">
        <f>TRUE</f>
        <v/>
      </c>
      <c r="D1456">
        <f>IF(Skills!C22=1,60+Inputs!$B$25+Inputs!$B$29,IF(Skills!C22=2,90+Inputs!$B$26+Inputs!$B$29,IF(Skills!C22=3,120+Inputs!$B$27+Inputs!$B$29,MAX(0,(Inputs!$B$3-100)*3)+Inputs!$B$28+Inputs!$B$29)))</f>
        <v/>
      </c>
      <c r="E1456">
        <f>INDEX(FactorTable!$B$2:$Y$301, MATCH(ROUND(MIN(300,MAX(1,D1456)),0), FactorTable!$A$2:$A$301,0), Skills!M22+1)</f>
        <v/>
      </c>
      <c r="F1456">
        <f>IF(Skills!N22=TRUE,(Skills!L22/10)*(E1456/1000),Skills!L22/10)+Skills!O22</f>
        <v/>
      </c>
      <c r="G1456">
        <f>Calc!G22</f>
        <v/>
      </c>
      <c r="H1456">
        <f>Calc!H22</f>
        <v/>
      </c>
      <c r="I1456">
        <f>IF(Skills!X22&lt;&gt;"",1+(Skills!X22/10)*(Z1437/1000)/100,1)</f>
        <v/>
      </c>
      <c r="J1456" t="inlineStr"/>
      <c r="K1456" t="inlineStr"/>
      <c r="L1456" t="inlineStr"/>
      <c r="M1456" t="inlineStr"/>
      <c r="N1456" t="inlineStr"/>
      <c r="O1456">
        <f>(1-Summary!$B$11)*S1456+Summary!$B$11*U1456</f>
        <v/>
      </c>
      <c r="P1456">
        <f>IF(B1475=0,0,O1456/B1475)</f>
        <v/>
      </c>
      <c r="Q1456">
        <f>IFERROR(1/(IF(Inputs!$B$38="pvp",15,MAX(0.1,Skills!E22-IF(Skills!F22=TRUE,Inputs!$B$32,0)))*(1-IF(AND(ArtifactsInput!$M$27,Inputs!$B$4="Chapter Hunt"),CHOOSE(ArtifactsInput!$N$27+1,20,24,28,32,36,40),0)/100)),0)</f>
        <v/>
      </c>
      <c r="R1456" t="n">
        <v>0</v>
      </c>
      <c r="S1456" t="n">
        <v>0</v>
      </c>
      <c r="U1456" t="n">
        <v>0</v>
      </c>
    </row>
    <row r="1457">
      <c r="A1457">
        <f>Skills!A23</f>
        <v/>
      </c>
      <c r="B1457">
        <f>Skills!B23</f>
        <v/>
      </c>
      <c r="C1457">
        <f>TRUE</f>
        <v/>
      </c>
      <c r="D1457">
        <f>IF(Skills!C23=1,60+Inputs!$B$25+Inputs!$B$29,IF(Skills!C23=2,90+Inputs!$B$26+Inputs!$B$29,IF(Skills!C23=3,120+Inputs!$B$27+Inputs!$B$29,MAX(0,(Inputs!$B$3-100)*3)+Inputs!$B$28+Inputs!$B$29)))</f>
        <v/>
      </c>
      <c r="E1457">
        <f>INDEX(FactorTable!$B$2:$Y$301, MATCH(ROUND(MIN(300,MAX(1,D1457)),0), FactorTable!$A$2:$A$301,0), Skills!M23+1)</f>
        <v/>
      </c>
      <c r="F1457">
        <f>IF(Skills!N23=TRUE,(Skills!L23/10)*(E1457/1000),Skills!L23/10)+Skills!O23</f>
        <v/>
      </c>
      <c r="G1457">
        <f>Calc!G23</f>
        <v/>
      </c>
      <c r="H1457">
        <f>Calc!H23</f>
        <v/>
      </c>
      <c r="I1457">
        <f>IF(Skills!X23&lt;&gt;"",1+(Skills!X23/10)*(Z1437/1000)/100,1)</f>
        <v/>
      </c>
      <c r="J1457" t="inlineStr"/>
      <c r="K1457" t="inlineStr"/>
      <c r="L1457" t="inlineStr"/>
      <c r="M1457" t="inlineStr"/>
      <c r="N1457" t="inlineStr"/>
      <c r="O1457">
        <f>(1-Summary!$B$11)*S1457+Summary!$B$11*U1457</f>
        <v/>
      </c>
      <c r="P1457">
        <f>IF(B1475=0,0,O1457/B1475)</f>
        <v/>
      </c>
      <c r="Q1457">
        <f>IFERROR(1/(IF(Inputs!$B$38="pvp",15,MAX(0.1,Skills!E23-IF(Skills!F23=TRUE,Inputs!$B$32,0)))*(1-IF(AND(ArtifactsInput!$M$27,Inputs!$B$4="Chapter Hunt"),CHOOSE(ArtifactsInput!$N$27+1,20,24,28,32,36,40),0)/100)),0)</f>
        <v/>
      </c>
      <c r="R1457" t="n">
        <v>0</v>
      </c>
      <c r="S1457" t="n">
        <v>0</v>
      </c>
      <c r="U1457" t="n">
        <v>0</v>
      </c>
    </row>
    <row r="1458">
      <c r="A1458">
        <f>Skills!A24</f>
        <v/>
      </c>
      <c r="B1458">
        <f>Skills!B24</f>
        <v/>
      </c>
      <c r="C1458">
        <f>Inputs!$B$3&gt;=115</f>
        <v/>
      </c>
      <c r="D1458">
        <f>IF(Skills!C24=1,60+Inputs!$B$25+Inputs!$B$29,IF(Skills!C24=2,90+Inputs!$B$26+Inputs!$B$29,IF(Skills!C24=3,120+Inputs!$B$27+Inputs!$B$29,MAX(0,(Inputs!$B$3-100)*3)+Inputs!$B$28+Inputs!$B$29)))</f>
        <v/>
      </c>
      <c r="E1458">
        <f>INDEX(FactorTable!$B$2:$Y$301, MATCH(ROUND(MIN(300,MAX(1,D1458)),0), FactorTable!$A$2:$A$301,0), Skills!M24+1)</f>
        <v/>
      </c>
      <c r="F1458">
        <f>IF(Skills!N24=TRUE,(Skills!L24/10)*(E1458/1000),Skills!L24/10)+Skills!O24</f>
        <v/>
      </c>
      <c r="G1458">
        <f>Calc!G24</f>
        <v/>
      </c>
      <c r="H1458">
        <f>Calc!H24</f>
        <v/>
      </c>
      <c r="I1458">
        <f>IF(Skills!X24&lt;&gt;"",1+(Skills!X24/10)*(Z1437/1000)/100,1)</f>
        <v/>
      </c>
      <c r="J1458">
        <f>((Inputs!$B$6*(1+Inputs!$B$7/100))+(((Inputs!$B$12*(1+Inputs!$B$13/100))-(Inputs!$B$12*(1+Inputs!$B$13/100)))+0.25*(Inputs!$B$14-Inputs!$B$14))*(1+Inputs!$B$7/100))*(F1458/100)</f>
        <v/>
      </c>
      <c r="K1458">
        <f>J1458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1458)</f>
        <v/>
      </c>
      <c r="L1458">
        <f>K1458*(MIN(Inputs!$B$22+(F1456-Calc!F22),(Inputs!$B$23+(IF(ArtifactsInput!$M$15,CHOOSE(ArtifactsInput!$N$15+1,25,30,35,40,45,50)/100*(Inputs!$B$11-Inputs!$B$11),0))))/100+(Inputs!$B$23+(IF(ArtifactsInput!$M$15,CHOOSE(ArtifactsInput!$N$15+1,25,30,35,40,45,50)/100*(Inputs!$B$11-Inputs!$B$11),0)))/100)/2</f>
        <v/>
      </c>
      <c r="M1458">
        <f>L1458*(1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58">
        <f>L1458*(1-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1458*(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58">
        <f>(1-Summary!$B$11)*S1458+Summary!$B$11*U1458</f>
        <v/>
      </c>
      <c r="P1458">
        <f>IF(B1475=0,0,O1458/B1475)</f>
        <v/>
      </c>
      <c r="Q1458">
        <f>IFERROR(1/(IF(Inputs!$B$38="pvp",15,MAX(0.1,Skills!E24-IF(Skills!F24=TRUE,Inputs!$B$32,0)))*(1-IF(AND(ArtifactsInput!$M$27,Inputs!$B$4="Chapter Hunt"),CHOOSE(ArtifactsInput!$N$27+1,20,24,28,32,36,40),0)/100)),0)</f>
        <v/>
      </c>
      <c r="R1458">
        <f>IF(AND(Inputs!$B$38&lt;&gt;"pvp",Inputs!$B$43&gt;0),IF(MAX(0,Inputs!$B$43-B1472)&lt;=0,0,(INT(MAX(0,Inputs!$B$43-B1472)/(IF(Inputs!$B$38="pvp",15,MAX(0.1,Skills!E24-IF(Skills!F24=TRUE,Inputs!$B$32,0)))*(1-IF(AND(ArtifactsInput!$M$27,Inputs!$B$4="Chapter Hunt"),CHOOSE(ArtifactsInput!$N$27+1,20,24,28,32,36,40),0)/100)))+1)),0)</f>
        <v/>
      </c>
      <c r="S1458">
        <f>IF(C1458,(H1458*N1458*IF(AND(Inputs!$B$38&lt;&gt;"pvp",Inputs!$B$43&gt;0),((Skills!G24*((R1458-1)*IF(Skills!H24&gt;0,Skills!I24/Skills!H24,1)+IF(Skills!H24&gt;0,MIN(Skills!I24,MAX(0,MAX(0,Inputs!$B$43-B1472)-((R1458-1)*(IF(Inputs!$B$38="pvp",15,MAX(0.1,Skills!E24-IF(Skills!F24=TRUE,Inputs!$B$32,0)))*(1-IF(AND(ArtifactsInput!$M$27,Inputs!$B$4="Chapter Hunt"),CHOOSE(ArtifactsInput!$N$27+1,20,24,28,32,36,40),0)/100)))))/Skills!H24,1)))/Inputs!$B$43),G1458*Q1458)*(1+IF(Inputs!$B$3&gt;=130,0.2*(Skills!I16/Skills!E15+IF(Inputs!$B$3&gt;=126,0.05*(B1470+Q1447+(H1448*B1471)/(1+Skills!H14*H1448*B1471)+Q1458)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1458*(1-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1458*(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1458*(1-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1458*(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58">
        <f>IF(C1458,(H1458*N1458*IF(AND(Inputs!$B$38&lt;&gt;"pvp",Inputs!$B$43&gt;0),((Skills!G24*((R1458-1)*IF(Skills!H24&gt;0,Skills!I24/Skills!H24,1)+IF(Skills!H24&gt;0,MIN(Skills!I24,MAX(0,MAX(0,Inputs!$B$43-B1472)-((R1458-1)*(IF(Inputs!$B$38="pvp",15,MAX(0.1,Skills!E24-IF(Skills!F24=TRUE,Inputs!$B$32,0)))*(1-IF(AND(ArtifactsInput!$M$27,Inputs!$B$4="Chapter Hunt"),CHOOSE(ArtifactsInput!$N$27+1,20,24,28,32,36,40),0)/100)))))/Skills!H24,1)))/Inputs!$B$43),G1458*Q1458)*(1+IF(Inputs!$B$3&gt;=130,0.2*(Skills!I16/Skills!E15+IF(Inputs!$B$3&gt;=126,0.05*(B1470+Q1447+(H1448*B1471)/(1+Skills!H14*H1448*B1471)+Q1458)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59">
      <c r="A1459">
        <f>Skills!A25</f>
        <v/>
      </c>
      <c r="B1459">
        <f>Skills!B25</f>
        <v/>
      </c>
      <c r="C1459">
        <f>Inputs!$B$3&gt;=117</f>
        <v/>
      </c>
      <c r="D1459">
        <f>IF(Skills!C25=1,60+Inputs!$B$25+Inputs!$B$29,IF(Skills!C25=2,90+Inputs!$B$26+Inputs!$B$29,IF(Skills!C25=3,120+Inputs!$B$27+Inputs!$B$29,MAX(0,(Inputs!$B$3-100)*3)+Inputs!$B$28+Inputs!$B$29)))</f>
        <v/>
      </c>
      <c r="E1459">
        <f>INDEX(FactorTable!$B$2:$Y$301, MATCH(ROUND(MIN(300,MAX(1,D1459)),0), FactorTable!$A$2:$A$301,0), Skills!M25+1)</f>
        <v/>
      </c>
      <c r="F1459">
        <f>IF(Skills!N25=TRUE,(Skills!L25/10)*(E1459/1000),Skills!L25/10)+Skills!O25</f>
        <v/>
      </c>
      <c r="G1459">
        <f>Calc!G25</f>
        <v/>
      </c>
      <c r="H1459">
        <f>Calc!H25</f>
        <v/>
      </c>
      <c r="I1459">
        <f>IF(Skills!X25&lt;&gt;"",1+(Skills!X25/10)*(Z1437/1000)/100,1)</f>
        <v/>
      </c>
      <c r="J1459" t="inlineStr"/>
      <c r="K1459" t="inlineStr"/>
      <c r="L1459" t="inlineStr"/>
      <c r="M1459" t="inlineStr"/>
      <c r="N1459" t="inlineStr"/>
      <c r="O1459">
        <f>(1-Summary!$B$11)*S1459+Summary!$B$11*U1459</f>
        <v/>
      </c>
      <c r="P1459">
        <f>IF(B1475=0,0,O1459/B1475)</f>
        <v/>
      </c>
      <c r="Q1459">
        <f>IFERROR(1/(IF(Inputs!$B$38="pvp",15,MAX(0.1,Skills!E25-IF(Skills!F25=TRUE,Inputs!$B$32,0)))*(1-IF(AND(ArtifactsInput!$M$27,Inputs!$B$4="Chapter Hunt"),CHOOSE(ArtifactsInput!$N$27+1,20,24,28,32,36,40),0)/100)),0)</f>
        <v/>
      </c>
      <c r="R1459" t="n">
        <v>0</v>
      </c>
      <c r="S1459" t="n">
        <v>0</v>
      </c>
      <c r="U1459" t="n">
        <v>0</v>
      </c>
    </row>
    <row r="1460">
      <c r="A1460">
        <f>Skills!A26</f>
        <v/>
      </c>
      <c r="B1460">
        <f>Skills!B26</f>
        <v/>
      </c>
      <c r="C1460">
        <f>Inputs!$B$3&gt;=120</f>
        <v/>
      </c>
      <c r="D1460">
        <f>IF(Skills!C26=1,60+Inputs!$B$25+Inputs!$B$29,IF(Skills!C26=2,90+Inputs!$B$26+Inputs!$B$29,IF(Skills!C26=3,120+Inputs!$B$27+Inputs!$B$29,MAX(0,(Inputs!$B$3-100)*3)+Inputs!$B$28+Inputs!$B$29)))</f>
        <v/>
      </c>
      <c r="E1460">
        <f>INDEX(FactorTable!$B$2:$Y$301, MATCH(ROUND(MIN(300,MAX(1,D1460)),0), FactorTable!$A$2:$A$301,0), Skills!M26+1)</f>
        <v/>
      </c>
      <c r="F1460">
        <f>IF(Skills!N26=TRUE,(Skills!L26/10)*(E1460/1000),Skills!L26/10)+Skills!O26</f>
        <v/>
      </c>
      <c r="G1460">
        <f>Calc!G26</f>
        <v/>
      </c>
      <c r="H1460">
        <f>Calc!H26</f>
        <v/>
      </c>
      <c r="I1460">
        <f>IF(Skills!X26&lt;&gt;"",1+(Skills!X26/10)*(Z1437/1000)/100,1)</f>
        <v/>
      </c>
      <c r="J1460" t="inlineStr"/>
      <c r="K1460" t="inlineStr"/>
      <c r="L1460" t="inlineStr"/>
      <c r="M1460" t="inlineStr"/>
      <c r="N1460" t="inlineStr"/>
      <c r="O1460">
        <f>(1-Summary!$B$11)*S1460+Summary!$B$11*U1460</f>
        <v/>
      </c>
      <c r="P1460">
        <f>IF(B1475=0,0,O1460/B1475)</f>
        <v/>
      </c>
      <c r="Q1460">
        <f>IFERROR(1/(IF(Inputs!$B$38="pvp",15,MAX(0.1,Skills!E26-IF(Skills!F26=TRUE,Inputs!$B$32,0)))*(1-IF(AND(ArtifactsInput!$M$27,Inputs!$B$4="Chapter Hunt"),CHOOSE(ArtifactsInput!$N$27+1,20,24,28,32,36,40),0)/100)),0)</f>
        <v/>
      </c>
      <c r="R1460" t="n">
        <v>0</v>
      </c>
      <c r="S1460" t="n">
        <v>0</v>
      </c>
      <c r="U1460" t="n">
        <v>0</v>
      </c>
    </row>
    <row r="1461">
      <c r="A1461">
        <f>Skills!A27</f>
        <v/>
      </c>
      <c r="B1461">
        <f>Skills!B27</f>
        <v/>
      </c>
      <c r="C1461">
        <f>Inputs!$B$3&gt;=125</f>
        <v/>
      </c>
      <c r="D1461">
        <f>IF(Skills!C27=1,60+Inputs!$B$25+Inputs!$B$29,IF(Skills!C27=2,90+Inputs!$B$26+Inputs!$B$29,IF(Skills!C27=3,120+Inputs!$B$27+Inputs!$B$29,MAX(0,(Inputs!$B$3-100)*3)+Inputs!$B$28+Inputs!$B$29)))</f>
        <v/>
      </c>
      <c r="E1461">
        <f>INDEX(FactorTable!$B$2:$Y$301, MATCH(ROUND(MIN(300,MAX(1,D1461)),0), FactorTable!$A$2:$A$301,0), Skills!M27+1)</f>
        <v/>
      </c>
      <c r="F1461">
        <f>IF(Skills!N27=TRUE,(Skills!L27/10)*(E1461/1000),Skills!L27/10)+Skills!O27</f>
        <v/>
      </c>
      <c r="G1461">
        <f>Calc!G27</f>
        <v/>
      </c>
      <c r="H1461">
        <f>Calc!H27</f>
        <v/>
      </c>
      <c r="I1461">
        <f>IF(Skills!X27&lt;&gt;"",1+(Skills!X27/10)*(Z1437/1000)/100,1)</f>
        <v/>
      </c>
      <c r="J1461" t="inlineStr"/>
      <c r="K1461" t="inlineStr"/>
      <c r="L1461" t="inlineStr"/>
      <c r="M1461" t="inlineStr"/>
      <c r="N1461" t="inlineStr"/>
      <c r="O1461">
        <f>(1-Summary!$B$11)*S1461+Summary!$B$11*U1461</f>
        <v/>
      </c>
      <c r="P1461">
        <f>IF(B1475=0,0,O1461/B1475)</f>
        <v/>
      </c>
      <c r="Q1461">
        <f>IFERROR(1/(IF(Inputs!$B$38="pvp",15,MAX(0.1,Skills!E27-IF(Skills!F27=TRUE,Inputs!$B$32,0)))*(1-IF(AND(ArtifactsInput!$M$27,Inputs!$B$4="Chapter Hunt"),CHOOSE(ArtifactsInput!$N$27+1,20,24,28,32,36,40),0)/100)),0)</f>
        <v/>
      </c>
      <c r="R1461" t="n">
        <v>0</v>
      </c>
      <c r="S1461" t="n">
        <v>0</v>
      </c>
      <c r="U1461" t="n">
        <v>0</v>
      </c>
    </row>
    <row r="1462">
      <c r="A1462">
        <f>Skills!A28</f>
        <v/>
      </c>
      <c r="B1462">
        <f>Skills!B28</f>
        <v/>
      </c>
      <c r="C1462">
        <f>Inputs!$B$3&gt;=118</f>
        <v/>
      </c>
      <c r="D1462">
        <f>IF(Skills!C28=1,60+Inputs!$B$25+Inputs!$B$29,IF(Skills!C28=2,90+Inputs!$B$26+Inputs!$B$29,IF(Skills!C28=3,120+Inputs!$B$27+Inputs!$B$29,MAX(0,(Inputs!$B$3-100)*3)+Inputs!$B$28+Inputs!$B$29)))</f>
        <v/>
      </c>
      <c r="E1462">
        <f>INDEX(FactorTable!$B$2:$Y$301, MATCH(ROUND(MIN(300,MAX(1,D1462)),0), FactorTable!$A$2:$A$301,0), Skills!M28+1)</f>
        <v/>
      </c>
      <c r="F1462">
        <f>IF(Skills!N28=TRUE,(Skills!L28/10)*(E1462/1000),Skills!L28/10)+Skills!O28</f>
        <v/>
      </c>
      <c r="G1462">
        <f>Calc!G28</f>
        <v/>
      </c>
      <c r="H1462">
        <f>Calc!H28</f>
        <v/>
      </c>
      <c r="I1462">
        <f>IF(Skills!X28&lt;&gt;"",1+(Skills!X28/10)*(Z1437/1000)/100,1)</f>
        <v/>
      </c>
      <c r="J1462">
        <f>((Inputs!$B$6*(1+Inputs!$B$7/100))+(((Inputs!$B$12*(1+Inputs!$B$13/100))-(Inputs!$B$12*(1+Inputs!$B$13/100)))+0.25*(Inputs!$B$14-Inputs!$B$14))*(1+Inputs!$B$7/100))*(F1462/100)</f>
        <v/>
      </c>
      <c r="K1462">
        <f>J1462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1457/100)*(1+IF(Inputs!$B$3&gt;=120,F1460,0)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1461*5,0)))/100)*(B1464*B1465*B1466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1462)</f>
        <v/>
      </c>
      <c r="L1462">
        <f>K1462*(MIN(Inputs!$B$22+(F1456-Calc!F22),(Inputs!$B$23+(IF(ArtifactsInput!$M$15,CHOOSE(ArtifactsInput!$N$15+1,25,30,35,40,45,50)/100*(Inputs!$B$11-Inputs!$B$11),0))))/100+(Inputs!$B$23+(IF(ArtifactsInput!$M$15,CHOOSE(ArtifactsInput!$N$15+1,25,30,35,40,45,50)/100*(Inputs!$B$11-Inputs!$B$11),0)))/100)/2</f>
        <v/>
      </c>
      <c r="M1462">
        <f>L1462*(1+(Inputs!$B$10+(F1455-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2">
        <f>L1462*(1-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1462*(MIN((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2">
        <f>(1-Summary!$B$11)*S1462+Summary!$B$11*U1462</f>
        <v/>
      </c>
      <c r="P1462">
        <f>IF(B1475=0,0,O1462/B1475)</f>
        <v/>
      </c>
      <c r="Q1462">
        <f>IFERROR(1/(IF(Inputs!$B$38="pvp",15,MAX(0.1,Skills!E28-IF(Skills!F28=TRUE,Inputs!$B$32,0)))*(1-IF(AND(ArtifactsInput!$M$27,Inputs!$B$4="Chapter Hunt"),CHOOSE(ArtifactsInput!$N$27+1,20,24,28,32,36,40),0)/100)),0)</f>
        <v/>
      </c>
      <c r="R1462">
        <f>IF(AND(Inputs!$B$38&lt;&gt;"pvp",Inputs!$B$43&gt;0),IF(MAX(0,Inputs!$B$43-B1472)&lt;=0,0,(INT(MAX(0,Inputs!$B$43-B1472)/(IF(Inputs!$B$38="pvp",15,MAX(0.1,Skills!E28-IF(Skills!F28=TRUE,Inputs!$B$32,0)))*(1-IF(AND(ArtifactsInput!$M$27,Inputs!$B$4="Chapter Hunt"),CHOOSE(ArtifactsInput!$N$27+1,20,24,28,32,36,40),0)/100)))+1)),0)</f>
        <v/>
      </c>
      <c r="S1462">
        <f>IF(C1462,(H1462*N1462*IF(AND(Inputs!$B$38&lt;&gt;"pvp",Inputs!$B$43&gt;0),((Skills!G28*((R1462-1)*IF(Skills!H28&gt;0,Skills!I28/Skills!H28,1)+IF(Skills!H28&gt;0,MIN(Skills!I28,MAX(0,MAX(0,Inputs!$B$43-B1472)-((R1462-1)*(IF(Inputs!$B$38="pvp",15,MAX(0.1,Skills!E28-IF(Skills!F28=TRUE,Inputs!$B$32,0)))*(1-IF(AND(ArtifactsInput!$M$27,Inputs!$B$4="Chapter Hunt"),CHOOSE(ArtifactsInput!$N$27+1,20,24,28,32,36,40),0)/100)))))/Skills!H28,1)))/Inputs!$B$43),G1462*Q1462)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1462*(1-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1462*(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1462*(1-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1462*(MIN(100,(Inputs!$B$9+(F1454-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62">
        <f>IF(C1462,(H1462*N1462*IF(AND(Inputs!$B$38&lt;&gt;"pvp",Inputs!$B$43&gt;0),((Skills!G28*((R1462-1)*IF(Skills!H28&gt;0,Skills!I28/Skills!H28,1)+IF(Skills!H28&gt;0,MIN(Skills!I28,MAX(0,MAX(0,Inputs!$B$43-B1472)-((R1462-1)*(IF(Inputs!$B$38="pvp",15,MAX(0.1,Skills!E28-IF(Skills!F28=TRUE,Inputs!$B$32,0)))*(1-IF(AND(ArtifactsInput!$M$27,Inputs!$B$4="Chapter Hunt"),CHOOSE(ArtifactsInput!$N$27+1,20,24,28,32,36,40),0)/100)))))/Skills!H28,1)))/Inputs!$B$43),G1462*Q1462)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4">
      <c r="A1464" t="inlineStr">
        <is>
          <t>Burning Magic Multiplier</t>
        </is>
      </c>
      <c r="B1464">
        <f>1+(F1445*Skills!Z11)/100</f>
        <v/>
      </c>
    </row>
    <row r="1465">
      <c r="A1465" t="inlineStr">
        <is>
          <t>Elemental Decrease Multiplier (always-on)</t>
        </is>
      </c>
      <c r="B1465">
        <f>1+(F1446+(IF(AND(ArtifactsInput!$M$35,Inputs!$B$4&lt;&gt;"Chapter Hunt"),CHOOSE(ArtifactsInput!$N$35+1,15,18,21,24,27,30)*(1-EXP(-(0.2*B1468)*5)),0)+IF(AND(ArtifactsInput!$M$22,Inputs!$B$4&lt;&gt;"Chapter Hunt"),CHOOSE(ArtifactsInput!$N$22+1,10,12,14,16,18,20)*((0*(((0.15*B1468*5))^0/1)+1*(((0.15*B1468*5))^1/1)+2*(((0.15*B1468*5))^2/2)+3*(((0.15*B1468*5))^3/6)+4*(((0.15*B1468*5))^4/24)+5*(((0.15*B1468*5))^5/120))/((((0.15*B1468*5))^0/1)+(((0.15*B1468*5))^1/1)+(((0.15*B1468*5))^2/2)+(((0.15*B1468*5))^3/6)+(((0.15*B1468*5))^4/24)+(((0.15*B1468*5))^5/120))),0)))/100</f>
        <v/>
      </c>
    </row>
    <row r="1466">
      <c r="A1466" t="inlineStr">
        <is>
          <t>Average Buff Multiplier (Magic Guard + Meditation + Artifact Attack%, summed; then Infinity)</t>
        </is>
      </c>
      <c r="B1466">
        <f>(1+(F1440*IF(AND(Inputs!$B$38&lt;&gt;"pvp",Inputs!$B$43&gt;0),(((R1440-1)*(Skills!T6*(1+((Inputs!$B$34+(ArtifactsInput!$M$7-ArtifactsInput!$M$7)*CHOOSE(ArtifactsInput!$N$7+1,6,7.2,8.4,9.6,10.8,12)))/100))+MIN((Skills!T6*(1+((Inputs!$B$34+(ArtifactsInput!$M$7-ArtifactsInput!$M$7)*CHOOSE(ArtifactsInput!$N$7+1,6,7.2,8.4,9.6,10.8,12)))/100)),MAX(0,Inputs!$B$43-((R1440-1)*Skills!E6))))/Inputs!$B$43),IF(Inputs!$B$38="pvp",MIN((Skills!T6*(1+((Inputs!$B$34+(ArtifactsInput!$M$7-ArtifactsInput!$M$7)*CHOOSE(ArtifactsInput!$N$7+1,6,7.2,8.4,9.6,10.8,12)))/100)),15)/15,(Skills!T6*(1+((Inputs!$B$34+(ArtifactsInput!$M$7-ArtifactsInput!$M$7)*CHOOSE(ArtifactsInput!$N$7+1,6,7.2,8.4,9.6,10.8,12)))/100))/Skills!E6))+F1451*IF(AND(Inputs!$B$38&lt;&gt;"pvp",Inputs!$B$43&gt;0),(((R1451-1)*(Skills!T17*(1+((Inputs!$B$34+(ArtifactsInput!$M$7-ArtifactsInput!$M$7)*CHOOSE(ArtifactsInput!$N$7+1,6,7.2,8.4,9.6,10.8,12)))/100))+MIN((Skills!T17*(1+((Inputs!$B$34+(ArtifactsInput!$M$7-ArtifactsInput!$M$7)*CHOOSE(ArtifactsInput!$N$7+1,6,7.2,8.4,9.6,10.8,12)))/100)),MAX(0,Inputs!$B$43-((R1451-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1453=TRUE,(1+F1453*IF(AND(Inputs!$B$38&lt;&gt;"pvp",Inputs!$B$43&gt;0),(((R1453-1)*(Skills!T19*(1+((Inputs!$B$34+(ArtifactsInput!$M$7-ArtifactsInput!$M$7)*CHOOSE(ArtifactsInput!$N$7+1,6,7.2,8.4,9.6,10.8,12)))/100))+MIN((Skills!T19*(1+((Inputs!$B$34+(ArtifactsInput!$M$7-ArtifactsInput!$M$7)*CHOOSE(ArtifactsInput!$N$7+1,6,7.2,8.4,9.6,10.8,12)))/100)),MAX(0,Inputs!$B$43-((R1453-1)*Skills!E19))))/Inputs!$B$43),IF(Inputs!$B$38="pvp",MIN((Skills!T19*(1+((Inputs!$B$34+(ArtifactsInput!$M$7-ArtifactsInput!$M$7)*CHOOSE(ArtifactsInput!$N$7+1,6,7.2,8.4,9.6,10.8,12)))/100)),15)/15,(Skills!T19*(1+((Inputs!$B$34+(ArtifactsInput!$M$7-ArtifactsInput!$M$7)*CHOOSE(ArtifactsInput!$N$7+1,6,7.2,8.4,9.6,10.8,12)))/100))/Skills!E19))/100),1)</f>
        <v/>
      </c>
    </row>
    <row r="1467">
      <c r="A1467" t="inlineStr">
        <is>
          <t>Attack Speed Buff Bonus % (Nimble Feet, averaged)</t>
        </is>
      </c>
      <c r="B1467">
        <f>F1452*IF(AND(Inputs!$B$38&lt;&gt;"pvp",Inputs!$B$43&gt;0),(((R1452-1)*(Skills!T18*(1+((Inputs!$B$34+(ArtifactsInput!$M$7-ArtifactsInput!$M$7)*CHOOSE(ArtifactsInput!$N$7+1,6,7.2,8.4,9.6,10.8,12)))/100))+MIN((Skills!T18*(1+((Inputs!$B$34+(ArtifactsInput!$M$7-ArtifactsInput!$M$7)*CHOOSE(ArtifactsInput!$N$7+1,6,7.2,8.4,9.6,10.8,12)))/100)),MAX(0,Inputs!$B$43-((R1452-1)*Skills!E18))))/Inputs!$B$43),IF(Inputs!$B$38="pvp",MIN((Skills!T18*(1+((Inputs!$B$34+(ArtifactsInput!$M$7-ArtifactsInput!$M$7)*CHOOSE(ArtifactsInput!$N$7+1,6,7.2,8.4,9.6,10.8,12)))/100)),15)/15,(Skills!T18*(1+((Inputs!$B$34+(ArtifactsInput!$M$7-ArtifactsInput!$M$7)*CHOOSE(ArtifactsInput!$N$7+1,6,7.2,8.4,9.6,10.8,12)))/100))/Skills!E18))</f>
        <v/>
      </c>
    </row>
    <row r="1468">
      <c r="A1468" t="inlineStr">
        <is>
          <t>Actions Per Second</t>
        </is>
      </c>
      <c r="B1468">
        <f>1+MIN(150,150*(1-(1-(Inputs!$B$11+(ArtifactsInput!$M$15-ArtifactsInput!$M$15)*CHOOSE(ArtifactsInput!$N$15+1,8,9.6,11.2,12.8,14.4,16))/150)*(1-B1467/150)))/100</f>
        <v/>
      </c>
    </row>
    <row r="1469">
      <c r="A1469" t="inlineStr">
        <is>
          <t>Skill + Buff Cast Rate</t>
        </is>
      </c>
      <c r="B1469">
        <f>IF(AND(Inputs!$B$38&lt;&gt;"pvp",Inputs!$B$43&gt;0),SUMPRODUCT((Skills!F2:F28=TRUE)*(C1436:C1462=TRUE)*R1436:R1462)/Inputs!$B$43,SUMPRODUCT((Skills!F2:F28=TRUE)*(C1436:C1462=TRUE)*Q1436:Q1462))</f>
        <v/>
      </c>
    </row>
    <row r="1470">
      <c r="A1470" t="inlineStr">
        <is>
          <t>Basic Attacks Per Second</t>
        </is>
      </c>
      <c r="B1470">
        <f>MAX(0,B1468-B1469)</f>
        <v/>
      </c>
    </row>
    <row r="1471">
      <c r="A1471" t="inlineStr">
        <is>
          <t>Meteor Proc — combined trigger cast rate</t>
        </is>
      </c>
      <c r="B1471">
        <f>IF(AND(Inputs!$B$38&lt;&gt;"pvp",Inputs!$B$43&gt;0),SUMPRODUCT((Skills!V2:V28=TRUE)*(C1436:C1462=TRUE)*R1436:R1462*Skills!W2:W28)/Inputs!$B$43,SUMPRODUCT((Skills!V2:V28=TRUE)*(C1436:C1462=TRUE)*Q1436:Q1462*Skills!W2:W28))+B1470</f>
        <v/>
      </c>
    </row>
    <row r="1472">
      <c r="A1472" t="inlineStr">
        <is>
          <t>Buff-Casting Startup Delay (s, fixed-duration only)</t>
        </is>
      </c>
      <c r="B1472">
        <f>IF(AND(Inputs!$B$38&lt;&gt;"pvp",Inputs!$B$43&gt;0),SUMPRODUCT((Skills!T2:T28&gt;0)*(Skills!F2:F28=TRUE)*(C1436:C1462=TRUE))/B1468,0)</f>
        <v/>
      </c>
    </row>
    <row r="1473">
      <c r="A1473" t="inlineStr">
        <is>
          <t>Boss-Only Total DPS (this block's swept value)</t>
        </is>
      </c>
      <c r="B1473">
        <f>SUM(S1436:S1462)</f>
        <v/>
      </c>
    </row>
    <row r="1474">
      <c r="A1474" t="inlineStr">
        <is>
          <t>Normal-Only Total DPS (this block's swept value)</t>
        </is>
      </c>
      <c r="B1474">
        <f>SUM(U1436:U1462)</f>
        <v/>
      </c>
    </row>
    <row r="1475">
      <c r="A1475" s="6" t="inlineStr">
        <is>
          <t>TOTAL DPS</t>
        </is>
      </c>
      <c r="B1475" s="6">
        <f>SUM(O1436:O1462)</f>
        <v/>
      </c>
    </row>
    <row r="1478">
      <c r="A1478" s="6" t="inlineStr">
        <is>
          <t>Stat: Mushmom's Cap (Equip)</t>
        </is>
      </c>
    </row>
    <row r="1479">
      <c r="A1479" s="5" t="inlineStr">
        <is>
          <t>Key</t>
        </is>
      </c>
      <c r="B1479" s="5" t="inlineStr">
        <is>
          <t>Name</t>
        </is>
      </c>
      <c r="C1479" s="5" t="inlineStr">
        <is>
          <t>Unlocked</t>
        </is>
      </c>
      <c r="D1479" s="5" t="inlineStr">
        <is>
          <t>InputLevel</t>
        </is>
      </c>
      <c r="E1479" s="5" t="inlineStr">
        <is>
          <t>Factor</t>
        </is>
      </c>
      <c r="F1479" s="5" t="inlineStr">
        <is>
          <t>CoefficientPercent</t>
        </is>
      </c>
      <c r="G1479" s="5" t="inlineStr">
        <is>
          <t>EffectiveHits</t>
        </is>
      </c>
      <c r="H1479" s="5" t="inlineStr">
        <is>
          <t>ProcProbability</t>
        </is>
      </c>
      <c r="I1479" s="5" t="inlineStr">
        <is>
          <t>MapleHeroMultiplier</t>
        </is>
      </c>
      <c r="J1479" s="5" t="inlineStr">
        <is>
          <t>BaseDamage</t>
        </is>
      </c>
      <c r="K1479" s="5" t="inlineStr">
        <is>
          <t>BaseHitDamage</t>
        </is>
      </c>
      <c r="L1479" s="5" t="inlineStr">
        <is>
          <t>NonCritAvg</t>
        </is>
      </c>
      <c r="M1479" s="5" t="inlineStr">
        <is>
          <t>CritAvg</t>
        </is>
      </c>
      <c r="N1479" s="5" t="inlineStr">
        <is>
          <t>ExpectedDamage(perHit)</t>
        </is>
      </c>
      <c r="O1479" s="5" t="inlineStr">
        <is>
          <t>DPS</t>
        </is>
      </c>
      <c r="P1479" s="5" t="inlineStr">
        <is>
          <t>% of Total</t>
        </is>
      </c>
      <c r="R1479" t="inlineStr">
        <is>
          <t>helpers</t>
        </is>
      </c>
    </row>
    <row r="1480">
      <c r="A1480">
        <f>Skills!A2</f>
        <v/>
      </c>
      <c r="B1480">
        <f>Skills!B2</f>
        <v/>
      </c>
      <c r="C1480">
        <f>TRUE</f>
        <v/>
      </c>
      <c r="D1480" t="inlineStr"/>
      <c r="E1480" t="inlineStr"/>
      <c r="F1480">
        <f>T1482+Skills!O2</f>
        <v/>
      </c>
      <c r="G1480">
        <f>Calc!G2</f>
        <v/>
      </c>
      <c r="H1480">
        <f>Calc!H2</f>
        <v/>
      </c>
      <c r="I1480">
        <f>IF(Skills!X2&lt;&gt;"",1+(Skills!X2/10)*(Z1481/1000)/100,1)</f>
        <v/>
      </c>
      <c r="J1480">
        <f>((Inputs!$B$6*(1+Inputs!$B$7/100))+(((Inputs!$B$12*(1+Inputs!$B$13/100))-(Inputs!$B$12*(1+Inputs!$B$13/100)))+0.25*(Inputs!$B$14-Inputs!$B$14))*(1+Inputs!$B$7/100))*(F1480/100)</f>
        <v/>
      </c>
      <c r="K1480">
        <f>J1480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1480)</f>
        <v/>
      </c>
      <c r="L1480">
        <f>K1480*(MIN(Inputs!$B$22+(F1500-Calc!F22),(Inputs!$B$23+(IF(ArtifactsInput!$M$15,CHOOSE(ArtifactsInput!$N$15+1,25,30,35,40,45,50)/100*(Inputs!$B$11-Inputs!$B$11),0))))/100+(Inputs!$B$23+(IF(ArtifactsInput!$M$15,CHOOSE(ArtifactsInput!$N$15+1,25,30,35,40,45,50)/100*(Inputs!$B$11-Inputs!$B$11),0)))/100)/2</f>
        <v/>
      </c>
      <c r="M1480">
        <f>L1480*(1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0">
        <f>L1480*(1-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1480*(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0">
        <f>(1-Summary!$B$11)*S1480+Summary!$B$11*U1480</f>
        <v/>
      </c>
      <c r="P1480">
        <f>IF(B1519=0,0,O1480/B1519)</f>
        <v/>
      </c>
      <c r="Q1480">
        <f>IFERROR(1/(IF(Inputs!$B$38="pvp",15,MAX(0.1,Skills!E2-IF(Skills!F2=TRUE,Inputs!$B$32,0)))*(1-IF(AND(ArtifactsInput!$M$27,Inputs!$B$4="Chapter Hunt"),CHOOSE(ArtifactsInput!$N$27+1,20,24,28,32,36,40),0)/100)),0)</f>
        <v/>
      </c>
      <c r="R1480" t="n">
        <v>0</v>
      </c>
      <c r="S1480">
        <f>(Skills!G2*N1480*B1514)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1480*(1-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1480*(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1480*(1-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1480*(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480">
        <f>MAX(0,(Inputs!$B$3-100)*3)+Inputs!$B$28+Inputs!$B$29</f>
        <v/>
      </c>
      <c r="U1480">
        <f>(Skills!G2*N1480*B1514)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480">
        <f>MAX(0,(Inputs!$B$3-100)*3)+Inputs!$B$28+Inputs!$B$29</f>
        <v/>
      </c>
    </row>
    <row r="1481">
      <c r="A1481">
        <f>Skills!A3</f>
        <v/>
      </c>
      <c r="B1481">
        <f>Skills!B3</f>
        <v/>
      </c>
      <c r="C1481">
        <f>TRUE</f>
        <v/>
      </c>
      <c r="D1481">
        <f>IF(Skills!C3=1,60+Inputs!$B$25+Inputs!$B$29,IF(Skills!C3=2,90+Inputs!$B$26+Inputs!$B$29,IF(Skills!C3=3,120+Inputs!$B$27+Inputs!$B$29,MAX(0,(Inputs!$B$3-100)*3)+Inputs!$B$28+Inputs!$B$29)))</f>
        <v/>
      </c>
      <c r="E1481">
        <f>INDEX(FactorTable!$B$2:$Y$301, MATCH(ROUND(MIN(300,MAX(1,D1481)),0), FactorTable!$A$2:$A$301,0), Skills!M3+1)</f>
        <v/>
      </c>
      <c r="F1481">
        <f>IF(Skills!N3=TRUE,(Skills!L3/10)*(E1481/1000),Skills!L3/10)+Skills!O3</f>
        <v/>
      </c>
      <c r="G1481">
        <f>Calc!G3</f>
        <v/>
      </c>
      <c r="H1481">
        <f>Calc!H3</f>
        <v/>
      </c>
      <c r="I1481">
        <f>IF(Skills!X3&lt;&gt;"",1+(Skills!X3/10)*(Z1481/1000)/100,1)</f>
        <v/>
      </c>
      <c r="J1481">
        <f>((Inputs!$B$6*(1+Inputs!$B$7/100))+(((Inputs!$B$12*(1+Inputs!$B$13/100))-(Inputs!$B$12*(1+Inputs!$B$13/100)))+0.25*(Inputs!$B$14-Inputs!$B$14))*(1+Inputs!$B$7/100))*(F1481/100)</f>
        <v/>
      </c>
      <c r="K1481">
        <f>J1481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1481)</f>
        <v/>
      </c>
      <c r="L1481">
        <f>K1481*(MIN(Inputs!$B$22+(F1500-Calc!F22),(Inputs!$B$23+(IF(ArtifactsInput!$M$15,CHOOSE(ArtifactsInput!$N$15+1,25,30,35,40,45,50)/100*(Inputs!$B$11-Inputs!$B$11),0))))/100+(Inputs!$B$23+(IF(ArtifactsInput!$M$15,CHOOSE(ArtifactsInput!$N$15+1,25,30,35,40,45,50)/100*(Inputs!$B$11-Inputs!$B$11),0)))/100)/2</f>
        <v/>
      </c>
      <c r="M1481">
        <f>L1481*(1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1">
        <f>L1481*(1-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1">
        <f>(1-Summary!$B$11)*S1481+Summary!$B$11*U1481</f>
        <v/>
      </c>
      <c r="P1481">
        <f>IF(B1519=0,0,O1481/B1519)</f>
        <v/>
      </c>
      <c r="Q1481">
        <f>IFERROR(1/(IF(Inputs!$B$38="pvp",15,MAX(0.1,Skills!E3-IF(Skills!F3=TRUE,Inputs!$B$32,0)))*(1-IF(AND(ArtifactsInput!$M$27,Inputs!$B$4="Chapter Hunt"),CHOOSE(ArtifactsInput!$N$27+1,20,24,28,32,36,40),0)/100)),0)</f>
        <v/>
      </c>
      <c r="R1481">
        <f>IF(AND(Inputs!$B$38&lt;&gt;"pvp",Inputs!$B$43&gt;0),IF(MAX(0,Inputs!$B$43-B1516)&lt;=0,0,(INT(MAX(0,Inputs!$B$43-B1516)/(IF(Inputs!$B$38="pvp",15,MAX(0.1,Skills!E3-IF(Skills!F3=TRUE,Inputs!$B$32,0)))*(1-IF(AND(ArtifactsInput!$M$27,Inputs!$B$4="Chapter Hunt"),CHOOSE(ArtifactsInput!$N$27+1,20,24,28,32,36,40),0)/100)))+1)),0)</f>
        <v/>
      </c>
      <c r="S1481">
        <f>IF(C1481,(H1481*N1481*IF(AND(Inputs!$B$38&lt;&gt;"pvp",Inputs!$B$43&gt;0),((Skills!G3*((R1481-1)*IF(Skills!H3&gt;0,Skills!I3/Skills!H3,1)+IF(Skills!H3&gt;0,MIN(Skills!I3,MAX(0,MAX(0,Inputs!$B$43-B1516)-((R1481-1)*(IF(Inputs!$B$38="pvp",15,MAX(0.1,Skills!E3-IF(Skills!F3=TRUE,Inputs!$B$32,0)))*(1-IF(AND(ArtifactsInput!$M$27,Inputs!$B$4="Chapter Hunt"),CHOOSE(ArtifactsInput!$N$27+1,20,24,28,32,36,40),0)/100)))))/Skills!H3,1)))/Inputs!$B$43),G1481*Q1481)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1481*(1-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1481*(1-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481">
        <f>INDEX(FactorTable!$B$2:$Y$301, MATCH(ROUND(MIN(300,MAX(1,T1480)),0), FactorTable!$A$2:$A$301,0), 22)</f>
        <v/>
      </c>
      <c r="U1481">
        <f>IF(C1481,(H1481*N1481*IF(AND(Inputs!$B$38&lt;&gt;"pvp",Inputs!$B$43&gt;0),((Skills!G3*((R1481-1)*IF(Skills!H3&gt;0,Skills!I3/Skills!H3,1)+IF(Skills!H3&gt;0,MIN(Skills!I3,MAX(0,MAX(0,Inputs!$B$43-B1516)-((R1481-1)*(IF(Inputs!$B$38="pvp",15,MAX(0.1,Skills!E3-IF(Skills!F3=TRUE,Inputs!$B$32,0)))*(1-IF(AND(ArtifactsInput!$M$27,Inputs!$B$4="Chapter Hunt"),CHOOSE(ArtifactsInput!$N$27+1,20,24,28,32,36,40),0)/100)))))/Skills!H3,1)))/Inputs!$B$43),G1481*Q1481)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481">
        <f>INDEX(FactorTable!$B$2:$Y$301, MATCH(ROUND(MIN(300,MAX(1,Z1480)),0), FactorTable!$A$2:$A$301,0), 24)</f>
        <v/>
      </c>
    </row>
    <row r="1482">
      <c r="A1482">
        <f>Skills!A4</f>
        <v/>
      </c>
      <c r="B1482">
        <f>Skills!B4</f>
        <v/>
      </c>
      <c r="C1482">
        <f>TRUE</f>
        <v/>
      </c>
      <c r="D1482">
        <f>IF(Skills!C4=1,60+Inputs!$B$25+Inputs!$B$29,IF(Skills!C4=2,90+Inputs!$B$26+Inputs!$B$29,IF(Skills!C4=3,120+Inputs!$B$27+Inputs!$B$29,MAX(0,(Inputs!$B$3-100)*3)+Inputs!$B$28+Inputs!$B$29)))</f>
        <v/>
      </c>
      <c r="E1482">
        <f>INDEX(FactorTable!$B$2:$Y$301, MATCH(ROUND(MIN(300,MAX(1,D1482)),0), FactorTable!$A$2:$A$301,0), Skills!M4+1)</f>
        <v/>
      </c>
      <c r="F1482">
        <f>IF(Skills!N4=TRUE,(Skills!L4/10)*(E1482/1000),Skills!L4/10)+Skills!O4</f>
        <v/>
      </c>
      <c r="G1482">
        <f>Calc!G4</f>
        <v/>
      </c>
      <c r="H1482">
        <f>Calc!H4</f>
        <v/>
      </c>
      <c r="I1482">
        <f>IF(Skills!X4&lt;&gt;"",1+(Skills!X4/10)*(Z1481/1000)/100,1)</f>
        <v/>
      </c>
      <c r="J1482">
        <f>((Inputs!$B$6*(1+Inputs!$B$7/100))+(((Inputs!$B$12*(1+Inputs!$B$13/100))-(Inputs!$B$12*(1+Inputs!$B$13/100)))+0.25*(Inputs!$B$14-Inputs!$B$14))*(1+Inputs!$B$7/100))*(F1482/100)</f>
        <v/>
      </c>
      <c r="K1482">
        <f>J1482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1482)</f>
        <v/>
      </c>
      <c r="L1482">
        <f>K1482*(MIN(Inputs!$B$22+(F1500-Calc!F22),(Inputs!$B$23+(IF(ArtifactsInput!$M$15,CHOOSE(ArtifactsInput!$N$15+1,25,30,35,40,45,50)/100*(Inputs!$B$11-Inputs!$B$11),0))))/100+(Inputs!$B$23+(IF(ArtifactsInput!$M$15,CHOOSE(ArtifactsInput!$N$15+1,25,30,35,40,45,50)/100*(Inputs!$B$11-Inputs!$B$11),0)))/100)/2</f>
        <v/>
      </c>
      <c r="M1482">
        <f>L1482*(1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2">
        <f>L1482*(1-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1482*(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2">
        <f>(1-Summary!$B$11)*S1482+Summary!$B$11*U1482</f>
        <v/>
      </c>
      <c r="P1482">
        <f>IF(B1519=0,0,O1482/B1519)</f>
        <v/>
      </c>
      <c r="Q1482">
        <f>IFERROR(1/(IF(Inputs!$B$38="pvp",15,MAX(0.1,Skills!E4-IF(Skills!F4=TRUE,Inputs!$B$32,0)))*(1-IF(AND(ArtifactsInput!$M$27,Inputs!$B$4="Chapter Hunt"),CHOOSE(ArtifactsInput!$N$27+1,20,24,28,32,36,40),0)/100)),0)</f>
        <v/>
      </c>
      <c r="R1482">
        <f>IF(AND(Inputs!$B$38&lt;&gt;"pvp",Inputs!$B$43&gt;0),IF(MAX(0,Inputs!$B$43-B1516)&lt;=0,0,(INT(MAX(0,Inputs!$B$43-B1516)/(IF(Inputs!$B$38="pvp",15,MAX(0.1,Skills!E4-IF(Skills!F4=TRUE,Inputs!$B$32,0)))*(1-IF(AND(ArtifactsInput!$M$27,Inputs!$B$4="Chapter Hunt"),CHOOSE(ArtifactsInput!$N$27+1,20,24,28,32,36,40),0)/100)))+1)),0)</f>
        <v/>
      </c>
      <c r="S1482">
        <f>IF(C1482,(H1482*N1482*IF(AND(Inputs!$B$38&lt;&gt;"pvp",Inputs!$B$43&gt;0),((Skills!G4*((R1482-1)*IF(Skills!H4&gt;0,Skills!I4/Skills!H4,1)+IF(Skills!H4&gt;0,MIN(Skills!I4,MAX(0,MAX(0,Inputs!$B$43-B1516)-((R1482-1)*(IF(Inputs!$B$38="pvp",15,MAX(0.1,Skills!E4-IF(Skills!F4=TRUE,Inputs!$B$32,0)))*(1-IF(AND(ArtifactsInput!$M$27,Inputs!$B$4="Chapter Hunt"),CHOOSE(ArtifactsInput!$N$27+1,20,24,28,32,36,40),0)/100)))))/Skills!H4,1)))/Inputs!$B$43),G1482*Q1482)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1482*(1-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1482*(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1482*(1-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1482*(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482">
        <f>290*T1481/1000</f>
        <v/>
      </c>
      <c r="U1482">
        <f>IF(C1482,(H1482*N1482*IF(AND(Inputs!$B$38&lt;&gt;"pvp",Inputs!$B$43&gt;0),((Skills!G4*((R1482-1)*IF(Skills!H4&gt;0,Skills!I4/Skills!H4,1)+IF(Skills!H4&gt;0,MIN(Skills!I4,MAX(0,MAX(0,Inputs!$B$43-B1516)-((R1482-1)*(IF(Inputs!$B$38="pvp",15,MAX(0.1,Skills!E4-IF(Skills!F4=TRUE,Inputs!$B$32,0)))*(1-IF(AND(ArtifactsInput!$M$27,Inputs!$B$4="Chapter Hunt"),CHOOSE(ArtifactsInput!$N$27+1,20,24,28,32,36,40),0)/100)))))/Skills!H4,1)))/Inputs!$B$43),G1482*Q1482)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3">
      <c r="A1483">
        <f>Skills!A5</f>
        <v/>
      </c>
      <c r="B1483">
        <f>Skills!B5</f>
        <v/>
      </c>
      <c r="C1483">
        <f>TRUE</f>
        <v/>
      </c>
      <c r="D1483">
        <f>IF(Skills!C5=1,60+Inputs!$B$25+Inputs!$B$29,IF(Skills!C5=2,90+Inputs!$B$26+Inputs!$B$29,IF(Skills!C5=3,120+Inputs!$B$27+Inputs!$B$29,MAX(0,(Inputs!$B$3-100)*3)+Inputs!$B$28+Inputs!$B$29)))</f>
        <v/>
      </c>
      <c r="E1483">
        <f>INDEX(FactorTable!$B$2:$Y$301, MATCH(ROUND(MIN(300,MAX(1,D1483)),0), FactorTable!$A$2:$A$301,0), Skills!M5+1)</f>
        <v/>
      </c>
      <c r="F1483">
        <f>IF(Skills!N5=TRUE,(Skills!L5/10)*(E1483/1000),Skills!L5/10)+Skills!O5</f>
        <v/>
      </c>
      <c r="G1483">
        <f>Calc!G5</f>
        <v/>
      </c>
      <c r="H1483">
        <f>Calc!H5</f>
        <v/>
      </c>
      <c r="I1483">
        <f>IF(Skills!X5&lt;&gt;"",1+(Skills!X5/10)*(Z1481/1000)/100,1)</f>
        <v/>
      </c>
      <c r="J1483">
        <f>((Inputs!$B$6*(1+Inputs!$B$7/100))+(((Inputs!$B$12*(1+Inputs!$B$13/100))-(Inputs!$B$12*(1+Inputs!$B$13/100)))+0.25*(Inputs!$B$14-Inputs!$B$14))*(1+Inputs!$B$7/100))*(F1483/100)</f>
        <v/>
      </c>
      <c r="K1483">
        <f>J1483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1483)</f>
        <v/>
      </c>
      <c r="L1483">
        <f>K1483*(MIN(Inputs!$B$22+(F1500-Calc!F22),(Inputs!$B$23+(IF(ArtifactsInput!$M$15,CHOOSE(ArtifactsInput!$N$15+1,25,30,35,40,45,50)/100*(Inputs!$B$11-Inputs!$B$11),0))))/100+(Inputs!$B$23+(IF(ArtifactsInput!$M$15,CHOOSE(ArtifactsInput!$N$15+1,25,30,35,40,45,50)/100*(Inputs!$B$11-Inputs!$B$11),0)))/100)/2</f>
        <v/>
      </c>
      <c r="M1483">
        <f>L1483*(1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3">
        <f>L1483*(1-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1483*(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3">
        <f>(1-Summary!$B$11)*S1483+Summary!$B$11*U1483</f>
        <v/>
      </c>
      <c r="P1483">
        <f>IF(B1519=0,0,O1483/B1519)</f>
        <v/>
      </c>
      <c r="Q1483">
        <f>IFERROR(1/(IF(Inputs!$B$38="pvp",15,MAX(0.1,Skills!E5-IF(Skills!F5=TRUE,Inputs!$B$32,0)))*(1-IF(AND(ArtifactsInput!$M$27,Inputs!$B$4="Chapter Hunt"),CHOOSE(ArtifactsInput!$N$27+1,20,24,28,32,36,40),0)/100)),0)</f>
        <v/>
      </c>
      <c r="R1483">
        <f>IF(AND(Inputs!$B$38&lt;&gt;"pvp",Inputs!$B$43&gt;0),IF(MAX(0,Inputs!$B$43-B1516)&lt;=0,0,(INT(MAX(0,Inputs!$B$43-B1516)/(IF(Inputs!$B$38="pvp",15,MAX(0.1,Skills!E5-IF(Skills!F5=TRUE,Inputs!$B$32,0)))*(1-IF(AND(ArtifactsInput!$M$27,Inputs!$B$4="Chapter Hunt"),CHOOSE(ArtifactsInput!$N$27+1,20,24,28,32,36,40),0)/100)))+1)),0)</f>
        <v/>
      </c>
      <c r="S1483">
        <f>IF(C1483,(H1483*N1483*IF(AND(Inputs!$B$38&lt;&gt;"pvp",Inputs!$B$43&gt;0),((Skills!G5*((R1483-1)*IF(Skills!H5&gt;0,Skills!I5/Skills!H5,1)+IF(Skills!H5&gt;0,MIN(Skills!I5,MAX(0,MAX(0,Inputs!$B$43-B1516)-((R1483-1)*(IF(Inputs!$B$38="pvp",15,MAX(0.1,Skills!E5-IF(Skills!F5=TRUE,Inputs!$B$32,0)))*(1-IF(AND(ArtifactsInput!$M$27,Inputs!$B$4="Chapter Hunt"),CHOOSE(ArtifactsInput!$N$27+1,20,24,28,32,36,40),0)/100)))))/Skills!H5,1)))/Inputs!$B$43),G1483*Q1483)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1483*(1-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1483*(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1483*(1-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1483*(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83">
        <f>IF(C1483,(H1483*N1483*IF(AND(Inputs!$B$38&lt;&gt;"pvp",Inputs!$B$43&gt;0),((Skills!G5*((R1483-1)*IF(Skills!H5&gt;0,Skills!I5/Skills!H5,1)+IF(Skills!H5&gt;0,MIN(Skills!I5,MAX(0,MAX(0,Inputs!$B$43-B1516)-((R1483-1)*(IF(Inputs!$B$38="pvp",15,MAX(0.1,Skills!E5-IF(Skills!F5=TRUE,Inputs!$B$32,0)))*(1-IF(AND(ArtifactsInput!$M$27,Inputs!$B$4="Chapter Hunt"),CHOOSE(ArtifactsInput!$N$27+1,20,24,28,32,36,40),0)/100)))))/Skills!H5,1)))/Inputs!$B$43),G1483*Q1483)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4">
      <c r="A1484">
        <f>Skills!A6</f>
        <v/>
      </c>
      <c r="B1484">
        <f>Skills!B6</f>
        <v/>
      </c>
      <c r="C1484">
        <f>TRUE</f>
        <v/>
      </c>
      <c r="D1484">
        <f>IF(Skills!C6=1,60+Inputs!$B$25+Inputs!$B$29,IF(Skills!C6=2,90+Inputs!$B$26+Inputs!$B$29,IF(Skills!C6=3,120+Inputs!$B$27+Inputs!$B$29,MAX(0,(Inputs!$B$3-100)*3)+Inputs!$B$28+Inputs!$B$29)))</f>
        <v/>
      </c>
      <c r="E1484">
        <f>INDEX(FactorTable!$B$2:$Y$301, MATCH(ROUND(MIN(300,MAX(1,D1484)),0), FactorTable!$A$2:$A$301,0), Skills!M6+1)</f>
        <v/>
      </c>
      <c r="F1484">
        <f>IF(Skills!N6=TRUE,(Skills!L6/10)*(E1484/1000),Skills!L6/10)+Skills!O6</f>
        <v/>
      </c>
      <c r="G1484">
        <f>Calc!G6</f>
        <v/>
      </c>
      <c r="H1484">
        <f>Calc!H6</f>
        <v/>
      </c>
      <c r="I1484">
        <f>IF(Skills!X6&lt;&gt;"",1+(Skills!X6/10)*(Z1481/1000)/100,1)</f>
        <v/>
      </c>
      <c r="J1484" t="inlineStr"/>
      <c r="K1484" t="inlineStr"/>
      <c r="L1484" t="inlineStr"/>
      <c r="M1484" t="inlineStr"/>
      <c r="N1484" t="inlineStr"/>
      <c r="O1484">
        <f>(1-Summary!$B$11)*S1484+Summary!$B$11*U1484</f>
        <v/>
      </c>
      <c r="P1484">
        <f>IF(B1519=0,0,O1484/B1519)</f>
        <v/>
      </c>
      <c r="Q1484">
        <f>IFERROR(1/(IF(Inputs!$B$38="pvp",15,MAX(0.1,Skills!E6-IF(Skills!F6=TRUE,Inputs!$B$32,0)))*(1-IF(AND(ArtifactsInput!$M$27,Inputs!$B$4="Chapter Hunt"),CHOOSE(ArtifactsInput!$N$27+1,20,24,28,32,36,40),0)/100)),0)</f>
        <v/>
      </c>
      <c r="R1484">
        <f>IF(AND(Inputs!$B$38&lt;&gt;"pvp",Inputs!$B$43&gt;0),IF(Inputs!$B$43&lt;=0,0,(INT(Inputs!$B$43/(IF(Inputs!$B$38="pvp",15,MAX(0.1,Skills!E6-IF(Skills!F6=TRUE,Inputs!$B$32,0)))*(1-IF(AND(ArtifactsInput!$M$27,Inputs!$B$4="Chapter Hunt"),CHOOSE(ArtifactsInput!$N$27+1,20,24,28,32,36,40),0)/100)))+1)),0)</f>
        <v/>
      </c>
      <c r="S1484" t="n">
        <v>0</v>
      </c>
      <c r="U1484" t="n">
        <v>0</v>
      </c>
    </row>
    <row r="1485">
      <c r="A1485">
        <f>Skills!A7</f>
        <v/>
      </c>
      <c r="B1485">
        <f>Skills!B7</f>
        <v/>
      </c>
      <c r="C1485">
        <f>TRUE</f>
        <v/>
      </c>
      <c r="D1485">
        <f>IF(Skills!C7=1,60+Inputs!$B$25+Inputs!$B$29,IF(Skills!C7=2,90+Inputs!$B$26+Inputs!$B$29,IF(Skills!C7=3,120+Inputs!$B$27+Inputs!$B$29,MAX(0,(Inputs!$B$3-100)*3)+Inputs!$B$28+Inputs!$B$29)))</f>
        <v/>
      </c>
      <c r="E1485">
        <f>INDEX(FactorTable!$B$2:$Y$301, MATCH(ROUND(MIN(300,MAX(1,D1485)),0), FactorTable!$A$2:$A$301,0), Skills!M7+1)</f>
        <v/>
      </c>
      <c r="F1485">
        <f>IF(Skills!N7=TRUE,(Skills!L7/10)*(E1485/1000),Skills!L7/10)+Skills!O7</f>
        <v/>
      </c>
      <c r="G1485">
        <f>Calc!G7</f>
        <v/>
      </c>
      <c r="H1485">
        <f>Calc!H7</f>
        <v/>
      </c>
      <c r="I1485">
        <f>IF(Skills!X7&lt;&gt;"",1+(Skills!X7/10)*(Z1481/1000)/100,1)</f>
        <v/>
      </c>
      <c r="J1485">
        <f>((Inputs!$B$6*(1+Inputs!$B$7/100))+(((Inputs!$B$12*(1+Inputs!$B$13/100))-(Inputs!$B$12*(1+Inputs!$B$13/100)))+0.25*(Inputs!$B$14-Inputs!$B$14))*(1+Inputs!$B$7/100))*(F1485/100)</f>
        <v/>
      </c>
      <c r="K1485">
        <f>J1485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1485)</f>
        <v/>
      </c>
      <c r="L1485">
        <f>K1485*(MIN(Inputs!$B$22+(F1500-Calc!F22),(Inputs!$B$23+(IF(ArtifactsInput!$M$15,CHOOSE(ArtifactsInput!$N$15+1,25,30,35,40,45,50)/100*(Inputs!$B$11-Inputs!$B$11),0))))/100+(Inputs!$B$23+(IF(ArtifactsInput!$M$15,CHOOSE(ArtifactsInput!$N$15+1,25,30,35,40,45,50)/100*(Inputs!$B$11-Inputs!$B$11),0)))/100)/2</f>
        <v/>
      </c>
      <c r="M1485">
        <f>L1485*(1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5">
        <f>L1485*(1-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1485*(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5">
        <f>(1-Summary!$B$11)*S1485+Summary!$B$11*U1485</f>
        <v/>
      </c>
      <c r="P1485">
        <f>IF(B1519=0,0,O1485/B1519)</f>
        <v/>
      </c>
      <c r="Q1485">
        <f>IFERROR(1/(IF(Inputs!$B$38="pvp",15,MAX(0.1,Skills!E7-IF(Skills!F7=TRUE,Inputs!$B$32,0)))*(1-IF(AND(ArtifactsInput!$M$27,Inputs!$B$4="Chapter Hunt"),CHOOSE(ArtifactsInput!$N$27+1,20,24,28,32,36,40),0)/100)),0)</f>
        <v/>
      </c>
      <c r="R1485">
        <f>IF(AND(Inputs!$B$38&lt;&gt;"pvp",Inputs!$B$43&gt;0),IF(MAX(0,Inputs!$B$43-B1516)&lt;=0,0,(INT(MAX(0,Inputs!$B$43-B1516)/(IF(Inputs!$B$38="pvp",15,MAX(0.1,Skills!E7-IF(Skills!F7=TRUE,Inputs!$B$32,0)))*(1-IF(AND(ArtifactsInput!$M$27,Inputs!$B$4="Chapter Hunt"),CHOOSE(ArtifactsInput!$N$27+1,20,24,28,32,36,40),0)/100)))+1)),0)</f>
        <v/>
      </c>
      <c r="S1485">
        <f>IF(C1485,(H1485*N1485*IF(AND(Inputs!$B$38&lt;&gt;"pvp",Inputs!$B$43&gt;0),((Skills!G7*((R1485-1)*IF(Skills!H7&gt;0,Skills!I7/Skills!H7,1)+IF(Skills!H7&gt;0,MIN(Skills!I7,MAX(0,MAX(0,Inputs!$B$43-B1516)-((R1485-1)*(IF(Inputs!$B$38="pvp",15,MAX(0.1,Skills!E7-IF(Skills!F7=TRUE,Inputs!$B$32,0)))*(1-IF(AND(ArtifactsInput!$M$27,Inputs!$B$4="Chapter Hunt"),CHOOSE(ArtifactsInput!$N$27+1,20,24,28,32,36,40),0)/100)))))/Skills!H7,1)))/Inputs!$B$43),G1485*Q1485)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1485*(1-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1485*(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1485*(1-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1485*(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85">
        <f>IF(C1485,(H1485*N1485*IF(AND(Inputs!$B$38&lt;&gt;"pvp",Inputs!$B$43&gt;0),((Skills!G7*((R1485-1)*IF(Skills!H7&gt;0,Skills!I7/Skills!H7,1)+IF(Skills!H7&gt;0,MIN(Skills!I7,MAX(0,MAX(0,Inputs!$B$43-B1516)-((R1485-1)*(IF(Inputs!$B$38="pvp",15,MAX(0.1,Skills!E7-IF(Skills!F7=TRUE,Inputs!$B$32,0)))*(1-IF(AND(ArtifactsInput!$M$27,Inputs!$B$4="Chapter Hunt"),CHOOSE(ArtifactsInput!$N$27+1,20,24,28,32,36,40),0)/100)))))/Skills!H7,1)))/Inputs!$B$43),G1485*Q1485)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6">
      <c r="A1486">
        <f>Skills!A8</f>
        <v/>
      </c>
      <c r="B1486">
        <f>Skills!B8</f>
        <v/>
      </c>
      <c r="C1486">
        <f>TRUE</f>
        <v/>
      </c>
      <c r="D1486">
        <f>IF(Skills!C8=1,60+Inputs!$B$25+Inputs!$B$29,IF(Skills!C8=2,90+Inputs!$B$26+Inputs!$B$29,IF(Skills!C8=3,120+Inputs!$B$27+Inputs!$B$29,MAX(0,(Inputs!$B$3-100)*3)+Inputs!$B$28+Inputs!$B$29)))</f>
        <v/>
      </c>
      <c r="E1486">
        <f>INDEX(FactorTable!$B$2:$Y$301, MATCH(ROUND(MIN(300,MAX(1,D1486)),0), FactorTable!$A$2:$A$301,0), Skills!M8+1)</f>
        <v/>
      </c>
      <c r="F1486">
        <f>IF(Skills!N8=TRUE,(Skills!L8/10)*(E1486/1000),Skills!L8/10)+Skills!O8</f>
        <v/>
      </c>
      <c r="G1486">
        <f>Calc!G8</f>
        <v/>
      </c>
      <c r="H1486">
        <f>Calc!H8</f>
        <v/>
      </c>
      <c r="I1486">
        <f>IF(Skills!X8&lt;&gt;"",1+(Skills!X8/10)*(Z1481/1000)/100,1)</f>
        <v/>
      </c>
      <c r="J1486">
        <f>((Inputs!$B$6*(1+Inputs!$B$7/100))+(((Inputs!$B$12*(1+Inputs!$B$13/100))-(Inputs!$B$12*(1+Inputs!$B$13/100)))+0.25*(Inputs!$B$14-Inputs!$B$14))*(1+Inputs!$B$7/100))*(F1486/100)</f>
        <v/>
      </c>
      <c r="K1486">
        <f>J1486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1486)</f>
        <v/>
      </c>
      <c r="L1486">
        <f>K1486*(MIN(Inputs!$B$22+(F1500-Calc!F22),(Inputs!$B$23+(IF(ArtifactsInput!$M$15,CHOOSE(ArtifactsInput!$N$15+1,25,30,35,40,45,50)/100*(Inputs!$B$11-Inputs!$B$11),0))))/100+(Inputs!$B$23+(IF(ArtifactsInput!$M$15,CHOOSE(ArtifactsInput!$N$15+1,25,30,35,40,45,50)/100*(Inputs!$B$11-Inputs!$B$11),0)))/100)/2</f>
        <v/>
      </c>
      <c r="M1486">
        <f>L1486*(1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6">
        <f>L1486*(1-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1486*(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6">
        <f>(1-Summary!$B$11)*S1486+Summary!$B$11*U1486</f>
        <v/>
      </c>
      <c r="P1486">
        <f>IF(B1519=0,0,O1486/B1519)</f>
        <v/>
      </c>
      <c r="Q1486">
        <f>IFERROR(1/(IF(Inputs!$B$38="pvp",15,MAX(0.1,Skills!E8-IF(Skills!F8=TRUE,Inputs!$B$32,0)))*(1-IF(AND(ArtifactsInput!$M$27,Inputs!$B$4="Chapter Hunt"),CHOOSE(ArtifactsInput!$N$27+1,20,24,28,32,36,40),0)/100)),0)</f>
        <v/>
      </c>
      <c r="R1486">
        <f>IF(AND(Inputs!$B$38&lt;&gt;"pvp",Inputs!$B$43&gt;0),IF(MAX(0,Inputs!$B$43-B1516)&lt;=0,0,(INT(MAX(0,Inputs!$B$43-B1516)/(IF(Inputs!$B$38="pvp",15,MAX(0.1,Skills!E8-IF(Skills!F8=TRUE,Inputs!$B$32,0)))*(1-IF(AND(ArtifactsInput!$M$27,Inputs!$B$4="Chapter Hunt"),CHOOSE(ArtifactsInput!$N$27+1,20,24,28,32,36,40),0)/100)))+1)),0)</f>
        <v/>
      </c>
      <c r="S1486">
        <f>IF(C1486,(H1486*N1486*IF(AND(Inputs!$B$38&lt;&gt;"pvp",Inputs!$B$43&gt;0),((Skills!G8*((R1486-1)*IF(Skills!H8&gt;0,Skills!I8/Skills!H8,1)+IF(Skills!H8&gt;0,MIN(Skills!I8,MAX(0,MAX(0,Inputs!$B$43-B1516)-((R1486-1)*(IF(Inputs!$B$38="pvp",15,MAX(0.1,Skills!E8-IF(Skills!F8=TRUE,Inputs!$B$32,0)))*(1-IF(AND(ArtifactsInput!$M$27,Inputs!$B$4="Chapter Hunt"),CHOOSE(ArtifactsInput!$N$27+1,20,24,28,32,36,40),0)/100)))))/Skills!H8,1)))/Inputs!$B$43),G1486*Q1486)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1486*(1-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1486*(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1486*(1-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1486*(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86">
        <f>IF(C1486,(H1486*N1486*IF(AND(Inputs!$B$38&lt;&gt;"pvp",Inputs!$B$43&gt;0),((Skills!G8*((R1486-1)*IF(Skills!H8&gt;0,Skills!I8/Skills!H8,1)+IF(Skills!H8&gt;0,MIN(Skills!I8,MAX(0,MAX(0,Inputs!$B$43-B1516)-((R1486-1)*(IF(Inputs!$B$38="pvp",15,MAX(0.1,Skills!E8-IF(Skills!F8=TRUE,Inputs!$B$32,0)))*(1-IF(AND(ArtifactsInput!$M$27,Inputs!$B$4="Chapter Hunt"),CHOOSE(ArtifactsInput!$N$27+1,20,24,28,32,36,40),0)/100)))))/Skills!H8,1)))/Inputs!$B$43),G1486*Q1486)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7">
      <c r="A1487">
        <f>Skills!A9</f>
        <v/>
      </c>
      <c r="B1487">
        <f>Skills!B9</f>
        <v/>
      </c>
      <c r="C1487">
        <f>Inputs!$B$3&gt;=103</f>
        <v/>
      </c>
      <c r="D1487">
        <f>IF(Skills!C9=1,60+Inputs!$B$25+Inputs!$B$29,IF(Skills!C9=2,90+Inputs!$B$26+Inputs!$B$29,IF(Skills!C9=3,120+Inputs!$B$27+Inputs!$B$29,MAX(0,(Inputs!$B$3-100)*3)+Inputs!$B$28+Inputs!$B$29)))</f>
        <v/>
      </c>
      <c r="E1487">
        <f>INDEX(FactorTable!$B$2:$Y$301, MATCH(ROUND(MIN(300,MAX(1,D1487)),0), FactorTable!$A$2:$A$301,0), Skills!M9+1)</f>
        <v/>
      </c>
      <c r="F1487">
        <f>IF(Skills!N9=TRUE,(Skills!L9/10)*(E1487/1000),Skills!L9/10)+Skills!O9</f>
        <v/>
      </c>
      <c r="G1487">
        <f>Calc!G9</f>
        <v/>
      </c>
      <c r="H1487">
        <f>Calc!H9</f>
        <v/>
      </c>
      <c r="I1487">
        <f>IF(Skills!X9&lt;&gt;"",1+(Skills!X9/10)*(Z1481/1000)/100,1)</f>
        <v/>
      </c>
      <c r="J1487">
        <f>((Inputs!$B$6*(1+Inputs!$B$7/100))+(((Inputs!$B$12*(1+Inputs!$B$13/100))-(Inputs!$B$12*(1+Inputs!$B$13/100)))+0.25*(Inputs!$B$14-Inputs!$B$14))*(1+Inputs!$B$7/100))*(F1487/100)</f>
        <v/>
      </c>
      <c r="K1487">
        <f>J1487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1487)</f>
        <v/>
      </c>
      <c r="L1487">
        <f>K1487*(MIN(Inputs!$B$22+(F1500-Calc!F22),(Inputs!$B$23+(IF(ArtifactsInput!$M$15,CHOOSE(ArtifactsInput!$N$15+1,25,30,35,40,45,50)/100*(Inputs!$B$11-Inputs!$B$11),0))))/100+(Inputs!$B$23+(IF(ArtifactsInput!$M$15,CHOOSE(ArtifactsInput!$N$15+1,25,30,35,40,45,50)/100*(Inputs!$B$11-Inputs!$B$11),0)))/100)/2</f>
        <v/>
      </c>
      <c r="M1487">
        <f>L1487*(1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7">
        <f>L1487*(1-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1487*(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7">
        <f>(1-Summary!$B$11)*S1487+Summary!$B$11*U1487</f>
        <v/>
      </c>
      <c r="P1487">
        <f>IF(B1519=0,0,O1487/B1519)</f>
        <v/>
      </c>
      <c r="Q1487">
        <f>IFERROR(1/(IF(Inputs!$B$38="pvp",15,MAX(0.1,Skills!E9-IF(Skills!F7=TRUE,Inputs!$B$32,0)))*(1-IF(AND(ArtifactsInput!$M$27,Inputs!$B$4="Chapter Hunt"),CHOOSE(ArtifactsInput!$N$27+1,20,24,28,32,36,40),0)/100)),0)</f>
        <v/>
      </c>
      <c r="R1487">
        <f>IF(AND(Inputs!$B$38&lt;&gt;"pvp",Inputs!$B$43&gt;0),IF(MAX(0,Inputs!$B$43-B1516)&lt;=0,0,(INT(MAX(0,Inputs!$B$43-B1516)/(IF(Inputs!$B$38="pvp",15,MAX(0.1,Skills!E9-IF(Skills!F7=TRUE,Inputs!$B$32,0)))*(1-IF(AND(ArtifactsInput!$M$27,Inputs!$B$4="Chapter Hunt"),CHOOSE(ArtifactsInput!$N$27+1,20,24,28,32,36,40),0)/100)))+1)),0)</f>
        <v/>
      </c>
      <c r="S1487">
        <f>IF(C1487,(H1487*N1487*IF(AND(Inputs!$B$38&lt;&gt;"pvp",Inputs!$B$43&gt;0),((Skills!G9*((R1487-1)*IF(Skills!H9&gt;0,Skills!I9/Skills!H9,1)+IF(Skills!H9&gt;0,MIN(Skills!I9,MAX(0,MAX(0,Inputs!$B$43-B1516)-((R1487-1)*(IF(Inputs!$B$38="pvp",15,MAX(0.1,Skills!E9-IF(Skills!F7=TRUE,Inputs!$B$32,0)))*(1-IF(AND(ArtifactsInput!$M$27,Inputs!$B$4="Chapter Hunt"),CHOOSE(ArtifactsInput!$N$27+1,20,24,28,32,36,40),0)/100)))))/Skills!H9,1)))/Inputs!$B$43),G1487*Q1487)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1487*(1-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1487*(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1487*(1-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1487*(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87">
        <f>IF(C1487,(H1487*N1487*IF(AND(Inputs!$B$38&lt;&gt;"pvp",Inputs!$B$43&gt;0),((Skills!G9*((R1487-1)*IF(Skills!H9&gt;0,Skills!I9/Skills!H9,1)+IF(Skills!H9&gt;0,MIN(Skills!I9,MAX(0,MAX(0,Inputs!$B$43-B1516)-((R1487-1)*(IF(Inputs!$B$38="pvp",15,MAX(0.1,Skills!E9-IF(Skills!F7=TRUE,Inputs!$B$32,0)))*(1-IF(AND(ArtifactsInput!$M$27,Inputs!$B$4="Chapter Hunt"),CHOOSE(ArtifactsInput!$N$27+1,20,24,28,32,36,40),0)/100)))))/Skills!H9,1)))/Inputs!$B$43),G1487*Q1487)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8">
      <c r="A1488">
        <f>Skills!A10</f>
        <v/>
      </c>
      <c r="B1488">
        <f>Skills!B10</f>
        <v/>
      </c>
      <c r="C1488">
        <f>TRUE</f>
        <v/>
      </c>
      <c r="D1488">
        <f>IF(Skills!C10=1,60+Inputs!$B$25+Inputs!$B$29,IF(Skills!C10=2,90+Inputs!$B$26+Inputs!$B$29,IF(Skills!C10=3,120+Inputs!$B$27+Inputs!$B$29,MAX(0,(Inputs!$B$3-100)*3)+Inputs!$B$28+Inputs!$B$29)))</f>
        <v/>
      </c>
      <c r="E1488">
        <f>INDEX(FactorTable!$B$2:$Y$301, MATCH(ROUND(MIN(300,MAX(1,D1488)),0), FactorTable!$A$2:$A$301,0), Skills!M10+1)</f>
        <v/>
      </c>
      <c r="F1488">
        <f>IF(Skills!N10=TRUE,(Skills!L10/10)*(E1488/1000),Skills!L10/10)+Skills!O10</f>
        <v/>
      </c>
      <c r="G1488">
        <f>Calc!G10</f>
        <v/>
      </c>
      <c r="H1488">
        <f>Calc!H10</f>
        <v/>
      </c>
      <c r="I1488">
        <f>IF(Skills!X10&lt;&gt;"",1+(Skills!X10/10)*(Z1481/1000)/100,1)</f>
        <v/>
      </c>
      <c r="J1488">
        <f>((Inputs!$B$6*(1+Inputs!$B$7/100))+(((Inputs!$B$12*(1+Inputs!$B$13/100))-(Inputs!$B$12*(1+Inputs!$B$13/100)))+0.25*(Inputs!$B$14-Inputs!$B$14))*(1+Inputs!$B$7/100))*(F1488/100)</f>
        <v/>
      </c>
      <c r="K1488">
        <f>J1488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1488)</f>
        <v/>
      </c>
      <c r="L1488">
        <f>K1488*(MIN(Inputs!$B$22+(F1500-Calc!F22),(Inputs!$B$23+(IF(ArtifactsInput!$M$15,CHOOSE(ArtifactsInput!$N$15+1,25,30,35,40,45,50)/100*(Inputs!$B$11-Inputs!$B$11),0))))/100+(Inputs!$B$23+(IF(ArtifactsInput!$M$15,CHOOSE(ArtifactsInput!$N$15+1,25,30,35,40,45,50)/100*(Inputs!$B$11-Inputs!$B$11),0)))/100)/2</f>
        <v/>
      </c>
      <c r="M1488">
        <f>L1488*(1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8">
        <f>L1488*(1-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1488*(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8">
        <f>(1-Summary!$B$11)*S1488+Summary!$B$11*U1488</f>
        <v/>
      </c>
      <c r="P1488">
        <f>IF(B1519=0,0,O1488/B1519)</f>
        <v/>
      </c>
      <c r="Q1488">
        <f>IFERROR(1/(IF(Inputs!$B$38="pvp",15,MAX(0.1,Skills!E10-IF(Skills!F10=TRUE,Inputs!$B$32,0)))*(1-IF(AND(ArtifactsInput!$M$27,Inputs!$B$4="Chapter Hunt"),CHOOSE(ArtifactsInput!$N$27+1,20,24,28,32,36,40),0)/100)),0)</f>
        <v/>
      </c>
      <c r="R1488">
        <f>IF(AND(Inputs!$B$38&lt;&gt;"pvp",Inputs!$B$43&gt;0),IF(MAX(0,Inputs!$B$43-B1516)&lt;=0,0,(INT(MAX(0,Inputs!$B$43-B1516)/(IF(Inputs!$B$38="pvp",15,MAX(0.1,Skills!E10-IF(Skills!F10=TRUE,Inputs!$B$32,0)))*(1-IF(AND(ArtifactsInput!$M$27,Inputs!$B$4="Chapter Hunt"),CHOOSE(ArtifactsInput!$N$27+1,20,24,28,32,36,40),0)/100)))+1)),0)</f>
        <v/>
      </c>
      <c r="S1488">
        <f>IF(C1488,(H1488*N1488*IF(AND(Inputs!$B$38&lt;&gt;"pvp",Inputs!$B$43&gt;0),((Skills!G10*((R1488-1)*IF(Skills!H10&gt;0,Skills!I10/Skills!H10,1)+IF(Skills!H10&gt;0,MIN(Skills!I10,MAX(0,MAX(0,Inputs!$B$43-B1516)-((R1488-1)*(IF(Inputs!$B$38="pvp",15,MAX(0.1,Skills!E10-IF(Skills!F10=TRUE,Inputs!$B$32,0)))*(1-IF(AND(ArtifactsInput!$M$27,Inputs!$B$4="Chapter Hunt"),CHOOSE(ArtifactsInput!$N$27+1,20,24,28,32,36,40),0)/100)))))/Skills!H10,1)))/Inputs!$B$43),G1488*Q1488)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1488*(1-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1488*(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1488*(1-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1488*(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88">
        <f>IF(C1488,(H1488*N1488*IF(AND(Inputs!$B$38&lt;&gt;"pvp",Inputs!$B$43&gt;0),((Skills!G10*((R1488-1)*IF(Skills!H10&gt;0,Skills!I10/Skills!H10,1)+IF(Skills!H10&gt;0,MIN(Skills!I10,MAX(0,MAX(0,Inputs!$B$43-B1516)-((R1488-1)*(IF(Inputs!$B$38="pvp",15,MAX(0.1,Skills!E10-IF(Skills!F10=TRUE,Inputs!$B$32,0)))*(1-IF(AND(ArtifactsInput!$M$27,Inputs!$B$4="Chapter Hunt"),CHOOSE(ArtifactsInput!$N$27+1,20,24,28,32,36,40),0)/100)))))/Skills!H10,1)))/Inputs!$B$43),G1488*Q1488)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9">
      <c r="A1489">
        <f>Skills!A11</f>
        <v/>
      </c>
      <c r="B1489">
        <f>Skills!B11</f>
        <v/>
      </c>
      <c r="C1489">
        <f>TRUE</f>
        <v/>
      </c>
      <c r="D1489">
        <f>IF(Skills!C11=1,60+Inputs!$B$25+Inputs!$B$29,IF(Skills!C11=2,90+Inputs!$B$26+Inputs!$B$29,IF(Skills!C11=3,120+Inputs!$B$27+Inputs!$B$29,MAX(0,(Inputs!$B$3-100)*3)+Inputs!$B$28+Inputs!$B$29)))</f>
        <v/>
      </c>
      <c r="E1489">
        <f>INDEX(FactorTable!$B$2:$Y$301, MATCH(ROUND(MIN(300,MAX(1,D1489)),0), FactorTable!$A$2:$A$301,0), Skills!M11+1)</f>
        <v/>
      </c>
      <c r="F1489">
        <f>IF(Skills!N11=TRUE,(Skills!L11/10)*(E1489/1000),Skills!L11/10)+Skills!O11</f>
        <v/>
      </c>
      <c r="G1489">
        <f>Calc!G11</f>
        <v/>
      </c>
      <c r="H1489">
        <f>Calc!H11</f>
        <v/>
      </c>
      <c r="I1489">
        <f>IF(Skills!X11&lt;&gt;"",1+(Skills!X11/10)*(Z1481/1000)/100,1)</f>
        <v/>
      </c>
      <c r="J1489" t="inlineStr"/>
      <c r="K1489" t="inlineStr"/>
      <c r="L1489" t="inlineStr"/>
      <c r="M1489" t="inlineStr"/>
      <c r="N1489" t="inlineStr"/>
      <c r="O1489">
        <f>(1-Summary!$B$11)*S1489+Summary!$B$11*U1489</f>
        <v/>
      </c>
      <c r="P1489">
        <f>IF(B1519=0,0,O1489/B1519)</f>
        <v/>
      </c>
      <c r="Q1489">
        <f>IFERROR(1/(IF(Inputs!$B$38="pvp",15,MAX(0.1,Skills!E11-IF(Skills!F11=TRUE,Inputs!$B$32,0)))*(1-IF(AND(ArtifactsInput!$M$27,Inputs!$B$4="Chapter Hunt"),CHOOSE(ArtifactsInput!$N$27+1,20,24,28,32,36,40),0)/100)),0)</f>
        <v/>
      </c>
      <c r="R1489" t="n">
        <v>0</v>
      </c>
      <c r="S1489" t="n">
        <v>0</v>
      </c>
      <c r="U1489" t="n">
        <v>0</v>
      </c>
    </row>
    <row r="1490">
      <c r="A1490">
        <f>Skills!A12</f>
        <v/>
      </c>
      <c r="B1490">
        <f>Skills!B12</f>
        <v/>
      </c>
      <c r="C1490">
        <f>TRUE</f>
        <v/>
      </c>
      <c r="D1490">
        <f>IF(Skills!C12=1,60+Inputs!$B$25+Inputs!$B$29,IF(Skills!C12=2,90+Inputs!$B$26+Inputs!$B$29,IF(Skills!C12=3,120+Inputs!$B$27+Inputs!$B$29,MAX(0,(Inputs!$B$3-100)*3)+Inputs!$B$28+Inputs!$B$29)))</f>
        <v/>
      </c>
      <c r="E1490">
        <f>INDEX(FactorTable!$B$2:$Y$301, MATCH(ROUND(MIN(300,MAX(1,D1490)),0), FactorTable!$A$2:$A$301,0), Skills!M12+1)</f>
        <v/>
      </c>
      <c r="F1490">
        <f>IF(Skills!N12=TRUE,(Skills!L12/10)*(E1490/1000),Skills!L12/10)+Skills!O12</f>
        <v/>
      </c>
      <c r="G1490">
        <f>Calc!G12</f>
        <v/>
      </c>
      <c r="H1490">
        <f>Calc!H12</f>
        <v/>
      </c>
      <c r="I1490">
        <f>IF(Skills!X12&lt;&gt;"",1+(Skills!X12/10)*(Z1481/1000)/100,1)</f>
        <v/>
      </c>
      <c r="J1490" t="inlineStr"/>
      <c r="K1490" t="inlineStr"/>
      <c r="L1490" t="inlineStr"/>
      <c r="M1490" t="inlineStr"/>
      <c r="N1490" t="inlineStr"/>
      <c r="O1490">
        <f>(1-Summary!$B$11)*S1490+Summary!$B$11*U1490</f>
        <v/>
      </c>
      <c r="P1490">
        <f>IF(B1519=0,0,O1490/B1519)</f>
        <v/>
      </c>
      <c r="Q1490">
        <f>IFERROR(1/(IF(Inputs!$B$38="pvp",15,MAX(0.1,Skills!E12-IF(Skills!F12=TRUE,Inputs!$B$32,0)))*(1-IF(AND(ArtifactsInput!$M$27,Inputs!$B$4="Chapter Hunt"),CHOOSE(ArtifactsInput!$N$27+1,20,24,28,32,36,40),0)/100)),0)</f>
        <v/>
      </c>
      <c r="R1490" t="n">
        <v>0</v>
      </c>
      <c r="S1490" t="n">
        <v>0</v>
      </c>
      <c r="U1490" t="n">
        <v>0</v>
      </c>
    </row>
    <row r="1491">
      <c r="A1491">
        <f>Skills!A13</f>
        <v/>
      </c>
      <c r="B1491">
        <f>Skills!B13</f>
        <v/>
      </c>
      <c r="C1491">
        <f>Inputs!$B$3&gt;=105</f>
        <v/>
      </c>
      <c r="D1491">
        <f>IF(Skills!C13=1,60+Inputs!$B$25+Inputs!$B$29,IF(Skills!C13=2,90+Inputs!$B$26+Inputs!$B$29,IF(Skills!C13=3,120+Inputs!$B$27+Inputs!$B$29,MAX(0,(Inputs!$B$3-100)*3)+Inputs!$B$28+Inputs!$B$29)))</f>
        <v/>
      </c>
      <c r="E1491">
        <f>INDEX(FactorTable!$B$2:$Y$301, MATCH(ROUND(MIN(300,MAX(1,D1491)),0), FactorTable!$A$2:$A$301,0), Skills!M13+1)</f>
        <v/>
      </c>
      <c r="F1491">
        <f>IF(Skills!N13=TRUE,(Skills!L13/10)*(E1491/1000),Skills!L13/10)+Skills!O13</f>
        <v/>
      </c>
      <c r="G1491">
        <f>Calc!G13</f>
        <v/>
      </c>
      <c r="H1491">
        <f>Calc!H13</f>
        <v/>
      </c>
      <c r="I1491">
        <f>IF(Skills!X13&lt;&gt;"",1+(Skills!X13/10)*(Z1481/1000)/100,1)</f>
        <v/>
      </c>
      <c r="J1491">
        <f>((Inputs!$B$6*(1+Inputs!$B$7/100))+(((Inputs!$B$12*(1+Inputs!$B$13/100))-(Inputs!$B$12*(1+Inputs!$B$13/100)))+0.25*(Inputs!$B$14-Inputs!$B$14))*(1+Inputs!$B$7/100))*(F1491/100)</f>
        <v/>
      </c>
      <c r="K1491">
        <f>J1491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1491)</f>
        <v/>
      </c>
      <c r="L1491">
        <f>K1491*(MIN(Inputs!$B$22+(F1500-Calc!F22),(Inputs!$B$23+(IF(ArtifactsInput!$M$15,CHOOSE(ArtifactsInput!$N$15+1,25,30,35,40,45,50)/100*(Inputs!$B$11-Inputs!$B$11),0))))/100+(Inputs!$B$23+(IF(ArtifactsInput!$M$15,CHOOSE(ArtifactsInput!$N$15+1,25,30,35,40,45,50)/100*(Inputs!$B$11-Inputs!$B$11),0)))/100)/2</f>
        <v/>
      </c>
      <c r="M1491">
        <f>L1491*(1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91">
        <f>L1491*(1-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1491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91">
        <f>(1-Summary!$B$11)*S1491+Summary!$B$11*U1491</f>
        <v/>
      </c>
      <c r="P1491">
        <f>IF(B1519=0,0,O1491/B1519)</f>
        <v/>
      </c>
      <c r="Q1491">
        <f>IFERROR(1/(IF(Inputs!$B$38="pvp",15,MAX(0.1,Skills!E13-IF(Skills!F13=TRUE,Inputs!$B$32,0)))*(1-IF(AND(ArtifactsInput!$M$27,Inputs!$B$4="Chapter Hunt"),CHOOSE(ArtifactsInput!$N$27+1,20,24,28,32,36,40),0)/100)),0)</f>
        <v/>
      </c>
      <c r="R1491">
        <f>IF(AND(Inputs!$B$38&lt;&gt;"pvp",Inputs!$B$43&gt;0),IF(MAX(0,Inputs!$B$43-B1516)&lt;=0,0,(INT(MAX(0,Inputs!$B$43-B1516)/(IF(Inputs!$B$38="pvp",15,MAX(0.1,Skills!E13-IF(Skills!F13=TRUE,Inputs!$B$32,0)))*(1-IF(AND(ArtifactsInput!$M$27,Inputs!$B$4="Chapter Hunt"),CHOOSE(ArtifactsInput!$N$27+1,20,24,28,32,36,40),0)/100)))+1)),0)</f>
        <v/>
      </c>
      <c r="S1491">
        <f>IF(C1491,(H1491*N1491*IF(AND(Inputs!$B$38&lt;&gt;"pvp",Inputs!$B$43&gt;0),((Skills!G13*((R1491-1)*IF(Skills!H13&gt;0,Skills!I13/Skills!H13,1)+IF(Skills!H13&gt;0,MIN(Skills!I13,MAX(0,MAX(0,Inputs!$B$43-B1516)-((R1491-1)*(IF(Inputs!$B$38="pvp",15,MAX(0.1,Skills!E13-IF(Skills!F13=TRUE,Inputs!$B$32,0)))*(1-IF(AND(ArtifactsInput!$M$27,Inputs!$B$4="Chapter Hunt"),CHOOSE(ArtifactsInput!$N$27+1,20,24,28,32,36,40),0)/100)))))/Skills!H13,1)))/Inputs!$B$43),G1491*Q1491)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1491*(1-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1491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1491*(1-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1491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91">
        <f>IF(C1491,(H1491*N1491*IF(AND(Inputs!$B$38&lt;&gt;"pvp",Inputs!$B$43&gt;0),((Skills!G13*((R1491-1)*IF(Skills!H13&gt;0,Skills!I13/Skills!H13,1)+IF(Skills!H13&gt;0,MIN(Skills!I13,MAX(0,MAX(0,Inputs!$B$43-B1516)-((R1491-1)*(IF(Inputs!$B$38="pvp",15,MAX(0.1,Skills!E13-IF(Skills!F13=TRUE,Inputs!$B$32,0)))*(1-IF(AND(ArtifactsInput!$M$27,Inputs!$B$4="Chapter Hunt"),CHOOSE(ArtifactsInput!$N$27+1,20,24,28,32,36,40),0)/100)))))/Skills!H13,1)))/Inputs!$B$43),G1491*Q1491)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2">
      <c r="A1492">
        <f>Skills!A14</f>
        <v/>
      </c>
      <c r="B1492">
        <f>Skills!B14</f>
        <v/>
      </c>
      <c r="C1492">
        <f>Inputs!$B$3&gt;=113</f>
        <v/>
      </c>
      <c r="D1492">
        <f>IF(Skills!C14=1,60+Inputs!$B$25+Inputs!$B$29,IF(Skills!C14=2,90+Inputs!$B$26+Inputs!$B$29,IF(Skills!C14=3,120+Inputs!$B$27+Inputs!$B$29,MAX(0,(Inputs!$B$3-100)*3)+Inputs!$B$28+Inputs!$B$29)))</f>
        <v/>
      </c>
      <c r="E1492">
        <f>INDEX(FactorTable!$B$2:$Y$301, MATCH(ROUND(MIN(300,MAX(1,D1492)),0), FactorTable!$A$2:$A$301,0), Skills!M14+1)</f>
        <v/>
      </c>
      <c r="F1492">
        <f>IF(Skills!N14=TRUE,(Skills!L14/10)*(E1492/1000),Skills!L14/10)+Skills!O14</f>
        <v/>
      </c>
      <c r="G1492">
        <f>Calc!G14</f>
        <v/>
      </c>
      <c r="H1492">
        <f>Calc!H14</f>
        <v/>
      </c>
      <c r="I1492">
        <f>IF(Skills!X14&lt;&gt;"",1+(Skills!X14/10)*(Z1481/1000)/100,1)</f>
        <v/>
      </c>
      <c r="J1492">
        <f>((Inputs!$B$6*(1+Inputs!$B$7/100))+(((Inputs!$B$12*(1+Inputs!$B$13/100))-(Inputs!$B$12*(1+Inputs!$B$13/100)))+0.25*(Inputs!$B$14-Inputs!$B$14))*(1+Inputs!$B$7/100))*(F1492/100)</f>
        <v/>
      </c>
      <c r="K1492">
        <f>J1492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1492)</f>
        <v/>
      </c>
      <c r="L1492">
        <f>K1492*(MIN(Inputs!$B$22+(F1500-Calc!F22),(Inputs!$B$23+(IF(ArtifactsInput!$M$15,CHOOSE(ArtifactsInput!$N$15+1,25,30,35,40,45,50)/100*(Inputs!$B$11-Inputs!$B$11),0))))/100+(Inputs!$B$23+(IF(ArtifactsInput!$M$15,CHOOSE(ArtifactsInput!$N$15+1,25,30,35,40,45,50)/100*(Inputs!$B$11-Inputs!$B$11),0)))/100)/2</f>
        <v/>
      </c>
      <c r="M1492">
        <f>L1492*(1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92">
        <f>L1492*(1-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1492*(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92">
        <f>(1-Summary!$B$11)*S1492+Summary!$B$11*U1492</f>
        <v/>
      </c>
      <c r="P1492">
        <f>IF(B1519=0,0,O1492/B1519)</f>
        <v/>
      </c>
      <c r="Q1492">
        <f>IFERROR(1/(IF(Inputs!$B$38="pvp",15,MAX(0.1,Skills!E14-IF(Skills!F14=TRUE,Inputs!$B$32,0)))*(1-IF(AND(ArtifactsInput!$M$27,Inputs!$B$4="Chapter Hunt"),CHOOSE(ArtifactsInput!$N$27+1,20,24,28,32,36,40),0)/100)),0)</f>
        <v/>
      </c>
      <c r="R1492" t="n">
        <v>0</v>
      </c>
      <c r="S1492">
        <f>IF(C1492,((H1492*B1515)/(1+Skills!H14*H1492*B1515)*N1492)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1492*(1-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1492*(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1492*(1-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1492*(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92">
        <f>IF(C1492,((H1492*B1515)/(1+Skills!H14*H1492*B1515)*N1492)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3">
      <c r="A1493">
        <f>Skills!A15</f>
        <v/>
      </c>
      <c r="B1493">
        <f>Skills!B15</f>
        <v/>
      </c>
      <c r="C1493">
        <f>Inputs!$B$3&gt;=107</f>
        <v/>
      </c>
      <c r="D1493">
        <f>IF(Skills!C15=1,60+Inputs!$B$25+Inputs!$B$29,IF(Skills!C15=2,90+Inputs!$B$26+Inputs!$B$29,IF(Skills!C15=3,120+Inputs!$B$27+Inputs!$B$29,MAX(0,(Inputs!$B$3-100)*3)+Inputs!$B$28+Inputs!$B$29)))</f>
        <v/>
      </c>
      <c r="E1493">
        <f>INDEX(FactorTable!$B$2:$Y$301, MATCH(ROUND(MIN(300,MAX(1,D1493)),0), FactorTable!$A$2:$A$301,0), Skills!M15+1)</f>
        <v/>
      </c>
      <c r="F1493">
        <f>IF(Skills!N15=TRUE,(Skills!L15/10)*(E1493/1000),Skills!L15/10)+Skills!O15</f>
        <v/>
      </c>
      <c r="G1493">
        <f>Calc!G15</f>
        <v/>
      </c>
      <c r="H1493">
        <f>Calc!H15</f>
        <v/>
      </c>
      <c r="I1493">
        <f>IF(Skills!X15&lt;&gt;"",1+(Skills!X15/10)*(Z1481/1000)/100,1)</f>
        <v/>
      </c>
      <c r="J1493">
        <f>((Inputs!$B$6*(1+Inputs!$B$7/100))+(((Inputs!$B$12*(1+Inputs!$B$13/100))-(Inputs!$B$12*(1+Inputs!$B$13/100)))+0.25*(Inputs!$B$14-Inputs!$B$14))*(1+Inputs!$B$7/100))*(F1493/100)</f>
        <v/>
      </c>
      <c r="K1493">
        <f>J1493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1493)</f>
        <v/>
      </c>
      <c r="L1493">
        <f>K1493*(MIN(Inputs!$B$22+(F1500-Calc!F22),(Inputs!$B$23+(IF(ArtifactsInput!$M$15,CHOOSE(ArtifactsInput!$N$15+1,25,30,35,40,45,50)/100*(Inputs!$B$11-Inputs!$B$11),0))))/100+(Inputs!$B$23+(IF(ArtifactsInput!$M$15,CHOOSE(ArtifactsInput!$N$15+1,25,30,35,40,45,50)/100*(Inputs!$B$11-Inputs!$B$11),0)))/100)/2</f>
        <v/>
      </c>
      <c r="M1493">
        <f>L1493*(1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93">
        <f>L1493*(1-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1493*(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93">
        <f>(1-Summary!$B$11)*S1493+Summary!$B$11*U1493</f>
        <v/>
      </c>
      <c r="P1493">
        <f>IF(B1519=0,0,O1493/B1519)</f>
        <v/>
      </c>
      <c r="Q1493">
        <f>IFERROR(1/(IF(Inputs!$B$38="pvp",15,MAX(0.1,Skills!E15-IF(Skills!F15=TRUE,Inputs!$B$32,0)))*(1-IF(AND(ArtifactsInput!$M$27,Inputs!$B$4="Chapter Hunt"),CHOOSE(ArtifactsInput!$N$27+1,20,24,28,32,36,40),0)/100)),0)</f>
        <v/>
      </c>
      <c r="R1493">
        <f>IF(AND(Inputs!$B$38&lt;&gt;"pvp",Inputs!$B$43&gt;0),IF(MAX(0,Inputs!$B$43-B1516)&lt;=0,0,(INT(MAX(0,Inputs!$B$43-B1516)/(IF(Inputs!$B$38="pvp",15,MAX(0.1,Skills!E15-IF(Skills!F15=TRUE,Inputs!$B$32,0)))*(1-IF(AND(ArtifactsInput!$M$27,Inputs!$B$4="Chapter Hunt"),CHOOSE(ArtifactsInput!$N$27+1,20,24,28,32,36,40),0)/100)))+1)),0)</f>
        <v/>
      </c>
      <c r="S1493">
        <f>IF(C1493,(H1493*N1493*IF(AND(Inputs!$B$38&lt;&gt;"pvp",Inputs!$B$43&gt;0),((Skills!G15*((R1493-1)*IF(Skills!H15&gt;0,Skills!I15/Skills!H15,1)+IF(Skills!H15&gt;0,MIN(Skills!I15,MAX(0,MAX(0,Inputs!$B$43-B1516)-((R1493-1)*(IF(Inputs!$B$38="pvp",15,MAX(0.1,Skills!E15-IF(Skills!F15=TRUE,Inputs!$B$32,0)))*(1-IF(AND(ArtifactsInput!$M$27,Inputs!$B$4="Chapter Hunt"),CHOOSE(ArtifactsInput!$N$27+1,20,24,28,32,36,40),0)/100)))))/Skills!H15,1)))/Inputs!$B$43),G1493*Q1493)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1493*(1-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1493*(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1493*(1-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1493*(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93">
        <f>IF(C1493,(H1493*N1493*IF(AND(Inputs!$B$38&lt;&gt;"pvp",Inputs!$B$43&gt;0),((Skills!G15*((R1493-1)*IF(Skills!H15&gt;0,Skills!I15/Skills!H15,1)+IF(Skills!H15&gt;0,MIN(Skills!I15,MAX(0,MAX(0,Inputs!$B$43-B1516)-((R1493-1)*(IF(Inputs!$B$38="pvp",15,MAX(0.1,Skills!E15-IF(Skills!F15=TRUE,Inputs!$B$32,0)))*(1-IF(AND(ArtifactsInput!$M$27,Inputs!$B$4="Chapter Hunt"),CHOOSE(ArtifactsInput!$N$27+1,20,24,28,32,36,40),0)/100)))))/Skills!H15,1)))/Inputs!$B$43),G1493*Q1493)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4">
      <c r="A1494">
        <f>Skills!A16</f>
        <v/>
      </c>
      <c r="B1494">
        <f>Skills!B16</f>
        <v/>
      </c>
      <c r="C1494">
        <f>Inputs!$B$3&gt;=107</f>
        <v/>
      </c>
      <c r="D1494">
        <f>IF(Skills!C16=1,60+Inputs!$B$25+Inputs!$B$29,IF(Skills!C16=2,90+Inputs!$B$26+Inputs!$B$29,IF(Skills!C16=3,120+Inputs!$B$27+Inputs!$B$29,MAX(0,(Inputs!$B$3-100)*3)+Inputs!$B$28+Inputs!$B$29)))</f>
        <v/>
      </c>
      <c r="E1494">
        <f>INDEX(FactorTable!$B$2:$Y$301, MATCH(ROUND(MIN(300,MAX(1,D1494)),0), FactorTable!$A$2:$A$301,0), Skills!M16+1)</f>
        <v/>
      </c>
      <c r="F1494">
        <f>IF(Skills!N16=TRUE,(Skills!L16/10)*(E1494/1000),Skills!L16/10)+Skills!O16</f>
        <v/>
      </c>
      <c r="G1494">
        <f>Calc!G16</f>
        <v/>
      </c>
      <c r="H1494">
        <f>Calc!H16</f>
        <v/>
      </c>
      <c r="I1494">
        <f>IF(Skills!X16&lt;&gt;"",1+(Skills!X16/10)*(Z1481/1000)/100,1)</f>
        <v/>
      </c>
      <c r="J1494">
        <f>((Inputs!$B$6*(1+Inputs!$B$7/100))+(((Inputs!$B$12*(1+Inputs!$B$13/100))-(Inputs!$B$12*(1+Inputs!$B$13/100)))+0.25*(Inputs!$B$14-Inputs!$B$14))*(1+Inputs!$B$7/100))*(F1494/100)</f>
        <v/>
      </c>
      <c r="K1494">
        <f>J1494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1494)</f>
        <v/>
      </c>
      <c r="L1494">
        <f>K1494*(MIN(Inputs!$B$22+(F1500-Calc!F22),(Inputs!$B$23+(IF(ArtifactsInput!$M$15,CHOOSE(ArtifactsInput!$N$15+1,25,30,35,40,45,50)/100*(Inputs!$B$11-Inputs!$B$11),0))))/100+(Inputs!$B$23+(IF(ArtifactsInput!$M$15,CHOOSE(ArtifactsInput!$N$15+1,25,30,35,40,45,50)/100*(Inputs!$B$11-Inputs!$B$11),0)))/100)/2</f>
        <v/>
      </c>
      <c r="M1494">
        <f>L1494*(1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94">
        <f>L1494*(1-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1494*(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94">
        <f>(1-Summary!$B$11)*S1494+Summary!$B$11*U1494</f>
        <v/>
      </c>
      <c r="P1494">
        <f>IF(B1519=0,0,O1494/B1519)</f>
        <v/>
      </c>
      <c r="Q1494">
        <f>IFERROR(1/(IF(Inputs!$B$38="pvp",15,MAX(0.1,Skills!E16-IF(Skills!F16=TRUE,Inputs!$B$32,0)))*(1-IF(AND(ArtifactsInput!$M$27,Inputs!$B$4="Chapter Hunt"),CHOOSE(ArtifactsInput!$N$27+1,20,24,28,32,36,40),0)/100)),0)</f>
        <v/>
      </c>
      <c r="R1494">
        <f>IF(AND(Inputs!$B$38&lt;&gt;"pvp",Inputs!$B$43&gt;0),IF(MAX(0,Inputs!$B$43-B1516)&lt;=0,0,(INT(MAX(0,Inputs!$B$43-B1516)/(IF(Inputs!$B$38="pvp",15,MAX(0.1,Skills!E16-IF(Skills!F16=TRUE,Inputs!$B$32,0)))*(1-IF(AND(ArtifactsInput!$M$27,Inputs!$B$4="Chapter Hunt"),CHOOSE(ArtifactsInput!$N$27+1,20,24,28,32,36,40),0)/100)))+1)),0)</f>
        <v/>
      </c>
      <c r="S1494">
        <f>IF(C1494,(H1494*N1494*IF(AND(Inputs!$B$38&lt;&gt;"pvp",Inputs!$B$43&gt;0),((Skills!G16*((R1494-1)*IF(Skills!H16&gt;0,Skills!I16/Skills!H16,1)+IF(Skills!H16&gt;0,MIN(Skills!I16,MAX(0,MAX(0,Inputs!$B$43-B1516)-((R1494-1)*(IF(Inputs!$B$38="pvp",15,MAX(0.1,Skills!E16-IF(Skills!F16=TRUE,Inputs!$B$32,0)))*(1-IF(AND(ArtifactsInput!$M$27,Inputs!$B$4="Chapter Hunt"),CHOOSE(ArtifactsInput!$N$27+1,20,24,28,32,36,40),0)/100)))))/Skills!H16,1)))/Inputs!$B$43),G1494*Q1494)*(1+IF(Inputs!$B$3&gt;=126,0.05*(B1514+Q1491+(H1492*B1515)/(1+Skills!H14*H1492*B1515)+Q1502)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1494*(1-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1494*(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1494*(1-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1494*(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94">
        <f>IF(C1494,(H1494*N1494*IF(AND(Inputs!$B$38&lt;&gt;"pvp",Inputs!$B$43&gt;0),((Skills!G16*((R1494-1)*IF(Skills!H16&gt;0,Skills!I16/Skills!H16,1)+IF(Skills!H16&gt;0,MIN(Skills!I16,MAX(0,MAX(0,Inputs!$B$43-B1516)-((R1494-1)*(IF(Inputs!$B$38="pvp",15,MAX(0.1,Skills!E16-IF(Skills!F16=TRUE,Inputs!$B$32,0)))*(1-IF(AND(ArtifactsInput!$M$27,Inputs!$B$4="Chapter Hunt"),CHOOSE(ArtifactsInput!$N$27+1,20,24,28,32,36,40),0)/100)))))/Skills!H16,1)))/Inputs!$B$43),G1494*Q1494)*(1+IF(Inputs!$B$3&gt;=126,0.05*(B1514+Q1491+(H1492*B1515)/(1+Skills!H14*H1492*B1515)+Q1502)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95">
      <c r="A1495">
        <f>Skills!A17</f>
        <v/>
      </c>
      <c r="B1495">
        <f>Skills!B17</f>
        <v/>
      </c>
      <c r="C1495">
        <f>TRUE</f>
        <v/>
      </c>
      <c r="D1495">
        <f>IF(Skills!C17=1,60+Inputs!$B$25+Inputs!$B$29,IF(Skills!C17=2,90+Inputs!$B$26+Inputs!$B$29,IF(Skills!C17=3,120+Inputs!$B$27+Inputs!$B$29,MAX(0,(Inputs!$B$3-100)*3)+Inputs!$B$28+Inputs!$B$29)))</f>
        <v/>
      </c>
      <c r="E1495">
        <f>INDEX(FactorTable!$B$2:$Y$301, MATCH(ROUND(MIN(300,MAX(1,D1495)),0), FactorTable!$A$2:$A$301,0), Skills!M17+1)</f>
        <v/>
      </c>
      <c r="F1495">
        <f>IF(Skills!N17=TRUE,(Skills!L17/10)*(E1495/1000),Skills!L17/10)+Skills!O17</f>
        <v/>
      </c>
      <c r="G1495">
        <f>Calc!G17</f>
        <v/>
      </c>
      <c r="H1495">
        <f>Calc!H17</f>
        <v/>
      </c>
      <c r="I1495">
        <f>IF(Skills!X17&lt;&gt;"",1+(Skills!X17/10)*(Z1481/1000)/100,1)</f>
        <v/>
      </c>
      <c r="J1495" t="inlineStr"/>
      <c r="K1495" t="inlineStr"/>
      <c r="L1495" t="inlineStr"/>
      <c r="M1495" t="inlineStr"/>
      <c r="N1495" t="inlineStr"/>
      <c r="O1495">
        <f>(1-Summary!$B$11)*S1495+Summary!$B$11*U1495</f>
        <v/>
      </c>
      <c r="P1495">
        <f>IF(B1519=0,0,O1495/B1519)</f>
        <v/>
      </c>
      <c r="Q1495">
        <f>IFERROR(1/(IF(Inputs!$B$38="pvp",15,MAX(0.1,Skills!E17-IF(Skills!F17=TRUE,Inputs!$B$32,0)))*(1-IF(AND(ArtifactsInput!$M$27,Inputs!$B$4="Chapter Hunt"),CHOOSE(ArtifactsInput!$N$27+1,20,24,28,32,36,40),0)/100)),0)</f>
        <v/>
      </c>
      <c r="R1495">
        <f>IF(AND(Inputs!$B$38&lt;&gt;"pvp",Inputs!$B$43&gt;0),IF(Inputs!$B$43&lt;=0,0,(INT(Inputs!$B$43/(IF(Inputs!$B$38="pvp",15,MAX(0.1,Skills!E17-IF(Skills!F17=TRUE,Inputs!$B$32,0)))*(1-IF(AND(ArtifactsInput!$M$27,Inputs!$B$4="Chapter Hunt"),CHOOSE(ArtifactsInput!$N$27+1,20,24,28,32,36,40),0)/100)))+1)),0)</f>
        <v/>
      </c>
      <c r="S1495" t="n">
        <v>0</v>
      </c>
      <c r="U1495" t="n">
        <v>0</v>
      </c>
    </row>
    <row r="1496">
      <c r="A1496">
        <f>Skills!A18</f>
        <v/>
      </c>
      <c r="B1496">
        <f>Skills!B18</f>
        <v/>
      </c>
      <c r="C1496">
        <f>TRUE</f>
        <v/>
      </c>
      <c r="D1496">
        <f>IF(Skills!C18=1,60+Inputs!$B$25+Inputs!$B$29,IF(Skills!C18=2,90+Inputs!$B$26+Inputs!$B$29,IF(Skills!C18=3,120+Inputs!$B$27+Inputs!$B$29,MAX(0,(Inputs!$B$3-100)*3)+Inputs!$B$28+Inputs!$B$29)))</f>
        <v/>
      </c>
      <c r="E1496">
        <f>INDEX(FactorTable!$B$2:$Y$301, MATCH(ROUND(MIN(300,MAX(1,D1496)),0), FactorTable!$A$2:$A$301,0), Skills!M18+1)</f>
        <v/>
      </c>
      <c r="F1496">
        <f>IF(Skills!N18=TRUE,(Skills!L18/10)*(E1496/1000),Skills!L18/10)+Skills!O18</f>
        <v/>
      </c>
      <c r="G1496">
        <f>Calc!G18</f>
        <v/>
      </c>
      <c r="H1496">
        <f>Calc!H18</f>
        <v/>
      </c>
      <c r="I1496">
        <f>IF(Skills!X18&lt;&gt;"",1+(Skills!X18/10)*(Z1481/1000)/100,1)</f>
        <v/>
      </c>
      <c r="J1496" t="inlineStr"/>
      <c r="K1496" t="inlineStr"/>
      <c r="L1496" t="inlineStr"/>
      <c r="M1496" t="inlineStr"/>
      <c r="N1496" t="inlineStr"/>
      <c r="O1496">
        <f>(1-Summary!$B$11)*S1496+Summary!$B$11*U1496</f>
        <v/>
      </c>
      <c r="P1496">
        <f>IF(B1519=0,0,O1496/B1519)</f>
        <v/>
      </c>
      <c r="Q1496">
        <f>IFERROR(1/(IF(Inputs!$B$38="pvp",15,MAX(0.1,Skills!E18-IF(Skills!F18=TRUE,Inputs!$B$32,0)))*(1-IF(AND(ArtifactsInput!$M$27,Inputs!$B$4="Chapter Hunt"),CHOOSE(ArtifactsInput!$N$27+1,20,24,28,32,36,40),0)/100)),0)</f>
        <v/>
      </c>
      <c r="R1496">
        <f>IF(AND(Inputs!$B$38&lt;&gt;"pvp",Inputs!$B$43&gt;0),IF(Inputs!$B$43&lt;=0,0,(INT(Inputs!$B$43/(IF(Inputs!$B$38="pvp",15,MAX(0.1,Skills!E18-IF(Skills!F18=TRUE,Inputs!$B$32,0)))*(1-IF(AND(ArtifactsInput!$M$27,Inputs!$B$4="Chapter Hunt"),CHOOSE(ArtifactsInput!$N$27+1,20,24,28,32,36,40),0)/100)))+1)),0)</f>
        <v/>
      </c>
      <c r="S1496" t="n">
        <v>0</v>
      </c>
      <c r="U1496" t="n">
        <v>0</v>
      </c>
    </row>
    <row r="1497">
      <c r="A1497">
        <f>Skills!A19</f>
        <v/>
      </c>
      <c r="B1497">
        <f>Skills!B19</f>
        <v/>
      </c>
      <c r="C1497">
        <f>Inputs!$B$3&gt;=110</f>
        <v/>
      </c>
      <c r="D1497">
        <f>IF(Skills!C19=1,60+Inputs!$B$25+Inputs!$B$29,IF(Skills!C19=2,90+Inputs!$B$26+Inputs!$B$29,IF(Skills!C19=3,120+Inputs!$B$27+Inputs!$B$29,MAX(0,(Inputs!$B$3-100)*3)+Inputs!$B$28+Inputs!$B$29)))</f>
        <v/>
      </c>
      <c r="E1497">
        <f>INDEX(FactorTable!$B$2:$Y$301, MATCH(ROUND(MIN(300,MAX(1,D1497)),0), FactorTable!$A$2:$A$301,0), Skills!M19+1)</f>
        <v/>
      </c>
      <c r="F1497">
        <f>IF(Skills!N19=TRUE,(Skills!L19/10)*(E1497/1000),Skills!L19/10)+Skills!O19</f>
        <v/>
      </c>
      <c r="G1497">
        <f>Calc!G19</f>
        <v/>
      </c>
      <c r="H1497">
        <f>Calc!H19</f>
        <v/>
      </c>
      <c r="I1497">
        <f>IF(Skills!X19&lt;&gt;"",1+(Skills!X19/10)*(Z1481/1000)/100,1)</f>
        <v/>
      </c>
      <c r="J1497" t="inlineStr"/>
      <c r="K1497" t="inlineStr"/>
      <c r="L1497" t="inlineStr"/>
      <c r="M1497" t="inlineStr"/>
      <c r="N1497" t="inlineStr"/>
      <c r="O1497">
        <f>(1-Summary!$B$11)*S1497+Summary!$B$11*U1497</f>
        <v/>
      </c>
      <c r="P1497">
        <f>IF(B1519=0,0,O1497/B1519)</f>
        <v/>
      </c>
      <c r="Q1497">
        <f>IFERROR(1/(IF(Inputs!$B$38="pvp",15,MAX(0.1,Skills!E19-IF(Skills!F19=TRUE,Inputs!$B$32,0)))*(1-IF(AND(ArtifactsInput!$M$27,Inputs!$B$4="Chapter Hunt"),CHOOSE(ArtifactsInput!$N$27+1,20,24,28,32,36,40),0)/100)),0)</f>
        <v/>
      </c>
      <c r="R1497">
        <f>IF(AND(Inputs!$B$38&lt;&gt;"pvp",Inputs!$B$43&gt;0),IF(Inputs!$B$43&lt;=0,0,(INT(Inputs!$B$43/(IF(Inputs!$B$38="pvp",15,MAX(0.1,Skills!E19-IF(Skills!F19=TRUE,Inputs!$B$32,0)))*(1-IF(AND(ArtifactsInput!$M$27,Inputs!$B$4="Chapter Hunt"),CHOOSE(ArtifactsInput!$N$27+1,20,24,28,32,36,40),0)/100)))+1)),0)</f>
        <v/>
      </c>
      <c r="S1497" t="n">
        <v>0</v>
      </c>
      <c r="U1497" t="n">
        <v>0</v>
      </c>
    </row>
    <row r="1498">
      <c r="A1498">
        <f>Skills!A20</f>
        <v/>
      </c>
      <c r="B1498">
        <f>Skills!B20</f>
        <v/>
      </c>
      <c r="C1498">
        <f>TRUE</f>
        <v/>
      </c>
      <c r="D1498">
        <f>IF(Skills!C20=1,60+Inputs!$B$25+Inputs!$B$29,IF(Skills!C20=2,90+Inputs!$B$26+Inputs!$B$29,IF(Skills!C20=3,120+Inputs!$B$27+Inputs!$B$29,MAX(0,(Inputs!$B$3-100)*3)+Inputs!$B$28+Inputs!$B$29)))</f>
        <v/>
      </c>
      <c r="E1498">
        <f>INDEX(FactorTable!$B$2:$Y$301, MATCH(ROUND(MIN(300,MAX(1,D1498)),0), FactorTable!$A$2:$A$301,0), Skills!M20+1)</f>
        <v/>
      </c>
      <c r="F1498">
        <f>IF(Skills!N20=TRUE,(Skills!L20/10)*(E1498/1000),Skills!L20/10)+Skills!O20</f>
        <v/>
      </c>
      <c r="G1498">
        <f>Calc!G20</f>
        <v/>
      </c>
      <c r="H1498">
        <f>Calc!H20</f>
        <v/>
      </c>
      <c r="I1498">
        <f>IF(Skills!X20&lt;&gt;"",1+(Skills!X20/10)*(Z1481/1000)/100,1)</f>
        <v/>
      </c>
      <c r="J1498" t="inlineStr"/>
      <c r="K1498" t="inlineStr"/>
      <c r="L1498" t="inlineStr"/>
      <c r="M1498" t="inlineStr"/>
      <c r="N1498" t="inlineStr"/>
      <c r="O1498">
        <f>(1-Summary!$B$11)*S1498+Summary!$B$11*U1498</f>
        <v/>
      </c>
      <c r="P1498">
        <f>IF(B1519=0,0,O1498/B1519)</f>
        <v/>
      </c>
      <c r="Q1498">
        <f>IFERROR(1/(IF(Inputs!$B$38="pvp",15,MAX(0.1,Skills!E20-IF(Skills!F20=TRUE,Inputs!$B$32,0)))*(1-IF(AND(ArtifactsInput!$M$27,Inputs!$B$4="Chapter Hunt"),CHOOSE(ArtifactsInput!$N$27+1,20,24,28,32,36,40),0)/100)),0)</f>
        <v/>
      </c>
      <c r="R1498" t="n">
        <v>0</v>
      </c>
      <c r="S1498" t="n">
        <v>0</v>
      </c>
      <c r="U1498" t="n">
        <v>0</v>
      </c>
    </row>
    <row r="1499">
      <c r="A1499">
        <f>Skills!A21</f>
        <v/>
      </c>
      <c r="B1499">
        <f>Skills!B21</f>
        <v/>
      </c>
      <c r="C1499">
        <f>TRUE</f>
        <v/>
      </c>
      <c r="D1499">
        <f>IF(Skills!C21=1,60+Inputs!$B$25+Inputs!$B$29,IF(Skills!C21=2,90+Inputs!$B$26+Inputs!$B$29,IF(Skills!C21=3,120+Inputs!$B$27+Inputs!$B$29,MAX(0,(Inputs!$B$3-100)*3)+Inputs!$B$28+Inputs!$B$29)))</f>
        <v/>
      </c>
      <c r="E1499">
        <f>INDEX(FactorTable!$B$2:$Y$301, MATCH(ROUND(MIN(300,MAX(1,D1499)),0), FactorTable!$A$2:$A$301,0), Skills!M21+1)</f>
        <v/>
      </c>
      <c r="F1499">
        <f>IF(Skills!N21=TRUE,(Skills!L21/10)*(E1499/1000),Skills!L21/10)+Skills!O21</f>
        <v/>
      </c>
      <c r="G1499">
        <f>Calc!G21</f>
        <v/>
      </c>
      <c r="H1499">
        <f>Calc!H21</f>
        <v/>
      </c>
      <c r="I1499">
        <f>IF(Skills!X21&lt;&gt;"",1+(Skills!X21/10)*(Z1481/1000)/100,1)</f>
        <v/>
      </c>
      <c r="J1499" t="inlineStr"/>
      <c r="K1499" t="inlineStr"/>
      <c r="L1499" t="inlineStr"/>
      <c r="M1499" t="inlineStr"/>
      <c r="N1499" t="inlineStr"/>
      <c r="O1499">
        <f>(1-Summary!$B$11)*S1499+Summary!$B$11*U1499</f>
        <v/>
      </c>
      <c r="P1499">
        <f>IF(B1519=0,0,O1499/B1519)</f>
        <v/>
      </c>
      <c r="Q1499">
        <f>IFERROR(1/(IF(Inputs!$B$38="pvp",15,MAX(0.1,Skills!E21-IF(Skills!F21=TRUE,Inputs!$B$32,0)))*(1-IF(AND(ArtifactsInput!$M$27,Inputs!$B$4="Chapter Hunt"),CHOOSE(ArtifactsInput!$N$27+1,20,24,28,32,36,40),0)/100)),0)</f>
        <v/>
      </c>
      <c r="R1499" t="n">
        <v>0</v>
      </c>
      <c r="S1499" t="n">
        <v>0</v>
      </c>
      <c r="U1499" t="n">
        <v>0</v>
      </c>
    </row>
    <row r="1500">
      <c r="A1500">
        <f>Skills!A22</f>
        <v/>
      </c>
      <c r="B1500">
        <f>Skills!B22</f>
        <v/>
      </c>
      <c r="C1500">
        <f>TRUE</f>
        <v/>
      </c>
      <c r="D1500">
        <f>IF(Skills!C22=1,60+Inputs!$B$25+Inputs!$B$29,IF(Skills!C22=2,90+Inputs!$B$26+Inputs!$B$29,IF(Skills!C22=3,120+Inputs!$B$27+Inputs!$B$29,MAX(0,(Inputs!$B$3-100)*3)+Inputs!$B$28+Inputs!$B$29)))</f>
        <v/>
      </c>
      <c r="E1500">
        <f>INDEX(FactorTable!$B$2:$Y$301, MATCH(ROUND(MIN(300,MAX(1,D1500)),0), FactorTable!$A$2:$A$301,0), Skills!M22+1)</f>
        <v/>
      </c>
      <c r="F1500">
        <f>IF(Skills!N22=TRUE,(Skills!L22/10)*(E1500/1000),Skills!L22/10)+Skills!O22</f>
        <v/>
      </c>
      <c r="G1500">
        <f>Calc!G22</f>
        <v/>
      </c>
      <c r="H1500">
        <f>Calc!H22</f>
        <v/>
      </c>
      <c r="I1500">
        <f>IF(Skills!X22&lt;&gt;"",1+(Skills!X22/10)*(Z1481/1000)/100,1)</f>
        <v/>
      </c>
      <c r="J1500" t="inlineStr"/>
      <c r="K1500" t="inlineStr"/>
      <c r="L1500" t="inlineStr"/>
      <c r="M1500" t="inlineStr"/>
      <c r="N1500" t="inlineStr"/>
      <c r="O1500">
        <f>(1-Summary!$B$11)*S1500+Summary!$B$11*U1500</f>
        <v/>
      </c>
      <c r="P1500">
        <f>IF(B1519=0,0,O1500/B1519)</f>
        <v/>
      </c>
      <c r="Q1500">
        <f>IFERROR(1/(IF(Inputs!$B$38="pvp",15,MAX(0.1,Skills!E22-IF(Skills!F22=TRUE,Inputs!$B$32,0)))*(1-IF(AND(ArtifactsInput!$M$27,Inputs!$B$4="Chapter Hunt"),CHOOSE(ArtifactsInput!$N$27+1,20,24,28,32,36,40),0)/100)),0)</f>
        <v/>
      </c>
      <c r="R1500" t="n">
        <v>0</v>
      </c>
      <c r="S1500" t="n">
        <v>0</v>
      </c>
      <c r="U1500" t="n">
        <v>0</v>
      </c>
    </row>
    <row r="1501">
      <c r="A1501">
        <f>Skills!A23</f>
        <v/>
      </c>
      <c r="B1501">
        <f>Skills!B23</f>
        <v/>
      </c>
      <c r="C1501">
        <f>TRUE</f>
        <v/>
      </c>
      <c r="D1501">
        <f>IF(Skills!C23=1,60+Inputs!$B$25+Inputs!$B$29,IF(Skills!C23=2,90+Inputs!$B$26+Inputs!$B$29,IF(Skills!C23=3,120+Inputs!$B$27+Inputs!$B$29,MAX(0,(Inputs!$B$3-100)*3)+Inputs!$B$28+Inputs!$B$29)))</f>
        <v/>
      </c>
      <c r="E1501">
        <f>INDEX(FactorTable!$B$2:$Y$301, MATCH(ROUND(MIN(300,MAX(1,D1501)),0), FactorTable!$A$2:$A$301,0), Skills!M23+1)</f>
        <v/>
      </c>
      <c r="F1501">
        <f>IF(Skills!N23=TRUE,(Skills!L23/10)*(E1501/1000),Skills!L23/10)+Skills!O23</f>
        <v/>
      </c>
      <c r="G1501">
        <f>Calc!G23</f>
        <v/>
      </c>
      <c r="H1501">
        <f>Calc!H23</f>
        <v/>
      </c>
      <c r="I1501">
        <f>IF(Skills!X23&lt;&gt;"",1+(Skills!X23/10)*(Z1481/1000)/100,1)</f>
        <v/>
      </c>
      <c r="J1501" t="inlineStr"/>
      <c r="K1501" t="inlineStr"/>
      <c r="L1501" t="inlineStr"/>
      <c r="M1501" t="inlineStr"/>
      <c r="N1501" t="inlineStr"/>
      <c r="O1501">
        <f>(1-Summary!$B$11)*S1501+Summary!$B$11*U1501</f>
        <v/>
      </c>
      <c r="P1501">
        <f>IF(B1519=0,0,O1501/B1519)</f>
        <v/>
      </c>
      <c r="Q1501">
        <f>IFERROR(1/(IF(Inputs!$B$38="pvp",15,MAX(0.1,Skills!E23-IF(Skills!F23=TRUE,Inputs!$B$32,0)))*(1-IF(AND(ArtifactsInput!$M$27,Inputs!$B$4="Chapter Hunt"),CHOOSE(ArtifactsInput!$N$27+1,20,24,28,32,36,40),0)/100)),0)</f>
        <v/>
      </c>
      <c r="R1501" t="n">
        <v>0</v>
      </c>
      <c r="S1501" t="n">
        <v>0</v>
      </c>
      <c r="U1501" t="n">
        <v>0</v>
      </c>
    </row>
    <row r="1502">
      <c r="A1502">
        <f>Skills!A24</f>
        <v/>
      </c>
      <c r="B1502">
        <f>Skills!B24</f>
        <v/>
      </c>
      <c r="C1502">
        <f>Inputs!$B$3&gt;=115</f>
        <v/>
      </c>
      <c r="D1502">
        <f>IF(Skills!C24=1,60+Inputs!$B$25+Inputs!$B$29,IF(Skills!C24=2,90+Inputs!$B$26+Inputs!$B$29,IF(Skills!C24=3,120+Inputs!$B$27+Inputs!$B$29,MAX(0,(Inputs!$B$3-100)*3)+Inputs!$B$28+Inputs!$B$29)))</f>
        <v/>
      </c>
      <c r="E1502">
        <f>INDEX(FactorTable!$B$2:$Y$301, MATCH(ROUND(MIN(300,MAX(1,D1502)),0), FactorTable!$A$2:$A$301,0), Skills!M24+1)</f>
        <v/>
      </c>
      <c r="F1502">
        <f>IF(Skills!N24=TRUE,(Skills!L24/10)*(E1502/1000),Skills!L24/10)+Skills!O24</f>
        <v/>
      </c>
      <c r="G1502">
        <f>Calc!G24</f>
        <v/>
      </c>
      <c r="H1502">
        <f>Calc!H24</f>
        <v/>
      </c>
      <c r="I1502">
        <f>IF(Skills!X24&lt;&gt;"",1+(Skills!X24/10)*(Z1481/1000)/100,1)</f>
        <v/>
      </c>
      <c r="J1502">
        <f>((Inputs!$B$6*(1+Inputs!$B$7/100))+(((Inputs!$B$12*(1+Inputs!$B$13/100))-(Inputs!$B$12*(1+Inputs!$B$13/100)))+0.25*(Inputs!$B$14-Inputs!$B$14))*(1+Inputs!$B$7/100))*(F1502/100)</f>
        <v/>
      </c>
      <c r="K1502">
        <f>J1502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1502)</f>
        <v/>
      </c>
      <c r="L1502">
        <f>K1502*(MIN(Inputs!$B$22+(F1500-Calc!F22),(Inputs!$B$23+(IF(ArtifactsInput!$M$15,CHOOSE(ArtifactsInput!$N$15+1,25,30,35,40,45,50)/100*(Inputs!$B$11-Inputs!$B$11),0))))/100+(Inputs!$B$23+(IF(ArtifactsInput!$M$15,CHOOSE(ArtifactsInput!$N$15+1,25,30,35,40,45,50)/100*(Inputs!$B$11-Inputs!$B$11),0)))/100)/2</f>
        <v/>
      </c>
      <c r="M1502">
        <f>L1502*(1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2">
        <f>L1502*(1-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1502*(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2">
        <f>(1-Summary!$B$11)*S1502+Summary!$B$11*U1502</f>
        <v/>
      </c>
      <c r="P1502">
        <f>IF(B1519=0,0,O1502/B1519)</f>
        <v/>
      </c>
      <c r="Q1502">
        <f>IFERROR(1/(IF(Inputs!$B$38="pvp",15,MAX(0.1,Skills!E24-IF(Skills!F24=TRUE,Inputs!$B$32,0)))*(1-IF(AND(ArtifactsInput!$M$27,Inputs!$B$4="Chapter Hunt"),CHOOSE(ArtifactsInput!$N$27+1,20,24,28,32,36,40),0)/100)),0)</f>
        <v/>
      </c>
      <c r="R1502">
        <f>IF(AND(Inputs!$B$38&lt;&gt;"pvp",Inputs!$B$43&gt;0),IF(MAX(0,Inputs!$B$43-B1516)&lt;=0,0,(INT(MAX(0,Inputs!$B$43-B1516)/(IF(Inputs!$B$38="pvp",15,MAX(0.1,Skills!E24-IF(Skills!F24=TRUE,Inputs!$B$32,0)))*(1-IF(AND(ArtifactsInput!$M$27,Inputs!$B$4="Chapter Hunt"),CHOOSE(ArtifactsInput!$N$27+1,20,24,28,32,36,40),0)/100)))+1)),0)</f>
        <v/>
      </c>
      <c r="S1502">
        <f>IF(C1502,(H1502*N1502*IF(AND(Inputs!$B$38&lt;&gt;"pvp",Inputs!$B$43&gt;0),((Skills!G24*((R1502-1)*IF(Skills!H24&gt;0,Skills!I24/Skills!H24,1)+IF(Skills!H24&gt;0,MIN(Skills!I24,MAX(0,MAX(0,Inputs!$B$43-B1516)-((R1502-1)*(IF(Inputs!$B$38="pvp",15,MAX(0.1,Skills!E24-IF(Skills!F24=TRUE,Inputs!$B$32,0)))*(1-IF(AND(ArtifactsInput!$M$27,Inputs!$B$4="Chapter Hunt"),CHOOSE(ArtifactsInput!$N$27+1,20,24,28,32,36,40),0)/100)))))/Skills!H24,1)))/Inputs!$B$43),G1502*Q1502)*(1+IF(Inputs!$B$3&gt;=130,0.2*(Skills!I16/Skills!E15+IF(Inputs!$B$3&gt;=126,0.05*(B1514+Q1491+(H1492*B1515)/(1+Skills!H14*H1492*B1515)+Q1502)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1502*(1-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1502*(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1502*(1-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1502*(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02">
        <f>IF(C1502,(H1502*N1502*IF(AND(Inputs!$B$38&lt;&gt;"pvp",Inputs!$B$43&gt;0),((Skills!G24*((R1502-1)*IF(Skills!H24&gt;0,Skills!I24/Skills!H24,1)+IF(Skills!H24&gt;0,MIN(Skills!I24,MAX(0,MAX(0,Inputs!$B$43-B1516)-((R1502-1)*(IF(Inputs!$B$38="pvp",15,MAX(0.1,Skills!E24-IF(Skills!F24=TRUE,Inputs!$B$32,0)))*(1-IF(AND(ArtifactsInput!$M$27,Inputs!$B$4="Chapter Hunt"),CHOOSE(ArtifactsInput!$N$27+1,20,24,28,32,36,40),0)/100)))))/Skills!H24,1)))/Inputs!$B$43),G1502*Q1502)*(1+IF(Inputs!$B$3&gt;=130,0.2*(Skills!I16/Skills!E15+IF(Inputs!$B$3&gt;=126,0.05*(B1514+Q1491+(H1492*B1515)/(1+Skills!H14*H1492*B1515)+Q1502)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3">
      <c r="A1503">
        <f>Skills!A25</f>
        <v/>
      </c>
      <c r="B1503">
        <f>Skills!B25</f>
        <v/>
      </c>
      <c r="C1503">
        <f>Inputs!$B$3&gt;=117</f>
        <v/>
      </c>
      <c r="D1503">
        <f>IF(Skills!C25=1,60+Inputs!$B$25+Inputs!$B$29,IF(Skills!C25=2,90+Inputs!$B$26+Inputs!$B$29,IF(Skills!C25=3,120+Inputs!$B$27+Inputs!$B$29,MAX(0,(Inputs!$B$3-100)*3)+Inputs!$B$28+Inputs!$B$29)))</f>
        <v/>
      </c>
      <c r="E1503">
        <f>INDEX(FactorTable!$B$2:$Y$301, MATCH(ROUND(MIN(300,MAX(1,D1503)),0), FactorTable!$A$2:$A$301,0), Skills!M25+1)</f>
        <v/>
      </c>
      <c r="F1503">
        <f>IF(Skills!N25=TRUE,(Skills!L25/10)*(E1503/1000),Skills!L25/10)+Skills!O25</f>
        <v/>
      </c>
      <c r="G1503">
        <f>Calc!G25</f>
        <v/>
      </c>
      <c r="H1503">
        <f>Calc!H25</f>
        <v/>
      </c>
      <c r="I1503">
        <f>IF(Skills!X25&lt;&gt;"",1+(Skills!X25/10)*(Z1481/1000)/100,1)</f>
        <v/>
      </c>
      <c r="J1503" t="inlineStr"/>
      <c r="K1503" t="inlineStr"/>
      <c r="L1503" t="inlineStr"/>
      <c r="M1503" t="inlineStr"/>
      <c r="N1503" t="inlineStr"/>
      <c r="O1503">
        <f>(1-Summary!$B$11)*S1503+Summary!$B$11*U1503</f>
        <v/>
      </c>
      <c r="P1503">
        <f>IF(B1519=0,0,O1503/B1519)</f>
        <v/>
      </c>
      <c r="Q1503">
        <f>IFERROR(1/(IF(Inputs!$B$38="pvp",15,MAX(0.1,Skills!E25-IF(Skills!F25=TRUE,Inputs!$B$32,0)))*(1-IF(AND(ArtifactsInput!$M$27,Inputs!$B$4="Chapter Hunt"),CHOOSE(ArtifactsInput!$N$27+1,20,24,28,32,36,40),0)/100)),0)</f>
        <v/>
      </c>
      <c r="R1503" t="n">
        <v>0</v>
      </c>
      <c r="S1503" t="n">
        <v>0</v>
      </c>
      <c r="U1503" t="n">
        <v>0</v>
      </c>
    </row>
    <row r="1504">
      <c r="A1504">
        <f>Skills!A26</f>
        <v/>
      </c>
      <c r="B1504">
        <f>Skills!B26</f>
        <v/>
      </c>
      <c r="C1504">
        <f>Inputs!$B$3&gt;=120</f>
        <v/>
      </c>
      <c r="D1504">
        <f>IF(Skills!C26=1,60+Inputs!$B$25+Inputs!$B$29,IF(Skills!C26=2,90+Inputs!$B$26+Inputs!$B$29,IF(Skills!C26=3,120+Inputs!$B$27+Inputs!$B$29,MAX(0,(Inputs!$B$3-100)*3)+Inputs!$B$28+Inputs!$B$29)))</f>
        <v/>
      </c>
      <c r="E1504">
        <f>INDEX(FactorTable!$B$2:$Y$301, MATCH(ROUND(MIN(300,MAX(1,D1504)),0), FactorTable!$A$2:$A$301,0), Skills!M26+1)</f>
        <v/>
      </c>
      <c r="F1504">
        <f>IF(Skills!N26=TRUE,(Skills!L26/10)*(E1504/1000),Skills!L26/10)+Skills!O26</f>
        <v/>
      </c>
      <c r="G1504">
        <f>Calc!G26</f>
        <v/>
      </c>
      <c r="H1504">
        <f>Calc!H26</f>
        <v/>
      </c>
      <c r="I1504">
        <f>IF(Skills!X26&lt;&gt;"",1+(Skills!X26/10)*(Z1481/1000)/100,1)</f>
        <v/>
      </c>
      <c r="J1504" t="inlineStr"/>
      <c r="K1504" t="inlineStr"/>
      <c r="L1504" t="inlineStr"/>
      <c r="M1504" t="inlineStr"/>
      <c r="N1504" t="inlineStr"/>
      <c r="O1504">
        <f>(1-Summary!$B$11)*S1504+Summary!$B$11*U1504</f>
        <v/>
      </c>
      <c r="P1504">
        <f>IF(B1519=0,0,O1504/B1519)</f>
        <v/>
      </c>
      <c r="Q1504">
        <f>IFERROR(1/(IF(Inputs!$B$38="pvp",15,MAX(0.1,Skills!E26-IF(Skills!F26=TRUE,Inputs!$B$32,0)))*(1-IF(AND(ArtifactsInput!$M$27,Inputs!$B$4="Chapter Hunt"),CHOOSE(ArtifactsInput!$N$27+1,20,24,28,32,36,40),0)/100)),0)</f>
        <v/>
      </c>
      <c r="R1504" t="n">
        <v>0</v>
      </c>
      <c r="S1504" t="n">
        <v>0</v>
      </c>
      <c r="U1504" t="n">
        <v>0</v>
      </c>
    </row>
    <row r="1505">
      <c r="A1505">
        <f>Skills!A27</f>
        <v/>
      </c>
      <c r="B1505">
        <f>Skills!B27</f>
        <v/>
      </c>
      <c r="C1505">
        <f>Inputs!$B$3&gt;=125</f>
        <v/>
      </c>
      <c r="D1505">
        <f>IF(Skills!C27=1,60+Inputs!$B$25+Inputs!$B$29,IF(Skills!C27=2,90+Inputs!$B$26+Inputs!$B$29,IF(Skills!C27=3,120+Inputs!$B$27+Inputs!$B$29,MAX(0,(Inputs!$B$3-100)*3)+Inputs!$B$28+Inputs!$B$29)))</f>
        <v/>
      </c>
      <c r="E1505">
        <f>INDEX(FactorTable!$B$2:$Y$301, MATCH(ROUND(MIN(300,MAX(1,D1505)),0), FactorTable!$A$2:$A$301,0), Skills!M27+1)</f>
        <v/>
      </c>
      <c r="F1505">
        <f>IF(Skills!N27=TRUE,(Skills!L27/10)*(E1505/1000),Skills!L27/10)+Skills!O27</f>
        <v/>
      </c>
      <c r="G1505">
        <f>Calc!G27</f>
        <v/>
      </c>
      <c r="H1505">
        <f>Calc!H27</f>
        <v/>
      </c>
      <c r="I1505">
        <f>IF(Skills!X27&lt;&gt;"",1+(Skills!X27/10)*(Z1481/1000)/100,1)</f>
        <v/>
      </c>
      <c r="J1505" t="inlineStr"/>
      <c r="K1505" t="inlineStr"/>
      <c r="L1505" t="inlineStr"/>
      <c r="M1505" t="inlineStr"/>
      <c r="N1505" t="inlineStr"/>
      <c r="O1505">
        <f>(1-Summary!$B$11)*S1505+Summary!$B$11*U1505</f>
        <v/>
      </c>
      <c r="P1505">
        <f>IF(B1519=0,0,O1505/B1519)</f>
        <v/>
      </c>
      <c r="Q1505">
        <f>IFERROR(1/(IF(Inputs!$B$38="pvp",15,MAX(0.1,Skills!E27-IF(Skills!F27=TRUE,Inputs!$B$32,0)))*(1-IF(AND(ArtifactsInput!$M$27,Inputs!$B$4="Chapter Hunt"),CHOOSE(ArtifactsInput!$N$27+1,20,24,28,32,36,40),0)/100)),0)</f>
        <v/>
      </c>
      <c r="R1505" t="n">
        <v>0</v>
      </c>
      <c r="S1505" t="n">
        <v>0</v>
      </c>
      <c r="U1505" t="n">
        <v>0</v>
      </c>
    </row>
    <row r="1506">
      <c r="A1506">
        <f>Skills!A28</f>
        <v/>
      </c>
      <c r="B1506">
        <f>Skills!B28</f>
        <v/>
      </c>
      <c r="C1506">
        <f>Inputs!$B$3&gt;=118</f>
        <v/>
      </c>
      <c r="D1506">
        <f>IF(Skills!C28=1,60+Inputs!$B$25+Inputs!$B$29,IF(Skills!C28=2,90+Inputs!$B$26+Inputs!$B$29,IF(Skills!C28=3,120+Inputs!$B$27+Inputs!$B$29,MAX(0,(Inputs!$B$3-100)*3)+Inputs!$B$28+Inputs!$B$29)))</f>
        <v/>
      </c>
      <c r="E1506">
        <f>INDEX(FactorTable!$B$2:$Y$301, MATCH(ROUND(MIN(300,MAX(1,D1506)),0), FactorTable!$A$2:$A$301,0), Skills!M28+1)</f>
        <v/>
      </c>
      <c r="F1506">
        <f>IF(Skills!N28=TRUE,(Skills!L28/10)*(E1506/1000),Skills!L28/10)+Skills!O28</f>
        <v/>
      </c>
      <c r="G1506">
        <f>Calc!G28</f>
        <v/>
      </c>
      <c r="H1506">
        <f>Calc!H28</f>
        <v/>
      </c>
      <c r="I1506">
        <f>IF(Skills!X28&lt;&gt;"",1+(Skills!X28/10)*(Z1481/1000)/100,1)</f>
        <v/>
      </c>
      <c r="J1506">
        <f>((Inputs!$B$6*(1+Inputs!$B$7/100))+(((Inputs!$B$12*(1+Inputs!$B$13/100))-(Inputs!$B$12*(1+Inputs!$B$13/100)))+0.25*(Inputs!$B$14-Inputs!$B$14))*(1+Inputs!$B$7/100))*(F1506/100)</f>
        <v/>
      </c>
      <c r="K1506">
        <f>J1506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1501/100)*(1+IF(Inputs!$B$3&gt;=120,F1504,0)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1505*5,0)))/100)*(B1508*B1509*B1510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1506)</f>
        <v/>
      </c>
      <c r="L1506">
        <f>K1506*(MIN(Inputs!$B$22+(F1500-Calc!F22),(Inputs!$B$23+(IF(ArtifactsInput!$M$15,CHOOSE(ArtifactsInput!$N$15+1,25,30,35,40,45,50)/100*(Inputs!$B$11-Inputs!$B$11),0))))/100+(Inputs!$B$23+(IF(ArtifactsInput!$M$15,CHOOSE(ArtifactsInput!$N$15+1,25,30,35,40,45,50)/100*(Inputs!$B$11-Inputs!$B$11),0)))/100)/2</f>
        <v/>
      </c>
      <c r="M1506">
        <f>L1506*(1+(Inputs!$B$10+(F1499-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6">
        <f>L1506*(1-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1506*(MIN((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6">
        <f>(1-Summary!$B$11)*S1506+Summary!$B$11*U1506</f>
        <v/>
      </c>
      <c r="P1506">
        <f>IF(B1519=0,0,O1506/B1519)</f>
        <v/>
      </c>
      <c r="Q1506">
        <f>IFERROR(1/(IF(Inputs!$B$38="pvp",15,MAX(0.1,Skills!E28-IF(Skills!F28=TRUE,Inputs!$B$32,0)))*(1-IF(AND(ArtifactsInput!$M$27,Inputs!$B$4="Chapter Hunt"),CHOOSE(ArtifactsInput!$N$27+1,20,24,28,32,36,40),0)/100)),0)</f>
        <v/>
      </c>
      <c r="R1506">
        <f>IF(AND(Inputs!$B$38&lt;&gt;"pvp",Inputs!$B$43&gt;0),IF(MAX(0,Inputs!$B$43-B1516)&lt;=0,0,(INT(MAX(0,Inputs!$B$43-B1516)/(IF(Inputs!$B$38="pvp",15,MAX(0.1,Skills!E28-IF(Skills!F28=TRUE,Inputs!$B$32,0)))*(1-IF(AND(ArtifactsInput!$M$27,Inputs!$B$4="Chapter Hunt"),CHOOSE(ArtifactsInput!$N$27+1,20,24,28,32,36,40),0)/100)))+1)),0)</f>
        <v/>
      </c>
      <c r="S1506">
        <f>IF(C1506,(H1506*N1506*IF(AND(Inputs!$B$38&lt;&gt;"pvp",Inputs!$B$43&gt;0),((Skills!G28*((R1506-1)*IF(Skills!H28&gt;0,Skills!I28/Skills!H28,1)+IF(Skills!H28&gt;0,MIN(Skills!I28,MAX(0,MAX(0,Inputs!$B$43-B1516)-((R1506-1)*(IF(Inputs!$B$38="pvp",15,MAX(0.1,Skills!E28-IF(Skills!F28=TRUE,Inputs!$B$32,0)))*(1-IF(AND(ArtifactsInput!$M$27,Inputs!$B$4="Chapter Hunt"),CHOOSE(ArtifactsInput!$N$27+1,20,24,28,32,36,40),0)/100)))))/Skills!H28,1)))/Inputs!$B$43),G1506*Q1506)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1506*(1-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1506*(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1506*(1-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1506*(MIN(100,(Inputs!$B$9+(F1498-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06">
        <f>IF(C1506,(H1506*N1506*IF(AND(Inputs!$B$38&lt;&gt;"pvp",Inputs!$B$43&gt;0),((Skills!G28*((R1506-1)*IF(Skills!H28&gt;0,Skills!I28/Skills!H28,1)+IF(Skills!H28&gt;0,MIN(Skills!I28,MAX(0,MAX(0,Inputs!$B$43-B1516)-((R1506-1)*(IF(Inputs!$B$38="pvp",15,MAX(0.1,Skills!E28-IF(Skills!F28=TRUE,Inputs!$B$32,0)))*(1-IF(AND(ArtifactsInput!$M$27,Inputs!$B$4="Chapter Hunt"),CHOOSE(ArtifactsInput!$N$27+1,20,24,28,32,36,40),0)/100)))))/Skills!H28,1)))/Inputs!$B$43),G1506*Q1506)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08">
      <c r="A1508" t="inlineStr">
        <is>
          <t>Burning Magic Multiplier</t>
        </is>
      </c>
      <c r="B1508">
        <f>1+(F1489*Skills!Z11)/100</f>
        <v/>
      </c>
    </row>
    <row r="1509">
      <c r="A1509" t="inlineStr">
        <is>
          <t>Elemental Decrease Multiplier (always-on)</t>
        </is>
      </c>
      <c r="B1509">
        <f>1+(F1490+(IF(AND(ArtifactsInput!$M$35,Inputs!$B$4&lt;&gt;"Chapter Hunt"),CHOOSE(ArtifactsInput!$N$35+1,15,18,21,24,27,30)*(1-EXP(-(0.2*B1512)*5)),0)+IF(AND(ArtifactsInput!$M$22,Inputs!$B$4&lt;&gt;"Chapter Hunt"),CHOOSE(ArtifactsInput!$N$22+1,10,12,14,16,18,20)*((0*(((0.15*B1512*5))^0/1)+1*(((0.15*B1512*5))^1/1)+2*(((0.15*B1512*5))^2/2)+3*(((0.15*B1512*5))^3/6)+4*(((0.15*B1512*5))^4/24)+5*(((0.15*B1512*5))^5/120))/((((0.15*B1512*5))^0/1)+(((0.15*B1512*5))^1/1)+(((0.15*B1512*5))^2/2)+(((0.15*B1512*5))^3/6)+(((0.15*B1512*5))^4/24)+(((0.15*B1512*5))^5/120))),0)))/100</f>
        <v/>
      </c>
    </row>
    <row r="1510">
      <c r="A1510" t="inlineStr">
        <is>
          <t>Average Buff Multiplier (Magic Guard + Meditation + Artifact Attack%, summed; then Infinity)</t>
        </is>
      </c>
      <c r="B1510">
        <f>(1+(F1484*IF(AND(Inputs!$B$38&lt;&gt;"pvp",Inputs!$B$43&gt;0),(((R1484-1)*(Skills!T6*(1+((Inputs!$B$34+(ArtifactsInput!$M$7-ArtifactsInput!$M$7)*CHOOSE(ArtifactsInput!$N$7+1,6,7.2,8.4,9.6,10.8,12)))/100))+MIN((Skills!T6*(1+((Inputs!$B$34+(ArtifactsInput!$M$7-ArtifactsInput!$M$7)*CHOOSE(ArtifactsInput!$N$7+1,6,7.2,8.4,9.6,10.8,12)))/100)),MAX(0,Inputs!$B$43-((R1484-1)*Skills!E6))))/Inputs!$B$43),IF(Inputs!$B$38="pvp",MIN((Skills!T6*(1+((Inputs!$B$34+(ArtifactsInput!$M$7-ArtifactsInput!$M$7)*CHOOSE(ArtifactsInput!$N$7+1,6,7.2,8.4,9.6,10.8,12)))/100)),15)/15,(Skills!T6*(1+((Inputs!$B$34+(ArtifactsInput!$M$7-ArtifactsInput!$M$7)*CHOOSE(ArtifactsInput!$N$7+1,6,7.2,8.4,9.6,10.8,12)))/100))/Skills!E6))+F1495*IF(AND(Inputs!$B$38&lt;&gt;"pvp",Inputs!$B$43&gt;0),(((R1495-1)*(Skills!T17*(1+((Inputs!$B$34+(ArtifactsInput!$M$7-ArtifactsInput!$M$7)*CHOOSE(ArtifactsInput!$N$7+1,6,7.2,8.4,9.6,10.8,12)))/100))+MIN((Skills!T17*(1+((Inputs!$B$34+(ArtifactsInput!$M$7-ArtifactsInput!$M$7)*CHOOSE(ArtifactsInput!$N$7+1,6,7.2,8.4,9.6,10.8,12)))/100)),MAX(0,Inputs!$B$43-((R1495-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1497=TRUE,(1+F1497*IF(AND(Inputs!$B$38&lt;&gt;"pvp",Inputs!$B$43&gt;0),(((R1497-1)*(Skills!T19*(1+((Inputs!$B$34+(ArtifactsInput!$M$7-ArtifactsInput!$M$7)*CHOOSE(ArtifactsInput!$N$7+1,6,7.2,8.4,9.6,10.8,12)))/100))+MIN((Skills!T19*(1+((Inputs!$B$34+(ArtifactsInput!$M$7-ArtifactsInput!$M$7)*CHOOSE(ArtifactsInput!$N$7+1,6,7.2,8.4,9.6,10.8,12)))/100)),MAX(0,Inputs!$B$43-((R1497-1)*Skills!E19))))/Inputs!$B$43),IF(Inputs!$B$38="pvp",MIN((Skills!T19*(1+((Inputs!$B$34+(ArtifactsInput!$M$7-ArtifactsInput!$M$7)*CHOOSE(ArtifactsInput!$N$7+1,6,7.2,8.4,9.6,10.8,12)))/100)),15)/15,(Skills!T19*(1+((Inputs!$B$34+(ArtifactsInput!$M$7-ArtifactsInput!$M$7)*CHOOSE(ArtifactsInput!$N$7+1,6,7.2,8.4,9.6,10.8,12)))/100))/Skills!E19))/100),1)</f>
        <v/>
      </c>
    </row>
    <row r="1511">
      <c r="A1511" t="inlineStr">
        <is>
          <t>Attack Speed Buff Bonus % (Nimble Feet, averaged)</t>
        </is>
      </c>
      <c r="B1511">
        <f>F1496*IF(AND(Inputs!$B$38&lt;&gt;"pvp",Inputs!$B$43&gt;0),(((R1496-1)*(Skills!T18*(1+((Inputs!$B$34+(ArtifactsInput!$M$7-ArtifactsInput!$M$7)*CHOOSE(ArtifactsInput!$N$7+1,6,7.2,8.4,9.6,10.8,12)))/100))+MIN((Skills!T18*(1+((Inputs!$B$34+(ArtifactsInput!$M$7-ArtifactsInput!$M$7)*CHOOSE(ArtifactsInput!$N$7+1,6,7.2,8.4,9.6,10.8,12)))/100)),MAX(0,Inputs!$B$43-((R1496-1)*Skills!E18))))/Inputs!$B$43),IF(Inputs!$B$38="pvp",MIN((Skills!T18*(1+((Inputs!$B$34+(ArtifactsInput!$M$7-ArtifactsInput!$M$7)*CHOOSE(ArtifactsInput!$N$7+1,6,7.2,8.4,9.6,10.8,12)))/100)),15)/15,(Skills!T18*(1+((Inputs!$B$34+(ArtifactsInput!$M$7-ArtifactsInput!$M$7)*CHOOSE(ArtifactsInput!$N$7+1,6,7.2,8.4,9.6,10.8,12)))/100))/Skills!E18))</f>
        <v/>
      </c>
    </row>
    <row r="1512">
      <c r="A1512" t="inlineStr">
        <is>
          <t>Actions Per Second</t>
        </is>
      </c>
      <c r="B1512">
        <f>1+MIN(150,150*(1-(1-(Inputs!$B$11+(ArtifactsInput!$M$15-ArtifactsInput!$M$15)*CHOOSE(ArtifactsInput!$N$15+1,8,9.6,11.2,12.8,14.4,16))/150)*(1-B1511/150)))/100</f>
        <v/>
      </c>
    </row>
    <row r="1513">
      <c r="A1513" t="inlineStr">
        <is>
          <t>Skill + Buff Cast Rate</t>
        </is>
      </c>
      <c r="B1513">
        <f>IF(AND(Inputs!$B$38&lt;&gt;"pvp",Inputs!$B$43&gt;0),SUMPRODUCT((Skills!F2:F28=TRUE)*(C1480:C1506=TRUE)*R1480:R1506)/Inputs!$B$43,SUMPRODUCT((Skills!F2:F28=TRUE)*(C1480:C1506=TRUE)*Q1480:Q1506))</f>
        <v/>
      </c>
    </row>
    <row r="1514">
      <c r="A1514" t="inlineStr">
        <is>
          <t>Basic Attacks Per Second</t>
        </is>
      </c>
      <c r="B1514">
        <f>MAX(0,B1512-B1513)</f>
        <v/>
      </c>
    </row>
    <row r="1515">
      <c r="A1515" t="inlineStr">
        <is>
          <t>Meteor Proc — combined trigger cast rate</t>
        </is>
      </c>
      <c r="B1515">
        <f>IF(AND(Inputs!$B$38&lt;&gt;"pvp",Inputs!$B$43&gt;0),SUMPRODUCT((Skills!V2:V28=TRUE)*(C1480:C1506=TRUE)*R1480:R1506*Skills!W2:W28)/Inputs!$B$43,SUMPRODUCT((Skills!V2:V28=TRUE)*(C1480:C1506=TRUE)*Q1480:Q1506*Skills!W2:W28))+B1514</f>
        <v/>
      </c>
    </row>
    <row r="1516">
      <c r="A1516" t="inlineStr">
        <is>
          <t>Buff-Casting Startup Delay (s, fixed-duration only)</t>
        </is>
      </c>
      <c r="B1516">
        <f>IF(AND(Inputs!$B$38&lt;&gt;"pvp",Inputs!$B$43&gt;0),SUMPRODUCT((Skills!T2:T28&gt;0)*(Skills!F2:F28=TRUE)*(C1480:C1506=TRUE))/B1512,0)</f>
        <v/>
      </c>
    </row>
    <row r="1517">
      <c r="A1517" t="inlineStr">
        <is>
          <t>Boss-Only Total DPS (this block's swept value)</t>
        </is>
      </c>
      <c r="B1517">
        <f>SUM(S1480:S1506)</f>
        <v/>
      </c>
    </row>
    <row r="1518">
      <c r="A1518" t="inlineStr">
        <is>
          <t>Normal-Only Total DPS (this block's swept value)</t>
        </is>
      </c>
      <c r="B1518">
        <f>SUM(U1480:U1506)</f>
        <v/>
      </c>
    </row>
    <row r="1519">
      <c r="A1519" s="6" t="inlineStr">
        <is>
          <t>TOTAL DPS</t>
        </is>
      </c>
      <c r="B1519" s="6">
        <f>SUM(O1480:O1506)</f>
        <v/>
      </c>
    </row>
    <row r="1522">
      <c r="A1522" s="6" t="inlineStr">
        <is>
          <t>Stat: Clear Spring Water (Equip)</t>
        </is>
      </c>
    </row>
    <row r="1523">
      <c r="A1523" s="5" t="inlineStr">
        <is>
          <t>Key</t>
        </is>
      </c>
      <c r="B1523" s="5" t="inlineStr">
        <is>
          <t>Name</t>
        </is>
      </c>
      <c r="C1523" s="5" t="inlineStr">
        <is>
          <t>Unlocked</t>
        </is>
      </c>
      <c r="D1523" s="5" t="inlineStr">
        <is>
          <t>InputLevel</t>
        </is>
      </c>
      <c r="E1523" s="5" t="inlineStr">
        <is>
          <t>Factor</t>
        </is>
      </c>
      <c r="F1523" s="5" t="inlineStr">
        <is>
          <t>CoefficientPercent</t>
        </is>
      </c>
      <c r="G1523" s="5" t="inlineStr">
        <is>
          <t>EffectiveHits</t>
        </is>
      </c>
      <c r="H1523" s="5" t="inlineStr">
        <is>
          <t>ProcProbability</t>
        </is>
      </c>
      <c r="I1523" s="5" t="inlineStr">
        <is>
          <t>MapleHeroMultiplier</t>
        </is>
      </c>
      <c r="J1523" s="5" t="inlineStr">
        <is>
          <t>BaseDamage</t>
        </is>
      </c>
      <c r="K1523" s="5" t="inlineStr">
        <is>
          <t>BaseHitDamage</t>
        </is>
      </c>
      <c r="L1523" s="5" t="inlineStr">
        <is>
          <t>NonCritAvg</t>
        </is>
      </c>
      <c r="M1523" s="5" t="inlineStr">
        <is>
          <t>CritAvg</t>
        </is>
      </c>
      <c r="N1523" s="5" t="inlineStr">
        <is>
          <t>ExpectedDamage(perHit)</t>
        </is>
      </c>
      <c r="O1523" s="5" t="inlineStr">
        <is>
          <t>DPS</t>
        </is>
      </c>
      <c r="P1523" s="5" t="inlineStr">
        <is>
          <t>% of Total</t>
        </is>
      </c>
      <c r="R1523" t="inlineStr">
        <is>
          <t>helpers</t>
        </is>
      </c>
    </row>
    <row r="1524">
      <c r="A1524">
        <f>Skills!A2</f>
        <v/>
      </c>
      <c r="B1524">
        <f>Skills!B2</f>
        <v/>
      </c>
      <c r="C1524">
        <f>TRUE</f>
        <v/>
      </c>
      <c r="D1524" t="inlineStr"/>
      <c r="E1524" t="inlineStr"/>
      <c r="F1524">
        <f>T1526+Skills!O2</f>
        <v/>
      </c>
      <c r="G1524">
        <f>Calc!G2</f>
        <v/>
      </c>
      <c r="H1524">
        <f>Calc!H2</f>
        <v/>
      </c>
      <c r="I1524">
        <f>IF(Skills!X2&lt;&gt;"",1+(Skills!X2/10)*(Z1525/1000)/100,1)</f>
        <v/>
      </c>
      <c r="J1524">
        <f>((Inputs!$B$6*(1+Inputs!$B$7/100))+(((Inputs!$B$12*(1+Inputs!$B$13/100))-(Inputs!$B$12*(1+Inputs!$B$13/100)))+0.25*(Inputs!$B$14-Inputs!$B$14))*(1+Inputs!$B$7/100))*(F1524/100)</f>
        <v/>
      </c>
      <c r="K1524">
        <f>J1524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1524)</f>
        <v/>
      </c>
      <c r="L1524">
        <f>K1524*(MIN(Inputs!$B$22+(F1544-Calc!F22),(Inputs!$B$23+(IF(ArtifactsInput!$M$15,CHOOSE(ArtifactsInput!$N$15+1,25,30,35,40,45,50)/100*(Inputs!$B$11-Inputs!$B$11),0))))/100+(Inputs!$B$23+(IF(ArtifactsInput!$M$15,CHOOSE(ArtifactsInput!$N$15+1,25,30,35,40,45,50)/100*(Inputs!$B$11-Inputs!$B$11),0)))/100)/2</f>
        <v/>
      </c>
      <c r="M1524">
        <f>L1524*(1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4">
        <f>L1524*(1-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1524*(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4">
        <f>(1-Summary!$B$11)*S1524+Summary!$B$11*U1524</f>
        <v/>
      </c>
      <c r="P1524">
        <f>IF(B1563=0,0,O1524/B1563)</f>
        <v/>
      </c>
      <c r="Q1524">
        <f>IFERROR(1/(IF(Inputs!$B$38="pvp",15,MAX(0.1,Skills!E2-IF(Skills!F2=TRUE,Inputs!$B$32,0)))*(1-IF(AND(ArtifactsInput!$M$27,Inputs!$B$4="Chapter Hunt"),CHOOSE(ArtifactsInput!$N$27+1,20,24,28,32,36,40),0)/100)),0)</f>
        <v/>
      </c>
      <c r="R1524" t="n">
        <v>0</v>
      </c>
      <c r="S1524">
        <f>(Skills!G2*N1524*B1558)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1524*(1-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1524*(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1524*(1-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1524*(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524">
        <f>MAX(0,(Inputs!$B$3-100)*3)+Inputs!$B$28+Inputs!$B$29</f>
        <v/>
      </c>
      <c r="U1524">
        <f>(Skills!G2*N1524*B1558)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524">
        <f>MAX(0,(Inputs!$B$3-100)*3)+Inputs!$B$28+Inputs!$B$29</f>
        <v/>
      </c>
    </row>
    <row r="1525">
      <c r="A1525">
        <f>Skills!A3</f>
        <v/>
      </c>
      <c r="B1525">
        <f>Skills!B3</f>
        <v/>
      </c>
      <c r="C1525">
        <f>TRUE</f>
        <v/>
      </c>
      <c r="D1525">
        <f>IF(Skills!C3=1,60+Inputs!$B$25+Inputs!$B$29,IF(Skills!C3=2,90+Inputs!$B$26+Inputs!$B$29,IF(Skills!C3=3,120+Inputs!$B$27+Inputs!$B$29,MAX(0,(Inputs!$B$3-100)*3)+Inputs!$B$28+Inputs!$B$29)))</f>
        <v/>
      </c>
      <c r="E1525">
        <f>INDEX(FactorTable!$B$2:$Y$301, MATCH(ROUND(MIN(300,MAX(1,D1525)),0), FactorTable!$A$2:$A$301,0), Skills!M3+1)</f>
        <v/>
      </c>
      <c r="F1525">
        <f>IF(Skills!N3=TRUE,(Skills!L3/10)*(E1525/1000),Skills!L3/10)+Skills!O3</f>
        <v/>
      </c>
      <c r="G1525">
        <f>Calc!G3</f>
        <v/>
      </c>
      <c r="H1525">
        <f>Calc!H3</f>
        <v/>
      </c>
      <c r="I1525">
        <f>IF(Skills!X3&lt;&gt;"",1+(Skills!X3/10)*(Z1525/1000)/100,1)</f>
        <v/>
      </c>
      <c r="J1525">
        <f>((Inputs!$B$6*(1+Inputs!$B$7/100))+(((Inputs!$B$12*(1+Inputs!$B$13/100))-(Inputs!$B$12*(1+Inputs!$B$13/100)))+0.25*(Inputs!$B$14-Inputs!$B$14))*(1+Inputs!$B$7/100))*(F1525/100)</f>
        <v/>
      </c>
      <c r="K1525">
        <f>J1525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1525)</f>
        <v/>
      </c>
      <c r="L1525">
        <f>K1525*(MIN(Inputs!$B$22+(F1544-Calc!F22),(Inputs!$B$23+(IF(ArtifactsInput!$M$15,CHOOSE(ArtifactsInput!$N$15+1,25,30,35,40,45,50)/100*(Inputs!$B$11-Inputs!$B$11),0))))/100+(Inputs!$B$23+(IF(ArtifactsInput!$M$15,CHOOSE(ArtifactsInput!$N$15+1,25,30,35,40,45,50)/100*(Inputs!$B$11-Inputs!$B$11),0)))/100)/2</f>
        <v/>
      </c>
      <c r="M1525">
        <f>L1525*(1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5">
        <f>L1525*(1-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1525*(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5">
        <f>(1-Summary!$B$11)*S1525+Summary!$B$11*U1525</f>
        <v/>
      </c>
      <c r="P1525">
        <f>IF(B1563=0,0,O1525/B1563)</f>
        <v/>
      </c>
      <c r="Q1525">
        <f>IFERROR(1/(IF(Inputs!$B$38="pvp",15,MAX(0.1,Skills!E3-IF(Skills!F3=TRUE,Inputs!$B$32,0)))*(1-IF(AND(ArtifactsInput!$M$27,Inputs!$B$4="Chapter Hunt"),CHOOSE(ArtifactsInput!$N$27+1,20,24,28,32,36,40),0)/100)),0)</f>
        <v/>
      </c>
      <c r="R1525">
        <f>IF(AND(Inputs!$B$38&lt;&gt;"pvp",Inputs!$B$43&gt;0),IF(MAX(0,Inputs!$B$43-B1560)&lt;=0,0,(INT(MAX(0,Inputs!$B$43-B1560)/(IF(Inputs!$B$38="pvp",15,MAX(0.1,Skills!E3-IF(Skills!F3=TRUE,Inputs!$B$32,0)))*(1-IF(AND(ArtifactsInput!$M$27,Inputs!$B$4="Chapter Hunt"),CHOOSE(ArtifactsInput!$N$27+1,20,24,28,32,36,40),0)/100)))+1)),0)</f>
        <v/>
      </c>
      <c r="S1525">
        <f>IF(C1525,(H1525*N1525*IF(AND(Inputs!$B$38&lt;&gt;"pvp",Inputs!$B$43&gt;0),((Skills!G3*((R1525-1)*IF(Skills!H3&gt;0,Skills!I3/Skills!H3,1)+IF(Skills!H3&gt;0,MIN(Skills!I3,MAX(0,MAX(0,Inputs!$B$43-B1560)-((R1525-1)*(IF(Inputs!$B$38="pvp",15,MAX(0.1,Skills!E3-IF(Skills!F3=TRUE,Inputs!$B$32,0)))*(1-IF(AND(ArtifactsInput!$M$27,Inputs!$B$4="Chapter Hunt"),CHOOSE(ArtifactsInput!$N$27+1,20,24,28,32,36,40),0)/100)))))/Skills!H3,1)))/Inputs!$B$43),G1525*Q1525)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1525*(1-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1525*(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1525*(1-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1525*(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25">
        <f>INDEX(FactorTable!$B$2:$Y$301, MATCH(ROUND(MIN(300,MAX(1,T1524)),0), FactorTable!$A$2:$A$301,0), 22)</f>
        <v/>
      </c>
      <c r="U1525">
        <f>IF(C1525,(H1525*N1525*IF(AND(Inputs!$B$38&lt;&gt;"pvp",Inputs!$B$43&gt;0),((Skills!G3*((R1525-1)*IF(Skills!H3&gt;0,Skills!I3/Skills!H3,1)+IF(Skills!H3&gt;0,MIN(Skills!I3,MAX(0,MAX(0,Inputs!$B$43-B1560)-((R1525-1)*(IF(Inputs!$B$38="pvp",15,MAX(0.1,Skills!E3-IF(Skills!F3=TRUE,Inputs!$B$32,0)))*(1-IF(AND(ArtifactsInput!$M$27,Inputs!$B$4="Chapter Hunt"),CHOOSE(ArtifactsInput!$N$27+1,20,24,28,32,36,40),0)/100)))))/Skills!H3,1)))/Inputs!$B$43),G1525*Q1525)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525">
        <f>INDEX(FactorTable!$B$2:$Y$301, MATCH(ROUND(MIN(300,MAX(1,Z1524)),0), FactorTable!$A$2:$A$301,0), 24)</f>
        <v/>
      </c>
    </row>
    <row r="1526">
      <c r="A1526">
        <f>Skills!A4</f>
        <v/>
      </c>
      <c r="B1526">
        <f>Skills!B4</f>
        <v/>
      </c>
      <c r="C1526">
        <f>TRUE</f>
        <v/>
      </c>
      <c r="D1526">
        <f>IF(Skills!C4=1,60+Inputs!$B$25+Inputs!$B$29,IF(Skills!C4=2,90+Inputs!$B$26+Inputs!$B$29,IF(Skills!C4=3,120+Inputs!$B$27+Inputs!$B$29,MAX(0,(Inputs!$B$3-100)*3)+Inputs!$B$28+Inputs!$B$29)))</f>
        <v/>
      </c>
      <c r="E1526">
        <f>INDEX(FactorTable!$B$2:$Y$301, MATCH(ROUND(MIN(300,MAX(1,D1526)),0), FactorTable!$A$2:$A$301,0), Skills!M4+1)</f>
        <v/>
      </c>
      <c r="F1526">
        <f>IF(Skills!N4=TRUE,(Skills!L4/10)*(E1526/1000),Skills!L4/10)+Skills!O4</f>
        <v/>
      </c>
      <c r="G1526">
        <f>Calc!G4</f>
        <v/>
      </c>
      <c r="H1526">
        <f>Calc!H4</f>
        <v/>
      </c>
      <c r="I1526">
        <f>IF(Skills!X4&lt;&gt;"",1+(Skills!X4/10)*(Z1525/1000)/100,1)</f>
        <v/>
      </c>
      <c r="J1526">
        <f>((Inputs!$B$6*(1+Inputs!$B$7/100))+(((Inputs!$B$12*(1+Inputs!$B$13/100))-(Inputs!$B$12*(1+Inputs!$B$13/100)))+0.25*(Inputs!$B$14-Inputs!$B$14))*(1+Inputs!$B$7/100))*(F1526/100)</f>
        <v/>
      </c>
      <c r="K1526">
        <f>J1526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1526)</f>
        <v/>
      </c>
      <c r="L1526">
        <f>K1526*(MIN(Inputs!$B$22+(F1544-Calc!F22),(Inputs!$B$23+(IF(ArtifactsInput!$M$15,CHOOSE(ArtifactsInput!$N$15+1,25,30,35,40,45,50)/100*(Inputs!$B$11-Inputs!$B$11),0))))/100+(Inputs!$B$23+(IF(ArtifactsInput!$M$15,CHOOSE(ArtifactsInput!$N$15+1,25,30,35,40,45,50)/100*(Inputs!$B$11-Inputs!$B$11),0)))/100)/2</f>
        <v/>
      </c>
      <c r="M1526">
        <f>L1526*(1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6">
        <f>L1526*(1-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1526*(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6">
        <f>(1-Summary!$B$11)*S1526+Summary!$B$11*U1526</f>
        <v/>
      </c>
      <c r="P1526">
        <f>IF(B1563=0,0,O1526/B1563)</f>
        <v/>
      </c>
      <c r="Q1526">
        <f>IFERROR(1/(IF(Inputs!$B$38="pvp",15,MAX(0.1,Skills!E4-IF(Skills!F4=TRUE,Inputs!$B$32,0)))*(1-IF(AND(ArtifactsInput!$M$27,Inputs!$B$4="Chapter Hunt"),CHOOSE(ArtifactsInput!$N$27+1,20,24,28,32,36,40),0)/100)),0)</f>
        <v/>
      </c>
      <c r="R1526">
        <f>IF(AND(Inputs!$B$38&lt;&gt;"pvp",Inputs!$B$43&gt;0),IF(MAX(0,Inputs!$B$43-B1560)&lt;=0,0,(INT(MAX(0,Inputs!$B$43-B1560)/(IF(Inputs!$B$38="pvp",15,MAX(0.1,Skills!E4-IF(Skills!F4=TRUE,Inputs!$B$32,0)))*(1-IF(AND(ArtifactsInput!$M$27,Inputs!$B$4="Chapter Hunt"),CHOOSE(ArtifactsInput!$N$27+1,20,24,28,32,36,40),0)/100)))+1)),0)</f>
        <v/>
      </c>
      <c r="S1526">
        <f>IF(C1526,(H1526*N1526*IF(AND(Inputs!$B$38&lt;&gt;"pvp",Inputs!$B$43&gt;0),((Skills!G4*((R1526-1)*IF(Skills!H4&gt;0,Skills!I4/Skills!H4,1)+IF(Skills!H4&gt;0,MIN(Skills!I4,MAX(0,MAX(0,Inputs!$B$43-B1560)-((R1526-1)*(IF(Inputs!$B$38="pvp",15,MAX(0.1,Skills!E4-IF(Skills!F4=TRUE,Inputs!$B$32,0)))*(1-IF(AND(ArtifactsInput!$M$27,Inputs!$B$4="Chapter Hunt"),CHOOSE(ArtifactsInput!$N$27+1,20,24,28,32,36,40),0)/100)))))/Skills!H4,1)))/Inputs!$B$43),G1526*Q1526)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1526*(1-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1526*(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1526*(1-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1526*(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26">
        <f>290*T1525/1000</f>
        <v/>
      </c>
      <c r="U1526">
        <f>IF(C1526,(H1526*N1526*IF(AND(Inputs!$B$38&lt;&gt;"pvp",Inputs!$B$43&gt;0),((Skills!G4*((R1526-1)*IF(Skills!H4&gt;0,Skills!I4/Skills!H4,1)+IF(Skills!H4&gt;0,MIN(Skills!I4,MAX(0,MAX(0,Inputs!$B$43-B1560)-((R1526-1)*(IF(Inputs!$B$38="pvp",15,MAX(0.1,Skills!E4-IF(Skills!F4=TRUE,Inputs!$B$32,0)))*(1-IF(AND(ArtifactsInput!$M$27,Inputs!$B$4="Chapter Hunt"),CHOOSE(ArtifactsInput!$N$27+1,20,24,28,32,36,40),0)/100)))))/Skills!H4,1)))/Inputs!$B$43),G1526*Q1526)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7">
      <c r="A1527">
        <f>Skills!A5</f>
        <v/>
      </c>
      <c r="B1527">
        <f>Skills!B5</f>
        <v/>
      </c>
      <c r="C1527">
        <f>TRUE</f>
        <v/>
      </c>
      <c r="D1527">
        <f>IF(Skills!C5=1,60+Inputs!$B$25+Inputs!$B$29,IF(Skills!C5=2,90+Inputs!$B$26+Inputs!$B$29,IF(Skills!C5=3,120+Inputs!$B$27+Inputs!$B$29,MAX(0,(Inputs!$B$3-100)*3)+Inputs!$B$28+Inputs!$B$29)))</f>
        <v/>
      </c>
      <c r="E1527">
        <f>INDEX(FactorTable!$B$2:$Y$301, MATCH(ROUND(MIN(300,MAX(1,D1527)),0), FactorTable!$A$2:$A$301,0), Skills!M5+1)</f>
        <v/>
      </c>
      <c r="F1527">
        <f>IF(Skills!N5=TRUE,(Skills!L5/10)*(E1527/1000),Skills!L5/10)+Skills!O5</f>
        <v/>
      </c>
      <c r="G1527">
        <f>Calc!G5</f>
        <v/>
      </c>
      <c r="H1527">
        <f>Calc!H5</f>
        <v/>
      </c>
      <c r="I1527">
        <f>IF(Skills!X5&lt;&gt;"",1+(Skills!X5/10)*(Z1525/1000)/100,1)</f>
        <v/>
      </c>
      <c r="J1527">
        <f>((Inputs!$B$6*(1+Inputs!$B$7/100))+(((Inputs!$B$12*(1+Inputs!$B$13/100))-(Inputs!$B$12*(1+Inputs!$B$13/100)))+0.25*(Inputs!$B$14-Inputs!$B$14))*(1+Inputs!$B$7/100))*(F1527/100)</f>
        <v/>
      </c>
      <c r="K1527">
        <f>J1527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1527)</f>
        <v/>
      </c>
      <c r="L1527">
        <f>K1527*(MIN(Inputs!$B$22+(F1544-Calc!F22),(Inputs!$B$23+(IF(ArtifactsInput!$M$15,CHOOSE(ArtifactsInput!$N$15+1,25,30,35,40,45,50)/100*(Inputs!$B$11-Inputs!$B$11),0))))/100+(Inputs!$B$23+(IF(ArtifactsInput!$M$15,CHOOSE(ArtifactsInput!$N$15+1,25,30,35,40,45,50)/100*(Inputs!$B$11-Inputs!$B$11),0)))/100)/2</f>
        <v/>
      </c>
      <c r="M1527">
        <f>L1527*(1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7">
        <f>L1527*(1-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1527*(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7">
        <f>(1-Summary!$B$11)*S1527+Summary!$B$11*U1527</f>
        <v/>
      </c>
      <c r="P1527">
        <f>IF(B1563=0,0,O1527/B1563)</f>
        <v/>
      </c>
      <c r="Q1527">
        <f>IFERROR(1/(IF(Inputs!$B$38="pvp",15,MAX(0.1,Skills!E5-IF(Skills!F5=TRUE,Inputs!$B$32,0)))*(1-IF(AND(ArtifactsInput!$M$27,Inputs!$B$4="Chapter Hunt"),CHOOSE(ArtifactsInput!$N$27+1,20,24,28,32,36,40),0)/100)),0)</f>
        <v/>
      </c>
      <c r="R1527">
        <f>IF(AND(Inputs!$B$38&lt;&gt;"pvp",Inputs!$B$43&gt;0),IF(MAX(0,Inputs!$B$43-B1560)&lt;=0,0,(INT(MAX(0,Inputs!$B$43-B1560)/(IF(Inputs!$B$38="pvp",15,MAX(0.1,Skills!E5-IF(Skills!F5=TRUE,Inputs!$B$32,0)))*(1-IF(AND(ArtifactsInput!$M$27,Inputs!$B$4="Chapter Hunt"),CHOOSE(ArtifactsInput!$N$27+1,20,24,28,32,36,40),0)/100)))+1)),0)</f>
        <v/>
      </c>
      <c r="S1527">
        <f>IF(C1527,(H1527*N1527*IF(AND(Inputs!$B$38&lt;&gt;"pvp",Inputs!$B$43&gt;0),((Skills!G5*((R1527-1)*IF(Skills!H5&gt;0,Skills!I5/Skills!H5,1)+IF(Skills!H5&gt;0,MIN(Skills!I5,MAX(0,MAX(0,Inputs!$B$43-B1560)-((R1527-1)*(IF(Inputs!$B$38="pvp",15,MAX(0.1,Skills!E5-IF(Skills!F5=TRUE,Inputs!$B$32,0)))*(1-IF(AND(ArtifactsInput!$M$27,Inputs!$B$4="Chapter Hunt"),CHOOSE(ArtifactsInput!$N$27+1,20,24,28,32,36,40),0)/100)))))/Skills!H5,1)))/Inputs!$B$43),G1527*Q1527)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1527*(1-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1527*(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1527*(1-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1527*(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27">
        <f>IF(C1527,(H1527*N1527*IF(AND(Inputs!$B$38&lt;&gt;"pvp",Inputs!$B$43&gt;0),((Skills!G5*((R1527-1)*IF(Skills!H5&gt;0,Skills!I5/Skills!H5,1)+IF(Skills!H5&gt;0,MIN(Skills!I5,MAX(0,MAX(0,Inputs!$B$43-B1560)-((R1527-1)*(IF(Inputs!$B$38="pvp",15,MAX(0.1,Skills!E5-IF(Skills!F5=TRUE,Inputs!$B$32,0)))*(1-IF(AND(ArtifactsInput!$M$27,Inputs!$B$4="Chapter Hunt"),CHOOSE(ArtifactsInput!$N$27+1,20,24,28,32,36,40),0)/100)))))/Skills!H5,1)))/Inputs!$B$43),G1527*Q1527)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8">
      <c r="A1528">
        <f>Skills!A6</f>
        <v/>
      </c>
      <c r="B1528">
        <f>Skills!B6</f>
        <v/>
      </c>
      <c r="C1528">
        <f>TRUE</f>
        <v/>
      </c>
      <c r="D1528">
        <f>IF(Skills!C6=1,60+Inputs!$B$25+Inputs!$B$29,IF(Skills!C6=2,90+Inputs!$B$26+Inputs!$B$29,IF(Skills!C6=3,120+Inputs!$B$27+Inputs!$B$29,MAX(0,(Inputs!$B$3-100)*3)+Inputs!$B$28+Inputs!$B$29)))</f>
        <v/>
      </c>
      <c r="E1528">
        <f>INDEX(FactorTable!$B$2:$Y$301, MATCH(ROUND(MIN(300,MAX(1,D1528)),0), FactorTable!$A$2:$A$301,0), Skills!M6+1)</f>
        <v/>
      </c>
      <c r="F1528">
        <f>IF(Skills!N6=TRUE,(Skills!L6/10)*(E1528/1000),Skills!L6/10)+Skills!O6</f>
        <v/>
      </c>
      <c r="G1528">
        <f>Calc!G6</f>
        <v/>
      </c>
      <c r="H1528">
        <f>Calc!H6</f>
        <v/>
      </c>
      <c r="I1528">
        <f>IF(Skills!X6&lt;&gt;"",1+(Skills!X6/10)*(Z1525/1000)/100,1)</f>
        <v/>
      </c>
      <c r="J1528" t="inlineStr"/>
      <c r="K1528" t="inlineStr"/>
      <c r="L1528" t="inlineStr"/>
      <c r="M1528" t="inlineStr"/>
      <c r="N1528" t="inlineStr"/>
      <c r="O1528">
        <f>(1-Summary!$B$11)*S1528+Summary!$B$11*U1528</f>
        <v/>
      </c>
      <c r="P1528">
        <f>IF(B1563=0,0,O1528/B1563)</f>
        <v/>
      </c>
      <c r="Q1528">
        <f>IFERROR(1/(IF(Inputs!$B$38="pvp",15,MAX(0.1,Skills!E6-IF(Skills!F6=TRUE,Inputs!$B$32,0)))*(1-IF(AND(ArtifactsInput!$M$27,Inputs!$B$4="Chapter Hunt"),CHOOSE(ArtifactsInput!$N$27+1,20,24,28,32,36,40),0)/100)),0)</f>
        <v/>
      </c>
      <c r="R1528">
        <f>IF(AND(Inputs!$B$38&lt;&gt;"pvp",Inputs!$B$43&gt;0),IF(Inputs!$B$43&lt;=0,0,(INT(Inputs!$B$43/(IF(Inputs!$B$38="pvp",15,MAX(0.1,Skills!E6-IF(Skills!F6=TRUE,Inputs!$B$32,0)))*(1-IF(AND(ArtifactsInput!$M$27,Inputs!$B$4="Chapter Hunt"),CHOOSE(ArtifactsInput!$N$27+1,20,24,28,32,36,40),0)/100)))+1)),0)</f>
        <v/>
      </c>
      <c r="S1528" t="n">
        <v>0</v>
      </c>
      <c r="U1528" t="n">
        <v>0</v>
      </c>
    </row>
    <row r="1529">
      <c r="A1529">
        <f>Skills!A7</f>
        <v/>
      </c>
      <c r="B1529">
        <f>Skills!B7</f>
        <v/>
      </c>
      <c r="C1529">
        <f>TRUE</f>
        <v/>
      </c>
      <c r="D1529">
        <f>IF(Skills!C7=1,60+Inputs!$B$25+Inputs!$B$29,IF(Skills!C7=2,90+Inputs!$B$26+Inputs!$B$29,IF(Skills!C7=3,120+Inputs!$B$27+Inputs!$B$29,MAX(0,(Inputs!$B$3-100)*3)+Inputs!$B$28+Inputs!$B$29)))</f>
        <v/>
      </c>
      <c r="E1529">
        <f>INDEX(FactorTable!$B$2:$Y$301, MATCH(ROUND(MIN(300,MAX(1,D1529)),0), FactorTable!$A$2:$A$301,0), Skills!M7+1)</f>
        <v/>
      </c>
      <c r="F1529">
        <f>IF(Skills!N7=TRUE,(Skills!L7/10)*(E1529/1000),Skills!L7/10)+Skills!O7</f>
        <v/>
      </c>
      <c r="G1529">
        <f>Calc!G7</f>
        <v/>
      </c>
      <c r="H1529">
        <f>Calc!H7</f>
        <v/>
      </c>
      <c r="I1529">
        <f>IF(Skills!X7&lt;&gt;"",1+(Skills!X7/10)*(Z1525/1000)/100,1)</f>
        <v/>
      </c>
      <c r="J1529">
        <f>((Inputs!$B$6*(1+Inputs!$B$7/100))+(((Inputs!$B$12*(1+Inputs!$B$13/100))-(Inputs!$B$12*(1+Inputs!$B$13/100)))+0.25*(Inputs!$B$14-Inputs!$B$14))*(1+Inputs!$B$7/100))*(F1529/100)</f>
        <v/>
      </c>
      <c r="K1529">
        <f>J1529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1529)</f>
        <v/>
      </c>
      <c r="L1529">
        <f>K1529*(MIN(Inputs!$B$22+(F1544-Calc!F22),(Inputs!$B$23+(IF(ArtifactsInput!$M$15,CHOOSE(ArtifactsInput!$N$15+1,25,30,35,40,45,50)/100*(Inputs!$B$11-Inputs!$B$11),0))))/100+(Inputs!$B$23+(IF(ArtifactsInput!$M$15,CHOOSE(ArtifactsInput!$N$15+1,25,30,35,40,45,50)/100*(Inputs!$B$11-Inputs!$B$11),0)))/100)/2</f>
        <v/>
      </c>
      <c r="M1529">
        <f>L1529*(1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9">
        <f>L1529*(1-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1529*(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9">
        <f>(1-Summary!$B$11)*S1529+Summary!$B$11*U1529</f>
        <v/>
      </c>
      <c r="P1529">
        <f>IF(B1563=0,0,O1529/B1563)</f>
        <v/>
      </c>
      <c r="Q1529">
        <f>IFERROR(1/(IF(Inputs!$B$38="pvp",15,MAX(0.1,Skills!E7-IF(Skills!F7=TRUE,Inputs!$B$32,0)))*(1-IF(AND(ArtifactsInput!$M$27,Inputs!$B$4="Chapter Hunt"),CHOOSE(ArtifactsInput!$N$27+1,20,24,28,32,36,40),0)/100)),0)</f>
        <v/>
      </c>
      <c r="R1529">
        <f>IF(AND(Inputs!$B$38&lt;&gt;"pvp",Inputs!$B$43&gt;0),IF(MAX(0,Inputs!$B$43-B1560)&lt;=0,0,(INT(MAX(0,Inputs!$B$43-B1560)/(IF(Inputs!$B$38="pvp",15,MAX(0.1,Skills!E7-IF(Skills!F7=TRUE,Inputs!$B$32,0)))*(1-IF(AND(ArtifactsInput!$M$27,Inputs!$B$4="Chapter Hunt"),CHOOSE(ArtifactsInput!$N$27+1,20,24,28,32,36,40),0)/100)))+1)),0)</f>
        <v/>
      </c>
      <c r="S1529">
        <f>IF(C1529,(H1529*N1529*IF(AND(Inputs!$B$38&lt;&gt;"pvp",Inputs!$B$43&gt;0),((Skills!G7*((R1529-1)*IF(Skills!H7&gt;0,Skills!I7/Skills!H7,1)+IF(Skills!H7&gt;0,MIN(Skills!I7,MAX(0,MAX(0,Inputs!$B$43-B1560)-((R1529-1)*(IF(Inputs!$B$38="pvp",15,MAX(0.1,Skills!E7-IF(Skills!F7=TRUE,Inputs!$B$32,0)))*(1-IF(AND(ArtifactsInput!$M$27,Inputs!$B$4="Chapter Hunt"),CHOOSE(ArtifactsInput!$N$27+1,20,24,28,32,36,40),0)/100)))))/Skills!H7,1)))/Inputs!$B$43),G1529*Q1529)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1529*(1-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1529*(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1529*(1-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1529*(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29">
        <f>IF(C1529,(H1529*N1529*IF(AND(Inputs!$B$38&lt;&gt;"pvp",Inputs!$B$43&gt;0),((Skills!G7*((R1529-1)*IF(Skills!H7&gt;0,Skills!I7/Skills!H7,1)+IF(Skills!H7&gt;0,MIN(Skills!I7,MAX(0,MAX(0,Inputs!$B$43-B1560)-((R1529-1)*(IF(Inputs!$B$38="pvp",15,MAX(0.1,Skills!E7-IF(Skills!F7=TRUE,Inputs!$B$32,0)))*(1-IF(AND(ArtifactsInput!$M$27,Inputs!$B$4="Chapter Hunt"),CHOOSE(ArtifactsInput!$N$27+1,20,24,28,32,36,40),0)/100)))))/Skills!H7,1)))/Inputs!$B$43),G1529*Q1529)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0">
      <c r="A1530">
        <f>Skills!A8</f>
        <v/>
      </c>
      <c r="B1530">
        <f>Skills!B8</f>
        <v/>
      </c>
      <c r="C1530">
        <f>TRUE</f>
        <v/>
      </c>
      <c r="D1530">
        <f>IF(Skills!C8=1,60+Inputs!$B$25+Inputs!$B$29,IF(Skills!C8=2,90+Inputs!$B$26+Inputs!$B$29,IF(Skills!C8=3,120+Inputs!$B$27+Inputs!$B$29,MAX(0,(Inputs!$B$3-100)*3)+Inputs!$B$28+Inputs!$B$29)))</f>
        <v/>
      </c>
      <c r="E1530">
        <f>INDEX(FactorTable!$B$2:$Y$301, MATCH(ROUND(MIN(300,MAX(1,D1530)),0), FactorTable!$A$2:$A$301,0), Skills!M8+1)</f>
        <v/>
      </c>
      <c r="F1530">
        <f>IF(Skills!N8=TRUE,(Skills!L8/10)*(E1530/1000),Skills!L8/10)+Skills!O8</f>
        <v/>
      </c>
      <c r="G1530">
        <f>Calc!G8</f>
        <v/>
      </c>
      <c r="H1530">
        <f>Calc!H8</f>
        <v/>
      </c>
      <c r="I1530">
        <f>IF(Skills!X8&lt;&gt;"",1+(Skills!X8/10)*(Z1525/1000)/100,1)</f>
        <v/>
      </c>
      <c r="J1530">
        <f>((Inputs!$B$6*(1+Inputs!$B$7/100))+(((Inputs!$B$12*(1+Inputs!$B$13/100))-(Inputs!$B$12*(1+Inputs!$B$13/100)))+0.25*(Inputs!$B$14-Inputs!$B$14))*(1+Inputs!$B$7/100))*(F1530/100)</f>
        <v/>
      </c>
      <c r="K1530">
        <f>J1530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1530)</f>
        <v/>
      </c>
      <c r="L1530">
        <f>K1530*(MIN(Inputs!$B$22+(F1544-Calc!F22),(Inputs!$B$23+(IF(ArtifactsInput!$M$15,CHOOSE(ArtifactsInput!$N$15+1,25,30,35,40,45,50)/100*(Inputs!$B$11-Inputs!$B$11),0))))/100+(Inputs!$B$23+(IF(ArtifactsInput!$M$15,CHOOSE(ArtifactsInput!$N$15+1,25,30,35,40,45,50)/100*(Inputs!$B$11-Inputs!$B$11),0)))/100)/2</f>
        <v/>
      </c>
      <c r="M1530">
        <f>L1530*(1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0">
        <f>L1530*(1-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1530*(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0">
        <f>(1-Summary!$B$11)*S1530+Summary!$B$11*U1530</f>
        <v/>
      </c>
      <c r="P1530">
        <f>IF(B1563=0,0,O1530/B1563)</f>
        <v/>
      </c>
      <c r="Q1530">
        <f>IFERROR(1/(IF(Inputs!$B$38="pvp",15,MAX(0.1,Skills!E8-IF(Skills!F8=TRUE,Inputs!$B$32,0)))*(1-IF(AND(ArtifactsInput!$M$27,Inputs!$B$4="Chapter Hunt"),CHOOSE(ArtifactsInput!$N$27+1,20,24,28,32,36,40),0)/100)),0)</f>
        <v/>
      </c>
      <c r="R1530">
        <f>IF(AND(Inputs!$B$38&lt;&gt;"pvp",Inputs!$B$43&gt;0),IF(MAX(0,Inputs!$B$43-B1560)&lt;=0,0,(INT(MAX(0,Inputs!$B$43-B1560)/(IF(Inputs!$B$38="pvp",15,MAX(0.1,Skills!E8-IF(Skills!F8=TRUE,Inputs!$B$32,0)))*(1-IF(AND(ArtifactsInput!$M$27,Inputs!$B$4="Chapter Hunt"),CHOOSE(ArtifactsInput!$N$27+1,20,24,28,32,36,40),0)/100)))+1)),0)</f>
        <v/>
      </c>
      <c r="S1530">
        <f>IF(C1530,(H1530*N1530*IF(AND(Inputs!$B$38&lt;&gt;"pvp",Inputs!$B$43&gt;0),((Skills!G8*((R1530-1)*IF(Skills!H8&gt;0,Skills!I8/Skills!H8,1)+IF(Skills!H8&gt;0,MIN(Skills!I8,MAX(0,MAX(0,Inputs!$B$43-B1560)-((R1530-1)*(IF(Inputs!$B$38="pvp",15,MAX(0.1,Skills!E8-IF(Skills!F8=TRUE,Inputs!$B$32,0)))*(1-IF(AND(ArtifactsInput!$M$27,Inputs!$B$4="Chapter Hunt"),CHOOSE(ArtifactsInput!$N$27+1,20,24,28,32,36,40),0)/100)))))/Skills!H8,1)))/Inputs!$B$43),G1530*Q1530)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1530*(1-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1530*(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1530*(1-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1530*(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0">
        <f>IF(C1530,(H1530*N1530*IF(AND(Inputs!$B$38&lt;&gt;"pvp",Inputs!$B$43&gt;0),((Skills!G8*((R1530-1)*IF(Skills!H8&gt;0,Skills!I8/Skills!H8,1)+IF(Skills!H8&gt;0,MIN(Skills!I8,MAX(0,MAX(0,Inputs!$B$43-B1560)-((R1530-1)*(IF(Inputs!$B$38="pvp",15,MAX(0.1,Skills!E8-IF(Skills!F8=TRUE,Inputs!$B$32,0)))*(1-IF(AND(ArtifactsInput!$M$27,Inputs!$B$4="Chapter Hunt"),CHOOSE(ArtifactsInput!$N$27+1,20,24,28,32,36,40),0)/100)))))/Skills!H8,1)))/Inputs!$B$43),G1530*Q1530)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1">
      <c r="A1531">
        <f>Skills!A9</f>
        <v/>
      </c>
      <c r="B1531">
        <f>Skills!B9</f>
        <v/>
      </c>
      <c r="C1531">
        <f>Inputs!$B$3&gt;=103</f>
        <v/>
      </c>
      <c r="D1531">
        <f>IF(Skills!C9=1,60+Inputs!$B$25+Inputs!$B$29,IF(Skills!C9=2,90+Inputs!$B$26+Inputs!$B$29,IF(Skills!C9=3,120+Inputs!$B$27+Inputs!$B$29,MAX(0,(Inputs!$B$3-100)*3)+Inputs!$B$28+Inputs!$B$29)))</f>
        <v/>
      </c>
      <c r="E1531">
        <f>INDEX(FactorTable!$B$2:$Y$301, MATCH(ROUND(MIN(300,MAX(1,D1531)),0), FactorTable!$A$2:$A$301,0), Skills!M9+1)</f>
        <v/>
      </c>
      <c r="F1531">
        <f>IF(Skills!N9=TRUE,(Skills!L9/10)*(E1531/1000),Skills!L9/10)+Skills!O9</f>
        <v/>
      </c>
      <c r="G1531">
        <f>Calc!G9</f>
        <v/>
      </c>
      <c r="H1531">
        <f>Calc!H9</f>
        <v/>
      </c>
      <c r="I1531">
        <f>IF(Skills!X9&lt;&gt;"",1+(Skills!X9/10)*(Z1525/1000)/100,1)</f>
        <v/>
      </c>
      <c r="J1531">
        <f>((Inputs!$B$6*(1+Inputs!$B$7/100))+(((Inputs!$B$12*(1+Inputs!$B$13/100))-(Inputs!$B$12*(1+Inputs!$B$13/100)))+0.25*(Inputs!$B$14-Inputs!$B$14))*(1+Inputs!$B$7/100))*(F1531/100)</f>
        <v/>
      </c>
      <c r="K1531">
        <f>J1531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1531)</f>
        <v/>
      </c>
      <c r="L1531">
        <f>K1531*(MIN(Inputs!$B$22+(F1544-Calc!F22),(Inputs!$B$23+(IF(ArtifactsInput!$M$15,CHOOSE(ArtifactsInput!$N$15+1,25,30,35,40,45,50)/100*(Inputs!$B$11-Inputs!$B$11),0))))/100+(Inputs!$B$23+(IF(ArtifactsInput!$M$15,CHOOSE(ArtifactsInput!$N$15+1,25,30,35,40,45,50)/100*(Inputs!$B$11-Inputs!$B$11),0)))/100)/2</f>
        <v/>
      </c>
      <c r="M1531">
        <f>L1531*(1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1">
        <f>L1531*(1-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1">
        <f>(1-Summary!$B$11)*S1531+Summary!$B$11*U1531</f>
        <v/>
      </c>
      <c r="P1531">
        <f>IF(B1563=0,0,O1531/B1563)</f>
        <v/>
      </c>
      <c r="Q1531">
        <f>IFERROR(1/(IF(Inputs!$B$38="pvp",15,MAX(0.1,Skills!E9-IF(Skills!F7=TRUE,Inputs!$B$32,0)))*(1-IF(AND(ArtifactsInput!$M$27,Inputs!$B$4="Chapter Hunt"),CHOOSE(ArtifactsInput!$N$27+1,20,24,28,32,36,40),0)/100)),0)</f>
        <v/>
      </c>
      <c r="R1531">
        <f>IF(AND(Inputs!$B$38&lt;&gt;"pvp",Inputs!$B$43&gt;0),IF(MAX(0,Inputs!$B$43-B1560)&lt;=0,0,(INT(MAX(0,Inputs!$B$43-B1560)/(IF(Inputs!$B$38="pvp",15,MAX(0.1,Skills!E9-IF(Skills!F7=TRUE,Inputs!$B$32,0)))*(1-IF(AND(ArtifactsInput!$M$27,Inputs!$B$4="Chapter Hunt"),CHOOSE(ArtifactsInput!$N$27+1,20,24,28,32,36,40),0)/100)))+1)),0)</f>
        <v/>
      </c>
      <c r="S1531">
        <f>IF(C1531,(H1531*N1531*IF(AND(Inputs!$B$38&lt;&gt;"pvp",Inputs!$B$43&gt;0),((Skills!G9*((R1531-1)*IF(Skills!H9&gt;0,Skills!I9/Skills!H9,1)+IF(Skills!H9&gt;0,MIN(Skills!I9,MAX(0,MAX(0,Inputs!$B$43-B1560)-((R1531-1)*(IF(Inputs!$B$38="pvp",15,MAX(0.1,Skills!E9-IF(Skills!F7=TRUE,Inputs!$B$32,0)))*(1-IF(AND(ArtifactsInput!$M$27,Inputs!$B$4="Chapter Hunt"),CHOOSE(ArtifactsInput!$N$27+1,20,24,28,32,36,40),0)/100)))))/Skills!H9,1)))/Inputs!$B$43),G1531*Q1531)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1531*(1-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1531*(1-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1">
        <f>IF(C1531,(H1531*N1531*IF(AND(Inputs!$B$38&lt;&gt;"pvp",Inputs!$B$43&gt;0),((Skills!G9*((R1531-1)*IF(Skills!H9&gt;0,Skills!I9/Skills!H9,1)+IF(Skills!H9&gt;0,MIN(Skills!I9,MAX(0,MAX(0,Inputs!$B$43-B1560)-((R1531-1)*(IF(Inputs!$B$38="pvp",15,MAX(0.1,Skills!E9-IF(Skills!F7=TRUE,Inputs!$B$32,0)))*(1-IF(AND(ArtifactsInput!$M$27,Inputs!$B$4="Chapter Hunt"),CHOOSE(ArtifactsInput!$N$27+1,20,24,28,32,36,40),0)/100)))))/Skills!H9,1)))/Inputs!$B$43),G1531*Q1531)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2">
      <c r="A1532">
        <f>Skills!A10</f>
        <v/>
      </c>
      <c r="B1532">
        <f>Skills!B10</f>
        <v/>
      </c>
      <c r="C1532">
        <f>TRUE</f>
        <v/>
      </c>
      <c r="D1532">
        <f>IF(Skills!C10=1,60+Inputs!$B$25+Inputs!$B$29,IF(Skills!C10=2,90+Inputs!$B$26+Inputs!$B$29,IF(Skills!C10=3,120+Inputs!$B$27+Inputs!$B$29,MAX(0,(Inputs!$B$3-100)*3)+Inputs!$B$28+Inputs!$B$29)))</f>
        <v/>
      </c>
      <c r="E1532">
        <f>INDEX(FactorTable!$B$2:$Y$301, MATCH(ROUND(MIN(300,MAX(1,D1532)),0), FactorTable!$A$2:$A$301,0), Skills!M10+1)</f>
        <v/>
      </c>
      <c r="F1532">
        <f>IF(Skills!N10=TRUE,(Skills!L10/10)*(E1532/1000),Skills!L10/10)+Skills!O10</f>
        <v/>
      </c>
      <c r="G1532">
        <f>Calc!G10</f>
        <v/>
      </c>
      <c r="H1532">
        <f>Calc!H10</f>
        <v/>
      </c>
      <c r="I1532">
        <f>IF(Skills!X10&lt;&gt;"",1+(Skills!X10/10)*(Z1525/1000)/100,1)</f>
        <v/>
      </c>
      <c r="J1532">
        <f>((Inputs!$B$6*(1+Inputs!$B$7/100))+(((Inputs!$B$12*(1+Inputs!$B$13/100))-(Inputs!$B$12*(1+Inputs!$B$13/100)))+0.25*(Inputs!$B$14-Inputs!$B$14))*(1+Inputs!$B$7/100))*(F1532/100)</f>
        <v/>
      </c>
      <c r="K1532">
        <f>J1532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1532)</f>
        <v/>
      </c>
      <c r="L1532">
        <f>K1532*(MIN(Inputs!$B$22+(F1544-Calc!F22),(Inputs!$B$23+(IF(ArtifactsInput!$M$15,CHOOSE(ArtifactsInput!$N$15+1,25,30,35,40,45,50)/100*(Inputs!$B$11-Inputs!$B$11),0))))/100+(Inputs!$B$23+(IF(ArtifactsInput!$M$15,CHOOSE(ArtifactsInput!$N$15+1,25,30,35,40,45,50)/100*(Inputs!$B$11-Inputs!$B$11),0)))/100)/2</f>
        <v/>
      </c>
      <c r="M1532">
        <f>L1532*(1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2">
        <f>L1532*(1-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1532*(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2">
        <f>(1-Summary!$B$11)*S1532+Summary!$B$11*U1532</f>
        <v/>
      </c>
      <c r="P1532">
        <f>IF(B1563=0,0,O1532/B1563)</f>
        <v/>
      </c>
      <c r="Q1532">
        <f>IFERROR(1/(IF(Inputs!$B$38="pvp",15,MAX(0.1,Skills!E10-IF(Skills!F10=TRUE,Inputs!$B$32,0)))*(1-IF(AND(ArtifactsInput!$M$27,Inputs!$B$4="Chapter Hunt"),CHOOSE(ArtifactsInput!$N$27+1,20,24,28,32,36,40),0)/100)),0)</f>
        <v/>
      </c>
      <c r="R1532">
        <f>IF(AND(Inputs!$B$38&lt;&gt;"pvp",Inputs!$B$43&gt;0),IF(MAX(0,Inputs!$B$43-B1560)&lt;=0,0,(INT(MAX(0,Inputs!$B$43-B1560)/(IF(Inputs!$B$38="pvp",15,MAX(0.1,Skills!E10-IF(Skills!F10=TRUE,Inputs!$B$32,0)))*(1-IF(AND(ArtifactsInput!$M$27,Inputs!$B$4="Chapter Hunt"),CHOOSE(ArtifactsInput!$N$27+1,20,24,28,32,36,40),0)/100)))+1)),0)</f>
        <v/>
      </c>
      <c r="S1532">
        <f>IF(C1532,(H1532*N1532*IF(AND(Inputs!$B$38&lt;&gt;"pvp",Inputs!$B$43&gt;0),((Skills!G10*((R1532-1)*IF(Skills!H10&gt;0,Skills!I10/Skills!H10,1)+IF(Skills!H10&gt;0,MIN(Skills!I10,MAX(0,MAX(0,Inputs!$B$43-B1560)-((R1532-1)*(IF(Inputs!$B$38="pvp",15,MAX(0.1,Skills!E10-IF(Skills!F10=TRUE,Inputs!$B$32,0)))*(1-IF(AND(ArtifactsInput!$M$27,Inputs!$B$4="Chapter Hunt"),CHOOSE(ArtifactsInput!$N$27+1,20,24,28,32,36,40),0)/100)))))/Skills!H10,1)))/Inputs!$B$43),G1532*Q1532)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1532*(1-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1532*(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1532*(1-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1532*(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2">
        <f>IF(C1532,(H1532*N1532*IF(AND(Inputs!$B$38&lt;&gt;"pvp",Inputs!$B$43&gt;0),((Skills!G10*((R1532-1)*IF(Skills!H10&gt;0,Skills!I10/Skills!H10,1)+IF(Skills!H10&gt;0,MIN(Skills!I10,MAX(0,MAX(0,Inputs!$B$43-B1560)-((R1532-1)*(IF(Inputs!$B$38="pvp",15,MAX(0.1,Skills!E10-IF(Skills!F10=TRUE,Inputs!$B$32,0)))*(1-IF(AND(ArtifactsInput!$M$27,Inputs!$B$4="Chapter Hunt"),CHOOSE(ArtifactsInput!$N$27+1,20,24,28,32,36,40),0)/100)))))/Skills!H10,1)))/Inputs!$B$43),G1532*Q1532)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3">
      <c r="A1533">
        <f>Skills!A11</f>
        <v/>
      </c>
      <c r="B1533">
        <f>Skills!B11</f>
        <v/>
      </c>
      <c r="C1533">
        <f>TRUE</f>
        <v/>
      </c>
      <c r="D1533">
        <f>IF(Skills!C11=1,60+Inputs!$B$25+Inputs!$B$29,IF(Skills!C11=2,90+Inputs!$B$26+Inputs!$B$29,IF(Skills!C11=3,120+Inputs!$B$27+Inputs!$B$29,MAX(0,(Inputs!$B$3-100)*3)+Inputs!$B$28+Inputs!$B$29)))</f>
        <v/>
      </c>
      <c r="E1533">
        <f>INDEX(FactorTable!$B$2:$Y$301, MATCH(ROUND(MIN(300,MAX(1,D1533)),0), FactorTable!$A$2:$A$301,0), Skills!M11+1)</f>
        <v/>
      </c>
      <c r="F1533">
        <f>IF(Skills!N11=TRUE,(Skills!L11/10)*(E1533/1000),Skills!L11/10)+Skills!O11</f>
        <v/>
      </c>
      <c r="G1533">
        <f>Calc!G11</f>
        <v/>
      </c>
      <c r="H1533">
        <f>Calc!H11</f>
        <v/>
      </c>
      <c r="I1533">
        <f>IF(Skills!X11&lt;&gt;"",1+(Skills!X11/10)*(Z1525/1000)/100,1)</f>
        <v/>
      </c>
      <c r="J1533" t="inlineStr"/>
      <c r="K1533" t="inlineStr"/>
      <c r="L1533" t="inlineStr"/>
      <c r="M1533" t="inlineStr"/>
      <c r="N1533" t="inlineStr"/>
      <c r="O1533">
        <f>(1-Summary!$B$11)*S1533+Summary!$B$11*U1533</f>
        <v/>
      </c>
      <c r="P1533">
        <f>IF(B1563=0,0,O1533/B1563)</f>
        <v/>
      </c>
      <c r="Q1533">
        <f>IFERROR(1/(IF(Inputs!$B$38="pvp",15,MAX(0.1,Skills!E11-IF(Skills!F11=TRUE,Inputs!$B$32,0)))*(1-IF(AND(ArtifactsInput!$M$27,Inputs!$B$4="Chapter Hunt"),CHOOSE(ArtifactsInput!$N$27+1,20,24,28,32,36,40),0)/100)),0)</f>
        <v/>
      </c>
      <c r="R1533" t="n">
        <v>0</v>
      </c>
      <c r="S1533" t="n">
        <v>0</v>
      </c>
      <c r="U1533" t="n">
        <v>0</v>
      </c>
    </row>
    <row r="1534">
      <c r="A1534">
        <f>Skills!A12</f>
        <v/>
      </c>
      <c r="B1534">
        <f>Skills!B12</f>
        <v/>
      </c>
      <c r="C1534">
        <f>TRUE</f>
        <v/>
      </c>
      <c r="D1534">
        <f>IF(Skills!C12=1,60+Inputs!$B$25+Inputs!$B$29,IF(Skills!C12=2,90+Inputs!$B$26+Inputs!$B$29,IF(Skills!C12=3,120+Inputs!$B$27+Inputs!$B$29,MAX(0,(Inputs!$B$3-100)*3)+Inputs!$B$28+Inputs!$B$29)))</f>
        <v/>
      </c>
      <c r="E1534">
        <f>INDEX(FactorTable!$B$2:$Y$301, MATCH(ROUND(MIN(300,MAX(1,D1534)),0), FactorTable!$A$2:$A$301,0), Skills!M12+1)</f>
        <v/>
      </c>
      <c r="F1534">
        <f>IF(Skills!N12=TRUE,(Skills!L12/10)*(E1534/1000),Skills!L12/10)+Skills!O12</f>
        <v/>
      </c>
      <c r="G1534">
        <f>Calc!G12</f>
        <v/>
      </c>
      <c r="H1534">
        <f>Calc!H12</f>
        <v/>
      </c>
      <c r="I1534">
        <f>IF(Skills!X12&lt;&gt;"",1+(Skills!X12/10)*(Z1525/1000)/100,1)</f>
        <v/>
      </c>
      <c r="J1534" t="inlineStr"/>
      <c r="K1534" t="inlineStr"/>
      <c r="L1534" t="inlineStr"/>
      <c r="M1534" t="inlineStr"/>
      <c r="N1534" t="inlineStr"/>
      <c r="O1534">
        <f>(1-Summary!$B$11)*S1534+Summary!$B$11*U1534</f>
        <v/>
      </c>
      <c r="P1534">
        <f>IF(B1563=0,0,O1534/B1563)</f>
        <v/>
      </c>
      <c r="Q1534">
        <f>IFERROR(1/(IF(Inputs!$B$38="pvp",15,MAX(0.1,Skills!E12-IF(Skills!F12=TRUE,Inputs!$B$32,0)))*(1-IF(AND(ArtifactsInput!$M$27,Inputs!$B$4="Chapter Hunt"),CHOOSE(ArtifactsInput!$N$27+1,20,24,28,32,36,40),0)/100)),0)</f>
        <v/>
      </c>
      <c r="R1534" t="n">
        <v>0</v>
      </c>
      <c r="S1534" t="n">
        <v>0</v>
      </c>
      <c r="U1534" t="n">
        <v>0</v>
      </c>
    </row>
    <row r="1535">
      <c r="A1535">
        <f>Skills!A13</f>
        <v/>
      </c>
      <c r="B1535">
        <f>Skills!B13</f>
        <v/>
      </c>
      <c r="C1535">
        <f>Inputs!$B$3&gt;=105</f>
        <v/>
      </c>
      <c r="D1535">
        <f>IF(Skills!C13=1,60+Inputs!$B$25+Inputs!$B$29,IF(Skills!C13=2,90+Inputs!$B$26+Inputs!$B$29,IF(Skills!C13=3,120+Inputs!$B$27+Inputs!$B$29,MAX(0,(Inputs!$B$3-100)*3)+Inputs!$B$28+Inputs!$B$29)))</f>
        <v/>
      </c>
      <c r="E1535">
        <f>INDEX(FactorTable!$B$2:$Y$301, MATCH(ROUND(MIN(300,MAX(1,D1535)),0), FactorTable!$A$2:$A$301,0), Skills!M13+1)</f>
        <v/>
      </c>
      <c r="F1535">
        <f>IF(Skills!N13=TRUE,(Skills!L13/10)*(E1535/1000),Skills!L13/10)+Skills!O13</f>
        <v/>
      </c>
      <c r="G1535">
        <f>Calc!G13</f>
        <v/>
      </c>
      <c r="H1535">
        <f>Calc!H13</f>
        <v/>
      </c>
      <c r="I1535">
        <f>IF(Skills!X13&lt;&gt;"",1+(Skills!X13/10)*(Z1525/1000)/100,1)</f>
        <v/>
      </c>
      <c r="J1535">
        <f>((Inputs!$B$6*(1+Inputs!$B$7/100))+(((Inputs!$B$12*(1+Inputs!$B$13/100))-(Inputs!$B$12*(1+Inputs!$B$13/100)))+0.25*(Inputs!$B$14-Inputs!$B$14))*(1+Inputs!$B$7/100))*(F1535/100)</f>
        <v/>
      </c>
      <c r="K1535">
        <f>J1535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1535)</f>
        <v/>
      </c>
      <c r="L1535">
        <f>K1535*(MIN(Inputs!$B$22+(F1544-Calc!F22),(Inputs!$B$23+(IF(ArtifactsInput!$M$15,CHOOSE(ArtifactsInput!$N$15+1,25,30,35,40,45,50)/100*(Inputs!$B$11-Inputs!$B$11),0))))/100+(Inputs!$B$23+(IF(ArtifactsInput!$M$15,CHOOSE(ArtifactsInput!$N$15+1,25,30,35,40,45,50)/100*(Inputs!$B$11-Inputs!$B$11),0)))/100)/2</f>
        <v/>
      </c>
      <c r="M1535">
        <f>L1535*(1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5">
        <f>L1535*(1-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1535*(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5">
        <f>(1-Summary!$B$11)*S1535+Summary!$B$11*U1535</f>
        <v/>
      </c>
      <c r="P1535">
        <f>IF(B1563=0,0,O1535/B1563)</f>
        <v/>
      </c>
      <c r="Q1535">
        <f>IFERROR(1/(IF(Inputs!$B$38="pvp",15,MAX(0.1,Skills!E13-IF(Skills!F13=TRUE,Inputs!$B$32,0)))*(1-IF(AND(ArtifactsInput!$M$27,Inputs!$B$4="Chapter Hunt"),CHOOSE(ArtifactsInput!$N$27+1,20,24,28,32,36,40),0)/100)),0)</f>
        <v/>
      </c>
      <c r="R1535">
        <f>IF(AND(Inputs!$B$38&lt;&gt;"pvp",Inputs!$B$43&gt;0),IF(MAX(0,Inputs!$B$43-B1560)&lt;=0,0,(INT(MAX(0,Inputs!$B$43-B1560)/(IF(Inputs!$B$38="pvp",15,MAX(0.1,Skills!E13-IF(Skills!F13=TRUE,Inputs!$B$32,0)))*(1-IF(AND(ArtifactsInput!$M$27,Inputs!$B$4="Chapter Hunt"),CHOOSE(ArtifactsInput!$N$27+1,20,24,28,32,36,40),0)/100)))+1)),0)</f>
        <v/>
      </c>
      <c r="S1535">
        <f>IF(C1535,(H1535*N1535*IF(AND(Inputs!$B$38&lt;&gt;"pvp",Inputs!$B$43&gt;0),((Skills!G13*((R1535-1)*IF(Skills!H13&gt;0,Skills!I13/Skills!H13,1)+IF(Skills!H13&gt;0,MIN(Skills!I13,MAX(0,MAX(0,Inputs!$B$43-B1560)-((R1535-1)*(IF(Inputs!$B$38="pvp",15,MAX(0.1,Skills!E13-IF(Skills!F13=TRUE,Inputs!$B$32,0)))*(1-IF(AND(ArtifactsInput!$M$27,Inputs!$B$4="Chapter Hunt"),CHOOSE(ArtifactsInput!$N$27+1,20,24,28,32,36,40),0)/100)))))/Skills!H13,1)))/Inputs!$B$43),G1535*Q1535)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1535*(1-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1535*(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1535*(1-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1535*(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5">
        <f>IF(C1535,(H1535*N1535*IF(AND(Inputs!$B$38&lt;&gt;"pvp",Inputs!$B$43&gt;0),((Skills!G13*((R1535-1)*IF(Skills!H13&gt;0,Skills!I13/Skills!H13,1)+IF(Skills!H13&gt;0,MIN(Skills!I13,MAX(0,MAX(0,Inputs!$B$43-B1560)-((R1535-1)*(IF(Inputs!$B$38="pvp",15,MAX(0.1,Skills!E13-IF(Skills!F13=TRUE,Inputs!$B$32,0)))*(1-IF(AND(ArtifactsInput!$M$27,Inputs!$B$4="Chapter Hunt"),CHOOSE(ArtifactsInput!$N$27+1,20,24,28,32,36,40),0)/100)))))/Skills!H13,1)))/Inputs!$B$43),G1535*Q1535)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6">
      <c r="A1536">
        <f>Skills!A14</f>
        <v/>
      </c>
      <c r="B1536">
        <f>Skills!B14</f>
        <v/>
      </c>
      <c r="C1536">
        <f>Inputs!$B$3&gt;=113</f>
        <v/>
      </c>
      <c r="D1536">
        <f>IF(Skills!C14=1,60+Inputs!$B$25+Inputs!$B$29,IF(Skills!C14=2,90+Inputs!$B$26+Inputs!$B$29,IF(Skills!C14=3,120+Inputs!$B$27+Inputs!$B$29,MAX(0,(Inputs!$B$3-100)*3)+Inputs!$B$28+Inputs!$B$29)))</f>
        <v/>
      </c>
      <c r="E1536">
        <f>INDEX(FactorTable!$B$2:$Y$301, MATCH(ROUND(MIN(300,MAX(1,D1536)),0), FactorTable!$A$2:$A$301,0), Skills!M14+1)</f>
        <v/>
      </c>
      <c r="F1536">
        <f>IF(Skills!N14=TRUE,(Skills!L14/10)*(E1536/1000),Skills!L14/10)+Skills!O14</f>
        <v/>
      </c>
      <c r="G1536">
        <f>Calc!G14</f>
        <v/>
      </c>
      <c r="H1536">
        <f>Calc!H14</f>
        <v/>
      </c>
      <c r="I1536">
        <f>IF(Skills!X14&lt;&gt;"",1+(Skills!X14/10)*(Z1525/1000)/100,1)</f>
        <v/>
      </c>
      <c r="J1536">
        <f>((Inputs!$B$6*(1+Inputs!$B$7/100))+(((Inputs!$B$12*(1+Inputs!$B$13/100))-(Inputs!$B$12*(1+Inputs!$B$13/100)))+0.25*(Inputs!$B$14-Inputs!$B$14))*(1+Inputs!$B$7/100))*(F1536/100)</f>
        <v/>
      </c>
      <c r="K1536">
        <f>J1536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1536)</f>
        <v/>
      </c>
      <c r="L1536">
        <f>K1536*(MIN(Inputs!$B$22+(F1544-Calc!F22),(Inputs!$B$23+(IF(ArtifactsInput!$M$15,CHOOSE(ArtifactsInput!$N$15+1,25,30,35,40,45,50)/100*(Inputs!$B$11-Inputs!$B$11),0))))/100+(Inputs!$B$23+(IF(ArtifactsInput!$M$15,CHOOSE(ArtifactsInput!$N$15+1,25,30,35,40,45,50)/100*(Inputs!$B$11-Inputs!$B$11),0)))/100)/2</f>
        <v/>
      </c>
      <c r="M1536">
        <f>L1536*(1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6">
        <f>L1536*(1-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1536*(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6">
        <f>(1-Summary!$B$11)*S1536+Summary!$B$11*U1536</f>
        <v/>
      </c>
      <c r="P1536">
        <f>IF(B1563=0,0,O1536/B1563)</f>
        <v/>
      </c>
      <c r="Q1536">
        <f>IFERROR(1/(IF(Inputs!$B$38="pvp",15,MAX(0.1,Skills!E14-IF(Skills!F14=TRUE,Inputs!$B$32,0)))*(1-IF(AND(ArtifactsInput!$M$27,Inputs!$B$4="Chapter Hunt"),CHOOSE(ArtifactsInput!$N$27+1,20,24,28,32,36,40),0)/100)),0)</f>
        <v/>
      </c>
      <c r="R1536" t="n">
        <v>0</v>
      </c>
      <c r="S1536">
        <f>IF(C1536,((H1536*B1559)/(1+Skills!H14*H1536*B1559)*N1536)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1536*(1-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1536*(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1536*(1-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1536*(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6">
        <f>IF(C1536,((H1536*B1559)/(1+Skills!H14*H1536*B1559)*N1536)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7">
      <c r="A1537">
        <f>Skills!A15</f>
        <v/>
      </c>
      <c r="B1537">
        <f>Skills!B15</f>
        <v/>
      </c>
      <c r="C1537">
        <f>Inputs!$B$3&gt;=107</f>
        <v/>
      </c>
      <c r="D1537">
        <f>IF(Skills!C15=1,60+Inputs!$B$25+Inputs!$B$29,IF(Skills!C15=2,90+Inputs!$B$26+Inputs!$B$29,IF(Skills!C15=3,120+Inputs!$B$27+Inputs!$B$29,MAX(0,(Inputs!$B$3-100)*3)+Inputs!$B$28+Inputs!$B$29)))</f>
        <v/>
      </c>
      <c r="E1537">
        <f>INDEX(FactorTable!$B$2:$Y$301, MATCH(ROUND(MIN(300,MAX(1,D1537)),0), FactorTable!$A$2:$A$301,0), Skills!M15+1)</f>
        <v/>
      </c>
      <c r="F1537">
        <f>IF(Skills!N15=TRUE,(Skills!L15/10)*(E1537/1000),Skills!L15/10)+Skills!O15</f>
        <v/>
      </c>
      <c r="G1537">
        <f>Calc!G15</f>
        <v/>
      </c>
      <c r="H1537">
        <f>Calc!H15</f>
        <v/>
      </c>
      <c r="I1537">
        <f>IF(Skills!X15&lt;&gt;"",1+(Skills!X15/10)*(Z1525/1000)/100,1)</f>
        <v/>
      </c>
      <c r="J1537">
        <f>((Inputs!$B$6*(1+Inputs!$B$7/100))+(((Inputs!$B$12*(1+Inputs!$B$13/100))-(Inputs!$B$12*(1+Inputs!$B$13/100)))+0.25*(Inputs!$B$14-Inputs!$B$14))*(1+Inputs!$B$7/100))*(F1537/100)</f>
        <v/>
      </c>
      <c r="K1537">
        <f>J1537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1537)</f>
        <v/>
      </c>
      <c r="L1537">
        <f>K1537*(MIN(Inputs!$B$22+(F1544-Calc!F22),(Inputs!$B$23+(IF(ArtifactsInput!$M$15,CHOOSE(ArtifactsInput!$N$15+1,25,30,35,40,45,50)/100*(Inputs!$B$11-Inputs!$B$11),0))))/100+(Inputs!$B$23+(IF(ArtifactsInput!$M$15,CHOOSE(ArtifactsInput!$N$15+1,25,30,35,40,45,50)/100*(Inputs!$B$11-Inputs!$B$11),0)))/100)/2</f>
        <v/>
      </c>
      <c r="M1537">
        <f>L1537*(1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7">
        <f>L1537*(1-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1537*(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7">
        <f>(1-Summary!$B$11)*S1537+Summary!$B$11*U1537</f>
        <v/>
      </c>
      <c r="P1537">
        <f>IF(B1563=0,0,O1537/B1563)</f>
        <v/>
      </c>
      <c r="Q1537">
        <f>IFERROR(1/(IF(Inputs!$B$38="pvp",15,MAX(0.1,Skills!E15-IF(Skills!F15=TRUE,Inputs!$B$32,0)))*(1-IF(AND(ArtifactsInput!$M$27,Inputs!$B$4="Chapter Hunt"),CHOOSE(ArtifactsInput!$N$27+1,20,24,28,32,36,40),0)/100)),0)</f>
        <v/>
      </c>
      <c r="R1537">
        <f>IF(AND(Inputs!$B$38&lt;&gt;"pvp",Inputs!$B$43&gt;0),IF(MAX(0,Inputs!$B$43-B1560)&lt;=0,0,(INT(MAX(0,Inputs!$B$43-B1560)/(IF(Inputs!$B$38="pvp",15,MAX(0.1,Skills!E15-IF(Skills!F15=TRUE,Inputs!$B$32,0)))*(1-IF(AND(ArtifactsInput!$M$27,Inputs!$B$4="Chapter Hunt"),CHOOSE(ArtifactsInput!$N$27+1,20,24,28,32,36,40),0)/100)))+1)),0)</f>
        <v/>
      </c>
      <c r="S1537">
        <f>IF(C1537,(H1537*N1537*IF(AND(Inputs!$B$38&lt;&gt;"pvp",Inputs!$B$43&gt;0),((Skills!G15*((R1537-1)*IF(Skills!H15&gt;0,Skills!I15/Skills!H15,1)+IF(Skills!H15&gt;0,MIN(Skills!I15,MAX(0,MAX(0,Inputs!$B$43-B1560)-((R1537-1)*(IF(Inputs!$B$38="pvp",15,MAX(0.1,Skills!E15-IF(Skills!F15=TRUE,Inputs!$B$32,0)))*(1-IF(AND(ArtifactsInput!$M$27,Inputs!$B$4="Chapter Hunt"),CHOOSE(ArtifactsInput!$N$27+1,20,24,28,32,36,40),0)/100)))))/Skills!H15,1)))/Inputs!$B$43),G1537*Q1537)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1537*(1-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1537*(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1537*(1-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1537*(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7">
        <f>IF(C1537,(H1537*N1537*IF(AND(Inputs!$B$38&lt;&gt;"pvp",Inputs!$B$43&gt;0),((Skills!G15*((R1537-1)*IF(Skills!H15&gt;0,Skills!I15/Skills!H15,1)+IF(Skills!H15&gt;0,MIN(Skills!I15,MAX(0,MAX(0,Inputs!$B$43-B1560)-((R1537-1)*(IF(Inputs!$B$38="pvp",15,MAX(0.1,Skills!E15-IF(Skills!F15=TRUE,Inputs!$B$32,0)))*(1-IF(AND(ArtifactsInput!$M$27,Inputs!$B$4="Chapter Hunt"),CHOOSE(ArtifactsInput!$N$27+1,20,24,28,32,36,40),0)/100)))))/Skills!H15,1)))/Inputs!$B$43),G1537*Q1537)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8">
      <c r="A1538">
        <f>Skills!A16</f>
        <v/>
      </c>
      <c r="B1538">
        <f>Skills!B16</f>
        <v/>
      </c>
      <c r="C1538">
        <f>Inputs!$B$3&gt;=107</f>
        <v/>
      </c>
      <c r="D1538">
        <f>IF(Skills!C16=1,60+Inputs!$B$25+Inputs!$B$29,IF(Skills!C16=2,90+Inputs!$B$26+Inputs!$B$29,IF(Skills!C16=3,120+Inputs!$B$27+Inputs!$B$29,MAX(0,(Inputs!$B$3-100)*3)+Inputs!$B$28+Inputs!$B$29)))</f>
        <v/>
      </c>
      <c r="E1538">
        <f>INDEX(FactorTable!$B$2:$Y$301, MATCH(ROUND(MIN(300,MAX(1,D1538)),0), FactorTable!$A$2:$A$301,0), Skills!M16+1)</f>
        <v/>
      </c>
      <c r="F1538">
        <f>IF(Skills!N16=TRUE,(Skills!L16/10)*(E1538/1000),Skills!L16/10)+Skills!O16</f>
        <v/>
      </c>
      <c r="G1538">
        <f>Calc!G16</f>
        <v/>
      </c>
      <c r="H1538">
        <f>Calc!H16</f>
        <v/>
      </c>
      <c r="I1538">
        <f>IF(Skills!X16&lt;&gt;"",1+(Skills!X16/10)*(Z1525/1000)/100,1)</f>
        <v/>
      </c>
      <c r="J1538">
        <f>((Inputs!$B$6*(1+Inputs!$B$7/100))+(((Inputs!$B$12*(1+Inputs!$B$13/100))-(Inputs!$B$12*(1+Inputs!$B$13/100)))+0.25*(Inputs!$B$14-Inputs!$B$14))*(1+Inputs!$B$7/100))*(F1538/100)</f>
        <v/>
      </c>
      <c r="K1538">
        <f>J1538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1538)</f>
        <v/>
      </c>
      <c r="L1538">
        <f>K1538*(MIN(Inputs!$B$22+(F1544-Calc!F22),(Inputs!$B$23+(IF(ArtifactsInput!$M$15,CHOOSE(ArtifactsInput!$N$15+1,25,30,35,40,45,50)/100*(Inputs!$B$11-Inputs!$B$11),0))))/100+(Inputs!$B$23+(IF(ArtifactsInput!$M$15,CHOOSE(ArtifactsInput!$N$15+1,25,30,35,40,45,50)/100*(Inputs!$B$11-Inputs!$B$11),0)))/100)/2</f>
        <v/>
      </c>
      <c r="M1538">
        <f>L1538*(1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8">
        <f>L1538*(1-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1538*(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8">
        <f>(1-Summary!$B$11)*S1538+Summary!$B$11*U1538</f>
        <v/>
      </c>
      <c r="P1538">
        <f>IF(B1563=0,0,O1538/B1563)</f>
        <v/>
      </c>
      <c r="Q1538">
        <f>IFERROR(1/(IF(Inputs!$B$38="pvp",15,MAX(0.1,Skills!E16-IF(Skills!F16=TRUE,Inputs!$B$32,0)))*(1-IF(AND(ArtifactsInput!$M$27,Inputs!$B$4="Chapter Hunt"),CHOOSE(ArtifactsInput!$N$27+1,20,24,28,32,36,40),0)/100)),0)</f>
        <v/>
      </c>
      <c r="R1538">
        <f>IF(AND(Inputs!$B$38&lt;&gt;"pvp",Inputs!$B$43&gt;0),IF(MAX(0,Inputs!$B$43-B1560)&lt;=0,0,(INT(MAX(0,Inputs!$B$43-B1560)/(IF(Inputs!$B$38="pvp",15,MAX(0.1,Skills!E16-IF(Skills!F16=TRUE,Inputs!$B$32,0)))*(1-IF(AND(ArtifactsInput!$M$27,Inputs!$B$4="Chapter Hunt"),CHOOSE(ArtifactsInput!$N$27+1,20,24,28,32,36,40),0)/100)))+1)),0)</f>
        <v/>
      </c>
      <c r="S1538">
        <f>IF(C1538,(H1538*N1538*IF(AND(Inputs!$B$38&lt;&gt;"pvp",Inputs!$B$43&gt;0),((Skills!G16*((R1538-1)*IF(Skills!H16&gt;0,Skills!I16/Skills!H16,1)+IF(Skills!H16&gt;0,MIN(Skills!I16,MAX(0,MAX(0,Inputs!$B$43-B1560)-((R1538-1)*(IF(Inputs!$B$38="pvp",15,MAX(0.1,Skills!E16-IF(Skills!F16=TRUE,Inputs!$B$32,0)))*(1-IF(AND(ArtifactsInput!$M$27,Inputs!$B$4="Chapter Hunt"),CHOOSE(ArtifactsInput!$N$27+1,20,24,28,32,36,40),0)/100)))))/Skills!H16,1)))/Inputs!$B$43),G1538*Q1538)*(1+IF(Inputs!$B$3&gt;=126,0.05*(B1558+Q1535+(H1536*B1559)/(1+Skills!H14*H1536*B1559)+Q1546)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1538*(1-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1538*(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1538*(1-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1538*(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8">
        <f>IF(C1538,(H1538*N1538*IF(AND(Inputs!$B$38&lt;&gt;"pvp",Inputs!$B$43&gt;0),((Skills!G16*((R1538-1)*IF(Skills!H16&gt;0,Skills!I16/Skills!H16,1)+IF(Skills!H16&gt;0,MIN(Skills!I16,MAX(0,MAX(0,Inputs!$B$43-B1560)-((R1538-1)*(IF(Inputs!$B$38="pvp",15,MAX(0.1,Skills!E16-IF(Skills!F16=TRUE,Inputs!$B$32,0)))*(1-IF(AND(ArtifactsInput!$M$27,Inputs!$B$4="Chapter Hunt"),CHOOSE(ArtifactsInput!$N$27+1,20,24,28,32,36,40),0)/100)))))/Skills!H16,1)))/Inputs!$B$43),G1538*Q1538)*(1+IF(Inputs!$B$3&gt;=126,0.05*(B1558+Q1535+(H1536*B1559)/(1+Skills!H14*H1536*B1559)+Q1546)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39">
      <c r="A1539">
        <f>Skills!A17</f>
        <v/>
      </c>
      <c r="B1539">
        <f>Skills!B17</f>
        <v/>
      </c>
      <c r="C1539">
        <f>TRUE</f>
        <v/>
      </c>
      <c r="D1539">
        <f>IF(Skills!C17=1,60+Inputs!$B$25+Inputs!$B$29,IF(Skills!C17=2,90+Inputs!$B$26+Inputs!$B$29,IF(Skills!C17=3,120+Inputs!$B$27+Inputs!$B$29,MAX(0,(Inputs!$B$3-100)*3)+Inputs!$B$28+Inputs!$B$29)))</f>
        <v/>
      </c>
      <c r="E1539">
        <f>INDEX(FactorTable!$B$2:$Y$301, MATCH(ROUND(MIN(300,MAX(1,D1539)),0), FactorTable!$A$2:$A$301,0), Skills!M17+1)</f>
        <v/>
      </c>
      <c r="F1539">
        <f>IF(Skills!N17=TRUE,(Skills!L17/10)*(E1539/1000),Skills!L17/10)+Skills!O17</f>
        <v/>
      </c>
      <c r="G1539">
        <f>Calc!G17</f>
        <v/>
      </c>
      <c r="H1539">
        <f>Calc!H17</f>
        <v/>
      </c>
      <c r="I1539">
        <f>IF(Skills!X17&lt;&gt;"",1+(Skills!X17/10)*(Z1525/1000)/100,1)</f>
        <v/>
      </c>
      <c r="J1539" t="inlineStr"/>
      <c r="K1539" t="inlineStr"/>
      <c r="L1539" t="inlineStr"/>
      <c r="M1539" t="inlineStr"/>
      <c r="N1539" t="inlineStr"/>
      <c r="O1539">
        <f>(1-Summary!$B$11)*S1539+Summary!$B$11*U1539</f>
        <v/>
      </c>
      <c r="P1539">
        <f>IF(B1563=0,0,O1539/B1563)</f>
        <v/>
      </c>
      <c r="Q1539">
        <f>IFERROR(1/(IF(Inputs!$B$38="pvp",15,MAX(0.1,Skills!E17-IF(Skills!F17=TRUE,Inputs!$B$32,0)))*(1-IF(AND(ArtifactsInput!$M$27,Inputs!$B$4="Chapter Hunt"),CHOOSE(ArtifactsInput!$N$27+1,20,24,28,32,36,40),0)/100)),0)</f>
        <v/>
      </c>
      <c r="R1539">
        <f>IF(AND(Inputs!$B$38&lt;&gt;"pvp",Inputs!$B$43&gt;0),IF(Inputs!$B$43&lt;=0,0,(INT(Inputs!$B$43/(IF(Inputs!$B$38="pvp",15,MAX(0.1,Skills!E17-IF(Skills!F17=TRUE,Inputs!$B$32,0)))*(1-IF(AND(ArtifactsInput!$M$27,Inputs!$B$4="Chapter Hunt"),CHOOSE(ArtifactsInput!$N$27+1,20,24,28,32,36,40),0)/100)))+1)),0)</f>
        <v/>
      </c>
      <c r="S1539" t="n">
        <v>0</v>
      </c>
      <c r="U1539" t="n">
        <v>0</v>
      </c>
    </row>
    <row r="1540">
      <c r="A1540">
        <f>Skills!A18</f>
        <v/>
      </c>
      <c r="B1540">
        <f>Skills!B18</f>
        <v/>
      </c>
      <c r="C1540">
        <f>TRUE</f>
        <v/>
      </c>
      <c r="D1540">
        <f>IF(Skills!C18=1,60+Inputs!$B$25+Inputs!$B$29,IF(Skills!C18=2,90+Inputs!$B$26+Inputs!$B$29,IF(Skills!C18=3,120+Inputs!$B$27+Inputs!$B$29,MAX(0,(Inputs!$B$3-100)*3)+Inputs!$B$28+Inputs!$B$29)))</f>
        <v/>
      </c>
      <c r="E1540">
        <f>INDEX(FactorTable!$B$2:$Y$301, MATCH(ROUND(MIN(300,MAX(1,D1540)),0), FactorTable!$A$2:$A$301,0), Skills!M18+1)</f>
        <v/>
      </c>
      <c r="F1540">
        <f>IF(Skills!N18=TRUE,(Skills!L18/10)*(E1540/1000),Skills!L18/10)+Skills!O18</f>
        <v/>
      </c>
      <c r="G1540">
        <f>Calc!G18</f>
        <v/>
      </c>
      <c r="H1540">
        <f>Calc!H18</f>
        <v/>
      </c>
      <c r="I1540">
        <f>IF(Skills!X18&lt;&gt;"",1+(Skills!X18/10)*(Z1525/1000)/100,1)</f>
        <v/>
      </c>
      <c r="J1540" t="inlineStr"/>
      <c r="K1540" t="inlineStr"/>
      <c r="L1540" t="inlineStr"/>
      <c r="M1540" t="inlineStr"/>
      <c r="N1540" t="inlineStr"/>
      <c r="O1540">
        <f>(1-Summary!$B$11)*S1540+Summary!$B$11*U1540</f>
        <v/>
      </c>
      <c r="P1540">
        <f>IF(B1563=0,0,O1540/B1563)</f>
        <v/>
      </c>
      <c r="Q1540">
        <f>IFERROR(1/(IF(Inputs!$B$38="pvp",15,MAX(0.1,Skills!E18-IF(Skills!F18=TRUE,Inputs!$B$32,0)))*(1-IF(AND(ArtifactsInput!$M$27,Inputs!$B$4="Chapter Hunt"),CHOOSE(ArtifactsInput!$N$27+1,20,24,28,32,36,40),0)/100)),0)</f>
        <v/>
      </c>
      <c r="R1540">
        <f>IF(AND(Inputs!$B$38&lt;&gt;"pvp",Inputs!$B$43&gt;0),IF(Inputs!$B$43&lt;=0,0,(INT(Inputs!$B$43/(IF(Inputs!$B$38="pvp",15,MAX(0.1,Skills!E18-IF(Skills!F18=TRUE,Inputs!$B$32,0)))*(1-IF(AND(ArtifactsInput!$M$27,Inputs!$B$4="Chapter Hunt"),CHOOSE(ArtifactsInput!$N$27+1,20,24,28,32,36,40),0)/100)))+1)),0)</f>
        <v/>
      </c>
      <c r="S1540" t="n">
        <v>0</v>
      </c>
      <c r="U1540" t="n">
        <v>0</v>
      </c>
    </row>
    <row r="1541">
      <c r="A1541">
        <f>Skills!A19</f>
        <v/>
      </c>
      <c r="B1541">
        <f>Skills!B19</f>
        <v/>
      </c>
      <c r="C1541">
        <f>Inputs!$B$3&gt;=110</f>
        <v/>
      </c>
      <c r="D1541">
        <f>IF(Skills!C19=1,60+Inputs!$B$25+Inputs!$B$29,IF(Skills!C19=2,90+Inputs!$B$26+Inputs!$B$29,IF(Skills!C19=3,120+Inputs!$B$27+Inputs!$B$29,MAX(0,(Inputs!$B$3-100)*3)+Inputs!$B$28+Inputs!$B$29)))</f>
        <v/>
      </c>
      <c r="E1541">
        <f>INDEX(FactorTable!$B$2:$Y$301, MATCH(ROUND(MIN(300,MAX(1,D1541)),0), FactorTable!$A$2:$A$301,0), Skills!M19+1)</f>
        <v/>
      </c>
      <c r="F1541">
        <f>IF(Skills!N19=TRUE,(Skills!L19/10)*(E1541/1000),Skills!L19/10)+Skills!O19</f>
        <v/>
      </c>
      <c r="G1541">
        <f>Calc!G19</f>
        <v/>
      </c>
      <c r="H1541">
        <f>Calc!H19</f>
        <v/>
      </c>
      <c r="I1541">
        <f>IF(Skills!X19&lt;&gt;"",1+(Skills!X19/10)*(Z1525/1000)/100,1)</f>
        <v/>
      </c>
      <c r="J1541" t="inlineStr"/>
      <c r="K1541" t="inlineStr"/>
      <c r="L1541" t="inlineStr"/>
      <c r="M1541" t="inlineStr"/>
      <c r="N1541" t="inlineStr"/>
      <c r="O1541">
        <f>(1-Summary!$B$11)*S1541+Summary!$B$11*U1541</f>
        <v/>
      </c>
      <c r="P1541">
        <f>IF(B1563=0,0,O1541/B1563)</f>
        <v/>
      </c>
      <c r="Q1541">
        <f>IFERROR(1/(IF(Inputs!$B$38="pvp",15,MAX(0.1,Skills!E19-IF(Skills!F19=TRUE,Inputs!$B$32,0)))*(1-IF(AND(ArtifactsInput!$M$27,Inputs!$B$4="Chapter Hunt"),CHOOSE(ArtifactsInput!$N$27+1,20,24,28,32,36,40),0)/100)),0)</f>
        <v/>
      </c>
      <c r="R1541">
        <f>IF(AND(Inputs!$B$38&lt;&gt;"pvp",Inputs!$B$43&gt;0),IF(Inputs!$B$43&lt;=0,0,(INT(Inputs!$B$43/(IF(Inputs!$B$38="pvp",15,MAX(0.1,Skills!E19-IF(Skills!F19=TRUE,Inputs!$B$32,0)))*(1-IF(AND(ArtifactsInput!$M$27,Inputs!$B$4="Chapter Hunt"),CHOOSE(ArtifactsInput!$N$27+1,20,24,28,32,36,40),0)/100)))+1)),0)</f>
        <v/>
      </c>
      <c r="S1541" t="n">
        <v>0</v>
      </c>
      <c r="U1541" t="n">
        <v>0</v>
      </c>
    </row>
    <row r="1542">
      <c r="A1542">
        <f>Skills!A20</f>
        <v/>
      </c>
      <c r="B1542">
        <f>Skills!B20</f>
        <v/>
      </c>
      <c r="C1542">
        <f>TRUE</f>
        <v/>
      </c>
      <c r="D1542">
        <f>IF(Skills!C20=1,60+Inputs!$B$25+Inputs!$B$29,IF(Skills!C20=2,90+Inputs!$B$26+Inputs!$B$29,IF(Skills!C20=3,120+Inputs!$B$27+Inputs!$B$29,MAX(0,(Inputs!$B$3-100)*3)+Inputs!$B$28+Inputs!$B$29)))</f>
        <v/>
      </c>
      <c r="E1542">
        <f>INDEX(FactorTable!$B$2:$Y$301, MATCH(ROUND(MIN(300,MAX(1,D1542)),0), FactorTable!$A$2:$A$301,0), Skills!M20+1)</f>
        <v/>
      </c>
      <c r="F1542">
        <f>IF(Skills!N20=TRUE,(Skills!L20/10)*(E1542/1000),Skills!L20/10)+Skills!O20</f>
        <v/>
      </c>
      <c r="G1542">
        <f>Calc!G20</f>
        <v/>
      </c>
      <c r="H1542">
        <f>Calc!H20</f>
        <v/>
      </c>
      <c r="I1542">
        <f>IF(Skills!X20&lt;&gt;"",1+(Skills!X20/10)*(Z1525/1000)/100,1)</f>
        <v/>
      </c>
      <c r="J1542" t="inlineStr"/>
      <c r="K1542" t="inlineStr"/>
      <c r="L1542" t="inlineStr"/>
      <c r="M1542" t="inlineStr"/>
      <c r="N1542" t="inlineStr"/>
      <c r="O1542">
        <f>(1-Summary!$B$11)*S1542+Summary!$B$11*U1542</f>
        <v/>
      </c>
      <c r="P1542">
        <f>IF(B1563=0,0,O1542/B1563)</f>
        <v/>
      </c>
      <c r="Q1542">
        <f>IFERROR(1/(IF(Inputs!$B$38="pvp",15,MAX(0.1,Skills!E20-IF(Skills!F20=TRUE,Inputs!$B$32,0)))*(1-IF(AND(ArtifactsInput!$M$27,Inputs!$B$4="Chapter Hunt"),CHOOSE(ArtifactsInput!$N$27+1,20,24,28,32,36,40),0)/100)),0)</f>
        <v/>
      </c>
      <c r="R1542" t="n">
        <v>0</v>
      </c>
      <c r="S1542" t="n">
        <v>0</v>
      </c>
      <c r="U1542" t="n">
        <v>0</v>
      </c>
    </row>
    <row r="1543">
      <c r="A1543">
        <f>Skills!A21</f>
        <v/>
      </c>
      <c r="B1543">
        <f>Skills!B21</f>
        <v/>
      </c>
      <c r="C1543">
        <f>TRUE</f>
        <v/>
      </c>
      <c r="D1543">
        <f>IF(Skills!C21=1,60+Inputs!$B$25+Inputs!$B$29,IF(Skills!C21=2,90+Inputs!$B$26+Inputs!$B$29,IF(Skills!C21=3,120+Inputs!$B$27+Inputs!$B$29,MAX(0,(Inputs!$B$3-100)*3)+Inputs!$B$28+Inputs!$B$29)))</f>
        <v/>
      </c>
      <c r="E1543">
        <f>INDEX(FactorTable!$B$2:$Y$301, MATCH(ROUND(MIN(300,MAX(1,D1543)),0), FactorTable!$A$2:$A$301,0), Skills!M21+1)</f>
        <v/>
      </c>
      <c r="F1543">
        <f>IF(Skills!N21=TRUE,(Skills!L21/10)*(E1543/1000),Skills!L21/10)+Skills!O21</f>
        <v/>
      </c>
      <c r="G1543">
        <f>Calc!G21</f>
        <v/>
      </c>
      <c r="H1543">
        <f>Calc!H21</f>
        <v/>
      </c>
      <c r="I1543">
        <f>IF(Skills!X21&lt;&gt;"",1+(Skills!X21/10)*(Z1525/1000)/100,1)</f>
        <v/>
      </c>
      <c r="J1543" t="inlineStr"/>
      <c r="K1543" t="inlineStr"/>
      <c r="L1543" t="inlineStr"/>
      <c r="M1543" t="inlineStr"/>
      <c r="N1543" t="inlineStr"/>
      <c r="O1543">
        <f>(1-Summary!$B$11)*S1543+Summary!$B$11*U1543</f>
        <v/>
      </c>
      <c r="P1543">
        <f>IF(B1563=0,0,O1543/B1563)</f>
        <v/>
      </c>
      <c r="Q1543">
        <f>IFERROR(1/(IF(Inputs!$B$38="pvp",15,MAX(0.1,Skills!E21-IF(Skills!F21=TRUE,Inputs!$B$32,0)))*(1-IF(AND(ArtifactsInput!$M$27,Inputs!$B$4="Chapter Hunt"),CHOOSE(ArtifactsInput!$N$27+1,20,24,28,32,36,40),0)/100)),0)</f>
        <v/>
      </c>
      <c r="R1543" t="n">
        <v>0</v>
      </c>
      <c r="S1543" t="n">
        <v>0</v>
      </c>
      <c r="U1543" t="n">
        <v>0</v>
      </c>
    </row>
    <row r="1544">
      <c r="A1544">
        <f>Skills!A22</f>
        <v/>
      </c>
      <c r="B1544">
        <f>Skills!B22</f>
        <v/>
      </c>
      <c r="C1544">
        <f>TRUE</f>
        <v/>
      </c>
      <c r="D1544">
        <f>IF(Skills!C22=1,60+Inputs!$B$25+Inputs!$B$29,IF(Skills!C22=2,90+Inputs!$B$26+Inputs!$B$29,IF(Skills!C22=3,120+Inputs!$B$27+Inputs!$B$29,MAX(0,(Inputs!$B$3-100)*3)+Inputs!$B$28+Inputs!$B$29)))</f>
        <v/>
      </c>
      <c r="E1544">
        <f>INDEX(FactorTable!$B$2:$Y$301, MATCH(ROUND(MIN(300,MAX(1,D1544)),0), FactorTable!$A$2:$A$301,0), Skills!M22+1)</f>
        <v/>
      </c>
      <c r="F1544">
        <f>IF(Skills!N22=TRUE,(Skills!L22/10)*(E1544/1000),Skills!L22/10)+Skills!O22</f>
        <v/>
      </c>
      <c r="G1544">
        <f>Calc!G22</f>
        <v/>
      </c>
      <c r="H1544">
        <f>Calc!H22</f>
        <v/>
      </c>
      <c r="I1544">
        <f>IF(Skills!X22&lt;&gt;"",1+(Skills!X22/10)*(Z1525/1000)/100,1)</f>
        <v/>
      </c>
      <c r="J1544" t="inlineStr"/>
      <c r="K1544" t="inlineStr"/>
      <c r="L1544" t="inlineStr"/>
      <c r="M1544" t="inlineStr"/>
      <c r="N1544" t="inlineStr"/>
      <c r="O1544">
        <f>(1-Summary!$B$11)*S1544+Summary!$B$11*U1544</f>
        <v/>
      </c>
      <c r="P1544">
        <f>IF(B1563=0,0,O1544/B1563)</f>
        <v/>
      </c>
      <c r="Q1544">
        <f>IFERROR(1/(IF(Inputs!$B$38="pvp",15,MAX(0.1,Skills!E22-IF(Skills!F22=TRUE,Inputs!$B$32,0)))*(1-IF(AND(ArtifactsInput!$M$27,Inputs!$B$4="Chapter Hunt"),CHOOSE(ArtifactsInput!$N$27+1,20,24,28,32,36,40),0)/100)),0)</f>
        <v/>
      </c>
      <c r="R1544" t="n">
        <v>0</v>
      </c>
      <c r="S1544" t="n">
        <v>0</v>
      </c>
      <c r="U1544" t="n">
        <v>0</v>
      </c>
    </row>
    <row r="1545">
      <c r="A1545">
        <f>Skills!A23</f>
        <v/>
      </c>
      <c r="B1545">
        <f>Skills!B23</f>
        <v/>
      </c>
      <c r="C1545">
        <f>TRUE</f>
        <v/>
      </c>
      <c r="D1545">
        <f>IF(Skills!C23=1,60+Inputs!$B$25+Inputs!$B$29,IF(Skills!C23=2,90+Inputs!$B$26+Inputs!$B$29,IF(Skills!C23=3,120+Inputs!$B$27+Inputs!$B$29,MAX(0,(Inputs!$B$3-100)*3)+Inputs!$B$28+Inputs!$B$29)))</f>
        <v/>
      </c>
      <c r="E1545">
        <f>INDEX(FactorTable!$B$2:$Y$301, MATCH(ROUND(MIN(300,MAX(1,D1545)),0), FactorTable!$A$2:$A$301,0), Skills!M23+1)</f>
        <v/>
      </c>
      <c r="F1545">
        <f>IF(Skills!N23=TRUE,(Skills!L23/10)*(E1545/1000),Skills!L23/10)+Skills!O23</f>
        <v/>
      </c>
      <c r="G1545">
        <f>Calc!G23</f>
        <v/>
      </c>
      <c r="H1545">
        <f>Calc!H23</f>
        <v/>
      </c>
      <c r="I1545">
        <f>IF(Skills!X23&lt;&gt;"",1+(Skills!X23/10)*(Z1525/1000)/100,1)</f>
        <v/>
      </c>
      <c r="J1545" t="inlineStr"/>
      <c r="K1545" t="inlineStr"/>
      <c r="L1545" t="inlineStr"/>
      <c r="M1545" t="inlineStr"/>
      <c r="N1545" t="inlineStr"/>
      <c r="O1545">
        <f>(1-Summary!$B$11)*S1545+Summary!$B$11*U1545</f>
        <v/>
      </c>
      <c r="P1545">
        <f>IF(B1563=0,0,O1545/B1563)</f>
        <v/>
      </c>
      <c r="Q1545">
        <f>IFERROR(1/(IF(Inputs!$B$38="pvp",15,MAX(0.1,Skills!E23-IF(Skills!F23=TRUE,Inputs!$B$32,0)))*(1-IF(AND(ArtifactsInput!$M$27,Inputs!$B$4="Chapter Hunt"),CHOOSE(ArtifactsInput!$N$27+1,20,24,28,32,36,40),0)/100)),0)</f>
        <v/>
      </c>
      <c r="R1545" t="n">
        <v>0</v>
      </c>
      <c r="S1545" t="n">
        <v>0</v>
      </c>
      <c r="U1545" t="n">
        <v>0</v>
      </c>
    </row>
    <row r="1546">
      <c r="A1546">
        <f>Skills!A24</f>
        <v/>
      </c>
      <c r="B1546">
        <f>Skills!B24</f>
        <v/>
      </c>
      <c r="C1546">
        <f>Inputs!$B$3&gt;=115</f>
        <v/>
      </c>
      <c r="D1546">
        <f>IF(Skills!C24=1,60+Inputs!$B$25+Inputs!$B$29,IF(Skills!C24=2,90+Inputs!$B$26+Inputs!$B$29,IF(Skills!C24=3,120+Inputs!$B$27+Inputs!$B$29,MAX(0,(Inputs!$B$3-100)*3)+Inputs!$B$28+Inputs!$B$29)))</f>
        <v/>
      </c>
      <c r="E1546">
        <f>INDEX(FactorTable!$B$2:$Y$301, MATCH(ROUND(MIN(300,MAX(1,D1546)),0), FactorTable!$A$2:$A$301,0), Skills!M24+1)</f>
        <v/>
      </c>
      <c r="F1546">
        <f>IF(Skills!N24=TRUE,(Skills!L24/10)*(E1546/1000),Skills!L24/10)+Skills!O24</f>
        <v/>
      </c>
      <c r="G1546">
        <f>Calc!G24</f>
        <v/>
      </c>
      <c r="H1546">
        <f>Calc!H24</f>
        <v/>
      </c>
      <c r="I1546">
        <f>IF(Skills!X24&lt;&gt;"",1+(Skills!X24/10)*(Z1525/1000)/100,1)</f>
        <v/>
      </c>
      <c r="J1546">
        <f>((Inputs!$B$6*(1+Inputs!$B$7/100))+(((Inputs!$B$12*(1+Inputs!$B$13/100))-(Inputs!$B$12*(1+Inputs!$B$13/100)))+0.25*(Inputs!$B$14-Inputs!$B$14))*(1+Inputs!$B$7/100))*(F1546/100)</f>
        <v/>
      </c>
      <c r="K1546">
        <f>J1546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1546)</f>
        <v/>
      </c>
      <c r="L1546">
        <f>K1546*(MIN(Inputs!$B$22+(F1544-Calc!F22),(Inputs!$B$23+(IF(ArtifactsInput!$M$15,CHOOSE(ArtifactsInput!$N$15+1,25,30,35,40,45,50)/100*(Inputs!$B$11-Inputs!$B$11),0))))/100+(Inputs!$B$23+(IF(ArtifactsInput!$M$15,CHOOSE(ArtifactsInput!$N$15+1,25,30,35,40,45,50)/100*(Inputs!$B$11-Inputs!$B$11),0)))/100)/2</f>
        <v/>
      </c>
      <c r="M1546">
        <f>L1546*(1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6">
        <f>L1546*(1-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1546*(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6">
        <f>(1-Summary!$B$11)*S1546+Summary!$B$11*U1546</f>
        <v/>
      </c>
      <c r="P1546">
        <f>IF(B1563=0,0,O1546/B1563)</f>
        <v/>
      </c>
      <c r="Q1546">
        <f>IFERROR(1/(IF(Inputs!$B$38="pvp",15,MAX(0.1,Skills!E24-IF(Skills!F24=TRUE,Inputs!$B$32,0)))*(1-IF(AND(ArtifactsInput!$M$27,Inputs!$B$4="Chapter Hunt"),CHOOSE(ArtifactsInput!$N$27+1,20,24,28,32,36,40),0)/100)),0)</f>
        <v/>
      </c>
      <c r="R1546">
        <f>IF(AND(Inputs!$B$38&lt;&gt;"pvp",Inputs!$B$43&gt;0),IF(MAX(0,Inputs!$B$43-B1560)&lt;=0,0,(INT(MAX(0,Inputs!$B$43-B1560)/(IF(Inputs!$B$38="pvp",15,MAX(0.1,Skills!E24-IF(Skills!F24=TRUE,Inputs!$B$32,0)))*(1-IF(AND(ArtifactsInput!$M$27,Inputs!$B$4="Chapter Hunt"),CHOOSE(ArtifactsInput!$N$27+1,20,24,28,32,36,40),0)/100)))+1)),0)</f>
        <v/>
      </c>
      <c r="S1546">
        <f>IF(C1546,(H1546*N1546*IF(AND(Inputs!$B$38&lt;&gt;"pvp",Inputs!$B$43&gt;0),((Skills!G24*((R1546-1)*IF(Skills!H24&gt;0,Skills!I24/Skills!H24,1)+IF(Skills!H24&gt;0,MIN(Skills!I24,MAX(0,MAX(0,Inputs!$B$43-B1560)-((R1546-1)*(IF(Inputs!$B$38="pvp",15,MAX(0.1,Skills!E24-IF(Skills!F24=TRUE,Inputs!$B$32,0)))*(1-IF(AND(ArtifactsInput!$M$27,Inputs!$B$4="Chapter Hunt"),CHOOSE(ArtifactsInput!$N$27+1,20,24,28,32,36,40),0)/100)))))/Skills!H24,1)))/Inputs!$B$43),G1546*Q1546)*(1+IF(Inputs!$B$3&gt;=130,0.2*(Skills!I16/Skills!E15+IF(Inputs!$B$3&gt;=126,0.05*(B1558+Q1535+(H1536*B1559)/(1+Skills!H14*H1536*B1559)+Q1546)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1546*(1-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1546*(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1546*(1-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1546*(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46">
        <f>IF(C1546,(H1546*N1546*IF(AND(Inputs!$B$38&lt;&gt;"pvp",Inputs!$B$43&gt;0),((Skills!G24*((R1546-1)*IF(Skills!H24&gt;0,Skills!I24/Skills!H24,1)+IF(Skills!H24&gt;0,MIN(Skills!I24,MAX(0,MAX(0,Inputs!$B$43-B1560)-((R1546-1)*(IF(Inputs!$B$38="pvp",15,MAX(0.1,Skills!E24-IF(Skills!F24=TRUE,Inputs!$B$32,0)))*(1-IF(AND(ArtifactsInput!$M$27,Inputs!$B$4="Chapter Hunt"),CHOOSE(ArtifactsInput!$N$27+1,20,24,28,32,36,40),0)/100)))))/Skills!H24,1)))/Inputs!$B$43),G1546*Q1546)*(1+IF(Inputs!$B$3&gt;=130,0.2*(Skills!I16/Skills!E15+IF(Inputs!$B$3&gt;=126,0.05*(B1558+Q1535+(H1536*B1559)/(1+Skills!H14*H1536*B1559)+Q1546)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7">
      <c r="A1547">
        <f>Skills!A25</f>
        <v/>
      </c>
      <c r="B1547">
        <f>Skills!B25</f>
        <v/>
      </c>
      <c r="C1547">
        <f>Inputs!$B$3&gt;=117</f>
        <v/>
      </c>
      <c r="D1547">
        <f>IF(Skills!C25=1,60+Inputs!$B$25+Inputs!$B$29,IF(Skills!C25=2,90+Inputs!$B$26+Inputs!$B$29,IF(Skills!C25=3,120+Inputs!$B$27+Inputs!$B$29,MAX(0,(Inputs!$B$3-100)*3)+Inputs!$B$28+Inputs!$B$29)))</f>
        <v/>
      </c>
      <c r="E1547">
        <f>INDEX(FactorTable!$B$2:$Y$301, MATCH(ROUND(MIN(300,MAX(1,D1547)),0), FactorTable!$A$2:$A$301,0), Skills!M25+1)</f>
        <v/>
      </c>
      <c r="F1547">
        <f>IF(Skills!N25=TRUE,(Skills!L25/10)*(E1547/1000),Skills!L25/10)+Skills!O25</f>
        <v/>
      </c>
      <c r="G1547">
        <f>Calc!G25</f>
        <v/>
      </c>
      <c r="H1547">
        <f>Calc!H25</f>
        <v/>
      </c>
      <c r="I1547">
        <f>IF(Skills!X25&lt;&gt;"",1+(Skills!X25/10)*(Z1525/1000)/100,1)</f>
        <v/>
      </c>
      <c r="J1547" t="inlineStr"/>
      <c r="K1547" t="inlineStr"/>
      <c r="L1547" t="inlineStr"/>
      <c r="M1547" t="inlineStr"/>
      <c r="N1547" t="inlineStr"/>
      <c r="O1547">
        <f>(1-Summary!$B$11)*S1547+Summary!$B$11*U1547</f>
        <v/>
      </c>
      <c r="P1547">
        <f>IF(B1563=0,0,O1547/B1563)</f>
        <v/>
      </c>
      <c r="Q1547">
        <f>IFERROR(1/(IF(Inputs!$B$38="pvp",15,MAX(0.1,Skills!E25-IF(Skills!F25=TRUE,Inputs!$B$32,0)))*(1-IF(AND(ArtifactsInput!$M$27,Inputs!$B$4="Chapter Hunt"),CHOOSE(ArtifactsInput!$N$27+1,20,24,28,32,36,40),0)/100)),0)</f>
        <v/>
      </c>
      <c r="R1547" t="n">
        <v>0</v>
      </c>
      <c r="S1547" t="n">
        <v>0</v>
      </c>
      <c r="U1547" t="n">
        <v>0</v>
      </c>
    </row>
    <row r="1548">
      <c r="A1548">
        <f>Skills!A26</f>
        <v/>
      </c>
      <c r="B1548">
        <f>Skills!B26</f>
        <v/>
      </c>
      <c r="C1548">
        <f>Inputs!$B$3&gt;=120</f>
        <v/>
      </c>
      <c r="D1548">
        <f>IF(Skills!C26=1,60+Inputs!$B$25+Inputs!$B$29,IF(Skills!C26=2,90+Inputs!$B$26+Inputs!$B$29,IF(Skills!C26=3,120+Inputs!$B$27+Inputs!$B$29,MAX(0,(Inputs!$B$3-100)*3)+Inputs!$B$28+Inputs!$B$29)))</f>
        <v/>
      </c>
      <c r="E1548">
        <f>INDEX(FactorTable!$B$2:$Y$301, MATCH(ROUND(MIN(300,MAX(1,D1548)),0), FactorTable!$A$2:$A$301,0), Skills!M26+1)</f>
        <v/>
      </c>
      <c r="F1548">
        <f>IF(Skills!N26=TRUE,(Skills!L26/10)*(E1548/1000),Skills!L26/10)+Skills!O26</f>
        <v/>
      </c>
      <c r="G1548">
        <f>Calc!G26</f>
        <v/>
      </c>
      <c r="H1548">
        <f>Calc!H26</f>
        <v/>
      </c>
      <c r="I1548">
        <f>IF(Skills!X26&lt;&gt;"",1+(Skills!X26/10)*(Z1525/1000)/100,1)</f>
        <v/>
      </c>
      <c r="J1548" t="inlineStr"/>
      <c r="K1548" t="inlineStr"/>
      <c r="L1548" t="inlineStr"/>
      <c r="M1548" t="inlineStr"/>
      <c r="N1548" t="inlineStr"/>
      <c r="O1548">
        <f>(1-Summary!$B$11)*S1548+Summary!$B$11*U1548</f>
        <v/>
      </c>
      <c r="P1548">
        <f>IF(B1563=0,0,O1548/B1563)</f>
        <v/>
      </c>
      <c r="Q1548">
        <f>IFERROR(1/(IF(Inputs!$B$38="pvp",15,MAX(0.1,Skills!E26-IF(Skills!F26=TRUE,Inputs!$B$32,0)))*(1-IF(AND(ArtifactsInput!$M$27,Inputs!$B$4="Chapter Hunt"),CHOOSE(ArtifactsInput!$N$27+1,20,24,28,32,36,40),0)/100)),0)</f>
        <v/>
      </c>
      <c r="R1548" t="n">
        <v>0</v>
      </c>
      <c r="S1548" t="n">
        <v>0</v>
      </c>
      <c r="U1548" t="n">
        <v>0</v>
      </c>
    </row>
    <row r="1549">
      <c r="A1549">
        <f>Skills!A27</f>
        <v/>
      </c>
      <c r="B1549">
        <f>Skills!B27</f>
        <v/>
      </c>
      <c r="C1549">
        <f>Inputs!$B$3&gt;=125</f>
        <v/>
      </c>
      <c r="D1549">
        <f>IF(Skills!C27=1,60+Inputs!$B$25+Inputs!$B$29,IF(Skills!C27=2,90+Inputs!$B$26+Inputs!$B$29,IF(Skills!C27=3,120+Inputs!$B$27+Inputs!$B$29,MAX(0,(Inputs!$B$3-100)*3)+Inputs!$B$28+Inputs!$B$29)))</f>
        <v/>
      </c>
      <c r="E1549">
        <f>INDEX(FactorTable!$B$2:$Y$301, MATCH(ROUND(MIN(300,MAX(1,D1549)),0), FactorTable!$A$2:$A$301,0), Skills!M27+1)</f>
        <v/>
      </c>
      <c r="F1549">
        <f>IF(Skills!N27=TRUE,(Skills!L27/10)*(E1549/1000),Skills!L27/10)+Skills!O27</f>
        <v/>
      </c>
      <c r="G1549">
        <f>Calc!G27</f>
        <v/>
      </c>
      <c r="H1549">
        <f>Calc!H27</f>
        <v/>
      </c>
      <c r="I1549">
        <f>IF(Skills!X27&lt;&gt;"",1+(Skills!X27/10)*(Z1525/1000)/100,1)</f>
        <v/>
      </c>
      <c r="J1549" t="inlineStr"/>
      <c r="K1549" t="inlineStr"/>
      <c r="L1549" t="inlineStr"/>
      <c r="M1549" t="inlineStr"/>
      <c r="N1549" t="inlineStr"/>
      <c r="O1549">
        <f>(1-Summary!$B$11)*S1549+Summary!$B$11*U1549</f>
        <v/>
      </c>
      <c r="P1549">
        <f>IF(B1563=0,0,O1549/B1563)</f>
        <v/>
      </c>
      <c r="Q1549">
        <f>IFERROR(1/(IF(Inputs!$B$38="pvp",15,MAX(0.1,Skills!E27-IF(Skills!F27=TRUE,Inputs!$B$32,0)))*(1-IF(AND(ArtifactsInput!$M$27,Inputs!$B$4="Chapter Hunt"),CHOOSE(ArtifactsInput!$N$27+1,20,24,28,32,36,40),0)/100)),0)</f>
        <v/>
      </c>
      <c r="R1549" t="n">
        <v>0</v>
      </c>
      <c r="S1549" t="n">
        <v>0</v>
      </c>
      <c r="U1549" t="n">
        <v>0</v>
      </c>
    </row>
    <row r="1550">
      <c r="A1550">
        <f>Skills!A28</f>
        <v/>
      </c>
      <c r="B1550">
        <f>Skills!B28</f>
        <v/>
      </c>
      <c r="C1550">
        <f>Inputs!$B$3&gt;=118</f>
        <v/>
      </c>
      <c r="D1550">
        <f>IF(Skills!C28=1,60+Inputs!$B$25+Inputs!$B$29,IF(Skills!C28=2,90+Inputs!$B$26+Inputs!$B$29,IF(Skills!C28=3,120+Inputs!$B$27+Inputs!$B$29,MAX(0,(Inputs!$B$3-100)*3)+Inputs!$B$28+Inputs!$B$29)))</f>
        <v/>
      </c>
      <c r="E1550">
        <f>INDEX(FactorTable!$B$2:$Y$301, MATCH(ROUND(MIN(300,MAX(1,D1550)),0), FactorTable!$A$2:$A$301,0), Skills!M28+1)</f>
        <v/>
      </c>
      <c r="F1550">
        <f>IF(Skills!N28=TRUE,(Skills!L28/10)*(E1550/1000),Skills!L28/10)+Skills!O28</f>
        <v/>
      </c>
      <c r="G1550">
        <f>Calc!G28</f>
        <v/>
      </c>
      <c r="H1550">
        <f>Calc!H28</f>
        <v/>
      </c>
      <c r="I1550">
        <f>IF(Skills!X28&lt;&gt;"",1+(Skills!X28/10)*(Z1525/1000)/100,1)</f>
        <v/>
      </c>
      <c r="J1550">
        <f>((Inputs!$B$6*(1+Inputs!$B$7/100))+(((Inputs!$B$12*(1+Inputs!$B$13/100))-(Inputs!$B$12*(1+Inputs!$B$13/100)))+0.25*(Inputs!$B$14-Inputs!$B$14))*(1+Inputs!$B$7/100))*(F1550/100)</f>
        <v/>
      </c>
      <c r="K1550">
        <f>J1550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1545/100)*(1+IF(Inputs!$B$3&gt;=120,F1548,0)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1549*5,0)))/100)*(B1552*B1553*B1554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1550)</f>
        <v/>
      </c>
      <c r="L1550">
        <f>K1550*(MIN(Inputs!$B$22+(F1544-Calc!F22),(Inputs!$B$23+(IF(ArtifactsInput!$M$15,CHOOSE(ArtifactsInput!$N$15+1,25,30,35,40,45,50)/100*(Inputs!$B$11-Inputs!$B$11),0))))/100+(Inputs!$B$23+(IF(ArtifactsInput!$M$15,CHOOSE(ArtifactsInput!$N$15+1,25,30,35,40,45,50)/100*(Inputs!$B$11-Inputs!$B$11),0)))/100)/2</f>
        <v/>
      </c>
      <c r="M1550">
        <f>L1550*(1+(Inputs!$B$10+(F1543-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0">
        <f>L1550*(1-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1550*(MIN((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0">
        <f>(1-Summary!$B$11)*S1550+Summary!$B$11*U1550</f>
        <v/>
      </c>
      <c r="P1550">
        <f>IF(B1563=0,0,O1550/B1563)</f>
        <v/>
      </c>
      <c r="Q1550">
        <f>IFERROR(1/(IF(Inputs!$B$38="pvp",15,MAX(0.1,Skills!E28-IF(Skills!F28=TRUE,Inputs!$B$32,0)))*(1-IF(AND(ArtifactsInput!$M$27,Inputs!$B$4="Chapter Hunt"),CHOOSE(ArtifactsInput!$N$27+1,20,24,28,32,36,40),0)/100)),0)</f>
        <v/>
      </c>
      <c r="R1550">
        <f>IF(AND(Inputs!$B$38&lt;&gt;"pvp",Inputs!$B$43&gt;0),IF(MAX(0,Inputs!$B$43-B1560)&lt;=0,0,(INT(MAX(0,Inputs!$B$43-B1560)/(IF(Inputs!$B$38="pvp",15,MAX(0.1,Skills!E28-IF(Skills!F28=TRUE,Inputs!$B$32,0)))*(1-IF(AND(ArtifactsInput!$M$27,Inputs!$B$4="Chapter Hunt"),CHOOSE(ArtifactsInput!$N$27+1,20,24,28,32,36,40),0)/100)))+1)),0)</f>
        <v/>
      </c>
      <c r="S1550">
        <f>IF(C1550,(H1550*N1550*IF(AND(Inputs!$B$38&lt;&gt;"pvp",Inputs!$B$43&gt;0),((Skills!G28*((R1550-1)*IF(Skills!H28&gt;0,Skills!I28/Skills!H28,1)+IF(Skills!H28&gt;0,MIN(Skills!I28,MAX(0,MAX(0,Inputs!$B$43-B1560)-((R1550-1)*(IF(Inputs!$B$38="pvp",15,MAX(0.1,Skills!E28-IF(Skills!F28=TRUE,Inputs!$B$32,0)))*(1-IF(AND(ArtifactsInput!$M$27,Inputs!$B$4="Chapter Hunt"),CHOOSE(ArtifactsInput!$N$27+1,20,24,28,32,36,40),0)/100)))))/Skills!H28,1)))/Inputs!$B$43),G1550*Q1550)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1550*(1-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1550*(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1550*(1-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1550*(MIN(100,(Inputs!$B$9+(F1542-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0">
        <f>IF(C1550,(H1550*N1550*IF(AND(Inputs!$B$38&lt;&gt;"pvp",Inputs!$B$43&gt;0),((Skills!G28*((R1550-1)*IF(Skills!H28&gt;0,Skills!I28/Skills!H28,1)+IF(Skills!H28&gt;0,MIN(Skills!I28,MAX(0,MAX(0,Inputs!$B$43-B1560)-((R1550-1)*(IF(Inputs!$B$38="pvp",15,MAX(0.1,Skills!E28-IF(Skills!F28=TRUE,Inputs!$B$32,0)))*(1-IF(AND(ArtifactsInput!$M$27,Inputs!$B$4="Chapter Hunt"),CHOOSE(ArtifactsInput!$N$27+1,20,24,28,32,36,40),0)/100)))))/Skills!H28,1)))/Inputs!$B$43),G1550*Q1550)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2">
      <c r="A1552" t="inlineStr">
        <is>
          <t>Burning Magic Multiplier</t>
        </is>
      </c>
      <c r="B1552">
        <f>1+(F1533*Skills!Z11)/100</f>
        <v/>
      </c>
    </row>
    <row r="1553">
      <c r="A1553" t="inlineStr">
        <is>
          <t>Elemental Decrease Multiplier (always-on)</t>
        </is>
      </c>
      <c r="B1553">
        <f>1+(F1534+(IF(AND(ArtifactsInput!$M$35,Inputs!$B$4&lt;&gt;"Chapter Hunt"),CHOOSE(ArtifactsInput!$N$35+1,15,18,21,24,27,30)*(1-EXP(-(0.2*B1556)*5)),0)+IF(AND(ArtifactsInput!$M$22,Inputs!$B$4&lt;&gt;"Chapter Hunt"),CHOOSE(ArtifactsInput!$N$22+1,10,12,14,16,18,20)*((0*(((0.15*B1556*5))^0/1)+1*(((0.15*B1556*5))^1/1)+2*(((0.15*B1556*5))^2/2)+3*(((0.15*B1556*5))^3/6)+4*(((0.15*B1556*5))^4/24)+5*(((0.15*B1556*5))^5/120))/((((0.15*B1556*5))^0/1)+(((0.15*B1556*5))^1/1)+(((0.15*B1556*5))^2/2)+(((0.15*B1556*5))^3/6)+(((0.15*B1556*5))^4/24)+(((0.15*B1556*5))^5/120))),0)))/100</f>
        <v/>
      </c>
    </row>
    <row r="1554">
      <c r="A1554" t="inlineStr">
        <is>
          <t>Average Buff Multiplier (Magic Guard + Meditation + Artifact Attack%, summed; then Infinity)</t>
        </is>
      </c>
      <c r="B1554">
        <f>(1+(F1528*IF(AND(Inputs!$B$38&lt;&gt;"pvp",Inputs!$B$43&gt;0),(((R1528-1)*(Skills!T6*(1+((Inputs!$B$34+(ArtifactsInput!$M$7-ArtifactsInput!$M$7)*CHOOSE(ArtifactsInput!$N$7+1,6,7.2,8.4,9.6,10.8,12)))/100))+MIN((Skills!T6*(1+((Inputs!$B$34+(ArtifactsInput!$M$7-ArtifactsInput!$M$7)*CHOOSE(ArtifactsInput!$N$7+1,6,7.2,8.4,9.6,10.8,12)))/100)),MAX(0,Inputs!$B$43-((R1528-1)*Skills!E6))))/Inputs!$B$43),IF(Inputs!$B$38="pvp",MIN((Skills!T6*(1+((Inputs!$B$34+(ArtifactsInput!$M$7-ArtifactsInput!$M$7)*CHOOSE(ArtifactsInput!$N$7+1,6,7.2,8.4,9.6,10.8,12)))/100)),15)/15,(Skills!T6*(1+((Inputs!$B$34+(ArtifactsInput!$M$7-ArtifactsInput!$M$7)*CHOOSE(ArtifactsInput!$N$7+1,6,7.2,8.4,9.6,10.8,12)))/100))/Skills!E6))+F1539*IF(AND(Inputs!$B$38&lt;&gt;"pvp",Inputs!$B$43&gt;0),(((R1539-1)*(Skills!T17*(1+((Inputs!$B$34+(ArtifactsInput!$M$7-ArtifactsInput!$M$7)*CHOOSE(ArtifactsInput!$N$7+1,6,7.2,8.4,9.6,10.8,12)))/100))+MIN((Skills!T17*(1+((Inputs!$B$34+(ArtifactsInput!$M$7-ArtifactsInput!$M$7)*CHOOSE(ArtifactsInput!$N$7+1,6,7.2,8.4,9.6,10.8,12)))/100)),MAX(0,Inputs!$B$43-((R1539-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1541=TRUE,(1+F1541*IF(AND(Inputs!$B$38&lt;&gt;"pvp",Inputs!$B$43&gt;0),(((R1541-1)*(Skills!T19*(1+((Inputs!$B$34+(ArtifactsInput!$M$7-ArtifactsInput!$M$7)*CHOOSE(ArtifactsInput!$N$7+1,6,7.2,8.4,9.6,10.8,12)))/100))+MIN((Skills!T19*(1+((Inputs!$B$34+(ArtifactsInput!$M$7-ArtifactsInput!$M$7)*CHOOSE(ArtifactsInput!$N$7+1,6,7.2,8.4,9.6,10.8,12)))/100)),MAX(0,Inputs!$B$43-((R1541-1)*Skills!E19))))/Inputs!$B$43),IF(Inputs!$B$38="pvp",MIN((Skills!T19*(1+((Inputs!$B$34+(ArtifactsInput!$M$7-ArtifactsInput!$M$7)*CHOOSE(ArtifactsInput!$N$7+1,6,7.2,8.4,9.6,10.8,12)))/100)),15)/15,(Skills!T19*(1+((Inputs!$B$34+(ArtifactsInput!$M$7-ArtifactsInput!$M$7)*CHOOSE(ArtifactsInput!$N$7+1,6,7.2,8.4,9.6,10.8,12)))/100))/Skills!E19))/100),1)</f>
        <v/>
      </c>
    </row>
    <row r="1555">
      <c r="A1555" t="inlineStr">
        <is>
          <t>Attack Speed Buff Bonus % (Nimble Feet, averaged)</t>
        </is>
      </c>
      <c r="B1555">
        <f>F1540*IF(AND(Inputs!$B$38&lt;&gt;"pvp",Inputs!$B$43&gt;0),(((R1540-1)*(Skills!T18*(1+((Inputs!$B$34+(ArtifactsInput!$M$7-ArtifactsInput!$M$7)*CHOOSE(ArtifactsInput!$N$7+1,6,7.2,8.4,9.6,10.8,12)))/100))+MIN((Skills!T18*(1+((Inputs!$B$34+(ArtifactsInput!$M$7-ArtifactsInput!$M$7)*CHOOSE(ArtifactsInput!$N$7+1,6,7.2,8.4,9.6,10.8,12)))/100)),MAX(0,Inputs!$B$43-((R1540-1)*Skills!E18))))/Inputs!$B$43),IF(Inputs!$B$38="pvp",MIN((Skills!T18*(1+((Inputs!$B$34+(ArtifactsInput!$M$7-ArtifactsInput!$M$7)*CHOOSE(ArtifactsInput!$N$7+1,6,7.2,8.4,9.6,10.8,12)))/100)),15)/15,(Skills!T18*(1+((Inputs!$B$34+(ArtifactsInput!$M$7-ArtifactsInput!$M$7)*CHOOSE(ArtifactsInput!$N$7+1,6,7.2,8.4,9.6,10.8,12)))/100))/Skills!E18))</f>
        <v/>
      </c>
    </row>
    <row r="1556">
      <c r="A1556" t="inlineStr">
        <is>
          <t>Actions Per Second</t>
        </is>
      </c>
      <c r="B1556">
        <f>1+MIN(150,150*(1-(1-(Inputs!$B$11+(ArtifactsInput!$M$15-ArtifactsInput!$M$15)*CHOOSE(ArtifactsInput!$N$15+1,8,9.6,11.2,12.8,14.4,16))/150)*(1-B1555/150)))/100</f>
        <v/>
      </c>
    </row>
    <row r="1557">
      <c r="A1557" t="inlineStr">
        <is>
          <t>Skill + Buff Cast Rate</t>
        </is>
      </c>
      <c r="B1557">
        <f>IF(AND(Inputs!$B$38&lt;&gt;"pvp",Inputs!$B$43&gt;0),SUMPRODUCT((Skills!F2:F28=TRUE)*(C1524:C1550=TRUE)*R1524:R1550)/Inputs!$B$43,SUMPRODUCT((Skills!F2:F28=TRUE)*(C1524:C1550=TRUE)*Q1524:Q1550))</f>
        <v/>
      </c>
    </row>
    <row r="1558">
      <c r="A1558" t="inlineStr">
        <is>
          <t>Basic Attacks Per Second</t>
        </is>
      </c>
      <c r="B1558">
        <f>MAX(0,B1556-B1557)</f>
        <v/>
      </c>
    </row>
    <row r="1559">
      <c r="A1559" t="inlineStr">
        <is>
          <t>Meteor Proc — combined trigger cast rate</t>
        </is>
      </c>
      <c r="B1559">
        <f>IF(AND(Inputs!$B$38&lt;&gt;"pvp",Inputs!$B$43&gt;0),SUMPRODUCT((Skills!V2:V28=TRUE)*(C1524:C1550=TRUE)*R1524:R1550*Skills!W2:W28)/Inputs!$B$43,SUMPRODUCT((Skills!V2:V28=TRUE)*(C1524:C1550=TRUE)*Q1524:Q1550*Skills!W2:W28))+B1558</f>
        <v/>
      </c>
    </row>
    <row r="1560">
      <c r="A1560" t="inlineStr">
        <is>
          <t>Buff-Casting Startup Delay (s, fixed-duration only)</t>
        </is>
      </c>
      <c r="B1560">
        <f>IF(AND(Inputs!$B$38&lt;&gt;"pvp",Inputs!$B$43&gt;0),SUMPRODUCT((Skills!T2:T28&gt;0)*(Skills!F2:F28=TRUE)*(C1524:C1550=TRUE))/B1556,0)</f>
        <v/>
      </c>
    </row>
    <row r="1561">
      <c r="A1561" t="inlineStr">
        <is>
          <t>Boss-Only Total DPS (this block's swept value)</t>
        </is>
      </c>
      <c r="B1561">
        <f>SUM(S1524:S1550)</f>
        <v/>
      </c>
    </row>
    <row r="1562">
      <c r="A1562" t="inlineStr">
        <is>
          <t>Normal-Only Total DPS (this block's swept value)</t>
        </is>
      </c>
      <c r="B1562">
        <f>SUM(U1524:U1550)</f>
        <v/>
      </c>
    </row>
    <row r="1563">
      <c r="A1563" s="6" t="inlineStr">
        <is>
          <t>TOTAL DPS</t>
        </is>
      </c>
      <c r="B1563" s="6">
        <f>SUM(O1524:O1550)</f>
        <v/>
      </c>
    </row>
    <row r="1566">
      <c r="A1566" s="6" t="inlineStr">
        <is>
          <t>Stat: Athena Pierce's Old Gloves (Equip)</t>
        </is>
      </c>
    </row>
    <row r="1567">
      <c r="A1567" s="5" t="inlineStr">
        <is>
          <t>Key</t>
        </is>
      </c>
      <c r="B1567" s="5" t="inlineStr">
        <is>
          <t>Name</t>
        </is>
      </c>
      <c r="C1567" s="5" t="inlineStr">
        <is>
          <t>Unlocked</t>
        </is>
      </c>
      <c r="D1567" s="5" t="inlineStr">
        <is>
          <t>InputLevel</t>
        </is>
      </c>
      <c r="E1567" s="5" t="inlineStr">
        <is>
          <t>Factor</t>
        </is>
      </c>
      <c r="F1567" s="5" t="inlineStr">
        <is>
          <t>CoefficientPercent</t>
        </is>
      </c>
      <c r="G1567" s="5" t="inlineStr">
        <is>
          <t>EffectiveHits</t>
        </is>
      </c>
      <c r="H1567" s="5" t="inlineStr">
        <is>
          <t>ProcProbability</t>
        </is>
      </c>
      <c r="I1567" s="5" t="inlineStr">
        <is>
          <t>MapleHeroMultiplier</t>
        </is>
      </c>
      <c r="J1567" s="5" t="inlineStr">
        <is>
          <t>BaseDamage</t>
        </is>
      </c>
      <c r="K1567" s="5" t="inlineStr">
        <is>
          <t>BaseHitDamage</t>
        </is>
      </c>
      <c r="L1567" s="5" t="inlineStr">
        <is>
          <t>NonCritAvg</t>
        </is>
      </c>
      <c r="M1567" s="5" t="inlineStr">
        <is>
          <t>CritAvg</t>
        </is>
      </c>
      <c r="N1567" s="5" t="inlineStr">
        <is>
          <t>ExpectedDamage(perHit)</t>
        </is>
      </c>
      <c r="O1567" s="5" t="inlineStr">
        <is>
          <t>DPS</t>
        </is>
      </c>
      <c r="P1567" s="5" t="inlineStr">
        <is>
          <t>% of Total</t>
        </is>
      </c>
      <c r="R1567" t="inlineStr">
        <is>
          <t>helpers</t>
        </is>
      </c>
    </row>
    <row r="1568">
      <c r="A1568">
        <f>Skills!A2</f>
        <v/>
      </c>
      <c r="B1568">
        <f>Skills!B2</f>
        <v/>
      </c>
      <c r="C1568">
        <f>TRUE</f>
        <v/>
      </c>
      <c r="D1568" t="inlineStr"/>
      <c r="E1568" t="inlineStr"/>
      <c r="F1568">
        <f>T1570+Skills!O2</f>
        <v/>
      </c>
      <c r="G1568">
        <f>Calc!G2</f>
        <v/>
      </c>
      <c r="H1568">
        <f>Calc!H2</f>
        <v/>
      </c>
      <c r="I1568">
        <f>IF(Skills!X2&lt;&gt;"",1+(Skills!X2/10)*(Z1569/1000)/100,1)</f>
        <v/>
      </c>
      <c r="J1568">
        <f>((Inputs!$B$6*(1+Inputs!$B$7/100))+(((Inputs!$B$12*(1+Inputs!$B$13/100))-(Inputs!$B$12*(1+Inputs!$B$13/100)))+0.25*(Inputs!$B$14-Inputs!$B$14))*(1+Inputs!$B$7/100))*(F1568/100)</f>
        <v/>
      </c>
      <c r="K1568">
        <f>J1568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1568)</f>
        <v/>
      </c>
      <c r="L1568">
        <f>K1568*(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68">
        <f>L1568*(1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8">
        <f>L1568*(1-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1568*(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8">
        <f>(1-Summary!$B$11)*S1568+Summary!$B$11*U1568</f>
        <v/>
      </c>
      <c r="P1568">
        <f>IF(B1607=0,0,O1568/B1607)</f>
        <v/>
      </c>
      <c r="Q1568">
        <f>IFERROR(1/(IF(Inputs!$B$38="pvp",15,MAX(0.1,Skills!E2-IF(Skills!F2=TRUE,Inputs!$B$32,0)))*(1-IF(AND(ArtifactsInput!$M$27,Inputs!$B$4="Chapter Hunt"),CHOOSE(ArtifactsInput!$N$27+1,20,24,28,32,36,40),0)/100)),0)</f>
        <v/>
      </c>
      <c r="R1568" t="n">
        <v>0</v>
      </c>
      <c r="S1568">
        <f>(Skills!G2*N1568*B1602)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1568*(1-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1568*(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1568*(1-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1568*(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568">
        <f>MAX(0,(Inputs!$B$3-100)*3)+Inputs!$B$28+Inputs!$B$29</f>
        <v/>
      </c>
      <c r="U1568">
        <f>(Skills!G2*N1568*B1602)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568">
        <f>MAX(0,(Inputs!$B$3-100)*3)+Inputs!$B$28+Inputs!$B$29</f>
        <v/>
      </c>
    </row>
    <row r="1569">
      <c r="A1569">
        <f>Skills!A3</f>
        <v/>
      </c>
      <c r="B1569">
        <f>Skills!B3</f>
        <v/>
      </c>
      <c r="C1569">
        <f>TRUE</f>
        <v/>
      </c>
      <c r="D1569">
        <f>IF(Skills!C3=1,60+Inputs!$B$25+Inputs!$B$29,IF(Skills!C3=2,90+Inputs!$B$26+Inputs!$B$29,IF(Skills!C3=3,120+Inputs!$B$27+Inputs!$B$29,MAX(0,(Inputs!$B$3-100)*3)+Inputs!$B$28+Inputs!$B$29)))</f>
        <v/>
      </c>
      <c r="E1569">
        <f>INDEX(FactorTable!$B$2:$Y$301, MATCH(ROUND(MIN(300,MAX(1,D1569)),0), FactorTable!$A$2:$A$301,0), Skills!M3+1)</f>
        <v/>
      </c>
      <c r="F1569">
        <f>IF(Skills!N3=TRUE,(Skills!L3/10)*(E1569/1000),Skills!L3/10)+Skills!O3</f>
        <v/>
      </c>
      <c r="G1569">
        <f>Calc!G3</f>
        <v/>
      </c>
      <c r="H1569">
        <f>Calc!H3</f>
        <v/>
      </c>
      <c r="I1569">
        <f>IF(Skills!X3&lt;&gt;"",1+(Skills!X3/10)*(Z1569/1000)/100,1)</f>
        <v/>
      </c>
      <c r="J1569">
        <f>((Inputs!$B$6*(1+Inputs!$B$7/100))+(((Inputs!$B$12*(1+Inputs!$B$13/100))-(Inputs!$B$12*(1+Inputs!$B$13/100)))+0.25*(Inputs!$B$14-Inputs!$B$14))*(1+Inputs!$B$7/100))*(F1569/100)</f>
        <v/>
      </c>
      <c r="K1569">
        <f>J1569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1569)</f>
        <v/>
      </c>
      <c r="L1569">
        <f>K1569*(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69">
        <f>L1569*(1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9">
        <f>L1569*(1-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1569*(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9">
        <f>(1-Summary!$B$11)*S1569+Summary!$B$11*U1569</f>
        <v/>
      </c>
      <c r="P1569">
        <f>IF(B1607=0,0,O1569/B1607)</f>
        <v/>
      </c>
      <c r="Q1569">
        <f>IFERROR(1/(IF(Inputs!$B$38="pvp",15,MAX(0.1,Skills!E3-IF(Skills!F3=TRUE,Inputs!$B$32,0)))*(1-IF(AND(ArtifactsInput!$M$27,Inputs!$B$4="Chapter Hunt"),CHOOSE(ArtifactsInput!$N$27+1,20,24,28,32,36,40),0)/100)),0)</f>
        <v/>
      </c>
      <c r="R1569">
        <f>IF(AND(Inputs!$B$38&lt;&gt;"pvp",Inputs!$B$43&gt;0),IF(MAX(0,Inputs!$B$43-B1604)&lt;=0,0,(INT(MAX(0,Inputs!$B$43-B1604)/(IF(Inputs!$B$38="pvp",15,MAX(0.1,Skills!E3-IF(Skills!F3=TRUE,Inputs!$B$32,0)))*(1-IF(AND(ArtifactsInput!$M$27,Inputs!$B$4="Chapter Hunt"),CHOOSE(ArtifactsInput!$N$27+1,20,24,28,32,36,40),0)/100)))+1)),0)</f>
        <v/>
      </c>
      <c r="S1569">
        <f>IF(C1569,(H1569*N1569*IF(AND(Inputs!$B$38&lt;&gt;"pvp",Inputs!$B$43&gt;0),((Skills!G3*((R1569-1)*IF(Skills!H3&gt;0,Skills!I3/Skills!H3,1)+IF(Skills!H3&gt;0,MIN(Skills!I3,MAX(0,MAX(0,Inputs!$B$43-B1604)-((R1569-1)*(IF(Inputs!$B$38="pvp",15,MAX(0.1,Skills!E3-IF(Skills!F3=TRUE,Inputs!$B$32,0)))*(1-IF(AND(ArtifactsInput!$M$27,Inputs!$B$4="Chapter Hunt"),CHOOSE(ArtifactsInput!$N$27+1,20,24,28,32,36,40),0)/100)))))/Skills!H3,1)))/Inputs!$B$43),G1569*Q1569)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1569*(1-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1569*(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1569*(1-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1569*(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69">
        <f>INDEX(FactorTable!$B$2:$Y$301, MATCH(ROUND(MIN(300,MAX(1,T1568)),0), FactorTable!$A$2:$A$301,0), 22)</f>
        <v/>
      </c>
      <c r="U1569">
        <f>IF(C1569,(H1569*N1569*IF(AND(Inputs!$B$38&lt;&gt;"pvp",Inputs!$B$43&gt;0),((Skills!G3*((R1569-1)*IF(Skills!H3&gt;0,Skills!I3/Skills!H3,1)+IF(Skills!H3&gt;0,MIN(Skills!I3,MAX(0,MAX(0,Inputs!$B$43-B1604)-((R1569-1)*(IF(Inputs!$B$38="pvp",15,MAX(0.1,Skills!E3-IF(Skills!F3=TRUE,Inputs!$B$32,0)))*(1-IF(AND(ArtifactsInput!$M$27,Inputs!$B$4="Chapter Hunt"),CHOOSE(ArtifactsInput!$N$27+1,20,24,28,32,36,40),0)/100)))))/Skills!H3,1)))/Inputs!$B$43),G1569*Q1569)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569">
        <f>INDEX(FactorTable!$B$2:$Y$301, MATCH(ROUND(MIN(300,MAX(1,Z1568)),0), FactorTable!$A$2:$A$301,0), 24)</f>
        <v/>
      </c>
    </row>
    <row r="1570">
      <c r="A1570">
        <f>Skills!A4</f>
        <v/>
      </c>
      <c r="B1570">
        <f>Skills!B4</f>
        <v/>
      </c>
      <c r="C1570">
        <f>TRUE</f>
        <v/>
      </c>
      <c r="D1570">
        <f>IF(Skills!C4=1,60+Inputs!$B$25+Inputs!$B$29,IF(Skills!C4=2,90+Inputs!$B$26+Inputs!$B$29,IF(Skills!C4=3,120+Inputs!$B$27+Inputs!$B$29,MAX(0,(Inputs!$B$3-100)*3)+Inputs!$B$28+Inputs!$B$29)))</f>
        <v/>
      </c>
      <c r="E1570">
        <f>INDEX(FactorTable!$B$2:$Y$301, MATCH(ROUND(MIN(300,MAX(1,D1570)),0), FactorTable!$A$2:$A$301,0), Skills!M4+1)</f>
        <v/>
      </c>
      <c r="F1570">
        <f>IF(Skills!N4=TRUE,(Skills!L4/10)*(E1570/1000),Skills!L4/10)+Skills!O4</f>
        <v/>
      </c>
      <c r="G1570">
        <f>Calc!G4</f>
        <v/>
      </c>
      <c r="H1570">
        <f>Calc!H4</f>
        <v/>
      </c>
      <c r="I1570">
        <f>IF(Skills!X4&lt;&gt;"",1+(Skills!X4/10)*(Z1569/1000)/100,1)</f>
        <v/>
      </c>
      <c r="J1570">
        <f>((Inputs!$B$6*(1+Inputs!$B$7/100))+(((Inputs!$B$12*(1+Inputs!$B$13/100))-(Inputs!$B$12*(1+Inputs!$B$13/100)))+0.25*(Inputs!$B$14-Inputs!$B$14))*(1+Inputs!$B$7/100))*(F1570/100)</f>
        <v/>
      </c>
      <c r="K1570">
        <f>J1570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1570)</f>
        <v/>
      </c>
      <c r="L1570">
        <f>K1570*(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70">
        <f>L1570*(1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0">
        <f>L1570*(1-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1570*(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0">
        <f>(1-Summary!$B$11)*S1570+Summary!$B$11*U1570</f>
        <v/>
      </c>
      <c r="P1570">
        <f>IF(B1607=0,0,O1570/B1607)</f>
        <v/>
      </c>
      <c r="Q1570">
        <f>IFERROR(1/(IF(Inputs!$B$38="pvp",15,MAX(0.1,Skills!E4-IF(Skills!F4=TRUE,Inputs!$B$32,0)))*(1-IF(AND(ArtifactsInput!$M$27,Inputs!$B$4="Chapter Hunt"),CHOOSE(ArtifactsInput!$N$27+1,20,24,28,32,36,40),0)/100)),0)</f>
        <v/>
      </c>
      <c r="R1570">
        <f>IF(AND(Inputs!$B$38&lt;&gt;"pvp",Inputs!$B$43&gt;0),IF(MAX(0,Inputs!$B$43-B1604)&lt;=0,0,(INT(MAX(0,Inputs!$B$43-B1604)/(IF(Inputs!$B$38="pvp",15,MAX(0.1,Skills!E4-IF(Skills!F4=TRUE,Inputs!$B$32,0)))*(1-IF(AND(ArtifactsInput!$M$27,Inputs!$B$4="Chapter Hunt"),CHOOSE(ArtifactsInput!$N$27+1,20,24,28,32,36,40),0)/100)))+1)),0)</f>
        <v/>
      </c>
      <c r="S1570">
        <f>IF(C1570,(H1570*N1570*IF(AND(Inputs!$B$38&lt;&gt;"pvp",Inputs!$B$43&gt;0),((Skills!G4*((R1570-1)*IF(Skills!H4&gt;0,Skills!I4/Skills!H4,1)+IF(Skills!H4&gt;0,MIN(Skills!I4,MAX(0,MAX(0,Inputs!$B$43-B1604)-((R1570-1)*(IF(Inputs!$B$38="pvp",15,MAX(0.1,Skills!E4-IF(Skills!F4=TRUE,Inputs!$B$32,0)))*(1-IF(AND(ArtifactsInput!$M$27,Inputs!$B$4="Chapter Hunt"),CHOOSE(ArtifactsInput!$N$27+1,20,24,28,32,36,40),0)/100)))))/Skills!H4,1)))/Inputs!$B$43),G1570*Q1570)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1570*(1-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1570*(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1570*(1-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1570*(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70">
        <f>290*T1569/1000</f>
        <v/>
      </c>
      <c r="U1570">
        <f>IF(C1570,(H1570*N1570*IF(AND(Inputs!$B$38&lt;&gt;"pvp",Inputs!$B$43&gt;0),((Skills!G4*((R1570-1)*IF(Skills!H4&gt;0,Skills!I4/Skills!H4,1)+IF(Skills!H4&gt;0,MIN(Skills!I4,MAX(0,MAX(0,Inputs!$B$43-B1604)-((R1570-1)*(IF(Inputs!$B$38="pvp",15,MAX(0.1,Skills!E4-IF(Skills!F4=TRUE,Inputs!$B$32,0)))*(1-IF(AND(ArtifactsInput!$M$27,Inputs!$B$4="Chapter Hunt"),CHOOSE(ArtifactsInput!$N$27+1,20,24,28,32,36,40),0)/100)))))/Skills!H4,1)))/Inputs!$B$43),G1570*Q1570)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1">
      <c r="A1571">
        <f>Skills!A5</f>
        <v/>
      </c>
      <c r="B1571">
        <f>Skills!B5</f>
        <v/>
      </c>
      <c r="C1571">
        <f>TRUE</f>
        <v/>
      </c>
      <c r="D1571">
        <f>IF(Skills!C5=1,60+Inputs!$B$25+Inputs!$B$29,IF(Skills!C5=2,90+Inputs!$B$26+Inputs!$B$29,IF(Skills!C5=3,120+Inputs!$B$27+Inputs!$B$29,MAX(0,(Inputs!$B$3-100)*3)+Inputs!$B$28+Inputs!$B$29)))</f>
        <v/>
      </c>
      <c r="E1571">
        <f>INDEX(FactorTable!$B$2:$Y$301, MATCH(ROUND(MIN(300,MAX(1,D1571)),0), FactorTable!$A$2:$A$301,0), Skills!M5+1)</f>
        <v/>
      </c>
      <c r="F1571">
        <f>IF(Skills!N5=TRUE,(Skills!L5/10)*(E1571/1000),Skills!L5/10)+Skills!O5</f>
        <v/>
      </c>
      <c r="G1571">
        <f>Calc!G5</f>
        <v/>
      </c>
      <c r="H1571">
        <f>Calc!H5</f>
        <v/>
      </c>
      <c r="I1571">
        <f>IF(Skills!X5&lt;&gt;"",1+(Skills!X5/10)*(Z1569/1000)/100,1)</f>
        <v/>
      </c>
      <c r="J1571">
        <f>((Inputs!$B$6*(1+Inputs!$B$7/100))+(((Inputs!$B$12*(1+Inputs!$B$13/100))-(Inputs!$B$12*(1+Inputs!$B$13/100)))+0.25*(Inputs!$B$14-Inputs!$B$14))*(1+Inputs!$B$7/100))*(F1571/100)</f>
        <v/>
      </c>
      <c r="K1571">
        <f>J1571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1571)</f>
        <v/>
      </c>
      <c r="L1571">
        <f>K1571*(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71">
        <f>L1571*(1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1">
        <f>L1571*(1-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1">
        <f>(1-Summary!$B$11)*S1571+Summary!$B$11*U1571</f>
        <v/>
      </c>
      <c r="P1571">
        <f>IF(B1607=0,0,O1571/B1607)</f>
        <v/>
      </c>
      <c r="Q1571">
        <f>IFERROR(1/(IF(Inputs!$B$38="pvp",15,MAX(0.1,Skills!E5-IF(Skills!F5=TRUE,Inputs!$B$32,0)))*(1-IF(AND(ArtifactsInput!$M$27,Inputs!$B$4="Chapter Hunt"),CHOOSE(ArtifactsInput!$N$27+1,20,24,28,32,36,40),0)/100)),0)</f>
        <v/>
      </c>
      <c r="R1571">
        <f>IF(AND(Inputs!$B$38&lt;&gt;"pvp",Inputs!$B$43&gt;0),IF(MAX(0,Inputs!$B$43-B1604)&lt;=0,0,(INT(MAX(0,Inputs!$B$43-B1604)/(IF(Inputs!$B$38="pvp",15,MAX(0.1,Skills!E5-IF(Skills!F5=TRUE,Inputs!$B$32,0)))*(1-IF(AND(ArtifactsInput!$M$27,Inputs!$B$4="Chapter Hunt"),CHOOSE(ArtifactsInput!$N$27+1,20,24,28,32,36,40),0)/100)))+1)),0)</f>
        <v/>
      </c>
      <c r="S1571">
        <f>IF(C1571,(H1571*N1571*IF(AND(Inputs!$B$38&lt;&gt;"pvp",Inputs!$B$43&gt;0),((Skills!G5*((R1571-1)*IF(Skills!H5&gt;0,Skills!I5/Skills!H5,1)+IF(Skills!H5&gt;0,MIN(Skills!I5,MAX(0,MAX(0,Inputs!$B$43-B1604)-((R1571-1)*(IF(Inputs!$B$38="pvp",15,MAX(0.1,Skills!E5-IF(Skills!F5=TRUE,Inputs!$B$32,0)))*(1-IF(AND(ArtifactsInput!$M$27,Inputs!$B$4="Chapter Hunt"),CHOOSE(ArtifactsInput!$N$27+1,20,24,28,32,36,40),0)/100)))))/Skills!H5,1)))/Inputs!$B$43),G1571*Q1571)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1571*(1-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1571*(1-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1">
        <f>IF(C1571,(H1571*N1571*IF(AND(Inputs!$B$38&lt;&gt;"pvp",Inputs!$B$43&gt;0),((Skills!G5*((R1571-1)*IF(Skills!H5&gt;0,Skills!I5/Skills!H5,1)+IF(Skills!H5&gt;0,MIN(Skills!I5,MAX(0,MAX(0,Inputs!$B$43-B1604)-((R1571-1)*(IF(Inputs!$B$38="pvp",15,MAX(0.1,Skills!E5-IF(Skills!F5=TRUE,Inputs!$B$32,0)))*(1-IF(AND(ArtifactsInput!$M$27,Inputs!$B$4="Chapter Hunt"),CHOOSE(ArtifactsInput!$N$27+1,20,24,28,32,36,40),0)/100)))))/Skills!H5,1)))/Inputs!$B$43),G1571*Q1571)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2">
      <c r="A1572">
        <f>Skills!A6</f>
        <v/>
      </c>
      <c r="B1572">
        <f>Skills!B6</f>
        <v/>
      </c>
      <c r="C1572">
        <f>TRUE</f>
        <v/>
      </c>
      <c r="D1572">
        <f>IF(Skills!C6=1,60+Inputs!$B$25+Inputs!$B$29,IF(Skills!C6=2,90+Inputs!$B$26+Inputs!$B$29,IF(Skills!C6=3,120+Inputs!$B$27+Inputs!$B$29,MAX(0,(Inputs!$B$3-100)*3)+Inputs!$B$28+Inputs!$B$29)))</f>
        <v/>
      </c>
      <c r="E1572">
        <f>INDEX(FactorTable!$B$2:$Y$301, MATCH(ROUND(MIN(300,MAX(1,D1572)),0), FactorTable!$A$2:$A$301,0), Skills!M6+1)</f>
        <v/>
      </c>
      <c r="F1572">
        <f>IF(Skills!N6=TRUE,(Skills!L6/10)*(E1572/1000),Skills!L6/10)+Skills!O6</f>
        <v/>
      </c>
      <c r="G1572">
        <f>Calc!G6</f>
        <v/>
      </c>
      <c r="H1572">
        <f>Calc!H6</f>
        <v/>
      </c>
      <c r="I1572">
        <f>IF(Skills!X6&lt;&gt;"",1+(Skills!X6/10)*(Z1569/1000)/100,1)</f>
        <v/>
      </c>
      <c r="J1572" t="inlineStr"/>
      <c r="K1572" t="inlineStr"/>
      <c r="L1572" t="inlineStr"/>
      <c r="M1572" t="inlineStr"/>
      <c r="N1572" t="inlineStr"/>
      <c r="O1572">
        <f>(1-Summary!$B$11)*S1572+Summary!$B$11*U1572</f>
        <v/>
      </c>
      <c r="P1572">
        <f>IF(B1607=0,0,O1572/B1607)</f>
        <v/>
      </c>
      <c r="Q1572">
        <f>IFERROR(1/(IF(Inputs!$B$38="pvp",15,MAX(0.1,Skills!E6-IF(Skills!F6=TRUE,Inputs!$B$32,0)))*(1-IF(AND(ArtifactsInput!$M$27,Inputs!$B$4="Chapter Hunt"),CHOOSE(ArtifactsInput!$N$27+1,20,24,28,32,36,40),0)/100)),0)</f>
        <v/>
      </c>
      <c r="R1572">
        <f>IF(AND(Inputs!$B$38&lt;&gt;"pvp",Inputs!$B$43&gt;0),IF(Inputs!$B$43&lt;=0,0,(INT(Inputs!$B$43/(IF(Inputs!$B$38="pvp",15,MAX(0.1,Skills!E6-IF(Skills!F6=TRUE,Inputs!$B$32,0)))*(1-IF(AND(ArtifactsInput!$M$27,Inputs!$B$4="Chapter Hunt"),CHOOSE(ArtifactsInput!$N$27+1,20,24,28,32,36,40),0)/100)))+1)),0)</f>
        <v/>
      </c>
      <c r="S1572" t="n">
        <v>0</v>
      </c>
      <c r="U1572" t="n">
        <v>0</v>
      </c>
    </row>
    <row r="1573">
      <c r="A1573">
        <f>Skills!A7</f>
        <v/>
      </c>
      <c r="B1573">
        <f>Skills!B7</f>
        <v/>
      </c>
      <c r="C1573">
        <f>TRUE</f>
        <v/>
      </c>
      <c r="D1573">
        <f>IF(Skills!C7=1,60+Inputs!$B$25+Inputs!$B$29,IF(Skills!C7=2,90+Inputs!$B$26+Inputs!$B$29,IF(Skills!C7=3,120+Inputs!$B$27+Inputs!$B$29,MAX(0,(Inputs!$B$3-100)*3)+Inputs!$B$28+Inputs!$B$29)))</f>
        <v/>
      </c>
      <c r="E1573">
        <f>INDEX(FactorTable!$B$2:$Y$301, MATCH(ROUND(MIN(300,MAX(1,D1573)),0), FactorTable!$A$2:$A$301,0), Skills!M7+1)</f>
        <v/>
      </c>
      <c r="F1573">
        <f>IF(Skills!N7=TRUE,(Skills!L7/10)*(E1573/1000),Skills!L7/10)+Skills!O7</f>
        <v/>
      </c>
      <c r="G1573">
        <f>Calc!G7</f>
        <v/>
      </c>
      <c r="H1573">
        <f>Calc!H7</f>
        <v/>
      </c>
      <c r="I1573">
        <f>IF(Skills!X7&lt;&gt;"",1+(Skills!X7/10)*(Z1569/1000)/100,1)</f>
        <v/>
      </c>
      <c r="J1573">
        <f>((Inputs!$B$6*(1+Inputs!$B$7/100))+(((Inputs!$B$12*(1+Inputs!$B$13/100))-(Inputs!$B$12*(1+Inputs!$B$13/100)))+0.25*(Inputs!$B$14-Inputs!$B$14))*(1+Inputs!$B$7/100))*(F1573/100)</f>
        <v/>
      </c>
      <c r="K1573">
        <f>J1573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1573)</f>
        <v/>
      </c>
      <c r="L1573">
        <f>K1573*(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73">
        <f>L1573*(1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3">
        <f>L1573*(1-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1573*(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3">
        <f>(1-Summary!$B$11)*S1573+Summary!$B$11*U1573</f>
        <v/>
      </c>
      <c r="P1573">
        <f>IF(B1607=0,0,O1573/B1607)</f>
        <v/>
      </c>
      <c r="Q1573">
        <f>IFERROR(1/(IF(Inputs!$B$38="pvp",15,MAX(0.1,Skills!E7-IF(Skills!F7=TRUE,Inputs!$B$32,0)))*(1-IF(AND(ArtifactsInput!$M$27,Inputs!$B$4="Chapter Hunt"),CHOOSE(ArtifactsInput!$N$27+1,20,24,28,32,36,40),0)/100)),0)</f>
        <v/>
      </c>
      <c r="R1573">
        <f>IF(AND(Inputs!$B$38&lt;&gt;"pvp",Inputs!$B$43&gt;0),IF(MAX(0,Inputs!$B$43-B1604)&lt;=0,0,(INT(MAX(0,Inputs!$B$43-B1604)/(IF(Inputs!$B$38="pvp",15,MAX(0.1,Skills!E7-IF(Skills!F7=TRUE,Inputs!$B$32,0)))*(1-IF(AND(ArtifactsInput!$M$27,Inputs!$B$4="Chapter Hunt"),CHOOSE(ArtifactsInput!$N$27+1,20,24,28,32,36,40),0)/100)))+1)),0)</f>
        <v/>
      </c>
      <c r="S1573">
        <f>IF(C1573,(H1573*N1573*IF(AND(Inputs!$B$38&lt;&gt;"pvp",Inputs!$B$43&gt;0),((Skills!G7*((R1573-1)*IF(Skills!H7&gt;0,Skills!I7/Skills!H7,1)+IF(Skills!H7&gt;0,MIN(Skills!I7,MAX(0,MAX(0,Inputs!$B$43-B1604)-((R1573-1)*(IF(Inputs!$B$38="pvp",15,MAX(0.1,Skills!E7-IF(Skills!F7=TRUE,Inputs!$B$32,0)))*(1-IF(AND(ArtifactsInput!$M$27,Inputs!$B$4="Chapter Hunt"),CHOOSE(ArtifactsInput!$N$27+1,20,24,28,32,36,40),0)/100)))))/Skills!H7,1)))/Inputs!$B$43),G1573*Q1573)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1573*(1-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1573*(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1573*(1-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1573*(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3">
        <f>IF(C1573,(H1573*N1573*IF(AND(Inputs!$B$38&lt;&gt;"pvp",Inputs!$B$43&gt;0),((Skills!G7*((R1573-1)*IF(Skills!H7&gt;0,Skills!I7/Skills!H7,1)+IF(Skills!H7&gt;0,MIN(Skills!I7,MAX(0,MAX(0,Inputs!$B$43-B1604)-((R1573-1)*(IF(Inputs!$B$38="pvp",15,MAX(0.1,Skills!E7-IF(Skills!F7=TRUE,Inputs!$B$32,0)))*(1-IF(AND(ArtifactsInput!$M$27,Inputs!$B$4="Chapter Hunt"),CHOOSE(ArtifactsInput!$N$27+1,20,24,28,32,36,40),0)/100)))))/Skills!H7,1)))/Inputs!$B$43),G1573*Q1573)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4">
      <c r="A1574">
        <f>Skills!A8</f>
        <v/>
      </c>
      <c r="B1574">
        <f>Skills!B8</f>
        <v/>
      </c>
      <c r="C1574">
        <f>TRUE</f>
        <v/>
      </c>
      <c r="D1574">
        <f>IF(Skills!C8=1,60+Inputs!$B$25+Inputs!$B$29,IF(Skills!C8=2,90+Inputs!$B$26+Inputs!$B$29,IF(Skills!C8=3,120+Inputs!$B$27+Inputs!$B$29,MAX(0,(Inputs!$B$3-100)*3)+Inputs!$B$28+Inputs!$B$29)))</f>
        <v/>
      </c>
      <c r="E1574">
        <f>INDEX(FactorTable!$B$2:$Y$301, MATCH(ROUND(MIN(300,MAX(1,D1574)),0), FactorTable!$A$2:$A$301,0), Skills!M8+1)</f>
        <v/>
      </c>
      <c r="F1574">
        <f>IF(Skills!N8=TRUE,(Skills!L8/10)*(E1574/1000),Skills!L8/10)+Skills!O8</f>
        <v/>
      </c>
      <c r="G1574">
        <f>Calc!G8</f>
        <v/>
      </c>
      <c r="H1574">
        <f>Calc!H8</f>
        <v/>
      </c>
      <c r="I1574">
        <f>IF(Skills!X8&lt;&gt;"",1+(Skills!X8/10)*(Z1569/1000)/100,1)</f>
        <v/>
      </c>
      <c r="J1574">
        <f>((Inputs!$B$6*(1+Inputs!$B$7/100))+(((Inputs!$B$12*(1+Inputs!$B$13/100))-(Inputs!$B$12*(1+Inputs!$B$13/100)))+0.25*(Inputs!$B$14-Inputs!$B$14))*(1+Inputs!$B$7/100))*(F1574/100)</f>
        <v/>
      </c>
      <c r="K1574">
        <f>J1574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1574)</f>
        <v/>
      </c>
      <c r="L1574">
        <f>K1574*(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74">
        <f>L1574*(1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4">
        <f>L1574*(1-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1574*(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4">
        <f>(1-Summary!$B$11)*S1574+Summary!$B$11*U1574</f>
        <v/>
      </c>
      <c r="P1574">
        <f>IF(B1607=0,0,O1574/B1607)</f>
        <v/>
      </c>
      <c r="Q1574">
        <f>IFERROR(1/(IF(Inputs!$B$38="pvp",15,MAX(0.1,Skills!E8-IF(Skills!F8=TRUE,Inputs!$B$32,0)))*(1-IF(AND(ArtifactsInput!$M$27,Inputs!$B$4="Chapter Hunt"),CHOOSE(ArtifactsInput!$N$27+1,20,24,28,32,36,40),0)/100)),0)</f>
        <v/>
      </c>
      <c r="R1574">
        <f>IF(AND(Inputs!$B$38&lt;&gt;"pvp",Inputs!$B$43&gt;0),IF(MAX(0,Inputs!$B$43-B1604)&lt;=0,0,(INT(MAX(0,Inputs!$B$43-B1604)/(IF(Inputs!$B$38="pvp",15,MAX(0.1,Skills!E8-IF(Skills!F8=TRUE,Inputs!$B$32,0)))*(1-IF(AND(ArtifactsInput!$M$27,Inputs!$B$4="Chapter Hunt"),CHOOSE(ArtifactsInput!$N$27+1,20,24,28,32,36,40),0)/100)))+1)),0)</f>
        <v/>
      </c>
      <c r="S1574">
        <f>IF(C1574,(H1574*N1574*IF(AND(Inputs!$B$38&lt;&gt;"pvp",Inputs!$B$43&gt;0),((Skills!G8*((R1574-1)*IF(Skills!H8&gt;0,Skills!I8/Skills!H8,1)+IF(Skills!H8&gt;0,MIN(Skills!I8,MAX(0,MAX(0,Inputs!$B$43-B1604)-((R1574-1)*(IF(Inputs!$B$38="pvp",15,MAX(0.1,Skills!E8-IF(Skills!F8=TRUE,Inputs!$B$32,0)))*(1-IF(AND(ArtifactsInput!$M$27,Inputs!$B$4="Chapter Hunt"),CHOOSE(ArtifactsInput!$N$27+1,20,24,28,32,36,40),0)/100)))))/Skills!H8,1)))/Inputs!$B$43),G1574*Q1574)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1574*(1-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1574*(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1574*(1-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1574*(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4">
        <f>IF(C1574,(H1574*N1574*IF(AND(Inputs!$B$38&lt;&gt;"pvp",Inputs!$B$43&gt;0),((Skills!G8*((R1574-1)*IF(Skills!H8&gt;0,Skills!I8/Skills!H8,1)+IF(Skills!H8&gt;0,MIN(Skills!I8,MAX(0,MAX(0,Inputs!$B$43-B1604)-((R1574-1)*(IF(Inputs!$B$38="pvp",15,MAX(0.1,Skills!E8-IF(Skills!F8=TRUE,Inputs!$B$32,0)))*(1-IF(AND(ArtifactsInput!$M$27,Inputs!$B$4="Chapter Hunt"),CHOOSE(ArtifactsInput!$N$27+1,20,24,28,32,36,40),0)/100)))))/Skills!H8,1)))/Inputs!$B$43),G1574*Q1574)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5">
      <c r="A1575">
        <f>Skills!A9</f>
        <v/>
      </c>
      <c r="B1575">
        <f>Skills!B9</f>
        <v/>
      </c>
      <c r="C1575">
        <f>Inputs!$B$3&gt;=103</f>
        <v/>
      </c>
      <c r="D1575">
        <f>IF(Skills!C9=1,60+Inputs!$B$25+Inputs!$B$29,IF(Skills!C9=2,90+Inputs!$B$26+Inputs!$B$29,IF(Skills!C9=3,120+Inputs!$B$27+Inputs!$B$29,MAX(0,(Inputs!$B$3-100)*3)+Inputs!$B$28+Inputs!$B$29)))</f>
        <v/>
      </c>
      <c r="E1575">
        <f>INDEX(FactorTable!$B$2:$Y$301, MATCH(ROUND(MIN(300,MAX(1,D1575)),0), FactorTable!$A$2:$A$301,0), Skills!M9+1)</f>
        <v/>
      </c>
      <c r="F1575">
        <f>IF(Skills!N9=TRUE,(Skills!L9/10)*(E1575/1000),Skills!L9/10)+Skills!O9</f>
        <v/>
      </c>
      <c r="G1575">
        <f>Calc!G9</f>
        <v/>
      </c>
      <c r="H1575">
        <f>Calc!H9</f>
        <v/>
      </c>
      <c r="I1575">
        <f>IF(Skills!X9&lt;&gt;"",1+(Skills!X9/10)*(Z1569/1000)/100,1)</f>
        <v/>
      </c>
      <c r="J1575">
        <f>((Inputs!$B$6*(1+Inputs!$B$7/100))+(((Inputs!$B$12*(1+Inputs!$B$13/100))-(Inputs!$B$12*(1+Inputs!$B$13/100)))+0.25*(Inputs!$B$14-Inputs!$B$14))*(1+Inputs!$B$7/100))*(F1575/100)</f>
        <v/>
      </c>
      <c r="K1575">
        <f>J1575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1575)</f>
        <v/>
      </c>
      <c r="L1575">
        <f>K1575*(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75">
        <f>L1575*(1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5">
        <f>L1575*(1-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1575*(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5">
        <f>(1-Summary!$B$11)*S1575+Summary!$B$11*U1575</f>
        <v/>
      </c>
      <c r="P1575">
        <f>IF(B1607=0,0,O1575/B1607)</f>
        <v/>
      </c>
      <c r="Q1575">
        <f>IFERROR(1/(IF(Inputs!$B$38="pvp",15,MAX(0.1,Skills!E9-IF(Skills!F7=TRUE,Inputs!$B$32,0)))*(1-IF(AND(ArtifactsInput!$M$27,Inputs!$B$4="Chapter Hunt"),CHOOSE(ArtifactsInput!$N$27+1,20,24,28,32,36,40),0)/100)),0)</f>
        <v/>
      </c>
      <c r="R1575">
        <f>IF(AND(Inputs!$B$38&lt;&gt;"pvp",Inputs!$B$43&gt;0),IF(MAX(0,Inputs!$B$43-B1604)&lt;=0,0,(INT(MAX(0,Inputs!$B$43-B1604)/(IF(Inputs!$B$38="pvp",15,MAX(0.1,Skills!E9-IF(Skills!F7=TRUE,Inputs!$B$32,0)))*(1-IF(AND(ArtifactsInput!$M$27,Inputs!$B$4="Chapter Hunt"),CHOOSE(ArtifactsInput!$N$27+1,20,24,28,32,36,40),0)/100)))+1)),0)</f>
        <v/>
      </c>
      <c r="S1575">
        <f>IF(C1575,(H1575*N1575*IF(AND(Inputs!$B$38&lt;&gt;"pvp",Inputs!$B$43&gt;0),((Skills!G9*((R1575-1)*IF(Skills!H9&gt;0,Skills!I9/Skills!H9,1)+IF(Skills!H9&gt;0,MIN(Skills!I9,MAX(0,MAX(0,Inputs!$B$43-B1604)-((R1575-1)*(IF(Inputs!$B$38="pvp",15,MAX(0.1,Skills!E9-IF(Skills!F7=TRUE,Inputs!$B$32,0)))*(1-IF(AND(ArtifactsInput!$M$27,Inputs!$B$4="Chapter Hunt"),CHOOSE(ArtifactsInput!$N$27+1,20,24,28,32,36,40),0)/100)))))/Skills!H9,1)))/Inputs!$B$43),G1575*Q1575)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1575*(1-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1575*(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1575*(1-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1575*(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5">
        <f>IF(C1575,(H1575*N1575*IF(AND(Inputs!$B$38&lt;&gt;"pvp",Inputs!$B$43&gt;0),((Skills!G9*((R1575-1)*IF(Skills!H9&gt;0,Skills!I9/Skills!H9,1)+IF(Skills!H9&gt;0,MIN(Skills!I9,MAX(0,MAX(0,Inputs!$B$43-B1604)-((R1575-1)*(IF(Inputs!$B$38="pvp",15,MAX(0.1,Skills!E9-IF(Skills!F7=TRUE,Inputs!$B$32,0)))*(1-IF(AND(ArtifactsInput!$M$27,Inputs!$B$4="Chapter Hunt"),CHOOSE(ArtifactsInput!$N$27+1,20,24,28,32,36,40),0)/100)))))/Skills!H9,1)))/Inputs!$B$43),G1575*Q1575)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6">
      <c r="A1576">
        <f>Skills!A10</f>
        <v/>
      </c>
      <c r="B1576">
        <f>Skills!B10</f>
        <v/>
      </c>
      <c r="C1576">
        <f>TRUE</f>
        <v/>
      </c>
      <c r="D1576">
        <f>IF(Skills!C10=1,60+Inputs!$B$25+Inputs!$B$29,IF(Skills!C10=2,90+Inputs!$B$26+Inputs!$B$29,IF(Skills!C10=3,120+Inputs!$B$27+Inputs!$B$29,MAX(0,(Inputs!$B$3-100)*3)+Inputs!$B$28+Inputs!$B$29)))</f>
        <v/>
      </c>
      <c r="E1576">
        <f>INDEX(FactorTable!$B$2:$Y$301, MATCH(ROUND(MIN(300,MAX(1,D1576)),0), FactorTable!$A$2:$A$301,0), Skills!M10+1)</f>
        <v/>
      </c>
      <c r="F1576">
        <f>IF(Skills!N10=TRUE,(Skills!L10/10)*(E1576/1000),Skills!L10/10)+Skills!O10</f>
        <v/>
      </c>
      <c r="G1576">
        <f>Calc!G10</f>
        <v/>
      </c>
      <c r="H1576">
        <f>Calc!H10</f>
        <v/>
      </c>
      <c r="I1576">
        <f>IF(Skills!X10&lt;&gt;"",1+(Skills!X10/10)*(Z1569/1000)/100,1)</f>
        <v/>
      </c>
      <c r="J1576">
        <f>((Inputs!$B$6*(1+Inputs!$B$7/100))+(((Inputs!$B$12*(1+Inputs!$B$13/100))-(Inputs!$B$12*(1+Inputs!$B$13/100)))+0.25*(Inputs!$B$14-Inputs!$B$14))*(1+Inputs!$B$7/100))*(F1576/100)</f>
        <v/>
      </c>
      <c r="K1576">
        <f>J1576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1576)</f>
        <v/>
      </c>
      <c r="L1576">
        <f>K1576*(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76">
        <f>L1576*(1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6">
        <f>L1576*(1-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1576*(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6">
        <f>(1-Summary!$B$11)*S1576+Summary!$B$11*U1576</f>
        <v/>
      </c>
      <c r="P1576">
        <f>IF(B1607=0,0,O1576/B1607)</f>
        <v/>
      </c>
      <c r="Q1576">
        <f>IFERROR(1/(IF(Inputs!$B$38="pvp",15,MAX(0.1,Skills!E10-IF(Skills!F10=TRUE,Inputs!$B$32,0)))*(1-IF(AND(ArtifactsInput!$M$27,Inputs!$B$4="Chapter Hunt"),CHOOSE(ArtifactsInput!$N$27+1,20,24,28,32,36,40),0)/100)),0)</f>
        <v/>
      </c>
      <c r="R1576">
        <f>IF(AND(Inputs!$B$38&lt;&gt;"pvp",Inputs!$B$43&gt;0),IF(MAX(0,Inputs!$B$43-B1604)&lt;=0,0,(INT(MAX(0,Inputs!$B$43-B1604)/(IF(Inputs!$B$38="pvp",15,MAX(0.1,Skills!E10-IF(Skills!F10=TRUE,Inputs!$B$32,0)))*(1-IF(AND(ArtifactsInput!$M$27,Inputs!$B$4="Chapter Hunt"),CHOOSE(ArtifactsInput!$N$27+1,20,24,28,32,36,40),0)/100)))+1)),0)</f>
        <v/>
      </c>
      <c r="S1576">
        <f>IF(C1576,(H1576*N1576*IF(AND(Inputs!$B$38&lt;&gt;"pvp",Inputs!$B$43&gt;0),((Skills!G10*((R1576-1)*IF(Skills!H10&gt;0,Skills!I10/Skills!H10,1)+IF(Skills!H10&gt;0,MIN(Skills!I10,MAX(0,MAX(0,Inputs!$B$43-B1604)-((R1576-1)*(IF(Inputs!$B$38="pvp",15,MAX(0.1,Skills!E10-IF(Skills!F10=TRUE,Inputs!$B$32,0)))*(1-IF(AND(ArtifactsInput!$M$27,Inputs!$B$4="Chapter Hunt"),CHOOSE(ArtifactsInput!$N$27+1,20,24,28,32,36,40),0)/100)))))/Skills!H10,1)))/Inputs!$B$43),G1576*Q1576)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1576*(1-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1576*(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1576*(1-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1576*(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6">
        <f>IF(C1576,(H1576*N1576*IF(AND(Inputs!$B$38&lt;&gt;"pvp",Inputs!$B$43&gt;0),((Skills!G10*((R1576-1)*IF(Skills!H10&gt;0,Skills!I10/Skills!H10,1)+IF(Skills!H10&gt;0,MIN(Skills!I10,MAX(0,MAX(0,Inputs!$B$43-B1604)-((R1576-1)*(IF(Inputs!$B$38="pvp",15,MAX(0.1,Skills!E10-IF(Skills!F10=TRUE,Inputs!$B$32,0)))*(1-IF(AND(ArtifactsInput!$M$27,Inputs!$B$4="Chapter Hunt"),CHOOSE(ArtifactsInput!$N$27+1,20,24,28,32,36,40),0)/100)))))/Skills!H10,1)))/Inputs!$B$43),G1576*Q1576)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7">
      <c r="A1577">
        <f>Skills!A11</f>
        <v/>
      </c>
      <c r="B1577">
        <f>Skills!B11</f>
        <v/>
      </c>
      <c r="C1577">
        <f>TRUE</f>
        <v/>
      </c>
      <c r="D1577">
        <f>IF(Skills!C11=1,60+Inputs!$B$25+Inputs!$B$29,IF(Skills!C11=2,90+Inputs!$B$26+Inputs!$B$29,IF(Skills!C11=3,120+Inputs!$B$27+Inputs!$B$29,MAX(0,(Inputs!$B$3-100)*3)+Inputs!$B$28+Inputs!$B$29)))</f>
        <v/>
      </c>
      <c r="E1577">
        <f>INDEX(FactorTable!$B$2:$Y$301, MATCH(ROUND(MIN(300,MAX(1,D1577)),0), FactorTable!$A$2:$A$301,0), Skills!M11+1)</f>
        <v/>
      </c>
      <c r="F1577">
        <f>IF(Skills!N11=TRUE,(Skills!L11/10)*(E1577/1000),Skills!L11/10)+Skills!O11</f>
        <v/>
      </c>
      <c r="G1577">
        <f>Calc!G11</f>
        <v/>
      </c>
      <c r="H1577">
        <f>Calc!H11</f>
        <v/>
      </c>
      <c r="I1577">
        <f>IF(Skills!X11&lt;&gt;"",1+(Skills!X11/10)*(Z1569/1000)/100,1)</f>
        <v/>
      </c>
      <c r="J1577" t="inlineStr"/>
      <c r="K1577" t="inlineStr"/>
      <c r="L1577" t="inlineStr"/>
      <c r="M1577" t="inlineStr"/>
      <c r="N1577" t="inlineStr"/>
      <c r="O1577">
        <f>(1-Summary!$B$11)*S1577+Summary!$B$11*U1577</f>
        <v/>
      </c>
      <c r="P1577">
        <f>IF(B1607=0,0,O1577/B1607)</f>
        <v/>
      </c>
      <c r="Q1577">
        <f>IFERROR(1/(IF(Inputs!$B$38="pvp",15,MAX(0.1,Skills!E11-IF(Skills!F11=TRUE,Inputs!$B$32,0)))*(1-IF(AND(ArtifactsInput!$M$27,Inputs!$B$4="Chapter Hunt"),CHOOSE(ArtifactsInput!$N$27+1,20,24,28,32,36,40),0)/100)),0)</f>
        <v/>
      </c>
      <c r="R1577" t="n">
        <v>0</v>
      </c>
      <c r="S1577" t="n">
        <v>0</v>
      </c>
      <c r="U1577" t="n">
        <v>0</v>
      </c>
    </row>
    <row r="1578">
      <c r="A1578">
        <f>Skills!A12</f>
        <v/>
      </c>
      <c r="B1578">
        <f>Skills!B12</f>
        <v/>
      </c>
      <c r="C1578">
        <f>TRUE</f>
        <v/>
      </c>
      <c r="D1578">
        <f>IF(Skills!C12=1,60+Inputs!$B$25+Inputs!$B$29,IF(Skills!C12=2,90+Inputs!$B$26+Inputs!$B$29,IF(Skills!C12=3,120+Inputs!$B$27+Inputs!$B$29,MAX(0,(Inputs!$B$3-100)*3)+Inputs!$B$28+Inputs!$B$29)))</f>
        <v/>
      </c>
      <c r="E1578">
        <f>INDEX(FactorTable!$B$2:$Y$301, MATCH(ROUND(MIN(300,MAX(1,D1578)),0), FactorTable!$A$2:$A$301,0), Skills!M12+1)</f>
        <v/>
      </c>
      <c r="F1578">
        <f>IF(Skills!N12=TRUE,(Skills!L12/10)*(E1578/1000),Skills!L12/10)+Skills!O12</f>
        <v/>
      </c>
      <c r="G1578">
        <f>Calc!G12</f>
        <v/>
      </c>
      <c r="H1578">
        <f>Calc!H12</f>
        <v/>
      </c>
      <c r="I1578">
        <f>IF(Skills!X12&lt;&gt;"",1+(Skills!X12/10)*(Z1569/1000)/100,1)</f>
        <v/>
      </c>
      <c r="J1578" t="inlineStr"/>
      <c r="K1578" t="inlineStr"/>
      <c r="L1578" t="inlineStr"/>
      <c r="M1578" t="inlineStr"/>
      <c r="N1578" t="inlineStr"/>
      <c r="O1578">
        <f>(1-Summary!$B$11)*S1578+Summary!$B$11*U1578</f>
        <v/>
      </c>
      <c r="P1578">
        <f>IF(B1607=0,0,O1578/B1607)</f>
        <v/>
      </c>
      <c r="Q1578">
        <f>IFERROR(1/(IF(Inputs!$B$38="pvp",15,MAX(0.1,Skills!E12-IF(Skills!F12=TRUE,Inputs!$B$32,0)))*(1-IF(AND(ArtifactsInput!$M$27,Inputs!$B$4="Chapter Hunt"),CHOOSE(ArtifactsInput!$N$27+1,20,24,28,32,36,40),0)/100)),0)</f>
        <v/>
      </c>
      <c r="R1578" t="n">
        <v>0</v>
      </c>
      <c r="S1578" t="n">
        <v>0</v>
      </c>
      <c r="U1578" t="n">
        <v>0</v>
      </c>
    </row>
    <row r="1579">
      <c r="A1579">
        <f>Skills!A13</f>
        <v/>
      </c>
      <c r="B1579">
        <f>Skills!B13</f>
        <v/>
      </c>
      <c r="C1579">
        <f>Inputs!$B$3&gt;=105</f>
        <v/>
      </c>
      <c r="D1579">
        <f>IF(Skills!C13=1,60+Inputs!$B$25+Inputs!$B$29,IF(Skills!C13=2,90+Inputs!$B$26+Inputs!$B$29,IF(Skills!C13=3,120+Inputs!$B$27+Inputs!$B$29,MAX(0,(Inputs!$B$3-100)*3)+Inputs!$B$28+Inputs!$B$29)))</f>
        <v/>
      </c>
      <c r="E1579">
        <f>INDEX(FactorTable!$B$2:$Y$301, MATCH(ROUND(MIN(300,MAX(1,D1579)),0), FactorTable!$A$2:$A$301,0), Skills!M13+1)</f>
        <v/>
      </c>
      <c r="F1579">
        <f>IF(Skills!N13=TRUE,(Skills!L13/10)*(E1579/1000),Skills!L13/10)+Skills!O13</f>
        <v/>
      </c>
      <c r="G1579">
        <f>Calc!G13</f>
        <v/>
      </c>
      <c r="H1579">
        <f>Calc!H13</f>
        <v/>
      </c>
      <c r="I1579">
        <f>IF(Skills!X13&lt;&gt;"",1+(Skills!X13/10)*(Z1569/1000)/100,1)</f>
        <v/>
      </c>
      <c r="J1579">
        <f>((Inputs!$B$6*(1+Inputs!$B$7/100))+(((Inputs!$B$12*(1+Inputs!$B$13/100))-(Inputs!$B$12*(1+Inputs!$B$13/100)))+0.25*(Inputs!$B$14-Inputs!$B$14))*(1+Inputs!$B$7/100))*(F1579/100)</f>
        <v/>
      </c>
      <c r="K1579">
        <f>J1579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1579)</f>
        <v/>
      </c>
      <c r="L1579">
        <f>K1579*(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79">
        <f>L1579*(1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9">
        <f>L1579*(1-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1579*(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9">
        <f>(1-Summary!$B$11)*S1579+Summary!$B$11*U1579</f>
        <v/>
      </c>
      <c r="P1579">
        <f>IF(B1607=0,0,O1579/B1607)</f>
        <v/>
      </c>
      <c r="Q1579">
        <f>IFERROR(1/(IF(Inputs!$B$38="pvp",15,MAX(0.1,Skills!E13-IF(Skills!F13=TRUE,Inputs!$B$32,0)))*(1-IF(AND(ArtifactsInput!$M$27,Inputs!$B$4="Chapter Hunt"),CHOOSE(ArtifactsInput!$N$27+1,20,24,28,32,36,40),0)/100)),0)</f>
        <v/>
      </c>
      <c r="R1579">
        <f>IF(AND(Inputs!$B$38&lt;&gt;"pvp",Inputs!$B$43&gt;0),IF(MAX(0,Inputs!$B$43-B1604)&lt;=0,0,(INT(MAX(0,Inputs!$B$43-B1604)/(IF(Inputs!$B$38="pvp",15,MAX(0.1,Skills!E13-IF(Skills!F13=TRUE,Inputs!$B$32,0)))*(1-IF(AND(ArtifactsInput!$M$27,Inputs!$B$4="Chapter Hunt"),CHOOSE(ArtifactsInput!$N$27+1,20,24,28,32,36,40),0)/100)))+1)),0)</f>
        <v/>
      </c>
      <c r="S1579">
        <f>IF(C1579,(H1579*N1579*IF(AND(Inputs!$B$38&lt;&gt;"pvp",Inputs!$B$43&gt;0),((Skills!G13*((R1579-1)*IF(Skills!H13&gt;0,Skills!I13/Skills!H13,1)+IF(Skills!H13&gt;0,MIN(Skills!I13,MAX(0,MAX(0,Inputs!$B$43-B1604)-((R1579-1)*(IF(Inputs!$B$38="pvp",15,MAX(0.1,Skills!E13-IF(Skills!F13=TRUE,Inputs!$B$32,0)))*(1-IF(AND(ArtifactsInput!$M$27,Inputs!$B$4="Chapter Hunt"),CHOOSE(ArtifactsInput!$N$27+1,20,24,28,32,36,40),0)/100)))))/Skills!H13,1)))/Inputs!$B$43),G1579*Q1579)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1579*(1-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1579*(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1579*(1-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1579*(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9">
        <f>IF(C1579,(H1579*N1579*IF(AND(Inputs!$B$38&lt;&gt;"pvp",Inputs!$B$43&gt;0),((Skills!G13*((R1579-1)*IF(Skills!H13&gt;0,Skills!I13/Skills!H13,1)+IF(Skills!H13&gt;0,MIN(Skills!I13,MAX(0,MAX(0,Inputs!$B$43-B1604)-((R1579-1)*(IF(Inputs!$B$38="pvp",15,MAX(0.1,Skills!E13-IF(Skills!F13=TRUE,Inputs!$B$32,0)))*(1-IF(AND(ArtifactsInput!$M$27,Inputs!$B$4="Chapter Hunt"),CHOOSE(ArtifactsInput!$N$27+1,20,24,28,32,36,40),0)/100)))))/Skills!H13,1)))/Inputs!$B$43),G1579*Q1579)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0">
      <c r="A1580">
        <f>Skills!A14</f>
        <v/>
      </c>
      <c r="B1580">
        <f>Skills!B14</f>
        <v/>
      </c>
      <c r="C1580">
        <f>Inputs!$B$3&gt;=113</f>
        <v/>
      </c>
      <c r="D1580">
        <f>IF(Skills!C14=1,60+Inputs!$B$25+Inputs!$B$29,IF(Skills!C14=2,90+Inputs!$B$26+Inputs!$B$29,IF(Skills!C14=3,120+Inputs!$B$27+Inputs!$B$29,MAX(0,(Inputs!$B$3-100)*3)+Inputs!$B$28+Inputs!$B$29)))</f>
        <v/>
      </c>
      <c r="E1580">
        <f>INDEX(FactorTable!$B$2:$Y$301, MATCH(ROUND(MIN(300,MAX(1,D1580)),0), FactorTable!$A$2:$A$301,0), Skills!M14+1)</f>
        <v/>
      </c>
      <c r="F1580">
        <f>IF(Skills!N14=TRUE,(Skills!L14/10)*(E1580/1000),Skills!L14/10)+Skills!O14</f>
        <v/>
      </c>
      <c r="G1580">
        <f>Calc!G14</f>
        <v/>
      </c>
      <c r="H1580">
        <f>Calc!H14</f>
        <v/>
      </c>
      <c r="I1580">
        <f>IF(Skills!X14&lt;&gt;"",1+(Skills!X14/10)*(Z1569/1000)/100,1)</f>
        <v/>
      </c>
      <c r="J1580">
        <f>((Inputs!$B$6*(1+Inputs!$B$7/100))+(((Inputs!$B$12*(1+Inputs!$B$13/100))-(Inputs!$B$12*(1+Inputs!$B$13/100)))+0.25*(Inputs!$B$14-Inputs!$B$14))*(1+Inputs!$B$7/100))*(F1580/100)</f>
        <v/>
      </c>
      <c r="K1580">
        <f>J1580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1580)</f>
        <v/>
      </c>
      <c r="L1580">
        <f>K1580*(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80">
        <f>L1580*(1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0">
        <f>L1580*(1-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1580*(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0">
        <f>(1-Summary!$B$11)*S1580+Summary!$B$11*U1580</f>
        <v/>
      </c>
      <c r="P1580">
        <f>IF(B1607=0,0,O1580/B1607)</f>
        <v/>
      </c>
      <c r="Q1580">
        <f>IFERROR(1/(IF(Inputs!$B$38="pvp",15,MAX(0.1,Skills!E14-IF(Skills!F14=TRUE,Inputs!$B$32,0)))*(1-IF(AND(ArtifactsInput!$M$27,Inputs!$B$4="Chapter Hunt"),CHOOSE(ArtifactsInput!$N$27+1,20,24,28,32,36,40),0)/100)),0)</f>
        <v/>
      </c>
      <c r="R1580" t="n">
        <v>0</v>
      </c>
      <c r="S1580">
        <f>IF(C1580,((H1580*B1603)/(1+Skills!H14*H1580*B1603)*N1580)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1580*(1-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1580*(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1580*(1-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1580*(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80">
        <f>IF(C1580,((H1580*B1603)/(1+Skills!H14*H1580*B1603)*N1580)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1">
      <c r="A1581">
        <f>Skills!A15</f>
        <v/>
      </c>
      <c r="B1581">
        <f>Skills!B15</f>
        <v/>
      </c>
      <c r="C1581">
        <f>Inputs!$B$3&gt;=107</f>
        <v/>
      </c>
      <c r="D1581">
        <f>IF(Skills!C15=1,60+Inputs!$B$25+Inputs!$B$29,IF(Skills!C15=2,90+Inputs!$B$26+Inputs!$B$29,IF(Skills!C15=3,120+Inputs!$B$27+Inputs!$B$29,MAX(0,(Inputs!$B$3-100)*3)+Inputs!$B$28+Inputs!$B$29)))</f>
        <v/>
      </c>
      <c r="E1581">
        <f>INDEX(FactorTable!$B$2:$Y$301, MATCH(ROUND(MIN(300,MAX(1,D1581)),0), FactorTable!$A$2:$A$301,0), Skills!M15+1)</f>
        <v/>
      </c>
      <c r="F1581">
        <f>IF(Skills!N15=TRUE,(Skills!L15/10)*(E1581/1000),Skills!L15/10)+Skills!O15</f>
        <v/>
      </c>
      <c r="G1581">
        <f>Calc!G15</f>
        <v/>
      </c>
      <c r="H1581">
        <f>Calc!H15</f>
        <v/>
      </c>
      <c r="I1581">
        <f>IF(Skills!X15&lt;&gt;"",1+(Skills!X15/10)*(Z1569/1000)/100,1)</f>
        <v/>
      </c>
      <c r="J1581">
        <f>((Inputs!$B$6*(1+Inputs!$B$7/100))+(((Inputs!$B$12*(1+Inputs!$B$13/100))-(Inputs!$B$12*(1+Inputs!$B$13/100)))+0.25*(Inputs!$B$14-Inputs!$B$14))*(1+Inputs!$B$7/100))*(F1581/100)</f>
        <v/>
      </c>
      <c r="K1581">
        <f>J1581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1581)</f>
        <v/>
      </c>
      <c r="L1581">
        <f>K1581*(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81">
        <f>L1581*(1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1">
        <f>L1581*(1-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1">
        <f>(1-Summary!$B$11)*S1581+Summary!$B$11*U1581</f>
        <v/>
      </c>
      <c r="P1581">
        <f>IF(B1607=0,0,O1581/B1607)</f>
        <v/>
      </c>
      <c r="Q1581">
        <f>IFERROR(1/(IF(Inputs!$B$38="pvp",15,MAX(0.1,Skills!E15-IF(Skills!F15=TRUE,Inputs!$B$32,0)))*(1-IF(AND(ArtifactsInput!$M$27,Inputs!$B$4="Chapter Hunt"),CHOOSE(ArtifactsInput!$N$27+1,20,24,28,32,36,40),0)/100)),0)</f>
        <v/>
      </c>
      <c r="R1581">
        <f>IF(AND(Inputs!$B$38&lt;&gt;"pvp",Inputs!$B$43&gt;0),IF(MAX(0,Inputs!$B$43-B1604)&lt;=0,0,(INT(MAX(0,Inputs!$B$43-B1604)/(IF(Inputs!$B$38="pvp",15,MAX(0.1,Skills!E15-IF(Skills!F15=TRUE,Inputs!$B$32,0)))*(1-IF(AND(ArtifactsInput!$M$27,Inputs!$B$4="Chapter Hunt"),CHOOSE(ArtifactsInput!$N$27+1,20,24,28,32,36,40),0)/100)))+1)),0)</f>
        <v/>
      </c>
      <c r="S1581">
        <f>IF(C1581,(H1581*N1581*IF(AND(Inputs!$B$38&lt;&gt;"pvp",Inputs!$B$43&gt;0),((Skills!G15*((R1581-1)*IF(Skills!H15&gt;0,Skills!I15/Skills!H15,1)+IF(Skills!H15&gt;0,MIN(Skills!I15,MAX(0,MAX(0,Inputs!$B$43-B1604)-((R1581-1)*(IF(Inputs!$B$38="pvp",15,MAX(0.1,Skills!E15-IF(Skills!F15=TRUE,Inputs!$B$32,0)))*(1-IF(AND(ArtifactsInput!$M$27,Inputs!$B$4="Chapter Hunt"),CHOOSE(ArtifactsInput!$N$27+1,20,24,28,32,36,40),0)/100)))))/Skills!H15,1)))/Inputs!$B$43),G1581*Q1581)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1581*(1-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1581*(1-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81">
        <f>IF(C1581,(H1581*N1581*IF(AND(Inputs!$B$38&lt;&gt;"pvp",Inputs!$B$43&gt;0),((Skills!G15*((R1581-1)*IF(Skills!H15&gt;0,Skills!I15/Skills!H15,1)+IF(Skills!H15&gt;0,MIN(Skills!I15,MAX(0,MAX(0,Inputs!$B$43-B1604)-((R1581-1)*(IF(Inputs!$B$38="pvp",15,MAX(0.1,Skills!E15-IF(Skills!F15=TRUE,Inputs!$B$32,0)))*(1-IF(AND(ArtifactsInput!$M$27,Inputs!$B$4="Chapter Hunt"),CHOOSE(ArtifactsInput!$N$27+1,20,24,28,32,36,40),0)/100)))))/Skills!H15,1)))/Inputs!$B$43),G1581*Q1581)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2">
      <c r="A1582">
        <f>Skills!A16</f>
        <v/>
      </c>
      <c r="B1582">
        <f>Skills!B16</f>
        <v/>
      </c>
      <c r="C1582">
        <f>Inputs!$B$3&gt;=107</f>
        <v/>
      </c>
      <c r="D1582">
        <f>IF(Skills!C16=1,60+Inputs!$B$25+Inputs!$B$29,IF(Skills!C16=2,90+Inputs!$B$26+Inputs!$B$29,IF(Skills!C16=3,120+Inputs!$B$27+Inputs!$B$29,MAX(0,(Inputs!$B$3-100)*3)+Inputs!$B$28+Inputs!$B$29)))</f>
        <v/>
      </c>
      <c r="E1582">
        <f>INDEX(FactorTable!$B$2:$Y$301, MATCH(ROUND(MIN(300,MAX(1,D1582)),0), FactorTable!$A$2:$A$301,0), Skills!M16+1)</f>
        <v/>
      </c>
      <c r="F1582">
        <f>IF(Skills!N16=TRUE,(Skills!L16/10)*(E1582/1000),Skills!L16/10)+Skills!O16</f>
        <v/>
      </c>
      <c r="G1582">
        <f>Calc!G16</f>
        <v/>
      </c>
      <c r="H1582">
        <f>Calc!H16</f>
        <v/>
      </c>
      <c r="I1582">
        <f>IF(Skills!X16&lt;&gt;"",1+(Skills!X16/10)*(Z1569/1000)/100,1)</f>
        <v/>
      </c>
      <c r="J1582">
        <f>((Inputs!$B$6*(1+Inputs!$B$7/100))+(((Inputs!$B$12*(1+Inputs!$B$13/100))-(Inputs!$B$12*(1+Inputs!$B$13/100)))+0.25*(Inputs!$B$14-Inputs!$B$14))*(1+Inputs!$B$7/100))*(F1582/100)</f>
        <v/>
      </c>
      <c r="K1582">
        <f>J1582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1582)</f>
        <v/>
      </c>
      <c r="L1582">
        <f>K1582*(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82">
        <f>L1582*(1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2">
        <f>L1582*(1-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1582*(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2">
        <f>(1-Summary!$B$11)*S1582+Summary!$B$11*U1582</f>
        <v/>
      </c>
      <c r="P1582">
        <f>IF(B1607=0,0,O1582/B1607)</f>
        <v/>
      </c>
      <c r="Q1582">
        <f>IFERROR(1/(IF(Inputs!$B$38="pvp",15,MAX(0.1,Skills!E16-IF(Skills!F16=TRUE,Inputs!$B$32,0)))*(1-IF(AND(ArtifactsInput!$M$27,Inputs!$B$4="Chapter Hunt"),CHOOSE(ArtifactsInput!$N$27+1,20,24,28,32,36,40),0)/100)),0)</f>
        <v/>
      </c>
      <c r="R1582">
        <f>IF(AND(Inputs!$B$38&lt;&gt;"pvp",Inputs!$B$43&gt;0),IF(MAX(0,Inputs!$B$43-B1604)&lt;=0,0,(INT(MAX(0,Inputs!$B$43-B1604)/(IF(Inputs!$B$38="pvp",15,MAX(0.1,Skills!E16-IF(Skills!F16=TRUE,Inputs!$B$32,0)))*(1-IF(AND(ArtifactsInput!$M$27,Inputs!$B$4="Chapter Hunt"),CHOOSE(ArtifactsInput!$N$27+1,20,24,28,32,36,40),0)/100)))+1)),0)</f>
        <v/>
      </c>
      <c r="S1582">
        <f>IF(C1582,(H1582*N1582*IF(AND(Inputs!$B$38&lt;&gt;"pvp",Inputs!$B$43&gt;0),((Skills!G16*((R1582-1)*IF(Skills!H16&gt;0,Skills!I16/Skills!H16,1)+IF(Skills!H16&gt;0,MIN(Skills!I16,MAX(0,MAX(0,Inputs!$B$43-B1604)-((R1582-1)*(IF(Inputs!$B$38="pvp",15,MAX(0.1,Skills!E16-IF(Skills!F16=TRUE,Inputs!$B$32,0)))*(1-IF(AND(ArtifactsInput!$M$27,Inputs!$B$4="Chapter Hunt"),CHOOSE(ArtifactsInput!$N$27+1,20,24,28,32,36,40),0)/100)))))/Skills!H16,1)))/Inputs!$B$43),G1582*Q1582)*(1+IF(Inputs!$B$3&gt;=126,0.05*(B1602+Q1579+(H1580*B1603)/(1+Skills!H14*H1580*B1603)+Q1590)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1582*(1-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1582*(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1582*(1-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1582*(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82">
        <f>IF(C1582,(H1582*N1582*IF(AND(Inputs!$B$38&lt;&gt;"pvp",Inputs!$B$43&gt;0),((Skills!G16*((R1582-1)*IF(Skills!H16&gt;0,Skills!I16/Skills!H16,1)+IF(Skills!H16&gt;0,MIN(Skills!I16,MAX(0,MAX(0,Inputs!$B$43-B1604)-((R1582-1)*(IF(Inputs!$B$38="pvp",15,MAX(0.1,Skills!E16-IF(Skills!F16=TRUE,Inputs!$B$32,0)))*(1-IF(AND(ArtifactsInput!$M$27,Inputs!$B$4="Chapter Hunt"),CHOOSE(ArtifactsInput!$N$27+1,20,24,28,32,36,40),0)/100)))))/Skills!H16,1)))/Inputs!$B$43),G1582*Q1582)*(1+IF(Inputs!$B$3&gt;=126,0.05*(B1602+Q1579+(H1580*B1603)/(1+Skills!H14*H1580*B1603)+Q1590)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3">
      <c r="A1583">
        <f>Skills!A17</f>
        <v/>
      </c>
      <c r="B1583">
        <f>Skills!B17</f>
        <v/>
      </c>
      <c r="C1583">
        <f>TRUE</f>
        <v/>
      </c>
      <c r="D1583">
        <f>IF(Skills!C17=1,60+Inputs!$B$25+Inputs!$B$29,IF(Skills!C17=2,90+Inputs!$B$26+Inputs!$B$29,IF(Skills!C17=3,120+Inputs!$B$27+Inputs!$B$29,MAX(0,(Inputs!$B$3-100)*3)+Inputs!$B$28+Inputs!$B$29)))</f>
        <v/>
      </c>
      <c r="E1583">
        <f>INDEX(FactorTable!$B$2:$Y$301, MATCH(ROUND(MIN(300,MAX(1,D1583)),0), FactorTable!$A$2:$A$301,0), Skills!M17+1)</f>
        <v/>
      </c>
      <c r="F1583">
        <f>IF(Skills!N17=TRUE,(Skills!L17/10)*(E1583/1000),Skills!L17/10)+Skills!O17</f>
        <v/>
      </c>
      <c r="G1583">
        <f>Calc!G17</f>
        <v/>
      </c>
      <c r="H1583">
        <f>Calc!H17</f>
        <v/>
      </c>
      <c r="I1583">
        <f>IF(Skills!X17&lt;&gt;"",1+(Skills!X17/10)*(Z1569/1000)/100,1)</f>
        <v/>
      </c>
      <c r="J1583" t="inlineStr"/>
      <c r="K1583" t="inlineStr"/>
      <c r="L1583" t="inlineStr"/>
      <c r="M1583" t="inlineStr"/>
      <c r="N1583" t="inlineStr"/>
      <c r="O1583">
        <f>(1-Summary!$B$11)*S1583+Summary!$B$11*U1583</f>
        <v/>
      </c>
      <c r="P1583">
        <f>IF(B1607=0,0,O1583/B1607)</f>
        <v/>
      </c>
      <c r="Q1583">
        <f>IFERROR(1/(IF(Inputs!$B$38="pvp",15,MAX(0.1,Skills!E17-IF(Skills!F17=TRUE,Inputs!$B$32,0)))*(1-IF(AND(ArtifactsInput!$M$27,Inputs!$B$4="Chapter Hunt"),CHOOSE(ArtifactsInput!$N$27+1,20,24,28,32,36,40),0)/100)),0)</f>
        <v/>
      </c>
      <c r="R1583">
        <f>IF(AND(Inputs!$B$38&lt;&gt;"pvp",Inputs!$B$43&gt;0),IF(Inputs!$B$43&lt;=0,0,(INT(Inputs!$B$43/(IF(Inputs!$B$38="pvp",15,MAX(0.1,Skills!E17-IF(Skills!F17=TRUE,Inputs!$B$32,0)))*(1-IF(AND(ArtifactsInput!$M$27,Inputs!$B$4="Chapter Hunt"),CHOOSE(ArtifactsInput!$N$27+1,20,24,28,32,36,40),0)/100)))+1)),0)</f>
        <v/>
      </c>
      <c r="S1583" t="n">
        <v>0</v>
      </c>
      <c r="U1583" t="n">
        <v>0</v>
      </c>
    </row>
    <row r="1584">
      <c r="A1584">
        <f>Skills!A18</f>
        <v/>
      </c>
      <c r="B1584">
        <f>Skills!B18</f>
        <v/>
      </c>
      <c r="C1584">
        <f>TRUE</f>
        <v/>
      </c>
      <c r="D1584">
        <f>IF(Skills!C18=1,60+Inputs!$B$25+Inputs!$B$29,IF(Skills!C18=2,90+Inputs!$B$26+Inputs!$B$29,IF(Skills!C18=3,120+Inputs!$B$27+Inputs!$B$29,MAX(0,(Inputs!$B$3-100)*3)+Inputs!$B$28+Inputs!$B$29)))</f>
        <v/>
      </c>
      <c r="E1584">
        <f>INDEX(FactorTable!$B$2:$Y$301, MATCH(ROUND(MIN(300,MAX(1,D1584)),0), FactorTable!$A$2:$A$301,0), Skills!M18+1)</f>
        <v/>
      </c>
      <c r="F1584">
        <f>IF(Skills!N18=TRUE,(Skills!L18/10)*(E1584/1000),Skills!L18/10)+Skills!O18</f>
        <v/>
      </c>
      <c r="G1584">
        <f>Calc!G18</f>
        <v/>
      </c>
      <c r="H1584">
        <f>Calc!H18</f>
        <v/>
      </c>
      <c r="I1584">
        <f>IF(Skills!X18&lt;&gt;"",1+(Skills!X18/10)*(Z1569/1000)/100,1)</f>
        <v/>
      </c>
      <c r="J1584" t="inlineStr"/>
      <c r="K1584" t="inlineStr"/>
      <c r="L1584" t="inlineStr"/>
      <c r="M1584" t="inlineStr"/>
      <c r="N1584" t="inlineStr"/>
      <c r="O1584">
        <f>(1-Summary!$B$11)*S1584+Summary!$B$11*U1584</f>
        <v/>
      </c>
      <c r="P1584">
        <f>IF(B1607=0,0,O1584/B1607)</f>
        <v/>
      </c>
      <c r="Q1584">
        <f>IFERROR(1/(IF(Inputs!$B$38="pvp",15,MAX(0.1,Skills!E18-IF(Skills!F18=TRUE,Inputs!$B$32,0)))*(1-IF(AND(ArtifactsInput!$M$27,Inputs!$B$4="Chapter Hunt"),CHOOSE(ArtifactsInput!$N$27+1,20,24,28,32,36,40),0)/100)),0)</f>
        <v/>
      </c>
      <c r="R1584">
        <f>IF(AND(Inputs!$B$38&lt;&gt;"pvp",Inputs!$B$43&gt;0),IF(Inputs!$B$43&lt;=0,0,(INT(Inputs!$B$43/(IF(Inputs!$B$38="pvp",15,MAX(0.1,Skills!E18-IF(Skills!F18=TRUE,Inputs!$B$32,0)))*(1-IF(AND(ArtifactsInput!$M$27,Inputs!$B$4="Chapter Hunt"),CHOOSE(ArtifactsInput!$N$27+1,20,24,28,32,36,40),0)/100)))+1)),0)</f>
        <v/>
      </c>
      <c r="S1584" t="n">
        <v>0</v>
      </c>
      <c r="U1584" t="n">
        <v>0</v>
      </c>
    </row>
    <row r="1585">
      <c r="A1585">
        <f>Skills!A19</f>
        <v/>
      </c>
      <c r="B1585">
        <f>Skills!B19</f>
        <v/>
      </c>
      <c r="C1585">
        <f>Inputs!$B$3&gt;=110</f>
        <v/>
      </c>
      <c r="D1585">
        <f>IF(Skills!C19=1,60+Inputs!$B$25+Inputs!$B$29,IF(Skills!C19=2,90+Inputs!$B$26+Inputs!$B$29,IF(Skills!C19=3,120+Inputs!$B$27+Inputs!$B$29,MAX(0,(Inputs!$B$3-100)*3)+Inputs!$B$28+Inputs!$B$29)))</f>
        <v/>
      </c>
      <c r="E1585">
        <f>INDEX(FactorTable!$B$2:$Y$301, MATCH(ROUND(MIN(300,MAX(1,D1585)),0), FactorTable!$A$2:$A$301,0), Skills!M19+1)</f>
        <v/>
      </c>
      <c r="F1585">
        <f>IF(Skills!N19=TRUE,(Skills!L19/10)*(E1585/1000),Skills!L19/10)+Skills!O19</f>
        <v/>
      </c>
      <c r="G1585">
        <f>Calc!G19</f>
        <v/>
      </c>
      <c r="H1585">
        <f>Calc!H19</f>
        <v/>
      </c>
      <c r="I1585">
        <f>IF(Skills!X19&lt;&gt;"",1+(Skills!X19/10)*(Z1569/1000)/100,1)</f>
        <v/>
      </c>
      <c r="J1585" t="inlineStr"/>
      <c r="K1585" t="inlineStr"/>
      <c r="L1585" t="inlineStr"/>
      <c r="M1585" t="inlineStr"/>
      <c r="N1585" t="inlineStr"/>
      <c r="O1585">
        <f>(1-Summary!$B$11)*S1585+Summary!$B$11*U1585</f>
        <v/>
      </c>
      <c r="P1585">
        <f>IF(B1607=0,0,O1585/B1607)</f>
        <v/>
      </c>
      <c r="Q1585">
        <f>IFERROR(1/(IF(Inputs!$B$38="pvp",15,MAX(0.1,Skills!E19-IF(Skills!F19=TRUE,Inputs!$B$32,0)))*(1-IF(AND(ArtifactsInput!$M$27,Inputs!$B$4="Chapter Hunt"),CHOOSE(ArtifactsInput!$N$27+1,20,24,28,32,36,40),0)/100)),0)</f>
        <v/>
      </c>
      <c r="R1585">
        <f>IF(AND(Inputs!$B$38&lt;&gt;"pvp",Inputs!$B$43&gt;0),IF(Inputs!$B$43&lt;=0,0,(INT(Inputs!$B$43/(IF(Inputs!$B$38="pvp",15,MAX(0.1,Skills!E19-IF(Skills!F19=TRUE,Inputs!$B$32,0)))*(1-IF(AND(ArtifactsInput!$M$27,Inputs!$B$4="Chapter Hunt"),CHOOSE(ArtifactsInput!$N$27+1,20,24,28,32,36,40),0)/100)))+1)),0)</f>
        <v/>
      </c>
      <c r="S1585" t="n">
        <v>0</v>
      </c>
      <c r="U1585" t="n">
        <v>0</v>
      </c>
    </row>
    <row r="1586">
      <c r="A1586">
        <f>Skills!A20</f>
        <v/>
      </c>
      <c r="B1586">
        <f>Skills!B20</f>
        <v/>
      </c>
      <c r="C1586">
        <f>TRUE</f>
        <v/>
      </c>
      <c r="D1586">
        <f>IF(Skills!C20=1,60+Inputs!$B$25+Inputs!$B$29,IF(Skills!C20=2,90+Inputs!$B$26+Inputs!$B$29,IF(Skills!C20=3,120+Inputs!$B$27+Inputs!$B$29,MAX(0,(Inputs!$B$3-100)*3)+Inputs!$B$28+Inputs!$B$29)))</f>
        <v/>
      </c>
      <c r="E1586">
        <f>INDEX(FactorTable!$B$2:$Y$301, MATCH(ROUND(MIN(300,MAX(1,D1586)),0), FactorTable!$A$2:$A$301,0), Skills!M20+1)</f>
        <v/>
      </c>
      <c r="F1586">
        <f>IF(Skills!N20=TRUE,(Skills!L20/10)*(E1586/1000),Skills!L20/10)+Skills!O20</f>
        <v/>
      </c>
      <c r="G1586">
        <f>Calc!G20</f>
        <v/>
      </c>
      <c r="H1586">
        <f>Calc!H20</f>
        <v/>
      </c>
      <c r="I1586">
        <f>IF(Skills!X20&lt;&gt;"",1+(Skills!X20/10)*(Z1569/1000)/100,1)</f>
        <v/>
      </c>
      <c r="J1586" t="inlineStr"/>
      <c r="K1586" t="inlineStr"/>
      <c r="L1586" t="inlineStr"/>
      <c r="M1586" t="inlineStr"/>
      <c r="N1586" t="inlineStr"/>
      <c r="O1586">
        <f>(1-Summary!$B$11)*S1586+Summary!$B$11*U1586</f>
        <v/>
      </c>
      <c r="P1586">
        <f>IF(B1607=0,0,O1586/B1607)</f>
        <v/>
      </c>
      <c r="Q1586">
        <f>IFERROR(1/(IF(Inputs!$B$38="pvp",15,MAX(0.1,Skills!E20-IF(Skills!F20=TRUE,Inputs!$B$32,0)))*(1-IF(AND(ArtifactsInput!$M$27,Inputs!$B$4="Chapter Hunt"),CHOOSE(ArtifactsInput!$N$27+1,20,24,28,32,36,40),0)/100)),0)</f>
        <v/>
      </c>
      <c r="R1586" t="n">
        <v>0</v>
      </c>
      <c r="S1586" t="n">
        <v>0</v>
      </c>
      <c r="U1586" t="n">
        <v>0</v>
      </c>
    </row>
    <row r="1587">
      <c r="A1587">
        <f>Skills!A21</f>
        <v/>
      </c>
      <c r="B1587">
        <f>Skills!B21</f>
        <v/>
      </c>
      <c r="C1587">
        <f>TRUE</f>
        <v/>
      </c>
      <c r="D1587">
        <f>IF(Skills!C21=1,60+Inputs!$B$25+Inputs!$B$29,IF(Skills!C21=2,90+Inputs!$B$26+Inputs!$B$29,IF(Skills!C21=3,120+Inputs!$B$27+Inputs!$B$29,MAX(0,(Inputs!$B$3-100)*3)+Inputs!$B$28+Inputs!$B$29)))</f>
        <v/>
      </c>
      <c r="E1587">
        <f>INDEX(FactorTable!$B$2:$Y$301, MATCH(ROUND(MIN(300,MAX(1,D1587)),0), FactorTable!$A$2:$A$301,0), Skills!M21+1)</f>
        <v/>
      </c>
      <c r="F1587">
        <f>IF(Skills!N21=TRUE,(Skills!L21/10)*(E1587/1000),Skills!L21/10)+Skills!O21</f>
        <v/>
      </c>
      <c r="G1587">
        <f>Calc!G21</f>
        <v/>
      </c>
      <c r="H1587">
        <f>Calc!H21</f>
        <v/>
      </c>
      <c r="I1587">
        <f>IF(Skills!X21&lt;&gt;"",1+(Skills!X21/10)*(Z1569/1000)/100,1)</f>
        <v/>
      </c>
      <c r="J1587" t="inlineStr"/>
      <c r="K1587" t="inlineStr"/>
      <c r="L1587" t="inlineStr"/>
      <c r="M1587" t="inlineStr"/>
      <c r="N1587" t="inlineStr"/>
      <c r="O1587">
        <f>(1-Summary!$B$11)*S1587+Summary!$B$11*U1587</f>
        <v/>
      </c>
      <c r="P1587">
        <f>IF(B1607=0,0,O1587/B1607)</f>
        <v/>
      </c>
      <c r="Q1587">
        <f>IFERROR(1/(IF(Inputs!$B$38="pvp",15,MAX(0.1,Skills!E21-IF(Skills!F21=TRUE,Inputs!$B$32,0)))*(1-IF(AND(ArtifactsInput!$M$27,Inputs!$B$4="Chapter Hunt"),CHOOSE(ArtifactsInput!$N$27+1,20,24,28,32,36,40),0)/100)),0)</f>
        <v/>
      </c>
      <c r="R1587" t="n">
        <v>0</v>
      </c>
      <c r="S1587" t="n">
        <v>0</v>
      </c>
      <c r="U1587" t="n">
        <v>0</v>
      </c>
    </row>
    <row r="1588">
      <c r="A1588">
        <f>Skills!A22</f>
        <v/>
      </c>
      <c r="B1588">
        <f>Skills!B22</f>
        <v/>
      </c>
      <c r="C1588">
        <f>TRUE</f>
        <v/>
      </c>
      <c r="D1588">
        <f>IF(Skills!C22=1,60+Inputs!$B$25+Inputs!$B$29,IF(Skills!C22=2,90+Inputs!$B$26+Inputs!$B$29,IF(Skills!C22=3,120+Inputs!$B$27+Inputs!$B$29,MAX(0,(Inputs!$B$3-100)*3)+Inputs!$B$28+Inputs!$B$29)))</f>
        <v/>
      </c>
      <c r="E1588">
        <f>INDEX(FactorTable!$B$2:$Y$301, MATCH(ROUND(MIN(300,MAX(1,D1588)),0), FactorTable!$A$2:$A$301,0), Skills!M22+1)</f>
        <v/>
      </c>
      <c r="F1588">
        <f>IF(Skills!N22=TRUE,(Skills!L22/10)*(E1588/1000),Skills!L22/10)+Skills!O22</f>
        <v/>
      </c>
      <c r="G1588">
        <f>Calc!G22</f>
        <v/>
      </c>
      <c r="H1588">
        <f>Calc!H22</f>
        <v/>
      </c>
      <c r="I1588">
        <f>IF(Skills!X22&lt;&gt;"",1+(Skills!X22/10)*(Z1569/1000)/100,1)</f>
        <v/>
      </c>
      <c r="J1588" t="inlineStr"/>
      <c r="K1588" t="inlineStr"/>
      <c r="L1588" t="inlineStr"/>
      <c r="M1588" t="inlineStr"/>
      <c r="N1588" t="inlineStr"/>
      <c r="O1588">
        <f>(1-Summary!$B$11)*S1588+Summary!$B$11*U1588</f>
        <v/>
      </c>
      <c r="P1588">
        <f>IF(B1607=0,0,O1588/B1607)</f>
        <v/>
      </c>
      <c r="Q1588">
        <f>IFERROR(1/(IF(Inputs!$B$38="pvp",15,MAX(0.1,Skills!E22-IF(Skills!F22=TRUE,Inputs!$B$32,0)))*(1-IF(AND(ArtifactsInput!$M$27,Inputs!$B$4="Chapter Hunt"),CHOOSE(ArtifactsInput!$N$27+1,20,24,28,32,36,40),0)/100)),0)</f>
        <v/>
      </c>
      <c r="R1588" t="n">
        <v>0</v>
      </c>
      <c r="S1588" t="n">
        <v>0</v>
      </c>
      <c r="U1588" t="n">
        <v>0</v>
      </c>
    </row>
    <row r="1589">
      <c r="A1589">
        <f>Skills!A23</f>
        <v/>
      </c>
      <c r="B1589">
        <f>Skills!B23</f>
        <v/>
      </c>
      <c r="C1589">
        <f>TRUE</f>
        <v/>
      </c>
      <c r="D1589">
        <f>IF(Skills!C23=1,60+Inputs!$B$25+Inputs!$B$29,IF(Skills!C23=2,90+Inputs!$B$26+Inputs!$B$29,IF(Skills!C23=3,120+Inputs!$B$27+Inputs!$B$29,MAX(0,(Inputs!$B$3-100)*3)+Inputs!$B$28+Inputs!$B$29)))</f>
        <v/>
      </c>
      <c r="E1589">
        <f>INDEX(FactorTable!$B$2:$Y$301, MATCH(ROUND(MIN(300,MAX(1,D1589)),0), FactorTable!$A$2:$A$301,0), Skills!M23+1)</f>
        <v/>
      </c>
      <c r="F1589">
        <f>IF(Skills!N23=TRUE,(Skills!L23/10)*(E1589/1000),Skills!L23/10)+Skills!O23</f>
        <v/>
      </c>
      <c r="G1589">
        <f>Calc!G23</f>
        <v/>
      </c>
      <c r="H1589">
        <f>Calc!H23</f>
        <v/>
      </c>
      <c r="I1589">
        <f>IF(Skills!X23&lt;&gt;"",1+(Skills!X23/10)*(Z1569/1000)/100,1)</f>
        <v/>
      </c>
      <c r="J1589" t="inlineStr"/>
      <c r="K1589" t="inlineStr"/>
      <c r="L1589" t="inlineStr"/>
      <c r="M1589" t="inlineStr"/>
      <c r="N1589" t="inlineStr"/>
      <c r="O1589">
        <f>(1-Summary!$B$11)*S1589+Summary!$B$11*U1589</f>
        <v/>
      </c>
      <c r="P1589">
        <f>IF(B1607=0,0,O1589/B1607)</f>
        <v/>
      </c>
      <c r="Q1589">
        <f>IFERROR(1/(IF(Inputs!$B$38="pvp",15,MAX(0.1,Skills!E23-IF(Skills!F23=TRUE,Inputs!$B$32,0)))*(1-IF(AND(ArtifactsInput!$M$27,Inputs!$B$4="Chapter Hunt"),CHOOSE(ArtifactsInput!$N$27+1,20,24,28,32,36,40),0)/100)),0)</f>
        <v/>
      </c>
      <c r="R1589" t="n">
        <v>0</v>
      </c>
      <c r="S1589" t="n">
        <v>0</v>
      </c>
      <c r="U1589" t="n">
        <v>0</v>
      </c>
    </row>
    <row r="1590">
      <c r="A1590">
        <f>Skills!A24</f>
        <v/>
      </c>
      <c r="B1590">
        <f>Skills!B24</f>
        <v/>
      </c>
      <c r="C1590">
        <f>Inputs!$B$3&gt;=115</f>
        <v/>
      </c>
      <c r="D1590">
        <f>IF(Skills!C24=1,60+Inputs!$B$25+Inputs!$B$29,IF(Skills!C24=2,90+Inputs!$B$26+Inputs!$B$29,IF(Skills!C24=3,120+Inputs!$B$27+Inputs!$B$29,MAX(0,(Inputs!$B$3-100)*3)+Inputs!$B$28+Inputs!$B$29)))</f>
        <v/>
      </c>
      <c r="E1590">
        <f>INDEX(FactorTable!$B$2:$Y$301, MATCH(ROUND(MIN(300,MAX(1,D1590)),0), FactorTable!$A$2:$A$301,0), Skills!M24+1)</f>
        <v/>
      </c>
      <c r="F1590">
        <f>IF(Skills!N24=TRUE,(Skills!L24/10)*(E1590/1000),Skills!L24/10)+Skills!O24</f>
        <v/>
      </c>
      <c r="G1590">
        <f>Calc!G24</f>
        <v/>
      </c>
      <c r="H1590">
        <f>Calc!H24</f>
        <v/>
      </c>
      <c r="I1590">
        <f>IF(Skills!X24&lt;&gt;"",1+(Skills!X24/10)*(Z1569/1000)/100,1)</f>
        <v/>
      </c>
      <c r="J1590">
        <f>((Inputs!$B$6*(1+Inputs!$B$7/100))+(((Inputs!$B$12*(1+Inputs!$B$13/100))-(Inputs!$B$12*(1+Inputs!$B$13/100)))+0.25*(Inputs!$B$14-Inputs!$B$14))*(1+Inputs!$B$7/100))*(F1590/100)</f>
        <v/>
      </c>
      <c r="K1590">
        <f>J1590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1590)</f>
        <v/>
      </c>
      <c r="L1590">
        <f>K1590*(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90">
        <f>L1590*(1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0">
        <f>L1590*(1-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1590*(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0">
        <f>(1-Summary!$B$11)*S1590+Summary!$B$11*U1590</f>
        <v/>
      </c>
      <c r="P1590">
        <f>IF(B1607=0,0,O1590/B1607)</f>
        <v/>
      </c>
      <c r="Q1590">
        <f>IFERROR(1/(IF(Inputs!$B$38="pvp",15,MAX(0.1,Skills!E24-IF(Skills!F24=TRUE,Inputs!$B$32,0)))*(1-IF(AND(ArtifactsInput!$M$27,Inputs!$B$4="Chapter Hunt"),CHOOSE(ArtifactsInput!$N$27+1,20,24,28,32,36,40),0)/100)),0)</f>
        <v/>
      </c>
      <c r="R1590">
        <f>IF(AND(Inputs!$B$38&lt;&gt;"pvp",Inputs!$B$43&gt;0),IF(MAX(0,Inputs!$B$43-B1604)&lt;=0,0,(INT(MAX(0,Inputs!$B$43-B1604)/(IF(Inputs!$B$38="pvp",15,MAX(0.1,Skills!E24-IF(Skills!F24=TRUE,Inputs!$B$32,0)))*(1-IF(AND(ArtifactsInput!$M$27,Inputs!$B$4="Chapter Hunt"),CHOOSE(ArtifactsInput!$N$27+1,20,24,28,32,36,40),0)/100)))+1)),0)</f>
        <v/>
      </c>
      <c r="S1590">
        <f>IF(C1590,(H1590*N1590*IF(AND(Inputs!$B$38&lt;&gt;"pvp",Inputs!$B$43&gt;0),((Skills!G24*((R1590-1)*IF(Skills!H24&gt;0,Skills!I24/Skills!H24,1)+IF(Skills!H24&gt;0,MIN(Skills!I24,MAX(0,MAX(0,Inputs!$B$43-B1604)-((R1590-1)*(IF(Inputs!$B$38="pvp",15,MAX(0.1,Skills!E24-IF(Skills!F24=TRUE,Inputs!$B$32,0)))*(1-IF(AND(ArtifactsInput!$M$27,Inputs!$B$4="Chapter Hunt"),CHOOSE(ArtifactsInput!$N$27+1,20,24,28,32,36,40),0)/100)))))/Skills!H24,1)))/Inputs!$B$43),G1590*Q1590)*(1+IF(Inputs!$B$3&gt;=130,0.2*(Skills!I16/Skills!E15+IF(Inputs!$B$3&gt;=126,0.05*(B1602+Q1579+(H1580*B1603)/(1+Skills!H14*H1580*B1603)+Q1590)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1590*(1-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1590*(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1590*(1-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1590*(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0">
        <f>IF(C1590,(H1590*N1590*IF(AND(Inputs!$B$38&lt;&gt;"pvp",Inputs!$B$43&gt;0),((Skills!G24*((R1590-1)*IF(Skills!H24&gt;0,Skills!I24/Skills!H24,1)+IF(Skills!H24&gt;0,MIN(Skills!I24,MAX(0,MAX(0,Inputs!$B$43-B1604)-((R1590-1)*(IF(Inputs!$B$38="pvp",15,MAX(0.1,Skills!E24-IF(Skills!F24=TRUE,Inputs!$B$32,0)))*(1-IF(AND(ArtifactsInput!$M$27,Inputs!$B$4="Chapter Hunt"),CHOOSE(ArtifactsInput!$N$27+1,20,24,28,32,36,40),0)/100)))))/Skills!H24,1)))/Inputs!$B$43),G1590*Q1590)*(1+IF(Inputs!$B$3&gt;=130,0.2*(Skills!I16/Skills!E15+IF(Inputs!$B$3&gt;=126,0.05*(B1602+Q1579+(H1580*B1603)/(1+Skills!H14*H1580*B1603)+Q1590)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1">
      <c r="A1591">
        <f>Skills!A25</f>
        <v/>
      </c>
      <c r="B1591">
        <f>Skills!B25</f>
        <v/>
      </c>
      <c r="C1591">
        <f>Inputs!$B$3&gt;=117</f>
        <v/>
      </c>
      <c r="D1591">
        <f>IF(Skills!C25=1,60+Inputs!$B$25+Inputs!$B$29,IF(Skills!C25=2,90+Inputs!$B$26+Inputs!$B$29,IF(Skills!C25=3,120+Inputs!$B$27+Inputs!$B$29,MAX(0,(Inputs!$B$3-100)*3)+Inputs!$B$28+Inputs!$B$29)))</f>
        <v/>
      </c>
      <c r="E1591">
        <f>INDEX(FactorTable!$B$2:$Y$301, MATCH(ROUND(MIN(300,MAX(1,D1591)),0), FactorTable!$A$2:$A$301,0), Skills!M25+1)</f>
        <v/>
      </c>
      <c r="F1591">
        <f>IF(Skills!N25=TRUE,(Skills!L25/10)*(E1591/1000),Skills!L25/10)+Skills!O25</f>
        <v/>
      </c>
      <c r="G1591">
        <f>Calc!G25</f>
        <v/>
      </c>
      <c r="H1591">
        <f>Calc!H25</f>
        <v/>
      </c>
      <c r="I1591">
        <f>IF(Skills!X25&lt;&gt;"",1+(Skills!X25/10)*(Z1569/1000)/100,1)</f>
        <v/>
      </c>
      <c r="J1591" t="inlineStr"/>
      <c r="K1591" t="inlineStr"/>
      <c r="L1591" t="inlineStr"/>
      <c r="M1591" t="inlineStr"/>
      <c r="N1591" t="inlineStr"/>
      <c r="O1591">
        <f>(1-Summary!$B$11)*S1591+Summary!$B$11*U1591</f>
        <v/>
      </c>
      <c r="P1591">
        <f>IF(B1607=0,0,O1591/B1607)</f>
        <v/>
      </c>
      <c r="Q1591">
        <f>IFERROR(1/(IF(Inputs!$B$38="pvp",15,MAX(0.1,Skills!E25-IF(Skills!F25=TRUE,Inputs!$B$32,0)))*(1-IF(AND(ArtifactsInput!$M$27,Inputs!$B$4="Chapter Hunt"),CHOOSE(ArtifactsInput!$N$27+1,20,24,28,32,36,40),0)/100)),0)</f>
        <v/>
      </c>
      <c r="R1591" t="n">
        <v>0</v>
      </c>
      <c r="S1591" t="n">
        <v>0</v>
      </c>
      <c r="U1591" t="n">
        <v>0</v>
      </c>
    </row>
    <row r="1592">
      <c r="A1592">
        <f>Skills!A26</f>
        <v/>
      </c>
      <c r="B1592">
        <f>Skills!B26</f>
        <v/>
      </c>
      <c r="C1592">
        <f>Inputs!$B$3&gt;=120</f>
        <v/>
      </c>
      <c r="D1592">
        <f>IF(Skills!C26=1,60+Inputs!$B$25+Inputs!$B$29,IF(Skills!C26=2,90+Inputs!$B$26+Inputs!$B$29,IF(Skills!C26=3,120+Inputs!$B$27+Inputs!$B$29,MAX(0,(Inputs!$B$3-100)*3)+Inputs!$B$28+Inputs!$B$29)))</f>
        <v/>
      </c>
      <c r="E1592">
        <f>INDEX(FactorTable!$B$2:$Y$301, MATCH(ROUND(MIN(300,MAX(1,D1592)),0), FactorTable!$A$2:$A$301,0), Skills!M26+1)</f>
        <v/>
      </c>
      <c r="F1592">
        <f>IF(Skills!N26=TRUE,(Skills!L26/10)*(E1592/1000),Skills!L26/10)+Skills!O26</f>
        <v/>
      </c>
      <c r="G1592">
        <f>Calc!G26</f>
        <v/>
      </c>
      <c r="H1592">
        <f>Calc!H26</f>
        <v/>
      </c>
      <c r="I1592">
        <f>IF(Skills!X26&lt;&gt;"",1+(Skills!X26/10)*(Z1569/1000)/100,1)</f>
        <v/>
      </c>
      <c r="J1592" t="inlineStr"/>
      <c r="K1592" t="inlineStr"/>
      <c r="L1592" t="inlineStr"/>
      <c r="M1592" t="inlineStr"/>
      <c r="N1592" t="inlineStr"/>
      <c r="O1592">
        <f>(1-Summary!$B$11)*S1592+Summary!$B$11*U1592</f>
        <v/>
      </c>
      <c r="P1592">
        <f>IF(B1607=0,0,O1592/B1607)</f>
        <v/>
      </c>
      <c r="Q1592">
        <f>IFERROR(1/(IF(Inputs!$B$38="pvp",15,MAX(0.1,Skills!E26-IF(Skills!F26=TRUE,Inputs!$B$32,0)))*(1-IF(AND(ArtifactsInput!$M$27,Inputs!$B$4="Chapter Hunt"),CHOOSE(ArtifactsInput!$N$27+1,20,24,28,32,36,40),0)/100)),0)</f>
        <v/>
      </c>
      <c r="R1592" t="n">
        <v>0</v>
      </c>
      <c r="S1592" t="n">
        <v>0</v>
      </c>
      <c r="U1592" t="n">
        <v>0</v>
      </c>
    </row>
    <row r="1593">
      <c r="A1593">
        <f>Skills!A27</f>
        <v/>
      </c>
      <c r="B1593">
        <f>Skills!B27</f>
        <v/>
      </c>
      <c r="C1593">
        <f>Inputs!$B$3&gt;=125</f>
        <v/>
      </c>
      <c r="D1593">
        <f>IF(Skills!C27=1,60+Inputs!$B$25+Inputs!$B$29,IF(Skills!C27=2,90+Inputs!$B$26+Inputs!$B$29,IF(Skills!C27=3,120+Inputs!$B$27+Inputs!$B$29,MAX(0,(Inputs!$B$3-100)*3)+Inputs!$B$28+Inputs!$B$29)))</f>
        <v/>
      </c>
      <c r="E1593">
        <f>INDEX(FactorTable!$B$2:$Y$301, MATCH(ROUND(MIN(300,MAX(1,D1593)),0), FactorTable!$A$2:$A$301,0), Skills!M27+1)</f>
        <v/>
      </c>
      <c r="F1593">
        <f>IF(Skills!N27=TRUE,(Skills!L27/10)*(E1593/1000),Skills!L27/10)+Skills!O27</f>
        <v/>
      </c>
      <c r="G1593">
        <f>Calc!G27</f>
        <v/>
      </c>
      <c r="H1593">
        <f>Calc!H27</f>
        <v/>
      </c>
      <c r="I1593">
        <f>IF(Skills!X27&lt;&gt;"",1+(Skills!X27/10)*(Z1569/1000)/100,1)</f>
        <v/>
      </c>
      <c r="J1593" t="inlineStr"/>
      <c r="K1593" t="inlineStr"/>
      <c r="L1593" t="inlineStr"/>
      <c r="M1593" t="inlineStr"/>
      <c r="N1593" t="inlineStr"/>
      <c r="O1593">
        <f>(1-Summary!$B$11)*S1593+Summary!$B$11*U1593</f>
        <v/>
      </c>
      <c r="P1593">
        <f>IF(B1607=0,0,O1593/B1607)</f>
        <v/>
      </c>
      <c r="Q1593">
        <f>IFERROR(1/(IF(Inputs!$B$38="pvp",15,MAX(0.1,Skills!E27-IF(Skills!F27=TRUE,Inputs!$B$32,0)))*(1-IF(AND(ArtifactsInput!$M$27,Inputs!$B$4="Chapter Hunt"),CHOOSE(ArtifactsInput!$N$27+1,20,24,28,32,36,40),0)/100)),0)</f>
        <v/>
      </c>
      <c r="R1593" t="n">
        <v>0</v>
      </c>
      <c r="S1593" t="n">
        <v>0</v>
      </c>
      <c r="U1593" t="n">
        <v>0</v>
      </c>
    </row>
    <row r="1594">
      <c r="A1594">
        <f>Skills!A28</f>
        <v/>
      </c>
      <c r="B1594">
        <f>Skills!B28</f>
        <v/>
      </c>
      <c r="C1594">
        <f>Inputs!$B$3&gt;=118</f>
        <v/>
      </c>
      <c r="D1594">
        <f>IF(Skills!C28=1,60+Inputs!$B$25+Inputs!$B$29,IF(Skills!C28=2,90+Inputs!$B$26+Inputs!$B$29,IF(Skills!C28=3,120+Inputs!$B$27+Inputs!$B$29,MAX(0,(Inputs!$B$3-100)*3)+Inputs!$B$28+Inputs!$B$29)))</f>
        <v/>
      </c>
      <c r="E1594">
        <f>INDEX(FactorTable!$B$2:$Y$301, MATCH(ROUND(MIN(300,MAX(1,D1594)),0), FactorTable!$A$2:$A$301,0), Skills!M28+1)</f>
        <v/>
      </c>
      <c r="F1594">
        <f>IF(Skills!N28=TRUE,(Skills!L28/10)*(E1594/1000),Skills!L28/10)+Skills!O28</f>
        <v/>
      </c>
      <c r="G1594">
        <f>Calc!G28</f>
        <v/>
      </c>
      <c r="H1594">
        <f>Calc!H28</f>
        <v/>
      </c>
      <c r="I1594">
        <f>IF(Skills!X28&lt;&gt;"",1+(Skills!X28/10)*(Z1569/1000)/100,1)</f>
        <v/>
      </c>
      <c r="J1594">
        <f>((Inputs!$B$6*(1+Inputs!$B$7/100))+(((Inputs!$B$12*(1+Inputs!$B$13/100))-(Inputs!$B$12*(1+Inputs!$B$13/100)))+0.25*(Inputs!$B$14-Inputs!$B$14))*(1+Inputs!$B$7/100))*(F1594/100)</f>
        <v/>
      </c>
      <c r="K1594">
        <f>J1594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1589/100)*(1+IF(Inputs!$B$3&gt;=120,F1592,0)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1593*5,0)))/100)*(B1596*B1597*B1598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1594)</f>
        <v/>
      </c>
      <c r="L1594">
        <f>K1594*(MIN(Inputs!$B$22+(F1588-Calc!F22),(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594">
        <f>L1594*(1+(Inputs!$B$10+(F1587-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4">
        <f>L1594*(1-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1594*(MIN((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4">
        <f>(1-Summary!$B$11)*S1594+Summary!$B$11*U1594</f>
        <v/>
      </c>
      <c r="P1594">
        <f>IF(B1607=0,0,O1594/B1607)</f>
        <v/>
      </c>
      <c r="Q1594">
        <f>IFERROR(1/(IF(Inputs!$B$38="pvp",15,MAX(0.1,Skills!E28-IF(Skills!F28=TRUE,Inputs!$B$32,0)))*(1-IF(AND(ArtifactsInput!$M$27,Inputs!$B$4="Chapter Hunt"),CHOOSE(ArtifactsInput!$N$27+1,20,24,28,32,36,40),0)/100)),0)</f>
        <v/>
      </c>
      <c r="R1594">
        <f>IF(AND(Inputs!$B$38&lt;&gt;"pvp",Inputs!$B$43&gt;0),IF(MAX(0,Inputs!$B$43-B1604)&lt;=0,0,(INT(MAX(0,Inputs!$B$43-B1604)/(IF(Inputs!$B$38="pvp",15,MAX(0.1,Skills!E28-IF(Skills!F28=TRUE,Inputs!$B$32,0)))*(1-IF(AND(ArtifactsInput!$M$27,Inputs!$B$4="Chapter Hunt"),CHOOSE(ArtifactsInput!$N$27+1,20,24,28,32,36,40),0)/100)))+1)),0)</f>
        <v/>
      </c>
      <c r="S1594">
        <f>IF(C1594,(H1594*N1594*IF(AND(Inputs!$B$38&lt;&gt;"pvp",Inputs!$B$43&gt;0),((Skills!G28*((R1594-1)*IF(Skills!H28&gt;0,Skills!I28/Skills!H28,1)+IF(Skills!H28&gt;0,MIN(Skills!I28,MAX(0,MAX(0,Inputs!$B$43-B1604)-((R1594-1)*(IF(Inputs!$B$38="pvp",15,MAX(0.1,Skills!E28-IF(Skills!F28=TRUE,Inputs!$B$32,0)))*(1-IF(AND(ArtifactsInput!$M$27,Inputs!$B$4="Chapter Hunt"),CHOOSE(ArtifactsInput!$N$27+1,20,24,28,32,36,40),0)/100)))))/Skills!H28,1)))/Inputs!$B$43),G1594*Q1594)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1594*(1-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1594*(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1594*(1-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1594*(MIN(100,(Inputs!$B$9+(F1586-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4">
        <f>IF(C1594,(H1594*N1594*IF(AND(Inputs!$B$38&lt;&gt;"pvp",Inputs!$B$43&gt;0),((Skills!G28*((R1594-1)*IF(Skills!H28&gt;0,Skills!I28/Skills!H28,1)+IF(Skills!H28&gt;0,MIN(Skills!I28,MAX(0,MAX(0,Inputs!$B$43-B1604)-((R1594-1)*(IF(Inputs!$B$38="pvp",15,MAX(0.1,Skills!E28-IF(Skills!F28=TRUE,Inputs!$B$32,0)))*(1-IF(AND(ArtifactsInput!$M$27,Inputs!$B$4="Chapter Hunt"),CHOOSE(ArtifactsInput!$N$27+1,20,24,28,32,36,40),0)/100)))))/Skills!H28,1)))/Inputs!$B$43),G1594*Q1594)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6">
      <c r="A1596" t="inlineStr">
        <is>
          <t>Burning Magic Multiplier</t>
        </is>
      </c>
      <c r="B1596">
        <f>1+(F1577*Skills!Z11)/100</f>
        <v/>
      </c>
    </row>
    <row r="1597">
      <c r="A1597" t="inlineStr">
        <is>
          <t>Elemental Decrease Multiplier (always-on)</t>
        </is>
      </c>
      <c r="B1597">
        <f>1+(F1578+(IF(AND(ArtifactsInput!$M$35,Inputs!$B$4&lt;&gt;"Chapter Hunt"),CHOOSE(ArtifactsInput!$N$35+1,15,18,21,24,27,30)*(1-EXP(-(0.2*B1600)*5)),0)+IF(AND(ArtifactsInput!$M$22,Inputs!$B$4&lt;&gt;"Chapter Hunt"),CHOOSE(ArtifactsInput!$N$22+1,10,12,14,16,18,20)*((0*(((0.15*B1600*5))^0/1)+1*(((0.15*B1600*5))^1/1)+2*(((0.15*B1600*5))^2/2)+3*(((0.15*B1600*5))^3/6)+4*(((0.15*B1600*5))^4/24)+5*(((0.15*B1600*5))^5/120))/((((0.15*B1600*5))^0/1)+(((0.15*B1600*5))^1/1)+(((0.15*B1600*5))^2/2)+(((0.15*B1600*5))^3/6)+(((0.15*B1600*5))^4/24)+(((0.15*B1600*5))^5/120))),0)))/100</f>
        <v/>
      </c>
    </row>
    <row r="1598">
      <c r="A1598" t="inlineStr">
        <is>
          <t>Average Buff Multiplier (Magic Guard + Meditation + Artifact Attack%, summed; then Infinity)</t>
        </is>
      </c>
      <c r="B1598">
        <f>(1+(F1572*IF(AND(Inputs!$B$38&lt;&gt;"pvp",Inputs!$B$43&gt;0),(((R1572-1)*(Skills!T6*(1+((Inputs!$B$34+(ArtifactsInput!$M$7-ArtifactsInput!$M$7)*CHOOSE(ArtifactsInput!$N$7+1,6,7.2,8.4,9.6,10.8,12)))/100))+MIN((Skills!T6*(1+((Inputs!$B$34+(ArtifactsInput!$M$7-ArtifactsInput!$M$7)*CHOOSE(ArtifactsInput!$N$7+1,6,7.2,8.4,9.6,10.8,12)))/100)),MAX(0,Inputs!$B$43-((R1572-1)*Skills!E6))))/Inputs!$B$43),IF(Inputs!$B$38="pvp",MIN((Skills!T6*(1+((Inputs!$B$34+(ArtifactsInput!$M$7-ArtifactsInput!$M$7)*CHOOSE(ArtifactsInput!$N$7+1,6,7.2,8.4,9.6,10.8,12)))/100)),15)/15,(Skills!T6*(1+((Inputs!$B$34+(ArtifactsInput!$M$7-ArtifactsInput!$M$7)*CHOOSE(ArtifactsInput!$N$7+1,6,7.2,8.4,9.6,10.8,12)))/100))/Skills!E6))+F1583*IF(AND(Inputs!$B$38&lt;&gt;"pvp",Inputs!$B$43&gt;0),(((R1583-1)*(Skills!T17*(1+((Inputs!$B$34+(ArtifactsInput!$M$7-ArtifactsInput!$M$7)*CHOOSE(ArtifactsInput!$N$7+1,6,7.2,8.4,9.6,10.8,12)))/100))+MIN((Skills!T17*(1+((Inputs!$B$34+(ArtifactsInput!$M$7-ArtifactsInput!$M$7)*CHOOSE(ArtifactsInput!$N$7+1,6,7.2,8.4,9.6,10.8,12)))/100)),MAX(0,Inputs!$B$43-((R1583-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1585=TRUE,(1+F1585*IF(AND(Inputs!$B$38&lt;&gt;"pvp",Inputs!$B$43&gt;0),(((R1585-1)*(Skills!T19*(1+((Inputs!$B$34+(ArtifactsInput!$M$7-ArtifactsInput!$M$7)*CHOOSE(ArtifactsInput!$N$7+1,6,7.2,8.4,9.6,10.8,12)))/100))+MIN((Skills!T19*(1+((Inputs!$B$34+(ArtifactsInput!$M$7-ArtifactsInput!$M$7)*CHOOSE(ArtifactsInput!$N$7+1,6,7.2,8.4,9.6,10.8,12)))/100)),MAX(0,Inputs!$B$43-((R1585-1)*Skills!E19))))/Inputs!$B$43),IF(Inputs!$B$38="pvp",MIN((Skills!T19*(1+((Inputs!$B$34+(ArtifactsInput!$M$7-ArtifactsInput!$M$7)*CHOOSE(ArtifactsInput!$N$7+1,6,7.2,8.4,9.6,10.8,12)))/100)),15)/15,(Skills!T19*(1+((Inputs!$B$34+(ArtifactsInput!$M$7-ArtifactsInput!$M$7)*CHOOSE(ArtifactsInput!$N$7+1,6,7.2,8.4,9.6,10.8,12)))/100))/Skills!E19))/100),1)</f>
        <v/>
      </c>
    </row>
    <row r="1599">
      <c r="A1599" t="inlineStr">
        <is>
          <t>Attack Speed Buff Bonus % (Nimble Feet, averaged)</t>
        </is>
      </c>
      <c r="B1599">
        <f>F1584*IF(AND(Inputs!$B$38&lt;&gt;"pvp",Inputs!$B$43&gt;0),(((R1584-1)*(Skills!T18*(1+((Inputs!$B$34+(ArtifactsInput!$M$7-ArtifactsInput!$M$7)*CHOOSE(ArtifactsInput!$N$7+1,6,7.2,8.4,9.6,10.8,12)))/100))+MIN((Skills!T18*(1+((Inputs!$B$34+(ArtifactsInput!$M$7-ArtifactsInput!$M$7)*CHOOSE(ArtifactsInput!$N$7+1,6,7.2,8.4,9.6,10.8,12)))/100)),MAX(0,Inputs!$B$43-((R1584-1)*Skills!E18))))/Inputs!$B$43),IF(Inputs!$B$38="pvp",MIN((Skills!T18*(1+((Inputs!$B$34+(ArtifactsInput!$M$7-ArtifactsInput!$M$7)*CHOOSE(ArtifactsInput!$N$7+1,6,7.2,8.4,9.6,10.8,12)))/100)),15)/15,(Skills!T18*(1+((Inputs!$B$34+(ArtifactsInput!$M$7-ArtifactsInput!$M$7)*CHOOSE(ArtifactsInput!$N$7+1,6,7.2,8.4,9.6,10.8,12)))/100))/Skills!E18))</f>
        <v/>
      </c>
    </row>
    <row r="1600">
      <c r="A1600" t="inlineStr">
        <is>
          <t>Actions Per Second</t>
        </is>
      </c>
      <c r="B1600">
        <f>1+MIN(150,150*(1-(1-(Inputs!$B$11+(IF(ArtifactsInput!$M$15,FALSE,TRUE)-ArtifactsInput!$M$15)*CHOOSE(ArtifactsInput!$N$15+1,8,9.6,11.2,12.8,14.4,16))/150)*(1-B1599/150)))/100</f>
        <v/>
      </c>
    </row>
    <row r="1601">
      <c r="A1601" t="inlineStr">
        <is>
          <t>Skill + Buff Cast Rate</t>
        </is>
      </c>
      <c r="B1601">
        <f>IF(AND(Inputs!$B$38&lt;&gt;"pvp",Inputs!$B$43&gt;0),SUMPRODUCT((Skills!F2:F28=TRUE)*(C1568:C1594=TRUE)*R1568:R1594)/Inputs!$B$43,SUMPRODUCT((Skills!F2:F28=TRUE)*(C1568:C1594=TRUE)*Q1568:Q1594))</f>
        <v/>
      </c>
    </row>
    <row r="1602">
      <c r="A1602" t="inlineStr">
        <is>
          <t>Basic Attacks Per Second</t>
        </is>
      </c>
      <c r="B1602">
        <f>MAX(0,B1600-B1601)</f>
        <v/>
      </c>
    </row>
    <row r="1603">
      <c r="A1603" t="inlineStr">
        <is>
          <t>Meteor Proc — combined trigger cast rate</t>
        </is>
      </c>
      <c r="B1603">
        <f>IF(AND(Inputs!$B$38&lt;&gt;"pvp",Inputs!$B$43&gt;0),SUMPRODUCT((Skills!V2:V28=TRUE)*(C1568:C1594=TRUE)*R1568:R1594*Skills!W2:W28)/Inputs!$B$43,SUMPRODUCT((Skills!V2:V28=TRUE)*(C1568:C1594=TRUE)*Q1568:Q1594*Skills!W2:W28))+B1602</f>
        <v/>
      </c>
    </row>
    <row r="1604">
      <c r="A1604" t="inlineStr">
        <is>
          <t>Buff-Casting Startup Delay (s, fixed-duration only)</t>
        </is>
      </c>
      <c r="B1604">
        <f>IF(AND(Inputs!$B$38&lt;&gt;"pvp",Inputs!$B$43&gt;0),SUMPRODUCT((Skills!T2:T28&gt;0)*(Skills!F2:F28=TRUE)*(C1568:C1594=TRUE))/B1600,0)</f>
        <v/>
      </c>
    </row>
    <row r="1605">
      <c r="A1605" t="inlineStr">
        <is>
          <t>Boss-Only Total DPS (this block's swept value)</t>
        </is>
      </c>
      <c r="B1605">
        <f>SUM(S1568:S1594)</f>
        <v/>
      </c>
    </row>
    <row r="1606">
      <c r="A1606" t="inlineStr">
        <is>
          <t>Normal-Only Total DPS (this block's swept value)</t>
        </is>
      </c>
      <c r="B1606">
        <f>SUM(U1568:U1594)</f>
        <v/>
      </c>
    </row>
    <row r="1607">
      <c r="A1607" s="6" t="inlineStr">
        <is>
          <t>TOTAL DPS</t>
        </is>
      </c>
      <c r="B1607" s="6">
        <f>SUM(O1568:O1594)</f>
        <v/>
      </c>
    </row>
    <row r="1610">
      <c r="A1610" s="6" t="inlineStr">
        <is>
          <t>Stat: Zakum's Stone Piece (Equip)</t>
        </is>
      </c>
    </row>
    <row r="1611">
      <c r="A1611" s="5" t="inlineStr">
        <is>
          <t>Key</t>
        </is>
      </c>
      <c r="B1611" s="5" t="inlineStr">
        <is>
          <t>Name</t>
        </is>
      </c>
      <c r="C1611" s="5" t="inlineStr">
        <is>
          <t>Unlocked</t>
        </is>
      </c>
      <c r="D1611" s="5" t="inlineStr">
        <is>
          <t>InputLevel</t>
        </is>
      </c>
      <c r="E1611" s="5" t="inlineStr">
        <is>
          <t>Factor</t>
        </is>
      </c>
      <c r="F1611" s="5" t="inlineStr">
        <is>
          <t>CoefficientPercent</t>
        </is>
      </c>
      <c r="G1611" s="5" t="inlineStr">
        <is>
          <t>EffectiveHits</t>
        </is>
      </c>
      <c r="H1611" s="5" t="inlineStr">
        <is>
          <t>ProcProbability</t>
        </is>
      </c>
      <c r="I1611" s="5" t="inlineStr">
        <is>
          <t>MapleHeroMultiplier</t>
        </is>
      </c>
      <c r="J1611" s="5" t="inlineStr">
        <is>
          <t>BaseDamage</t>
        </is>
      </c>
      <c r="K1611" s="5" t="inlineStr">
        <is>
          <t>BaseHitDamage</t>
        </is>
      </c>
      <c r="L1611" s="5" t="inlineStr">
        <is>
          <t>NonCritAvg</t>
        </is>
      </c>
      <c r="M1611" s="5" t="inlineStr">
        <is>
          <t>CritAvg</t>
        </is>
      </c>
      <c r="N1611" s="5" t="inlineStr">
        <is>
          <t>ExpectedDamage(perHit)</t>
        </is>
      </c>
      <c r="O1611" s="5" t="inlineStr">
        <is>
          <t>DPS</t>
        </is>
      </c>
      <c r="P1611" s="5" t="inlineStr">
        <is>
          <t>% of Total</t>
        </is>
      </c>
      <c r="R1611" t="inlineStr">
        <is>
          <t>helpers</t>
        </is>
      </c>
    </row>
    <row r="1612">
      <c r="A1612">
        <f>Skills!A2</f>
        <v/>
      </c>
      <c r="B1612">
        <f>Skills!B2</f>
        <v/>
      </c>
      <c r="C1612">
        <f>TRUE</f>
        <v/>
      </c>
      <c r="D1612" t="inlineStr"/>
      <c r="E1612" t="inlineStr"/>
      <c r="F1612">
        <f>T1614+Skills!O2</f>
        <v/>
      </c>
      <c r="G1612">
        <f>Calc!G2</f>
        <v/>
      </c>
      <c r="H1612">
        <f>Calc!H2</f>
        <v/>
      </c>
      <c r="I1612">
        <f>IF(Skills!X2&lt;&gt;"",1+(Skills!X2/10)*(Z1613/1000)/100,1)</f>
        <v/>
      </c>
      <c r="J1612">
        <f>((Inputs!$B$6*(1+Inputs!$B$7/100))+(((Inputs!$B$12*(1+Inputs!$B$13/100))-(Inputs!$B$12*(1+Inputs!$B$13/100)))+0.25*(Inputs!$B$14-Inputs!$B$14))*(1+Inputs!$B$7/100))*(F1612/100)</f>
        <v/>
      </c>
      <c r="K1612">
        <f>J1612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1612)</f>
        <v/>
      </c>
      <c r="L1612">
        <f>K1612*(MIN(Inputs!$B$22+(F1632-Calc!F22),(Inputs!$B$23+(IF(ArtifactsInput!$M$15,CHOOSE(ArtifactsInput!$N$15+1,25,30,35,40,45,50)/100*(Inputs!$B$11-Inputs!$B$11),0))))/100+(Inputs!$B$23+(IF(ArtifactsInput!$M$15,CHOOSE(ArtifactsInput!$N$15+1,25,30,35,40,45,50)/100*(Inputs!$B$11-Inputs!$B$11),0)))/100)/2</f>
        <v/>
      </c>
      <c r="M1612">
        <f>L1612*(1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2">
        <f>L1612*(1-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1612*(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2">
        <f>(1-Summary!$B$11)*S1612+Summary!$B$11*U1612</f>
        <v/>
      </c>
      <c r="P1612">
        <f>IF(B1651=0,0,O1612/B1651)</f>
        <v/>
      </c>
      <c r="Q1612">
        <f>IFERROR(1/(IF(Inputs!$B$38="pvp",15,MAX(0.1,Skills!E2-IF(Skills!F2=TRUE,Inputs!$B$32,0)))*(1-IF(AND(ArtifactsInput!$M$27,Inputs!$B$4="Chapter Hunt"),CHOOSE(ArtifactsInput!$N$27+1,20,24,28,32,36,40),0)/100)),0)</f>
        <v/>
      </c>
      <c r="R1612" t="n">
        <v>0</v>
      </c>
      <c r="S1612">
        <f>(Skills!G2*N1612*B1646)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1612*(1-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1612*(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1612*(1-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1612*(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612">
        <f>MAX(0,(Inputs!$B$3-100)*3)+Inputs!$B$28+Inputs!$B$29</f>
        <v/>
      </c>
      <c r="U1612">
        <f>(Skills!G2*N1612*B1646)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612">
        <f>MAX(0,(Inputs!$B$3-100)*3)+Inputs!$B$28+Inputs!$B$29</f>
        <v/>
      </c>
    </row>
    <row r="1613">
      <c r="A1613">
        <f>Skills!A3</f>
        <v/>
      </c>
      <c r="B1613">
        <f>Skills!B3</f>
        <v/>
      </c>
      <c r="C1613">
        <f>TRUE</f>
        <v/>
      </c>
      <c r="D1613">
        <f>IF(Skills!C3=1,60+Inputs!$B$25+Inputs!$B$29,IF(Skills!C3=2,90+Inputs!$B$26+Inputs!$B$29,IF(Skills!C3=3,120+Inputs!$B$27+Inputs!$B$29,MAX(0,(Inputs!$B$3-100)*3)+Inputs!$B$28+Inputs!$B$29)))</f>
        <v/>
      </c>
      <c r="E1613">
        <f>INDEX(FactorTable!$B$2:$Y$301, MATCH(ROUND(MIN(300,MAX(1,D1613)),0), FactorTable!$A$2:$A$301,0), Skills!M3+1)</f>
        <v/>
      </c>
      <c r="F1613">
        <f>IF(Skills!N3=TRUE,(Skills!L3/10)*(E1613/1000),Skills!L3/10)+Skills!O3</f>
        <v/>
      </c>
      <c r="G1613">
        <f>Calc!G3</f>
        <v/>
      </c>
      <c r="H1613">
        <f>Calc!H3</f>
        <v/>
      </c>
      <c r="I1613">
        <f>IF(Skills!X3&lt;&gt;"",1+(Skills!X3/10)*(Z1613/1000)/100,1)</f>
        <v/>
      </c>
      <c r="J1613">
        <f>((Inputs!$B$6*(1+Inputs!$B$7/100))+(((Inputs!$B$12*(1+Inputs!$B$13/100))-(Inputs!$B$12*(1+Inputs!$B$13/100)))+0.25*(Inputs!$B$14-Inputs!$B$14))*(1+Inputs!$B$7/100))*(F1613/100)</f>
        <v/>
      </c>
      <c r="K1613">
        <f>J1613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1613)</f>
        <v/>
      </c>
      <c r="L1613">
        <f>K1613*(MIN(Inputs!$B$22+(F1632-Calc!F22),(Inputs!$B$23+(IF(ArtifactsInput!$M$15,CHOOSE(ArtifactsInput!$N$15+1,25,30,35,40,45,50)/100*(Inputs!$B$11-Inputs!$B$11),0))))/100+(Inputs!$B$23+(IF(ArtifactsInput!$M$15,CHOOSE(ArtifactsInput!$N$15+1,25,30,35,40,45,50)/100*(Inputs!$B$11-Inputs!$B$11),0)))/100)/2</f>
        <v/>
      </c>
      <c r="M1613">
        <f>L1613*(1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3">
        <f>L1613*(1-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1613*(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3">
        <f>(1-Summary!$B$11)*S1613+Summary!$B$11*U1613</f>
        <v/>
      </c>
      <c r="P1613">
        <f>IF(B1651=0,0,O1613/B1651)</f>
        <v/>
      </c>
      <c r="Q1613">
        <f>IFERROR(1/(IF(Inputs!$B$38="pvp",15,MAX(0.1,Skills!E3-IF(Skills!F3=TRUE,Inputs!$B$32,0)))*(1-IF(AND(ArtifactsInput!$M$27,Inputs!$B$4="Chapter Hunt"),CHOOSE(ArtifactsInput!$N$27+1,20,24,28,32,36,40),0)/100)),0)</f>
        <v/>
      </c>
      <c r="R1613">
        <f>IF(AND(Inputs!$B$38&lt;&gt;"pvp",Inputs!$B$43&gt;0),IF(MAX(0,Inputs!$B$43-B1648)&lt;=0,0,(INT(MAX(0,Inputs!$B$43-B1648)/(IF(Inputs!$B$38="pvp",15,MAX(0.1,Skills!E3-IF(Skills!F3=TRUE,Inputs!$B$32,0)))*(1-IF(AND(ArtifactsInput!$M$27,Inputs!$B$4="Chapter Hunt"),CHOOSE(ArtifactsInput!$N$27+1,20,24,28,32,36,40),0)/100)))+1)),0)</f>
        <v/>
      </c>
      <c r="S1613">
        <f>IF(C1613,(H1613*N1613*IF(AND(Inputs!$B$38&lt;&gt;"pvp",Inputs!$B$43&gt;0),((Skills!G3*((R1613-1)*IF(Skills!H3&gt;0,Skills!I3/Skills!H3,1)+IF(Skills!H3&gt;0,MIN(Skills!I3,MAX(0,MAX(0,Inputs!$B$43-B1648)-((R1613-1)*(IF(Inputs!$B$38="pvp",15,MAX(0.1,Skills!E3-IF(Skills!F3=TRUE,Inputs!$B$32,0)))*(1-IF(AND(ArtifactsInput!$M$27,Inputs!$B$4="Chapter Hunt"),CHOOSE(ArtifactsInput!$N$27+1,20,24,28,32,36,40),0)/100)))))/Skills!H3,1)))/Inputs!$B$43),G1613*Q1613)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1613*(1-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1613*(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1613*(1-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1613*(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13">
        <f>INDEX(FactorTable!$B$2:$Y$301, MATCH(ROUND(MIN(300,MAX(1,T1612)),0), FactorTable!$A$2:$A$301,0), 22)</f>
        <v/>
      </c>
      <c r="U1613">
        <f>IF(C1613,(H1613*N1613*IF(AND(Inputs!$B$38&lt;&gt;"pvp",Inputs!$B$43&gt;0),((Skills!G3*((R1613-1)*IF(Skills!H3&gt;0,Skills!I3/Skills!H3,1)+IF(Skills!H3&gt;0,MIN(Skills!I3,MAX(0,MAX(0,Inputs!$B$43-B1648)-((R1613-1)*(IF(Inputs!$B$38="pvp",15,MAX(0.1,Skills!E3-IF(Skills!F3=TRUE,Inputs!$B$32,0)))*(1-IF(AND(ArtifactsInput!$M$27,Inputs!$B$4="Chapter Hunt"),CHOOSE(ArtifactsInput!$N$27+1,20,24,28,32,36,40),0)/100)))))/Skills!H3,1)))/Inputs!$B$43),G1613*Q1613)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613">
        <f>INDEX(FactorTable!$B$2:$Y$301, MATCH(ROUND(MIN(300,MAX(1,Z1612)),0), FactorTable!$A$2:$A$301,0), 24)</f>
        <v/>
      </c>
    </row>
    <row r="1614">
      <c r="A1614">
        <f>Skills!A4</f>
        <v/>
      </c>
      <c r="B1614">
        <f>Skills!B4</f>
        <v/>
      </c>
      <c r="C1614">
        <f>TRUE</f>
        <v/>
      </c>
      <c r="D1614">
        <f>IF(Skills!C4=1,60+Inputs!$B$25+Inputs!$B$29,IF(Skills!C4=2,90+Inputs!$B$26+Inputs!$B$29,IF(Skills!C4=3,120+Inputs!$B$27+Inputs!$B$29,MAX(0,(Inputs!$B$3-100)*3)+Inputs!$B$28+Inputs!$B$29)))</f>
        <v/>
      </c>
      <c r="E1614">
        <f>INDEX(FactorTable!$B$2:$Y$301, MATCH(ROUND(MIN(300,MAX(1,D1614)),0), FactorTable!$A$2:$A$301,0), Skills!M4+1)</f>
        <v/>
      </c>
      <c r="F1614">
        <f>IF(Skills!N4=TRUE,(Skills!L4/10)*(E1614/1000),Skills!L4/10)+Skills!O4</f>
        <v/>
      </c>
      <c r="G1614">
        <f>Calc!G4</f>
        <v/>
      </c>
      <c r="H1614">
        <f>Calc!H4</f>
        <v/>
      </c>
      <c r="I1614">
        <f>IF(Skills!X4&lt;&gt;"",1+(Skills!X4/10)*(Z1613/1000)/100,1)</f>
        <v/>
      </c>
      <c r="J1614">
        <f>((Inputs!$B$6*(1+Inputs!$B$7/100))+(((Inputs!$B$12*(1+Inputs!$B$13/100))-(Inputs!$B$12*(1+Inputs!$B$13/100)))+0.25*(Inputs!$B$14-Inputs!$B$14))*(1+Inputs!$B$7/100))*(F1614/100)</f>
        <v/>
      </c>
      <c r="K1614">
        <f>J1614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1614)</f>
        <v/>
      </c>
      <c r="L1614">
        <f>K1614*(MIN(Inputs!$B$22+(F1632-Calc!F22),(Inputs!$B$23+(IF(ArtifactsInput!$M$15,CHOOSE(ArtifactsInput!$N$15+1,25,30,35,40,45,50)/100*(Inputs!$B$11-Inputs!$B$11),0))))/100+(Inputs!$B$23+(IF(ArtifactsInput!$M$15,CHOOSE(ArtifactsInput!$N$15+1,25,30,35,40,45,50)/100*(Inputs!$B$11-Inputs!$B$11),0)))/100)/2</f>
        <v/>
      </c>
      <c r="M1614">
        <f>L1614*(1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4">
        <f>L1614*(1-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1614*(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4">
        <f>(1-Summary!$B$11)*S1614+Summary!$B$11*U1614</f>
        <v/>
      </c>
      <c r="P1614">
        <f>IF(B1651=0,0,O1614/B1651)</f>
        <v/>
      </c>
      <c r="Q1614">
        <f>IFERROR(1/(IF(Inputs!$B$38="pvp",15,MAX(0.1,Skills!E4-IF(Skills!F4=TRUE,Inputs!$B$32,0)))*(1-IF(AND(ArtifactsInput!$M$27,Inputs!$B$4="Chapter Hunt"),CHOOSE(ArtifactsInput!$N$27+1,20,24,28,32,36,40),0)/100)),0)</f>
        <v/>
      </c>
      <c r="R1614">
        <f>IF(AND(Inputs!$B$38&lt;&gt;"pvp",Inputs!$B$43&gt;0),IF(MAX(0,Inputs!$B$43-B1648)&lt;=0,0,(INT(MAX(0,Inputs!$B$43-B1648)/(IF(Inputs!$B$38="pvp",15,MAX(0.1,Skills!E4-IF(Skills!F4=TRUE,Inputs!$B$32,0)))*(1-IF(AND(ArtifactsInput!$M$27,Inputs!$B$4="Chapter Hunt"),CHOOSE(ArtifactsInput!$N$27+1,20,24,28,32,36,40),0)/100)))+1)),0)</f>
        <v/>
      </c>
      <c r="S1614">
        <f>IF(C1614,(H1614*N1614*IF(AND(Inputs!$B$38&lt;&gt;"pvp",Inputs!$B$43&gt;0),((Skills!G4*((R1614-1)*IF(Skills!H4&gt;0,Skills!I4/Skills!H4,1)+IF(Skills!H4&gt;0,MIN(Skills!I4,MAX(0,MAX(0,Inputs!$B$43-B1648)-((R1614-1)*(IF(Inputs!$B$38="pvp",15,MAX(0.1,Skills!E4-IF(Skills!F4=TRUE,Inputs!$B$32,0)))*(1-IF(AND(ArtifactsInput!$M$27,Inputs!$B$4="Chapter Hunt"),CHOOSE(ArtifactsInput!$N$27+1,20,24,28,32,36,40),0)/100)))))/Skills!H4,1)))/Inputs!$B$43),G1614*Q1614)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1614*(1-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1614*(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1614*(1-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1614*(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14">
        <f>290*T1613/1000</f>
        <v/>
      </c>
      <c r="U1614">
        <f>IF(C1614,(H1614*N1614*IF(AND(Inputs!$B$38&lt;&gt;"pvp",Inputs!$B$43&gt;0),((Skills!G4*((R1614-1)*IF(Skills!H4&gt;0,Skills!I4/Skills!H4,1)+IF(Skills!H4&gt;0,MIN(Skills!I4,MAX(0,MAX(0,Inputs!$B$43-B1648)-((R1614-1)*(IF(Inputs!$B$38="pvp",15,MAX(0.1,Skills!E4-IF(Skills!F4=TRUE,Inputs!$B$32,0)))*(1-IF(AND(ArtifactsInput!$M$27,Inputs!$B$4="Chapter Hunt"),CHOOSE(ArtifactsInput!$N$27+1,20,24,28,32,36,40),0)/100)))))/Skills!H4,1)))/Inputs!$B$43),G1614*Q1614)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5">
      <c r="A1615">
        <f>Skills!A5</f>
        <v/>
      </c>
      <c r="B1615">
        <f>Skills!B5</f>
        <v/>
      </c>
      <c r="C1615">
        <f>TRUE</f>
        <v/>
      </c>
      <c r="D1615">
        <f>IF(Skills!C5=1,60+Inputs!$B$25+Inputs!$B$29,IF(Skills!C5=2,90+Inputs!$B$26+Inputs!$B$29,IF(Skills!C5=3,120+Inputs!$B$27+Inputs!$B$29,MAX(0,(Inputs!$B$3-100)*3)+Inputs!$B$28+Inputs!$B$29)))</f>
        <v/>
      </c>
      <c r="E1615">
        <f>INDEX(FactorTable!$B$2:$Y$301, MATCH(ROUND(MIN(300,MAX(1,D1615)),0), FactorTable!$A$2:$A$301,0), Skills!M5+1)</f>
        <v/>
      </c>
      <c r="F1615">
        <f>IF(Skills!N5=TRUE,(Skills!L5/10)*(E1615/1000),Skills!L5/10)+Skills!O5</f>
        <v/>
      </c>
      <c r="G1615">
        <f>Calc!G5</f>
        <v/>
      </c>
      <c r="H1615">
        <f>Calc!H5</f>
        <v/>
      </c>
      <c r="I1615">
        <f>IF(Skills!X5&lt;&gt;"",1+(Skills!X5/10)*(Z1613/1000)/100,1)</f>
        <v/>
      </c>
      <c r="J1615">
        <f>((Inputs!$B$6*(1+Inputs!$B$7/100))+(((Inputs!$B$12*(1+Inputs!$B$13/100))-(Inputs!$B$12*(1+Inputs!$B$13/100)))+0.25*(Inputs!$B$14-Inputs!$B$14))*(1+Inputs!$B$7/100))*(F1615/100)</f>
        <v/>
      </c>
      <c r="K1615">
        <f>J1615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1615)</f>
        <v/>
      </c>
      <c r="L1615">
        <f>K1615*(MIN(Inputs!$B$22+(F1632-Calc!F22),(Inputs!$B$23+(IF(ArtifactsInput!$M$15,CHOOSE(ArtifactsInput!$N$15+1,25,30,35,40,45,50)/100*(Inputs!$B$11-Inputs!$B$11),0))))/100+(Inputs!$B$23+(IF(ArtifactsInput!$M$15,CHOOSE(ArtifactsInput!$N$15+1,25,30,35,40,45,50)/100*(Inputs!$B$11-Inputs!$B$11),0)))/100)/2</f>
        <v/>
      </c>
      <c r="M1615">
        <f>L1615*(1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5">
        <f>L1615*(1-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1615*(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5">
        <f>(1-Summary!$B$11)*S1615+Summary!$B$11*U1615</f>
        <v/>
      </c>
      <c r="P1615">
        <f>IF(B1651=0,0,O1615/B1651)</f>
        <v/>
      </c>
      <c r="Q1615">
        <f>IFERROR(1/(IF(Inputs!$B$38="pvp",15,MAX(0.1,Skills!E5-IF(Skills!F5=TRUE,Inputs!$B$32,0)))*(1-IF(AND(ArtifactsInput!$M$27,Inputs!$B$4="Chapter Hunt"),CHOOSE(ArtifactsInput!$N$27+1,20,24,28,32,36,40),0)/100)),0)</f>
        <v/>
      </c>
      <c r="R1615">
        <f>IF(AND(Inputs!$B$38&lt;&gt;"pvp",Inputs!$B$43&gt;0),IF(MAX(0,Inputs!$B$43-B1648)&lt;=0,0,(INT(MAX(0,Inputs!$B$43-B1648)/(IF(Inputs!$B$38="pvp",15,MAX(0.1,Skills!E5-IF(Skills!F5=TRUE,Inputs!$B$32,0)))*(1-IF(AND(ArtifactsInput!$M$27,Inputs!$B$4="Chapter Hunt"),CHOOSE(ArtifactsInput!$N$27+1,20,24,28,32,36,40),0)/100)))+1)),0)</f>
        <v/>
      </c>
      <c r="S1615">
        <f>IF(C1615,(H1615*N1615*IF(AND(Inputs!$B$38&lt;&gt;"pvp",Inputs!$B$43&gt;0),((Skills!G5*((R1615-1)*IF(Skills!H5&gt;0,Skills!I5/Skills!H5,1)+IF(Skills!H5&gt;0,MIN(Skills!I5,MAX(0,MAX(0,Inputs!$B$43-B1648)-((R1615-1)*(IF(Inputs!$B$38="pvp",15,MAX(0.1,Skills!E5-IF(Skills!F5=TRUE,Inputs!$B$32,0)))*(1-IF(AND(ArtifactsInput!$M$27,Inputs!$B$4="Chapter Hunt"),CHOOSE(ArtifactsInput!$N$27+1,20,24,28,32,36,40),0)/100)))))/Skills!H5,1)))/Inputs!$B$43),G1615*Q1615)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1615*(1-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1615*(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1615*(1-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1615*(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15">
        <f>IF(C1615,(H1615*N1615*IF(AND(Inputs!$B$38&lt;&gt;"pvp",Inputs!$B$43&gt;0),((Skills!G5*((R1615-1)*IF(Skills!H5&gt;0,Skills!I5/Skills!H5,1)+IF(Skills!H5&gt;0,MIN(Skills!I5,MAX(0,MAX(0,Inputs!$B$43-B1648)-((R1615-1)*(IF(Inputs!$B$38="pvp",15,MAX(0.1,Skills!E5-IF(Skills!F5=TRUE,Inputs!$B$32,0)))*(1-IF(AND(ArtifactsInput!$M$27,Inputs!$B$4="Chapter Hunt"),CHOOSE(ArtifactsInput!$N$27+1,20,24,28,32,36,40),0)/100)))))/Skills!H5,1)))/Inputs!$B$43),G1615*Q1615)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6">
      <c r="A1616">
        <f>Skills!A6</f>
        <v/>
      </c>
      <c r="B1616">
        <f>Skills!B6</f>
        <v/>
      </c>
      <c r="C1616">
        <f>TRUE</f>
        <v/>
      </c>
      <c r="D1616">
        <f>IF(Skills!C6=1,60+Inputs!$B$25+Inputs!$B$29,IF(Skills!C6=2,90+Inputs!$B$26+Inputs!$B$29,IF(Skills!C6=3,120+Inputs!$B$27+Inputs!$B$29,MAX(0,(Inputs!$B$3-100)*3)+Inputs!$B$28+Inputs!$B$29)))</f>
        <v/>
      </c>
      <c r="E1616">
        <f>INDEX(FactorTable!$B$2:$Y$301, MATCH(ROUND(MIN(300,MAX(1,D1616)),0), FactorTable!$A$2:$A$301,0), Skills!M6+1)</f>
        <v/>
      </c>
      <c r="F1616">
        <f>IF(Skills!N6=TRUE,(Skills!L6/10)*(E1616/1000),Skills!L6/10)+Skills!O6</f>
        <v/>
      </c>
      <c r="G1616">
        <f>Calc!G6</f>
        <v/>
      </c>
      <c r="H1616">
        <f>Calc!H6</f>
        <v/>
      </c>
      <c r="I1616">
        <f>IF(Skills!X6&lt;&gt;"",1+(Skills!X6/10)*(Z1613/1000)/100,1)</f>
        <v/>
      </c>
      <c r="J1616" t="inlineStr"/>
      <c r="K1616" t="inlineStr"/>
      <c r="L1616" t="inlineStr"/>
      <c r="M1616" t="inlineStr"/>
      <c r="N1616" t="inlineStr"/>
      <c r="O1616">
        <f>(1-Summary!$B$11)*S1616+Summary!$B$11*U1616</f>
        <v/>
      </c>
      <c r="P1616">
        <f>IF(B1651=0,0,O1616/B1651)</f>
        <v/>
      </c>
      <c r="Q1616">
        <f>IFERROR(1/(IF(Inputs!$B$38="pvp",15,MAX(0.1,Skills!E6-IF(Skills!F6=TRUE,Inputs!$B$32,0)))*(1-IF(AND(ArtifactsInput!$M$27,Inputs!$B$4="Chapter Hunt"),CHOOSE(ArtifactsInput!$N$27+1,20,24,28,32,36,40),0)/100)),0)</f>
        <v/>
      </c>
      <c r="R1616">
        <f>IF(AND(Inputs!$B$38&lt;&gt;"pvp",Inputs!$B$43&gt;0),IF(Inputs!$B$43&lt;=0,0,(INT(Inputs!$B$43/(IF(Inputs!$B$38="pvp",15,MAX(0.1,Skills!E6-IF(Skills!F6=TRUE,Inputs!$B$32,0)))*(1-IF(AND(ArtifactsInput!$M$27,Inputs!$B$4="Chapter Hunt"),CHOOSE(ArtifactsInput!$N$27+1,20,24,28,32,36,40),0)/100)))+1)),0)</f>
        <v/>
      </c>
      <c r="S1616" t="n">
        <v>0</v>
      </c>
      <c r="U1616" t="n">
        <v>0</v>
      </c>
    </row>
    <row r="1617">
      <c r="A1617">
        <f>Skills!A7</f>
        <v/>
      </c>
      <c r="B1617">
        <f>Skills!B7</f>
        <v/>
      </c>
      <c r="C1617">
        <f>TRUE</f>
        <v/>
      </c>
      <c r="D1617">
        <f>IF(Skills!C7=1,60+Inputs!$B$25+Inputs!$B$29,IF(Skills!C7=2,90+Inputs!$B$26+Inputs!$B$29,IF(Skills!C7=3,120+Inputs!$B$27+Inputs!$B$29,MAX(0,(Inputs!$B$3-100)*3)+Inputs!$B$28+Inputs!$B$29)))</f>
        <v/>
      </c>
      <c r="E1617">
        <f>INDEX(FactorTable!$B$2:$Y$301, MATCH(ROUND(MIN(300,MAX(1,D1617)),0), FactorTable!$A$2:$A$301,0), Skills!M7+1)</f>
        <v/>
      </c>
      <c r="F1617">
        <f>IF(Skills!N7=TRUE,(Skills!L7/10)*(E1617/1000),Skills!L7/10)+Skills!O7</f>
        <v/>
      </c>
      <c r="G1617">
        <f>Calc!G7</f>
        <v/>
      </c>
      <c r="H1617">
        <f>Calc!H7</f>
        <v/>
      </c>
      <c r="I1617">
        <f>IF(Skills!X7&lt;&gt;"",1+(Skills!X7/10)*(Z1613/1000)/100,1)</f>
        <v/>
      </c>
      <c r="J1617">
        <f>((Inputs!$B$6*(1+Inputs!$B$7/100))+(((Inputs!$B$12*(1+Inputs!$B$13/100))-(Inputs!$B$12*(1+Inputs!$B$13/100)))+0.25*(Inputs!$B$14-Inputs!$B$14))*(1+Inputs!$B$7/100))*(F1617/100)</f>
        <v/>
      </c>
      <c r="K1617">
        <f>J1617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1617)</f>
        <v/>
      </c>
      <c r="L1617">
        <f>K1617*(MIN(Inputs!$B$22+(F1632-Calc!F22),(Inputs!$B$23+(IF(ArtifactsInput!$M$15,CHOOSE(ArtifactsInput!$N$15+1,25,30,35,40,45,50)/100*(Inputs!$B$11-Inputs!$B$11),0))))/100+(Inputs!$B$23+(IF(ArtifactsInput!$M$15,CHOOSE(ArtifactsInput!$N$15+1,25,30,35,40,45,50)/100*(Inputs!$B$11-Inputs!$B$11),0)))/100)/2</f>
        <v/>
      </c>
      <c r="M1617">
        <f>L1617*(1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7">
        <f>L1617*(1-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1617*(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7">
        <f>(1-Summary!$B$11)*S1617+Summary!$B$11*U1617</f>
        <v/>
      </c>
      <c r="P1617">
        <f>IF(B1651=0,0,O1617/B1651)</f>
        <v/>
      </c>
      <c r="Q1617">
        <f>IFERROR(1/(IF(Inputs!$B$38="pvp",15,MAX(0.1,Skills!E7-IF(Skills!F7=TRUE,Inputs!$B$32,0)))*(1-IF(AND(ArtifactsInput!$M$27,Inputs!$B$4="Chapter Hunt"),CHOOSE(ArtifactsInput!$N$27+1,20,24,28,32,36,40),0)/100)),0)</f>
        <v/>
      </c>
      <c r="R1617">
        <f>IF(AND(Inputs!$B$38&lt;&gt;"pvp",Inputs!$B$43&gt;0),IF(MAX(0,Inputs!$B$43-B1648)&lt;=0,0,(INT(MAX(0,Inputs!$B$43-B1648)/(IF(Inputs!$B$38="pvp",15,MAX(0.1,Skills!E7-IF(Skills!F7=TRUE,Inputs!$B$32,0)))*(1-IF(AND(ArtifactsInput!$M$27,Inputs!$B$4="Chapter Hunt"),CHOOSE(ArtifactsInput!$N$27+1,20,24,28,32,36,40),0)/100)))+1)),0)</f>
        <v/>
      </c>
      <c r="S1617">
        <f>IF(C1617,(H1617*N1617*IF(AND(Inputs!$B$38&lt;&gt;"pvp",Inputs!$B$43&gt;0),((Skills!G7*((R1617-1)*IF(Skills!H7&gt;0,Skills!I7/Skills!H7,1)+IF(Skills!H7&gt;0,MIN(Skills!I7,MAX(0,MAX(0,Inputs!$B$43-B1648)-((R1617-1)*(IF(Inputs!$B$38="pvp",15,MAX(0.1,Skills!E7-IF(Skills!F7=TRUE,Inputs!$B$32,0)))*(1-IF(AND(ArtifactsInput!$M$27,Inputs!$B$4="Chapter Hunt"),CHOOSE(ArtifactsInput!$N$27+1,20,24,28,32,36,40),0)/100)))))/Skills!H7,1)))/Inputs!$B$43),G1617*Q1617)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1617*(1-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1617*(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1617*(1-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1617*(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17">
        <f>IF(C1617,(H1617*N1617*IF(AND(Inputs!$B$38&lt;&gt;"pvp",Inputs!$B$43&gt;0),((Skills!G7*((R1617-1)*IF(Skills!H7&gt;0,Skills!I7/Skills!H7,1)+IF(Skills!H7&gt;0,MIN(Skills!I7,MAX(0,MAX(0,Inputs!$B$43-B1648)-((R1617-1)*(IF(Inputs!$B$38="pvp",15,MAX(0.1,Skills!E7-IF(Skills!F7=TRUE,Inputs!$B$32,0)))*(1-IF(AND(ArtifactsInput!$M$27,Inputs!$B$4="Chapter Hunt"),CHOOSE(ArtifactsInput!$N$27+1,20,24,28,32,36,40),0)/100)))))/Skills!H7,1)))/Inputs!$B$43),G1617*Q1617)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8">
      <c r="A1618">
        <f>Skills!A8</f>
        <v/>
      </c>
      <c r="B1618">
        <f>Skills!B8</f>
        <v/>
      </c>
      <c r="C1618">
        <f>TRUE</f>
        <v/>
      </c>
      <c r="D1618">
        <f>IF(Skills!C8=1,60+Inputs!$B$25+Inputs!$B$29,IF(Skills!C8=2,90+Inputs!$B$26+Inputs!$B$29,IF(Skills!C8=3,120+Inputs!$B$27+Inputs!$B$29,MAX(0,(Inputs!$B$3-100)*3)+Inputs!$B$28+Inputs!$B$29)))</f>
        <v/>
      </c>
      <c r="E1618">
        <f>INDEX(FactorTable!$B$2:$Y$301, MATCH(ROUND(MIN(300,MAX(1,D1618)),0), FactorTable!$A$2:$A$301,0), Skills!M8+1)</f>
        <v/>
      </c>
      <c r="F1618">
        <f>IF(Skills!N8=TRUE,(Skills!L8/10)*(E1618/1000),Skills!L8/10)+Skills!O8</f>
        <v/>
      </c>
      <c r="G1618">
        <f>Calc!G8</f>
        <v/>
      </c>
      <c r="H1618">
        <f>Calc!H8</f>
        <v/>
      </c>
      <c r="I1618">
        <f>IF(Skills!X8&lt;&gt;"",1+(Skills!X8/10)*(Z1613/1000)/100,1)</f>
        <v/>
      </c>
      <c r="J1618">
        <f>((Inputs!$B$6*(1+Inputs!$B$7/100))+(((Inputs!$B$12*(1+Inputs!$B$13/100))-(Inputs!$B$12*(1+Inputs!$B$13/100)))+0.25*(Inputs!$B$14-Inputs!$B$14))*(1+Inputs!$B$7/100))*(F1618/100)</f>
        <v/>
      </c>
      <c r="K1618">
        <f>J1618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1618)</f>
        <v/>
      </c>
      <c r="L1618">
        <f>K1618*(MIN(Inputs!$B$22+(F1632-Calc!F22),(Inputs!$B$23+(IF(ArtifactsInput!$M$15,CHOOSE(ArtifactsInput!$N$15+1,25,30,35,40,45,50)/100*(Inputs!$B$11-Inputs!$B$11),0))))/100+(Inputs!$B$23+(IF(ArtifactsInput!$M$15,CHOOSE(ArtifactsInput!$N$15+1,25,30,35,40,45,50)/100*(Inputs!$B$11-Inputs!$B$11),0)))/100)/2</f>
        <v/>
      </c>
      <c r="M1618">
        <f>L1618*(1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8">
        <f>L1618*(1-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1618*(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8">
        <f>(1-Summary!$B$11)*S1618+Summary!$B$11*U1618</f>
        <v/>
      </c>
      <c r="P1618">
        <f>IF(B1651=0,0,O1618/B1651)</f>
        <v/>
      </c>
      <c r="Q1618">
        <f>IFERROR(1/(IF(Inputs!$B$38="pvp",15,MAX(0.1,Skills!E8-IF(Skills!F8=TRUE,Inputs!$B$32,0)))*(1-IF(AND(ArtifactsInput!$M$27,Inputs!$B$4="Chapter Hunt"),CHOOSE(ArtifactsInput!$N$27+1,20,24,28,32,36,40),0)/100)),0)</f>
        <v/>
      </c>
      <c r="R1618">
        <f>IF(AND(Inputs!$B$38&lt;&gt;"pvp",Inputs!$B$43&gt;0),IF(MAX(0,Inputs!$B$43-B1648)&lt;=0,0,(INT(MAX(0,Inputs!$B$43-B1648)/(IF(Inputs!$B$38="pvp",15,MAX(0.1,Skills!E8-IF(Skills!F8=TRUE,Inputs!$B$32,0)))*(1-IF(AND(ArtifactsInput!$M$27,Inputs!$B$4="Chapter Hunt"),CHOOSE(ArtifactsInput!$N$27+1,20,24,28,32,36,40),0)/100)))+1)),0)</f>
        <v/>
      </c>
      <c r="S1618">
        <f>IF(C1618,(H1618*N1618*IF(AND(Inputs!$B$38&lt;&gt;"pvp",Inputs!$B$43&gt;0),((Skills!G8*((R1618-1)*IF(Skills!H8&gt;0,Skills!I8/Skills!H8,1)+IF(Skills!H8&gt;0,MIN(Skills!I8,MAX(0,MAX(0,Inputs!$B$43-B1648)-((R1618-1)*(IF(Inputs!$B$38="pvp",15,MAX(0.1,Skills!E8-IF(Skills!F8=TRUE,Inputs!$B$32,0)))*(1-IF(AND(ArtifactsInput!$M$27,Inputs!$B$4="Chapter Hunt"),CHOOSE(ArtifactsInput!$N$27+1,20,24,28,32,36,40),0)/100)))))/Skills!H8,1)))/Inputs!$B$43),G1618*Q1618)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1618*(1-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1618*(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1618*(1-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1618*(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18">
        <f>IF(C1618,(H1618*N1618*IF(AND(Inputs!$B$38&lt;&gt;"pvp",Inputs!$B$43&gt;0),((Skills!G8*((R1618-1)*IF(Skills!H8&gt;0,Skills!I8/Skills!H8,1)+IF(Skills!H8&gt;0,MIN(Skills!I8,MAX(0,MAX(0,Inputs!$B$43-B1648)-((R1618-1)*(IF(Inputs!$B$38="pvp",15,MAX(0.1,Skills!E8-IF(Skills!F8=TRUE,Inputs!$B$32,0)))*(1-IF(AND(ArtifactsInput!$M$27,Inputs!$B$4="Chapter Hunt"),CHOOSE(ArtifactsInput!$N$27+1,20,24,28,32,36,40),0)/100)))))/Skills!H8,1)))/Inputs!$B$43),G1618*Q1618)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9">
      <c r="A1619">
        <f>Skills!A9</f>
        <v/>
      </c>
      <c r="B1619">
        <f>Skills!B9</f>
        <v/>
      </c>
      <c r="C1619">
        <f>Inputs!$B$3&gt;=103</f>
        <v/>
      </c>
      <c r="D1619">
        <f>IF(Skills!C9=1,60+Inputs!$B$25+Inputs!$B$29,IF(Skills!C9=2,90+Inputs!$B$26+Inputs!$B$29,IF(Skills!C9=3,120+Inputs!$B$27+Inputs!$B$29,MAX(0,(Inputs!$B$3-100)*3)+Inputs!$B$28+Inputs!$B$29)))</f>
        <v/>
      </c>
      <c r="E1619">
        <f>INDEX(FactorTable!$B$2:$Y$301, MATCH(ROUND(MIN(300,MAX(1,D1619)),0), FactorTable!$A$2:$A$301,0), Skills!M9+1)</f>
        <v/>
      </c>
      <c r="F1619">
        <f>IF(Skills!N9=TRUE,(Skills!L9/10)*(E1619/1000),Skills!L9/10)+Skills!O9</f>
        <v/>
      </c>
      <c r="G1619">
        <f>Calc!G9</f>
        <v/>
      </c>
      <c r="H1619">
        <f>Calc!H9</f>
        <v/>
      </c>
      <c r="I1619">
        <f>IF(Skills!X9&lt;&gt;"",1+(Skills!X9/10)*(Z1613/1000)/100,1)</f>
        <v/>
      </c>
      <c r="J1619">
        <f>((Inputs!$B$6*(1+Inputs!$B$7/100))+(((Inputs!$B$12*(1+Inputs!$B$13/100))-(Inputs!$B$12*(1+Inputs!$B$13/100)))+0.25*(Inputs!$B$14-Inputs!$B$14))*(1+Inputs!$B$7/100))*(F1619/100)</f>
        <v/>
      </c>
      <c r="K1619">
        <f>J1619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1619)</f>
        <v/>
      </c>
      <c r="L1619">
        <f>K1619*(MIN(Inputs!$B$22+(F1632-Calc!F22),(Inputs!$B$23+(IF(ArtifactsInput!$M$15,CHOOSE(ArtifactsInput!$N$15+1,25,30,35,40,45,50)/100*(Inputs!$B$11-Inputs!$B$11),0))))/100+(Inputs!$B$23+(IF(ArtifactsInput!$M$15,CHOOSE(ArtifactsInput!$N$15+1,25,30,35,40,45,50)/100*(Inputs!$B$11-Inputs!$B$11),0)))/100)/2</f>
        <v/>
      </c>
      <c r="M1619">
        <f>L1619*(1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9">
        <f>L1619*(1-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1619*(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9">
        <f>(1-Summary!$B$11)*S1619+Summary!$B$11*U1619</f>
        <v/>
      </c>
      <c r="P1619">
        <f>IF(B1651=0,0,O1619/B1651)</f>
        <v/>
      </c>
      <c r="Q1619">
        <f>IFERROR(1/(IF(Inputs!$B$38="pvp",15,MAX(0.1,Skills!E9-IF(Skills!F7=TRUE,Inputs!$B$32,0)))*(1-IF(AND(ArtifactsInput!$M$27,Inputs!$B$4="Chapter Hunt"),CHOOSE(ArtifactsInput!$N$27+1,20,24,28,32,36,40),0)/100)),0)</f>
        <v/>
      </c>
      <c r="R1619">
        <f>IF(AND(Inputs!$B$38&lt;&gt;"pvp",Inputs!$B$43&gt;0),IF(MAX(0,Inputs!$B$43-B1648)&lt;=0,0,(INT(MAX(0,Inputs!$B$43-B1648)/(IF(Inputs!$B$38="pvp",15,MAX(0.1,Skills!E9-IF(Skills!F7=TRUE,Inputs!$B$32,0)))*(1-IF(AND(ArtifactsInput!$M$27,Inputs!$B$4="Chapter Hunt"),CHOOSE(ArtifactsInput!$N$27+1,20,24,28,32,36,40),0)/100)))+1)),0)</f>
        <v/>
      </c>
      <c r="S1619">
        <f>IF(C1619,(H1619*N1619*IF(AND(Inputs!$B$38&lt;&gt;"pvp",Inputs!$B$43&gt;0),((Skills!G9*((R1619-1)*IF(Skills!H9&gt;0,Skills!I9/Skills!H9,1)+IF(Skills!H9&gt;0,MIN(Skills!I9,MAX(0,MAX(0,Inputs!$B$43-B1648)-((R1619-1)*(IF(Inputs!$B$38="pvp",15,MAX(0.1,Skills!E9-IF(Skills!F7=TRUE,Inputs!$B$32,0)))*(1-IF(AND(ArtifactsInput!$M$27,Inputs!$B$4="Chapter Hunt"),CHOOSE(ArtifactsInput!$N$27+1,20,24,28,32,36,40),0)/100)))))/Skills!H9,1)))/Inputs!$B$43),G1619*Q1619)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1619*(1-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1619*(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1619*(1-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1619*(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19">
        <f>IF(C1619,(H1619*N1619*IF(AND(Inputs!$B$38&lt;&gt;"pvp",Inputs!$B$43&gt;0),((Skills!G9*((R1619-1)*IF(Skills!H9&gt;0,Skills!I9/Skills!H9,1)+IF(Skills!H9&gt;0,MIN(Skills!I9,MAX(0,MAX(0,Inputs!$B$43-B1648)-((R1619-1)*(IF(Inputs!$B$38="pvp",15,MAX(0.1,Skills!E9-IF(Skills!F7=TRUE,Inputs!$B$32,0)))*(1-IF(AND(ArtifactsInput!$M$27,Inputs!$B$4="Chapter Hunt"),CHOOSE(ArtifactsInput!$N$27+1,20,24,28,32,36,40),0)/100)))))/Skills!H9,1)))/Inputs!$B$43),G1619*Q1619)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0">
      <c r="A1620">
        <f>Skills!A10</f>
        <v/>
      </c>
      <c r="B1620">
        <f>Skills!B10</f>
        <v/>
      </c>
      <c r="C1620">
        <f>TRUE</f>
        <v/>
      </c>
      <c r="D1620">
        <f>IF(Skills!C10=1,60+Inputs!$B$25+Inputs!$B$29,IF(Skills!C10=2,90+Inputs!$B$26+Inputs!$B$29,IF(Skills!C10=3,120+Inputs!$B$27+Inputs!$B$29,MAX(0,(Inputs!$B$3-100)*3)+Inputs!$B$28+Inputs!$B$29)))</f>
        <v/>
      </c>
      <c r="E1620">
        <f>INDEX(FactorTable!$B$2:$Y$301, MATCH(ROUND(MIN(300,MAX(1,D1620)),0), FactorTable!$A$2:$A$301,0), Skills!M10+1)</f>
        <v/>
      </c>
      <c r="F1620">
        <f>IF(Skills!N10=TRUE,(Skills!L10/10)*(E1620/1000),Skills!L10/10)+Skills!O10</f>
        <v/>
      </c>
      <c r="G1620">
        <f>Calc!G10</f>
        <v/>
      </c>
      <c r="H1620">
        <f>Calc!H10</f>
        <v/>
      </c>
      <c r="I1620">
        <f>IF(Skills!X10&lt;&gt;"",1+(Skills!X10/10)*(Z1613/1000)/100,1)</f>
        <v/>
      </c>
      <c r="J1620">
        <f>((Inputs!$B$6*(1+Inputs!$B$7/100))+(((Inputs!$B$12*(1+Inputs!$B$13/100))-(Inputs!$B$12*(1+Inputs!$B$13/100)))+0.25*(Inputs!$B$14-Inputs!$B$14))*(1+Inputs!$B$7/100))*(F1620/100)</f>
        <v/>
      </c>
      <c r="K1620">
        <f>J1620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1620)</f>
        <v/>
      </c>
      <c r="L1620">
        <f>K1620*(MIN(Inputs!$B$22+(F1632-Calc!F22),(Inputs!$B$23+(IF(ArtifactsInput!$M$15,CHOOSE(ArtifactsInput!$N$15+1,25,30,35,40,45,50)/100*(Inputs!$B$11-Inputs!$B$11),0))))/100+(Inputs!$B$23+(IF(ArtifactsInput!$M$15,CHOOSE(ArtifactsInput!$N$15+1,25,30,35,40,45,50)/100*(Inputs!$B$11-Inputs!$B$11),0)))/100)/2</f>
        <v/>
      </c>
      <c r="M1620">
        <f>L1620*(1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0">
        <f>L1620*(1-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1620*(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0">
        <f>(1-Summary!$B$11)*S1620+Summary!$B$11*U1620</f>
        <v/>
      </c>
      <c r="P1620">
        <f>IF(B1651=0,0,O1620/B1651)</f>
        <v/>
      </c>
      <c r="Q1620">
        <f>IFERROR(1/(IF(Inputs!$B$38="pvp",15,MAX(0.1,Skills!E10-IF(Skills!F10=TRUE,Inputs!$B$32,0)))*(1-IF(AND(ArtifactsInput!$M$27,Inputs!$B$4="Chapter Hunt"),CHOOSE(ArtifactsInput!$N$27+1,20,24,28,32,36,40),0)/100)),0)</f>
        <v/>
      </c>
      <c r="R1620">
        <f>IF(AND(Inputs!$B$38&lt;&gt;"pvp",Inputs!$B$43&gt;0),IF(MAX(0,Inputs!$B$43-B1648)&lt;=0,0,(INT(MAX(0,Inputs!$B$43-B1648)/(IF(Inputs!$B$38="pvp",15,MAX(0.1,Skills!E10-IF(Skills!F10=TRUE,Inputs!$B$32,0)))*(1-IF(AND(ArtifactsInput!$M$27,Inputs!$B$4="Chapter Hunt"),CHOOSE(ArtifactsInput!$N$27+1,20,24,28,32,36,40),0)/100)))+1)),0)</f>
        <v/>
      </c>
      <c r="S1620">
        <f>IF(C1620,(H1620*N1620*IF(AND(Inputs!$B$38&lt;&gt;"pvp",Inputs!$B$43&gt;0),((Skills!G10*((R1620-1)*IF(Skills!H10&gt;0,Skills!I10/Skills!H10,1)+IF(Skills!H10&gt;0,MIN(Skills!I10,MAX(0,MAX(0,Inputs!$B$43-B1648)-((R1620-1)*(IF(Inputs!$B$38="pvp",15,MAX(0.1,Skills!E10-IF(Skills!F10=TRUE,Inputs!$B$32,0)))*(1-IF(AND(ArtifactsInput!$M$27,Inputs!$B$4="Chapter Hunt"),CHOOSE(ArtifactsInput!$N$27+1,20,24,28,32,36,40),0)/100)))))/Skills!H10,1)))/Inputs!$B$43),G1620*Q1620)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1620*(1-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1620*(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1620*(1-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1620*(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0">
        <f>IF(C1620,(H1620*N1620*IF(AND(Inputs!$B$38&lt;&gt;"pvp",Inputs!$B$43&gt;0),((Skills!G10*((R1620-1)*IF(Skills!H10&gt;0,Skills!I10/Skills!H10,1)+IF(Skills!H10&gt;0,MIN(Skills!I10,MAX(0,MAX(0,Inputs!$B$43-B1648)-((R1620-1)*(IF(Inputs!$B$38="pvp",15,MAX(0.1,Skills!E10-IF(Skills!F10=TRUE,Inputs!$B$32,0)))*(1-IF(AND(ArtifactsInput!$M$27,Inputs!$B$4="Chapter Hunt"),CHOOSE(ArtifactsInput!$N$27+1,20,24,28,32,36,40),0)/100)))))/Skills!H10,1)))/Inputs!$B$43),G1620*Q1620)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1">
      <c r="A1621">
        <f>Skills!A11</f>
        <v/>
      </c>
      <c r="B1621">
        <f>Skills!B11</f>
        <v/>
      </c>
      <c r="C1621">
        <f>TRUE</f>
        <v/>
      </c>
      <c r="D1621">
        <f>IF(Skills!C11=1,60+Inputs!$B$25+Inputs!$B$29,IF(Skills!C11=2,90+Inputs!$B$26+Inputs!$B$29,IF(Skills!C11=3,120+Inputs!$B$27+Inputs!$B$29,MAX(0,(Inputs!$B$3-100)*3)+Inputs!$B$28+Inputs!$B$29)))</f>
        <v/>
      </c>
      <c r="E1621">
        <f>INDEX(FactorTable!$B$2:$Y$301, MATCH(ROUND(MIN(300,MAX(1,D1621)),0), FactorTable!$A$2:$A$301,0), Skills!M11+1)</f>
        <v/>
      </c>
      <c r="F1621">
        <f>IF(Skills!N11=TRUE,(Skills!L11/10)*(E1621/1000),Skills!L11/10)+Skills!O11</f>
        <v/>
      </c>
      <c r="G1621">
        <f>Calc!G11</f>
        <v/>
      </c>
      <c r="H1621">
        <f>Calc!H11</f>
        <v/>
      </c>
      <c r="I1621">
        <f>IF(Skills!X11&lt;&gt;"",1+(Skills!X11/10)*(Z1613/1000)/100,1)</f>
        <v/>
      </c>
      <c r="J1621" t="inlineStr"/>
      <c r="K1621" t="inlineStr"/>
      <c r="L1621" t="inlineStr"/>
      <c r="M1621" t="inlineStr"/>
      <c r="N1621" t="inlineStr"/>
      <c r="O1621">
        <f>(1-Summary!$B$11)*S1621+Summary!$B$11*U1621</f>
        <v/>
      </c>
      <c r="P1621">
        <f>IF(B1651=0,0,O1621/B1651)</f>
        <v/>
      </c>
      <c r="Q1621">
        <f>IFERROR(1/(IF(Inputs!$B$38="pvp",15,MAX(0.1,Skills!E11-IF(Skills!F11=TRUE,Inputs!$B$32,0)))*(1-IF(AND(ArtifactsInput!$M$27,Inputs!$B$4="Chapter Hunt"),CHOOSE(ArtifactsInput!$N$27+1,20,24,28,32,36,40),0)/100)),0)</f>
        <v/>
      </c>
      <c r="R1621" t="n">
        <v>0</v>
      </c>
      <c r="S1621" t="n">
        <v>0</v>
      </c>
      <c r="U1621" t="n">
        <v>0</v>
      </c>
    </row>
    <row r="1622">
      <c r="A1622">
        <f>Skills!A12</f>
        <v/>
      </c>
      <c r="B1622">
        <f>Skills!B12</f>
        <v/>
      </c>
      <c r="C1622">
        <f>TRUE</f>
        <v/>
      </c>
      <c r="D1622">
        <f>IF(Skills!C12=1,60+Inputs!$B$25+Inputs!$B$29,IF(Skills!C12=2,90+Inputs!$B$26+Inputs!$B$29,IF(Skills!C12=3,120+Inputs!$B$27+Inputs!$B$29,MAX(0,(Inputs!$B$3-100)*3)+Inputs!$B$28+Inputs!$B$29)))</f>
        <v/>
      </c>
      <c r="E1622">
        <f>INDEX(FactorTable!$B$2:$Y$301, MATCH(ROUND(MIN(300,MAX(1,D1622)),0), FactorTable!$A$2:$A$301,0), Skills!M12+1)</f>
        <v/>
      </c>
      <c r="F1622">
        <f>IF(Skills!N12=TRUE,(Skills!L12/10)*(E1622/1000),Skills!L12/10)+Skills!O12</f>
        <v/>
      </c>
      <c r="G1622">
        <f>Calc!G12</f>
        <v/>
      </c>
      <c r="H1622">
        <f>Calc!H12</f>
        <v/>
      </c>
      <c r="I1622">
        <f>IF(Skills!X12&lt;&gt;"",1+(Skills!X12/10)*(Z1613/1000)/100,1)</f>
        <v/>
      </c>
      <c r="J1622" t="inlineStr"/>
      <c r="K1622" t="inlineStr"/>
      <c r="L1622" t="inlineStr"/>
      <c r="M1622" t="inlineStr"/>
      <c r="N1622" t="inlineStr"/>
      <c r="O1622">
        <f>(1-Summary!$B$11)*S1622+Summary!$B$11*U1622</f>
        <v/>
      </c>
      <c r="P1622">
        <f>IF(B1651=0,0,O1622/B1651)</f>
        <v/>
      </c>
      <c r="Q1622">
        <f>IFERROR(1/(IF(Inputs!$B$38="pvp",15,MAX(0.1,Skills!E12-IF(Skills!F12=TRUE,Inputs!$B$32,0)))*(1-IF(AND(ArtifactsInput!$M$27,Inputs!$B$4="Chapter Hunt"),CHOOSE(ArtifactsInput!$N$27+1,20,24,28,32,36,40),0)/100)),0)</f>
        <v/>
      </c>
      <c r="R1622" t="n">
        <v>0</v>
      </c>
      <c r="S1622" t="n">
        <v>0</v>
      </c>
      <c r="U1622" t="n">
        <v>0</v>
      </c>
    </row>
    <row r="1623">
      <c r="A1623">
        <f>Skills!A13</f>
        <v/>
      </c>
      <c r="B1623">
        <f>Skills!B13</f>
        <v/>
      </c>
      <c r="C1623">
        <f>Inputs!$B$3&gt;=105</f>
        <v/>
      </c>
      <c r="D1623">
        <f>IF(Skills!C13=1,60+Inputs!$B$25+Inputs!$B$29,IF(Skills!C13=2,90+Inputs!$B$26+Inputs!$B$29,IF(Skills!C13=3,120+Inputs!$B$27+Inputs!$B$29,MAX(0,(Inputs!$B$3-100)*3)+Inputs!$B$28+Inputs!$B$29)))</f>
        <v/>
      </c>
      <c r="E1623">
        <f>INDEX(FactorTable!$B$2:$Y$301, MATCH(ROUND(MIN(300,MAX(1,D1623)),0), FactorTable!$A$2:$A$301,0), Skills!M13+1)</f>
        <v/>
      </c>
      <c r="F1623">
        <f>IF(Skills!N13=TRUE,(Skills!L13/10)*(E1623/1000),Skills!L13/10)+Skills!O13</f>
        <v/>
      </c>
      <c r="G1623">
        <f>Calc!G13</f>
        <v/>
      </c>
      <c r="H1623">
        <f>Calc!H13</f>
        <v/>
      </c>
      <c r="I1623">
        <f>IF(Skills!X13&lt;&gt;"",1+(Skills!X13/10)*(Z1613/1000)/100,1)</f>
        <v/>
      </c>
      <c r="J1623">
        <f>((Inputs!$B$6*(1+Inputs!$B$7/100))+(((Inputs!$B$12*(1+Inputs!$B$13/100))-(Inputs!$B$12*(1+Inputs!$B$13/100)))+0.25*(Inputs!$B$14-Inputs!$B$14))*(1+Inputs!$B$7/100))*(F1623/100)</f>
        <v/>
      </c>
      <c r="K1623">
        <f>J1623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1623)</f>
        <v/>
      </c>
      <c r="L1623">
        <f>K1623*(MIN(Inputs!$B$22+(F1632-Calc!F22),(Inputs!$B$23+(IF(ArtifactsInput!$M$15,CHOOSE(ArtifactsInput!$N$15+1,25,30,35,40,45,50)/100*(Inputs!$B$11-Inputs!$B$11),0))))/100+(Inputs!$B$23+(IF(ArtifactsInput!$M$15,CHOOSE(ArtifactsInput!$N$15+1,25,30,35,40,45,50)/100*(Inputs!$B$11-Inputs!$B$11),0)))/100)/2</f>
        <v/>
      </c>
      <c r="M1623">
        <f>L1623*(1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3">
        <f>L1623*(1-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1623*(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3">
        <f>(1-Summary!$B$11)*S1623+Summary!$B$11*U1623</f>
        <v/>
      </c>
      <c r="P1623">
        <f>IF(B1651=0,0,O1623/B1651)</f>
        <v/>
      </c>
      <c r="Q1623">
        <f>IFERROR(1/(IF(Inputs!$B$38="pvp",15,MAX(0.1,Skills!E13-IF(Skills!F13=TRUE,Inputs!$B$32,0)))*(1-IF(AND(ArtifactsInput!$M$27,Inputs!$B$4="Chapter Hunt"),CHOOSE(ArtifactsInput!$N$27+1,20,24,28,32,36,40),0)/100)),0)</f>
        <v/>
      </c>
      <c r="R1623">
        <f>IF(AND(Inputs!$B$38&lt;&gt;"pvp",Inputs!$B$43&gt;0),IF(MAX(0,Inputs!$B$43-B1648)&lt;=0,0,(INT(MAX(0,Inputs!$B$43-B1648)/(IF(Inputs!$B$38="pvp",15,MAX(0.1,Skills!E13-IF(Skills!F13=TRUE,Inputs!$B$32,0)))*(1-IF(AND(ArtifactsInput!$M$27,Inputs!$B$4="Chapter Hunt"),CHOOSE(ArtifactsInput!$N$27+1,20,24,28,32,36,40),0)/100)))+1)),0)</f>
        <v/>
      </c>
      <c r="S1623">
        <f>IF(C1623,(H1623*N1623*IF(AND(Inputs!$B$38&lt;&gt;"pvp",Inputs!$B$43&gt;0),((Skills!G13*((R1623-1)*IF(Skills!H13&gt;0,Skills!I13/Skills!H13,1)+IF(Skills!H13&gt;0,MIN(Skills!I13,MAX(0,MAX(0,Inputs!$B$43-B1648)-((R1623-1)*(IF(Inputs!$B$38="pvp",15,MAX(0.1,Skills!E13-IF(Skills!F13=TRUE,Inputs!$B$32,0)))*(1-IF(AND(ArtifactsInput!$M$27,Inputs!$B$4="Chapter Hunt"),CHOOSE(ArtifactsInput!$N$27+1,20,24,28,32,36,40),0)/100)))))/Skills!H13,1)))/Inputs!$B$43),G1623*Q1623)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1623*(1-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1623*(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1623*(1-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1623*(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3">
        <f>IF(C1623,(H1623*N1623*IF(AND(Inputs!$B$38&lt;&gt;"pvp",Inputs!$B$43&gt;0),((Skills!G13*((R1623-1)*IF(Skills!H13&gt;0,Skills!I13/Skills!H13,1)+IF(Skills!H13&gt;0,MIN(Skills!I13,MAX(0,MAX(0,Inputs!$B$43-B1648)-((R1623-1)*(IF(Inputs!$B$38="pvp",15,MAX(0.1,Skills!E13-IF(Skills!F13=TRUE,Inputs!$B$32,0)))*(1-IF(AND(ArtifactsInput!$M$27,Inputs!$B$4="Chapter Hunt"),CHOOSE(ArtifactsInput!$N$27+1,20,24,28,32,36,40),0)/100)))))/Skills!H13,1)))/Inputs!$B$43),G1623*Q1623)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4">
      <c r="A1624">
        <f>Skills!A14</f>
        <v/>
      </c>
      <c r="B1624">
        <f>Skills!B14</f>
        <v/>
      </c>
      <c r="C1624">
        <f>Inputs!$B$3&gt;=113</f>
        <v/>
      </c>
      <c r="D1624">
        <f>IF(Skills!C14=1,60+Inputs!$B$25+Inputs!$B$29,IF(Skills!C14=2,90+Inputs!$B$26+Inputs!$B$29,IF(Skills!C14=3,120+Inputs!$B$27+Inputs!$B$29,MAX(0,(Inputs!$B$3-100)*3)+Inputs!$B$28+Inputs!$B$29)))</f>
        <v/>
      </c>
      <c r="E1624">
        <f>INDEX(FactorTable!$B$2:$Y$301, MATCH(ROUND(MIN(300,MAX(1,D1624)),0), FactorTable!$A$2:$A$301,0), Skills!M14+1)</f>
        <v/>
      </c>
      <c r="F1624">
        <f>IF(Skills!N14=TRUE,(Skills!L14/10)*(E1624/1000),Skills!L14/10)+Skills!O14</f>
        <v/>
      </c>
      <c r="G1624">
        <f>Calc!G14</f>
        <v/>
      </c>
      <c r="H1624">
        <f>Calc!H14</f>
        <v/>
      </c>
      <c r="I1624">
        <f>IF(Skills!X14&lt;&gt;"",1+(Skills!X14/10)*(Z1613/1000)/100,1)</f>
        <v/>
      </c>
      <c r="J1624">
        <f>((Inputs!$B$6*(1+Inputs!$B$7/100))+(((Inputs!$B$12*(1+Inputs!$B$13/100))-(Inputs!$B$12*(1+Inputs!$B$13/100)))+0.25*(Inputs!$B$14-Inputs!$B$14))*(1+Inputs!$B$7/100))*(F1624/100)</f>
        <v/>
      </c>
      <c r="K1624">
        <f>J1624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1624)</f>
        <v/>
      </c>
      <c r="L1624">
        <f>K1624*(MIN(Inputs!$B$22+(F1632-Calc!F22),(Inputs!$B$23+(IF(ArtifactsInput!$M$15,CHOOSE(ArtifactsInput!$N$15+1,25,30,35,40,45,50)/100*(Inputs!$B$11-Inputs!$B$11),0))))/100+(Inputs!$B$23+(IF(ArtifactsInput!$M$15,CHOOSE(ArtifactsInput!$N$15+1,25,30,35,40,45,50)/100*(Inputs!$B$11-Inputs!$B$11),0)))/100)/2</f>
        <v/>
      </c>
      <c r="M1624">
        <f>L1624*(1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4">
        <f>L1624*(1-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1624*(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4">
        <f>(1-Summary!$B$11)*S1624+Summary!$B$11*U1624</f>
        <v/>
      </c>
      <c r="P1624">
        <f>IF(B1651=0,0,O1624/B1651)</f>
        <v/>
      </c>
      <c r="Q1624">
        <f>IFERROR(1/(IF(Inputs!$B$38="pvp",15,MAX(0.1,Skills!E14-IF(Skills!F14=TRUE,Inputs!$B$32,0)))*(1-IF(AND(ArtifactsInput!$M$27,Inputs!$B$4="Chapter Hunt"),CHOOSE(ArtifactsInput!$N$27+1,20,24,28,32,36,40),0)/100)),0)</f>
        <v/>
      </c>
      <c r="R1624" t="n">
        <v>0</v>
      </c>
      <c r="S1624">
        <f>IF(C1624,((H1624*B1647)/(1+Skills!H14*H1624*B1647)*N1624)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1624*(1-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1624*(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1624*(1-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1624*(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4">
        <f>IF(C1624,((H1624*B1647)/(1+Skills!H14*H1624*B1647)*N1624)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5">
      <c r="A1625">
        <f>Skills!A15</f>
        <v/>
      </c>
      <c r="B1625">
        <f>Skills!B15</f>
        <v/>
      </c>
      <c r="C1625">
        <f>Inputs!$B$3&gt;=107</f>
        <v/>
      </c>
      <c r="D1625">
        <f>IF(Skills!C15=1,60+Inputs!$B$25+Inputs!$B$29,IF(Skills!C15=2,90+Inputs!$B$26+Inputs!$B$29,IF(Skills!C15=3,120+Inputs!$B$27+Inputs!$B$29,MAX(0,(Inputs!$B$3-100)*3)+Inputs!$B$28+Inputs!$B$29)))</f>
        <v/>
      </c>
      <c r="E1625">
        <f>INDEX(FactorTable!$B$2:$Y$301, MATCH(ROUND(MIN(300,MAX(1,D1625)),0), FactorTable!$A$2:$A$301,0), Skills!M15+1)</f>
        <v/>
      </c>
      <c r="F1625">
        <f>IF(Skills!N15=TRUE,(Skills!L15/10)*(E1625/1000),Skills!L15/10)+Skills!O15</f>
        <v/>
      </c>
      <c r="G1625">
        <f>Calc!G15</f>
        <v/>
      </c>
      <c r="H1625">
        <f>Calc!H15</f>
        <v/>
      </c>
      <c r="I1625">
        <f>IF(Skills!X15&lt;&gt;"",1+(Skills!X15/10)*(Z1613/1000)/100,1)</f>
        <v/>
      </c>
      <c r="J1625">
        <f>((Inputs!$B$6*(1+Inputs!$B$7/100))+(((Inputs!$B$12*(1+Inputs!$B$13/100))-(Inputs!$B$12*(1+Inputs!$B$13/100)))+0.25*(Inputs!$B$14-Inputs!$B$14))*(1+Inputs!$B$7/100))*(F1625/100)</f>
        <v/>
      </c>
      <c r="K1625">
        <f>J1625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1625)</f>
        <v/>
      </c>
      <c r="L1625">
        <f>K1625*(MIN(Inputs!$B$22+(F1632-Calc!F22),(Inputs!$B$23+(IF(ArtifactsInput!$M$15,CHOOSE(ArtifactsInput!$N$15+1,25,30,35,40,45,50)/100*(Inputs!$B$11-Inputs!$B$11),0))))/100+(Inputs!$B$23+(IF(ArtifactsInput!$M$15,CHOOSE(ArtifactsInput!$N$15+1,25,30,35,40,45,50)/100*(Inputs!$B$11-Inputs!$B$11),0)))/100)/2</f>
        <v/>
      </c>
      <c r="M1625">
        <f>L1625*(1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5">
        <f>L1625*(1-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1625*(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5">
        <f>(1-Summary!$B$11)*S1625+Summary!$B$11*U1625</f>
        <v/>
      </c>
      <c r="P1625">
        <f>IF(B1651=0,0,O1625/B1651)</f>
        <v/>
      </c>
      <c r="Q1625">
        <f>IFERROR(1/(IF(Inputs!$B$38="pvp",15,MAX(0.1,Skills!E15-IF(Skills!F15=TRUE,Inputs!$B$32,0)))*(1-IF(AND(ArtifactsInput!$M$27,Inputs!$B$4="Chapter Hunt"),CHOOSE(ArtifactsInput!$N$27+1,20,24,28,32,36,40),0)/100)),0)</f>
        <v/>
      </c>
      <c r="R1625">
        <f>IF(AND(Inputs!$B$38&lt;&gt;"pvp",Inputs!$B$43&gt;0),IF(MAX(0,Inputs!$B$43-B1648)&lt;=0,0,(INT(MAX(0,Inputs!$B$43-B1648)/(IF(Inputs!$B$38="pvp",15,MAX(0.1,Skills!E15-IF(Skills!F15=TRUE,Inputs!$B$32,0)))*(1-IF(AND(ArtifactsInput!$M$27,Inputs!$B$4="Chapter Hunt"),CHOOSE(ArtifactsInput!$N$27+1,20,24,28,32,36,40),0)/100)))+1)),0)</f>
        <v/>
      </c>
      <c r="S1625">
        <f>IF(C1625,(H1625*N1625*IF(AND(Inputs!$B$38&lt;&gt;"pvp",Inputs!$B$43&gt;0),((Skills!G15*((R1625-1)*IF(Skills!H15&gt;0,Skills!I15/Skills!H15,1)+IF(Skills!H15&gt;0,MIN(Skills!I15,MAX(0,MAX(0,Inputs!$B$43-B1648)-((R1625-1)*(IF(Inputs!$B$38="pvp",15,MAX(0.1,Skills!E15-IF(Skills!F15=TRUE,Inputs!$B$32,0)))*(1-IF(AND(ArtifactsInput!$M$27,Inputs!$B$4="Chapter Hunt"),CHOOSE(ArtifactsInput!$N$27+1,20,24,28,32,36,40),0)/100)))))/Skills!H15,1)))/Inputs!$B$43),G1625*Q1625)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1625*(1-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1625*(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1625*(1-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1625*(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5">
        <f>IF(C1625,(H1625*N1625*IF(AND(Inputs!$B$38&lt;&gt;"pvp",Inputs!$B$43&gt;0),((Skills!G15*((R1625-1)*IF(Skills!H15&gt;0,Skills!I15/Skills!H15,1)+IF(Skills!H15&gt;0,MIN(Skills!I15,MAX(0,MAX(0,Inputs!$B$43-B1648)-((R1625-1)*(IF(Inputs!$B$38="pvp",15,MAX(0.1,Skills!E15-IF(Skills!F15=TRUE,Inputs!$B$32,0)))*(1-IF(AND(ArtifactsInput!$M$27,Inputs!$B$4="Chapter Hunt"),CHOOSE(ArtifactsInput!$N$27+1,20,24,28,32,36,40),0)/100)))))/Skills!H15,1)))/Inputs!$B$43),G1625*Q1625)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6">
      <c r="A1626">
        <f>Skills!A16</f>
        <v/>
      </c>
      <c r="B1626">
        <f>Skills!B16</f>
        <v/>
      </c>
      <c r="C1626">
        <f>Inputs!$B$3&gt;=107</f>
        <v/>
      </c>
      <c r="D1626">
        <f>IF(Skills!C16=1,60+Inputs!$B$25+Inputs!$B$29,IF(Skills!C16=2,90+Inputs!$B$26+Inputs!$B$29,IF(Skills!C16=3,120+Inputs!$B$27+Inputs!$B$29,MAX(0,(Inputs!$B$3-100)*3)+Inputs!$B$28+Inputs!$B$29)))</f>
        <v/>
      </c>
      <c r="E1626">
        <f>INDEX(FactorTable!$B$2:$Y$301, MATCH(ROUND(MIN(300,MAX(1,D1626)),0), FactorTable!$A$2:$A$301,0), Skills!M16+1)</f>
        <v/>
      </c>
      <c r="F1626">
        <f>IF(Skills!N16=TRUE,(Skills!L16/10)*(E1626/1000),Skills!L16/10)+Skills!O16</f>
        <v/>
      </c>
      <c r="G1626">
        <f>Calc!G16</f>
        <v/>
      </c>
      <c r="H1626">
        <f>Calc!H16</f>
        <v/>
      </c>
      <c r="I1626">
        <f>IF(Skills!X16&lt;&gt;"",1+(Skills!X16/10)*(Z1613/1000)/100,1)</f>
        <v/>
      </c>
      <c r="J1626">
        <f>((Inputs!$B$6*(1+Inputs!$B$7/100))+(((Inputs!$B$12*(1+Inputs!$B$13/100))-(Inputs!$B$12*(1+Inputs!$B$13/100)))+0.25*(Inputs!$B$14-Inputs!$B$14))*(1+Inputs!$B$7/100))*(F1626/100)</f>
        <v/>
      </c>
      <c r="K1626">
        <f>J1626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1626)</f>
        <v/>
      </c>
      <c r="L1626">
        <f>K1626*(MIN(Inputs!$B$22+(F1632-Calc!F22),(Inputs!$B$23+(IF(ArtifactsInput!$M$15,CHOOSE(ArtifactsInput!$N$15+1,25,30,35,40,45,50)/100*(Inputs!$B$11-Inputs!$B$11),0))))/100+(Inputs!$B$23+(IF(ArtifactsInput!$M$15,CHOOSE(ArtifactsInput!$N$15+1,25,30,35,40,45,50)/100*(Inputs!$B$11-Inputs!$B$11),0)))/100)/2</f>
        <v/>
      </c>
      <c r="M1626">
        <f>L1626*(1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6">
        <f>L1626*(1-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1626*(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6">
        <f>(1-Summary!$B$11)*S1626+Summary!$B$11*U1626</f>
        <v/>
      </c>
      <c r="P1626">
        <f>IF(B1651=0,0,O1626/B1651)</f>
        <v/>
      </c>
      <c r="Q1626">
        <f>IFERROR(1/(IF(Inputs!$B$38="pvp",15,MAX(0.1,Skills!E16-IF(Skills!F16=TRUE,Inputs!$B$32,0)))*(1-IF(AND(ArtifactsInput!$M$27,Inputs!$B$4="Chapter Hunt"),CHOOSE(ArtifactsInput!$N$27+1,20,24,28,32,36,40),0)/100)),0)</f>
        <v/>
      </c>
      <c r="R1626">
        <f>IF(AND(Inputs!$B$38&lt;&gt;"pvp",Inputs!$B$43&gt;0),IF(MAX(0,Inputs!$B$43-B1648)&lt;=0,0,(INT(MAX(0,Inputs!$B$43-B1648)/(IF(Inputs!$B$38="pvp",15,MAX(0.1,Skills!E16-IF(Skills!F16=TRUE,Inputs!$B$32,0)))*(1-IF(AND(ArtifactsInput!$M$27,Inputs!$B$4="Chapter Hunt"),CHOOSE(ArtifactsInput!$N$27+1,20,24,28,32,36,40),0)/100)))+1)),0)</f>
        <v/>
      </c>
      <c r="S1626">
        <f>IF(C1626,(H1626*N1626*IF(AND(Inputs!$B$38&lt;&gt;"pvp",Inputs!$B$43&gt;0),((Skills!G16*((R1626-1)*IF(Skills!H16&gt;0,Skills!I16/Skills!H16,1)+IF(Skills!H16&gt;0,MIN(Skills!I16,MAX(0,MAX(0,Inputs!$B$43-B1648)-((R1626-1)*(IF(Inputs!$B$38="pvp",15,MAX(0.1,Skills!E16-IF(Skills!F16=TRUE,Inputs!$B$32,0)))*(1-IF(AND(ArtifactsInput!$M$27,Inputs!$B$4="Chapter Hunt"),CHOOSE(ArtifactsInput!$N$27+1,20,24,28,32,36,40),0)/100)))))/Skills!H16,1)))/Inputs!$B$43),G1626*Q1626)*(1+IF(Inputs!$B$3&gt;=126,0.05*(B1646+Q1623+(H1624*B1647)/(1+Skills!H14*H1624*B1647)+Q1634)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1626*(1-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1626*(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1626*(1-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1626*(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6">
        <f>IF(C1626,(H1626*N1626*IF(AND(Inputs!$B$38&lt;&gt;"pvp",Inputs!$B$43&gt;0),((Skills!G16*((R1626-1)*IF(Skills!H16&gt;0,Skills!I16/Skills!H16,1)+IF(Skills!H16&gt;0,MIN(Skills!I16,MAX(0,MAX(0,Inputs!$B$43-B1648)-((R1626-1)*(IF(Inputs!$B$38="pvp",15,MAX(0.1,Skills!E16-IF(Skills!F16=TRUE,Inputs!$B$32,0)))*(1-IF(AND(ArtifactsInput!$M$27,Inputs!$B$4="Chapter Hunt"),CHOOSE(ArtifactsInput!$N$27+1,20,24,28,32,36,40),0)/100)))))/Skills!H16,1)))/Inputs!$B$43),G1626*Q1626)*(1+IF(Inputs!$B$3&gt;=126,0.05*(B1646+Q1623+(H1624*B1647)/(1+Skills!H14*H1624*B1647)+Q1634)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7">
      <c r="A1627">
        <f>Skills!A17</f>
        <v/>
      </c>
      <c r="B1627">
        <f>Skills!B17</f>
        <v/>
      </c>
      <c r="C1627">
        <f>TRUE</f>
        <v/>
      </c>
      <c r="D1627">
        <f>IF(Skills!C17=1,60+Inputs!$B$25+Inputs!$B$29,IF(Skills!C17=2,90+Inputs!$B$26+Inputs!$B$29,IF(Skills!C17=3,120+Inputs!$B$27+Inputs!$B$29,MAX(0,(Inputs!$B$3-100)*3)+Inputs!$B$28+Inputs!$B$29)))</f>
        <v/>
      </c>
      <c r="E1627">
        <f>INDEX(FactorTable!$B$2:$Y$301, MATCH(ROUND(MIN(300,MAX(1,D1627)),0), FactorTable!$A$2:$A$301,0), Skills!M17+1)</f>
        <v/>
      </c>
      <c r="F1627">
        <f>IF(Skills!N17=TRUE,(Skills!L17/10)*(E1627/1000),Skills!L17/10)+Skills!O17</f>
        <v/>
      </c>
      <c r="G1627">
        <f>Calc!G17</f>
        <v/>
      </c>
      <c r="H1627">
        <f>Calc!H17</f>
        <v/>
      </c>
      <c r="I1627">
        <f>IF(Skills!X17&lt;&gt;"",1+(Skills!X17/10)*(Z1613/1000)/100,1)</f>
        <v/>
      </c>
      <c r="J1627" t="inlineStr"/>
      <c r="K1627" t="inlineStr"/>
      <c r="L1627" t="inlineStr"/>
      <c r="M1627" t="inlineStr"/>
      <c r="N1627" t="inlineStr"/>
      <c r="O1627">
        <f>(1-Summary!$B$11)*S1627+Summary!$B$11*U1627</f>
        <v/>
      </c>
      <c r="P1627">
        <f>IF(B1651=0,0,O1627/B1651)</f>
        <v/>
      </c>
      <c r="Q1627">
        <f>IFERROR(1/(IF(Inputs!$B$38="pvp",15,MAX(0.1,Skills!E17-IF(Skills!F17=TRUE,Inputs!$B$32,0)))*(1-IF(AND(ArtifactsInput!$M$27,Inputs!$B$4="Chapter Hunt"),CHOOSE(ArtifactsInput!$N$27+1,20,24,28,32,36,40),0)/100)),0)</f>
        <v/>
      </c>
      <c r="R1627">
        <f>IF(AND(Inputs!$B$38&lt;&gt;"pvp",Inputs!$B$43&gt;0),IF(Inputs!$B$43&lt;=0,0,(INT(Inputs!$B$43/(IF(Inputs!$B$38="pvp",15,MAX(0.1,Skills!E17-IF(Skills!F17=TRUE,Inputs!$B$32,0)))*(1-IF(AND(ArtifactsInput!$M$27,Inputs!$B$4="Chapter Hunt"),CHOOSE(ArtifactsInput!$N$27+1,20,24,28,32,36,40),0)/100)))+1)),0)</f>
        <v/>
      </c>
      <c r="S1627" t="n">
        <v>0</v>
      </c>
      <c r="U1627" t="n">
        <v>0</v>
      </c>
    </row>
    <row r="1628">
      <c r="A1628">
        <f>Skills!A18</f>
        <v/>
      </c>
      <c r="B1628">
        <f>Skills!B18</f>
        <v/>
      </c>
      <c r="C1628">
        <f>TRUE</f>
        <v/>
      </c>
      <c r="D1628">
        <f>IF(Skills!C18=1,60+Inputs!$B$25+Inputs!$B$29,IF(Skills!C18=2,90+Inputs!$B$26+Inputs!$B$29,IF(Skills!C18=3,120+Inputs!$B$27+Inputs!$B$29,MAX(0,(Inputs!$B$3-100)*3)+Inputs!$B$28+Inputs!$B$29)))</f>
        <v/>
      </c>
      <c r="E1628">
        <f>INDEX(FactorTable!$B$2:$Y$301, MATCH(ROUND(MIN(300,MAX(1,D1628)),0), FactorTable!$A$2:$A$301,0), Skills!M18+1)</f>
        <v/>
      </c>
      <c r="F1628">
        <f>IF(Skills!N18=TRUE,(Skills!L18/10)*(E1628/1000),Skills!L18/10)+Skills!O18</f>
        <v/>
      </c>
      <c r="G1628">
        <f>Calc!G18</f>
        <v/>
      </c>
      <c r="H1628">
        <f>Calc!H18</f>
        <v/>
      </c>
      <c r="I1628">
        <f>IF(Skills!X18&lt;&gt;"",1+(Skills!X18/10)*(Z1613/1000)/100,1)</f>
        <v/>
      </c>
      <c r="J1628" t="inlineStr"/>
      <c r="K1628" t="inlineStr"/>
      <c r="L1628" t="inlineStr"/>
      <c r="M1628" t="inlineStr"/>
      <c r="N1628" t="inlineStr"/>
      <c r="O1628">
        <f>(1-Summary!$B$11)*S1628+Summary!$B$11*U1628</f>
        <v/>
      </c>
      <c r="P1628">
        <f>IF(B1651=0,0,O1628/B1651)</f>
        <v/>
      </c>
      <c r="Q1628">
        <f>IFERROR(1/(IF(Inputs!$B$38="pvp",15,MAX(0.1,Skills!E18-IF(Skills!F18=TRUE,Inputs!$B$32,0)))*(1-IF(AND(ArtifactsInput!$M$27,Inputs!$B$4="Chapter Hunt"),CHOOSE(ArtifactsInput!$N$27+1,20,24,28,32,36,40),0)/100)),0)</f>
        <v/>
      </c>
      <c r="R1628">
        <f>IF(AND(Inputs!$B$38&lt;&gt;"pvp",Inputs!$B$43&gt;0),IF(Inputs!$B$43&lt;=0,0,(INT(Inputs!$B$43/(IF(Inputs!$B$38="pvp",15,MAX(0.1,Skills!E18-IF(Skills!F18=TRUE,Inputs!$B$32,0)))*(1-IF(AND(ArtifactsInput!$M$27,Inputs!$B$4="Chapter Hunt"),CHOOSE(ArtifactsInput!$N$27+1,20,24,28,32,36,40),0)/100)))+1)),0)</f>
        <v/>
      </c>
      <c r="S1628" t="n">
        <v>0</v>
      </c>
      <c r="U1628" t="n">
        <v>0</v>
      </c>
    </row>
    <row r="1629">
      <c r="A1629">
        <f>Skills!A19</f>
        <v/>
      </c>
      <c r="B1629">
        <f>Skills!B19</f>
        <v/>
      </c>
      <c r="C1629">
        <f>Inputs!$B$3&gt;=110</f>
        <v/>
      </c>
      <c r="D1629">
        <f>IF(Skills!C19=1,60+Inputs!$B$25+Inputs!$B$29,IF(Skills!C19=2,90+Inputs!$B$26+Inputs!$B$29,IF(Skills!C19=3,120+Inputs!$B$27+Inputs!$B$29,MAX(0,(Inputs!$B$3-100)*3)+Inputs!$B$28+Inputs!$B$29)))</f>
        <v/>
      </c>
      <c r="E1629">
        <f>INDEX(FactorTable!$B$2:$Y$301, MATCH(ROUND(MIN(300,MAX(1,D1629)),0), FactorTable!$A$2:$A$301,0), Skills!M19+1)</f>
        <v/>
      </c>
      <c r="F1629">
        <f>IF(Skills!N19=TRUE,(Skills!L19/10)*(E1629/1000),Skills!L19/10)+Skills!O19</f>
        <v/>
      </c>
      <c r="G1629">
        <f>Calc!G19</f>
        <v/>
      </c>
      <c r="H1629">
        <f>Calc!H19</f>
        <v/>
      </c>
      <c r="I1629">
        <f>IF(Skills!X19&lt;&gt;"",1+(Skills!X19/10)*(Z1613/1000)/100,1)</f>
        <v/>
      </c>
      <c r="J1629" t="inlineStr"/>
      <c r="K1629" t="inlineStr"/>
      <c r="L1629" t="inlineStr"/>
      <c r="M1629" t="inlineStr"/>
      <c r="N1629" t="inlineStr"/>
      <c r="O1629">
        <f>(1-Summary!$B$11)*S1629+Summary!$B$11*U1629</f>
        <v/>
      </c>
      <c r="P1629">
        <f>IF(B1651=0,0,O1629/B1651)</f>
        <v/>
      </c>
      <c r="Q1629">
        <f>IFERROR(1/(IF(Inputs!$B$38="pvp",15,MAX(0.1,Skills!E19-IF(Skills!F19=TRUE,Inputs!$B$32,0)))*(1-IF(AND(ArtifactsInput!$M$27,Inputs!$B$4="Chapter Hunt"),CHOOSE(ArtifactsInput!$N$27+1,20,24,28,32,36,40),0)/100)),0)</f>
        <v/>
      </c>
      <c r="R1629">
        <f>IF(AND(Inputs!$B$38&lt;&gt;"pvp",Inputs!$B$43&gt;0),IF(Inputs!$B$43&lt;=0,0,(INT(Inputs!$B$43/(IF(Inputs!$B$38="pvp",15,MAX(0.1,Skills!E19-IF(Skills!F19=TRUE,Inputs!$B$32,0)))*(1-IF(AND(ArtifactsInput!$M$27,Inputs!$B$4="Chapter Hunt"),CHOOSE(ArtifactsInput!$N$27+1,20,24,28,32,36,40),0)/100)))+1)),0)</f>
        <v/>
      </c>
      <c r="S1629" t="n">
        <v>0</v>
      </c>
      <c r="U1629" t="n">
        <v>0</v>
      </c>
    </row>
    <row r="1630">
      <c r="A1630">
        <f>Skills!A20</f>
        <v/>
      </c>
      <c r="B1630">
        <f>Skills!B20</f>
        <v/>
      </c>
      <c r="C1630">
        <f>TRUE</f>
        <v/>
      </c>
      <c r="D1630">
        <f>IF(Skills!C20=1,60+Inputs!$B$25+Inputs!$B$29,IF(Skills!C20=2,90+Inputs!$B$26+Inputs!$B$29,IF(Skills!C20=3,120+Inputs!$B$27+Inputs!$B$29,MAX(0,(Inputs!$B$3-100)*3)+Inputs!$B$28+Inputs!$B$29)))</f>
        <v/>
      </c>
      <c r="E1630">
        <f>INDEX(FactorTable!$B$2:$Y$301, MATCH(ROUND(MIN(300,MAX(1,D1630)),0), FactorTable!$A$2:$A$301,0), Skills!M20+1)</f>
        <v/>
      </c>
      <c r="F1630">
        <f>IF(Skills!N20=TRUE,(Skills!L20/10)*(E1630/1000),Skills!L20/10)+Skills!O20</f>
        <v/>
      </c>
      <c r="G1630">
        <f>Calc!G20</f>
        <v/>
      </c>
      <c r="H1630">
        <f>Calc!H20</f>
        <v/>
      </c>
      <c r="I1630">
        <f>IF(Skills!X20&lt;&gt;"",1+(Skills!X20/10)*(Z1613/1000)/100,1)</f>
        <v/>
      </c>
      <c r="J1630" t="inlineStr"/>
      <c r="K1630" t="inlineStr"/>
      <c r="L1630" t="inlineStr"/>
      <c r="M1630" t="inlineStr"/>
      <c r="N1630" t="inlineStr"/>
      <c r="O1630">
        <f>(1-Summary!$B$11)*S1630+Summary!$B$11*U1630</f>
        <v/>
      </c>
      <c r="P1630">
        <f>IF(B1651=0,0,O1630/B1651)</f>
        <v/>
      </c>
      <c r="Q1630">
        <f>IFERROR(1/(IF(Inputs!$B$38="pvp",15,MAX(0.1,Skills!E20-IF(Skills!F20=TRUE,Inputs!$B$32,0)))*(1-IF(AND(ArtifactsInput!$M$27,Inputs!$B$4="Chapter Hunt"),CHOOSE(ArtifactsInput!$N$27+1,20,24,28,32,36,40),0)/100)),0)</f>
        <v/>
      </c>
      <c r="R1630" t="n">
        <v>0</v>
      </c>
      <c r="S1630" t="n">
        <v>0</v>
      </c>
      <c r="U1630" t="n">
        <v>0</v>
      </c>
    </row>
    <row r="1631">
      <c r="A1631">
        <f>Skills!A21</f>
        <v/>
      </c>
      <c r="B1631">
        <f>Skills!B21</f>
        <v/>
      </c>
      <c r="C1631">
        <f>TRUE</f>
        <v/>
      </c>
      <c r="D1631">
        <f>IF(Skills!C21=1,60+Inputs!$B$25+Inputs!$B$29,IF(Skills!C21=2,90+Inputs!$B$26+Inputs!$B$29,IF(Skills!C21=3,120+Inputs!$B$27+Inputs!$B$29,MAX(0,(Inputs!$B$3-100)*3)+Inputs!$B$28+Inputs!$B$29)))</f>
        <v/>
      </c>
      <c r="E1631">
        <f>INDEX(FactorTable!$B$2:$Y$301, MATCH(ROUND(MIN(300,MAX(1,D1631)),0), FactorTable!$A$2:$A$301,0), Skills!M21+1)</f>
        <v/>
      </c>
      <c r="F1631">
        <f>IF(Skills!N21=TRUE,(Skills!L21/10)*(E1631/1000),Skills!L21/10)+Skills!O21</f>
        <v/>
      </c>
      <c r="G1631">
        <f>Calc!G21</f>
        <v/>
      </c>
      <c r="H1631">
        <f>Calc!H21</f>
        <v/>
      </c>
      <c r="I1631">
        <f>IF(Skills!X21&lt;&gt;"",1+(Skills!X21/10)*(Z1613/1000)/100,1)</f>
        <v/>
      </c>
      <c r="J1631" t="inlineStr"/>
      <c r="K1631" t="inlineStr"/>
      <c r="L1631" t="inlineStr"/>
      <c r="M1631" t="inlineStr"/>
      <c r="N1631" t="inlineStr"/>
      <c r="O1631">
        <f>(1-Summary!$B$11)*S1631+Summary!$B$11*U1631</f>
        <v/>
      </c>
      <c r="P1631">
        <f>IF(B1651=0,0,O1631/B1651)</f>
        <v/>
      </c>
      <c r="Q1631">
        <f>IFERROR(1/(IF(Inputs!$B$38="pvp",15,MAX(0.1,Skills!E21-IF(Skills!F21=TRUE,Inputs!$B$32,0)))*(1-IF(AND(ArtifactsInput!$M$27,Inputs!$B$4="Chapter Hunt"),CHOOSE(ArtifactsInput!$N$27+1,20,24,28,32,36,40),0)/100)),0)</f>
        <v/>
      </c>
      <c r="R1631" t="n">
        <v>0</v>
      </c>
      <c r="S1631" t="n">
        <v>0</v>
      </c>
      <c r="U1631" t="n">
        <v>0</v>
      </c>
    </row>
    <row r="1632">
      <c r="A1632">
        <f>Skills!A22</f>
        <v/>
      </c>
      <c r="B1632">
        <f>Skills!B22</f>
        <v/>
      </c>
      <c r="C1632">
        <f>TRUE</f>
        <v/>
      </c>
      <c r="D1632">
        <f>IF(Skills!C22=1,60+Inputs!$B$25+Inputs!$B$29,IF(Skills!C22=2,90+Inputs!$B$26+Inputs!$B$29,IF(Skills!C22=3,120+Inputs!$B$27+Inputs!$B$29,MAX(0,(Inputs!$B$3-100)*3)+Inputs!$B$28+Inputs!$B$29)))</f>
        <v/>
      </c>
      <c r="E1632">
        <f>INDEX(FactorTable!$B$2:$Y$301, MATCH(ROUND(MIN(300,MAX(1,D1632)),0), FactorTable!$A$2:$A$301,0), Skills!M22+1)</f>
        <v/>
      </c>
      <c r="F1632">
        <f>IF(Skills!N22=TRUE,(Skills!L22/10)*(E1632/1000),Skills!L22/10)+Skills!O22</f>
        <v/>
      </c>
      <c r="G1632">
        <f>Calc!G22</f>
        <v/>
      </c>
      <c r="H1632">
        <f>Calc!H22</f>
        <v/>
      </c>
      <c r="I1632">
        <f>IF(Skills!X22&lt;&gt;"",1+(Skills!X22/10)*(Z1613/1000)/100,1)</f>
        <v/>
      </c>
      <c r="J1632" t="inlineStr"/>
      <c r="K1632" t="inlineStr"/>
      <c r="L1632" t="inlineStr"/>
      <c r="M1632" t="inlineStr"/>
      <c r="N1632" t="inlineStr"/>
      <c r="O1632">
        <f>(1-Summary!$B$11)*S1632+Summary!$B$11*U1632</f>
        <v/>
      </c>
      <c r="P1632">
        <f>IF(B1651=0,0,O1632/B1651)</f>
        <v/>
      </c>
      <c r="Q1632">
        <f>IFERROR(1/(IF(Inputs!$B$38="pvp",15,MAX(0.1,Skills!E22-IF(Skills!F22=TRUE,Inputs!$B$32,0)))*(1-IF(AND(ArtifactsInput!$M$27,Inputs!$B$4="Chapter Hunt"),CHOOSE(ArtifactsInput!$N$27+1,20,24,28,32,36,40),0)/100)),0)</f>
        <v/>
      </c>
      <c r="R1632" t="n">
        <v>0</v>
      </c>
      <c r="S1632" t="n">
        <v>0</v>
      </c>
      <c r="U1632" t="n">
        <v>0</v>
      </c>
    </row>
    <row r="1633">
      <c r="A1633">
        <f>Skills!A23</f>
        <v/>
      </c>
      <c r="B1633">
        <f>Skills!B23</f>
        <v/>
      </c>
      <c r="C1633">
        <f>TRUE</f>
        <v/>
      </c>
      <c r="D1633">
        <f>IF(Skills!C23=1,60+Inputs!$B$25+Inputs!$B$29,IF(Skills!C23=2,90+Inputs!$B$26+Inputs!$B$29,IF(Skills!C23=3,120+Inputs!$B$27+Inputs!$B$29,MAX(0,(Inputs!$B$3-100)*3)+Inputs!$B$28+Inputs!$B$29)))</f>
        <v/>
      </c>
      <c r="E1633">
        <f>INDEX(FactorTable!$B$2:$Y$301, MATCH(ROUND(MIN(300,MAX(1,D1633)),0), FactorTable!$A$2:$A$301,0), Skills!M23+1)</f>
        <v/>
      </c>
      <c r="F1633">
        <f>IF(Skills!N23=TRUE,(Skills!L23/10)*(E1633/1000),Skills!L23/10)+Skills!O23</f>
        <v/>
      </c>
      <c r="G1633">
        <f>Calc!G23</f>
        <v/>
      </c>
      <c r="H1633">
        <f>Calc!H23</f>
        <v/>
      </c>
      <c r="I1633">
        <f>IF(Skills!X23&lt;&gt;"",1+(Skills!X23/10)*(Z1613/1000)/100,1)</f>
        <v/>
      </c>
      <c r="J1633" t="inlineStr"/>
      <c r="K1633" t="inlineStr"/>
      <c r="L1633" t="inlineStr"/>
      <c r="M1633" t="inlineStr"/>
      <c r="N1633" t="inlineStr"/>
      <c r="O1633">
        <f>(1-Summary!$B$11)*S1633+Summary!$B$11*U1633</f>
        <v/>
      </c>
      <c r="P1633">
        <f>IF(B1651=0,0,O1633/B1651)</f>
        <v/>
      </c>
      <c r="Q1633">
        <f>IFERROR(1/(IF(Inputs!$B$38="pvp",15,MAX(0.1,Skills!E23-IF(Skills!F23=TRUE,Inputs!$B$32,0)))*(1-IF(AND(ArtifactsInput!$M$27,Inputs!$B$4="Chapter Hunt"),CHOOSE(ArtifactsInput!$N$27+1,20,24,28,32,36,40),0)/100)),0)</f>
        <v/>
      </c>
      <c r="R1633" t="n">
        <v>0</v>
      </c>
      <c r="S1633" t="n">
        <v>0</v>
      </c>
      <c r="U1633" t="n">
        <v>0</v>
      </c>
    </row>
    <row r="1634">
      <c r="A1634">
        <f>Skills!A24</f>
        <v/>
      </c>
      <c r="B1634">
        <f>Skills!B24</f>
        <v/>
      </c>
      <c r="C1634">
        <f>Inputs!$B$3&gt;=115</f>
        <v/>
      </c>
      <c r="D1634">
        <f>IF(Skills!C24=1,60+Inputs!$B$25+Inputs!$B$29,IF(Skills!C24=2,90+Inputs!$B$26+Inputs!$B$29,IF(Skills!C24=3,120+Inputs!$B$27+Inputs!$B$29,MAX(0,(Inputs!$B$3-100)*3)+Inputs!$B$28+Inputs!$B$29)))</f>
        <v/>
      </c>
      <c r="E1634">
        <f>INDEX(FactorTable!$B$2:$Y$301, MATCH(ROUND(MIN(300,MAX(1,D1634)),0), FactorTable!$A$2:$A$301,0), Skills!M24+1)</f>
        <v/>
      </c>
      <c r="F1634">
        <f>IF(Skills!N24=TRUE,(Skills!L24/10)*(E1634/1000),Skills!L24/10)+Skills!O24</f>
        <v/>
      </c>
      <c r="G1634">
        <f>Calc!G24</f>
        <v/>
      </c>
      <c r="H1634">
        <f>Calc!H24</f>
        <v/>
      </c>
      <c r="I1634">
        <f>IF(Skills!X24&lt;&gt;"",1+(Skills!X24/10)*(Z1613/1000)/100,1)</f>
        <v/>
      </c>
      <c r="J1634">
        <f>((Inputs!$B$6*(1+Inputs!$B$7/100))+(((Inputs!$B$12*(1+Inputs!$B$13/100))-(Inputs!$B$12*(1+Inputs!$B$13/100)))+0.25*(Inputs!$B$14-Inputs!$B$14))*(1+Inputs!$B$7/100))*(F1634/100)</f>
        <v/>
      </c>
      <c r="K1634">
        <f>J1634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1634)</f>
        <v/>
      </c>
      <c r="L1634">
        <f>K1634*(MIN(Inputs!$B$22+(F1632-Calc!F22),(Inputs!$B$23+(IF(ArtifactsInput!$M$15,CHOOSE(ArtifactsInput!$N$15+1,25,30,35,40,45,50)/100*(Inputs!$B$11-Inputs!$B$11),0))))/100+(Inputs!$B$23+(IF(ArtifactsInput!$M$15,CHOOSE(ArtifactsInput!$N$15+1,25,30,35,40,45,50)/100*(Inputs!$B$11-Inputs!$B$11),0)))/100)/2</f>
        <v/>
      </c>
      <c r="M1634">
        <f>L1634*(1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4">
        <f>L1634*(1-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1634*(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4">
        <f>(1-Summary!$B$11)*S1634+Summary!$B$11*U1634</f>
        <v/>
      </c>
      <c r="P1634">
        <f>IF(B1651=0,0,O1634/B1651)</f>
        <v/>
      </c>
      <c r="Q1634">
        <f>IFERROR(1/(IF(Inputs!$B$38="pvp",15,MAX(0.1,Skills!E24-IF(Skills!F24=TRUE,Inputs!$B$32,0)))*(1-IF(AND(ArtifactsInput!$M$27,Inputs!$B$4="Chapter Hunt"),CHOOSE(ArtifactsInput!$N$27+1,20,24,28,32,36,40),0)/100)),0)</f>
        <v/>
      </c>
      <c r="R1634">
        <f>IF(AND(Inputs!$B$38&lt;&gt;"pvp",Inputs!$B$43&gt;0),IF(MAX(0,Inputs!$B$43-B1648)&lt;=0,0,(INT(MAX(0,Inputs!$B$43-B1648)/(IF(Inputs!$B$38="pvp",15,MAX(0.1,Skills!E24-IF(Skills!F24=TRUE,Inputs!$B$32,0)))*(1-IF(AND(ArtifactsInput!$M$27,Inputs!$B$4="Chapter Hunt"),CHOOSE(ArtifactsInput!$N$27+1,20,24,28,32,36,40),0)/100)))+1)),0)</f>
        <v/>
      </c>
      <c r="S1634">
        <f>IF(C1634,(H1634*N1634*IF(AND(Inputs!$B$38&lt;&gt;"pvp",Inputs!$B$43&gt;0),((Skills!G24*((R1634-1)*IF(Skills!H24&gt;0,Skills!I24/Skills!H24,1)+IF(Skills!H24&gt;0,MIN(Skills!I24,MAX(0,MAX(0,Inputs!$B$43-B1648)-((R1634-1)*(IF(Inputs!$B$38="pvp",15,MAX(0.1,Skills!E24-IF(Skills!F24=TRUE,Inputs!$B$32,0)))*(1-IF(AND(ArtifactsInput!$M$27,Inputs!$B$4="Chapter Hunt"),CHOOSE(ArtifactsInput!$N$27+1,20,24,28,32,36,40),0)/100)))))/Skills!H24,1)))/Inputs!$B$43),G1634*Q1634)*(1+IF(Inputs!$B$3&gt;=130,0.2*(Skills!I16/Skills!E15+IF(Inputs!$B$3&gt;=126,0.05*(B1646+Q1623+(H1624*B1647)/(1+Skills!H14*H1624*B1647)+Q1634)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1634*(1-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1634*(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1634*(1-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1634*(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4">
        <f>IF(C1634,(H1634*N1634*IF(AND(Inputs!$B$38&lt;&gt;"pvp",Inputs!$B$43&gt;0),((Skills!G24*((R1634-1)*IF(Skills!H24&gt;0,Skills!I24/Skills!H24,1)+IF(Skills!H24&gt;0,MIN(Skills!I24,MAX(0,MAX(0,Inputs!$B$43-B1648)-((R1634-1)*(IF(Inputs!$B$38="pvp",15,MAX(0.1,Skills!E24-IF(Skills!F24=TRUE,Inputs!$B$32,0)))*(1-IF(AND(ArtifactsInput!$M$27,Inputs!$B$4="Chapter Hunt"),CHOOSE(ArtifactsInput!$N$27+1,20,24,28,32,36,40),0)/100)))))/Skills!H24,1)))/Inputs!$B$43),G1634*Q1634)*(1+IF(Inputs!$B$3&gt;=130,0.2*(Skills!I16/Skills!E15+IF(Inputs!$B$3&gt;=126,0.05*(B1646+Q1623+(H1624*B1647)/(1+Skills!H14*H1624*B1647)+Q1634)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5">
      <c r="A1635">
        <f>Skills!A25</f>
        <v/>
      </c>
      <c r="B1635">
        <f>Skills!B25</f>
        <v/>
      </c>
      <c r="C1635">
        <f>Inputs!$B$3&gt;=117</f>
        <v/>
      </c>
      <c r="D1635">
        <f>IF(Skills!C25=1,60+Inputs!$B$25+Inputs!$B$29,IF(Skills!C25=2,90+Inputs!$B$26+Inputs!$B$29,IF(Skills!C25=3,120+Inputs!$B$27+Inputs!$B$29,MAX(0,(Inputs!$B$3-100)*3)+Inputs!$B$28+Inputs!$B$29)))</f>
        <v/>
      </c>
      <c r="E1635">
        <f>INDEX(FactorTable!$B$2:$Y$301, MATCH(ROUND(MIN(300,MAX(1,D1635)),0), FactorTable!$A$2:$A$301,0), Skills!M25+1)</f>
        <v/>
      </c>
      <c r="F1635">
        <f>IF(Skills!N25=TRUE,(Skills!L25/10)*(E1635/1000),Skills!L25/10)+Skills!O25</f>
        <v/>
      </c>
      <c r="G1635">
        <f>Calc!G25</f>
        <v/>
      </c>
      <c r="H1635">
        <f>Calc!H25</f>
        <v/>
      </c>
      <c r="I1635">
        <f>IF(Skills!X25&lt;&gt;"",1+(Skills!X25/10)*(Z1613/1000)/100,1)</f>
        <v/>
      </c>
      <c r="J1635" t="inlineStr"/>
      <c r="K1635" t="inlineStr"/>
      <c r="L1635" t="inlineStr"/>
      <c r="M1635" t="inlineStr"/>
      <c r="N1635" t="inlineStr"/>
      <c r="O1635">
        <f>(1-Summary!$B$11)*S1635+Summary!$B$11*U1635</f>
        <v/>
      </c>
      <c r="P1635">
        <f>IF(B1651=0,0,O1635/B1651)</f>
        <v/>
      </c>
      <c r="Q1635">
        <f>IFERROR(1/(IF(Inputs!$B$38="pvp",15,MAX(0.1,Skills!E25-IF(Skills!F25=TRUE,Inputs!$B$32,0)))*(1-IF(AND(ArtifactsInput!$M$27,Inputs!$B$4="Chapter Hunt"),CHOOSE(ArtifactsInput!$N$27+1,20,24,28,32,36,40),0)/100)),0)</f>
        <v/>
      </c>
      <c r="R1635" t="n">
        <v>0</v>
      </c>
      <c r="S1635" t="n">
        <v>0</v>
      </c>
      <c r="U1635" t="n">
        <v>0</v>
      </c>
    </row>
    <row r="1636">
      <c r="A1636">
        <f>Skills!A26</f>
        <v/>
      </c>
      <c r="B1636">
        <f>Skills!B26</f>
        <v/>
      </c>
      <c r="C1636">
        <f>Inputs!$B$3&gt;=120</f>
        <v/>
      </c>
      <c r="D1636">
        <f>IF(Skills!C26=1,60+Inputs!$B$25+Inputs!$B$29,IF(Skills!C26=2,90+Inputs!$B$26+Inputs!$B$29,IF(Skills!C26=3,120+Inputs!$B$27+Inputs!$B$29,MAX(0,(Inputs!$B$3-100)*3)+Inputs!$B$28+Inputs!$B$29)))</f>
        <v/>
      </c>
      <c r="E1636">
        <f>INDEX(FactorTable!$B$2:$Y$301, MATCH(ROUND(MIN(300,MAX(1,D1636)),0), FactorTable!$A$2:$A$301,0), Skills!M26+1)</f>
        <v/>
      </c>
      <c r="F1636">
        <f>IF(Skills!N26=TRUE,(Skills!L26/10)*(E1636/1000),Skills!L26/10)+Skills!O26</f>
        <v/>
      </c>
      <c r="G1636">
        <f>Calc!G26</f>
        <v/>
      </c>
      <c r="H1636">
        <f>Calc!H26</f>
        <v/>
      </c>
      <c r="I1636">
        <f>IF(Skills!X26&lt;&gt;"",1+(Skills!X26/10)*(Z1613/1000)/100,1)</f>
        <v/>
      </c>
      <c r="J1636" t="inlineStr"/>
      <c r="K1636" t="inlineStr"/>
      <c r="L1636" t="inlineStr"/>
      <c r="M1636" t="inlineStr"/>
      <c r="N1636" t="inlineStr"/>
      <c r="O1636">
        <f>(1-Summary!$B$11)*S1636+Summary!$B$11*U1636</f>
        <v/>
      </c>
      <c r="P1636">
        <f>IF(B1651=0,0,O1636/B1651)</f>
        <v/>
      </c>
      <c r="Q1636">
        <f>IFERROR(1/(IF(Inputs!$B$38="pvp",15,MAX(0.1,Skills!E26-IF(Skills!F26=TRUE,Inputs!$B$32,0)))*(1-IF(AND(ArtifactsInput!$M$27,Inputs!$B$4="Chapter Hunt"),CHOOSE(ArtifactsInput!$N$27+1,20,24,28,32,36,40),0)/100)),0)</f>
        <v/>
      </c>
      <c r="R1636" t="n">
        <v>0</v>
      </c>
      <c r="S1636" t="n">
        <v>0</v>
      </c>
      <c r="U1636" t="n">
        <v>0</v>
      </c>
    </row>
    <row r="1637">
      <c r="A1637">
        <f>Skills!A27</f>
        <v/>
      </c>
      <c r="B1637">
        <f>Skills!B27</f>
        <v/>
      </c>
      <c r="C1637">
        <f>Inputs!$B$3&gt;=125</f>
        <v/>
      </c>
      <c r="D1637">
        <f>IF(Skills!C27=1,60+Inputs!$B$25+Inputs!$B$29,IF(Skills!C27=2,90+Inputs!$B$26+Inputs!$B$29,IF(Skills!C27=3,120+Inputs!$B$27+Inputs!$B$29,MAX(0,(Inputs!$B$3-100)*3)+Inputs!$B$28+Inputs!$B$29)))</f>
        <v/>
      </c>
      <c r="E1637">
        <f>INDEX(FactorTable!$B$2:$Y$301, MATCH(ROUND(MIN(300,MAX(1,D1637)),0), FactorTable!$A$2:$A$301,0), Skills!M27+1)</f>
        <v/>
      </c>
      <c r="F1637">
        <f>IF(Skills!N27=TRUE,(Skills!L27/10)*(E1637/1000),Skills!L27/10)+Skills!O27</f>
        <v/>
      </c>
      <c r="G1637">
        <f>Calc!G27</f>
        <v/>
      </c>
      <c r="H1637">
        <f>Calc!H27</f>
        <v/>
      </c>
      <c r="I1637">
        <f>IF(Skills!X27&lt;&gt;"",1+(Skills!X27/10)*(Z1613/1000)/100,1)</f>
        <v/>
      </c>
      <c r="J1637" t="inlineStr"/>
      <c r="K1637" t="inlineStr"/>
      <c r="L1637" t="inlineStr"/>
      <c r="M1637" t="inlineStr"/>
      <c r="N1637" t="inlineStr"/>
      <c r="O1637">
        <f>(1-Summary!$B$11)*S1637+Summary!$B$11*U1637</f>
        <v/>
      </c>
      <c r="P1637">
        <f>IF(B1651=0,0,O1637/B1651)</f>
        <v/>
      </c>
      <c r="Q1637">
        <f>IFERROR(1/(IF(Inputs!$B$38="pvp",15,MAX(0.1,Skills!E27-IF(Skills!F27=TRUE,Inputs!$B$32,0)))*(1-IF(AND(ArtifactsInput!$M$27,Inputs!$B$4="Chapter Hunt"),CHOOSE(ArtifactsInput!$N$27+1,20,24,28,32,36,40),0)/100)),0)</f>
        <v/>
      </c>
      <c r="R1637" t="n">
        <v>0</v>
      </c>
      <c r="S1637" t="n">
        <v>0</v>
      </c>
      <c r="U1637" t="n">
        <v>0</v>
      </c>
    </row>
    <row r="1638">
      <c r="A1638">
        <f>Skills!A28</f>
        <v/>
      </c>
      <c r="B1638">
        <f>Skills!B28</f>
        <v/>
      </c>
      <c r="C1638">
        <f>Inputs!$B$3&gt;=118</f>
        <v/>
      </c>
      <c r="D1638">
        <f>IF(Skills!C28=1,60+Inputs!$B$25+Inputs!$B$29,IF(Skills!C28=2,90+Inputs!$B$26+Inputs!$B$29,IF(Skills!C28=3,120+Inputs!$B$27+Inputs!$B$29,MAX(0,(Inputs!$B$3-100)*3)+Inputs!$B$28+Inputs!$B$29)))</f>
        <v/>
      </c>
      <c r="E1638">
        <f>INDEX(FactorTable!$B$2:$Y$301, MATCH(ROUND(MIN(300,MAX(1,D1638)),0), FactorTable!$A$2:$A$301,0), Skills!M28+1)</f>
        <v/>
      </c>
      <c r="F1638">
        <f>IF(Skills!N28=TRUE,(Skills!L28/10)*(E1638/1000),Skills!L28/10)+Skills!O28</f>
        <v/>
      </c>
      <c r="G1638">
        <f>Calc!G28</f>
        <v/>
      </c>
      <c r="H1638">
        <f>Calc!H28</f>
        <v/>
      </c>
      <c r="I1638">
        <f>IF(Skills!X28&lt;&gt;"",1+(Skills!X28/10)*(Z1613/1000)/100,1)</f>
        <v/>
      </c>
      <c r="J1638">
        <f>((Inputs!$B$6*(1+Inputs!$B$7/100))+(((Inputs!$B$12*(1+Inputs!$B$13/100))-(Inputs!$B$12*(1+Inputs!$B$13/100)))+0.25*(Inputs!$B$14-Inputs!$B$14))*(1+Inputs!$B$7/100))*(F1638/100)</f>
        <v/>
      </c>
      <c r="K1638">
        <f>J1638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1633/100)*(1+IF(Inputs!$B$3&gt;=120,F1636,0)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1637*5,0)))/100)*(B1640*B1641*B1642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1638)</f>
        <v/>
      </c>
      <c r="L1638">
        <f>K1638*(MIN(Inputs!$B$22+(F1632-Calc!F22),(Inputs!$B$23+(IF(ArtifactsInput!$M$15,CHOOSE(ArtifactsInput!$N$15+1,25,30,35,40,45,50)/100*(Inputs!$B$11-Inputs!$B$11),0))))/100+(Inputs!$B$23+(IF(ArtifactsInput!$M$15,CHOOSE(ArtifactsInput!$N$15+1,25,30,35,40,45,50)/100*(Inputs!$B$11-Inputs!$B$11),0)))/100)/2</f>
        <v/>
      </c>
      <c r="M1638">
        <f>L1638*(1+(Inputs!$B$10+(F1631-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8">
        <f>L1638*(1-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1638*(MIN((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8">
        <f>(1-Summary!$B$11)*S1638+Summary!$B$11*U1638</f>
        <v/>
      </c>
      <c r="P1638">
        <f>IF(B1651=0,0,O1638/B1651)</f>
        <v/>
      </c>
      <c r="Q1638">
        <f>IFERROR(1/(IF(Inputs!$B$38="pvp",15,MAX(0.1,Skills!E28-IF(Skills!F28=TRUE,Inputs!$B$32,0)))*(1-IF(AND(ArtifactsInput!$M$27,Inputs!$B$4="Chapter Hunt"),CHOOSE(ArtifactsInput!$N$27+1,20,24,28,32,36,40),0)/100)),0)</f>
        <v/>
      </c>
      <c r="R1638">
        <f>IF(AND(Inputs!$B$38&lt;&gt;"pvp",Inputs!$B$43&gt;0),IF(MAX(0,Inputs!$B$43-B1648)&lt;=0,0,(INT(MAX(0,Inputs!$B$43-B1648)/(IF(Inputs!$B$38="pvp",15,MAX(0.1,Skills!E28-IF(Skills!F28=TRUE,Inputs!$B$32,0)))*(1-IF(AND(ArtifactsInput!$M$27,Inputs!$B$4="Chapter Hunt"),CHOOSE(ArtifactsInput!$N$27+1,20,24,28,32,36,40),0)/100)))+1)),0)</f>
        <v/>
      </c>
      <c r="S1638">
        <f>IF(C1638,(H1638*N1638*IF(AND(Inputs!$B$38&lt;&gt;"pvp",Inputs!$B$43&gt;0),((Skills!G28*((R1638-1)*IF(Skills!H28&gt;0,Skills!I28/Skills!H28,1)+IF(Skills!H28&gt;0,MIN(Skills!I28,MAX(0,MAX(0,Inputs!$B$43-B1648)-((R1638-1)*(IF(Inputs!$B$38="pvp",15,MAX(0.1,Skills!E28-IF(Skills!F28=TRUE,Inputs!$B$32,0)))*(1-IF(AND(ArtifactsInput!$M$27,Inputs!$B$4="Chapter Hunt"),CHOOSE(ArtifactsInput!$N$27+1,20,24,28,32,36,40),0)/100)))))/Skills!H28,1)))/Inputs!$B$43),G1638*Q1638)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1638*(1-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1638*(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1638*(1-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1638*(MIN(100,(Inputs!$B$9+(F1630-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8">
        <f>IF(C1638,(H1638*N1638*IF(AND(Inputs!$B$38&lt;&gt;"pvp",Inputs!$B$43&gt;0),((Skills!G28*((R1638-1)*IF(Skills!H28&gt;0,Skills!I28/Skills!H28,1)+IF(Skills!H28&gt;0,MIN(Skills!I28,MAX(0,MAX(0,Inputs!$B$43-B1648)-((R1638-1)*(IF(Inputs!$B$38="pvp",15,MAX(0.1,Skills!E28-IF(Skills!F28=TRUE,Inputs!$B$32,0)))*(1-IF(AND(ArtifactsInput!$M$27,Inputs!$B$4="Chapter Hunt"),CHOOSE(ArtifactsInput!$N$27+1,20,24,28,32,36,40),0)/100)))))/Skills!H28,1)))/Inputs!$B$43),G1638*Q1638)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0">
      <c r="A1640" t="inlineStr">
        <is>
          <t>Burning Magic Multiplier</t>
        </is>
      </c>
      <c r="B1640">
        <f>1+(F1621*Skills!Z11)/100</f>
        <v/>
      </c>
    </row>
    <row r="1641">
      <c r="A1641" t="inlineStr">
        <is>
          <t>Elemental Decrease Multiplier (always-on)</t>
        </is>
      </c>
      <c r="B1641">
        <f>1+(F1622+(IF(AND(ArtifactsInput!$M$35,Inputs!$B$4&lt;&gt;"Chapter Hunt"),CHOOSE(ArtifactsInput!$N$35+1,15,18,21,24,27,30)*(1-EXP(-(0.2*B1644)*5)),0)+IF(AND(ArtifactsInput!$M$22,Inputs!$B$4&lt;&gt;"Chapter Hunt"),CHOOSE(ArtifactsInput!$N$22+1,10,12,14,16,18,20)*((0*(((0.15*B1644*5))^0/1)+1*(((0.15*B1644*5))^1/1)+2*(((0.15*B1644*5))^2/2)+3*(((0.15*B1644*5))^3/6)+4*(((0.15*B1644*5))^4/24)+5*(((0.15*B1644*5))^5/120))/((((0.15*B1644*5))^0/1)+(((0.15*B1644*5))^1/1)+(((0.15*B1644*5))^2/2)+(((0.15*B1644*5))^3/6)+(((0.15*B1644*5))^4/24)+(((0.15*B1644*5))^5/120))),0)))/100</f>
        <v/>
      </c>
    </row>
    <row r="1642">
      <c r="A1642" t="inlineStr">
        <is>
          <t>Average Buff Multiplier (Magic Guard + Meditation + Artifact Attack%, summed; then Infinity)</t>
        </is>
      </c>
      <c r="B1642">
        <f>(1+(F1616*IF(AND(Inputs!$B$38&lt;&gt;"pvp",Inputs!$B$43&gt;0),(((R1616-1)*(Skills!T6*(1+((Inputs!$B$34+(ArtifactsInput!$M$7-ArtifactsInput!$M$7)*CHOOSE(ArtifactsInput!$N$7+1,6,7.2,8.4,9.6,10.8,12)))/100))+MIN((Skills!T6*(1+((Inputs!$B$34+(ArtifactsInput!$M$7-ArtifactsInput!$M$7)*CHOOSE(ArtifactsInput!$N$7+1,6,7.2,8.4,9.6,10.8,12)))/100)),MAX(0,Inputs!$B$43-((R1616-1)*Skills!E6))))/Inputs!$B$43),IF(Inputs!$B$38="pvp",MIN((Skills!T6*(1+((Inputs!$B$34+(ArtifactsInput!$M$7-ArtifactsInput!$M$7)*CHOOSE(ArtifactsInput!$N$7+1,6,7.2,8.4,9.6,10.8,12)))/100)),15)/15,(Skills!T6*(1+((Inputs!$B$34+(ArtifactsInput!$M$7-ArtifactsInput!$M$7)*CHOOSE(ArtifactsInput!$N$7+1,6,7.2,8.4,9.6,10.8,12)))/100))/Skills!E6))+F1627*IF(AND(Inputs!$B$38&lt;&gt;"pvp",Inputs!$B$43&gt;0),(((R1627-1)*(Skills!T17*(1+((Inputs!$B$34+(ArtifactsInput!$M$7-ArtifactsInput!$M$7)*CHOOSE(ArtifactsInput!$N$7+1,6,7.2,8.4,9.6,10.8,12)))/100))+MIN((Skills!T17*(1+((Inputs!$B$34+(ArtifactsInput!$M$7-ArtifactsInput!$M$7)*CHOOSE(ArtifactsInput!$N$7+1,6,7.2,8.4,9.6,10.8,12)))/100)),MAX(0,Inputs!$B$43-((R1627-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1629=TRUE,(1+F1629*IF(AND(Inputs!$B$38&lt;&gt;"pvp",Inputs!$B$43&gt;0),(((R1629-1)*(Skills!T19*(1+((Inputs!$B$34+(ArtifactsInput!$M$7-ArtifactsInput!$M$7)*CHOOSE(ArtifactsInput!$N$7+1,6,7.2,8.4,9.6,10.8,12)))/100))+MIN((Skills!T19*(1+((Inputs!$B$34+(ArtifactsInput!$M$7-ArtifactsInput!$M$7)*CHOOSE(ArtifactsInput!$N$7+1,6,7.2,8.4,9.6,10.8,12)))/100)),MAX(0,Inputs!$B$43-((R1629-1)*Skills!E19))))/Inputs!$B$43),IF(Inputs!$B$38="pvp",MIN((Skills!T19*(1+((Inputs!$B$34+(ArtifactsInput!$M$7-ArtifactsInput!$M$7)*CHOOSE(ArtifactsInput!$N$7+1,6,7.2,8.4,9.6,10.8,12)))/100)),15)/15,(Skills!T19*(1+((Inputs!$B$34+(ArtifactsInput!$M$7-ArtifactsInput!$M$7)*CHOOSE(ArtifactsInput!$N$7+1,6,7.2,8.4,9.6,10.8,12)))/100))/Skills!E19))/100),1)</f>
        <v/>
      </c>
    </row>
    <row r="1643">
      <c r="A1643" t="inlineStr">
        <is>
          <t>Attack Speed Buff Bonus % (Nimble Feet, averaged)</t>
        </is>
      </c>
      <c r="B1643">
        <f>F1628*IF(AND(Inputs!$B$38&lt;&gt;"pvp",Inputs!$B$43&gt;0),(((R1628-1)*(Skills!T18*(1+((Inputs!$B$34+(ArtifactsInput!$M$7-ArtifactsInput!$M$7)*CHOOSE(ArtifactsInput!$N$7+1,6,7.2,8.4,9.6,10.8,12)))/100))+MIN((Skills!T18*(1+((Inputs!$B$34+(ArtifactsInput!$M$7-ArtifactsInput!$M$7)*CHOOSE(ArtifactsInput!$N$7+1,6,7.2,8.4,9.6,10.8,12)))/100)),MAX(0,Inputs!$B$43-((R1628-1)*Skills!E18))))/Inputs!$B$43),IF(Inputs!$B$38="pvp",MIN((Skills!T18*(1+((Inputs!$B$34+(ArtifactsInput!$M$7-ArtifactsInput!$M$7)*CHOOSE(ArtifactsInput!$N$7+1,6,7.2,8.4,9.6,10.8,12)))/100)),15)/15,(Skills!T18*(1+((Inputs!$B$34+(ArtifactsInput!$M$7-ArtifactsInput!$M$7)*CHOOSE(ArtifactsInput!$N$7+1,6,7.2,8.4,9.6,10.8,12)))/100))/Skills!E18))</f>
        <v/>
      </c>
    </row>
    <row r="1644">
      <c r="A1644" t="inlineStr">
        <is>
          <t>Actions Per Second</t>
        </is>
      </c>
      <c r="B1644">
        <f>1+MIN(150,150*(1-(1-(Inputs!$B$11+(ArtifactsInput!$M$15-ArtifactsInput!$M$15)*CHOOSE(ArtifactsInput!$N$15+1,8,9.6,11.2,12.8,14.4,16))/150)*(1-B1643/150)))/100</f>
        <v/>
      </c>
    </row>
    <row r="1645">
      <c r="A1645" t="inlineStr">
        <is>
          <t>Skill + Buff Cast Rate</t>
        </is>
      </c>
      <c r="B1645">
        <f>IF(AND(Inputs!$B$38&lt;&gt;"pvp",Inputs!$B$43&gt;0),SUMPRODUCT((Skills!F2:F28=TRUE)*(C1612:C1638=TRUE)*R1612:R1638)/Inputs!$B$43,SUMPRODUCT((Skills!F2:F28=TRUE)*(C1612:C1638=TRUE)*Q1612:Q1638))</f>
        <v/>
      </c>
    </row>
    <row r="1646">
      <c r="A1646" t="inlineStr">
        <is>
          <t>Basic Attacks Per Second</t>
        </is>
      </c>
      <c r="B1646">
        <f>MAX(0,B1644-B1645)</f>
        <v/>
      </c>
    </row>
    <row r="1647">
      <c r="A1647" t="inlineStr">
        <is>
          <t>Meteor Proc — combined trigger cast rate</t>
        </is>
      </c>
      <c r="B1647">
        <f>IF(AND(Inputs!$B$38&lt;&gt;"pvp",Inputs!$B$43&gt;0),SUMPRODUCT((Skills!V2:V28=TRUE)*(C1612:C1638=TRUE)*R1612:R1638*Skills!W2:W28)/Inputs!$B$43,SUMPRODUCT((Skills!V2:V28=TRUE)*(C1612:C1638=TRUE)*Q1612:Q1638*Skills!W2:W28))+B1646</f>
        <v/>
      </c>
    </row>
    <row r="1648">
      <c r="A1648" t="inlineStr">
        <is>
          <t>Buff-Casting Startup Delay (s, fixed-duration only)</t>
        </is>
      </c>
      <c r="B1648">
        <f>IF(AND(Inputs!$B$38&lt;&gt;"pvp",Inputs!$B$43&gt;0),SUMPRODUCT((Skills!T2:T28&gt;0)*(Skills!F2:F28=TRUE)*(C1612:C1638=TRUE))/B1644,0)</f>
        <v/>
      </c>
    </row>
    <row r="1649">
      <c r="A1649" t="inlineStr">
        <is>
          <t>Boss-Only Total DPS (this block's swept value)</t>
        </is>
      </c>
      <c r="B1649">
        <f>SUM(S1612:S1638)</f>
        <v/>
      </c>
    </row>
    <row r="1650">
      <c r="A1650" t="inlineStr">
        <is>
          <t>Normal-Only Total DPS (this block's swept value)</t>
        </is>
      </c>
      <c r="B1650">
        <f>SUM(U1612:U1638)</f>
        <v/>
      </c>
    </row>
    <row r="1651">
      <c r="A1651" s="6" t="inlineStr">
        <is>
          <t>TOTAL DPS</t>
        </is>
      </c>
      <c r="B1651" s="6">
        <f>SUM(O1612:O1638)</f>
        <v/>
      </c>
    </row>
    <row r="1654">
      <c r="A1654" s="6" t="inlineStr">
        <is>
          <t>Stat: Horntail's Scale (Equip)</t>
        </is>
      </c>
    </row>
    <row r="1655">
      <c r="A1655" s="5" t="inlineStr">
        <is>
          <t>Key</t>
        </is>
      </c>
      <c r="B1655" s="5" t="inlineStr">
        <is>
          <t>Name</t>
        </is>
      </c>
      <c r="C1655" s="5" t="inlineStr">
        <is>
          <t>Unlocked</t>
        </is>
      </c>
      <c r="D1655" s="5" t="inlineStr">
        <is>
          <t>InputLevel</t>
        </is>
      </c>
      <c r="E1655" s="5" t="inlineStr">
        <is>
          <t>Factor</t>
        </is>
      </c>
      <c r="F1655" s="5" t="inlineStr">
        <is>
          <t>CoefficientPercent</t>
        </is>
      </c>
      <c r="G1655" s="5" t="inlineStr">
        <is>
          <t>EffectiveHits</t>
        </is>
      </c>
      <c r="H1655" s="5" t="inlineStr">
        <is>
          <t>ProcProbability</t>
        </is>
      </c>
      <c r="I1655" s="5" t="inlineStr">
        <is>
          <t>MapleHeroMultiplier</t>
        </is>
      </c>
      <c r="J1655" s="5" t="inlineStr">
        <is>
          <t>BaseDamage</t>
        </is>
      </c>
      <c r="K1655" s="5" t="inlineStr">
        <is>
          <t>BaseHitDamage</t>
        </is>
      </c>
      <c r="L1655" s="5" t="inlineStr">
        <is>
          <t>NonCritAvg</t>
        </is>
      </c>
      <c r="M1655" s="5" t="inlineStr">
        <is>
          <t>CritAvg</t>
        </is>
      </c>
      <c r="N1655" s="5" t="inlineStr">
        <is>
          <t>ExpectedDamage(perHit)</t>
        </is>
      </c>
      <c r="O1655" s="5" t="inlineStr">
        <is>
          <t>DPS</t>
        </is>
      </c>
      <c r="P1655" s="5" t="inlineStr">
        <is>
          <t>% of Total</t>
        </is>
      </c>
      <c r="R1655" t="inlineStr">
        <is>
          <t>helpers</t>
        </is>
      </c>
    </row>
    <row r="1656">
      <c r="A1656">
        <f>Skills!A2</f>
        <v/>
      </c>
      <c r="B1656">
        <f>Skills!B2</f>
        <v/>
      </c>
      <c r="C1656">
        <f>TRUE</f>
        <v/>
      </c>
      <c r="D1656" t="inlineStr"/>
      <c r="E1656" t="inlineStr"/>
      <c r="F1656">
        <f>T1658+Skills!O2</f>
        <v/>
      </c>
      <c r="G1656">
        <f>Calc!G2</f>
        <v/>
      </c>
      <c r="H1656">
        <f>Calc!H2</f>
        <v/>
      </c>
      <c r="I1656">
        <f>IF(Skills!X2&lt;&gt;"",1+(Skills!X2/10)*(Z1657/1000)/100,1)</f>
        <v/>
      </c>
      <c r="J1656">
        <f>((Inputs!$B$6*(1+Inputs!$B$7/100))+(((Inputs!$B$12*(1+Inputs!$B$13/100))-(Inputs!$B$12*(1+Inputs!$B$13/100)))+0.25*(Inputs!$B$14-Inputs!$B$14))*(1+Inputs!$B$7/100))*(F1656/100)</f>
        <v/>
      </c>
      <c r="K1656">
        <f>J1656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1656)</f>
        <v/>
      </c>
      <c r="L1656">
        <f>K1656*(MIN(Inputs!$B$22+(F1676-Calc!F22),(Inputs!$B$23+(IF(ArtifactsInput!$M$15,CHOOSE(ArtifactsInput!$N$15+1,25,30,35,40,45,50)/100*(Inputs!$B$11-Inputs!$B$11),0))))/100+(Inputs!$B$23+(IF(ArtifactsInput!$M$15,CHOOSE(ArtifactsInput!$N$15+1,25,30,35,40,45,50)/100*(Inputs!$B$11-Inputs!$B$11),0)))/100)/2</f>
        <v/>
      </c>
      <c r="M1656">
        <f>L1656*(1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6">
        <f>L1656*(1-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1656*(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6">
        <f>(1-Summary!$B$11)*S1656+Summary!$B$11*U1656</f>
        <v/>
      </c>
      <c r="P1656">
        <f>IF(B1695=0,0,O1656/B1695)</f>
        <v/>
      </c>
      <c r="Q1656">
        <f>IFERROR(1/(IF(Inputs!$B$38="pvp",15,MAX(0.1,Skills!E2-IF(Skills!F2=TRUE,Inputs!$B$32,0)))*(1-IF(AND(ArtifactsInput!$M$27,Inputs!$B$4="Chapter Hunt"),CHOOSE(ArtifactsInput!$N$27+1,20,24,28,32,36,40),0)/100)),0)</f>
        <v/>
      </c>
      <c r="R1656" t="n">
        <v>0</v>
      </c>
      <c r="S1656">
        <f>(Skills!G2*N1656*B1690)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1656*(1-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1656*(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1656*(1-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1656*(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656">
        <f>MAX(0,(Inputs!$B$3-100)*3)+Inputs!$B$28+Inputs!$B$29</f>
        <v/>
      </c>
      <c r="U1656">
        <f>(Skills!G2*N1656*B1690)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656">
        <f>MAX(0,(Inputs!$B$3-100)*3)+Inputs!$B$28+Inputs!$B$29</f>
        <v/>
      </c>
    </row>
    <row r="1657">
      <c r="A1657">
        <f>Skills!A3</f>
        <v/>
      </c>
      <c r="B1657">
        <f>Skills!B3</f>
        <v/>
      </c>
      <c r="C1657">
        <f>TRUE</f>
        <v/>
      </c>
      <c r="D1657">
        <f>IF(Skills!C3=1,60+Inputs!$B$25+Inputs!$B$29,IF(Skills!C3=2,90+Inputs!$B$26+Inputs!$B$29,IF(Skills!C3=3,120+Inputs!$B$27+Inputs!$B$29,MAX(0,(Inputs!$B$3-100)*3)+Inputs!$B$28+Inputs!$B$29)))</f>
        <v/>
      </c>
      <c r="E1657">
        <f>INDEX(FactorTable!$B$2:$Y$301, MATCH(ROUND(MIN(300,MAX(1,D1657)),0), FactorTable!$A$2:$A$301,0), Skills!M3+1)</f>
        <v/>
      </c>
      <c r="F1657">
        <f>IF(Skills!N3=TRUE,(Skills!L3/10)*(E1657/1000),Skills!L3/10)+Skills!O3</f>
        <v/>
      </c>
      <c r="G1657">
        <f>Calc!G3</f>
        <v/>
      </c>
      <c r="H1657">
        <f>Calc!H3</f>
        <v/>
      </c>
      <c r="I1657">
        <f>IF(Skills!X3&lt;&gt;"",1+(Skills!X3/10)*(Z1657/1000)/100,1)</f>
        <v/>
      </c>
      <c r="J1657">
        <f>((Inputs!$B$6*(1+Inputs!$B$7/100))+(((Inputs!$B$12*(1+Inputs!$B$13/100))-(Inputs!$B$12*(1+Inputs!$B$13/100)))+0.25*(Inputs!$B$14-Inputs!$B$14))*(1+Inputs!$B$7/100))*(F1657/100)</f>
        <v/>
      </c>
      <c r="K1657">
        <f>J1657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1657)</f>
        <v/>
      </c>
      <c r="L1657">
        <f>K1657*(MIN(Inputs!$B$22+(F1676-Calc!F22),(Inputs!$B$23+(IF(ArtifactsInput!$M$15,CHOOSE(ArtifactsInput!$N$15+1,25,30,35,40,45,50)/100*(Inputs!$B$11-Inputs!$B$11),0))))/100+(Inputs!$B$23+(IF(ArtifactsInput!$M$15,CHOOSE(ArtifactsInput!$N$15+1,25,30,35,40,45,50)/100*(Inputs!$B$11-Inputs!$B$11),0)))/100)/2</f>
        <v/>
      </c>
      <c r="M1657">
        <f>L1657*(1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7">
        <f>L1657*(1-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1657*(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7">
        <f>(1-Summary!$B$11)*S1657+Summary!$B$11*U1657</f>
        <v/>
      </c>
      <c r="P1657">
        <f>IF(B1695=0,0,O1657/B1695)</f>
        <v/>
      </c>
      <c r="Q1657">
        <f>IFERROR(1/(IF(Inputs!$B$38="pvp",15,MAX(0.1,Skills!E3-IF(Skills!F3=TRUE,Inputs!$B$32,0)))*(1-IF(AND(ArtifactsInput!$M$27,Inputs!$B$4="Chapter Hunt"),CHOOSE(ArtifactsInput!$N$27+1,20,24,28,32,36,40),0)/100)),0)</f>
        <v/>
      </c>
      <c r="R1657">
        <f>IF(AND(Inputs!$B$38&lt;&gt;"pvp",Inputs!$B$43&gt;0),IF(MAX(0,Inputs!$B$43-B1692)&lt;=0,0,(INT(MAX(0,Inputs!$B$43-B1692)/(IF(Inputs!$B$38="pvp",15,MAX(0.1,Skills!E3-IF(Skills!F3=TRUE,Inputs!$B$32,0)))*(1-IF(AND(ArtifactsInput!$M$27,Inputs!$B$4="Chapter Hunt"),CHOOSE(ArtifactsInput!$N$27+1,20,24,28,32,36,40),0)/100)))+1)),0)</f>
        <v/>
      </c>
      <c r="S1657">
        <f>IF(C1657,(H1657*N1657*IF(AND(Inputs!$B$38&lt;&gt;"pvp",Inputs!$B$43&gt;0),((Skills!G3*((R1657-1)*IF(Skills!H3&gt;0,Skills!I3/Skills!H3,1)+IF(Skills!H3&gt;0,MIN(Skills!I3,MAX(0,MAX(0,Inputs!$B$43-B1692)-((R1657-1)*(IF(Inputs!$B$38="pvp",15,MAX(0.1,Skills!E3-IF(Skills!F3=TRUE,Inputs!$B$32,0)))*(1-IF(AND(ArtifactsInput!$M$27,Inputs!$B$4="Chapter Hunt"),CHOOSE(ArtifactsInput!$N$27+1,20,24,28,32,36,40),0)/100)))))/Skills!H3,1)))/Inputs!$B$43),G1657*Q1657)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1657*(1-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1657*(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1657*(1-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1657*(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57">
        <f>INDEX(FactorTable!$B$2:$Y$301, MATCH(ROUND(MIN(300,MAX(1,T1656)),0), FactorTable!$A$2:$A$301,0), 22)</f>
        <v/>
      </c>
      <c r="U1657">
        <f>IF(C1657,(H1657*N1657*IF(AND(Inputs!$B$38&lt;&gt;"pvp",Inputs!$B$43&gt;0),((Skills!G3*((R1657-1)*IF(Skills!H3&gt;0,Skills!I3/Skills!H3,1)+IF(Skills!H3&gt;0,MIN(Skills!I3,MAX(0,MAX(0,Inputs!$B$43-B1692)-((R1657-1)*(IF(Inputs!$B$38="pvp",15,MAX(0.1,Skills!E3-IF(Skills!F3=TRUE,Inputs!$B$32,0)))*(1-IF(AND(ArtifactsInput!$M$27,Inputs!$B$4="Chapter Hunt"),CHOOSE(ArtifactsInput!$N$27+1,20,24,28,32,36,40),0)/100)))))/Skills!H3,1)))/Inputs!$B$43),G1657*Q1657)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657">
        <f>INDEX(FactorTable!$B$2:$Y$301, MATCH(ROUND(MIN(300,MAX(1,Z1656)),0), FactorTable!$A$2:$A$301,0), 24)</f>
        <v/>
      </c>
    </row>
    <row r="1658">
      <c r="A1658">
        <f>Skills!A4</f>
        <v/>
      </c>
      <c r="B1658">
        <f>Skills!B4</f>
        <v/>
      </c>
      <c r="C1658">
        <f>TRUE</f>
        <v/>
      </c>
      <c r="D1658">
        <f>IF(Skills!C4=1,60+Inputs!$B$25+Inputs!$B$29,IF(Skills!C4=2,90+Inputs!$B$26+Inputs!$B$29,IF(Skills!C4=3,120+Inputs!$B$27+Inputs!$B$29,MAX(0,(Inputs!$B$3-100)*3)+Inputs!$B$28+Inputs!$B$29)))</f>
        <v/>
      </c>
      <c r="E1658">
        <f>INDEX(FactorTable!$B$2:$Y$301, MATCH(ROUND(MIN(300,MAX(1,D1658)),0), FactorTable!$A$2:$A$301,0), Skills!M4+1)</f>
        <v/>
      </c>
      <c r="F1658">
        <f>IF(Skills!N4=TRUE,(Skills!L4/10)*(E1658/1000),Skills!L4/10)+Skills!O4</f>
        <v/>
      </c>
      <c r="G1658">
        <f>Calc!G4</f>
        <v/>
      </c>
      <c r="H1658">
        <f>Calc!H4</f>
        <v/>
      </c>
      <c r="I1658">
        <f>IF(Skills!X4&lt;&gt;"",1+(Skills!X4/10)*(Z1657/1000)/100,1)</f>
        <v/>
      </c>
      <c r="J1658">
        <f>((Inputs!$B$6*(1+Inputs!$B$7/100))+(((Inputs!$B$12*(1+Inputs!$B$13/100))-(Inputs!$B$12*(1+Inputs!$B$13/100)))+0.25*(Inputs!$B$14-Inputs!$B$14))*(1+Inputs!$B$7/100))*(F1658/100)</f>
        <v/>
      </c>
      <c r="K1658">
        <f>J1658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1658)</f>
        <v/>
      </c>
      <c r="L1658">
        <f>K1658*(MIN(Inputs!$B$22+(F1676-Calc!F22),(Inputs!$B$23+(IF(ArtifactsInput!$M$15,CHOOSE(ArtifactsInput!$N$15+1,25,30,35,40,45,50)/100*(Inputs!$B$11-Inputs!$B$11),0))))/100+(Inputs!$B$23+(IF(ArtifactsInput!$M$15,CHOOSE(ArtifactsInput!$N$15+1,25,30,35,40,45,50)/100*(Inputs!$B$11-Inputs!$B$11),0)))/100)/2</f>
        <v/>
      </c>
      <c r="M1658">
        <f>L1658*(1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8">
        <f>L1658*(1-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1658*(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8">
        <f>(1-Summary!$B$11)*S1658+Summary!$B$11*U1658</f>
        <v/>
      </c>
      <c r="P1658">
        <f>IF(B1695=0,0,O1658/B1695)</f>
        <v/>
      </c>
      <c r="Q1658">
        <f>IFERROR(1/(IF(Inputs!$B$38="pvp",15,MAX(0.1,Skills!E4-IF(Skills!F4=TRUE,Inputs!$B$32,0)))*(1-IF(AND(ArtifactsInput!$M$27,Inputs!$B$4="Chapter Hunt"),CHOOSE(ArtifactsInput!$N$27+1,20,24,28,32,36,40),0)/100)),0)</f>
        <v/>
      </c>
      <c r="R1658">
        <f>IF(AND(Inputs!$B$38&lt;&gt;"pvp",Inputs!$B$43&gt;0),IF(MAX(0,Inputs!$B$43-B1692)&lt;=0,0,(INT(MAX(0,Inputs!$B$43-B1692)/(IF(Inputs!$B$38="pvp",15,MAX(0.1,Skills!E4-IF(Skills!F4=TRUE,Inputs!$B$32,0)))*(1-IF(AND(ArtifactsInput!$M$27,Inputs!$B$4="Chapter Hunt"),CHOOSE(ArtifactsInput!$N$27+1,20,24,28,32,36,40),0)/100)))+1)),0)</f>
        <v/>
      </c>
      <c r="S1658">
        <f>IF(C1658,(H1658*N1658*IF(AND(Inputs!$B$38&lt;&gt;"pvp",Inputs!$B$43&gt;0),((Skills!G4*((R1658-1)*IF(Skills!H4&gt;0,Skills!I4/Skills!H4,1)+IF(Skills!H4&gt;0,MIN(Skills!I4,MAX(0,MAX(0,Inputs!$B$43-B1692)-((R1658-1)*(IF(Inputs!$B$38="pvp",15,MAX(0.1,Skills!E4-IF(Skills!F4=TRUE,Inputs!$B$32,0)))*(1-IF(AND(ArtifactsInput!$M$27,Inputs!$B$4="Chapter Hunt"),CHOOSE(ArtifactsInput!$N$27+1,20,24,28,32,36,40),0)/100)))))/Skills!H4,1)))/Inputs!$B$43),G1658*Q1658)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1658*(1-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1658*(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1658*(1-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1658*(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58">
        <f>290*T1657/1000</f>
        <v/>
      </c>
      <c r="U1658">
        <f>IF(C1658,(H1658*N1658*IF(AND(Inputs!$B$38&lt;&gt;"pvp",Inputs!$B$43&gt;0),((Skills!G4*((R1658-1)*IF(Skills!H4&gt;0,Skills!I4/Skills!H4,1)+IF(Skills!H4&gt;0,MIN(Skills!I4,MAX(0,MAX(0,Inputs!$B$43-B1692)-((R1658-1)*(IF(Inputs!$B$38="pvp",15,MAX(0.1,Skills!E4-IF(Skills!F4=TRUE,Inputs!$B$32,0)))*(1-IF(AND(ArtifactsInput!$M$27,Inputs!$B$4="Chapter Hunt"),CHOOSE(ArtifactsInput!$N$27+1,20,24,28,32,36,40),0)/100)))))/Skills!H4,1)))/Inputs!$B$43),G1658*Q1658)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9">
      <c r="A1659">
        <f>Skills!A5</f>
        <v/>
      </c>
      <c r="B1659">
        <f>Skills!B5</f>
        <v/>
      </c>
      <c r="C1659">
        <f>TRUE</f>
        <v/>
      </c>
      <c r="D1659">
        <f>IF(Skills!C5=1,60+Inputs!$B$25+Inputs!$B$29,IF(Skills!C5=2,90+Inputs!$B$26+Inputs!$B$29,IF(Skills!C5=3,120+Inputs!$B$27+Inputs!$B$29,MAX(0,(Inputs!$B$3-100)*3)+Inputs!$B$28+Inputs!$B$29)))</f>
        <v/>
      </c>
      <c r="E1659">
        <f>INDEX(FactorTable!$B$2:$Y$301, MATCH(ROUND(MIN(300,MAX(1,D1659)),0), FactorTable!$A$2:$A$301,0), Skills!M5+1)</f>
        <v/>
      </c>
      <c r="F1659">
        <f>IF(Skills!N5=TRUE,(Skills!L5/10)*(E1659/1000),Skills!L5/10)+Skills!O5</f>
        <v/>
      </c>
      <c r="G1659">
        <f>Calc!G5</f>
        <v/>
      </c>
      <c r="H1659">
        <f>Calc!H5</f>
        <v/>
      </c>
      <c r="I1659">
        <f>IF(Skills!X5&lt;&gt;"",1+(Skills!X5/10)*(Z1657/1000)/100,1)</f>
        <v/>
      </c>
      <c r="J1659">
        <f>((Inputs!$B$6*(1+Inputs!$B$7/100))+(((Inputs!$B$12*(1+Inputs!$B$13/100))-(Inputs!$B$12*(1+Inputs!$B$13/100)))+0.25*(Inputs!$B$14-Inputs!$B$14))*(1+Inputs!$B$7/100))*(F1659/100)</f>
        <v/>
      </c>
      <c r="K1659">
        <f>J1659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1659)</f>
        <v/>
      </c>
      <c r="L1659">
        <f>K1659*(MIN(Inputs!$B$22+(F1676-Calc!F22),(Inputs!$B$23+(IF(ArtifactsInput!$M$15,CHOOSE(ArtifactsInput!$N$15+1,25,30,35,40,45,50)/100*(Inputs!$B$11-Inputs!$B$11),0))))/100+(Inputs!$B$23+(IF(ArtifactsInput!$M$15,CHOOSE(ArtifactsInput!$N$15+1,25,30,35,40,45,50)/100*(Inputs!$B$11-Inputs!$B$11),0)))/100)/2</f>
        <v/>
      </c>
      <c r="M1659">
        <f>L1659*(1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9">
        <f>L1659*(1-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1659*(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9">
        <f>(1-Summary!$B$11)*S1659+Summary!$B$11*U1659</f>
        <v/>
      </c>
      <c r="P1659">
        <f>IF(B1695=0,0,O1659/B1695)</f>
        <v/>
      </c>
      <c r="Q1659">
        <f>IFERROR(1/(IF(Inputs!$B$38="pvp",15,MAX(0.1,Skills!E5-IF(Skills!F5=TRUE,Inputs!$B$32,0)))*(1-IF(AND(ArtifactsInput!$M$27,Inputs!$B$4="Chapter Hunt"),CHOOSE(ArtifactsInput!$N$27+1,20,24,28,32,36,40),0)/100)),0)</f>
        <v/>
      </c>
      <c r="R1659">
        <f>IF(AND(Inputs!$B$38&lt;&gt;"pvp",Inputs!$B$43&gt;0),IF(MAX(0,Inputs!$B$43-B1692)&lt;=0,0,(INT(MAX(0,Inputs!$B$43-B1692)/(IF(Inputs!$B$38="pvp",15,MAX(0.1,Skills!E5-IF(Skills!F5=TRUE,Inputs!$B$32,0)))*(1-IF(AND(ArtifactsInput!$M$27,Inputs!$B$4="Chapter Hunt"),CHOOSE(ArtifactsInput!$N$27+1,20,24,28,32,36,40),0)/100)))+1)),0)</f>
        <v/>
      </c>
      <c r="S1659">
        <f>IF(C1659,(H1659*N1659*IF(AND(Inputs!$B$38&lt;&gt;"pvp",Inputs!$B$43&gt;0),((Skills!G5*((R1659-1)*IF(Skills!H5&gt;0,Skills!I5/Skills!H5,1)+IF(Skills!H5&gt;0,MIN(Skills!I5,MAX(0,MAX(0,Inputs!$B$43-B1692)-((R1659-1)*(IF(Inputs!$B$38="pvp",15,MAX(0.1,Skills!E5-IF(Skills!F5=TRUE,Inputs!$B$32,0)))*(1-IF(AND(ArtifactsInput!$M$27,Inputs!$B$4="Chapter Hunt"),CHOOSE(ArtifactsInput!$N$27+1,20,24,28,32,36,40),0)/100)))))/Skills!H5,1)))/Inputs!$B$43),G1659*Q1659)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1659*(1-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1659*(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1659*(1-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1659*(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59">
        <f>IF(C1659,(H1659*N1659*IF(AND(Inputs!$B$38&lt;&gt;"pvp",Inputs!$B$43&gt;0),((Skills!G5*((R1659-1)*IF(Skills!H5&gt;0,Skills!I5/Skills!H5,1)+IF(Skills!H5&gt;0,MIN(Skills!I5,MAX(0,MAX(0,Inputs!$B$43-B1692)-((R1659-1)*(IF(Inputs!$B$38="pvp",15,MAX(0.1,Skills!E5-IF(Skills!F5=TRUE,Inputs!$B$32,0)))*(1-IF(AND(ArtifactsInput!$M$27,Inputs!$B$4="Chapter Hunt"),CHOOSE(ArtifactsInput!$N$27+1,20,24,28,32,36,40),0)/100)))))/Skills!H5,1)))/Inputs!$B$43),G1659*Q1659)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0">
      <c r="A1660">
        <f>Skills!A6</f>
        <v/>
      </c>
      <c r="B1660">
        <f>Skills!B6</f>
        <v/>
      </c>
      <c r="C1660">
        <f>TRUE</f>
        <v/>
      </c>
      <c r="D1660">
        <f>IF(Skills!C6=1,60+Inputs!$B$25+Inputs!$B$29,IF(Skills!C6=2,90+Inputs!$B$26+Inputs!$B$29,IF(Skills!C6=3,120+Inputs!$B$27+Inputs!$B$29,MAX(0,(Inputs!$B$3-100)*3)+Inputs!$B$28+Inputs!$B$29)))</f>
        <v/>
      </c>
      <c r="E1660">
        <f>INDEX(FactorTable!$B$2:$Y$301, MATCH(ROUND(MIN(300,MAX(1,D1660)),0), FactorTable!$A$2:$A$301,0), Skills!M6+1)</f>
        <v/>
      </c>
      <c r="F1660">
        <f>IF(Skills!N6=TRUE,(Skills!L6/10)*(E1660/1000),Skills!L6/10)+Skills!O6</f>
        <v/>
      </c>
      <c r="G1660">
        <f>Calc!G6</f>
        <v/>
      </c>
      <c r="H1660">
        <f>Calc!H6</f>
        <v/>
      </c>
      <c r="I1660">
        <f>IF(Skills!X6&lt;&gt;"",1+(Skills!X6/10)*(Z1657/1000)/100,1)</f>
        <v/>
      </c>
      <c r="J1660" t="inlineStr"/>
      <c r="K1660" t="inlineStr"/>
      <c r="L1660" t="inlineStr"/>
      <c r="M1660" t="inlineStr"/>
      <c r="N1660" t="inlineStr"/>
      <c r="O1660">
        <f>(1-Summary!$B$11)*S1660+Summary!$B$11*U1660</f>
        <v/>
      </c>
      <c r="P1660">
        <f>IF(B1695=0,0,O1660/B1695)</f>
        <v/>
      </c>
      <c r="Q1660">
        <f>IFERROR(1/(IF(Inputs!$B$38="pvp",15,MAX(0.1,Skills!E6-IF(Skills!F6=TRUE,Inputs!$B$32,0)))*(1-IF(AND(ArtifactsInput!$M$27,Inputs!$B$4="Chapter Hunt"),CHOOSE(ArtifactsInput!$N$27+1,20,24,28,32,36,40),0)/100)),0)</f>
        <v/>
      </c>
      <c r="R1660">
        <f>IF(AND(Inputs!$B$38&lt;&gt;"pvp",Inputs!$B$43&gt;0),IF(Inputs!$B$43&lt;=0,0,(INT(Inputs!$B$43/(IF(Inputs!$B$38="pvp",15,MAX(0.1,Skills!E6-IF(Skills!F6=TRUE,Inputs!$B$32,0)))*(1-IF(AND(ArtifactsInput!$M$27,Inputs!$B$4="Chapter Hunt"),CHOOSE(ArtifactsInput!$N$27+1,20,24,28,32,36,40),0)/100)))+1)),0)</f>
        <v/>
      </c>
      <c r="S1660" t="n">
        <v>0</v>
      </c>
      <c r="U1660" t="n">
        <v>0</v>
      </c>
    </row>
    <row r="1661">
      <c r="A1661">
        <f>Skills!A7</f>
        <v/>
      </c>
      <c r="B1661">
        <f>Skills!B7</f>
        <v/>
      </c>
      <c r="C1661">
        <f>TRUE</f>
        <v/>
      </c>
      <c r="D1661">
        <f>IF(Skills!C7=1,60+Inputs!$B$25+Inputs!$B$29,IF(Skills!C7=2,90+Inputs!$B$26+Inputs!$B$29,IF(Skills!C7=3,120+Inputs!$B$27+Inputs!$B$29,MAX(0,(Inputs!$B$3-100)*3)+Inputs!$B$28+Inputs!$B$29)))</f>
        <v/>
      </c>
      <c r="E1661">
        <f>INDEX(FactorTable!$B$2:$Y$301, MATCH(ROUND(MIN(300,MAX(1,D1661)),0), FactorTable!$A$2:$A$301,0), Skills!M7+1)</f>
        <v/>
      </c>
      <c r="F1661">
        <f>IF(Skills!N7=TRUE,(Skills!L7/10)*(E1661/1000),Skills!L7/10)+Skills!O7</f>
        <v/>
      </c>
      <c r="G1661">
        <f>Calc!G7</f>
        <v/>
      </c>
      <c r="H1661">
        <f>Calc!H7</f>
        <v/>
      </c>
      <c r="I1661">
        <f>IF(Skills!X7&lt;&gt;"",1+(Skills!X7/10)*(Z1657/1000)/100,1)</f>
        <v/>
      </c>
      <c r="J1661">
        <f>((Inputs!$B$6*(1+Inputs!$B$7/100))+(((Inputs!$B$12*(1+Inputs!$B$13/100))-(Inputs!$B$12*(1+Inputs!$B$13/100)))+0.25*(Inputs!$B$14-Inputs!$B$14))*(1+Inputs!$B$7/100))*(F1661/100)</f>
        <v/>
      </c>
      <c r="K1661">
        <f>J1661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1661)</f>
        <v/>
      </c>
      <c r="L1661">
        <f>K1661*(MIN(Inputs!$B$22+(F1676-Calc!F22),(Inputs!$B$23+(IF(ArtifactsInput!$M$15,CHOOSE(ArtifactsInput!$N$15+1,25,30,35,40,45,50)/100*(Inputs!$B$11-Inputs!$B$11),0))))/100+(Inputs!$B$23+(IF(ArtifactsInput!$M$15,CHOOSE(ArtifactsInput!$N$15+1,25,30,35,40,45,50)/100*(Inputs!$B$11-Inputs!$B$11),0)))/100)/2</f>
        <v/>
      </c>
      <c r="M1661">
        <f>L1661*(1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1">
        <f>L1661*(1-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1">
        <f>(1-Summary!$B$11)*S1661+Summary!$B$11*U1661</f>
        <v/>
      </c>
      <c r="P1661">
        <f>IF(B1695=0,0,O1661/B1695)</f>
        <v/>
      </c>
      <c r="Q1661">
        <f>IFERROR(1/(IF(Inputs!$B$38="pvp",15,MAX(0.1,Skills!E7-IF(Skills!F7=TRUE,Inputs!$B$32,0)))*(1-IF(AND(ArtifactsInput!$M$27,Inputs!$B$4="Chapter Hunt"),CHOOSE(ArtifactsInput!$N$27+1,20,24,28,32,36,40),0)/100)),0)</f>
        <v/>
      </c>
      <c r="R1661">
        <f>IF(AND(Inputs!$B$38&lt;&gt;"pvp",Inputs!$B$43&gt;0),IF(MAX(0,Inputs!$B$43-B1692)&lt;=0,0,(INT(MAX(0,Inputs!$B$43-B1692)/(IF(Inputs!$B$38="pvp",15,MAX(0.1,Skills!E7-IF(Skills!F7=TRUE,Inputs!$B$32,0)))*(1-IF(AND(ArtifactsInput!$M$27,Inputs!$B$4="Chapter Hunt"),CHOOSE(ArtifactsInput!$N$27+1,20,24,28,32,36,40),0)/100)))+1)),0)</f>
        <v/>
      </c>
      <c r="S1661">
        <f>IF(C1661,(H1661*N1661*IF(AND(Inputs!$B$38&lt;&gt;"pvp",Inputs!$B$43&gt;0),((Skills!G7*((R1661-1)*IF(Skills!H7&gt;0,Skills!I7/Skills!H7,1)+IF(Skills!H7&gt;0,MIN(Skills!I7,MAX(0,MAX(0,Inputs!$B$43-B1692)-((R1661-1)*(IF(Inputs!$B$38="pvp",15,MAX(0.1,Skills!E7-IF(Skills!F7=TRUE,Inputs!$B$32,0)))*(1-IF(AND(ArtifactsInput!$M$27,Inputs!$B$4="Chapter Hunt"),CHOOSE(ArtifactsInput!$N$27+1,20,24,28,32,36,40),0)/100)))))/Skills!H7,1)))/Inputs!$B$43),G1661*Q1661)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1661*(1-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1661*(1-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1">
        <f>IF(C1661,(H1661*N1661*IF(AND(Inputs!$B$38&lt;&gt;"pvp",Inputs!$B$43&gt;0),((Skills!G7*((R1661-1)*IF(Skills!H7&gt;0,Skills!I7/Skills!H7,1)+IF(Skills!H7&gt;0,MIN(Skills!I7,MAX(0,MAX(0,Inputs!$B$43-B1692)-((R1661-1)*(IF(Inputs!$B$38="pvp",15,MAX(0.1,Skills!E7-IF(Skills!F7=TRUE,Inputs!$B$32,0)))*(1-IF(AND(ArtifactsInput!$M$27,Inputs!$B$4="Chapter Hunt"),CHOOSE(ArtifactsInput!$N$27+1,20,24,28,32,36,40),0)/100)))))/Skills!H7,1)))/Inputs!$B$43),G1661*Q1661)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2">
      <c r="A1662">
        <f>Skills!A8</f>
        <v/>
      </c>
      <c r="B1662">
        <f>Skills!B8</f>
        <v/>
      </c>
      <c r="C1662">
        <f>TRUE</f>
        <v/>
      </c>
      <c r="D1662">
        <f>IF(Skills!C8=1,60+Inputs!$B$25+Inputs!$B$29,IF(Skills!C8=2,90+Inputs!$B$26+Inputs!$B$29,IF(Skills!C8=3,120+Inputs!$B$27+Inputs!$B$29,MAX(0,(Inputs!$B$3-100)*3)+Inputs!$B$28+Inputs!$B$29)))</f>
        <v/>
      </c>
      <c r="E1662">
        <f>INDEX(FactorTable!$B$2:$Y$301, MATCH(ROUND(MIN(300,MAX(1,D1662)),0), FactorTable!$A$2:$A$301,0), Skills!M8+1)</f>
        <v/>
      </c>
      <c r="F1662">
        <f>IF(Skills!N8=TRUE,(Skills!L8/10)*(E1662/1000),Skills!L8/10)+Skills!O8</f>
        <v/>
      </c>
      <c r="G1662">
        <f>Calc!G8</f>
        <v/>
      </c>
      <c r="H1662">
        <f>Calc!H8</f>
        <v/>
      </c>
      <c r="I1662">
        <f>IF(Skills!X8&lt;&gt;"",1+(Skills!X8/10)*(Z1657/1000)/100,1)</f>
        <v/>
      </c>
      <c r="J1662">
        <f>((Inputs!$B$6*(1+Inputs!$B$7/100))+(((Inputs!$B$12*(1+Inputs!$B$13/100))-(Inputs!$B$12*(1+Inputs!$B$13/100)))+0.25*(Inputs!$B$14-Inputs!$B$14))*(1+Inputs!$B$7/100))*(F1662/100)</f>
        <v/>
      </c>
      <c r="K1662">
        <f>J1662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1662)</f>
        <v/>
      </c>
      <c r="L1662">
        <f>K1662*(MIN(Inputs!$B$22+(F1676-Calc!F22),(Inputs!$B$23+(IF(ArtifactsInput!$M$15,CHOOSE(ArtifactsInput!$N$15+1,25,30,35,40,45,50)/100*(Inputs!$B$11-Inputs!$B$11),0))))/100+(Inputs!$B$23+(IF(ArtifactsInput!$M$15,CHOOSE(ArtifactsInput!$N$15+1,25,30,35,40,45,50)/100*(Inputs!$B$11-Inputs!$B$11),0)))/100)/2</f>
        <v/>
      </c>
      <c r="M1662">
        <f>L1662*(1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2">
        <f>L1662*(1-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1662*(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2">
        <f>(1-Summary!$B$11)*S1662+Summary!$B$11*U1662</f>
        <v/>
      </c>
      <c r="P1662">
        <f>IF(B1695=0,0,O1662/B1695)</f>
        <v/>
      </c>
      <c r="Q1662">
        <f>IFERROR(1/(IF(Inputs!$B$38="pvp",15,MAX(0.1,Skills!E8-IF(Skills!F8=TRUE,Inputs!$B$32,0)))*(1-IF(AND(ArtifactsInput!$M$27,Inputs!$B$4="Chapter Hunt"),CHOOSE(ArtifactsInput!$N$27+1,20,24,28,32,36,40),0)/100)),0)</f>
        <v/>
      </c>
      <c r="R1662">
        <f>IF(AND(Inputs!$B$38&lt;&gt;"pvp",Inputs!$B$43&gt;0),IF(MAX(0,Inputs!$B$43-B1692)&lt;=0,0,(INT(MAX(0,Inputs!$B$43-B1692)/(IF(Inputs!$B$38="pvp",15,MAX(0.1,Skills!E8-IF(Skills!F8=TRUE,Inputs!$B$32,0)))*(1-IF(AND(ArtifactsInput!$M$27,Inputs!$B$4="Chapter Hunt"),CHOOSE(ArtifactsInput!$N$27+1,20,24,28,32,36,40),0)/100)))+1)),0)</f>
        <v/>
      </c>
      <c r="S1662">
        <f>IF(C1662,(H1662*N1662*IF(AND(Inputs!$B$38&lt;&gt;"pvp",Inputs!$B$43&gt;0),((Skills!G8*((R1662-1)*IF(Skills!H8&gt;0,Skills!I8/Skills!H8,1)+IF(Skills!H8&gt;0,MIN(Skills!I8,MAX(0,MAX(0,Inputs!$B$43-B1692)-((R1662-1)*(IF(Inputs!$B$38="pvp",15,MAX(0.1,Skills!E8-IF(Skills!F8=TRUE,Inputs!$B$32,0)))*(1-IF(AND(ArtifactsInput!$M$27,Inputs!$B$4="Chapter Hunt"),CHOOSE(ArtifactsInput!$N$27+1,20,24,28,32,36,40),0)/100)))))/Skills!H8,1)))/Inputs!$B$43),G1662*Q1662)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1662*(1-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1662*(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1662*(1-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1662*(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2">
        <f>IF(C1662,(H1662*N1662*IF(AND(Inputs!$B$38&lt;&gt;"pvp",Inputs!$B$43&gt;0),((Skills!G8*((R1662-1)*IF(Skills!H8&gt;0,Skills!I8/Skills!H8,1)+IF(Skills!H8&gt;0,MIN(Skills!I8,MAX(0,MAX(0,Inputs!$B$43-B1692)-((R1662-1)*(IF(Inputs!$B$38="pvp",15,MAX(0.1,Skills!E8-IF(Skills!F8=TRUE,Inputs!$B$32,0)))*(1-IF(AND(ArtifactsInput!$M$27,Inputs!$B$4="Chapter Hunt"),CHOOSE(ArtifactsInput!$N$27+1,20,24,28,32,36,40),0)/100)))))/Skills!H8,1)))/Inputs!$B$43),G1662*Q1662)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3">
      <c r="A1663">
        <f>Skills!A9</f>
        <v/>
      </c>
      <c r="B1663">
        <f>Skills!B9</f>
        <v/>
      </c>
      <c r="C1663">
        <f>Inputs!$B$3&gt;=103</f>
        <v/>
      </c>
      <c r="D1663">
        <f>IF(Skills!C9=1,60+Inputs!$B$25+Inputs!$B$29,IF(Skills!C9=2,90+Inputs!$B$26+Inputs!$B$29,IF(Skills!C9=3,120+Inputs!$B$27+Inputs!$B$29,MAX(0,(Inputs!$B$3-100)*3)+Inputs!$B$28+Inputs!$B$29)))</f>
        <v/>
      </c>
      <c r="E1663">
        <f>INDEX(FactorTable!$B$2:$Y$301, MATCH(ROUND(MIN(300,MAX(1,D1663)),0), FactorTable!$A$2:$A$301,0), Skills!M9+1)</f>
        <v/>
      </c>
      <c r="F1663">
        <f>IF(Skills!N9=TRUE,(Skills!L9/10)*(E1663/1000),Skills!L9/10)+Skills!O9</f>
        <v/>
      </c>
      <c r="G1663">
        <f>Calc!G9</f>
        <v/>
      </c>
      <c r="H1663">
        <f>Calc!H9</f>
        <v/>
      </c>
      <c r="I1663">
        <f>IF(Skills!X9&lt;&gt;"",1+(Skills!X9/10)*(Z1657/1000)/100,1)</f>
        <v/>
      </c>
      <c r="J1663">
        <f>((Inputs!$B$6*(1+Inputs!$B$7/100))+(((Inputs!$B$12*(1+Inputs!$B$13/100))-(Inputs!$B$12*(1+Inputs!$B$13/100)))+0.25*(Inputs!$B$14-Inputs!$B$14))*(1+Inputs!$B$7/100))*(F1663/100)</f>
        <v/>
      </c>
      <c r="K1663">
        <f>J1663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1663)</f>
        <v/>
      </c>
      <c r="L1663">
        <f>K1663*(MIN(Inputs!$B$22+(F1676-Calc!F22),(Inputs!$B$23+(IF(ArtifactsInput!$M$15,CHOOSE(ArtifactsInput!$N$15+1,25,30,35,40,45,50)/100*(Inputs!$B$11-Inputs!$B$11),0))))/100+(Inputs!$B$23+(IF(ArtifactsInput!$M$15,CHOOSE(ArtifactsInput!$N$15+1,25,30,35,40,45,50)/100*(Inputs!$B$11-Inputs!$B$11),0)))/100)/2</f>
        <v/>
      </c>
      <c r="M1663">
        <f>L1663*(1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3">
        <f>L1663*(1-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1663*(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3">
        <f>(1-Summary!$B$11)*S1663+Summary!$B$11*U1663</f>
        <v/>
      </c>
      <c r="P1663">
        <f>IF(B1695=0,0,O1663/B1695)</f>
        <v/>
      </c>
      <c r="Q1663">
        <f>IFERROR(1/(IF(Inputs!$B$38="pvp",15,MAX(0.1,Skills!E9-IF(Skills!F7=TRUE,Inputs!$B$32,0)))*(1-IF(AND(ArtifactsInput!$M$27,Inputs!$B$4="Chapter Hunt"),CHOOSE(ArtifactsInput!$N$27+1,20,24,28,32,36,40),0)/100)),0)</f>
        <v/>
      </c>
      <c r="R1663">
        <f>IF(AND(Inputs!$B$38&lt;&gt;"pvp",Inputs!$B$43&gt;0),IF(MAX(0,Inputs!$B$43-B1692)&lt;=0,0,(INT(MAX(0,Inputs!$B$43-B1692)/(IF(Inputs!$B$38="pvp",15,MAX(0.1,Skills!E9-IF(Skills!F7=TRUE,Inputs!$B$32,0)))*(1-IF(AND(ArtifactsInput!$M$27,Inputs!$B$4="Chapter Hunt"),CHOOSE(ArtifactsInput!$N$27+1,20,24,28,32,36,40),0)/100)))+1)),0)</f>
        <v/>
      </c>
      <c r="S1663">
        <f>IF(C1663,(H1663*N1663*IF(AND(Inputs!$B$38&lt;&gt;"pvp",Inputs!$B$43&gt;0),((Skills!G9*((R1663-1)*IF(Skills!H9&gt;0,Skills!I9/Skills!H9,1)+IF(Skills!H9&gt;0,MIN(Skills!I9,MAX(0,MAX(0,Inputs!$B$43-B1692)-((R1663-1)*(IF(Inputs!$B$38="pvp",15,MAX(0.1,Skills!E9-IF(Skills!F7=TRUE,Inputs!$B$32,0)))*(1-IF(AND(ArtifactsInput!$M$27,Inputs!$B$4="Chapter Hunt"),CHOOSE(ArtifactsInput!$N$27+1,20,24,28,32,36,40),0)/100)))))/Skills!H9,1)))/Inputs!$B$43),G1663*Q1663)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1663*(1-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1663*(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1663*(1-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1663*(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3">
        <f>IF(C1663,(H1663*N1663*IF(AND(Inputs!$B$38&lt;&gt;"pvp",Inputs!$B$43&gt;0),((Skills!G9*((R1663-1)*IF(Skills!H9&gt;0,Skills!I9/Skills!H9,1)+IF(Skills!H9&gt;0,MIN(Skills!I9,MAX(0,MAX(0,Inputs!$B$43-B1692)-((R1663-1)*(IF(Inputs!$B$38="pvp",15,MAX(0.1,Skills!E9-IF(Skills!F7=TRUE,Inputs!$B$32,0)))*(1-IF(AND(ArtifactsInput!$M$27,Inputs!$B$4="Chapter Hunt"),CHOOSE(ArtifactsInput!$N$27+1,20,24,28,32,36,40),0)/100)))))/Skills!H9,1)))/Inputs!$B$43),G1663*Q1663)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4">
      <c r="A1664">
        <f>Skills!A10</f>
        <v/>
      </c>
      <c r="B1664">
        <f>Skills!B10</f>
        <v/>
      </c>
      <c r="C1664">
        <f>TRUE</f>
        <v/>
      </c>
      <c r="D1664">
        <f>IF(Skills!C10=1,60+Inputs!$B$25+Inputs!$B$29,IF(Skills!C10=2,90+Inputs!$B$26+Inputs!$B$29,IF(Skills!C10=3,120+Inputs!$B$27+Inputs!$B$29,MAX(0,(Inputs!$B$3-100)*3)+Inputs!$B$28+Inputs!$B$29)))</f>
        <v/>
      </c>
      <c r="E1664">
        <f>INDEX(FactorTable!$B$2:$Y$301, MATCH(ROUND(MIN(300,MAX(1,D1664)),0), FactorTable!$A$2:$A$301,0), Skills!M10+1)</f>
        <v/>
      </c>
      <c r="F1664">
        <f>IF(Skills!N10=TRUE,(Skills!L10/10)*(E1664/1000),Skills!L10/10)+Skills!O10</f>
        <v/>
      </c>
      <c r="G1664">
        <f>Calc!G10</f>
        <v/>
      </c>
      <c r="H1664">
        <f>Calc!H10</f>
        <v/>
      </c>
      <c r="I1664">
        <f>IF(Skills!X10&lt;&gt;"",1+(Skills!X10/10)*(Z1657/1000)/100,1)</f>
        <v/>
      </c>
      <c r="J1664">
        <f>((Inputs!$B$6*(1+Inputs!$B$7/100))+(((Inputs!$B$12*(1+Inputs!$B$13/100))-(Inputs!$B$12*(1+Inputs!$B$13/100)))+0.25*(Inputs!$B$14-Inputs!$B$14))*(1+Inputs!$B$7/100))*(F1664/100)</f>
        <v/>
      </c>
      <c r="K1664">
        <f>J1664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1664)</f>
        <v/>
      </c>
      <c r="L1664">
        <f>K1664*(MIN(Inputs!$B$22+(F1676-Calc!F22),(Inputs!$B$23+(IF(ArtifactsInput!$M$15,CHOOSE(ArtifactsInput!$N$15+1,25,30,35,40,45,50)/100*(Inputs!$B$11-Inputs!$B$11),0))))/100+(Inputs!$B$23+(IF(ArtifactsInput!$M$15,CHOOSE(ArtifactsInput!$N$15+1,25,30,35,40,45,50)/100*(Inputs!$B$11-Inputs!$B$11),0)))/100)/2</f>
        <v/>
      </c>
      <c r="M1664">
        <f>L1664*(1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4">
        <f>L1664*(1-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1664*(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4">
        <f>(1-Summary!$B$11)*S1664+Summary!$B$11*U1664</f>
        <v/>
      </c>
      <c r="P1664">
        <f>IF(B1695=0,0,O1664/B1695)</f>
        <v/>
      </c>
      <c r="Q1664">
        <f>IFERROR(1/(IF(Inputs!$B$38="pvp",15,MAX(0.1,Skills!E10-IF(Skills!F10=TRUE,Inputs!$B$32,0)))*(1-IF(AND(ArtifactsInput!$M$27,Inputs!$B$4="Chapter Hunt"),CHOOSE(ArtifactsInput!$N$27+1,20,24,28,32,36,40),0)/100)),0)</f>
        <v/>
      </c>
      <c r="R1664">
        <f>IF(AND(Inputs!$B$38&lt;&gt;"pvp",Inputs!$B$43&gt;0),IF(MAX(0,Inputs!$B$43-B1692)&lt;=0,0,(INT(MAX(0,Inputs!$B$43-B1692)/(IF(Inputs!$B$38="pvp",15,MAX(0.1,Skills!E10-IF(Skills!F10=TRUE,Inputs!$B$32,0)))*(1-IF(AND(ArtifactsInput!$M$27,Inputs!$B$4="Chapter Hunt"),CHOOSE(ArtifactsInput!$N$27+1,20,24,28,32,36,40),0)/100)))+1)),0)</f>
        <v/>
      </c>
      <c r="S1664">
        <f>IF(C1664,(H1664*N1664*IF(AND(Inputs!$B$38&lt;&gt;"pvp",Inputs!$B$43&gt;0),((Skills!G10*((R1664-1)*IF(Skills!H10&gt;0,Skills!I10/Skills!H10,1)+IF(Skills!H10&gt;0,MIN(Skills!I10,MAX(0,MAX(0,Inputs!$B$43-B1692)-((R1664-1)*(IF(Inputs!$B$38="pvp",15,MAX(0.1,Skills!E10-IF(Skills!F10=TRUE,Inputs!$B$32,0)))*(1-IF(AND(ArtifactsInput!$M$27,Inputs!$B$4="Chapter Hunt"),CHOOSE(ArtifactsInput!$N$27+1,20,24,28,32,36,40),0)/100)))))/Skills!H10,1)))/Inputs!$B$43),G1664*Q1664)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1664*(1-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1664*(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1664*(1-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1664*(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4">
        <f>IF(C1664,(H1664*N1664*IF(AND(Inputs!$B$38&lt;&gt;"pvp",Inputs!$B$43&gt;0),((Skills!G10*((R1664-1)*IF(Skills!H10&gt;0,Skills!I10/Skills!H10,1)+IF(Skills!H10&gt;0,MIN(Skills!I10,MAX(0,MAX(0,Inputs!$B$43-B1692)-((R1664-1)*(IF(Inputs!$B$38="pvp",15,MAX(0.1,Skills!E10-IF(Skills!F10=TRUE,Inputs!$B$32,0)))*(1-IF(AND(ArtifactsInput!$M$27,Inputs!$B$4="Chapter Hunt"),CHOOSE(ArtifactsInput!$N$27+1,20,24,28,32,36,40),0)/100)))))/Skills!H10,1)))/Inputs!$B$43),G1664*Q1664)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5">
      <c r="A1665">
        <f>Skills!A11</f>
        <v/>
      </c>
      <c r="B1665">
        <f>Skills!B11</f>
        <v/>
      </c>
      <c r="C1665">
        <f>TRUE</f>
        <v/>
      </c>
      <c r="D1665">
        <f>IF(Skills!C11=1,60+Inputs!$B$25+Inputs!$B$29,IF(Skills!C11=2,90+Inputs!$B$26+Inputs!$B$29,IF(Skills!C11=3,120+Inputs!$B$27+Inputs!$B$29,MAX(0,(Inputs!$B$3-100)*3)+Inputs!$B$28+Inputs!$B$29)))</f>
        <v/>
      </c>
      <c r="E1665">
        <f>INDEX(FactorTable!$B$2:$Y$301, MATCH(ROUND(MIN(300,MAX(1,D1665)),0), FactorTable!$A$2:$A$301,0), Skills!M11+1)</f>
        <v/>
      </c>
      <c r="F1665">
        <f>IF(Skills!N11=TRUE,(Skills!L11/10)*(E1665/1000),Skills!L11/10)+Skills!O11</f>
        <v/>
      </c>
      <c r="G1665">
        <f>Calc!G11</f>
        <v/>
      </c>
      <c r="H1665">
        <f>Calc!H11</f>
        <v/>
      </c>
      <c r="I1665">
        <f>IF(Skills!X11&lt;&gt;"",1+(Skills!X11/10)*(Z1657/1000)/100,1)</f>
        <v/>
      </c>
      <c r="J1665" t="inlineStr"/>
      <c r="K1665" t="inlineStr"/>
      <c r="L1665" t="inlineStr"/>
      <c r="M1665" t="inlineStr"/>
      <c r="N1665" t="inlineStr"/>
      <c r="O1665">
        <f>(1-Summary!$B$11)*S1665+Summary!$B$11*U1665</f>
        <v/>
      </c>
      <c r="P1665">
        <f>IF(B1695=0,0,O1665/B1695)</f>
        <v/>
      </c>
      <c r="Q1665">
        <f>IFERROR(1/(IF(Inputs!$B$38="pvp",15,MAX(0.1,Skills!E11-IF(Skills!F11=TRUE,Inputs!$B$32,0)))*(1-IF(AND(ArtifactsInput!$M$27,Inputs!$B$4="Chapter Hunt"),CHOOSE(ArtifactsInput!$N$27+1,20,24,28,32,36,40),0)/100)),0)</f>
        <v/>
      </c>
      <c r="R1665" t="n">
        <v>0</v>
      </c>
      <c r="S1665" t="n">
        <v>0</v>
      </c>
      <c r="U1665" t="n">
        <v>0</v>
      </c>
    </row>
    <row r="1666">
      <c r="A1666">
        <f>Skills!A12</f>
        <v/>
      </c>
      <c r="B1666">
        <f>Skills!B12</f>
        <v/>
      </c>
      <c r="C1666">
        <f>TRUE</f>
        <v/>
      </c>
      <c r="D1666">
        <f>IF(Skills!C12=1,60+Inputs!$B$25+Inputs!$B$29,IF(Skills!C12=2,90+Inputs!$B$26+Inputs!$B$29,IF(Skills!C12=3,120+Inputs!$B$27+Inputs!$B$29,MAX(0,(Inputs!$B$3-100)*3)+Inputs!$B$28+Inputs!$B$29)))</f>
        <v/>
      </c>
      <c r="E1666">
        <f>INDEX(FactorTable!$B$2:$Y$301, MATCH(ROUND(MIN(300,MAX(1,D1666)),0), FactorTable!$A$2:$A$301,0), Skills!M12+1)</f>
        <v/>
      </c>
      <c r="F1666">
        <f>IF(Skills!N12=TRUE,(Skills!L12/10)*(E1666/1000),Skills!L12/10)+Skills!O12</f>
        <v/>
      </c>
      <c r="G1666">
        <f>Calc!G12</f>
        <v/>
      </c>
      <c r="H1666">
        <f>Calc!H12</f>
        <v/>
      </c>
      <c r="I1666">
        <f>IF(Skills!X12&lt;&gt;"",1+(Skills!X12/10)*(Z1657/1000)/100,1)</f>
        <v/>
      </c>
      <c r="J1666" t="inlineStr"/>
      <c r="K1666" t="inlineStr"/>
      <c r="L1666" t="inlineStr"/>
      <c r="M1666" t="inlineStr"/>
      <c r="N1666" t="inlineStr"/>
      <c r="O1666">
        <f>(1-Summary!$B$11)*S1666+Summary!$B$11*U1666</f>
        <v/>
      </c>
      <c r="P1666">
        <f>IF(B1695=0,0,O1666/B1695)</f>
        <v/>
      </c>
      <c r="Q1666">
        <f>IFERROR(1/(IF(Inputs!$B$38="pvp",15,MAX(0.1,Skills!E12-IF(Skills!F12=TRUE,Inputs!$B$32,0)))*(1-IF(AND(ArtifactsInput!$M$27,Inputs!$B$4="Chapter Hunt"),CHOOSE(ArtifactsInput!$N$27+1,20,24,28,32,36,40),0)/100)),0)</f>
        <v/>
      </c>
      <c r="R1666" t="n">
        <v>0</v>
      </c>
      <c r="S1666" t="n">
        <v>0</v>
      </c>
      <c r="U1666" t="n">
        <v>0</v>
      </c>
    </row>
    <row r="1667">
      <c r="A1667">
        <f>Skills!A13</f>
        <v/>
      </c>
      <c r="B1667">
        <f>Skills!B13</f>
        <v/>
      </c>
      <c r="C1667">
        <f>Inputs!$B$3&gt;=105</f>
        <v/>
      </c>
      <c r="D1667">
        <f>IF(Skills!C13=1,60+Inputs!$B$25+Inputs!$B$29,IF(Skills!C13=2,90+Inputs!$B$26+Inputs!$B$29,IF(Skills!C13=3,120+Inputs!$B$27+Inputs!$B$29,MAX(0,(Inputs!$B$3-100)*3)+Inputs!$B$28+Inputs!$B$29)))</f>
        <v/>
      </c>
      <c r="E1667">
        <f>INDEX(FactorTable!$B$2:$Y$301, MATCH(ROUND(MIN(300,MAX(1,D1667)),0), FactorTable!$A$2:$A$301,0), Skills!M13+1)</f>
        <v/>
      </c>
      <c r="F1667">
        <f>IF(Skills!N13=TRUE,(Skills!L13/10)*(E1667/1000),Skills!L13/10)+Skills!O13</f>
        <v/>
      </c>
      <c r="G1667">
        <f>Calc!G13</f>
        <v/>
      </c>
      <c r="H1667">
        <f>Calc!H13</f>
        <v/>
      </c>
      <c r="I1667">
        <f>IF(Skills!X13&lt;&gt;"",1+(Skills!X13/10)*(Z1657/1000)/100,1)</f>
        <v/>
      </c>
      <c r="J1667">
        <f>((Inputs!$B$6*(1+Inputs!$B$7/100))+(((Inputs!$B$12*(1+Inputs!$B$13/100))-(Inputs!$B$12*(1+Inputs!$B$13/100)))+0.25*(Inputs!$B$14-Inputs!$B$14))*(1+Inputs!$B$7/100))*(F1667/100)</f>
        <v/>
      </c>
      <c r="K1667">
        <f>J1667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1667)</f>
        <v/>
      </c>
      <c r="L1667">
        <f>K1667*(MIN(Inputs!$B$22+(F1676-Calc!F22),(Inputs!$B$23+(IF(ArtifactsInput!$M$15,CHOOSE(ArtifactsInput!$N$15+1,25,30,35,40,45,50)/100*(Inputs!$B$11-Inputs!$B$11),0))))/100+(Inputs!$B$23+(IF(ArtifactsInput!$M$15,CHOOSE(ArtifactsInput!$N$15+1,25,30,35,40,45,50)/100*(Inputs!$B$11-Inputs!$B$11),0)))/100)/2</f>
        <v/>
      </c>
      <c r="M1667">
        <f>L1667*(1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7">
        <f>L1667*(1-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1667*(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7">
        <f>(1-Summary!$B$11)*S1667+Summary!$B$11*U1667</f>
        <v/>
      </c>
      <c r="P1667">
        <f>IF(B1695=0,0,O1667/B1695)</f>
        <v/>
      </c>
      <c r="Q1667">
        <f>IFERROR(1/(IF(Inputs!$B$38="pvp",15,MAX(0.1,Skills!E13-IF(Skills!F13=TRUE,Inputs!$B$32,0)))*(1-IF(AND(ArtifactsInput!$M$27,Inputs!$B$4="Chapter Hunt"),CHOOSE(ArtifactsInput!$N$27+1,20,24,28,32,36,40),0)/100)),0)</f>
        <v/>
      </c>
      <c r="R1667">
        <f>IF(AND(Inputs!$B$38&lt;&gt;"pvp",Inputs!$B$43&gt;0),IF(MAX(0,Inputs!$B$43-B1692)&lt;=0,0,(INT(MAX(0,Inputs!$B$43-B1692)/(IF(Inputs!$B$38="pvp",15,MAX(0.1,Skills!E13-IF(Skills!F13=TRUE,Inputs!$B$32,0)))*(1-IF(AND(ArtifactsInput!$M$27,Inputs!$B$4="Chapter Hunt"),CHOOSE(ArtifactsInput!$N$27+1,20,24,28,32,36,40),0)/100)))+1)),0)</f>
        <v/>
      </c>
      <c r="S1667">
        <f>IF(C1667,(H1667*N1667*IF(AND(Inputs!$B$38&lt;&gt;"pvp",Inputs!$B$43&gt;0),((Skills!G13*((R1667-1)*IF(Skills!H13&gt;0,Skills!I13/Skills!H13,1)+IF(Skills!H13&gt;0,MIN(Skills!I13,MAX(0,MAX(0,Inputs!$B$43-B1692)-((R1667-1)*(IF(Inputs!$B$38="pvp",15,MAX(0.1,Skills!E13-IF(Skills!F13=TRUE,Inputs!$B$32,0)))*(1-IF(AND(ArtifactsInput!$M$27,Inputs!$B$4="Chapter Hunt"),CHOOSE(ArtifactsInput!$N$27+1,20,24,28,32,36,40),0)/100)))))/Skills!H13,1)))/Inputs!$B$43),G1667*Q1667)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1667*(1-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1667*(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1667*(1-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1667*(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7">
        <f>IF(C1667,(H1667*N1667*IF(AND(Inputs!$B$38&lt;&gt;"pvp",Inputs!$B$43&gt;0),((Skills!G13*((R1667-1)*IF(Skills!H13&gt;0,Skills!I13/Skills!H13,1)+IF(Skills!H13&gt;0,MIN(Skills!I13,MAX(0,MAX(0,Inputs!$B$43-B1692)-((R1667-1)*(IF(Inputs!$B$38="pvp",15,MAX(0.1,Skills!E13-IF(Skills!F13=TRUE,Inputs!$B$32,0)))*(1-IF(AND(ArtifactsInput!$M$27,Inputs!$B$4="Chapter Hunt"),CHOOSE(ArtifactsInput!$N$27+1,20,24,28,32,36,40),0)/100)))))/Skills!H13,1)))/Inputs!$B$43),G1667*Q1667)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8">
      <c r="A1668">
        <f>Skills!A14</f>
        <v/>
      </c>
      <c r="B1668">
        <f>Skills!B14</f>
        <v/>
      </c>
      <c r="C1668">
        <f>Inputs!$B$3&gt;=113</f>
        <v/>
      </c>
      <c r="D1668">
        <f>IF(Skills!C14=1,60+Inputs!$B$25+Inputs!$B$29,IF(Skills!C14=2,90+Inputs!$B$26+Inputs!$B$29,IF(Skills!C14=3,120+Inputs!$B$27+Inputs!$B$29,MAX(0,(Inputs!$B$3-100)*3)+Inputs!$B$28+Inputs!$B$29)))</f>
        <v/>
      </c>
      <c r="E1668">
        <f>INDEX(FactorTable!$B$2:$Y$301, MATCH(ROUND(MIN(300,MAX(1,D1668)),0), FactorTable!$A$2:$A$301,0), Skills!M14+1)</f>
        <v/>
      </c>
      <c r="F1668">
        <f>IF(Skills!N14=TRUE,(Skills!L14/10)*(E1668/1000),Skills!L14/10)+Skills!O14</f>
        <v/>
      </c>
      <c r="G1668">
        <f>Calc!G14</f>
        <v/>
      </c>
      <c r="H1668">
        <f>Calc!H14</f>
        <v/>
      </c>
      <c r="I1668">
        <f>IF(Skills!X14&lt;&gt;"",1+(Skills!X14/10)*(Z1657/1000)/100,1)</f>
        <v/>
      </c>
      <c r="J1668">
        <f>((Inputs!$B$6*(1+Inputs!$B$7/100))+(((Inputs!$B$12*(1+Inputs!$B$13/100))-(Inputs!$B$12*(1+Inputs!$B$13/100)))+0.25*(Inputs!$B$14-Inputs!$B$14))*(1+Inputs!$B$7/100))*(F1668/100)</f>
        <v/>
      </c>
      <c r="K1668">
        <f>J1668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1668)</f>
        <v/>
      </c>
      <c r="L1668">
        <f>K1668*(MIN(Inputs!$B$22+(F1676-Calc!F22),(Inputs!$B$23+(IF(ArtifactsInput!$M$15,CHOOSE(ArtifactsInput!$N$15+1,25,30,35,40,45,50)/100*(Inputs!$B$11-Inputs!$B$11),0))))/100+(Inputs!$B$23+(IF(ArtifactsInput!$M$15,CHOOSE(ArtifactsInput!$N$15+1,25,30,35,40,45,50)/100*(Inputs!$B$11-Inputs!$B$11),0)))/100)/2</f>
        <v/>
      </c>
      <c r="M1668">
        <f>L1668*(1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8">
        <f>L1668*(1-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1668*(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8">
        <f>(1-Summary!$B$11)*S1668+Summary!$B$11*U1668</f>
        <v/>
      </c>
      <c r="P1668">
        <f>IF(B1695=0,0,O1668/B1695)</f>
        <v/>
      </c>
      <c r="Q1668">
        <f>IFERROR(1/(IF(Inputs!$B$38="pvp",15,MAX(0.1,Skills!E14-IF(Skills!F14=TRUE,Inputs!$B$32,0)))*(1-IF(AND(ArtifactsInput!$M$27,Inputs!$B$4="Chapter Hunt"),CHOOSE(ArtifactsInput!$N$27+1,20,24,28,32,36,40),0)/100)),0)</f>
        <v/>
      </c>
      <c r="R1668" t="n">
        <v>0</v>
      </c>
      <c r="S1668">
        <f>IF(C1668,((H1668*B1691)/(1+Skills!H14*H1668*B1691)*N1668)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1668*(1-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1668*(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1668*(1-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1668*(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8">
        <f>IF(C1668,((H1668*B1691)/(1+Skills!H14*H1668*B1691)*N1668)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69">
      <c r="A1669">
        <f>Skills!A15</f>
        <v/>
      </c>
      <c r="B1669">
        <f>Skills!B15</f>
        <v/>
      </c>
      <c r="C1669">
        <f>Inputs!$B$3&gt;=107</f>
        <v/>
      </c>
      <c r="D1669">
        <f>IF(Skills!C15=1,60+Inputs!$B$25+Inputs!$B$29,IF(Skills!C15=2,90+Inputs!$B$26+Inputs!$B$29,IF(Skills!C15=3,120+Inputs!$B$27+Inputs!$B$29,MAX(0,(Inputs!$B$3-100)*3)+Inputs!$B$28+Inputs!$B$29)))</f>
        <v/>
      </c>
      <c r="E1669">
        <f>INDEX(FactorTable!$B$2:$Y$301, MATCH(ROUND(MIN(300,MAX(1,D1669)),0), FactorTable!$A$2:$A$301,0), Skills!M15+1)</f>
        <v/>
      </c>
      <c r="F1669">
        <f>IF(Skills!N15=TRUE,(Skills!L15/10)*(E1669/1000),Skills!L15/10)+Skills!O15</f>
        <v/>
      </c>
      <c r="G1669">
        <f>Calc!G15</f>
        <v/>
      </c>
      <c r="H1669">
        <f>Calc!H15</f>
        <v/>
      </c>
      <c r="I1669">
        <f>IF(Skills!X15&lt;&gt;"",1+(Skills!X15/10)*(Z1657/1000)/100,1)</f>
        <v/>
      </c>
      <c r="J1669">
        <f>((Inputs!$B$6*(1+Inputs!$B$7/100))+(((Inputs!$B$12*(1+Inputs!$B$13/100))-(Inputs!$B$12*(1+Inputs!$B$13/100)))+0.25*(Inputs!$B$14-Inputs!$B$14))*(1+Inputs!$B$7/100))*(F1669/100)</f>
        <v/>
      </c>
      <c r="K1669">
        <f>J1669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1669)</f>
        <v/>
      </c>
      <c r="L1669">
        <f>K1669*(MIN(Inputs!$B$22+(F1676-Calc!F22),(Inputs!$B$23+(IF(ArtifactsInput!$M$15,CHOOSE(ArtifactsInput!$N$15+1,25,30,35,40,45,50)/100*(Inputs!$B$11-Inputs!$B$11),0))))/100+(Inputs!$B$23+(IF(ArtifactsInput!$M$15,CHOOSE(ArtifactsInput!$N$15+1,25,30,35,40,45,50)/100*(Inputs!$B$11-Inputs!$B$11),0)))/100)/2</f>
        <v/>
      </c>
      <c r="M1669">
        <f>L1669*(1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9">
        <f>L1669*(1-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1669*(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9">
        <f>(1-Summary!$B$11)*S1669+Summary!$B$11*U1669</f>
        <v/>
      </c>
      <c r="P1669">
        <f>IF(B1695=0,0,O1669/B1695)</f>
        <v/>
      </c>
      <c r="Q1669">
        <f>IFERROR(1/(IF(Inputs!$B$38="pvp",15,MAX(0.1,Skills!E15-IF(Skills!F15=TRUE,Inputs!$B$32,0)))*(1-IF(AND(ArtifactsInput!$M$27,Inputs!$B$4="Chapter Hunt"),CHOOSE(ArtifactsInput!$N$27+1,20,24,28,32,36,40),0)/100)),0)</f>
        <v/>
      </c>
      <c r="R1669">
        <f>IF(AND(Inputs!$B$38&lt;&gt;"pvp",Inputs!$B$43&gt;0),IF(MAX(0,Inputs!$B$43-B1692)&lt;=0,0,(INT(MAX(0,Inputs!$B$43-B1692)/(IF(Inputs!$B$38="pvp",15,MAX(0.1,Skills!E15-IF(Skills!F15=TRUE,Inputs!$B$32,0)))*(1-IF(AND(ArtifactsInput!$M$27,Inputs!$B$4="Chapter Hunt"),CHOOSE(ArtifactsInput!$N$27+1,20,24,28,32,36,40),0)/100)))+1)),0)</f>
        <v/>
      </c>
      <c r="S1669">
        <f>IF(C1669,(H1669*N1669*IF(AND(Inputs!$B$38&lt;&gt;"pvp",Inputs!$B$43&gt;0),((Skills!G15*((R1669-1)*IF(Skills!H15&gt;0,Skills!I15/Skills!H15,1)+IF(Skills!H15&gt;0,MIN(Skills!I15,MAX(0,MAX(0,Inputs!$B$43-B1692)-((R1669-1)*(IF(Inputs!$B$38="pvp",15,MAX(0.1,Skills!E15-IF(Skills!F15=TRUE,Inputs!$B$32,0)))*(1-IF(AND(ArtifactsInput!$M$27,Inputs!$B$4="Chapter Hunt"),CHOOSE(ArtifactsInput!$N$27+1,20,24,28,32,36,40),0)/100)))))/Skills!H15,1)))/Inputs!$B$43),G1669*Q1669)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1669*(1-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1669*(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1669*(1-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1669*(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69">
        <f>IF(C1669,(H1669*N1669*IF(AND(Inputs!$B$38&lt;&gt;"pvp",Inputs!$B$43&gt;0),((Skills!G15*((R1669-1)*IF(Skills!H15&gt;0,Skills!I15/Skills!H15,1)+IF(Skills!H15&gt;0,MIN(Skills!I15,MAX(0,MAX(0,Inputs!$B$43-B1692)-((R1669-1)*(IF(Inputs!$B$38="pvp",15,MAX(0.1,Skills!E15-IF(Skills!F15=TRUE,Inputs!$B$32,0)))*(1-IF(AND(ArtifactsInput!$M$27,Inputs!$B$4="Chapter Hunt"),CHOOSE(ArtifactsInput!$N$27+1,20,24,28,32,36,40),0)/100)))))/Skills!H15,1)))/Inputs!$B$43),G1669*Q1669)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0">
      <c r="A1670">
        <f>Skills!A16</f>
        <v/>
      </c>
      <c r="B1670">
        <f>Skills!B16</f>
        <v/>
      </c>
      <c r="C1670">
        <f>Inputs!$B$3&gt;=107</f>
        <v/>
      </c>
      <c r="D1670">
        <f>IF(Skills!C16=1,60+Inputs!$B$25+Inputs!$B$29,IF(Skills!C16=2,90+Inputs!$B$26+Inputs!$B$29,IF(Skills!C16=3,120+Inputs!$B$27+Inputs!$B$29,MAX(0,(Inputs!$B$3-100)*3)+Inputs!$B$28+Inputs!$B$29)))</f>
        <v/>
      </c>
      <c r="E1670">
        <f>INDEX(FactorTable!$B$2:$Y$301, MATCH(ROUND(MIN(300,MAX(1,D1670)),0), FactorTable!$A$2:$A$301,0), Skills!M16+1)</f>
        <v/>
      </c>
      <c r="F1670">
        <f>IF(Skills!N16=TRUE,(Skills!L16/10)*(E1670/1000),Skills!L16/10)+Skills!O16</f>
        <v/>
      </c>
      <c r="G1670">
        <f>Calc!G16</f>
        <v/>
      </c>
      <c r="H1670">
        <f>Calc!H16</f>
        <v/>
      </c>
      <c r="I1670">
        <f>IF(Skills!X16&lt;&gt;"",1+(Skills!X16/10)*(Z1657/1000)/100,1)</f>
        <v/>
      </c>
      <c r="J1670">
        <f>((Inputs!$B$6*(1+Inputs!$B$7/100))+(((Inputs!$B$12*(1+Inputs!$B$13/100))-(Inputs!$B$12*(1+Inputs!$B$13/100)))+0.25*(Inputs!$B$14-Inputs!$B$14))*(1+Inputs!$B$7/100))*(F1670/100)</f>
        <v/>
      </c>
      <c r="K1670">
        <f>J1670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1670)</f>
        <v/>
      </c>
      <c r="L1670">
        <f>K1670*(MIN(Inputs!$B$22+(F1676-Calc!F22),(Inputs!$B$23+(IF(ArtifactsInput!$M$15,CHOOSE(ArtifactsInput!$N$15+1,25,30,35,40,45,50)/100*(Inputs!$B$11-Inputs!$B$11),0))))/100+(Inputs!$B$23+(IF(ArtifactsInput!$M$15,CHOOSE(ArtifactsInput!$N$15+1,25,30,35,40,45,50)/100*(Inputs!$B$11-Inputs!$B$11),0)))/100)/2</f>
        <v/>
      </c>
      <c r="M1670">
        <f>L1670*(1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0">
        <f>L1670*(1-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1670*(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0">
        <f>(1-Summary!$B$11)*S1670+Summary!$B$11*U1670</f>
        <v/>
      </c>
      <c r="P1670">
        <f>IF(B1695=0,0,O1670/B1695)</f>
        <v/>
      </c>
      <c r="Q1670">
        <f>IFERROR(1/(IF(Inputs!$B$38="pvp",15,MAX(0.1,Skills!E16-IF(Skills!F16=TRUE,Inputs!$B$32,0)))*(1-IF(AND(ArtifactsInput!$M$27,Inputs!$B$4="Chapter Hunt"),CHOOSE(ArtifactsInput!$N$27+1,20,24,28,32,36,40),0)/100)),0)</f>
        <v/>
      </c>
      <c r="R1670">
        <f>IF(AND(Inputs!$B$38&lt;&gt;"pvp",Inputs!$B$43&gt;0),IF(MAX(0,Inputs!$B$43-B1692)&lt;=0,0,(INT(MAX(0,Inputs!$B$43-B1692)/(IF(Inputs!$B$38="pvp",15,MAX(0.1,Skills!E16-IF(Skills!F16=TRUE,Inputs!$B$32,0)))*(1-IF(AND(ArtifactsInput!$M$27,Inputs!$B$4="Chapter Hunt"),CHOOSE(ArtifactsInput!$N$27+1,20,24,28,32,36,40),0)/100)))+1)),0)</f>
        <v/>
      </c>
      <c r="S1670">
        <f>IF(C1670,(H1670*N1670*IF(AND(Inputs!$B$38&lt;&gt;"pvp",Inputs!$B$43&gt;0),((Skills!G16*((R1670-1)*IF(Skills!H16&gt;0,Skills!I16/Skills!H16,1)+IF(Skills!H16&gt;0,MIN(Skills!I16,MAX(0,MAX(0,Inputs!$B$43-B1692)-((R1670-1)*(IF(Inputs!$B$38="pvp",15,MAX(0.1,Skills!E16-IF(Skills!F16=TRUE,Inputs!$B$32,0)))*(1-IF(AND(ArtifactsInput!$M$27,Inputs!$B$4="Chapter Hunt"),CHOOSE(ArtifactsInput!$N$27+1,20,24,28,32,36,40),0)/100)))))/Skills!H16,1)))/Inputs!$B$43),G1670*Q1670)*(1+IF(Inputs!$B$3&gt;=126,0.05*(B1690+Q1667+(H1668*B1691)/(1+Skills!H14*H1668*B1691)+Q1678)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1670*(1-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1670*(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1670*(1-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1670*(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0">
        <f>IF(C1670,(H1670*N1670*IF(AND(Inputs!$B$38&lt;&gt;"pvp",Inputs!$B$43&gt;0),((Skills!G16*((R1670-1)*IF(Skills!H16&gt;0,Skills!I16/Skills!H16,1)+IF(Skills!H16&gt;0,MIN(Skills!I16,MAX(0,MAX(0,Inputs!$B$43-B1692)-((R1670-1)*(IF(Inputs!$B$38="pvp",15,MAX(0.1,Skills!E16-IF(Skills!F16=TRUE,Inputs!$B$32,0)))*(1-IF(AND(ArtifactsInput!$M$27,Inputs!$B$4="Chapter Hunt"),CHOOSE(ArtifactsInput!$N$27+1,20,24,28,32,36,40),0)/100)))))/Skills!H16,1)))/Inputs!$B$43),G1670*Q1670)*(1+IF(Inputs!$B$3&gt;=126,0.05*(B1690+Q1667+(H1668*B1691)/(1+Skills!H14*H1668*B1691)+Q1678)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1">
      <c r="A1671">
        <f>Skills!A17</f>
        <v/>
      </c>
      <c r="B1671">
        <f>Skills!B17</f>
        <v/>
      </c>
      <c r="C1671">
        <f>TRUE</f>
        <v/>
      </c>
      <c r="D1671">
        <f>IF(Skills!C17=1,60+Inputs!$B$25+Inputs!$B$29,IF(Skills!C17=2,90+Inputs!$B$26+Inputs!$B$29,IF(Skills!C17=3,120+Inputs!$B$27+Inputs!$B$29,MAX(0,(Inputs!$B$3-100)*3)+Inputs!$B$28+Inputs!$B$29)))</f>
        <v/>
      </c>
      <c r="E1671">
        <f>INDEX(FactorTable!$B$2:$Y$301, MATCH(ROUND(MIN(300,MAX(1,D1671)),0), FactorTable!$A$2:$A$301,0), Skills!M17+1)</f>
        <v/>
      </c>
      <c r="F1671">
        <f>IF(Skills!N17=TRUE,(Skills!L17/10)*(E1671/1000),Skills!L17/10)+Skills!O17</f>
        <v/>
      </c>
      <c r="G1671">
        <f>Calc!G17</f>
        <v/>
      </c>
      <c r="H1671">
        <f>Calc!H17</f>
        <v/>
      </c>
      <c r="I1671">
        <f>IF(Skills!X17&lt;&gt;"",1+(Skills!X17/10)*(Z1657/1000)/100,1)</f>
        <v/>
      </c>
      <c r="J1671" t="inlineStr"/>
      <c r="K1671" t="inlineStr"/>
      <c r="L1671" t="inlineStr"/>
      <c r="M1671" t="inlineStr"/>
      <c r="N1671" t="inlineStr"/>
      <c r="O1671">
        <f>(1-Summary!$B$11)*S1671+Summary!$B$11*U1671</f>
        <v/>
      </c>
      <c r="P1671">
        <f>IF(B1695=0,0,O1671/B1695)</f>
        <v/>
      </c>
      <c r="Q1671">
        <f>IFERROR(1/(IF(Inputs!$B$38="pvp",15,MAX(0.1,Skills!E17-IF(Skills!F17=TRUE,Inputs!$B$32,0)))*(1-IF(AND(ArtifactsInput!$M$27,Inputs!$B$4="Chapter Hunt"),CHOOSE(ArtifactsInput!$N$27+1,20,24,28,32,36,40),0)/100)),0)</f>
        <v/>
      </c>
      <c r="R1671">
        <f>IF(AND(Inputs!$B$38&lt;&gt;"pvp",Inputs!$B$43&gt;0),IF(Inputs!$B$43&lt;=0,0,(INT(Inputs!$B$43/(IF(Inputs!$B$38="pvp",15,MAX(0.1,Skills!E17-IF(Skills!F17=TRUE,Inputs!$B$32,0)))*(1-IF(AND(ArtifactsInput!$M$27,Inputs!$B$4="Chapter Hunt"),CHOOSE(ArtifactsInput!$N$27+1,20,24,28,32,36,40),0)/100)))+1)),0)</f>
        <v/>
      </c>
      <c r="S1671" t="n">
        <v>0</v>
      </c>
      <c r="U1671" t="n">
        <v>0</v>
      </c>
    </row>
    <row r="1672">
      <c r="A1672">
        <f>Skills!A18</f>
        <v/>
      </c>
      <c r="B1672">
        <f>Skills!B18</f>
        <v/>
      </c>
      <c r="C1672">
        <f>TRUE</f>
        <v/>
      </c>
      <c r="D1672">
        <f>IF(Skills!C18=1,60+Inputs!$B$25+Inputs!$B$29,IF(Skills!C18=2,90+Inputs!$B$26+Inputs!$B$29,IF(Skills!C18=3,120+Inputs!$B$27+Inputs!$B$29,MAX(0,(Inputs!$B$3-100)*3)+Inputs!$B$28+Inputs!$B$29)))</f>
        <v/>
      </c>
      <c r="E1672">
        <f>INDEX(FactorTable!$B$2:$Y$301, MATCH(ROUND(MIN(300,MAX(1,D1672)),0), FactorTable!$A$2:$A$301,0), Skills!M18+1)</f>
        <v/>
      </c>
      <c r="F1672">
        <f>IF(Skills!N18=TRUE,(Skills!L18/10)*(E1672/1000),Skills!L18/10)+Skills!O18</f>
        <v/>
      </c>
      <c r="G1672">
        <f>Calc!G18</f>
        <v/>
      </c>
      <c r="H1672">
        <f>Calc!H18</f>
        <v/>
      </c>
      <c r="I1672">
        <f>IF(Skills!X18&lt;&gt;"",1+(Skills!X18/10)*(Z1657/1000)/100,1)</f>
        <v/>
      </c>
      <c r="J1672" t="inlineStr"/>
      <c r="K1672" t="inlineStr"/>
      <c r="L1672" t="inlineStr"/>
      <c r="M1672" t="inlineStr"/>
      <c r="N1672" t="inlineStr"/>
      <c r="O1672">
        <f>(1-Summary!$B$11)*S1672+Summary!$B$11*U1672</f>
        <v/>
      </c>
      <c r="P1672">
        <f>IF(B1695=0,0,O1672/B1695)</f>
        <v/>
      </c>
      <c r="Q1672">
        <f>IFERROR(1/(IF(Inputs!$B$38="pvp",15,MAX(0.1,Skills!E18-IF(Skills!F18=TRUE,Inputs!$B$32,0)))*(1-IF(AND(ArtifactsInput!$M$27,Inputs!$B$4="Chapter Hunt"),CHOOSE(ArtifactsInput!$N$27+1,20,24,28,32,36,40),0)/100)),0)</f>
        <v/>
      </c>
      <c r="R1672">
        <f>IF(AND(Inputs!$B$38&lt;&gt;"pvp",Inputs!$B$43&gt;0),IF(Inputs!$B$43&lt;=0,0,(INT(Inputs!$B$43/(IF(Inputs!$B$38="pvp",15,MAX(0.1,Skills!E18-IF(Skills!F18=TRUE,Inputs!$B$32,0)))*(1-IF(AND(ArtifactsInput!$M$27,Inputs!$B$4="Chapter Hunt"),CHOOSE(ArtifactsInput!$N$27+1,20,24,28,32,36,40),0)/100)))+1)),0)</f>
        <v/>
      </c>
      <c r="S1672" t="n">
        <v>0</v>
      </c>
      <c r="U1672" t="n">
        <v>0</v>
      </c>
    </row>
    <row r="1673">
      <c r="A1673">
        <f>Skills!A19</f>
        <v/>
      </c>
      <c r="B1673">
        <f>Skills!B19</f>
        <v/>
      </c>
      <c r="C1673">
        <f>Inputs!$B$3&gt;=110</f>
        <v/>
      </c>
      <c r="D1673">
        <f>IF(Skills!C19=1,60+Inputs!$B$25+Inputs!$B$29,IF(Skills!C19=2,90+Inputs!$B$26+Inputs!$B$29,IF(Skills!C19=3,120+Inputs!$B$27+Inputs!$B$29,MAX(0,(Inputs!$B$3-100)*3)+Inputs!$B$28+Inputs!$B$29)))</f>
        <v/>
      </c>
      <c r="E1673">
        <f>INDEX(FactorTable!$B$2:$Y$301, MATCH(ROUND(MIN(300,MAX(1,D1673)),0), FactorTable!$A$2:$A$301,0), Skills!M19+1)</f>
        <v/>
      </c>
      <c r="F1673">
        <f>IF(Skills!N19=TRUE,(Skills!L19/10)*(E1673/1000),Skills!L19/10)+Skills!O19</f>
        <v/>
      </c>
      <c r="G1673">
        <f>Calc!G19</f>
        <v/>
      </c>
      <c r="H1673">
        <f>Calc!H19</f>
        <v/>
      </c>
      <c r="I1673">
        <f>IF(Skills!X19&lt;&gt;"",1+(Skills!X19/10)*(Z1657/1000)/100,1)</f>
        <v/>
      </c>
      <c r="J1673" t="inlineStr"/>
      <c r="K1673" t="inlineStr"/>
      <c r="L1673" t="inlineStr"/>
      <c r="M1673" t="inlineStr"/>
      <c r="N1673" t="inlineStr"/>
      <c r="O1673">
        <f>(1-Summary!$B$11)*S1673+Summary!$B$11*U1673</f>
        <v/>
      </c>
      <c r="P1673">
        <f>IF(B1695=0,0,O1673/B1695)</f>
        <v/>
      </c>
      <c r="Q1673">
        <f>IFERROR(1/(IF(Inputs!$B$38="pvp",15,MAX(0.1,Skills!E19-IF(Skills!F19=TRUE,Inputs!$B$32,0)))*(1-IF(AND(ArtifactsInput!$M$27,Inputs!$B$4="Chapter Hunt"),CHOOSE(ArtifactsInput!$N$27+1,20,24,28,32,36,40),0)/100)),0)</f>
        <v/>
      </c>
      <c r="R1673">
        <f>IF(AND(Inputs!$B$38&lt;&gt;"pvp",Inputs!$B$43&gt;0),IF(Inputs!$B$43&lt;=0,0,(INT(Inputs!$B$43/(IF(Inputs!$B$38="pvp",15,MAX(0.1,Skills!E19-IF(Skills!F19=TRUE,Inputs!$B$32,0)))*(1-IF(AND(ArtifactsInput!$M$27,Inputs!$B$4="Chapter Hunt"),CHOOSE(ArtifactsInput!$N$27+1,20,24,28,32,36,40),0)/100)))+1)),0)</f>
        <v/>
      </c>
      <c r="S1673" t="n">
        <v>0</v>
      </c>
      <c r="U1673" t="n">
        <v>0</v>
      </c>
    </row>
    <row r="1674">
      <c r="A1674">
        <f>Skills!A20</f>
        <v/>
      </c>
      <c r="B1674">
        <f>Skills!B20</f>
        <v/>
      </c>
      <c r="C1674">
        <f>TRUE</f>
        <v/>
      </c>
      <c r="D1674">
        <f>IF(Skills!C20=1,60+Inputs!$B$25+Inputs!$B$29,IF(Skills!C20=2,90+Inputs!$B$26+Inputs!$B$29,IF(Skills!C20=3,120+Inputs!$B$27+Inputs!$B$29,MAX(0,(Inputs!$B$3-100)*3)+Inputs!$B$28+Inputs!$B$29)))</f>
        <v/>
      </c>
      <c r="E1674">
        <f>INDEX(FactorTable!$B$2:$Y$301, MATCH(ROUND(MIN(300,MAX(1,D1674)),0), FactorTable!$A$2:$A$301,0), Skills!M20+1)</f>
        <v/>
      </c>
      <c r="F1674">
        <f>IF(Skills!N20=TRUE,(Skills!L20/10)*(E1674/1000),Skills!L20/10)+Skills!O20</f>
        <v/>
      </c>
      <c r="G1674">
        <f>Calc!G20</f>
        <v/>
      </c>
      <c r="H1674">
        <f>Calc!H20</f>
        <v/>
      </c>
      <c r="I1674">
        <f>IF(Skills!X20&lt;&gt;"",1+(Skills!X20/10)*(Z1657/1000)/100,1)</f>
        <v/>
      </c>
      <c r="J1674" t="inlineStr"/>
      <c r="K1674" t="inlineStr"/>
      <c r="L1674" t="inlineStr"/>
      <c r="M1674" t="inlineStr"/>
      <c r="N1674" t="inlineStr"/>
      <c r="O1674">
        <f>(1-Summary!$B$11)*S1674+Summary!$B$11*U1674</f>
        <v/>
      </c>
      <c r="P1674">
        <f>IF(B1695=0,0,O1674/B1695)</f>
        <v/>
      </c>
      <c r="Q1674">
        <f>IFERROR(1/(IF(Inputs!$B$38="pvp",15,MAX(0.1,Skills!E20-IF(Skills!F20=TRUE,Inputs!$B$32,0)))*(1-IF(AND(ArtifactsInput!$M$27,Inputs!$B$4="Chapter Hunt"),CHOOSE(ArtifactsInput!$N$27+1,20,24,28,32,36,40),0)/100)),0)</f>
        <v/>
      </c>
      <c r="R1674" t="n">
        <v>0</v>
      </c>
      <c r="S1674" t="n">
        <v>0</v>
      </c>
      <c r="U1674" t="n">
        <v>0</v>
      </c>
    </row>
    <row r="1675">
      <c r="A1675">
        <f>Skills!A21</f>
        <v/>
      </c>
      <c r="B1675">
        <f>Skills!B21</f>
        <v/>
      </c>
      <c r="C1675">
        <f>TRUE</f>
        <v/>
      </c>
      <c r="D1675">
        <f>IF(Skills!C21=1,60+Inputs!$B$25+Inputs!$B$29,IF(Skills!C21=2,90+Inputs!$B$26+Inputs!$B$29,IF(Skills!C21=3,120+Inputs!$B$27+Inputs!$B$29,MAX(0,(Inputs!$B$3-100)*3)+Inputs!$B$28+Inputs!$B$29)))</f>
        <v/>
      </c>
      <c r="E1675">
        <f>INDEX(FactorTable!$B$2:$Y$301, MATCH(ROUND(MIN(300,MAX(1,D1675)),0), FactorTable!$A$2:$A$301,0), Skills!M21+1)</f>
        <v/>
      </c>
      <c r="F1675">
        <f>IF(Skills!N21=TRUE,(Skills!L21/10)*(E1675/1000),Skills!L21/10)+Skills!O21</f>
        <v/>
      </c>
      <c r="G1675">
        <f>Calc!G21</f>
        <v/>
      </c>
      <c r="H1675">
        <f>Calc!H21</f>
        <v/>
      </c>
      <c r="I1675">
        <f>IF(Skills!X21&lt;&gt;"",1+(Skills!X21/10)*(Z1657/1000)/100,1)</f>
        <v/>
      </c>
      <c r="J1675" t="inlineStr"/>
      <c r="K1675" t="inlineStr"/>
      <c r="L1675" t="inlineStr"/>
      <c r="M1675" t="inlineStr"/>
      <c r="N1675" t="inlineStr"/>
      <c r="O1675">
        <f>(1-Summary!$B$11)*S1675+Summary!$B$11*U1675</f>
        <v/>
      </c>
      <c r="P1675">
        <f>IF(B1695=0,0,O1675/B1695)</f>
        <v/>
      </c>
      <c r="Q1675">
        <f>IFERROR(1/(IF(Inputs!$B$38="pvp",15,MAX(0.1,Skills!E21-IF(Skills!F21=TRUE,Inputs!$B$32,0)))*(1-IF(AND(ArtifactsInput!$M$27,Inputs!$B$4="Chapter Hunt"),CHOOSE(ArtifactsInput!$N$27+1,20,24,28,32,36,40),0)/100)),0)</f>
        <v/>
      </c>
      <c r="R1675" t="n">
        <v>0</v>
      </c>
      <c r="S1675" t="n">
        <v>0</v>
      </c>
      <c r="U1675" t="n">
        <v>0</v>
      </c>
    </row>
    <row r="1676">
      <c r="A1676">
        <f>Skills!A22</f>
        <v/>
      </c>
      <c r="B1676">
        <f>Skills!B22</f>
        <v/>
      </c>
      <c r="C1676">
        <f>TRUE</f>
        <v/>
      </c>
      <c r="D1676">
        <f>IF(Skills!C22=1,60+Inputs!$B$25+Inputs!$B$29,IF(Skills!C22=2,90+Inputs!$B$26+Inputs!$B$29,IF(Skills!C22=3,120+Inputs!$B$27+Inputs!$B$29,MAX(0,(Inputs!$B$3-100)*3)+Inputs!$B$28+Inputs!$B$29)))</f>
        <v/>
      </c>
      <c r="E1676">
        <f>INDEX(FactorTable!$B$2:$Y$301, MATCH(ROUND(MIN(300,MAX(1,D1676)),0), FactorTable!$A$2:$A$301,0), Skills!M22+1)</f>
        <v/>
      </c>
      <c r="F1676">
        <f>IF(Skills!N22=TRUE,(Skills!L22/10)*(E1676/1000),Skills!L22/10)+Skills!O22</f>
        <v/>
      </c>
      <c r="G1676">
        <f>Calc!G22</f>
        <v/>
      </c>
      <c r="H1676">
        <f>Calc!H22</f>
        <v/>
      </c>
      <c r="I1676">
        <f>IF(Skills!X22&lt;&gt;"",1+(Skills!X22/10)*(Z1657/1000)/100,1)</f>
        <v/>
      </c>
      <c r="J1676" t="inlineStr"/>
      <c r="K1676" t="inlineStr"/>
      <c r="L1676" t="inlineStr"/>
      <c r="M1676" t="inlineStr"/>
      <c r="N1676" t="inlineStr"/>
      <c r="O1676">
        <f>(1-Summary!$B$11)*S1676+Summary!$B$11*U1676</f>
        <v/>
      </c>
      <c r="P1676">
        <f>IF(B1695=0,0,O1676/B1695)</f>
        <v/>
      </c>
      <c r="Q1676">
        <f>IFERROR(1/(IF(Inputs!$B$38="pvp",15,MAX(0.1,Skills!E22-IF(Skills!F22=TRUE,Inputs!$B$32,0)))*(1-IF(AND(ArtifactsInput!$M$27,Inputs!$B$4="Chapter Hunt"),CHOOSE(ArtifactsInput!$N$27+1,20,24,28,32,36,40),0)/100)),0)</f>
        <v/>
      </c>
      <c r="R1676" t="n">
        <v>0</v>
      </c>
      <c r="S1676" t="n">
        <v>0</v>
      </c>
      <c r="U1676" t="n">
        <v>0</v>
      </c>
    </row>
    <row r="1677">
      <c r="A1677">
        <f>Skills!A23</f>
        <v/>
      </c>
      <c r="B1677">
        <f>Skills!B23</f>
        <v/>
      </c>
      <c r="C1677">
        <f>TRUE</f>
        <v/>
      </c>
      <c r="D1677">
        <f>IF(Skills!C23=1,60+Inputs!$B$25+Inputs!$B$29,IF(Skills!C23=2,90+Inputs!$B$26+Inputs!$B$29,IF(Skills!C23=3,120+Inputs!$B$27+Inputs!$B$29,MAX(0,(Inputs!$B$3-100)*3)+Inputs!$B$28+Inputs!$B$29)))</f>
        <v/>
      </c>
      <c r="E1677">
        <f>INDEX(FactorTable!$B$2:$Y$301, MATCH(ROUND(MIN(300,MAX(1,D1677)),0), FactorTable!$A$2:$A$301,0), Skills!M23+1)</f>
        <v/>
      </c>
      <c r="F1677">
        <f>IF(Skills!N23=TRUE,(Skills!L23/10)*(E1677/1000),Skills!L23/10)+Skills!O23</f>
        <v/>
      </c>
      <c r="G1677">
        <f>Calc!G23</f>
        <v/>
      </c>
      <c r="H1677">
        <f>Calc!H23</f>
        <v/>
      </c>
      <c r="I1677">
        <f>IF(Skills!X23&lt;&gt;"",1+(Skills!X23/10)*(Z1657/1000)/100,1)</f>
        <v/>
      </c>
      <c r="J1677" t="inlineStr"/>
      <c r="K1677" t="inlineStr"/>
      <c r="L1677" t="inlineStr"/>
      <c r="M1677" t="inlineStr"/>
      <c r="N1677" t="inlineStr"/>
      <c r="O1677">
        <f>(1-Summary!$B$11)*S1677+Summary!$B$11*U1677</f>
        <v/>
      </c>
      <c r="P1677">
        <f>IF(B1695=0,0,O1677/B1695)</f>
        <v/>
      </c>
      <c r="Q1677">
        <f>IFERROR(1/(IF(Inputs!$B$38="pvp",15,MAX(0.1,Skills!E23-IF(Skills!F23=TRUE,Inputs!$B$32,0)))*(1-IF(AND(ArtifactsInput!$M$27,Inputs!$B$4="Chapter Hunt"),CHOOSE(ArtifactsInput!$N$27+1,20,24,28,32,36,40),0)/100)),0)</f>
        <v/>
      </c>
      <c r="R1677" t="n">
        <v>0</v>
      </c>
      <c r="S1677" t="n">
        <v>0</v>
      </c>
      <c r="U1677" t="n">
        <v>0</v>
      </c>
    </row>
    <row r="1678">
      <c r="A1678">
        <f>Skills!A24</f>
        <v/>
      </c>
      <c r="B1678">
        <f>Skills!B24</f>
        <v/>
      </c>
      <c r="C1678">
        <f>Inputs!$B$3&gt;=115</f>
        <v/>
      </c>
      <c r="D1678">
        <f>IF(Skills!C24=1,60+Inputs!$B$25+Inputs!$B$29,IF(Skills!C24=2,90+Inputs!$B$26+Inputs!$B$29,IF(Skills!C24=3,120+Inputs!$B$27+Inputs!$B$29,MAX(0,(Inputs!$B$3-100)*3)+Inputs!$B$28+Inputs!$B$29)))</f>
        <v/>
      </c>
      <c r="E1678">
        <f>INDEX(FactorTable!$B$2:$Y$301, MATCH(ROUND(MIN(300,MAX(1,D1678)),0), FactorTable!$A$2:$A$301,0), Skills!M24+1)</f>
        <v/>
      </c>
      <c r="F1678">
        <f>IF(Skills!N24=TRUE,(Skills!L24/10)*(E1678/1000),Skills!L24/10)+Skills!O24</f>
        <v/>
      </c>
      <c r="G1678">
        <f>Calc!G24</f>
        <v/>
      </c>
      <c r="H1678">
        <f>Calc!H24</f>
        <v/>
      </c>
      <c r="I1678">
        <f>IF(Skills!X24&lt;&gt;"",1+(Skills!X24/10)*(Z1657/1000)/100,1)</f>
        <v/>
      </c>
      <c r="J1678">
        <f>((Inputs!$B$6*(1+Inputs!$B$7/100))+(((Inputs!$B$12*(1+Inputs!$B$13/100))-(Inputs!$B$12*(1+Inputs!$B$13/100)))+0.25*(Inputs!$B$14-Inputs!$B$14))*(1+Inputs!$B$7/100))*(F1678/100)</f>
        <v/>
      </c>
      <c r="K1678">
        <f>J1678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1678)</f>
        <v/>
      </c>
      <c r="L1678">
        <f>K1678*(MIN(Inputs!$B$22+(F1676-Calc!F22),(Inputs!$B$23+(IF(ArtifactsInput!$M$15,CHOOSE(ArtifactsInput!$N$15+1,25,30,35,40,45,50)/100*(Inputs!$B$11-Inputs!$B$11),0))))/100+(Inputs!$B$23+(IF(ArtifactsInput!$M$15,CHOOSE(ArtifactsInput!$N$15+1,25,30,35,40,45,50)/100*(Inputs!$B$11-Inputs!$B$11),0)))/100)/2</f>
        <v/>
      </c>
      <c r="M1678">
        <f>L1678*(1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8">
        <f>L1678*(1-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1678*(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8">
        <f>(1-Summary!$B$11)*S1678+Summary!$B$11*U1678</f>
        <v/>
      </c>
      <c r="P1678">
        <f>IF(B1695=0,0,O1678/B1695)</f>
        <v/>
      </c>
      <c r="Q1678">
        <f>IFERROR(1/(IF(Inputs!$B$38="pvp",15,MAX(0.1,Skills!E24-IF(Skills!F24=TRUE,Inputs!$B$32,0)))*(1-IF(AND(ArtifactsInput!$M$27,Inputs!$B$4="Chapter Hunt"),CHOOSE(ArtifactsInput!$N$27+1,20,24,28,32,36,40),0)/100)),0)</f>
        <v/>
      </c>
      <c r="R1678">
        <f>IF(AND(Inputs!$B$38&lt;&gt;"pvp",Inputs!$B$43&gt;0),IF(MAX(0,Inputs!$B$43-B1692)&lt;=0,0,(INT(MAX(0,Inputs!$B$43-B1692)/(IF(Inputs!$B$38="pvp",15,MAX(0.1,Skills!E24-IF(Skills!F24=TRUE,Inputs!$B$32,0)))*(1-IF(AND(ArtifactsInput!$M$27,Inputs!$B$4="Chapter Hunt"),CHOOSE(ArtifactsInput!$N$27+1,20,24,28,32,36,40),0)/100)))+1)),0)</f>
        <v/>
      </c>
      <c r="S1678">
        <f>IF(C1678,(H1678*N1678*IF(AND(Inputs!$B$38&lt;&gt;"pvp",Inputs!$B$43&gt;0),((Skills!G24*((R1678-1)*IF(Skills!H24&gt;0,Skills!I24/Skills!H24,1)+IF(Skills!H24&gt;0,MIN(Skills!I24,MAX(0,MAX(0,Inputs!$B$43-B1692)-((R1678-1)*(IF(Inputs!$B$38="pvp",15,MAX(0.1,Skills!E24-IF(Skills!F24=TRUE,Inputs!$B$32,0)))*(1-IF(AND(ArtifactsInput!$M$27,Inputs!$B$4="Chapter Hunt"),CHOOSE(ArtifactsInput!$N$27+1,20,24,28,32,36,40),0)/100)))))/Skills!H24,1)))/Inputs!$B$43),G1678*Q1678)*(1+IF(Inputs!$B$3&gt;=130,0.2*(Skills!I16/Skills!E15+IF(Inputs!$B$3&gt;=126,0.05*(B1690+Q1667+(H1668*B1691)/(1+Skills!H14*H1668*B1691)+Q1678)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1678*(1-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1678*(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1678*(1-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1678*(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8">
        <f>IF(C1678,(H1678*N1678*IF(AND(Inputs!$B$38&lt;&gt;"pvp",Inputs!$B$43&gt;0),((Skills!G24*((R1678-1)*IF(Skills!H24&gt;0,Skills!I24/Skills!H24,1)+IF(Skills!H24&gt;0,MIN(Skills!I24,MAX(0,MAX(0,Inputs!$B$43-B1692)-((R1678-1)*(IF(Inputs!$B$38="pvp",15,MAX(0.1,Skills!E24-IF(Skills!F24=TRUE,Inputs!$B$32,0)))*(1-IF(AND(ArtifactsInput!$M$27,Inputs!$B$4="Chapter Hunt"),CHOOSE(ArtifactsInput!$N$27+1,20,24,28,32,36,40),0)/100)))))/Skills!H24,1)))/Inputs!$B$43),G1678*Q1678)*(1+IF(Inputs!$B$3&gt;=130,0.2*(Skills!I16/Skills!E15+IF(Inputs!$B$3&gt;=126,0.05*(B1690+Q1667+(H1668*B1691)/(1+Skills!H14*H1668*B1691)+Q1678)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9">
      <c r="A1679">
        <f>Skills!A25</f>
        <v/>
      </c>
      <c r="B1679">
        <f>Skills!B25</f>
        <v/>
      </c>
      <c r="C1679">
        <f>Inputs!$B$3&gt;=117</f>
        <v/>
      </c>
      <c r="D1679">
        <f>IF(Skills!C25=1,60+Inputs!$B$25+Inputs!$B$29,IF(Skills!C25=2,90+Inputs!$B$26+Inputs!$B$29,IF(Skills!C25=3,120+Inputs!$B$27+Inputs!$B$29,MAX(0,(Inputs!$B$3-100)*3)+Inputs!$B$28+Inputs!$B$29)))</f>
        <v/>
      </c>
      <c r="E1679">
        <f>INDEX(FactorTable!$B$2:$Y$301, MATCH(ROUND(MIN(300,MAX(1,D1679)),0), FactorTable!$A$2:$A$301,0), Skills!M25+1)</f>
        <v/>
      </c>
      <c r="F1679">
        <f>IF(Skills!N25=TRUE,(Skills!L25/10)*(E1679/1000),Skills!L25/10)+Skills!O25</f>
        <v/>
      </c>
      <c r="G1679">
        <f>Calc!G25</f>
        <v/>
      </c>
      <c r="H1679">
        <f>Calc!H25</f>
        <v/>
      </c>
      <c r="I1679">
        <f>IF(Skills!X25&lt;&gt;"",1+(Skills!X25/10)*(Z1657/1000)/100,1)</f>
        <v/>
      </c>
      <c r="J1679" t="inlineStr"/>
      <c r="K1679" t="inlineStr"/>
      <c r="L1679" t="inlineStr"/>
      <c r="M1679" t="inlineStr"/>
      <c r="N1679" t="inlineStr"/>
      <c r="O1679">
        <f>(1-Summary!$B$11)*S1679+Summary!$B$11*U1679</f>
        <v/>
      </c>
      <c r="P1679">
        <f>IF(B1695=0,0,O1679/B1695)</f>
        <v/>
      </c>
      <c r="Q1679">
        <f>IFERROR(1/(IF(Inputs!$B$38="pvp",15,MAX(0.1,Skills!E25-IF(Skills!F25=TRUE,Inputs!$B$32,0)))*(1-IF(AND(ArtifactsInput!$M$27,Inputs!$B$4="Chapter Hunt"),CHOOSE(ArtifactsInput!$N$27+1,20,24,28,32,36,40),0)/100)),0)</f>
        <v/>
      </c>
      <c r="R1679" t="n">
        <v>0</v>
      </c>
      <c r="S1679" t="n">
        <v>0</v>
      </c>
      <c r="U1679" t="n">
        <v>0</v>
      </c>
    </row>
    <row r="1680">
      <c r="A1680">
        <f>Skills!A26</f>
        <v/>
      </c>
      <c r="B1680">
        <f>Skills!B26</f>
        <v/>
      </c>
      <c r="C1680">
        <f>Inputs!$B$3&gt;=120</f>
        <v/>
      </c>
      <c r="D1680">
        <f>IF(Skills!C26=1,60+Inputs!$B$25+Inputs!$B$29,IF(Skills!C26=2,90+Inputs!$B$26+Inputs!$B$29,IF(Skills!C26=3,120+Inputs!$B$27+Inputs!$B$29,MAX(0,(Inputs!$B$3-100)*3)+Inputs!$B$28+Inputs!$B$29)))</f>
        <v/>
      </c>
      <c r="E1680">
        <f>INDEX(FactorTable!$B$2:$Y$301, MATCH(ROUND(MIN(300,MAX(1,D1680)),0), FactorTable!$A$2:$A$301,0), Skills!M26+1)</f>
        <v/>
      </c>
      <c r="F1680">
        <f>IF(Skills!N26=TRUE,(Skills!L26/10)*(E1680/1000),Skills!L26/10)+Skills!O26</f>
        <v/>
      </c>
      <c r="G1680">
        <f>Calc!G26</f>
        <v/>
      </c>
      <c r="H1680">
        <f>Calc!H26</f>
        <v/>
      </c>
      <c r="I1680">
        <f>IF(Skills!X26&lt;&gt;"",1+(Skills!X26/10)*(Z1657/1000)/100,1)</f>
        <v/>
      </c>
      <c r="J1680" t="inlineStr"/>
      <c r="K1680" t="inlineStr"/>
      <c r="L1680" t="inlineStr"/>
      <c r="M1680" t="inlineStr"/>
      <c r="N1680" t="inlineStr"/>
      <c r="O1680">
        <f>(1-Summary!$B$11)*S1680+Summary!$B$11*U1680</f>
        <v/>
      </c>
      <c r="P1680">
        <f>IF(B1695=0,0,O1680/B1695)</f>
        <v/>
      </c>
      <c r="Q1680">
        <f>IFERROR(1/(IF(Inputs!$B$38="pvp",15,MAX(0.1,Skills!E26-IF(Skills!F26=TRUE,Inputs!$B$32,0)))*(1-IF(AND(ArtifactsInput!$M$27,Inputs!$B$4="Chapter Hunt"),CHOOSE(ArtifactsInput!$N$27+1,20,24,28,32,36,40),0)/100)),0)</f>
        <v/>
      </c>
      <c r="R1680" t="n">
        <v>0</v>
      </c>
      <c r="S1680" t="n">
        <v>0</v>
      </c>
      <c r="U1680" t="n">
        <v>0</v>
      </c>
    </row>
    <row r="1681">
      <c r="A1681">
        <f>Skills!A27</f>
        <v/>
      </c>
      <c r="B1681">
        <f>Skills!B27</f>
        <v/>
      </c>
      <c r="C1681">
        <f>Inputs!$B$3&gt;=125</f>
        <v/>
      </c>
      <c r="D1681">
        <f>IF(Skills!C27=1,60+Inputs!$B$25+Inputs!$B$29,IF(Skills!C27=2,90+Inputs!$B$26+Inputs!$B$29,IF(Skills!C27=3,120+Inputs!$B$27+Inputs!$B$29,MAX(0,(Inputs!$B$3-100)*3)+Inputs!$B$28+Inputs!$B$29)))</f>
        <v/>
      </c>
      <c r="E1681">
        <f>INDEX(FactorTable!$B$2:$Y$301, MATCH(ROUND(MIN(300,MAX(1,D1681)),0), FactorTable!$A$2:$A$301,0), Skills!M27+1)</f>
        <v/>
      </c>
      <c r="F1681">
        <f>IF(Skills!N27=TRUE,(Skills!L27/10)*(E1681/1000),Skills!L27/10)+Skills!O27</f>
        <v/>
      </c>
      <c r="G1681">
        <f>Calc!G27</f>
        <v/>
      </c>
      <c r="H1681">
        <f>Calc!H27</f>
        <v/>
      </c>
      <c r="I1681">
        <f>IF(Skills!X27&lt;&gt;"",1+(Skills!X27/10)*(Z1657/1000)/100,1)</f>
        <v/>
      </c>
      <c r="J1681" t="inlineStr"/>
      <c r="K1681" t="inlineStr"/>
      <c r="L1681" t="inlineStr"/>
      <c r="M1681" t="inlineStr"/>
      <c r="N1681" t="inlineStr"/>
      <c r="O1681">
        <f>(1-Summary!$B$11)*S1681+Summary!$B$11*U1681</f>
        <v/>
      </c>
      <c r="P1681">
        <f>IF(B1695=0,0,O1681/B1695)</f>
        <v/>
      </c>
      <c r="Q1681">
        <f>IFERROR(1/(IF(Inputs!$B$38="pvp",15,MAX(0.1,Skills!E27-IF(Skills!F27=TRUE,Inputs!$B$32,0)))*(1-IF(AND(ArtifactsInput!$M$27,Inputs!$B$4="Chapter Hunt"),CHOOSE(ArtifactsInput!$N$27+1,20,24,28,32,36,40),0)/100)),0)</f>
        <v/>
      </c>
      <c r="R1681" t="n">
        <v>0</v>
      </c>
      <c r="S1681" t="n">
        <v>0</v>
      </c>
      <c r="U1681" t="n">
        <v>0</v>
      </c>
    </row>
    <row r="1682">
      <c r="A1682">
        <f>Skills!A28</f>
        <v/>
      </c>
      <c r="B1682">
        <f>Skills!B28</f>
        <v/>
      </c>
      <c r="C1682">
        <f>Inputs!$B$3&gt;=118</f>
        <v/>
      </c>
      <c r="D1682">
        <f>IF(Skills!C28=1,60+Inputs!$B$25+Inputs!$B$29,IF(Skills!C28=2,90+Inputs!$B$26+Inputs!$B$29,IF(Skills!C28=3,120+Inputs!$B$27+Inputs!$B$29,MAX(0,(Inputs!$B$3-100)*3)+Inputs!$B$28+Inputs!$B$29)))</f>
        <v/>
      </c>
      <c r="E1682">
        <f>INDEX(FactorTable!$B$2:$Y$301, MATCH(ROUND(MIN(300,MAX(1,D1682)),0), FactorTable!$A$2:$A$301,0), Skills!M28+1)</f>
        <v/>
      </c>
      <c r="F1682">
        <f>IF(Skills!N28=TRUE,(Skills!L28/10)*(E1682/1000),Skills!L28/10)+Skills!O28</f>
        <v/>
      </c>
      <c r="G1682">
        <f>Calc!G28</f>
        <v/>
      </c>
      <c r="H1682">
        <f>Calc!H28</f>
        <v/>
      </c>
      <c r="I1682">
        <f>IF(Skills!X28&lt;&gt;"",1+(Skills!X28/10)*(Z1657/1000)/100,1)</f>
        <v/>
      </c>
      <c r="J1682">
        <f>((Inputs!$B$6*(1+Inputs!$B$7/100))+(((Inputs!$B$12*(1+Inputs!$B$13/100))-(Inputs!$B$12*(1+Inputs!$B$13/100)))+0.25*(Inputs!$B$14-Inputs!$B$14))*(1+Inputs!$B$7/100))*(F1682/100)</f>
        <v/>
      </c>
      <c r="K1682">
        <f>J1682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1677/100)*(1+IF(Inputs!$B$3&gt;=120,F1680,0)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1681*5,0)))/100)*(B1684*B1685*B1686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1682)</f>
        <v/>
      </c>
      <c r="L1682">
        <f>K1682*(MIN(Inputs!$B$22+(F1676-Calc!F22),(Inputs!$B$23+(IF(ArtifactsInput!$M$15,CHOOSE(ArtifactsInput!$N$15+1,25,30,35,40,45,50)/100*(Inputs!$B$11-Inputs!$B$11),0))))/100+(Inputs!$B$23+(IF(ArtifactsInput!$M$15,CHOOSE(ArtifactsInput!$N$15+1,25,30,35,40,45,50)/100*(Inputs!$B$11-Inputs!$B$11),0)))/100)/2</f>
        <v/>
      </c>
      <c r="M1682">
        <f>L1682*(1+(Inputs!$B$10+(F1675-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2">
        <f>L1682*(1-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1682*(MIN((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2">
        <f>(1-Summary!$B$11)*S1682+Summary!$B$11*U1682</f>
        <v/>
      </c>
      <c r="P1682">
        <f>IF(B1695=0,0,O1682/B1695)</f>
        <v/>
      </c>
      <c r="Q1682">
        <f>IFERROR(1/(IF(Inputs!$B$38="pvp",15,MAX(0.1,Skills!E28-IF(Skills!F28=TRUE,Inputs!$B$32,0)))*(1-IF(AND(ArtifactsInput!$M$27,Inputs!$B$4="Chapter Hunt"),CHOOSE(ArtifactsInput!$N$27+1,20,24,28,32,36,40),0)/100)),0)</f>
        <v/>
      </c>
      <c r="R1682">
        <f>IF(AND(Inputs!$B$38&lt;&gt;"pvp",Inputs!$B$43&gt;0),IF(MAX(0,Inputs!$B$43-B1692)&lt;=0,0,(INT(MAX(0,Inputs!$B$43-B1692)/(IF(Inputs!$B$38="pvp",15,MAX(0.1,Skills!E28-IF(Skills!F28=TRUE,Inputs!$B$32,0)))*(1-IF(AND(ArtifactsInput!$M$27,Inputs!$B$4="Chapter Hunt"),CHOOSE(ArtifactsInput!$N$27+1,20,24,28,32,36,40),0)/100)))+1)),0)</f>
        <v/>
      </c>
      <c r="S1682">
        <f>IF(C1682,(H1682*N1682*IF(AND(Inputs!$B$38&lt;&gt;"pvp",Inputs!$B$43&gt;0),((Skills!G28*((R1682-1)*IF(Skills!H28&gt;0,Skills!I28/Skills!H28,1)+IF(Skills!H28&gt;0,MIN(Skills!I28,MAX(0,MAX(0,Inputs!$B$43-B1692)-((R1682-1)*(IF(Inputs!$B$38="pvp",15,MAX(0.1,Skills!E28-IF(Skills!F28=TRUE,Inputs!$B$32,0)))*(1-IF(AND(ArtifactsInput!$M$27,Inputs!$B$4="Chapter Hunt"),CHOOSE(ArtifactsInput!$N$27+1,20,24,28,32,36,40),0)/100)))))/Skills!H28,1)))/Inputs!$B$43),G1682*Q1682)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1682*(1-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1682*(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1682*(1-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1682*(MIN(100,(Inputs!$B$9+(F1674-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2">
        <f>IF(C1682,(H1682*N1682*IF(AND(Inputs!$B$38&lt;&gt;"pvp",Inputs!$B$43&gt;0),((Skills!G28*((R1682-1)*IF(Skills!H28&gt;0,Skills!I28/Skills!H28,1)+IF(Skills!H28&gt;0,MIN(Skills!I28,MAX(0,MAX(0,Inputs!$B$43-B1692)-((R1682-1)*(IF(Inputs!$B$38="pvp",15,MAX(0.1,Skills!E28-IF(Skills!F28=TRUE,Inputs!$B$32,0)))*(1-IF(AND(ArtifactsInput!$M$27,Inputs!$B$4="Chapter Hunt"),CHOOSE(ArtifactsInput!$N$27+1,20,24,28,32,36,40),0)/100)))))/Skills!H28,1)))/Inputs!$B$43),G1682*Q1682)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4">
      <c r="A1684" t="inlineStr">
        <is>
          <t>Burning Magic Multiplier</t>
        </is>
      </c>
      <c r="B1684">
        <f>1+(F1665*Skills!Z11)/100</f>
        <v/>
      </c>
    </row>
    <row r="1685">
      <c r="A1685" t="inlineStr">
        <is>
          <t>Elemental Decrease Multiplier (always-on)</t>
        </is>
      </c>
      <c r="B1685">
        <f>1+(F1666+(IF(AND(ArtifactsInput!$M$35,Inputs!$B$4&lt;&gt;"Chapter Hunt"),CHOOSE(ArtifactsInput!$N$35+1,15,18,21,24,27,30)*(1-EXP(-(0.2*B1688)*5)),0)+IF(AND(ArtifactsInput!$M$22,Inputs!$B$4&lt;&gt;"Chapter Hunt"),CHOOSE(ArtifactsInput!$N$22+1,10,12,14,16,18,20)*((0*(((0.15*B1688*5))^0/1)+1*(((0.15*B1688*5))^1/1)+2*(((0.15*B1688*5))^2/2)+3*(((0.15*B1688*5))^3/6)+4*(((0.15*B1688*5))^4/24)+5*(((0.15*B1688*5))^5/120))/((((0.15*B1688*5))^0/1)+(((0.15*B1688*5))^1/1)+(((0.15*B1688*5))^2/2)+(((0.15*B1688*5))^3/6)+(((0.15*B1688*5))^4/24)+(((0.15*B1688*5))^5/120))),0)))/100</f>
        <v/>
      </c>
    </row>
    <row r="1686">
      <c r="A1686" t="inlineStr">
        <is>
          <t>Average Buff Multiplier (Magic Guard + Meditation + Artifact Attack%, summed; then Infinity)</t>
        </is>
      </c>
      <c r="B1686">
        <f>(1+(F1660*IF(AND(Inputs!$B$38&lt;&gt;"pvp",Inputs!$B$43&gt;0),(((R1660-1)*(Skills!T6*(1+((Inputs!$B$34+(ArtifactsInput!$M$7-ArtifactsInput!$M$7)*CHOOSE(ArtifactsInput!$N$7+1,6,7.2,8.4,9.6,10.8,12)))/100))+MIN((Skills!T6*(1+((Inputs!$B$34+(ArtifactsInput!$M$7-ArtifactsInput!$M$7)*CHOOSE(ArtifactsInput!$N$7+1,6,7.2,8.4,9.6,10.8,12)))/100)),MAX(0,Inputs!$B$43-((R1660-1)*Skills!E6))))/Inputs!$B$43),IF(Inputs!$B$38="pvp",MIN((Skills!T6*(1+((Inputs!$B$34+(ArtifactsInput!$M$7-ArtifactsInput!$M$7)*CHOOSE(ArtifactsInput!$N$7+1,6,7.2,8.4,9.6,10.8,12)))/100)),15)/15,(Skills!T6*(1+((Inputs!$B$34+(ArtifactsInput!$M$7-ArtifactsInput!$M$7)*CHOOSE(ArtifactsInput!$N$7+1,6,7.2,8.4,9.6,10.8,12)))/100))/Skills!E6))+F1671*IF(AND(Inputs!$B$38&lt;&gt;"pvp",Inputs!$B$43&gt;0),(((R1671-1)*(Skills!T17*(1+((Inputs!$B$34+(ArtifactsInput!$M$7-ArtifactsInput!$M$7)*CHOOSE(ArtifactsInput!$N$7+1,6,7.2,8.4,9.6,10.8,12)))/100))+MIN((Skills!T17*(1+((Inputs!$B$34+(ArtifactsInput!$M$7-ArtifactsInput!$M$7)*CHOOSE(ArtifactsInput!$N$7+1,6,7.2,8.4,9.6,10.8,12)))/100)),MAX(0,Inputs!$B$43-((R1671-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1673=TRUE,(1+F1673*IF(AND(Inputs!$B$38&lt;&gt;"pvp",Inputs!$B$43&gt;0),(((R1673-1)*(Skills!T19*(1+((Inputs!$B$34+(ArtifactsInput!$M$7-ArtifactsInput!$M$7)*CHOOSE(ArtifactsInput!$N$7+1,6,7.2,8.4,9.6,10.8,12)))/100))+MIN((Skills!T19*(1+((Inputs!$B$34+(ArtifactsInput!$M$7-ArtifactsInput!$M$7)*CHOOSE(ArtifactsInput!$N$7+1,6,7.2,8.4,9.6,10.8,12)))/100)),MAX(0,Inputs!$B$43-((R1673-1)*Skills!E19))))/Inputs!$B$43),IF(Inputs!$B$38="pvp",MIN((Skills!T19*(1+((Inputs!$B$34+(ArtifactsInput!$M$7-ArtifactsInput!$M$7)*CHOOSE(ArtifactsInput!$N$7+1,6,7.2,8.4,9.6,10.8,12)))/100)),15)/15,(Skills!T19*(1+((Inputs!$B$34+(ArtifactsInput!$M$7-ArtifactsInput!$M$7)*CHOOSE(ArtifactsInput!$N$7+1,6,7.2,8.4,9.6,10.8,12)))/100))/Skills!E19))/100),1)</f>
        <v/>
      </c>
    </row>
    <row r="1687">
      <c r="A1687" t="inlineStr">
        <is>
          <t>Attack Speed Buff Bonus % (Nimble Feet, averaged)</t>
        </is>
      </c>
      <c r="B1687">
        <f>F1672*IF(AND(Inputs!$B$38&lt;&gt;"pvp",Inputs!$B$43&gt;0),(((R1672-1)*(Skills!T18*(1+((Inputs!$B$34+(ArtifactsInput!$M$7-ArtifactsInput!$M$7)*CHOOSE(ArtifactsInput!$N$7+1,6,7.2,8.4,9.6,10.8,12)))/100))+MIN((Skills!T18*(1+((Inputs!$B$34+(ArtifactsInput!$M$7-ArtifactsInput!$M$7)*CHOOSE(ArtifactsInput!$N$7+1,6,7.2,8.4,9.6,10.8,12)))/100)),MAX(0,Inputs!$B$43-((R1672-1)*Skills!E18))))/Inputs!$B$43),IF(Inputs!$B$38="pvp",MIN((Skills!T18*(1+((Inputs!$B$34+(ArtifactsInput!$M$7-ArtifactsInput!$M$7)*CHOOSE(ArtifactsInput!$N$7+1,6,7.2,8.4,9.6,10.8,12)))/100)),15)/15,(Skills!T18*(1+((Inputs!$B$34+(ArtifactsInput!$M$7-ArtifactsInput!$M$7)*CHOOSE(ArtifactsInput!$N$7+1,6,7.2,8.4,9.6,10.8,12)))/100))/Skills!E18))</f>
        <v/>
      </c>
    </row>
    <row r="1688">
      <c r="A1688" t="inlineStr">
        <is>
          <t>Actions Per Second</t>
        </is>
      </c>
      <c r="B1688">
        <f>1+MIN(150,150*(1-(1-(Inputs!$B$11+(ArtifactsInput!$M$15-ArtifactsInput!$M$15)*CHOOSE(ArtifactsInput!$N$15+1,8,9.6,11.2,12.8,14.4,16))/150)*(1-B1687/150)))/100</f>
        <v/>
      </c>
    </row>
    <row r="1689">
      <c r="A1689" t="inlineStr">
        <is>
          <t>Skill + Buff Cast Rate</t>
        </is>
      </c>
      <c r="B1689">
        <f>IF(AND(Inputs!$B$38&lt;&gt;"pvp",Inputs!$B$43&gt;0),SUMPRODUCT((Skills!F2:F28=TRUE)*(C1656:C1682=TRUE)*R1656:R1682)/Inputs!$B$43,SUMPRODUCT((Skills!F2:F28=TRUE)*(C1656:C1682=TRUE)*Q1656:Q1682))</f>
        <v/>
      </c>
    </row>
    <row r="1690">
      <c r="A1690" t="inlineStr">
        <is>
          <t>Basic Attacks Per Second</t>
        </is>
      </c>
      <c r="B1690">
        <f>MAX(0,B1688-B1689)</f>
        <v/>
      </c>
    </row>
    <row r="1691">
      <c r="A1691" t="inlineStr">
        <is>
          <t>Meteor Proc — combined trigger cast rate</t>
        </is>
      </c>
      <c r="B1691">
        <f>IF(AND(Inputs!$B$38&lt;&gt;"pvp",Inputs!$B$43&gt;0),SUMPRODUCT((Skills!V2:V28=TRUE)*(C1656:C1682=TRUE)*R1656:R1682*Skills!W2:W28)/Inputs!$B$43,SUMPRODUCT((Skills!V2:V28=TRUE)*(C1656:C1682=TRUE)*Q1656:Q1682*Skills!W2:W28))+B1690</f>
        <v/>
      </c>
    </row>
    <row r="1692">
      <c r="A1692" t="inlineStr">
        <is>
          <t>Buff-Casting Startup Delay (s, fixed-duration only)</t>
        </is>
      </c>
      <c r="B1692">
        <f>IF(AND(Inputs!$B$38&lt;&gt;"pvp",Inputs!$B$43&gt;0),SUMPRODUCT((Skills!T2:T28&gt;0)*(Skills!F2:F28=TRUE)*(C1656:C1682=TRUE))/B1688,0)</f>
        <v/>
      </c>
    </row>
    <row r="1693">
      <c r="A1693" t="inlineStr">
        <is>
          <t>Boss-Only Total DPS (this block's swept value)</t>
        </is>
      </c>
      <c r="B1693">
        <f>SUM(S1656:S1682)</f>
        <v/>
      </c>
    </row>
    <row r="1694">
      <c r="A1694" t="inlineStr">
        <is>
          <t>Normal-Only Total DPS (this block's swept value)</t>
        </is>
      </c>
      <c r="B1694">
        <f>SUM(U1656:U1682)</f>
        <v/>
      </c>
    </row>
    <row r="1695">
      <c r="A1695" s="6" t="inlineStr">
        <is>
          <t>TOTAL DPS</t>
        </is>
      </c>
      <c r="B1695" s="6">
        <f>SUM(O1656:O1682)</f>
        <v/>
      </c>
    </row>
    <row r="1698">
      <c r="A1698" s="6" t="inlineStr">
        <is>
          <t>Stat: Pink Bean's Giant Rib (Equip)</t>
        </is>
      </c>
    </row>
    <row r="1699">
      <c r="A1699" s="5" t="inlineStr">
        <is>
          <t>Key</t>
        </is>
      </c>
      <c r="B1699" s="5" t="inlineStr">
        <is>
          <t>Name</t>
        </is>
      </c>
      <c r="C1699" s="5" t="inlineStr">
        <is>
          <t>Unlocked</t>
        </is>
      </c>
      <c r="D1699" s="5" t="inlineStr">
        <is>
          <t>InputLevel</t>
        </is>
      </c>
      <c r="E1699" s="5" t="inlineStr">
        <is>
          <t>Factor</t>
        </is>
      </c>
      <c r="F1699" s="5" t="inlineStr">
        <is>
          <t>CoefficientPercent</t>
        </is>
      </c>
      <c r="G1699" s="5" t="inlineStr">
        <is>
          <t>EffectiveHits</t>
        </is>
      </c>
      <c r="H1699" s="5" t="inlineStr">
        <is>
          <t>ProcProbability</t>
        </is>
      </c>
      <c r="I1699" s="5" t="inlineStr">
        <is>
          <t>MapleHeroMultiplier</t>
        </is>
      </c>
      <c r="J1699" s="5" t="inlineStr">
        <is>
          <t>BaseDamage</t>
        </is>
      </c>
      <c r="K1699" s="5" t="inlineStr">
        <is>
          <t>BaseHitDamage</t>
        </is>
      </c>
      <c r="L1699" s="5" t="inlineStr">
        <is>
          <t>NonCritAvg</t>
        </is>
      </c>
      <c r="M1699" s="5" t="inlineStr">
        <is>
          <t>CritAvg</t>
        </is>
      </c>
      <c r="N1699" s="5" t="inlineStr">
        <is>
          <t>ExpectedDamage(perHit)</t>
        </is>
      </c>
      <c r="O1699" s="5" t="inlineStr">
        <is>
          <t>DPS</t>
        </is>
      </c>
      <c r="P1699" s="5" t="inlineStr">
        <is>
          <t>% of Total</t>
        </is>
      </c>
      <c r="R1699" t="inlineStr">
        <is>
          <t>helpers</t>
        </is>
      </c>
    </row>
    <row r="1700">
      <c r="A1700">
        <f>Skills!A2</f>
        <v/>
      </c>
      <c r="B1700">
        <f>Skills!B2</f>
        <v/>
      </c>
      <c r="C1700">
        <f>TRUE</f>
        <v/>
      </c>
      <c r="D1700" t="inlineStr"/>
      <c r="E1700" t="inlineStr"/>
      <c r="F1700">
        <f>T1702+Skills!O2</f>
        <v/>
      </c>
      <c r="G1700">
        <f>Calc!G2</f>
        <v/>
      </c>
      <c r="H1700">
        <f>Calc!H2</f>
        <v/>
      </c>
      <c r="I1700">
        <f>IF(Skills!X2&lt;&gt;"",1+(Skills!X2/10)*(Z1701/1000)/100,1)</f>
        <v/>
      </c>
      <c r="J1700">
        <f>((Inputs!$B$6*(1+Inputs!$B$7/100))+(((Inputs!$B$12*(1+Inputs!$B$13/100))-(Inputs!$B$12*(1+Inputs!$B$13/100)))+0.25*(Inputs!$B$14-Inputs!$B$14))*(1+Inputs!$B$7/100))*(F1700/100)</f>
        <v/>
      </c>
      <c r="K1700">
        <f>J1700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1700)</f>
        <v/>
      </c>
      <c r="L1700">
        <f>K1700*(MIN(Inputs!$B$22+(F1720-Calc!F22),(Inputs!$B$23+(IF(ArtifactsInput!$M$15,CHOOSE(ArtifactsInput!$N$15+1,25,30,35,40,45,50)/100*(Inputs!$B$11-Inputs!$B$11),0))))/100+(Inputs!$B$23+(IF(ArtifactsInput!$M$15,CHOOSE(ArtifactsInput!$N$15+1,25,30,35,40,45,50)/100*(Inputs!$B$11-Inputs!$B$11),0)))/100)/2</f>
        <v/>
      </c>
      <c r="M1700">
        <f>L1700*(1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0">
        <f>L1700*(1-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1700*(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0">
        <f>(1-Summary!$B$11)*S1700+Summary!$B$11*U1700</f>
        <v/>
      </c>
      <c r="P1700">
        <f>IF(B1739=0,0,O1700/B1739)</f>
        <v/>
      </c>
      <c r="Q1700">
        <f>IFERROR(1/(IF(Inputs!$B$38="pvp",15,MAX(0.1,Skills!E2-IF(Skills!F2=TRUE,Inputs!$B$32,0)))*(1-IF(AND(ArtifactsInput!$M$27,Inputs!$B$4="Chapter Hunt"),CHOOSE(ArtifactsInput!$N$27+1,20,24,28,32,36,40),0)/100)),0)</f>
        <v/>
      </c>
      <c r="R1700" t="n">
        <v>0</v>
      </c>
      <c r="S1700">
        <f>(Skills!G2*N1700*B1734)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1700*(1-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1700*(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1700*(1-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1700*(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700">
        <f>MAX(0,(Inputs!$B$3-100)*3)+Inputs!$B$28+Inputs!$B$29</f>
        <v/>
      </c>
      <c r="U1700">
        <f>(Skills!G2*N1700*B1734)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700">
        <f>MAX(0,(Inputs!$B$3-100)*3)+Inputs!$B$28+Inputs!$B$29</f>
        <v/>
      </c>
    </row>
    <row r="1701">
      <c r="A1701">
        <f>Skills!A3</f>
        <v/>
      </c>
      <c r="B1701">
        <f>Skills!B3</f>
        <v/>
      </c>
      <c r="C1701">
        <f>TRUE</f>
        <v/>
      </c>
      <c r="D1701">
        <f>IF(Skills!C3=1,60+Inputs!$B$25+Inputs!$B$29,IF(Skills!C3=2,90+Inputs!$B$26+Inputs!$B$29,IF(Skills!C3=3,120+Inputs!$B$27+Inputs!$B$29,MAX(0,(Inputs!$B$3-100)*3)+Inputs!$B$28+Inputs!$B$29)))</f>
        <v/>
      </c>
      <c r="E1701">
        <f>INDEX(FactorTable!$B$2:$Y$301, MATCH(ROUND(MIN(300,MAX(1,D1701)),0), FactorTable!$A$2:$A$301,0), Skills!M3+1)</f>
        <v/>
      </c>
      <c r="F1701">
        <f>IF(Skills!N3=TRUE,(Skills!L3/10)*(E1701/1000),Skills!L3/10)+Skills!O3</f>
        <v/>
      </c>
      <c r="G1701">
        <f>Calc!G3</f>
        <v/>
      </c>
      <c r="H1701">
        <f>Calc!H3</f>
        <v/>
      </c>
      <c r="I1701">
        <f>IF(Skills!X3&lt;&gt;"",1+(Skills!X3/10)*(Z1701/1000)/100,1)</f>
        <v/>
      </c>
      <c r="J1701">
        <f>((Inputs!$B$6*(1+Inputs!$B$7/100))+(((Inputs!$B$12*(1+Inputs!$B$13/100))-(Inputs!$B$12*(1+Inputs!$B$13/100)))+0.25*(Inputs!$B$14-Inputs!$B$14))*(1+Inputs!$B$7/100))*(F1701/100)</f>
        <v/>
      </c>
      <c r="K1701">
        <f>J1701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1701)</f>
        <v/>
      </c>
      <c r="L1701">
        <f>K1701*(MIN(Inputs!$B$22+(F1720-Calc!F22),(Inputs!$B$23+(IF(ArtifactsInput!$M$15,CHOOSE(ArtifactsInput!$N$15+1,25,30,35,40,45,50)/100*(Inputs!$B$11-Inputs!$B$11),0))))/100+(Inputs!$B$23+(IF(ArtifactsInput!$M$15,CHOOSE(ArtifactsInput!$N$15+1,25,30,35,40,45,50)/100*(Inputs!$B$11-Inputs!$B$11),0)))/100)/2</f>
        <v/>
      </c>
      <c r="M1701">
        <f>L1701*(1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1">
        <f>L1701*(1-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1">
        <f>(1-Summary!$B$11)*S1701+Summary!$B$11*U1701</f>
        <v/>
      </c>
      <c r="P1701">
        <f>IF(B1739=0,0,O1701/B1739)</f>
        <v/>
      </c>
      <c r="Q1701">
        <f>IFERROR(1/(IF(Inputs!$B$38="pvp",15,MAX(0.1,Skills!E3-IF(Skills!F3=TRUE,Inputs!$B$32,0)))*(1-IF(AND(ArtifactsInput!$M$27,Inputs!$B$4="Chapter Hunt"),CHOOSE(ArtifactsInput!$N$27+1,20,24,28,32,36,40),0)/100)),0)</f>
        <v/>
      </c>
      <c r="R1701">
        <f>IF(AND(Inputs!$B$38&lt;&gt;"pvp",Inputs!$B$43&gt;0),IF(MAX(0,Inputs!$B$43-B1736)&lt;=0,0,(INT(MAX(0,Inputs!$B$43-B1736)/(IF(Inputs!$B$38="pvp",15,MAX(0.1,Skills!E3-IF(Skills!F3=TRUE,Inputs!$B$32,0)))*(1-IF(AND(ArtifactsInput!$M$27,Inputs!$B$4="Chapter Hunt"),CHOOSE(ArtifactsInput!$N$27+1,20,24,28,32,36,40),0)/100)))+1)),0)</f>
        <v/>
      </c>
      <c r="S1701">
        <f>IF(C1701,(H1701*N1701*IF(AND(Inputs!$B$38&lt;&gt;"pvp",Inputs!$B$43&gt;0),((Skills!G3*((R1701-1)*IF(Skills!H3&gt;0,Skills!I3/Skills!H3,1)+IF(Skills!H3&gt;0,MIN(Skills!I3,MAX(0,MAX(0,Inputs!$B$43-B1736)-((R1701-1)*(IF(Inputs!$B$38="pvp",15,MAX(0.1,Skills!E3-IF(Skills!F3=TRUE,Inputs!$B$32,0)))*(1-IF(AND(ArtifactsInput!$M$27,Inputs!$B$4="Chapter Hunt"),CHOOSE(ArtifactsInput!$N$27+1,20,24,28,32,36,40),0)/100)))))/Skills!H3,1)))/Inputs!$B$43),G1701*Q1701)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1701*(1-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1701*(1-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01">
        <f>INDEX(FactorTable!$B$2:$Y$301, MATCH(ROUND(MIN(300,MAX(1,T1700)),0), FactorTable!$A$2:$A$301,0), 22)</f>
        <v/>
      </c>
      <c r="U1701">
        <f>IF(C1701,(H1701*N1701*IF(AND(Inputs!$B$38&lt;&gt;"pvp",Inputs!$B$43&gt;0),((Skills!G3*((R1701-1)*IF(Skills!H3&gt;0,Skills!I3/Skills!H3,1)+IF(Skills!H3&gt;0,MIN(Skills!I3,MAX(0,MAX(0,Inputs!$B$43-B1736)-((R1701-1)*(IF(Inputs!$B$38="pvp",15,MAX(0.1,Skills!E3-IF(Skills!F3=TRUE,Inputs!$B$32,0)))*(1-IF(AND(ArtifactsInput!$M$27,Inputs!$B$4="Chapter Hunt"),CHOOSE(ArtifactsInput!$N$27+1,20,24,28,32,36,40),0)/100)))))/Skills!H3,1)))/Inputs!$B$43),G1701*Q1701)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701">
        <f>INDEX(FactorTable!$B$2:$Y$301, MATCH(ROUND(MIN(300,MAX(1,Z1700)),0), FactorTable!$A$2:$A$301,0), 24)</f>
        <v/>
      </c>
    </row>
    <row r="1702">
      <c r="A1702">
        <f>Skills!A4</f>
        <v/>
      </c>
      <c r="B1702">
        <f>Skills!B4</f>
        <v/>
      </c>
      <c r="C1702">
        <f>TRUE</f>
        <v/>
      </c>
      <c r="D1702">
        <f>IF(Skills!C4=1,60+Inputs!$B$25+Inputs!$B$29,IF(Skills!C4=2,90+Inputs!$B$26+Inputs!$B$29,IF(Skills!C4=3,120+Inputs!$B$27+Inputs!$B$29,MAX(0,(Inputs!$B$3-100)*3)+Inputs!$B$28+Inputs!$B$29)))</f>
        <v/>
      </c>
      <c r="E1702">
        <f>INDEX(FactorTable!$B$2:$Y$301, MATCH(ROUND(MIN(300,MAX(1,D1702)),0), FactorTable!$A$2:$A$301,0), Skills!M4+1)</f>
        <v/>
      </c>
      <c r="F1702">
        <f>IF(Skills!N4=TRUE,(Skills!L4/10)*(E1702/1000),Skills!L4/10)+Skills!O4</f>
        <v/>
      </c>
      <c r="G1702">
        <f>Calc!G4</f>
        <v/>
      </c>
      <c r="H1702">
        <f>Calc!H4</f>
        <v/>
      </c>
      <c r="I1702">
        <f>IF(Skills!X4&lt;&gt;"",1+(Skills!X4/10)*(Z1701/1000)/100,1)</f>
        <v/>
      </c>
      <c r="J1702">
        <f>((Inputs!$B$6*(1+Inputs!$B$7/100))+(((Inputs!$B$12*(1+Inputs!$B$13/100))-(Inputs!$B$12*(1+Inputs!$B$13/100)))+0.25*(Inputs!$B$14-Inputs!$B$14))*(1+Inputs!$B$7/100))*(F1702/100)</f>
        <v/>
      </c>
      <c r="K1702">
        <f>J1702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1702)</f>
        <v/>
      </c>
      <c r="L1702">
        <f>K1702*(MIN(Inputs!$B$22+(F1720-Calc!F22),(Inputs!$B$23+(IF(ArtifactsInput!$M$15,CHOOSE(ArtifactsInput!$N$15+1,25,30,35,40,45,50)/100*(Inputs!$B$11-Inputs!$B$11),0))))/100+(Inputs!$B$23+(IF(ArtifactsInput!$M$15,CHOOSE(ArtifactsInput!$N$15+1,25,30,35,40,45,50)/100*(Inputs!$B$11-Inputs!$B$11),0)))/100)/2</f>
        <v/>
      </c>
      <c r="M1702">
        <f>L1702*(1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2">
        <f>L1702*(1-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1702*(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2">
        <f>(1-Summary!$B$11)*S1702+Summary!$B$11*U1702</f>
        <v/>
      </c>
      <c r="P1702">
        <f>IF(B1739=0,0,O1702/B1739)</f>
        <v/>
      </c>
      <c r="Q1702">
        <f>IFERROR(1/(IF(Inputs!$B$38="pvp",15,MAX(0.1,Skills!E4-IF(Skills!F4=TRUE,Inputs!$B$32,0)))*(1-IF(AND(ArtifactsInput!$M$27,Inputs!$B$4="Chapter Hunt"),CHOOSE(ArtifactsInput!$N$27+1,20,24,28,32,36,40),0)/100)),0)</f>
        <v/>
      </c>
      <c r="R1702">
        <f>IF(AND(Inputs!$B$38&lt;&gt;"pvp",Inputs!$B$43&gt;0),IF(MAX(0,Inputs!$B$43-B1736)&lt;=0,0,(INT(MAX(0,Inputs!$B$43-B1736)/(IF(Inputs!$B$38="pvp",15,MAX(0.1,Skills!E4-IF(Skills!F4=TRUE,Inputs!$B$32,0)))*(1-IF(AND(ArtifactsInput!$M$27,Inputs!$B$4="Chapter Hunt"),CHOOSE(ArtifactsInput!$N$27+1,20,24,28,32,36,40),0)/100)))+1)),0)</f>
        <v/>
      </c>
      <c r="S1702">
        <f>IF(C1702,(H1702*N1702*IF(AND(Inputs!$B$38&lt;&gt;"pvp",Inputs!$B$43&gt;0),((Skills!G4*((R1702-1)*IF(Skills!H4&gt;0,Skills!I4/Skills!H4,1)+IF(Skills!H4&gt;0,MIN(Skills!I4,MAX(0,MAX(0,Inputs!$B$43-B1736)-((R1702-1)*(IF(Inputs!$B$38="pvp",15,MAX(0.1,Skills!E4-IF(Skills!F4=TRUE,Inputs!$B$32,0)))*(1-IF(AND(ArtifactsInput!$M$27,Inputs!$B$4="Chapter Hunt"),CHOOSE(ArtifactsInput!$N$27+1,20,24,28,32,36,40),0)/100)))))/Skills!H4,1)))/Inputs!$B$43),G1702*Q1702)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1702*(1-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1702*(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1702*(1-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1702*(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02">
        <f>290*T1701/1000</f>
        <v/>
      </c>
      <c r="U1702">
        <f>IF(C1702,(H1702*N1702*IF(AND(Inputs!$B$38&lt;&gt;"pvp",Inputs!$B$43&gt;0),((Skills!G4*((R1702-1)*IF(Skills!H4&gt;0,Skills!I4/Skills!H4,1)+IF(Skills!H4&gt;0,MIN(Skills!I4,MAX(0,MAX(0,Inputs!$B$43-B1736)-((R1702-1)*(IF(Inputs!$B$38="pvp",15,MAX(0.1,Skills!E4-IF(Skills!F4=TRUE,Inputs!$B$32,0)))*(1-IF(AND(ArtifactsInput!$M$27,Inputs!$B$4="Chapter Hunt"),CHOOSE(ArtifactsInput!$N$27+1,20,24,28,32,36,40),0)/100)))))/Skills!H4,1)))/Inputs!$B$43),G1702*Q1702)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3">
      <c r="A1703">
        <f>Skills!A5</f>
        <v/>
      </c>
      <c r="B1703">
        <f>Skills!B5</f>
        <v/>
      </c>
      <c r="C1703">
        <f>TRUE</f>
        <v/>
      </c>
      <c r="D1703">
        <f>IF(Skills!C5=1,60+Inputs!$B$25+Inputs!$B$29,IF(Skills!C5=2,90+Inputs!$B$26+Inputs!$B$29,IF(Skills!C5=3,120+Inputs!$B$27+Inputs!$B$29,MAX(0,(Inputs!$B$3-100)*3)+Inputs!$B$28+Inputs!$B$29)))</f>
        <v/>
      </c>
      <c r="E1703">
        <f>INDEX(FactorTable!$B$2:$Y$301, MATCH(ROUND(MIN(300,MAX(1,D1703)),0), FactorTable!$A$2:$A$301,0), Skills!M5+1)</f>
        <v/>
      </c>
      <c r="F1703">
        <f>IF(Skills!N5=TRUE,(Skills!L5/10)*(E1703/1000),Skills!L5/10)+Skills!O5</f>
        <v/>
      </c>
      <c r="G1703">
        <f>Calc!G5</f>
        <v/>
      </c>
      <c r="H1703">
        <f>Calc!H5</f>
        <v/>
      </c>
      <c r="I1703">
        <f>IF(Skills!X5&lt;&gt;"",1+(Skills!X5/10)*(Z1701/1000)/100,1)</f>
        <v/>
      </c>
      <c r="J1703">
        <f>((Inputs!$B$6*(1+Inputs!$B$7/100))+(((Inputs!$B$12*(1+Inputs!$B$13/100))-(Inputs!$B$12*(1+Inputs!$B$13/100)))+0.25*(Inputs!$B$14-Inputs!$B$14))*(1+Inputs!$B$7/100))*(F1703/100)</f>
        <v/>
      </c>
      <c r="K1703">
        <f>J1703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1703)</f>
        <v/>
      </c>
      <c r="L1703">
        <f>K1703*(MIN(Inputs!$B$22+(F1720-Calc!F22),(Inputs!$B$23+(IF(ArtifactsInput!$M$15,CHOOSE(ArtifactsInput!$N$15+1,25,30,35,40,45,50)/100*(Inputs!$B$11-Inputs!$B$11),0))))/100+(Inputs!$B$23+(IF(ArtifactsInput!$M$15,CHOOSE(ArtifactsInput!$N$15+1,25,30,35,40,45,50)/100*(Inputs!$B$11-Inputs!$B$11),0)))/100)/2</f>
        <v/>
      </c>
      <c r="M1703">
        <f>L1703*(1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3">
        <f>L1703*(1-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1703*(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3">
        <f>(1-Summary!$B$11)*S1703+Summary!$B$11*U1703</f>
        <v/>
      </c>
      <c r="P1703">
        <f>IF(B1739=0,0,O1703/B1739)</f>
        <v/>
      </c>
      <c r="Q1703">
        <f>IFERROR(1/(IF(Inputs!$B$38="pvp",15,MAX(0.1,Skills!E5-IF(Skills!F5=TRUE,Inputs!$B$32,0)))*(1-IF(AND(ArtifactsInput!$M$27,Inputs!$B$4="Chapter Hunt"),CHOOSE(ArtifactsInput!$N$27+1,20,24,28,32,36,40),0)/100)),0)</f>
        <v/>
      </c>
      <c r="R1703">
        <f>IF(AND(Inputs!$B$38&lt;&gt;"pvp",Inputs!$B$43&gt;0),IF(MAX(0,Inputs!$B$43-B1736)&lt;=0,0,(INT(MAX(0,Inputs!$B$43-B1736)/(IF(Inputs!$B$38="pvp",15,MAX(0.1,Skills!E5-IF(Skills!F5=TRUE,Inputs!$B$32,0)))*(1-IF(AND(ArtifactsInput!$M$27,Inputs!$B$4="Chapter Hunt"),CHOOSE(ArtifactsInput!$N$27+1,20,24,28,32,36,40),0)/100)))+1)),0)</f>
        <v/>
      </c>
      <c r="S1703">
        <f>IF(C1703,(H1703*N1703*IF(AND(Inputs!$B$38&lt;&gt;"pvp",Inputs!$B$43&gt;0),((Skills!G5*((R1703-1)*IF(Skills!H5&gt;0,Skills!I5/Skills!H5,1)+IF(Skills!H5&gt;0,MIN(Skills!I5,MAX(0,MAX(0,Inputs!$B$43-B1736)-((R1703-1)*(IF(Inputs!$B$38="pvp",15,MAX(0.1,Skills!E5-IF(Skills!F5=TRUE,Inputs!$B$32,0)))*(1-IF(AND(ArtifactsInput!$M$27,Inputs!$B$4="Chapter Hunt"),CHOOSE(ArtifactsInput!$N$27+1,20,24,28,32,36,40),0)/100)))))/Skills!H5,1)))/Inputs!$B$43),G1703*Q1703)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1703*(1-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1703*(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1703*(1-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1703*(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03">
        <f>IF(C1703,(H1703*N1703*IF(AND(Inputs!$B$38&lt;&gt;"pvp",Inputs!$B$43&gt;0),((Skills!G5*((R1703-1)*IF(Skills!H5&gt;0,Skills!I5/Skills!H5,1)+IF(Skills!H5&gt;0,MIN(Skills!I5,MAX(0,MAX(0,Inputs!$B$43-B1736)-((R1703-1)*(IF(Inputs!$B$38="pvp",15,MAX(0.1,Skills!E5-IF(Skills!F5=TRUE,Inputs!$B$32,0)))*(1-IF(AND(ArtifactsInput!$M$27,Inputs!$B$4="Chapter Hunt"),CHOOSE(ArtifactsInput!$N$27+1,20,24,28,32,36,40),0)/100)))))/Skills!H5,1)))/Inputs!$B$43),G1703*Q1703)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4">
      <c r="A1704">
        <f>Skills!A6</f>
        <v/>
      </c>
      <c r="B1704">
        <f>Skills!B6</f>
        <v/>
      </c>
      <c r="C1704">
        <f>TRUE</f>
        <v/>
      </c>
      <c r="D1704">
        <f>IF(Skills!C6=1,60+Inputs!$B$25+Inputs!$B$29,IF(Skills!C6=2,90+Inputs!$B$26+Inputs!$B$29,IF(Skills!C6=3,120+Inputs!$B$27+Inputs!$B$29,MAX(0,(Inputs!$B$3-100)*3)+Inputs!$B$28+Inputs!$B$29)))</f>
        <v/>
      </c>
      <c r="E1704">
        <f>INDEX(FactorTable!$B$2:$Y$301, MATCH(ROUND(MIN(300,MAX(1,D1704)),0), FactorTable!$A$2:$A$301,0), Skills!M6+1)</f>
        <v/>
      </c>
      <c r="F1704">
        <f>IF(Skills!N6=TRUE,(Skills!L6/10)*(E1704/1000),Skills!L6/10)+Skills!O6</f>
        <v/>
      </c>
      <c r="G1704">
        <f>Calc!G6</f>
        <v/>
      </c>
      <c r="H1704">
        <f>Calc!H6</f>
        <v/>
      </c>
      <c r="I1704">
        <f>IF(Skills!X6&lt;&gt;"",1+(Skills!X6/10)*(Z1701/1000)/100,1)</f>
        <v/>
      </c>
      <c r="J1704" t="inlineStr"/>
      <c r="K1704" t="inlineStr"/>
      <c r="L1704" t="inlineStr"/>
      <c r="M1704" t="inlineStr"/>
      <c r="N1704" t="inlineStr"/>
      <c r="O1704">
        <f>(1-Summary!$B$11)*S1704+Summary!$B$11*U1704</f>
        <v/>
      </c>
      <c r="P1704">
        <f>IF(B1739=0,0,O1704/B1739)</f>
        <v/>
      </c>
      <c r="Q1704">
        <f>IFERROR(1/(IF(Inputs!$B$38="pvp",15,MAX(0.1,Skills!E6-IF(Skills!F6=TRUE,Inputs!$B$32,0)))*(1-IF(AND(ArtifactsInput!$M$27,Inputs!$B$4="Chapter Hunt"),CHOOSE(ArtifactsInput!$N$27+1,20,24,28,32,36,40),0)/100)),0)</f>
        <v/>
      </c>
      <c r="R1704">
        <f>IF(AND(Inputs!$B$38&lt;&gt;"pvp",Inputs!$B$43&gt;0),IF(Inputs!$B$43&lt;=0,0,(INT(Inputs!$B$43/(IF(Inputs!$B$38="pvp",15,MAX(0.1,Skills!E6-IF(Skills!F6=TRUE,Inputs!$B$32,0)))*(1-IF(AND(ArtifactsInput!$M$27,Inputs!$B$4="Chapter Hunt"),CHOOSE(ArtifactsInput!$N$27+1,20,24,28,32,36,40),0)/100)))+1)),0)</f>
        <v/>
      </c>
      <c r="S1704" t="n">
        <v>0</v>
      </c>
      <c r="U1704" t="n">
        <v>0</v>
      </c>
    </row>
    <row r="1705">
      <c r="A1705">
        <f>Skills!A7</f>
        <v/>
      </c>
      <c r="B1705">
        <f>Skills!B7</f>
        <v/>
      </c>
      <c r="C1705">
        <f>TRUE</f>
        <v/>
      </c>
      <c r="D1705">
        <f>IF(Skills!C7=1,60+Inputs!$B$25+Inputs!$B$29,IF(Skills!C7=2,90+Inputs!$B$26+Inputs!$B$29,IF(Skills!C7=3,120+Inputs!$B$27+Inputs!$B$29,MAX(0,(Inputs!$B$3-100)*3)+Inputs!$B$28+Inputs!$B$29)))</f>
        <v/>
      </c>
      <c r="E1705">
        <f>INDEX(FactorTable!$B$2:$Y$301, MATCH(ROUND(MIN(300,MAX(1,D1705)),0), FactorTable!$A$2:$A$301,0), Skills!M7+1)</f>
        <v/>
      </c>
      <c r="F1705">
        <f>IF(Skills!N7=TRUE,(Skills!L7/10)*(E1705/1000),Skills!L7/10)+Skills!O7</f>
        <v/>
      </c>
      <c r="G1705">
        <f>Calc!G7</f>
        <v/>
      </c>
      <c r="H1705">
        <f>Calc!H7</f>
        <v/>
      </c>
      <c r="I1705">
        <f>IF(Skills!X7&lt;&gt;"",1+(Skills!X7/10)*(Z1701/1000)/100,1)</f>
        <v/>
      </c>
      <c r="J1705">
        <f>((Inputs!$B$6*(1+Inputs!$B$7/100))+(((Inputs!$B$12*(1+Inputs!$B$13/100))-(Inputs!$B$12*(1+Inputs!$B$13/100)))+0.25*(Inputs!$B$14-Inputs!$B$14))*(1+Inputs!$B$7/100))*(F1705/100)</f>
        <v/>
      </c>
      <c r="K1705">
        <f>J1705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1705)</f>
        <v/>
      </c>
      <c r="L1705">
        <f>K1705*(MIN(Inputs!$B$22+(F1720-Calc!F22),(Inputs!$B$23+(IF(ArtifactsInput!$M$15,CHOOSE(ArtifactsInput!$N$15+1,25,30,35,40,45,50)/100*(Inputs!$B$11-Inputs!$B$11),0))))/100+(Inputs!$B$23+(IF(ArtifactsInput!$M$15,CHOOSE(ArtifactsInput!$N$15+1,25,30,35,40,45,50)/100*(Inputs!$B$11-Inputs!$B$11),0)))/100)/2</f>
        <v/>
      </c>
      <c r="M1705">
        <f>L1705*(1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5">
        <f>L1705*(1-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1705*(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5">
        <f>(1-Summary!$B$11)*S1705+Summary!$B$11*U1705</f>
        <v/>
      </c>
      <c r="P1705">
        <f>IF(B1739=0,0,O1705/B1739)</f>
        <v/>
      </c>
      <c r="Q1705">
        <f>IFERROR(1/(IF(Inputs!$B$38="pvp",15,MAX(0.1,Skills!E7-IF(Skills!F7=TRUE,Inputs!$B$32,0)))*(1-IF(AND(ArtifactsInput!$M$27,Inputs!$B$4="Chapter Hunt"),CHOOSE(ArtifactsInput!$N$27+1,20,24,28,32,36,40),0)/100)),0)</f>
        <v/>
      </c>
      <c r="R1705">
        <f>IF(AND(Inputs!$B$38&lt;&gt;"pvp",Inputs!$B$43&gt;0),IF(MAX(0,Inputs!$B$43-B1736)&lt;=0,0,(INT(MAX(0,Inputs!$B$43-B1736)/(IF(Inputs!$B$38="pvp",15,MAX(0.1,Skills!E7-IF(Skills!F7=TRUE,Inputs!$B$32,0)))*(1-IF(AND(ArtifactsInput!$M$27,Inputs!$B$4="Chapter Hunt"),CHOOSE(ArtifactsInput!$N$27+1,20,24,28,32,36,40),0)/100)))+1)),0)</f>
        <v/>
      </c>
      <c r="S1705">
        <f>IF(C1705,(H1705*N1705*IF(AND(Inputs!$B$38&lt;&gt;"pvp",Inputs!$B$43&gt;0),((Skills!G7*((R1705-1)*IF(Skills!H7&gt;0,Skills!I7/Skills!H7,1)+IF(Skills!H7&gt;0,MIN(Skills!I7,MAX(0,MAX(0,Inputs!$B$43-B1736)-((R1705-1)*(IF(Inputs!$B$38="pvp",15,MAX(0.1,Skills!E7-IF(Skills!F7=TRUE,Inputs!$B$32,0)))*(1-IF(AND(ArtifactsInput!$M$27,Inputs!$B$4="Chapter Hunt"),CHOOSE(ArtifactsInput!$N$27+1,20,24,28,32,36,40),0)/100)))))/Skills!H7,1)))/Inputs!$B$43),G1705*Q1705)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1705*(1-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1705*(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1705*(1-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1705*(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05">
        <f>IF(C1705,(H1705*N1705*IF(AND(Inputs!$B$38&lt;&gt;"pvp",Inputs!$B$43&gt;0),((Skills!G7*((R1705-1)*IF(Skills!H7&gt;0,Skills!I7/Skills!H7,1)+IF(Skills!H7&gt;0,MIN(Skills!I7,MAX(0,MAX(0,Inputs!$B$43-B1736)-((R1705-1)*(IF(Inputs!$B$38="pvp",15,MAX(0.1,Skills!E7-IF(Skills!F7=TRUE,Inputs!$B$32,0)))*(1-IF(AND(ArtifactsInput!$M$27,Inputs!$B$4="Chapter Hunt"),CHOOSE(ArtifactsInput!$N$27+1,20,24,28,32,36,40),0)/100)))))/Skills!H7,1)))/Inputs!$B$43),G1705*Q1705)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6">
      <c r="A1706">
        <f>Skills!A8</f>
        <v/>
      </c>
      <c r="B1706">
        <f>Skills!B8</f>
        <v/>
      </c>
      <c r="C1706">
        <f>TRUE</f>
        <v/>
      </c>
      <c r="D1706">
        <f>IF(Skills!C8=1,60+Inputs!$B$25+Inputs!$B$29,IF(Skills!C8=2,90+Inputs!$B$26+Inputs!$B$29,IF(Skills!C8=3,120+Inputs!$B$27+Inputs!$B$29,MAX(0,(Inputs!$B$3-100)*3)+Inputs!$B$28+Inputs!$B$29)))</f>
        <v/>
      </c>
      <c r="E1706">
        <f>INDEX(FactorTable!$B$2:$Y$301, MATCH(ROUND(MIN(300,MAX(1,D1706)),0), FactorTable!$A$2:$A$301,0), Skills!M8+1)</f>
        <v/>
      </c>
      <c r="F1706">
        <f>IF(Skills!N8=TRUE,(Skills!L8/10)*(E1706/1000),Skills!L8/10)+Skills!O8</f>
        <v/>
      </c>
      <c r="G1706">
        <f>Calc!G8</f>
        <v/>
      </c>
      <c r="H1706">
        <f>Calc!H8</f>
        <v/>
      </c>
      <c r="I1706">
        <f>IF(Skills!X8&lt;&gt;"",1+(Skills!X8/10)*(Z1701/1000)/100,1)</f>
        <v/>
      </c>
      <c r="J1706">
        <f>((Inputs!$B$6*(1+Inputs!$B$7/100))+(((Inputs!$B$12*(1+Inputs!$B$13/100))-(Inputs!$B$12*(1+Inputs!$B$13/100)))+0.25*(Inputs!$B$14-Inputs!$B$14))*(1+Inputs!$B$7/100))*(F1706/100)</f>
        <v/>
      </c>
      <c r="K1706">
        <f>J1706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1706)</f>
        <v/>
      </c>
      <c r="L1706">
        <f>K1706*(MIN(Inputs!$B$22+(F1720-Calc!F22),(Inputs!$B$23+(IF(ArtifactsInput!$M$15,CHOOSE(ArtifactsInput!$N$15+1,25,30,35,40,45,50)/100*(Inputs!$B$11-Inputs!$B$11),0))))/100+(Inputs!$B$23+(IF(ArtifactsInput!$M$15,CHOOSE(ArtifactsInput!$N$15+1,25,30,35,40,45,50)/100*(Inputs!$B$11-Inputs!$B$11),0)))/100)/2</f>
        <v/>
      </c>
      <c r="M1706">
        <f>L1706*(1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6">
        <f>L1706*(1-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1706*(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6">
        <f>(1-Summary!$B$11)*S1706+Summary!$B$11*U1706</f>
        <v/>
      </c>
      <c r="P1706">
        <f>IF(B1739=0,0,O1706/B1739)</f>
        <v/>
      </c>
      <c r="Q1706">
        <f>IFERROR(1/(IF(Inputs!$B$38="pvp",15,MAX(0.1,Skills!E8-IF(Skills!F8=TRUE,Inputs!$B$32,0)))*(1-IF(AND(ArtifactsInput!$M$27,Inputs!$B$4="Chapter Hunt"),CHOOSE(ArtifactsInput!$N$27+1,20,24,28,32,36,40),0)/100)),0)</f>
        <v/>
      </c>
      <c r="R1706">
        <f>IF(AND(Inputs!$B$38&lt;&gt;"pvp",Inputs!$B$43&gt;0),IF(MAX(0,Inputs!$B$43-B1736)&lt;=0,0,(INT(MAX(0,Inputs!$B$43-B1736)/(IF(Inputs!$B$38="pvp",15,MAX(0.1,Skills!E8-IF(Skills!F8=TRUE,Inputs!$B$32,0)))*(1-IF(AND(ArtifactsInput!$M$27,Inputs!$B$4="Chapter Hunt"),CHOOSE(ArtifactsInput!$N$27+1,20,24,28,32,36,40),0)/100)))+1)),0)</f>
        <v/>
      </c>
      <c r="S1706">
        <f>IF(C1706,(H1706*N1706*IF(AND(Inputs!$B$38&lt;&gt;"pvp",Inputs!$B$43&gt;0),((Skills!G8*((R1706-1)*IF(Skills!H8&gt;0,Skills!I8/Skills!H8,1)+IF(Skills!H8&gt;0,MIN(Skills!I8,MAX(0,MAX(0,Inputs!$B$43-B1736)-((R1706-1)*(IF(Inputs!$B$38="pvp",15,MAX(0.1,Skills!E8-IF(Skills!F8=TRUE,Inputs!$B$32,0)))*(1-IF(AND(ArtifactsInput!$M$27,Inputs!$B$4="Chapter Hunt"),CHOOSE(ArtifactsInput!$N$27+1,20,24,28,32,36,40),0)/100)))))/Skills!H8,1)))/Inputs!$B$43),G1706*Q1706)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1706*(1-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1706*(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1706*(1-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1706*(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06">
        <f>IF(C1706,(H1706*N1706*IF(AND(Inputs!$B$38&lt;&gt;"pvp",Inputs!$B$43&gt;0),((Skills!G8*((R1706-1)*IF(Skills!H8&gt;0,Skills!I8/Skills!H8,1)+IF(Skills!H8&gt;0,MIN(Skills!I8,MAX(0,MAX(0,Inputs!$B$43-B1736)-((R1706-1)*(IF(Inputs!$B$38="pvp",15,MAX(0.1,Skills!E8-IF(Skills!F8=TRUE,Inputs!$B$32,0)))*(1-IF(AND(ArtifactsInput!$M$27,Inputs!$B$4="Chapter Hunt"),CHOOSE(ArtifactsInput!$N$27+1,20,24,28,32,36,40),0)/100)))))/Skills!H8,1)))/Inputs!$B$43),G1706*Q1706)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7">
      <c r="A1707">
        <f>Skills!A9</f>
        <v/>
      </c>
      <c r="B1707">
        <f>Skills!B9</f>
        <v/>
      </c>
      <c r="C1707">
        <f>Inputs!$B$3&gt;=103</f>
        <v/>
      </c>
      <c r="D1707">
        <f>IF(Skills!C9=1,60+Inputs!$B$25+Inputs!$B$29,IF(Skills!C9=2,90+Inputs!$B$26+Inputs!$B$29,IF(Skills!C9=3,120+Inputs!$B$27+Inputs!$B$29,MAX(0,(Inputs!$B$3-100)*3)+Inputs!$B$28+Inputs!$B$29)))</f>
        <v/>
      </c>
      <c r="E1707">
        <f>INDEX(FactorTable!$B$2:$Y$301, MATCH(ROUND(MIN(300,MAX(1,D1707)),0), FactorTable!$A$2:$A$301,0), Skills!M9+1)</f>
        <v/>
      </c>
      <c r="F1707">
        <f>IF(Skills!N9=TRUE,(Skills!L9/10)*(E1707/1000),Skills!L9/10)+Skills!O9</f>
        <v/>
      </c>
      <c r="G1707">
        <f>Calc!G9</f>
        <v/>
      </c>
      <c r="H1707">
        <f>Calc!H9</f>
        <v/>
      </c>
      <c r="I1707">
        <f>IF(Skills!X9&lt;&gt;"",1+(Skills!X9/10)*(Z1701/1000)/100,1)</f>
        <v/>
      </c>
      <c r="J1707">
        <f>((Inputs!$B$6*(1+Inputs!$B$7/100))+(((Inputs!$B$12*(1+Inputs!$B$13/100))-(Inputs!$B$12*(1+Inputs!$B$13/100)))+0.25*(Inputs!$B$14-Inputs!$B$14))*(1+Inputs!$B$7/100))*(F1707/100)</f>
        <v/>
      </c>
      <c r="K1707">
        <f>J1707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1707)</f>
        <v/>
      </c>
      <c r="L1707">
        <f>K1707*(MIN(Inputs!$B$22+(F1720-Calc!F22),(Inputs!$B$23+(IF(ArtifactsInput!$M$15,CHOOSE(ArtifactsInput!$N$15+1,25,30,35,40,45,50)/100*(Inputs!$B$11-Inputs!$B$11),0))))/100+(Inputs!$B$23+(IF(ArtifactsInput!$M$15,CHOOSE(ArtifactsInput!$N$15+1,25,30,35,40,45,50)/100*(Inputs!$B$11-Inputs!$B$11),0)))/100)/2</f>
        <v/>
      </c>
      <c r="M1707">
        <f>L1707*(1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7">
        <f>L1707*(1-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1707*(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7">
        <f>(1-Summary!$B$11)*S1707+Summary!$B$11*U1707</f>
        <v/>
      </c>
      <c r="P1707">
        <f>IF(B1739=0,0,O1707/B1739)</f>
        <v/>
      </c>
      <c r="Q1707">
        <f>IFERROR(1/(IF(Inputs!$B$38="pvp",15,MAX(0.1,Skills!E9-IF(Skills!F7=TRUE,Inputs!$B$32,0)))*(1-IF(AND(ArtifactsInput!$M$27,Inputs!$B$4="Chapter Hunt"),CHOOSE(ArtifactsInput!$N$27+1,20,24,28,32,36,40),0)/100)),0)</f>
        <v/>
      </c>
      <c r="R1707">
        <f>IF(AND(Inputs!$B$38&lt;&gt;"pvp",Inputs!$B$43&gt;0),IF(MAX(0,Inputs!$B$43-B1736)&lt;=0,0,(INT(MAX(0,Inputs!$B$43-B1736)/(IF(Inputs!$B$38="pvp",15,MAX(0.1,Skills!E9-IF(Skills!F7=TRUE,Inputs!$B$32,0)))*(1-IF(AND(ArtifactsInput!$M$27,Inputs!$B$4="Chapter Hunt"),CHOOSE(ArtifactsInput!$N$27+1,20,24,28,32,36,40),0)/100)))+1)),0)</f>
        <v/>
      </c>
      <c r="S1707">
        <f>IF(C1707,(H1707*N1707*IF(AND(Inputs!$B$38&lt;&gt;"pvp",Inputs!$B$43&gt;0),((Skills!G9*((R1707-1)*IF(Skills!H9&gt;0,Skills!I9/Skills!H9,1)+IF(Skills!H9&gt;0,MIN(Skills!I9,MAX(0,MAX(0,Inputs!$B$43-B1736)-((R1707-1)*(IF(Inputs!$B$38="pvp",15,MAX(0.1,Skills!E9-IF(Skills!F7=TRUE,Inputs!$B$32,0)))*(1-IF(AND(ArtifactsInput!$M$27,Inputs!$B$4="Chapter Hunt"),CHOOSE(ArtifactsInput!$N$27+1,20,24,28,32,36,40),0)/100)))))/Skills!H9,1)))/Inputs!$B$43),G1707*Q1707)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1707*(1-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1707*(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1707*(1-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1707*(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07">
        <f>IF(C1707,(H1707*N1707*IF(AND(Inputs!$B$38&lt;&gt;"pvp",Inputs!$B$43&gt;0),((Skills!G9*((R1707-1)*IF(Skills!H9&gt;0,Skills!I9/Skills!H9,1)+IF(Skills!H9&gt;0,MIN(Skills!I9,MAX(0,MAX(0,Inputs!$B$43-B1736)-((R1707-1)*(IF(Inputs!$B$38="pvp",15,MAX(0.1,Skills!E9-IF(Skills!F7=TRUE,Inputs!$B$32,0)))*(1-IF(AND(ArtifactsInput!$M$27,Inputs!$B$4="Chapter Hunt"),CHOOSE(ArtifactsInput!$N$27+1,20,24,28,32,36,40),0)/100)))))/Skills!H9,1)))/Inputs!$B$43),G1707*Q1707)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8">
      <c r="A1708">
        <f>Skills!A10</f>
        <v/>
      </c>
      <c r="B1708">
        <f>Skills!B10</f>
        <v/>
      </c>
      <c r="C1708">
        <f>TRUE</f>
        <v/>
      </c>
      <c r="D1708">
        <f>IF(Skills!C10=1,60+Inputs!$B$25+Inputs!$B$29,IF(Skills!C10=2,90+Inputs!$B$26+Inputs!$B$29,IF(Skills!C10=3,120+Inputs!$B$27+Inputs!$B$29,MAX(0,(Inputs!$B$3-100)*3)+Inputs!$B$28+Inputs!$B$29)))</f>
        <v/>
      </c>
      <c r="E1708">
        <f>INDEX(FactorTable!$B$2:$Y$301, MATCH(ROUND(MIN(300,MAX(1,D1708)),0), FactorTable!$A$2:$A$301,0), Skills!M10+1)</f>
        <v/>
      </c>
      <c r="F1708">
        <f>IF(Skills!N10=TRUE,(Skills!L10/10)*(E1708/1000),Skills!L10/10)+Skills!O10</f>
        <v/>
      </c>
      <c r="G1708">
        <f>Calc!G10</f>
        <v/>
      </c>
      <c r="H1708">
        <f>Calc!H10</f>
        <v/>
      </c>
      <c r="I1708">
        <f>IF(Skills!X10&lt;&gt;"",1+(Skills!X10/10)*(Z1701/1000)/100,1)</f>
        <v/>
      </c>
      <c r="J1708">
        <f>((Inputs!$B$6*(1+Inputs!$B$7/100))+(((Inputs!$B$12*(1+Inputs!$B$13/100))-(Inputs!$B$12*(1+Inputs!$B$13/100)))+0.25*(Inputs!$B$14-Inputs!$B$14))*(1+Inputs!$B$7/100))*(F1708/100)</f>
        <v/>
      </c>
      <c r="K1708">
        <f>J1708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1708)</f>
        <v/>
      </c>
      <c r="L1708">
        <f>K1708*(MIN(Inputs!$B$22+(F1720-Calc!F22),(Inputs!$B$23+(IF(ArtifactsInput!$M$15,CHOOSE(ArtifactsInput!$N$15+1,25,30,35,40,45,50)/100*(Inputs!$B$11-Inputs!$B$11),0))))/100+(Inputs!$B$23+(IF(ArtifactsInput!$M$15,CHOOSE(ArtifactsInput!$N$15+1,25,30,35,40,45,50)/100*(Inputs!$B$11-Inputs!$B$11),0)))/100)/2</f>
        <v/>
      </c>
      <c r="M1708">
        <f>L1708*(1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8">
        <f>L1708*(1-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1708*(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8">
        <f>(1-Summary!$B$11)*S1708+Summary!$B$11*U1708</f>
        <v/>
      </c>
      <c r="P1708">
        <f>IF(B1739=0,0,O1708/B1739)</f>
        <v/>
      </c>
      <c r="Q1708">
        <f>IFERROR(1/(IF(Inputs!$B$38="pvp",15,MAX(0.1,Skills!E10-IF(Skills!F10=TRUE,Inputs!$B$32,0)))*(1-IF(AND(ArtifactsInput!$M$27,Inputs!$B$4="Chapter Hunt"),CHOOSE(ArtifactsInput!$N$27+1,20,24,28,32,36,40),0)/100)),0)</f>
        <v/>
      </c>
      <c r="R1708">
        <f>IF(AND(Inputs!$B$38&lt;&gt;"pvp",Inputs!$B$43&gt;0),IF(MAX(0,Inputs!$B$43-B1736)&lt;=0,0,(INT(MAX(0,Inputs!$B$43-B1736)/(IF(Inputs!$B$38="pvp",15,MAX(0.1,Skills!E10-IF(Skills!F10=TRUE,Inputs!$B$32,0)))*(1-IF(AND(ArtifactsInput!$M$27,Inputs!$B$4="Chapter Hunt"),CHOOSE(ArtifactsInput!$N$27+1,20,24,28,32,36,40),0)/100)))+1)),0)</f>
        <v/>
      </c>
      <c r="S1708">
        <f>IF(C1708,(H1708*N1708*IF(AND(Inputs!$B$38&lt;&gt;"pvp",Inputs!$B$43&gt;0),((Skills!G10*((R1708-1)*IF(Skills!H10&gt;0,Skills!I10/Skills!H10,1)+IF(Skills!H10&gt;0,MIN(Skills!I10,MAX(0,MAX(0,Inputs!$B$43-B1736)-((R1708-1)*(IF(Inputs!$B$38="pvp",15,MAX(0.1,Skills!E10-IF(Skills!F10=TRUE,Inputs!$B$32,0)))*(1-IF(AND(ArtifactsInput!$M$27,Inputs!$B$4="Chapter Hunt"),CHOOSE(ArtifactsInput!$N$27+1,20,24,28,32,36,40),0)/100)))))/Skills!H10,1)))/Inputs!$B$43),G1708*Q1708)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1708*(1-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1708*(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1708*(1-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1708*(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08">
        <f>IF(C1708,(H1708*N1708*IF(AND(Inputs!$B$38&lt;&gt;"pvp",Inputs!$B$43&gt;0),((Skills!G10*((R1708-1)*IF(Skills!H10&gt;0,Skills!I10/Skills!H10,1)+IF(Skills!H10&gt;0,MIN(Skills!I10,MAX(0,MAX(0,Inputs!$B$43-B1736)-((R1708-1)*(IF(Inputs!$B$38="pvp",15,MAX(0.1,Skills!E10-IF(Skills!F10=TRUE,Inputs!$B$32,0)))*(1-IF(AND(ArtifactsInput!$M$27,Inputs!$B$4="Chapter Hunt"),CHOOSE(ArtifactsInput!$N$27+1,20,24,28,32,36,40),0)/100)))))/Skills!H10,1)))/Inputs!$B$43),G1708*Q1708)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9">
      <c r="A1709">
        <f>Skills!A11</f>
        <v/>
      </c>
      <c r="B1709">
        <f>Skills!B11</f>
        <v/>
      </c>
      <c r="C1709">
        <f>TRUE</f>
        <v/>
      </c>
      <c r="D1709">
        <f>IF(Skills!C11=1,60+Inputs!$B$25+Inputs!$B$29,IF(Skills!C11=2,90+Inputs!$B$26+Inputs!$B$29,IF(Skills!C11=3,120+Inputs!$B$27+Inputs!$B$29,MAX(0,(Inputs!$B$3-100)*3)+Inputs!$B$28+Inputs!$B$29)))</f>
        <v/>
      </c>
      <c r="E1709">
        <f>INDEX(FactorTable!$B$2:$Y$301, MATCH(ROUND(MIN(300,MAX(1,D1709)),0), FactorTable!$A$2:$A$301,0), Skills!M11+1)</f>
        <v/>
      </c>
      <c r="F1709">
        <f>IF(Skills!N11=TRUE,(Skills!L11/10)*(E1709/1000),Skills!L11/10)+Skills!O11</f>
        <v/>
      </c>
      <c r="G1709">
        <f>Calc!G11</f>
        <v/>
      </c>
      <c r="H1709">
        <f>Calc!H11</f>
        <v/>
      </c>
      <c r="I1709">
        <f>IF(Skills!X11&lt;&gt;"",1+(Skills!X11/10)*(Z1701/1000)/100,1)</f>
        <v/>
      </c>
      <c r="J1709" t="inlineStr"/>
      <c r="K1709" t="inlineStr"/>
      <c r="L1709" t="inlineStr"/>
      <c r="M1709" t="inlineStr"/>
      <c r="N1709" t="inlineStr"/>
      <c r="O1709">
        <f>(1-Summary!$B$11)*S1709+Summary!$B$11*U1709</f>
        <v/>
      </c>
      <c r="P1709">
        <f>IF(B1739=0,0,O1709/B1739)</f>
        <v/>
      </c>
      <c r="Q1709">
        <f>IFERROR(1/(IF(Inputs!$B$38="pvp",15,MAX(0.1,Skills!E11-IF(Skills!F11=TRUE,Inputs!$B$32,0)))*(1-IF(AND(ArtifactsInput!$M$27,Inputs!$B$4="Chapter Hunt"),CHOOSE(ArtifactsInput!$N$27+1,20,24,28,32,36,40),0)/100)),0)</f>
        <v/>
      </c>
      <c r="R1709" t="n">
        <v>0</v>
      </c>
      <c r="S1709" t="n">
        <v>0</v>
      </c>
      <c r="U1709" t="n">
        <v>0</v>
      </c>
    </row>
    <row r="1710">
      <c r="A1710">
        <f>Skills!A12</f>
        <v/>
      </c>
      <c r="B1710">
        <f>Skills!B12</f>
        <v/>
      </c>
      <c r="C1710">
        <f>TRUE</f>
        <v/>
      </c>
      <c r="D1710">
        <f>IF(Skills!C12=1,60+Inputs!$B$25+Inputs!$B$29,IF(Skills!C12=2,90+Inputs!$B$26+Inputs!$B$29,IF(Skills!C12=3,120+Inputs!$B$27+Inputs!$B$29,MAX(0,(Inputs!$B$3-100)*3)+Inputs!$B$28+Inputs!$B$29)))</f>
        <v/>
      </c>
      <c r="E1710">
        <f>INDEX(FactorTable!$B$2:$Y$301, MATCH(ROUND(MIN(300,MAX(1,D1710)),0), FactorTable!$A$2:$A$301,0), Skills!M12+1)</f>
        <v/>
      </c>
      <c r="F1710">
        <f>IF(Skills!N12=TRUE,(Skills!L12/10)*(E1710/1000),Skills!L12/10)+Skills!O12</f>
        <v/>
      </c>
      <c r="G1710">
        <f>Calc!G12</f>
        <v/>
      </c>
      <c r="H1710">
        <f>Calc!H12</f>
        <v/>
      </c>
      <c r="I1710">
        <f>IF(Skills!X12&lt;&gt;"",1+(Skills!X12/10)*(Z1701/1000)/100,1)</f>
        <v/>
      </c>
      <c r="J1710" t="inlineStr"/>
      <c r="K1710" t="inlineStr"/>
      <c r="L1710" t="inlineStr"/>
      <c r="M1710" t="inlineStr"/>
      <c r="N1710" t="inlineStr"/>
      <c r="O1710">
        <f>(1-Summary!$B$11)*S1710+Summary!$B$11*U1710</f>
        <v/>
      </c>
      <c r="P1710">
        <f>IF(B1739=0,0,O1710/B1739)</f>
        <v/>
      </c>
      <c r="Q1710">
        <f>IFERROR(1/(IF(Inputs!$B$38="pvp",15,MAX(0.1,Skills!E12-IF(Skills!F12=TRUE,Inputs!$B$32,0)))*(1-IF(AND(ArtifactsInput!$M$27,Inputs!$B$4="Chapter Hunt"),CHOOSE(ArtifactsInput!$N$27+1,20,24,28,32,36,40),0)/100)),0)</f>
        <v/>
      </c>
      <c r="R1710" t="n">
        <v>0</v>
      </c>
      <c r="S1710" t="n">
        <v>0</v>
      </c>
      <c r="U1710" t="n">
        <v>0</v>
      </c>
    </row>
    <row r="1711">
      <c r="A1711">
        <f>Skills!A13</f>
        <v/>
      </c>
      <c r="B1711">
        <f>Skills!B13</f>
        <v/>
      </c>
      <c r="C1711">
        <f>Inputs!$B$3&gt;=105</f>
        <v/>
      </c>
      <c r="D1711">
        <f>IF(Skills!C13=1,60+Inputs!$B$25+Inputs!$B$29,IF(Skills!C13=2,90+Inputs!$B$26+Inputs!$B$29,IF(Skills!C13=3,120+Inputs!$B$27+Inputs!$B$29,MAX(0,(Inputs!$B$3-100)*3)+Inputs!$B$28+Inputs!$B$29)))</f>
        <v/>
      </c>
      <c r="E1711">
        <f>INDEX(FactorTable!$B$2:$Y$301, MATCH(ROUND(MIN(300,MAX(1,D1711)),0), FactorTable!$A$2:$A$301,0), Skills!M13+1)</f>
        <v/>
      </c>
      <c r="F1711">
        <f>IF(Skills!N13=TRUE,(Skills!L13/10)*(E1711/1000),Skills!L13/10)+Skills!O13</f>
        <v/>
      </c>
      <c r="G1711">
        <f>Calc!G13</f>
        <v/>
      </c>
      <c r="H1711">
        <f>Calc!H13</f>
        <v/>
      </c>
      <c r="I1711">
        <f>IF(Skills!X13&lt;&gt;"",1+(Skills!X13/10)*(Z1701/1000)/100,1)</f>
        <v/>
      </c>
      <c r="J1711">
        <f>((Inputs!$B$6*(1+Inputs!$B$7/100))+(((Inputs!$B$12*(1+Inputs!$B$13/100))-(Inputs!$B$12*(1+Inputs!$B$13/100)))+0.25*(Inputs!$B$14-Inputs!$B$14))*(1+Inputs!$B$7/100))*(F1711/100)</f>
        <v/>
      </c>
      <c r="K1711">
        <f>J1711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1711)</f>
        <v/>
      </c>
      <c r="L1711">
        <f>K1711*(MIN(Inputs!$B$22+(F1720-Calc!F22),(Inputs!$B$23+(IF(ArtifactsInput!$M$15,CHOOSE(ArtifactsInput!$N$15+1,25,30,35,40,45,50)/100*(Inputs!$B$11-Inputs!$B$11),0))))/100+(Inputs!$B$23+(IF(ArtifactsInput!$M$15,CHOOSE(ArtifactsInput!$N$15+1,25,30,35,40,45,50)/100*(Inputs!$B$11-Inputs!$B$11),0)))/100)/2</f>
        <v/>
      </c>
      <c r="M1711">
        <f>L1711*(1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1">
        <f>L1711*(1-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1">
        <f>(1-Summary!$B$11)*S1711+Summary!$B$11*U1711</f>
        <v/>
      </c>
      <c r="P1711">
        <f>IF(B1739=0,0,O1711/B1739)</f>
        <v/>
      </c>
      <c r="Q1711">
        <f>IFERROR(1/(IF(Inputs!$B$38="pvp",15,MAX(0.1,Skills!E13-IF(Skills!F13=TRUE,Inputs!$B$32,0)))*(1-IF(AND(ArtifactsInput!$M$27,Inputs!$B$4="Chapter Hunt"),CHOOSE(ArtifactsInput!$N$27+1,20,24,28,32,36,40),0)/100)),0)</f>
        <v/>
      </c>
      <c r="R1711">
        <f>IF(AND(Inputs!$B$38&lt;&gt;"pvp",Inputs!$B$43&gt;0),IF(MAX(0,Inputs!$B$43-B1736)&lt;=0,0,(INT(MAX(0,Inputs!$B$43-B1736)/(IF(Inputs!$B$38="pvp",15,MAX(0.1,Skills!E13-IF(Skills!F13=TRUE,Inputs!$B$32,0)))*(1-IF(AND(ArtifactsInput!$M$27,Inputs!$B$4="Chapter Hunt"),CHOOSE(ArtifactsInput!$N$27+1,20,24,28,32,36,40),0)/100)))+1)),0)</f>
        <v/>
      </c>
      <c r="S1711">
        <f>IF(C1711,(H1711*N1711*IF(AND(Inputs!$B$38&lt;&gt;"pvp",Inputs!$B$43&gt;0),((Skills!G13*((R1711-1)*IF(Skills!H13&gt;0,Skills!I13/Skills!H13,1)+IF(Skills!H13&gt;0,MIN(Skills!I13,MAX(0,MAX(0,Inputs!$B$43-B1736)-((R1711-1)*(IF(Inputs!$B$38="pvp",15,MAX(0.1,Skills!E13-IF(Skills!F13=TRUE,Inputs!$B$32,0)))*(1-IF(AND(ArtifactsInput!$M$27,Inputs!$B$4="Chapter Hunt"),CHOOSE(ArtifactsInput!$N$27+1,20,24,28,32,36,40),0)/100)))))/Skills!H13,1)))/Inputs!$B$43),G1711*Q1711)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1711*(1-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1711*(1-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1">
        <f>IF(C1711,(H1711*N1711*IF(AND(Inputs!$B$38&lt;&gt;"pvp",Inputs!$B$43&gt;0),((Skills!G13*((R1711-1)*IF(Skills!H13&gt;0,Skills!I13/Skills!H13,1)+IF(Skills!H13&gt;0,MIN(Skills!I13,MAX(0,MAX(0,Inputs!$B$43-B1736)-((R1711-1)*(IF(Inputs!$B$38="pvp",15,MAX(0.1,Skills!E13-IF(Skills!F13=TRUE,Inputs!$B$32,0)))*(1-IF(AND(ArtifactsInput!$M$27,Inputs!$B$4="Chapter Hunt"),CHOOSE(ArtifactsInput!$N$27+1,20,24,28,32,36,40),0)/100)))))/Skills!H13,1)))/Inputs!$B$43),G1711*Q1711)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2">
      <c r="A1712">
        <f>Skills!A14</f>
        <v/>
      </c>
      <c r="B1712">
        <f>Skills!B14</f>
        <v/>
      </c>
      <c r="C1712">
        <f>Inputs!$B$3&gt;=113</f>
        <v/>
      </c>
      <c r="D1712">
        <f>IF(Skills!C14=1,60+Inputs!$B$25+Inputs!$B$29,IF(Skills!C14=2,90+Inputs!$B$26+Inputs!$B$29,IF(Skills!C14=3,120+Inputs!$B$27+Inputs!$B$29,MAX(0,(Inputs!$B$3-100)*3)+Inputs!$B$28+Inputs!$B$29)))</f>
        <v/>
      </c>
      <c r="E1712">
        <f>INDEX(FactorTable!$B$2:$Y$301, MATCH(ROUND(MIN(300,MAX(1,D1712)),0), FactorTable!$A$2:$A$301,0), Skills!M14+1)</f>
        <v/>
      </c>
      <c r="F1712">
        <f>IF(Skills!N14=TRUE,(Skills!L14/10)*(E1712/1000),Skills!L14/10)+Skills!O14</f>
        <v/>
      </c>
      <c r="G1712">
        <f>Calc!G14</f>
        <v/>
      </c>
      <c r="H1712">
        <f>Calc!H14</f>
        <v/>
      </c>
      <c r="I1712">
        <f>IF(Skills!X14&lt;&gt;"",1+(Skills!X14/10)*(Z1701/1000)/100,1)</f>
        <v/>
      </c>
      <c r="J1712">
        <f>((Inputs!$B$6*(1+Inputs!$B$7/100))+(((Inputs!$B$12*(1+Inputs!$B$13/100))-(Inputs!$B$12*(1+Inputs!$B$13/100)))+0.25*(Inputs!$B$14-Inputs!$B$14))*(1+Inputs!$B$7/100))*(F1712/100)</f>
        <v/>
      </c>
      <c r="K1712">
        <f>J1712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1712)</f>
        <v/>
      </c>
      <c r="L1712">
        <f>K1712*(MIN(Inputs!$B$22+(F1720-Calc!F22),(Inputs!$B$23+(IF(ArtifactsInput!$M$15,CHOOSE(ArtifactsInput!$N$15+1,25,30,35,40,45,50)/100*(Inputs!$B$11-Inputs!$B$11),0))))/100+(Inputs!$B$23+(IF(ArtifactsInput!$M$15,CHOOSE(ArtifactsInput!$N$15+1,25,30,35,40,45,50)/100*(Inputs!$B$11-Inputs!$B$11),0)))/100)/2</f>
        <v/>
      </c>
      <c r="M1712">
        <f>L1712*(1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2">
        <f>L1712*(1-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1712*(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2">
        <f>(1-Summary!$B$11)*S1712+Summary!$B$11*U1712</f>
        <v/>
      </c>
      <c r="P1712">
        <f>IF(B1739=0,0,O1712/B1739)</f>
        <v/>
      </c>
      <c r="Q1712">
        <f>IFERROR(1/(IF(Inputs!$B$38="pvp",15,MAX(0.1,Skills!E14-IF(Skills!F14=TRUE,Inputs!$B$32,0)))*(1-IF(AND(ArtifactsInput!$M$27,Inputs!$B$4="Chapter Hunt"),CHOOSE(ArtifactsInput!$N$27+1,20,24,28,32,36,40),0)/100)),0)</f>
        <v/>
      </c>
      <c r="R1712" t="n">
        <v>0</v>
      </c>
      <c r="S1712">
        <f>IF(C1712,((H1712*B1735)/(1+Skills!H14*H1712*B1735)*N1712)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1712*(1-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1712*(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1712*(1-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1712*(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2">
        <f>IF(C1712,((H1712*B1735)/(1+Skills!H14*H1712*B1735)*N1712)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3">
      <c r="A1713">
        <f>Skills!A15</f>
        <v/>
      </c>
      <c r="B1713">
        <f>Skills!B15</f>
        <v/>
      </c>
      <c r="C1713">
        <f>Inputs!$B$3&gt;=107</f>
        <v/>
      </c>
      <c r="D1713">
        <f>IF(Skills!C15=1,60+Inputs!$B$25+Inputs!$B$29,IF(Skills!C15=2,90+Inputs!$B$26+Inputs!$B$29,IF(Skills!C15=3,120+Inputs!$B$27+Inputs!$B$29,MAX(0,(Inputs!$B$3-100)*3)+Inputs!$B$28+Inputs!$B$29)))</f>
        <v/>
      </c>
      <c r="E1713">
        <f>INDEX(FactorTable!$B$2:$Y$301, MATCH(ROUND(MIN(300,MAX(1,D1713)),0), FactorTable!$A$2:$A$301,0), Skills!M15+1)</f>
        <v/>
      </c>
      <c r="F1713">
        <f>IF(Skills!N15=TRUE,(Skills!L15/10)*(E1713/1000),Skills!L15/10)+Skills!O15</f>
        <v/>
      </c>
      <c r="G1713">
        <f>Calc!G15</f>
        <v/>
      </c>
      <c r="H1713">
        <f>Calc!H15</f>
        <v/>
      </c>
      <c r="I1713">
        <f>IF(Skills!X15&lt;&gt;"",1+(Skills!X15/10)*(Z1701/1000)/100,1)</f>
        <v/>
      </c>
      <c r="J1713">
        <f>((Inputs!$B$6*(1+Inputs!$B$7/100))+(((Inputs!$B$12*(1+Inputs!$B$13/100))-(Inputs!$B$12*(1+Inputs!$B$13/100)))+0.25*(Inputs!$B$14-Inputs!$B$14))*(1+Inputs!$B$7/100))*(F1713/100)</f>
        <v/>
      </c>
      <c r="K1713">
        <f>J1713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1713)</f>
        <v/>
      </c>
      <c r="L1713">
        <f>K1713*(MIN(Inputs!$B$22+(F1720-Calc!F22),(Inputs!$B$23+(IF(ArtifactsInput!$M$15,CHOOSE(ArtifactsInput!$N$15+1,25,30,35,40,45,50)/100*(Inputs!$B$11-Inputs!$B$11),0))))/100+(Inputs!$B$23+(IF(ArtifactsInput!$M$15,CHOOSE(ArtifactsInput!$N$15+1,25,30,35,40,45,50)/100*(Inputs!$B$11-Inputs!$B$11),0)))/100)/2</f>
        <v/>
      </c>
      <c r="M1713">
        <f>L1713*(1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3">
        <f>L1713*(1-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1713*(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3">
        <f>(1-Summary!$B$11)*S1713+Summary!$B$11*U1713</f>
        <v/>
      </c>
      <c r="P1713">
        <f>IF(B1739=0,0,O1713/B1739)</f>
        <v/>
      </c>
      <c r="Q1713">
        <f>IFERROR(1/(IF(Inputs!$B$38="pvp",15,MAX(0.1,Skills!E15-IF(Skills!F15=TRUE,Inputs!$B$32,0)))*(1-IF(AND(ArtifactsInput!$M$27,Inputs!$B$4="Chapter Hunt"),CHOOSE(ArtifactsInput!$N$27+1,20,24,28,32,36,40),0)/100)),0)</f>
        <v/>
      </c>
      <c r="R1713">
        <f>IF(AND(Inputs!$B$38&lt;&gt;"pvp",Inputs!$B$43&gt;0),IF(MAX(0,Inputs!$B$43-B1736)&lt;=0,0,(INT(MAX(0,Inputs!$B$43-B1736)/(IF(Inputs!$B$38="pvp",15,MAX(0.1,Skills!E15-IF(Skills!F15=TRUE,Inputs!$B$32,0)))*(1-IF(AND(ArtifactsInput!$M$27,Inputs!$B$4="Chapter Hunt"),CHOOSE(ArtifactsInput!$N$27+1,20,24,28,32,36,40),0)/100)))+1)),0)</f>
        <v/>
      </c>
      <c r="S1713">
        <f>IF(C1713,(H1713*N1713*IF(AND(Inputs!$B$38&lt;&gt;"pvp",Inputs!$B$43&gt;0),((Skills!G15*((R1713-1)*IF(Skills!H15&gt;0,Skills!I15/Skills!H15,1)+IF(Skills!H15&gt;0,MIN(Skills!I15,MAX(0,MAX(0,Inputs!$B$43-B1736)-((R1713-1)*(IF(Inputs!$B$38="pvp",15,MAX(0.1,Skills!E15-IF(Skills!F15=TRUE,Inputs!$B$32,0)))*(1-IF(AND(ArtifactsInput!$M$27,Inputs!$B$4="Chapter Hunt"),CHOOSE(ArtifactsInput!$N$27+1,20,24,28,32,36,40),0)/100)))))/Skills!H15,1)))/Inputs!$B$43),G1713*Q1713)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1713*(1-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1713*(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1713*(1-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1713*(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3">
        <f>IF(C1713,(H1713*N1713*IF(AND(Inputs!$B$38&lt;&gt;"pvp",Inputs!$B$43&gt;0),((Skills!G15*((R1713-1)*IF(Skills!H15&gt;0,Skills!I15/Skills!H15,1)+IF(Skills!H15&gt;0,MIN(Skills!I15,MAX(0,MAX(0,Inputs!$B$43-B1736)-((R1713-1)*(IF(Inputs!$B$38="pvp",15,MAX(0.1,Skills!E15-IF(Skills!F15=TRUE,Inputs!$B$32,0)))*(1-IF(AND(ArtifactsInput!$M$27,Inputs!$B$4="Chapter Hunt"),CHOOSE(ArtifactsInput!$N$27+1,20,24,28,32,36,40),0)/100)))))/Skills!H15,1)))/Inputs!$B$43),G1713*Q1713)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4">
      <c r="A1714">
        <f>Skills!A16</f>
        <v/>
      </c>
      <c r="B1714">
        <f>Skills!B16</f>
        <v/>
      </c>
      <c r="C1714">
        <f>Inputs!$B$3&gt;=107</f>
        <v/>
      </c>
      <c r="D1714">
        <f>IF(Skills!C16=1,60+Inputs!$B$25+Inputs!$B$29,IF(Skills!C16=2,90+Inputs!$B$26+Inputs!$B$29,IF(Skills!C16=3,120+Inputs!$B$27+Inputs!$B$29,MAX(0,(Inputs!$B$3-100)*3)+Inputs!$B$28+Inputs!$B$29)))</f>
        <v/>
      </c>
      <c r="E1714">
        <f>INDEX(FactorTable!$B$2:$Y$301, MATCH(ROUND(MIN(300,MAX(1,D1714)),0), FactorTable!$A$2:$A$301,0), Skills!M16+1)</f>
        <v/>
      </c>
      <c r="F1714">
        <f>IF(Skills!N16=TRUE,(Skills!L16/10)*(E1714/1000),Skills!L16/10)+Skills!O16</f>
        <v/>
      </c>
      <c r="G1714">
        <f>Calc!G16</f>
        <v/>
      </c>
      <c r="H1714">
        <f>Calc!H16</f>
        <v/>
      </c>
      <c r="I1714">
        <f>IF(Skills!X16&lt;&gt;"",1+(Skills!X16/10)*(Z1701/1000)/100,1)</f>
        <v/>
      </c>
      <c r="J1714">
        <f>((Inputs!$B$6*(1+Inputs!$B$7/100))+(((Inputs!$B$12*(1+Inputs!$B$13/100))-(Inputs!$B$12*(1+Inputs!$B$13/100)))+0.25*(Inputs!$B$14-Inputs!$B$14))*(1+Inputs!$B$7/100))*(F1714/100)</f>
        <v/>
      </c>
      <c r="K1714">
        <f>J1714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1714)</f>
        <v/>
      </c>
      <c r="L1714">
        <f>K1714*(MIN(Inputs!$B$22+(F1720-Calc!F22),(Inputs!$B$23+(IF(ArtifactsInput!$M$15,CHOOSE(ArtifactsInput!$N$15+1,25,30,35,40,45,50)/100*(Inputs!$B$11-Inputs!$B$11),0))))/100+(Inputs!$B$23+(IF(ArtifactsInput!$M$15,CHOOSE(ArtifactsInput!$N$15+1,25,30,35,40,45,50)/100*(Inputs!$B$11-Inputs!$B$11),0)))/100)/2</f>
        <v/>
      </c>
      <c r="M1714">
        <f>L1714*(1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4">
        <f>L1714*(1-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1714*(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4">
        <f>(1-Summary!$B$11)*S1714+Summary!$B$11*U1714</f>
        <v/>
      </c>
      <c r="P1714">
        <f>IF(B1739=0,0,O1714/B1739)</f>
        <v/>
      </c>
      <c r="Q1714">
        <f>IFERROR(1/(IF(Inputs!$B$38="pvp",15,MAX(0.1,Skills!E16-IF(Skills!F16=TRUE,Inputs!$B$32,0)))*(1-IF(AND(ArtifactsInput!$M$27,Inputs!$B$4="Chapter Hunt"),CHOOSE(ArtifactsInput!$N$27+1,20,24,28,32,36,40),0)/100)),0)</f>
        <v/>
      </c>
      <c r="R1714">
        <f>IF(AND(Inputs!$B$38&lt;&gt;"pvp",Inputs!$B$43&gt;0),IF(MAX(0,Inputs!$B$43-B1736)&lt;=0,0,(INT(MAX(0,Inputs!$B$43-B1736)/(IF(Inputs!$B$38="pvp",15,MAX(0.1,Skills!E16-IF(Skills!F16=TRUE,Inputs!$B$32,0)))*(1-IF(AND(ArtifactsInput!$M$27,Inputs!$B$4="Chapter Hunt"),CHOOSE(ArtifactsInput!$N$27+1,20,24,28,32,36,40),0)/100)))+1)),0)</f>
        <v/>
      </c>
      <c r="S1714">
        <f>IF(C1714,(H1714*N1714*IF(AND(Inputs!$B$38&lt;&gt;"pvp",Inputs!$B$43&gt;0),((Skills!G16*((R1714-1)*IF(Skills!H16&gt;0,Skills!I16/Skills!H16,1)+IF(Skills!H16&gt;0,MIN(Skills!I16,MAX(0,MAX(0,Inputs!$B$43-B1736)-((R1714-1)*(IF(Inputs!$B$38="pvp",15,MAX(0.1,Skills!E16-IF(Skills!F16=TRUE,Inputs!$B$32,0)))*(1-IF(AND(ArtifactsInput!$M$27,Inputs!$B$4="Chapter Hunt"),CHOOSE(ArtifactsInput!$N$27+1,20,24,28,32,36,40),0)/100)))))/Skills!H16,1)))/Inputs!$B$43),G1714*Q1714)*(1+IF(Inputs!$B$3&gt;=126,0.05*(B1734+Q1711+(H1712*B1735)/(1+Skills!H14*H1712*B1735)+Q1722)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1714*(1-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1714*(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1714*(1-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1714*(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4">
        <f>IF(C1714,(H1714*N1714*IF(AND(Inputs!$B$38&lt;&gt;"pvp",Inputs!$B$43&gt;0),((Skills!G16*((R1714-1)*IF(Skills!H16&gt;0,Skills!I16/Skills!H16,1)+IF(Skills!H16&gt;0,MIN(Skills!I16,MAX(0,MAX(0,Inputs!$B$43-B1736)-((R1714-1)*(IF(Inputs!$B$38="pvp",15,MAX(0.1,Skills!E16-IF(Skills!F16=TRUE,Inputs!$B$32,0)))*(1-IF(AND(ArtifactsInput!$M$27,Inputs!$B$4="Chapter Hunt"),CHOOSE(ArtifactsInput!$N$27+1,20,24,28,32,36,40),0)/100)))))/Skills!H16,1)))/Inputs!$B$43),G1714*Q1714)*(1+IF(Inputs!$B$3&gt;=126,0.05*(B1734+Q1711+(H1712*B1735)/(1+Skills!H14*H1712*B1735)+Q1722)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5">
      <c r="A1715">
        <f>Skills!A17</f>
        <v/>
      </c>
      <c r="B1715">
        <f>Skills!B17</f>
        <v/>
      </c>
      <c r="C1715">
        <f>TRUE</f>
        <v/>
      </c>
      <c r="D1715">
        <f>IF(Skills!C17=1,60+Inputs!$B$25+Inputs!$B$29,IF(Skills!C17=2,90+Inputs!$B$26+Inputs!$B$29,IF(Skills!C17=3,120+Inputs!$B$27+Inputs!$B$29,MAX(0,(Inputs!$B$3-100)*3)+Inputs!$B$28+Inputs!$B$29)))</f>
        <v/>
      </c>
      <c r="E1715">
        <f>INDEX(FactorTable!$B$2:$Y$301, MATCH(ROUND(MIN(300,MAX(1,D1715)),0), FactorTable!$A$2:$A$301,0), Skills!M17+1)</f>
        <v/>
      </c>
      <c r="F1715">
        <f>IF(Skills!N17=TRUE,(Skills!L17/10)*(E1715/1000),Skills!L17/10)+Skills!O17</f>
        <v/>
      </c>
      <c r="G1715">
        <f>Calc!G17</f>
        <v/>
      </c>
      <c r="H1715">
        <f>Calc!H17</f>
        <v/>
      </c>
      <c r="I1715">
        <f>IF(Skills!X17&lt;&gt;"",1+(Skills!X17/10)*(Z1701/1000)/100,1)</f>
        <v/>
      </c>
      <c r="J1715" t="inlineStr"/>
      <c r="K1715" t="inlineStr"/>
      <c r="L1715" t="inlineStr"/>
      <c r="M1715" t="inlineStr"/>
      <c r="N1715" t="inlineStr"/>
      <c r="O1715">
        <f>(1-Summary!$B$11)*S1715+Summary!$B$11*U1715</f>
        <v/>
      </c>
      <c r="P1715">
        <f>IF(B1739=0,0,O1715/B1739)</f>
        <v/>
      </c>
      <c r="Q1715">
        <f>IFERROR(1/(IF(Inputs!$B$38="pvp",15,MAX(0.1,Skills!E17-IF(Skills!F17=TRUE,Inputs!$B$32,0)))*(1-IF(AND(ArtifactsInput!$M$27,Inputs!$B$4="Chapter Hunt"),CHOOSE(ArtifactsInput!$N$27+1,20,24,28,32,36,40),0)/100)),0)</f>
        <v/>
      </c>
      <c r="R1715">
        <f>IF(AND(Inputs!$B$38&lt;&gt;"pvp",Inputs!$B$43&gt;0),IF(Inputs!$B$43&lt;=0,0,(INT(Inputs!$B$43/(IF(Inputs!$B$38="pvp",15,MAX(0.1,Skills!E17-IF(Skills!F17=TRUE,Inputs!$B$32,0)))*(1-IF(AND(ArtifactsInput!$M$27,Inputs!$B$4="Chapter Hunt"),CHOOSE(ArtifactsInput!$N$27+1,20,24,28,32,36,40),0)/100)))+1)),0)</f>
        <v/>
      </c>
      <c r="S1715" t="n">
        <v>0</v>
      </c>
      <c r="U1715" t="n">
        <v>0</v>
      </c>
    </row>
    <row r="1716">
      <c r="A1716">
        <f>Skills!A18</f>
        <v/>
      </c>
      <c r="B1716">
        <f>Skills!B18</f>
        <v/>
      </c>
      <c r="C1716">
        <f>TRUE</f>
        <v/>
      </c>
      <c r="D1716">
        <f>IF(Skills!C18=1,60+Inputs!$B$25+Inputs!$B$29,IF(Skills!C18=2,90+Inputs!$B$26+Inputs!$B$29,IF(Skills!C18=3,120+Inputs!$B$27+Inputs!$B$29,MAX(0,(Inputs!$B$3-100)*3)+Inputs!$B$28+Inputs!$B$29)))</f>
        <v/>
      </c>
      <c r="E1716">
        <f>INDEX(FactorTable!$B$2:$Y$301, MATCH(ROUND(MIN(300,MAX(1,D1716)),0), FactorTable!$A$2:$A$301,0), Skills!M18+1)</f>
        <v/>
      </c>
      <c r="F1716">
        <f>IF(Skills!N18=TRUE,(Skills!L18/10)*(E1716/1000),Skills!L18/10)+Skills!O18</f>
        <v/>
      </c>
      <c r="G1716">
        <f>Calc!G18</f>
        <v/>
      </c>
      <c r="H1716">
        <f>Calc!H18</f>
        <v/>
      </c>
      <c r="I1716">
        <f>IF(Skills!X18&lt;&gt;"",1+(Skills!X18/10)*(Z1701/1000)/100,1)</f>
        <v/>
      </c>
      <c r="J1716" t="inlineStr"/>
      <c r="K1716" t="inlineStr"/>
      <c r="L1716" t="inlineStr"/>
      <c r="M1716" t="inlineStr"/>
      <c r="N1716" t="inlineStr"/>
      <c r="O1716">
        <f>(1-Summary!$B$11)*S1716+Summary!$B$11*U1716</f>
        <v/>
      </c>
      <c r="P1716">
        <f>IF(B1739=0,0,O1716/B1739)</f>
        <v/>
      </c>
      <c r="Q1716">
        <f>IFERROR(1/(IF(Inputs!$B$38="pvp",15,MAX(0.1,Skills!E18-IF(Skills!F18=TRUE,Inputs!$B$32,0)))*(1-IF(AND(ArtifactsInput!$M$27,Inputs!$B$4="Chapter Hunt"),CHOOSE(ArtifactsInput!$N$27+1,20,24,28,32,36,40),0)/100)),0)</f>
        <v/>
      </c>
      <c r="R1716">
        <f>IF(AND(Inputs!$B$38&lt;&gt;"pvp",Inputs!$B$43&gt;0),IF(Inputs!$B$43&lt;=0,0,(INT(Inputs!$B$43/(IF(Inputs!$B$38="pvp",15,MAX(0.1,Skills!E18-IF(Skills!F18=TRUE,Inputs!$B$32,0)))*(1-IF(AND(ArtifactsInput!$M$27,Inputs!$B$4="Chapter Hunt"),CHOOSE(ArtifactsInput!$N$27+1,20,24,28,32,36,40),0)/100)))+1)),0)</f>
        <v/>
      </c>
      <c r="S1716" t="n">
        <v>0</v>
      </c>
      <c r="U1716" t="n">
        <v>0</v>
      </c>
    </row>
    <row r="1717">
      <c r="A1717">
        <f>Skills!A19</f>
        <v/>
      </c>
      <c r="B1717">
        <f>Skills!B19</f>
        <v/>
      </c>
      <c r="C1717">
        <f>Inputs!$B$3&gt;=110</f>
        <v/>
      </c>
      <c r="D1717">
        <f>IF(Skills!C19=1,60+Inputs!$B$25+Inputs!$B$29,IF(Skills!C19=2,90+Inputs!$B$26+Inputs!$B$29,IF(Skills!C19=3,120+Inputs!$B$27+Inputs!$B$29,MAX(0,(Inputs!$B$3-100)*3)+Inputs!$B$28+Inputs!$B$29)))</f>
        <v/>
      </c>
      <c r="E1717">
        <f>INDEX(FactorTable!$B$2:$Y$301, MATCH(ROUND(MIN(300,MAX(1,D1717)),0), FactorTable!$A$2:$A$301,0), Skills!M19+1)</f>
        <v/>
      </c>
      <c r="F1717">
        <f>IF(Skills!N19=TRUE,(Skills!L19/10)*(E1717/1000),Skills!L19/10)+Skills!O19</f>
        <v/>
      </c>
      <c r="G1717">
        <f>Calc!G19</f>
        <v/>
      </c>
      <c r="H1717">
        <f>Calc!H19</f>
        <v/>
      </c>
      <c r="I1717">
        <f>IF(Skills!X19&lt;&gt;"",1+(Skills!X19/10)*(Z1701/1000)/100,1)</f>
        <v/>
      </c>
      <c r="J1717" t="inlineStr"/>
      <c r="K1717" t="inlineStr"/>
      <c r="L1717" t="inlineStr"/>
      <c r="M1717" t="inlineStr"/>
      <c r="N1717" t="inlineStr"/>
      <c r="O1717">
        <f>(1-Summary!$B$11)*S1717+Summary!$B$11*U1717</f>
        <v/>
      </c>
      <c r="P1717">
        <f>IF(B1739=0,0,O1717/B1739)</f>
        <v/>
      </c>
      <c r="Q1717">
        <f>IFERROR(1/(IF(Inputs!$B$38="pvp",15,MAX(0.1,Skills!E19-IF(Skills!F19=TRUE,Inputs!$B$32,0)))*(1-IF(AND(ArtifactsInput!$M$27,Inputs!$B$4="Chapter Hunt"),CHOOSE(ArtifactsInput!$N$27+1,20,24,28,32,36,40),0)/100)),0)</f>
        <v/>
      </c>
      <c r="R1717">
        <f>IF(AND(Inputs!$B$38&lt;&gt;"pvp",Inputs!$B$43&gt;0),IF(Inputs!$B$43&lt;=0,0,(INT(Inputs!$B$43/(IF(Inputs!$B$38="pvp",15,MAX(0.1,Skills!E19-IF(Skills!F19=TRUE,Inputs!$B$32,0)))*(1-IF(AND(ArtifactsInput!$M$27,Inputs!$B$4="Chapter Hunt"),CHOOSE(ArtifactsInput!$N$27+1,20,24,28,32,36,40),0)/100)))+1)),0)</f>
        <v/>
      </c>
      <c r="S1717" t="n">
        <v>0</v>
      </c>
      <c r="U1717" t="n">
        <v>0</v>
      </c>
    </row>
    <row r="1718">
      <c r="A1718">
        <f>Skills!A20</f>
        <v/>
      </c>
      <c r="B1718">
        <f>Skills!B20</f>
        <v/>
      </c>
      <c r="C1718">
        <f>TRUE</f>
        <v/>
      </c>
      <c r="D1718">
        <f>IF(Skills!C20=1,60+Inputs!$B$25+Inputs!$B$29,IF(Skills!C20=2,90+Inputs!$B$26+Inputs!$B$29,IF(Skills!C20=3,120+Inputs!$B$27+Inputs!$B$29,MAX(0,(Inputs!$B$3-100)*3)+Inputs!$B$28+Inputs!$B$29)))</f>
        <v/>
      </c>
      <c r="E1718">
        <f>INDEX(FactorTable!$B$2:$Y$301, MATCH(ROUND(MIN(300,MAX(1,D1718)),0), FactorTable!$A$2:$A$301,0), Skills!M20+1)</f>
        <v/>
      </c>
      <c r="F1718">
        <f>IF(Skills!N20=TRUE,(Skills!L20/10)*(E1718/1000),Skills!L20/10)+Skills!O20</f>
        <v/>
      </c>
      <c r="G1718">
        <f>Calc!G20</f>
        <v/>
      </c>
      <c r="H1718">
        <f>Calc!H20</f>
        <v/>
      </c>
      <c r="I1718">
        <f>IF(Skills!X20&lt;&gt;"",1+(Skills!X20/10)*(Z1701/1000)/100,1)</f>
        <v/>
      </c>
      <c r="J1718" t="inlineStr"/>
      <c r="K1718" t="inlineStr"/>
      <c r="L1718" t="inlineStr"/>
      <c r="M1718" t="inlineStr"/>
      <c r="N1718" t="inlineStr"/>
      <c r="O1718">
        <f>(1-Summary!$B$11)*S1718+Summary!$B$11*U1718</f>
        <v/>
      </c>
      <c r="P1718">
        <f>IF(B1739=0,0,O1718/B1739)</f>
        <v/>
      </c>
      <c r="Q1718">
        <f>IFERROR(1/(IF(Inputs!$B$38="pvp",15,MAX(0.1,Skills!E20-IF(Skills!F20=TRUE,Inputs!$B$32,0)))*(1-IF(AND(ArtifactsInput!$M$27,Inputs!$B$4="Chapter Hunt"),CHOOSE(ArtifactsInput!$N$27+1,20,24,28,32,36,40),0)/100)),0)</f>
        <v/>
      </c>
      <c r="R1718" t="n">
        <v>0</v>
      </c>
      <c r="S1718" t="n">
        <v>0</v>
      </c>
      <c r="U1718" t="n">
        <v>0</v>
      </c>
    </row>
    <row r="1719">
      <c r="A1719">
        <f>Skills!A21</f>
        <v/>
      </c>
      <c r="B1719">
        <f>Skills!B21</f>
        <v/>
      </c>
      <c r="C1719">
        <f>TRUE</f>
        <v/>
      </c>
      <c r="D1719">
        <f>IF(Skills!C21=1,60+Inputs!$B$25+Inputs!$B$29,IF(Skills!C21=2,90+Inputs!$B$26+Inputs!$B$29,IF(Skills!C21=3,120+Inputs!$B$27+Inputs!$B$29,MAX(0,(Inputs!$B$3-100)*3)+Inputs!$B$28+Inputs!$B$29)))</f>
        <v/>
      </c>
      <c r="E1719">
        <f>INDEX(FactorTable!$B$2:$Y$301, MATCH(ROUND(MIN(300,MAX(1,D1719)),0), FactorTable!$A$2:$A$301,0), Skills!M21+1)</f>
        <v/>
      </c>
      <c r="F1719">
        <f>IF(Skills!N21=TRUE,(Skills!L21/10)*(E1719/1000),Skills!L21/10)+Skills!O21</f>
        <v/>
      </c>
      <c r="G1719">
        <f>Calc!G21</f>
        <v/>
      </c>
      <c r="H1719">
        <f>Calc!H21</f>
        <v/>
      </c>
      <c r="I1719">
        <f>IF(Skills!X21&lt;&gt;"",1+(Skills!X21/10)*(Z1701/1000)/100,1)</f>
        <v/>
      </c>
      <c r="J1719" t="inlineStr"/>
      <c r="K1719" t="inlineStr"/>
      <c r="L1719" t="inlineStr"/>
      <c r="M1719" t="inlineStr"/>
      <c r="N1719" t="inlineStr"/>
      <c r="O1719">
        <f>(1-Summary!$B$11)*S1719+Summary!$B$11*U1719</f>
        <v/>
      </c>
      <c r="P1719">
        <f>IF(B1739=0,0,O1719/B1739)</f>
        <v/>
      </c>
      <c r="Q1719">
        <f>IFERROR(1/(IF(Inputs!$B$38="pvp",15,MAX(0.1,Skills!E21-IF(Skills!F21=TRUE,Inputs!$B$32,0)))*(1-IF(AND(ArtifactsInput!$M$27,Inputs!$B$4="Chapter Hunt"),CHOOSE(ArtifactsInput!$N$27+1,20,24,28,32,36,40),0)/100)),0)</f>
        <v/>
      </c>
      <c r="R1719" t="n">
        <v>0</v>
      </c>
      <c r="S1719" t="n">
        <v>0</v>
      </c>
      <c r="U1719" t="n">
        <v>0</v>
      </c>
    </row>
    <row r="1720">
      <c r="A1720">
        <f>Skills!A22</f>
        <v/>
      </c>
      <c r="B1720">
        <f>Skills!B22</f>
        <v/>
      </c>
      <c r="C1720">
        <f>TRUE</f>
        <v/>
      </c>
      <c r="D1720">
        <f>IF(Skills!C22=1,60+Inputs!$B$25+Inputs!$B$29,IF(Skills!C22=2,90+Inputs!$B$26+Inputs!$B$29,IF(Skills!C22=3,120+Inputs!$B$27+Inputs!$B$29,MAX(0,(Inputs!$B$3-100)*3)+Inputs!$B$28+Inputs!$B$29)))</f>
        <v/>
      </c>
      <c r="E1720">
        <f>INDEX(FactorTable!$B$2:$Y$301, MATCH(ROUND(MIN(300,MAX(1,D1720)),0), FactorTable!$A$2:$A$301,0), Skills!M22+1)</f>
        <v/>
      </c>
      <c r="F1720">
        <f>IF(Skills!N22=TRUE,(Skills!L22/10)*(E1720/1000),Skills!L22/10)+Skills!O22</f>
        <v/>
      </c>
      <c r="G1720">
        <f>Calc!G22</f>
        <v/>
      </c>
      <c r="H1720">
        <f>Calc!H22</f>
        <v/>
      </c>
      <c r="I1720">
        <f>IF(Skills!X22&lt;&gt;"",1+(Skills!X22/10)*(Z1701/1000)/100,1)</f>
        <v/>
      </c>
      <c r="J1720" t="inlineStr"/>
      <c r="K1720" t="inlineStr"/>
      <c r="L1720" t="inlineStr"/>
      <c r="M1720" t="inlineStr"/>
      <c r="N1720" t="inlineStr"/>
      <c r="O1720">
        <f>(1-Summary!$B$11)*S1720+Summary!$B$11*U1720</f>
        <v/>
      </c>
      <c r="P1720">
        <f>IF(B1739=0,0,O1720/B1739)</f>
        <v/>
      </c>
      <c r="Q1720">
        <f>IFERROR(1/(IF(Inputs!$B$38="pvp",15,MAX(0.1,Skills!E22-IF(Skills!F22=TRUE,Inputs!$B$32,0)))*(1-IF(AND(ArtifactsInput!$M$27,Inputs!$B$4="Chapter Hunt"),CHOOSE(ArtifactsInput!$N$27+1,20,24,28,32,36,40),0)/100)),0)</f>
        <v/>
      </c>
      <c r="R1720" t="n">
        <v>0</v>
      </c>
      <c r="S1720" t="n">
        <v>0</v>
      </c>
      <c r="U1720" t="n">
        <v>0</v>
      </c>
    </row>
    <row r="1721">
      <c r="A1721">
        <f>Skills!A23</f>
        <v/>
      </c>
      <c r="B1721">
        <f>Skills!B23</f>
        <v/>
      </c>
      <c r="C1721">
        <f>TRUE</f>
        <v/>
      </c>
      <c r="D1721">
        <f>IF(Skills!C23=1,60+Inputs!$B$25+Inputs!$B$29,IF(Skills!C23=2,90+Inputs!$B$26+Inputs!$B$29,IF(Skills!C23=3,120+Inputs!$B$27+Inputs!$B$29,MAX(0,(Inputs!$B$3-100)*3)+Inputs!$B$28+Inputs!$B$29)))</f>
        <v/>
      </c>
      <c r="E1721">
        <f>INDEX(FactorTable!$B$2:$Y$301, MATCH(ROUND(MIN(300,MAX(1,D1721)),0), FactorTable!$A$2:$A$301,0), Skills!M23+1)</f>
        <v/>
      </c>
      <c r="F1721">
        <f>IF(Skills!N23=TRUE,(Skills!L23/10)*(E1721/1000),Skills!L23/10)+Skills!O23</f>
        <v/>
      </c>
      <c r="G1721">
        <f>Calc!G23</f>
        <v/>
      </c>
      <c r="H1721">
        <f>Calc!H23</f>
        <v/>
      </c>
      <c r="I1721">
        <f>IF(Skills!X23&lt;&gt;"",1+(Skills!X23/10)*(Z1701/1000)/100,1)</f>
        <v/>
      </c>
      <c r="J1721" t="inlineStr"/>
      <c r="K1721" t="inlineStr"/>
      <c r="L1721" t="inlineStr"/>
      <c r="M1721" t="inlineStr"/>
      <c r="N1721" t="inlineStr"/>
      <c r="O1721">
        <f>(1-Summary!$B$11)*S1721+Summary!$B$11*U1721</f>
        <v/>
      </c>
      <c r="P1721">
        <f>IF(B1739=0,0,O1721/B1739)</f>
        <v/>
      </c>
      <c r="Q1721">
        <f>IFERROR(1/(IF(Inputs!$B$38="pvp",15,MAX(0.1,Skills!E23-IF(Skills!F23=TRUE,Inputs!$B$32,0)))*(1-IF(AND(ArtifactsInput!$M$27,Inputs!$B$4="Chapter Hunt"),CHOOSE(ArtifactsInput!$N$27+1,20,24,28,32,36,40),0)/100)),0)</f>
        <v/>
      </c>
      <c r="R1721" t="n">
        <v>0</v>
      </c>
      <c r="S1721" t="n">
        <v>0</v>
      </c>
      <c r="U1721" t="n">
        <v>0</v>
      </c>
    </row>
    <row r="1722">
      <c r="A1722">
        <f>Skills!A24</f>
        <v/>
      </c>
      <c r="B1722">
        <f>Skills!B24</f>
        <v/>
      </c>
      <c r="C1722">
        <f>Inputs!$B$3&gt;=115</f>
        <v/>
      </c>
      <c r="D1722">
        <f>IF(Skills!C24=1,60+Inputs!$B$25+Inputs!$B$29,IF(Skills!C24=2,90+Inputs!$B$26+Inputs!$B$29,IF(Skills!C24=3,120+Inputs!$B$27+Inputs!$B$29,MAX(0,(Inputs!$B$3-100)*3)+Inputs!$B$28+Inputs!$B$29)))</f>
        <v/>
      </c>
      <c r="E1722">
        <f>INDEX(FactorTable!$B$2:$Y$301, MATCH(ROUND(MIN(300,MAX(1,D1722)),0), FactorTable!$A$2:$A$301,0), Skills!M24+1)</f>
        <v/>
      </c>
      <c r="F1722">
        <f>IF(Skills!N24=TRUE,(Skills!L24/10)*(E1722/1000),Skills!L24/10)+Skills!O24</f>
        <v/>
      </c>
      <c r="G1722">
        <f>Calc!G24</f>
        <v/>
      </c>
      <c r="H1722">
        <f>Calc!H24</f>
        <v/>
      </c>
      <c r="I1722">
        <f>IF(Skills!X24&lt;&gt;"",1+(Skills!X24/10)*(Z1701/1000)/100,1)</f>
        <v/>
      </c>
      <c r="J1722">
        <f>((Inputs!$B$6*(1+Inputs!$B$7/100))+(((Inputs!$B$12*(1+Inputs!$B$13/100))-(Inputs!$B$12*(1+Inputs!$B$13/100)))+0.25*(Inputs!$B$14-Inputs!$B$14))*(1+Inputs!$B$7/100))*(F1722/100)</f>
        <v/>
      </c>
      <c r="K1722">
        <f>J1722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1722)</f>
        <v/>
      </c>
      <c r="L1722">
        <f>K1722*(MIN(Inputs!$B$22+(F1720-Calc!F22),(Inputs!$B$23+(IF(ArtifactsInput!$M$15,CHOOSE(ArtifactsInput!$N$15+1,25,30,35,40,45,50)/100*(Inputs!$B$11-Inputs!$B$11),0))))/100+(Inputs!$B$23+(IF(ArtifactsInput!$M$15,CHOOSE(ArtifactsInput!$N$15+1,25,30,35,40,45,50)/100*(Inputs!$B$11-Inputs!$B$11),0)))/100)/2</f>
        <v/>
      </c>
      <c r="M1722">
        <f>L1722*(1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2">
        <f>L1722*(1-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1722*(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2">
        <f>(1-Summary!$B$11)*S1722+Summary!$B$11*U1722</f>
        <v/>
      </c>
      <c r="P1722">
        <f>IF(B1739=0,0,O1722/B1739)</f>
        <v/>
      </c>
      <c r="Q1722">
        <f>IFERROR(1/(IF(Inputs!$B$38="pvp",15,MAX(0.1,Skills!E24-IF(Skills!F24=TRUE,Inputs!$B$32,0)))*(1-IF(AND(ArtifactsInput!$M$27,Inputs!$B$4="Chapter Hunt"),CHOOSE(ArtifactsInput!$N$27+1,20,24,28,32,36,40),0)/100)),0)</f>
        <v/>
      </c>
      <c r="R1722">
        <f>IF(AND(Inputs!$B$38&lt;&gt;"pvp",Inputs!$B$43&gt;0),IF(MAX(0,Inputs!$B$43-B1736)&lt;=0,0,(INT(MAX(0,Inputs!$B$43-B1736)/(IF(Inputs!$B$38="pvp",15,MAX(0.1,Skills!E24-IF(Skills!F24=TRUE,Inputs!$B$32,0)))*(1-IF(AND(ArtifactsInput!$M$27,Inputs!$B$4="Chapter Hunt"),CHOOSE(ArtifactsInput!$N$27+1,20,24,28,32,36,40),0)/100)))+1)),0)</f>
        <v/>
      </c>
      <c r="S1722">
        <f>IF(C1722,(H1722*N1722*IF(AND(Inputs!$B$38&lt;&gt;"pvp",Inputs!$B$43&gt;0),((Skills!G24*((R1722-1)*IF(Skills!H24&gt;0,Skills!I24/Skills!H24,1)+IF(Skills!H24&gt;0,MIN(Skills!I24,MAX(0,MAX(0,Inputs!$B$43-B1736)-((R1722-1)*(IF(Inputs!$B$38="pvp",15,MAX(0.1,Skills!E24-IF(Skills!F24=TRUE,Inputs!$B$32,0)))*(1-IF(AND(ArtifactsInput!$M$27,Inputs!$B$4="Chapter Hunt"),CHOOSE(ArtifactsInput!$N$27+1,20,24,28,32,36,40),0)/100)))))/Skills!H24,1)))/Inputs!$B$43),G1722*Q1722)*(1+IF(Inputs!$B$3&gt;=130,0.2*(Skills!I16/Skills!E15+IF(Inputs!$B$3&gt;=126,0.05*(B1734+Q1711+(H1712*B1735)/(1+Skills!H14*H1712*B1735)+Q1722)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1722*(1-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1722*(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1722*(1-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1722*(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22">
        <f>IF(C1722,(H1722*N1722*IF(AND(Inputs!$B$38&lt;&gt;"pvp",Inputs!$B$43&gt;0),((Skills!G24*((R1722-1)*IF(Skills!H24&gt;0,Skills!I24/Skills!H24,1)+IF(Skills!H24&gt;0,MIN(Skills!I24,MAX(0,MAX(0,Inputs!$B$43-B1736)-((R1722-1)*(IF(Inputs!$B$38="pvp",15,MAX(0.1,Skills!E24-IF(Skills!F24=TRUE,Inputs!$B$32,0)))*(1-IF(AND(ArtifactsInput!$M$27,Inputs!$B$4="Chapter Hunt"),CHOOSE(ArtifactsInput!$N$27+1,20,24,28,32,36,40),0)/100)))))/Skills!H24,1)))/Inputs!$B$43),G1722*Q1722)*(1+IF(Inputs!$B$3&gt;=130,0.2*(Skills!I16/Skills!E15+IF(Inputs!$B$3&gt;=126,0.05*(B1734+Q1711+(H1712*B1735)/(1+Skills!H14*H1712*B1735)+Q1722)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3">
      <c r="A1723">
        <f>Skills!A25</f>
        <v/>
      </c>
      <c r="B1723">
        <f>Skills!B25</f>
        <v/>
      </c>
      <c r="C1723">
        <f>Inputs!$B$3&gt;=117</f>
        <v/>
      </c>
      <c r="D1723">
        <f>IF(Skills!C25=1,60+Inputs!$B$25+Inputs!$B$29,IF(Skills!C25=2,90+Inputs!$B$26+Inputs!$B$29,IF(Skills!C25=3,120+Inputs!$B$27+Inputs!$B$29,MAX(0,(Inputs!$B$3-100)*3)+Inputs!$B$28+Inputs!$B$29)))</f>
        <v/>
      </c>
      <c r="E1723">
        <f>INDEX(FactorTable!$B$2:$Y$301, MATCH(ROUND(MIN(300,MAX(1,D1723)),0), FactorTable!$A$2:$A$301,0), Skills!M25+1)</f>
        <v/>
      </c>
      <c r="F1723">
        <f>IF(Skills!N25=TRUE,(Skills!L25/10)*(E1723/1000),Skills!L25/10)+Skills!O25</f>
        <v/>
      </c>
      <c r="G1723">
        <f>Calc!G25</f>
        <v/>
      </c>
      <c r="H1723">
        <f>Calc!H25</f>
        <v/>
      </c>
      <c r="I1723">
        <f>IF(Skills!X25&lt;&gt;"",1+(Skills!X25/10)*(Z1701/1000)/100,1)</f>
        <v/>
      </c>
      <c r="J1723" t="inlineStr"/>
      <c r="K1723" t="inlineStr"/>
      <c r="L1723" t="inlineStr"/>
      <c r="M1723" t="inlineStr"/>
      <c r="N1723" t="inlineStr"/>
      <c r="O1723">
        <f>(1-Summary!$B$11)*S1723+Summary!$B$11*U1723</f>
        <v/>
      </c>
      <c r="P1723">
        <f>IF(B1739=0,0,O1723/B1739)</f>
        <v/>
      </c>
      <c r="Q1723">
        <f>IFERROR(1/(IF(Inputs!$B$38="pvp",15,MAX(0.1,Skills!E25-IF(Skills!F25=TRUE,Inputs!$B$32,0)))*(1-IF(AND(ArtifactsInput!$M$27,Inputs!$B$4="Chapter Hunt"),CHOOSE(ArtifactsInput!$N$27+1,20,24,28,32,36,40),0)/100)),0)</f>
        <v/>
      </c>
      <c r="R1723" t="n">
        <v>0</v>
      </c>
      <c r="S1723" t="n">
        <v>0</v>
      </c>
      <c r="U1723" t="n">
        <v>0</v>
      </c>
    </row>
    <row r="1724">
      <c r="A1724">
        <f>Skills!A26</f>
        <v/>
      </c>
      <c r="B1724">
        <f>Skills!B26</f>
        <v/>
      </c>
      <c r="C1724">
        <f>Inputs!$B$3&gt;=120</f>
        <v/>
      </c>
      <c r="D1724">
        <f>IF(Skills!C26=1,60+Inputs!$B$25+Inputs!$B$29,IF(Skills!C26=2,90+Inputs!$B$26+Inputs!$B$29,IF(Skills!C26=3,120+Inputs!$B$27+Inputs!$B$29,MAX(0,(Inputs!$B$3-100)*3)+Inputs!$B$28+Inputs!$B$29)))</f>
        <v/>
      </c>
      <c r="E1724">
        <f>INDEX(FactorTable!$B$2:$Y$301, MATCH(ROUND(MIN(300,MAX(1,D1724)),0), FactorTable!$A$2:$A$301,0), Skills!M26+1)</f>
        <v/>
      </c>
      <c r="F1724">
        <f>IF(Skills!N26=TRUE,(Skills!L26/10)*(E1724/1000),Skills!L26/10)+Skills!O26</f>
        <v/>
      </c>
      <c r="G1724">
        <f>Calc!G26</f>
        <v/>
      </c>
      <c r="H1724">
        <f>Calc!H26</f>
        <v/>
      </c>
      <c r="I1724">
        <f>IF(Skills!X26&lt;&gt;"",1+(Skills!X26/10)*(Z1701/1000)/100,1)</f>
        <v/>
      </c>
      <c r="J1724" t="inlineStr"/>
      <c r="K1724" t="inlineStr"/>
      <c r="L1724" t="inlineStr"/>
      <c r="M1724" t="inlineStr"/>
      <c r="N1724" t="inlineStr"/>
      <c r="O1724">
        <f>(1-Summary!$B$11)*S1724+Summary!$B$11*U1724</f>
        <v/>
      </c>
      <c r="P1724">
        <f>IF(B1739=0,0,O1724/B1739)</f>
        <v/>
      </c>
      <c r="Q1724">
        <f>IFERROR(1/(IF(Inputs!$B$38="pvp",15,MAX(0.1,Skills!E26-IF(Skills!F26=TRUE,Inputs!$B$32,0)))*(1-IF(AND(ArtifactsInput!$M$27,Inputs!$B$4="Chapter Hunt"),CHOOSE(ArtifactsInput!$N$27+1,20,24,28,32,36,40),0)/100)),0)</f>
        <v/>
      </c>
      <c r="R1724" t="n">
        <v>0</v>
      </c>
      <c r="S1724" t="n">
        <v>0</v>
      </c>
      <c r="U1724" t="n">
        <v>0</v>
      </c>
    </row>
    <row r="1725">
      <c r="A1725">
        <f>Skills!A27</f>
        <v/>
      </c>
      <c r="B1725">
        <f>Skills!B27</f>
        <v/>
      </c>
      <c r="C1725">
        <f>Inputs!$B$3&gt;=125</f>
        <v/>
      </c>
      <c r="D1725">
        <f>IF(Skills!C27=1,60+Inputs!$B$25+Inputs!$B$29,IF(Skills!C27=2,90+Inputs!$B$26+Inputs!$B$29,IF(Skills!C27=3,120+Inputs!$B$27+Inputs!$B$29,MAX(0,(Inputs!$B$3-100)*3)+Inputs!$B$28+Inputs!$B$29)))</f>
        <v/>
      </c>
      <c r="E1725">
        <f>INDEX(FactorTable!$B$2:$Y$301, MATCH(ROUND(MIN(300,MAX(1,D1725)),0), FactorTable!$A$2:$A$301,0), Skills!M27+1)</f>
        <v/>
      </c>
      <c r="F1725">
        <f>IF(Skills!N27=TRUE,(Skills!L27/10)*(E1725/1000),Skills!L27/10)+Skills!O27</f>
        <v/>
      </c>
      <c r="G1725">
        <f>Calc!G27</f>
        <v/>
      </c>
      <c r="H1725">
        <f>Calc!H27</f>
        <v/>
      </c>
      <c r="I1725">
        <f>IF(Skills!X27&lt;&gt;"",1+(Skills!X27/10)*(Z1701/1000)/100,1)</f>
        <v/>
      </c>
      <c r="J1725" t="inlineStr"/>
      <c r="K1725" t="inlineStr"/>
      <c r="L1725" t="inlineStr"/>
      <c r="M1725" t="inlineStr"/>
      <c r="N1725" t="inlineStr"/>
      <c r="O1725">
        <f>(1-Summary!$B$11)*S1725+Summary!$B$11*U1725</f>
        <v/>
      </c>
      <c r="P1725">
        <f>IF(B1739=0,0,O1725/B1739)</f>
        <v/>
      </c>
      <c r="Q1725">
        <f>IFERROR(1/(IF(Inputs!$B$38="pvp",15,MAX(0.1,Skills!E27-IF(Skills!F27=TRUE,Inputs!$B$32,0)))*(1-IF(AND(ArtifactsInput!$M$27,Inputs!$B$4="Chapter Hunt"),CHOOSE(ArtifactsInput!$N$27+1,20,24,28,32,36,40),0)/100)),0)</f>
        <v/>
      </c>
      <c r="R1725" t="n">
        <v>0</v>
      </c>
      <c r="S1725" t="n">
        <v>0</v>
      </c>
      <c r="U1725" t="n">
        <v>0</v>
      </c>
    </row>
    <row r="1726">
      <c r="A1726">
        <f>Skills!A28</f>
        <v/>
      </c>
      <c r="B1726">
        <f>Skills!B28</f>
        <v/>
      </c>
      <c r="C1726">
        <f>Inputs!$B$3&gt;=118</f>
        <v/>
      </c>
      <c r="D1726">
        <f>IF(Skills!C28=1,60+Inputs!$B$25+Inputs!$B$29,IF(Skills!C28=2,90+Inputs!$B$26+Inputs!$B$29,IF(Skills!C28=3,120+Inputs!$B$27+Inputs!$B$29,MAX(0,(Inputs!$B$3-100)*3)+Inputs!$B$28+Inputs!$B$29)))</f>
        <v/>
      </c>
      <c r="E1726">
        <f>INDEX(FactorTable!$B$2:$Y$301, MATCH(ROUND(MIN(300,MAX(1,D1726)),0), FactorTable!$A$2:$A$301,0), Skills!M28+1)</f>
        <v/>
      </c>
      <c r="F1726">
        <f>IF(Skills!N28=TRUE,(Skills!L28/10)*(E1726/1000),Skills!L28/10)+Skills!O28</f>
        <v/>
      </c>
      <c r="G1726">
        <f>Calc!G28</f>
        <v/>
      </c>
      <c r="H1726">
        <f>Calc!H28</f>
        <v/>
      </c>
      <c r="I1726">
        <f>IF(Skills!X28&lt;&gt;"",1+(Skills!X28/10)*(Z1701/1000)/100,1)</f>
        <v/>
      </c>
      <c r="J1726">
        <f>((Inputs!$B$6*(1+Inputs!$B$7/100))+(((Inputs!$B$12*(1+Inputs!$B$13/100))-(Inputs!$B$12*(1+Inputs!$B$13/100)))+0.25*(Inputs!$B$14-Inputs!$B$14))*(1+Inputs!$B$7/100))*(F1726/100)</f>
        <v/>
      </c>
      <c r="K1726">
        <f>J1726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1721/100)*(1+IF(Inputs!$B$3&gt;=120,F1724,0)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1725*5,0)))/100)*(B1728*B1729*B1730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1726)</f>
        <v/>
      </c>
      <c r="L1726">
        <f>K1726*(MIN(Inputs!$B$22+(F1720-Calc!F22),(Inputs!$B$23+(IF(ArtifactsInput!$M$15,CHOOSE(ArtifactsInput!$N$15+1,25,30,35,40,45,50)/100*(Inputs!$B$11-Inputs!$B$11),0))))/100+(Inputs!$B$23+(IF(ArtifactsInput!$M$15,CHOOSE(ArtifactsInput!$N$15+1,25,30,35,40,45,50)/100*(Inputs!$B$11-Inputs!$B$11),0)))/100)/2</f>
        <v/>
      </c>
      <c r="M1726">
        <f>L1726*(1+(Inputs!$B$10+(F1719-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6">
        <f>L1726*(1-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1726*(MIN((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6">
        <f>(1-Summary!$B$11)*S1726+Summary!$B$11*U1726</f>
        <v/>
      </c>
      <c r="P1726">
        <f>IF(B1739=0,0,O1726/B1739)</f>
        <v/>
      </c>
      <c r="Q1726">
        <f>IFERROR(1/(IF(Inputs!$B$38="pvp",15,MAX(0.1,Skills!E28-IF(Skills!F28=TRUE,Inputs!$B$32,0)))*(1-IF(AND(ArtifactsInput!$M$27,Inputs!$B$4="Chapter Hunt"),CHOOSE(ArtifactsInput!$N$27+1,20,24,28,32,36,40),0)/100)),0)</f>
        <v/>
      </c>
      <c r="R1726">
        <f>IF(AND(Inputs!$B$38&lt;&gt;"pvp",Inputs!$B$43&gt;0),IF(MAX(0,Inputs!$B$43-B1736)&lt;=0,0,(INT(MAX(0,Inputs!$B$43-B1736)/(IF(Inputs!$B$38="pvp",15,MAX(0.1,Skills!E28-IF(Skills!F28=TRUE,Inputs!$B$32,0)))*(1-IF(AND(ArtifactsInput!$M$27,Inputs!$B$4="Chapter Hunt"),CHOOSE(ArtifactsInput!$N$27+1,20,24,28,32,36,40),0)/100)))+1)),0)</f>
        <v/>
      </c>
      <c r="S1726">
        <f>IF(C1726,(H1726*N1726*IF(AND(Inputs!$B$38&lt;&gt;"pvp",Inputs!$B$43&gt;0),((Skills!G28*((R1726-1)*IF(Skills!H28&gt;0,Skills!I28/Skills!H28,1)+IF(Skills!H28&gt;0,MIN(Skills!I28,MAX(0,MAX(0,Inputs!$B$43-B1736)-((R1726-1)*(IF(Inputs!$B$38="pvp",15,MAX(0.1,Skills!E28-IF(Skills!F28=TRUE,Inputs!$B$32,0)))*(1-IF(AND(ArtifactsInput!$M$27,Inputs!$B$4="Chapter Hunt"),CHOOSE(ArtifactsInput!$N$27+1,20,24,28,32,36,40),0)/100)))))/Skills!H28,1)))/Inputs!$B$43),G1726*Q1726)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1726*(1-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1726*(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1726*(1-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1726*(MIN(100,(Inputs!$B$9+(F1718-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26">
        <f>IF(C1726,(H1726*N1726*IF(AND(Inputs!$B$38&lt;&gt;"pvp",Inputs!$B$43&gt;0),((Skills!G28*((R1726-1)*IF(Skills!H28&gt;0,Skills!I28/Skills!H28,1)+IF(Skills!H28&gt;0,MIN(Skills!I28,MAX(0,MAX(0,Inputs!$B$43-B1736)-((R1726-1)*(IF(Inputs!$B$38="pvp",15,MAX(0.1,Skills!E28-IF(Skills!F28=TRUE,Inputs!$B$32,0)))*(1-IF(AND(ArtifactsInput!$M$27,Inputs!$B$4="Chapter Hunt"),CHOOSE(ArtifactsInput!$N$27+1,20,24,28,32,36,40),0)/100)))))/Skills!H28,1)))/Inputs!$B$43),G1726*Q1726)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8">
      <c r="A1728" t="inlineStr">
        <is>
          <t>Burning Magic Multiplier</t>
        </is>
      </c>
      <c r="B1728">
        <f>1+(F1709*Skills!Z11)/100</f>
        <v/>
      </c>
    </row>
    <row r="1729">
      <c r="A1729" t="inlineStr">
        <is>
          <t>Elemental Decrease Multiplier (always-on)</t>
        </is>
      </c>
      <c r="B1729">
        <f>1+(F1710+(IF(AND(ArtifactsInput!$M$35,Inputs!$B$4&lt;&gt;"Chapter Hunt"),CHOOSE(ArtifactsInput!$N$35+1,15,18,21,24,27,30)*(1-EXP(-(0.2*B1732)*5)),0)+IF(AND(ArtifactsInput!$M$22,Inputs!$B$4&lt;&gt;"Chapter Hunt"),CHOOSE(ArtifactsInput!$N$22+1,10,12,14,16,18,20)*((0*(((0.15*B1732*5))^0/1)+1*(((0.15*B1732*5))^1/1)+2*(((0.15*B1732*5))^2/2)+3*(((0.15*B1732*5))^3/6)+4*(((0.15*B1732*5))^4/24)+5*(((0.15*B1732*5))^5/120))/((((0.15*B1732*5))^0/1)+(((0.15*B1732*5))^1/1)+(((0.15*B1732*5))^2/2)+(((0.15*B1732*5))^3/6)+(((0.15*B1732*5))^4/24)+(((0.15*B1732*5))^5/120))),0)))/100</f>
        <v/>
      </c>
    </row>
    <row r="1730">
      <c r="A1730" t="inlineStr">
        <is>
          <t>Average Buff Multiplier (Magic Guard + Meditation + Artifact Attack%, summed; then Infinity)</t>
        </is>
      </c>
      <c r="B1730">
        <f>(1+(F1704*IF(AND(Inputs!$B$38&lt;&gt;"pvp",Inputs!$B$43&gt;0),(((R1704-1)*(Skills!T6*(1+((Inputs!$B$34+(ArtifactsInput!$M$7-ArtifactsInput!$M$7)*CHOOSE(ArtifactsInput!$N$7+1,6,7.2,8.4,9.6,10.8,12)))/100))+MIN((Skills!T6*(1+((Inputs!$B$34+(ArtifactsInput!$M$7-ArtifactsInput!$M$7)*CHOOSE(ArtifactsInput!$N$7+1,6,7.2,8.4,9.6,10.8,12)))/100)),MAX(0,Inputs!$B$43-((R1704-1)*Skills!E6))))/Inputs!$B$43),IF(Inputs!$B$38="pvp",MIN((Skills!T6*(1+((Inputs!$B$34+(ArtifactsInput!$M$7-ArtifactsInput!$M$7)*CHOOSE(ArtifactsInput!$N$7+1,6,7.2,8.4,9.6,10.8,12)))/100)),15)/15,(Skills!T6*(1+((Inputs!$B$34+(ArtifactsInput!$M$7-ArtifactsInput!$M$7)*CHOOSE(ArtifactsInput!$N$7+1,6,7.2,8.4,9.6,10.8,12)))/100))/Skills!E6))+F1715*IF(AND(Inputs!$B$38&lt;&gt;"pvp",Inputs!$B$43&gt;0),(((R1715-1)*(Skills!T17*(1+((Inputs!$B$34+(ArtifactsInput!$M$7-ArtifactsInput!$M$7)*CHOOSE(ArtifactsInput!$N$7+1,6,7.2,8.4,9.6,10.8,12)))/100))+MIN((Skills!T17*(1+((Inputs!$B$34+(ArtifactsInput!$M$7-ArtifactsInput!$M$7)*CHOOSE(ArtifactsInput!$N$7+1,6,7.2,8.4,9.6,10.8,12)))/100)),MAX(0,Inputs!$B$43-((R1715-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1717=TRUE,(1+F1717*IF(AND(Inputs!$B$38&lt;&gt;"pvp",Inputs!$B$43&gt;0),(((R1717-1)*(Skills!T19*(1+((Inputs!$B$34+(ArtifactsInput!$M$7-ArtifactsInput!$M$7)*CHOOSE(ArtifactsInput!$N$7+1,6,7.2,8.4,9.6,10.8,12)))/100))+MIN((Skills!T19*(1+((Inputs!$B$34+(ArtifactsInput!$M$7-ArtifactsInput!$M$7)*CHOOSE(ArtifactsInput!$N$7+1,6,7.2,8.4,9.6,10.8,12)))/100)),MAX(0,Inputs!$B$43-((R1717-1)*Skills!E19))))/Inputs!$B$43),IF(Inputs!$B$38="pvp",MIN((Skills!T19*(1+((Inputs!$B$34+(ArtifactsInput!$M$7-ArtifactsInput!$M$7)*CHOOSE(ArtifactsInput!$N$7+1,6,7.2,8.4,9.6,10.8,12)))/100)),15)/15,(Skills!T19*(1+((Inputs!$B$34+(ArtifactsInput!$M$7-ArtifactsInput!$M$7)*CHOOSE(ArtifactsInput!$N$7+1,6,7.2,8.4,9.6,10.8,12)))/100))/Skills!E19))/100),1)</f>
        <v/>
      </c>
    </row>
    <row r="1731">
      <c r="A1731" t="inlineStr">
        <is>
          <t>Attack Speed Buff Bonus % (Nimble Feet, averaged)</t>
        </is>
      </c>
      <c r="B1731">
        <f>F1716*IF(AND(Inputs!$B$38&lt;&gt;"pvp",Inputs!$B$43&gt;0),(((R1716-1)*(Skills!T18*(1+((Inputs!$B$34+(ArtifactsInput!$M$7-ArtifactsInput!$M$7)*CHOOSE(ArtifactsInput!$N$7+1,6,7.2,8.4,9.6,10.8,12)))/100))+MIN((Skills!T18*(1+((Inputs!$B$34+(ArtifactsInput!$M$7-ArtifactsInput!$M$7)*CHOOSE(ArtifactsInput!$N$7+1,6,7.2,8.4,9.6,10.8,12)))/100)),MAX(0,Inputs!$B$43-((R1716-1)*Skills!E18))))/Inputs!$B$43),IF(Inputs!$B$38="pvp",MIN((Skills!T18*(1+((Inputs!$B$34+(ArtifactsInput!$M$7-ArtifactsInput!$M$7)*CHOOSE(ArtifactsInput!$N$7+1,6,7.2,8.4,9.6,10.8,12)))/100)),15)/15,(Skills!T18*(1+((Inputs!$B$34+(ArtifactsInput!$M$7-ArtifactsInput!$M$7)*CHOOSE(ArtifactsInput!$N$7+1,6,7.2,8.4,9.6,10.8,12)))/100))/Skills!E18))</f>
        <v/>
      </c>
    </row>
    <row r="1732">
      <c r="A1732" t="inlineStr">
        <is>
          <t>Actions Per Second</t>
        </is>
      </c>
      <c r="B1732">
        <f>1+MIN(150,150*(1-(1-(Inputs!$B$11+(ArtifactsInput!$M$15-ArtifactsInput!$M$15)*CHOOSE(ArtifactsInput!$N$15+1,8,9.6,11.2,12.8,14.4,16))/150)*(1-B1731/150)))/100</f>
        <v/>
      </c>
    </row>
    <row r="1733">
      <c r="A1733" t="inlineStr">
        <is>
          <t>Skill + Buff Cast Rate</t>
        </is>
      </c>
      <c r="B1733">
        <f>IF(AND(Inputs!$B$38&lt;&gt;"pvp",Inputs!$B$43&gt;0),SUMPRODUCT((Skills!F2:F28=TRUE)*(C1700:C1726=TRUE)*R1700:R1726)/Inputs!$B$43,SUMPRODUCT((Skills!F2:F28=TRUE)*(C1700:C1726=TRUE)*Q1700:Q1726))</f>
        <v/>
      </c>
    </row>
    <row r="1734">
      <c r="A1734" t="inlineStr">
        <is>
          <t>Basic Attacks Per Second</t>
        </is>
      </c>
      <c r="B1734">
        <f>MAX(0,B1732-B1733)</f>
        <v/>
      </c>
    </row>
    <row r="1735">
      <c r="A1735" t="inlineStr">
        <is>
          <t>Meteor Proc — combined trigger cast rate</t>
        </is>
      </c>
      <c r="B1735">
        <f>IF(AND(Inputs!$B$38&lt;&gt;"pvp",Inputs!$B$43&gt;0),SUMPRODUCT((Skills!V2:V28=TRUE)*(C1700:C1726=TRUE)*R1700:R1726*Skills!W2:W28)/Inputs!$B$43,SUMPRODUCT((Skills!V2:V28=TRUE)*(C1700:C1726=TRUE)*Q1700:Q1726*Skills!W2:W28))+B1734</f>
        <v/>
      </c>
    </row>
    <row r="1736">
      <c r="A1736" t="inlineStr">
        <is>
          <t>Buff-Casting Startup Delay (s, fixed-duration only)</t>
        </is>
      </c>
      <c r="B1736">
        <f>IF(AND(Inputs!$B$38&lt;&gt;"pvp",Inputs!$B$43&gt;0),SUMPRODUCT((Skills!T2:T28&gt;0)*(Skills!F2:F28=TRUE)*(C1700:C1726=TRUE))/B1732,0)</f>
        <v/>
      </c>
    </row>
    <row r="1737">
      <c r="A1737" t="inlineStr">
        <is>
          <t>Boss-Only Total DPS (this block's swept value)</t>
        </is>
      </c>
      <c r="B1737">
        <f>SUM(S1700:S1726)</f>
        <v/>
      </c>
    </row>
    <row r="1738">
      <c r="A1738" t="inlineStr">
        <is>
          <t>Normal-Only Total DPS (this block's swept value)</t>
        </is>
      </c>
      <c r="B1738">
        <f>SUM(U1700:U1726)</f>
        <v/>
      </c>
    </row>
    <row r="1739">
      <c r="A1739" s="6" t="inlineStr">
        <is>
          <t>TOTAL DPS</t>
        </is>
      </c>
      <c r="B1739" s="6">
        <f>SUM(O1700:O1726)</f>
        <v/>
      </c>
    </row>
    <row r="1742">
      <c r="A1742" s="6" t="inlineStr">
        <is>
          <t>Stat: Chalice (Equip)</t>
        </is>
      </c>
    </row>
    <row r="1743">
      <c r="A1743" s="5" t="inlineStr">
        <is>
          <t>Key</t>
        </is>
      </c>
      <c r="B1743" s="5" t="inlineStr">
        <is>
          <t>Name</t>
        </is>
      </c>
      <c r="C1743" s="5" t="inlineStr">
        <is>
          <t>Unlocked</t>
        </is>
      </c>
      <c r="D1743" s="5" t="inlineStr">
        <is>
          <t>InputLevel</t>
        </is>
      </c>
      <c r="E1743" s="5" t="inlineStr">
        <is>
          <t>Factor</t>
        </is>
      </c>
      <c r="F1743" s="5" t="inlineStr">
        <is>
          <t>CoefficientPercent</t>
        </is>
      </c>
      <c r="G1743" s="5" t="inlineStr">
        <is>
          <t>EffectiveHits</t>
        </is>
      </c>
      <c r="H1743" s="5" t="inlineStr">
        <is>
          <t>ProcProbability</t>
        </is>
      </c>
      <c r="I1743" s="5" t="inlineStr">
        <is>
          <t>MapleHeroMultiplier</t>
        </is>
      </c>
      <c r="J1743" s="5" t="inlineStr">
        <is>
          <t>BaseDamage</t>
        </is>
      </c>
      <c r="K1743" s="5" t="inlineStr">
        <is>
          <t>BaseHitDamage</t>
        </is>
      </c>
      <c r="L1743" s="5" t="inlineStr">
        <is>
          <t>NonCritAvg</t>
        </is>
      </c>
      <c r="M1743" s="5" t="inlineStr">
        <is>
          <t>CritAvg</t>
        </is>
      </c>
      <c r="N1743" s="5" t="inlineStr">
        <is>
          <t>ExpectedDamage(perHit)</t>
        </is>
      </c>
      <c r="O1743" s="5" t="inlineStr">
        <is>
          <t>DPS</t>
        </is>
      </c>
      <c r="P1743" s="5" t="inlineStr">
        <is>
          <t>% of Total</t>
        </is>
      </c>
      <c r="R1743" t="inlineStr">
        <is>
          <t>helpers</t>
        </is>
      </c>
    </row>
    <row r="1744">
      <c r="A1744">
        <f>Skills!A2</f>
        <v/>
      </c>
      <c r="B1744">
        <f>Skills!B2</f>
        <v/>
      </c>
      <c r="C1744">
        <f>TRUE</f>
        <v/>
      </c>
      <c r="D1744" t="inlineStr"/>
      <c r="E1744" t="inlineStr"/>
      <c r="F1744">
        <f>T1746+Skills!O2</f>
        <v/>
      </c>
      <c r="G1744">
        <f>Calc!G2</f>
        <v/>
      </c>
      <c r="H1744">
        <f>Calc!H2</f>
        <v/>
      </c>
      <c r="I1744">
        <f>IF(Skills!X2&lt;&gt;"",1+(Skills!X2/10)*(Z1745/1000)/100,1)</f>
        <v/>
      </c>
      <c r="J1744">
        <f>((Inputs!$B$6*(1+Inputs!$B$7/100))+(((Inputs!$B$12*(1+Inputs!$B$13/100))-(Inputs!$B$12*(1+Inputs!$B$13/100)))+0.25*(Inputs!$B$14-Inputs!$B$14))*(1+Inputs!$B$7/100))*(F1744/100)</f>
        <v/>
      </c>
      <c r="K1744">
        <f>J1744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1744)</f>
        <v/>
      </c>
      <c r="L1744">
        <f>K1744*(MIN(Inputs!$B$22+(F1764-Calc!F22),(Inputs!$B$23+(IF(ArtifactsInput!$M$15,CHOOSE(ArtifactsInput!$N$15+1,25,30,35,40,45,50)/100*(Inputs!$B$11-Inputs!$B$11),0))))/100+(Inputs!$B$23+(IF(ArtifactsInput!$M$15,CHOOSE(ArtifactsInput!$N$15+1,25,30,35,40,45,50)/100*(Inputs!$B$11-Inputs!$B$11),0)))/100)/2</f>
        <v/>
      </c>
      <c r="M1744">
        <f>L1744*(1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4">
        <f>L1744*(1-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1744*(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4">
        <f>(1-Summary!$B$11)*S1744+Summary!$B$11*U1744</f>
        <v/>
      </c>
      <c r="P1744">
        <f>IF(B1783=0,0,O1744/B1783)</f>
        <v/>
      </c>
      <c r="Q1744">
        <f>IFERROR(1/(IF(Inputs!$B$38="pvp",15,MAX(0.1,Skills!E2-IF(Skills!F2=TRUE,Inputs!$B$32,0)))*(1-IF(AND(ArtifactsInput!$M$27,Inputs!$B$4="Chapter Hunt"),CHOOSE(ArtifactsInput!$N$27+1,20,24,28,32,36,40),0)/100)),0)</f>
        <v/>
      </c>
      <c r="R1744" t="n">
        <v>0</v>
      </c>
      <c r="S1744">
        <f>(Skills!G2*N1744*B1778)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1744*(1-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1744*(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1744*(1-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1744*(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744">
        <f>MAX(0,(Inputs!$B$3-100)*3)+Inputs!$B$28+Inputs!$B$29</f>
        <v/>
      </c>
      <c r="U1744">
        <f>(Skills!G2*N1744*B1778)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744">
        <f>MAX(0,(Inputs!$B$3-100)*3)+Inputs!$B$28+Inputs!$B$29</f>
        <v/>
      </c>
    </row>
    <row r="1745">
      <c r="A1745">
        <f>Skills!A3</f>
        <v/>
      </c>
      <c r="B1745">
        <f>Skills!B3</f>
        <v/>
      </c>
      <c r="C1745">
        <f>TRUE</f>
        <v/>
      </c>
      <c r="D1745">
        <f>IF(Skills!C3=1,60+Inputs!$B$25+Inputs!$B$29,IF(Skills!C3=2,90+Inputs!$B$26+Inputs!$B$29,IF(Skills!C3=3,120+Inputs!$B$27+Inputs!$B$29,MAX(0,(Inputs!$B$3-100)*3)+Inputs!$B$28+Inputs!$B$29)))</f>
        <v/>
      </c>
      <c r="E1745">
        <f>INDEX(FactorTable!$B$2:$Y$301, MATCH(ROUND(MIN(300,MAX(1,D1745)),0), FactorTable!$A$2:$A$301,0), Skills!M3+1)</f>
        <v/>
      </c>
      <c r="F1745">
        <f>IF(Skills!N3=TRUE,(Skills!L3/10)*(E1745/1000),Skills!L3/10)+Skills!O3</f>
        <v/>
      </c>
      <c r="G1745">
        <f>Calc!G3</f>
        <v/>
      </c>
      <c r="H1745">
        <f>Calc!H3</f>
        <v/>
      </c>
      <c r="I1745">
        <f>IF(Skills!X3&lt;&gt;"",1+(Skills!X3/10)*(Z1745/1000)/100,1)</f>
        <v/>
      </c>
      <c r="J1745">
        <f>((Inputs!$B$6*(1+Inputs!$B$7/100))+(((Inputs!$B$12*(1+Inputs!$B$13/100))-(Inputs!$B$12*(1+Inputs!$B$13/100)))+0.25*(Inputs!$B$14-Inputs!$B$14))*(1+Inputs!$B$7/100))*(F1745/100)</f>
        <v/>
      </c>
      <c r="K1745">
        <f>J1745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1745)</f>
        <v/>
      </c>
      <c r="L1745">
        <f>K1745*(MIN(Inputs!$B$22+(F1764-Calc!F22),(Inputs!$B$23+(IF(ArtifactsInput!$M$15,CHOOSE(ArtifactsInput!$N$15+1,25,30,35,40,45,50)/100*(Inputs!$B$11-Inputs!$B$11),0))))/100+(Inputs!$B$23+(IF(ArtifactsInput!$M$15,CHOOSE(ArtifactsInput!$N$15+1,25,30,35,40,45,50)/100*(Inputs!$B$11-Inputs!$B$11),0)))/100)/2</f>
        <v/>
      </c>
      <c r="M1745">
        <f>L1745*(1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5">
        <f>L1745*(1-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1745*(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5">
        <f>(1-Summary!$B$11)*S1745+Summary!$B$11*U1745</f>
        <v/>
      </c>
      <c r="P1745">
        <f>IF(B1783=0,0,O1745/B1783)</f>
        <v/>
      </c>
      <c r="Q1745">
        <f>IFERROR(1/(IF(Inputs!$B$38="pvp",15,MAX(0.1,Skills!E3-IF(Skills!F3=TRUE,Inputs!$B$32,0)))*(1-IF(AND(ArtifactsInput!$M$27,Inputs!$B$4="Chapter Hunt"),CHOOSE(ArtifactsInput!$N$27+1,20,24,28,32,36,40),0)/100)),0)</f>
        <v/>
      </c>
      <c r="R1745">
        <f>IF(AND(Inputs!$B$38&lt;&gt;"pvp",Inputs!$B$43&gt;0),IF(MAX(0,Inputs!$B$43-B1780)&lt;=0,0,(INT(MAX(0,Inputs!$B$43-B1780)/(IF(Inputs!$B$38="pvp",15,MAX(0.1,Skills!E3-IF(Skills!F3=TRUE,Inputs!$B$32,0)))*(1-IF(AND(ArtifactsInput!$M$27,Inputs!$B$4="Chapter Hunt"),CHOOSE(ArtifactsInput!$N$27+1,20,24,28,32,36,40),0)/100)))+1)),0)</f>
        <v/>
      </c>
      <c r="S1745">
        <f>IF(C1745,(H1745*N1745*IF(AND(Inputs!$B$38&lt;&gt;"pvp",Inputs!$B$43&gt;0),((Skills!G3*((R1745-1)*IF(Skills!H3&gt;0,Skills!I3/Skills!H3,1)+IF(Skills!H3&gt;0,MIN(Skills!I3,MAX(0,MAX(0,Inputs!$B$43-B1780)-((R1745-1)*(IF(Inputs!$B$38="pvp",15,MAX(0.1,Skills!E3-IF(Skills!F3=TRUE,Inputs!$B$32,0)))*(1-IF(AND(ArtifactsInput!$M$27,Inputs!$B$4="Chapter Hunt"),CHOOSE(ArtifactsInput!$N$27+1,20,24,28,32,36,40),0)/100)))))/Skills!H3,1)))/Inputs!$B$43),G1745*Q1745)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1745*(1-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1745*(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1745*(1-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1745*(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45">
        <f>INDEX(FactorTable!$B$2:$Y$301, MATCH(ROUND(MIN(300,MAX(1,T1744)),0), FactorTable!$A$2:$A$301,0), 22)</f>
        <v/>
      </c>
      <c r="U1745">
        <f>IF(C1745,(H1745*N1745*IF(AND(Inputs!$B$38&lt;&gt;"pvp",Inputs!$B$43&gt;0),((Skills!G3*((R1745-1)*IF(Skills!H3&gt;0,Skills!I3/Skills!H3,1)+IF(Skills!H3&gt;0,MIN(Skills!I3,MAX(0,MAX(0,Inputs!$B$43-B1780)-((R1745-1)*(IF(Inputs!$B$38="pvp",15,MAX(0.1,Skills!E3-IF(Skills!F3=TRUE,Inputs!$B$32,0)))*(1-IF(AND(ArtifactsInput!$M$27,Inputs!$B$4="Chapter Hunt"),CHOOSE(ArtifactsInput!$N$27+1,20,24,28,32,36,40),0)/100)))))/Skills!H3,1)))/Inputs!$B$43),G1745*Q1745)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745">
        <f>INDEX(FactorTable!$B$2:$Y$301, MATCH(ROUND(MIN(300,MAX(1,Z1744)),0), FactorTable!$A$2:$A$301,0), 24)</f>
        <v/>
      </c>
    </row>
    <row r="1746">
      <c r="A1746">
        <f>Skills!A4</f>
        <v/>
      </c>
      <c r="B1746">
        <f>Skills!B4</f>
        <v/>
      </c>
      <c r="C1746">
        <f>TRUE</f>
        <v/>
      </c>
      <c r="D1746">
        <f>IF(Skills!C4=1,60+Inputs!$B$25+Inputs!$B$29,IF(Skills!C4=2,90+Inputs!$B$26+Inputs!$B$29,IF(Skills!C4=3,120+Inputs!$B$27+Inputs!$B$29,MAX(0,(Inputs!$B$3-100)*3)+Inputs!$B$28+Inputs!$B$29)))</f>
        <v/>
      </c>
      <c r="E1746">
        <f>INDEX(FactorTable!$B$2:$Y$301, MATCH(ROUND(MIN(300,MAX(1,D1746)),0), FactorTable!$A$2:$A$301,0), Skills!M4+1)</f>
        <v/>
      </c>
      <c r="F1746">
        <f>IF(Skills!N4=TRUE,(Skills!L4/10)*(E1746/1000),Skills!L4/10)+Skills!O4</f>
        <v/>
      </c>
      <c r="G1746">
        <f>Calc!G4</f>
        <v/>
      </c>
      <c r="H1746">
        <f>Calc!H4</f>
        <v/>
      </c>
      <c r="I1746">
        <f>IF(Skills!X4&lt;&gt;"",1+(Skills!X4/10)*(Z1745/1000)/100,1)</f>
        <v/>
      </c>
      <c r="J1746">
        <f>((Inputs!$B$6*(1+Inputs!$B$7/100))+(((Inputs!$B$12*(1+Inputs!$B$13/100))-(Inputs!$B$12*(1+Inputs!$B$13/100)))+0.25*(Inputs!$B$14-Inputs!$B$14))*(1+Inputs!$B$7/100))*(F1746/100)</f>
        <v/>
      </c>
      <c r="K1746">
        <f>J1746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1746)</f>
        <v/>
      </c>
      <c r="L1746">
        <f>K1746*(MIN(Inputs!$B$22+(F1764-Calc!F22),(Inputs!$B$23+(IF(ArtifactsInput!$M$15,CHOOSE(ArtifactsInput!$N$15+1,25,30,35,40,45,50)/100*(Inputs!$B$11-Inputs!$B$11),0))))/100+(Inputs!$B$23+(IF(ArtifactsInput!$M$15,CHOOSE(ArtifactsInput!$N$15+1,25,30,35,40,45,50)/100*(Inputs!$B$11-Inputs!$B$11),0)))/100)/2</f>
        <v/>
      </c>
      <c r="M1746">
        <f>L1746*(1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6">
        <f>L1746*(1-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1746*(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6">
        <f>(1-Summary!$B$11)*S1746+Summary!$B$11*U1746</f>
        <v/>
      </c>
      <c r="P1746">
        <f>IF(B1783=0,0,O1746/B1783)</f>
        <v/>
      </c>
      <c r="Q1746">
        <f>IFERROR(1/(IF(Inputs!$B$38="pvp",15,MAX(0.1,Skills!E4-IF(Skills!F4=TRUE,Inputs!$B$32,0)))*(1-IF(AND(ArtifactsInput!$M$27,Inputs!$B$4="Chapter Hunt"),CHOOSE(ArtifactsInput!$N$27+1,20,24,28,32,36,40),0)/100)),0)</f>
        <v/>
      </c>
      <c r="R1746">
        <f>IF(AND(Inputs!$B$38&lt;&gt;"pvp",Inputs!$B$43&gt;0),IF(MAX(0,Inputs!$B$43-B1780)&lt;=0,0,(INT(MAX(0,Inputs!$B$43-B1780)/(IF(Inputs!$B$38="pvp",15,MAX(0.1,Skills!E4-IF(Skills!F4=TRUE,Inputs!$B$32,0)))*(1-IF(AND(ArtifactsInput!$M$27,Inputs!$B$4="Chapter Hunt"),CHOOSE(ArtifactsInput!$N$27+1,20,24,28,32,36,40),0)/100)))+1)),0)</f>
        <v/>
      </c>
      <c r="S1746">
        <f>IF(C1746,(H1746*N1746*IF(AND(Inputs!$B$38&lt;&gt;"pvp",Inputs!$B$43&gt;0),((Skills!G4*((R1746-1)*IF(Skills!H4&gt;0,Skills!I4/Skills!H4,1)+IF(Skills!H4&gt;0,MIN(Skills!I4,MAX(0,MAX(0,Inputs!$B$43-B1780)-((R1746-1)*(IF(Inputs!$B$38="pvp",15,MAX(0.1,Skills!E4-IF(Skills!F4=TRUE,Inputs!$B$32,0)))*(1-IF(AND(ArtifactsInput!$M$27,Inputs!$B$4="Chapter Hunt"),CHOOSE(ArtifactsInput!$N$27+1,20,24,28,32,36,40),0)/100)))))/Skills!H4,1)))/Inputs!$B$43),G1746*Q1746)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1746*(1-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1746*(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1746*(1-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1746*(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46">
        <f>290*T1745/1000</f>
        <v/>
      </c>
      <c r="U1746">
        <f>IF(C1746,(H1746*N1746*IF(AND(Inputs!$B$38&lt;&gt;"pvp",Inputs!$B$43&gt;0),((Skills!G4*((R1746-1)*IF(Skills!H4&gt;0,Skills!I4/Skills!H4,1)+IF(Skills!H4&gt;0,MIN(Skills!I4,MAX(0,MAX(0,Inputs!$B$43-B1780)-((R1746-1)*(IF(Inputs!$B$38="pvp",15,MAX(0.1,Skills!E4-IF(Skills!F4=TRUE,Inputs!$B$32,0)))*(1-IF(AND(ArtifactsInput!$M$27,Inputs!$B$4="Chapter Hunt"),CHOOSE(ArtifactsInput!$N$27+1,20,24,28,32,36,40),0)/100)))))/Skills!H4,1)))/Inputs!$B$43),G1746*Q1746)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7">
      <c r="A1747">
        <f>Skills!A5</f>
        <v/>
      </c>
      <c r="B1747">
        <f>Skills!B5</f>
        <v/>
      </c>
      <c r="C1747">
        <f>TRUE</f>
        <v/>
      </c>
      <c r="D1747">
        <f>IF(Skills!C5=1,60+Inputs!$B$25+Inputs!$B$29,IF(Skills!C5=2,90+Inputs!$B$26+Inputs!$B$29,IF(Skills!C5=3,120+Inputs!$B$27+Inputs!$B$29,MAX(0,(Inputs!$B$3-100)*3)+Inputs!$B$28+Inputs!$B$29)))</f>
        <v/>
      </c>
      <c r="E1747">
        <f>INDEX(FactorTable!$B$2:$Y$301, MATCH(ROUND(MIN(300,MAX(1,D1747)),0), FactorTable!$A$2:$A$301,0), Skills!M5+1)</f>
        <v/>
      </c>
      <c r="F1747">
        <f>IF(Skills!N5=TRUE,(Skills!L5/10)*(E1747/1000),Skills!L5/10)+Skills!O5</f>
        <v/>
      </c>
      <c r="G1747">
        <f>Calc!G5</f>
        <v/>
      </c>
      <c r="H1747">
        <f>Calc!H5</f>
        <v/>
      </c>
      <c r="I1747">
        <f>IF(Skills!X5&lt;&gt;"",1+(Skills!X5/10)*(Z1745/1000)/100,1)</f>
        <v/>
      </c>
      <c r="J1747">
        <f>((Inputs!$B$6*(1+Inputs!$B$7/100))+(((Inputs!$B$12*(1+Inputs!$B$13/100))-(Inputs!$B$12*(1+Inputs!$B$13/100)))+0.25*(Inputs!$B$14-Inputs!$B$14))*(1+Inputs!$B$7/100))*(F1747/100)</f>
        <v/>
      </c>
      <c r="K1747">
        <f>J1747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1747)</f>
        <v/>
      </c>
      <c r="L1747">
        <f>K1747*(MIN(Inputs!$B$22+(F1764-Calc!F22),(Inputs!$B$23+(IF(ArtifactsInput!$M$15,CHOOSE(ArtifactsInput!$N$15+1,25,30,35,40,45,50)/100*(Inputs!$B$11-Inputs!$B$11),0))))/100+(Inputs!$B$23+(IF(ArtifactsInput!$M$15,CHOOSE(ArtifactsInput!$N$15+1,25,30,35,40,45,50)/100*(Inputs!$B$11-Inputs!$B$11),0)))/100)/2</f>
        <v/>
      </c>
      <c r="M1747">
        <f>L1747*(1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7">
        <f>L1747*(1-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1747*(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7">
        <f>(1-Summary!$B$11)*S1747+Summary!$B$11*U1747</f>
        <v/>
      </c>
      <c r="P1747">
        <f>IF(B1783=0,0,O1747/B1783)</f>
        <v/>
      </c>
      <c r="Q1747">
        <f>IFERROR(1/(IF(Inputs!$B$38="pvp",15,MAX(0.1,Skills!E5-IF(Skills!F5=TRUE,Inputs!$B$32,0)))*(1-IF(AND(ArtifactsInput!$M$27,Inputs!$B$4="Chapter Hunt"),CHOOSE(ArtifactsInput!$N$27+1,20,24,28,32,36,40),0)/100)),0)</f>
        <v/>
      </c>
      <c r="R1747">
        <f>IF(AND(Inputs!$B$38&lt;&gt;"pvp",Inputs!$B$43&gt;0),IF(MAX(0,Inputs!$B$43-B1780)&lt;=0,0,(INT(MAX(0,Inputs!$B$43-B1780)/(IF(Inputs!$B$38="pvp",15,MAX(0.1,Skills!E5-IF(Skills!F5=TRUE,Inputs!$B$32,0)))*(1-IF(AND(ArtifactsInput!$M$27,Inputs!$B$4="Chapter Hunt"),CHOOSE(ArtifactsInput!$N$27+1,20,24,28,32,36,40),0)/100)))+1)),0)</f>
        <v/>
      </c>
      <c r="S1747">
        <f>IF(C1747,(H1747*N1747*IF(AND(Inputs!$B$38&lt;&gt;"pvp",Inputs!$B$43&gt;0),((Skills!G5*((R1747-1)*IF(Skills!H5&gt;0,Skills!I5/Skills!H5,1)+IF(Skills!H5&gt;0,MIN(Skills!I5,MAX(0,MAX(0,Inputs!$B$43-B1780)-((R1747-1)*(IF(Inputs!$B$38="pvp",15,MAX(0.1,Skills!E5-IF(Skills!F5=TRUE,Inputs!$B$32,0)))*(1-IF(AND(ArtifactsInput!$M$27,Inputs!$B$4="Chapter Hunt"),CHOOSE(ArtifactsInput!$N$27+1,20,24,28,32,36,40),0)/100)))))/Skills!H5,1)))/Inputs!$B$43),G1747*Q1747)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1747*(1-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1747*(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1747*(1-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1747*(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47">
        <f>IF(C1747,(H1747*N1747*IF(AND(Inputs!$B$38&lt;&gt;"pvp",Inputs!$B$43&gt;0),((Skills!G5*((R1747-1)*IF(Skills!H5&gt;0,Skills!I5/Skills!H5,1)+IF(Skills!H5&gt;0,MIN(Skills!I5,MAX(0,MAX(0,Inputs!$B$43-B1780)-((R1747-1)*(IF(Inputs!$B$38="pvp",15,MAX(0.1,Skills!E5-IF(Skills!F5=TRUE,Inputs!$B$32,0)))*(1-IF(AND(ArtifactsInput!$M$27,Inputs!$B$4="Chapter Hunt"),CHOOSE(ArtifactsInput!$N$27+1,20,24,28,32,36,40),0)/100)))))/Skills!H5,1)))/Inputs!$B$43),G1747*Q1747)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8">
      <c r="A1748">
        <f>Skills!A6</f>
        <v/>
      </c>
      <c r="B1748">
        <f>Skills!B6</f>
        <v/>
      </c>
      <c r="C1748">
        <f>TRUE</f>
        <v/>
      </c>
      <c r="D1748">
        <f>IF(Skills!C6=1,60+Inputs!$B$25+Inputs!$B$29,IF(Skills!C6=2,90+Inputs!$B$26+Inputs!$B$29,IF(Skills!C6=3,120+Inputs!$B$27+Inputs!$B$29,MAX(0,(Inputs!$B$3-100)*3)+Inputs!$B$28+Inputs!$B$29)))</f>
        <v/>
      </c>
      <c r="E1748">
        <f>INDEX(FactorTable!$B$2:$Y$301, MATCH(ROUND(MIN(300,MAX(1,D1748)),0), FactorTable!$A$2:$A$301,0), Skills!M6+1)</f>
        <v/>
      </c>
      <c r="F1748">
        <f>IF(Skills!N6=TRUE,(Skills!L6/10)*(E1748/1000),Skills!L6/10)+Skills!O6</f>
        <v/>
      </c>
      <c r="G1748">
        <f>Calc!G6</f>
        <v/>
      </c>
      <c r="H1748">
        <f>Calc!H6</f>
        <v/>
      </c>
      <c r="I1748">
        <f>IF(Skills!X6&lt;&gt;"",1+(Skills!X6/10)*(Z1745/1000)/100,1)</f>
        <v/>
      </c>
      <c r="J1748" t="inlineStr"/>
      <c r="K1748" t="inlineStr"/>
      <c r="L1748" t="inlineStr"/>
      <c r="M1748" t="inlineStr"/>
      <c r="N1748" t="inlineStr"/>
      <c r="O1748">
        <f>(1-Summary!$B$11)*S1748+Summary!$B$11*U1748</f>
        <v/>
      </c>
      <c r="P1748">
        <f>IF(B1783=0,0,O1748/B1783)</f>
        <v/>
      </c>
      <c r="Q1748">
        <f>IFERROR(1/(IF(Inputs!$B$38="pvp",15,MAX(0.1,Skills!E6-IF(Skills!F6=TRUE,Inputs!$B$32,0)))*(1-IF(AND(ArtifactsInput!$M$27,Inputs!$B$4="Chapter Hunt"),CHOOSE(ArtifactsInput!$N$27+1,20,24,28,32,36,40),0)/100)),0)</f>
        <v/>
      </c>
      <c r="R1748">
        <f>IF(AND(Inputs!$B$38&lt;&gt;"pvp",Inputs!$B$43&gt;0),IF(Inputs!$B$43&lt;=0,0,(INT(Inputs!$B$43/(IF(Inputs!$B$38="pvp",15,MAX(0.1,Skills!E6-IF(Skills!F6=TRUE,Inputs!$B$32,0)))*(1-IF(AND(ArtifactsInput!$M$27,Inputs!$B$4="Chapter Hunt"),CHOOSE(ArtifactsInput!$N$27+1,20,24,28,32,36,40),0)/100)))+1)),0)</f>
        <v/>
      </c>
      <c r="S1748" t="n">
        <v>0</v>
      </c>
      <c r="U1748" t="n">
        <v>0</v>
      </c>
    </row>
    <row r="1749">
      <c r="A1749">
        <f>Skills!A7</f>
        <v/>
      </c>
      <c r="B1749">
        <f>Skills!B7</f>
        <v/>
      </c>
      <c r="C1749">
        <f>TRUE</f>
        <v/>
      </c>
      <c r="D1749">
        <f>IF(Skills!C7=1,60+Inputs!$B$25+Inputs!$B$29,IF(Skills!C7=2,90+Inputs!$B$26+Inputs!$B$29,IF(Skills!C7=3,120+Inputs!$B$27+Inputs!$B$29,MAX(0,(Inputs!$B$3-100)*3)+Inputs!$B$28+Inputs!$B$29)))</f>
        <v/>
      </c>
      <c r="E1749">
        <f>INDEX(FactorTable!$B$2:$Y$301, MATCH(ROUND(MIN(300,MAX(1,D1749)),0), FactorTable!$A$2:$A$301,0), Skills!M7+1)</f>
        <v/>
      </c>
      <c r="F1749">
        <f>IF(Skills!N7=TRUE,(Skills!L7/10)*(E1749/1000),Skills!L7/10)+Skills!O7</f>
        <v/>
      </c>
      <c r="G1749">
        <f>Calc!G7</f>
        <v/>
      </c>
      <c r="H1749">
        <f>Calc!H7</f>
        <v/>
      </c>
      <c r="I1749">
        <f>IF(Skills!X7&lt;&gt;"",1+(Skills!X7/10)*(Z1745/1000)/100,1)</f>
        <v/>
      </c>
      <c r="J1749">
        <f>((Inputs!$B$6*(1+Inputs!$B$7/100))+(((Inputs!$B$12*(1+Inputs!$B$13/100))-(Inputs!$B$12*(1+Inputs!$B$13/100)))+0.25*(Inputs!$B$14-Inputs!$B$14))*(1+Inputs!$B$7/100))*(F1749/100)</f>
        <v/>
      </c>
      <c r="K1749">
        <f>J1749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1749)</f>
        <v/>
      </c>
      <c r="L1749">
        <f>K1749*(MIN(Inputs!$B$22+(F1764-Calc!F22),(Inputs!$B$23+(IF(ArtifactsInput!$M$15,CHOOSE(ArtifactsInput!$N$15+1,25,30,35,40,45,50)/100*(Inputs!$B$11-Inputs!$B$11),0))))/100+(Inputs!$B$23+(IF(ArtifactsInput!$M$15,CHOOSE(ArtifactsInput!$N$15+1,25,30,35,40,45,50)/100*(Inputs!$B$11-Inputs!$B$11),0)))/100)/2</f>
        <v/>
      </c>
      <c r="M1749">
        <f>L1749*(1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9">
        <f>L1749*(1-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1749*(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9">
        <f>(1-Summary!$B$11)*S1749+Summary!$B$11*U1749</f>
        <v/>
      </c>
      <c r="P1749">
        <f>IF(B1783=0,0,O1749/B1783)</f>
        <v/>
      </c>
      <c r="Q1749">
        <f>IFERROR(1/(IF(Inputs!$B$38="pvp",15,MAX(0.1,Skills!E7-IF(Skills!F7=TRUE,Inputs!$B$32,0)))*(1-IF(AND(ArtifactsInput!$M$27,Inputs!$B$4="Chapter Hunt"),CHOOSE(ArtifactsInput!$N$27+1,20,24,28,32,36,40),0)/100)),0)</f>
        <v/>
      </c>
      <c r="R1749">
        <f>IF(AND(Inputs!$B$38&lt;&gt;"pvp",Inputs!$B$43&gt;0),IF(MAX(0,Inputs!$B$43-B1780)&lt;=0,0,(INT(MAX(0,Inputs!$B$43-B1780)/(IF(Inputs!$B$38="pvp",15,MAX(0.1,Skills!E7-IF(Skills!F7=TRUE,Inputs!$B$32,0)))*(1-IF(AND(ArtifactsInput!$M$27,Inputs!$B$4="Chapter Hunt"),CHOOSE(ArtifactsInput!$N$27+1,20,24,28,32,36,40),0)/100)))+1)),0)</f>
        <v/>
      </c>
      <c r="S1749">
        <f>IF(C1749,(H1749*N1749*IF(AND(Inputs!$B$38&lt;&gt;"pvp",Inputs!$B$43&gt;0),((Skills!G7*((R1749-1)*IF(Skills!H7&gt;0,Skills!I7/Skills!H7,1)+IF(Skills!H7&gt;0,MIN(Skills!I7,MAX(0,MAX(0,Inputs!$B$43-B1780)-((R1749-1)*(IF(Inputs!$B$38="pvp",15,MAX(0.1,Skills!E7-IF(Skills!F7=TRUE,Inputs!$B$32,0)))*(1-IF(AND(ArtifactsInput!$M$27,Inputs!$B$4="Chapter Hunt"),CHOOSE(ArtifactsInput!$N$27+1,20,24,28,32,36,40),0)/100)))))/Skills!H7,1)))/Inputs!$B$43),G1749*Q1749)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1749*(1-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1749*(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1749*(1-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1749*(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49">
        <f>IF(C1749,(H1749*N1749*IF(AND(Inputs!$B$38&lt;&gt;"pvp",Inputs!$B$43&gt;0),((Skills!G7*((R1749-1)*IF(Skills!H7&gt;0,Skills!I7/Skills!H7,1)+IF(Skills!H7&gt;0,MIN(Skills!I7,MAX(0,MAX(0,Inputs!$B$43-B1780)-((R1749-1)*(IF(Inputs!$B$38="pvp",15,MAX(0.1,Skills!E7-IF(Skills!F7=TRUE,Inputs!$B$32,0)))*(1-IF(AND(ArtifactsInput!$M$27,Inputs!$B$4="Chapter Hunt"),CHOOSE(ArtifactsInput!$N$27+1,20,24,28,32,36,40),0)/100)))))/Skills!H7,1)))/Inputs!$B$43),G1749*Q1749)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0">
      <c r="A1750">
        <f>Skills!A8</f>
        <v/>
      </c>
      <c r="B1750">
        <f>Skills!B8</f>
        <v/>
      </c>
      <c r="C1750">
        <f>TRUE</f>
        <v/>
      </c>
      <c r="D1750">
        <f>IF(Skills!C8=1,60+Inputs!$B$25+Inputs!$B$29,IF(Skills!C8=2,90+Inputs!$B$26+Inputs!$B$29,IF(Skills!C8=3,120+Inputs!$B$27+Inputs!$B$29,MAX(0,(Inputs!$B$3-100)*3)+Inputs!$B$28+Inputs!$B$29)))</f>
        <v/>
      </c>
      <c r="E1750">
        <f>INDEX(FactorTable!$B$2:$Y$301, MATCH(ROUND(MIN(300,MAX(1,D1750)),0), FactorTable!$A$2:$A$301,0), Skills!M8+1)</f>
        <v/>
      </c>
      <c r="F1750">
        <f>IF(Skills!N8=TRUE,(Skills!L8/10)*(E1750/1000),Skills!L8/10)+Skills!O8</f>
        <v/>
      </c>
      <c r="G1750">
        <f>Calc!G8</f>
        <v/>
      </c>
      <c r="H1750">
        <f>Calc!H8</f>
        <v/>
      </c>
      <c r="I1750">
        <f>IF(Skills!X8&lt;&gt;"",1+(Skills!X8/10)*(Z1745/1000)/100,1)</f>
        <v/>
      </c>
      <c r="J1750">
        <f>((Inputs!$B$6*(1+Inputs!$B$7/100))+(((Inputs!$B$12*(1+Inputs!$B$13/100))-(Inputs!$B$12*(1+Inputs!$B$13/100)))+0.25*(Inputs!$B$14-Inputs!$B$14))*(1+Inputs!$B$7/100))*(F1750/100)</f>
        <v/>
      </c>
      <c r="K1750">
        <f>J1750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1750)</f>
        <v/>
      </c>
      <c r="L1750">
        <f>K1750*(MIN(Inputs!$B$22+(F1764-Calc!F22),(Inputs!$B$23+(IF(ArtifactsInput!$M$15,CHOOSE(ArtifactsInput!$N$15+1,25,30,35,40,45,50)/100*(Inputs!$B$11-Inputs!$B$11),0))))/100+(Inputs!$B$23+(IF(ArtifactsInput!$M$15,CHOOSE(ArtifactsInput!$N$15+1,25,30,35,40,45,50)/100*(Inputs!$B$11-Inputs!$B$11),0)))/100)/2</f>
        <v/>
      </c>
      <c r="M1750">
        <f>L1750*(1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0">
        <f>L1750*(1-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1750*(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0">
        <f>(1-Summary!$B$11)*S1750+Summary!$B$11*U1750</f>
        <v/>
      </c>
      <c r="P1750">
        <f>IF(B1783=0,0,O1750/B1783)</f>
        <v/>
      </c>
      <c r="Q1750">
        <f>IFERROR(1/(IF(Inputs!$B$38="pvp",15,MAX(0.1,Skills!E8-IF(Skills!F8=TRUE,Inputs!$B$32,0)))*(1-IF(AND(ArtifactsInput!$M$27,Inputs!$B$4="Chapter Hunt"),CHOOSE(ArtifactsInput!$N$27+1,20,24,28,32,36,40),0)/100)),0)</f>
        <v/>
      </c>
      <c r="R1750">
        <f>IF(AND(Inputs!$B$38&lt;&gt;"pvp",Inputs!$B$43&gt;0),IF(MAX(0,Inputs!$B$43-B1780)&lt;=0,0,(INT(MAX(0,Inputs!$B$43-B1780)/(IF(Inputs!$B$38="pvp",15,MAX(0.1,Skills!E8-IF(Skills!F8=TRUE,Inputs!$B$32,0)))*(1-IF(AND(ArtifactsInput!$M$27,Inputs!$B$4="Chapter Hunt"),CHOOSE(ArtifactsInput!$N$27+1,20,24,28,32,36,40),0)/100)))+1)),0)</f>
        <v/>
      </c>
      <c r="S1750">
        <f>IF(C1750,(H1750*N1750*IF(AND(Inputs!$B$38&lt;&gt;"pvp",Inputs!$B$43&gt;0),((Skills!G8*((R1750-1)*IF(Skills!H8&gt;0,Skills!I8/Skills!H8,1)+IF(Skills!H8&gt;0,MIN(Skills!I8,MAX(0,MAX(0,Inputs!$B$43-B1780)-((R1750-1)*(IF(Inputs!$B$38="pvp",15,MAX(0.1,Skills!E8-IF(Skills!F8=TRUE,Inputs!$B$32,0)))*(1-IF(AND(ArtifactsInput!$M$27,Inputs!$B$4="Chapter Hunt"),CHOOSE(ArtifactsInput!$N$27+1,20,24,28,32,36,40),0)/100)))))/Skills!H8,1)))/Inputs!$B$43),G1750*Q1750)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1750*(1-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1750*(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1750*(1-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1750*(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0">
        <f>IF(C1750,(H1750*N1750*IF(AND(Inputs!$B$38&lt;&gt;"pvp",Inputs!$B$43&gt;0),((Skills!G8*((R1750-1)*IF(Skills!H8&gt;0,Skills!I8/Skills!H8,1)+IF(Skills!H8&gt;0,MIN(Skills!I8,MAX(0,MAX(0,Inputs!$B$43-B1780)-((R1750-1)*(IF(Inputs!$B$38="pvp",15,MAX(0.1,Skills!E8-IF(Skills!F8=TRUE,Inputs!$B$32,0)))*(1-IF(AND(ArtifactsInput!$M$27,Inputs!$B$4="Chapter Hunt"),CHOOSE(ArtifactsInput!$N$27+1,20,24,28,32,36,40),0)/100)))))/Skills!H8,1)))/Inputs!$B$43),G1750*Q1750)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1">
      <c r="A1751">
        <f>Skills!A9</f>
        <v/>
      </c>
      <c r="B1751">
        <f>Skills!B9</f>
        <v/>
      </c>
      <c r="C1751">
        <f>Inputs!$B$3&gt;=103</f>
        <v/>
      </c>
      <c r="D1751">
        <f>IF(Skills!C9=1,60+Inputs!$B$25+Inputs!$B$29,IF(Skills!C9=2,90+Inputs!$B$26+Inputs!$B$29,IF(Skills!C9=3,120+Inputs!$B$27+Inputs!$B$29,MAX(0,(Inputs!$B$3-100)*3)+Inputs!$B$28+Inputs!$B$29)))</f>
        <v/>
      </c>
      <c r="E1751">
        <f>INDEX(FactorTable!$B$2:$Y$301, MATCH(ROUND(MIN(300,MAX(1,D1751)),0), FactorTable!$A$2:$A$301,0), Skills!M9+1)</f>
        <v/>
      </c>
      <c r="F1751">
        <f>IF(Skills!N9=TRUE,(Skills!L9/10)*(E1751/1000),Skills!L9/10)+Skills!O9</f>
        <v/>
      </c>
      <c r="G1751">
        <f>Calc!G9</f>
        <v/>
      </c>
      <c r="H1751">
        <f>Calc!H9</f>
        <v/>
      </c>
      <c r="I1751">
        <f>IF(Skills!X9&lt;&gt;"",1+(Skills!X9/10)*(Z1745/1000)/100,1)</f>
        <v/>
      </c>
      <c r="J1751">
        <f>((Inputs!$B$6*(1+Inputs!$B$7/100))+(((Inputs!$B$12*(1+Inputs!$B$13/100))-(Inputs!$B$12*(1+Inputs!$B$13/100)))+0.25*(Inputs!$B$14-Inputs!$B$14))*(1+Inputs!$B$7/100))*(F1751/100)</f>
        <v/>
      </c>
      <c r="K1751">
        <f>J1751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1751)</f>
        <v/>
      </c>
      <c r="L1751">
        <f>K1751*(MIN(Inputs!$B$22+(F1764-Calc!F22),(Inputs!$B$23+(IF(ArtifactsInput!$M$15,CHOOSE(ArtifactsInput!$N$15+1,25,30,35,40,45,50)/100*(Inputs!$B$11-Inputs!$B$11),0))))/100+(Inputs!$B$23+(IF(ArtifactsInput!$M$15,CHOOSE(ArtifactsInput!$N$15+1,25,30,35,40,45,50)/100*(Inputs!$B$11-Inputs!$B$11),0)))/100)/2</f>
        <v/>
      </c>
      <c r="M1751">
        <f>L1751*(1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1">
        <f>L1751*(1-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1">
        <f>(1-Summary!$B$11)*S1751+Summary!$B$11*U1751</f>
        <v/>
      </c>
      <c r="P1751">
        <f>IF(B1783=0,0,O1751/B1783)</f>
        <v/>
      </c>
      <c r="Q1751">
        <f>IFERROR(1/(IF(Inputs!$B$38="pvp",15,MAX(0.1,Skills!E9-IF(Skills!F7=TRUE,Inputs!$B$32,0)))*(1-IF(AND(ArtifactsInput!$M$27,Inputs!$B$4="Chapter Hunt"),CHOOSE(ArtifactsInput!$N$27+1,20,24,28,32,36,40),0)/100)),0)</f>
        <v/>
      </c>
      <c r="R1751">
        <f>IF(AND(Inputs!$B$38&lt;&gt;"pvp",Inputs!$B$43&gt;0),IF(MAX(0,Inputs!$B$43-B1780)&lt;=0,0,(INT(MAX(0,Inputs!$B$43-B1780)/(IF(Inputs!$B$38="pvp",15,MAX(0.1,Skills!E9-IF(Skills!F7=TRUE,Inputs!$B$32,0)))*(1-IF(AND(ArtifactsInput!$M$27,Inputs!$B$4="Chapter Hunt"),CHOOSE(ArtifactsInput!$N$27+1,20,24,28,32,36,40),0)/100)))+1)),0)</f>
        <v/>
      </c>
      <c r="S1751">
        <f>IF(C1751,(H1751*N1751*IF(AND(Inputs!$B$38&lt;&gt;"pvp",Inputs!$B$43&gt;0),((Skills!G9*((R1751-1)*IF(Skills!H9&gt;0,Skills!I9/Skills!H9,1)+IF(Skills!H9&gt;0,MIN(Skills!I9,MAX(0,MAX(0,Inputs!$B$43-B1780)-((R1751-1)*(IF(Inputs!$B$38="pvp",15,MAX(0.1,Skills!E9-IF(Skills!F7=TRUE,Inputs!$B$32,0)))*(1-IF(AND(ArtifactsInput!$M$27,Inputs!$B$4="Chapter Hunt"),CHOOSE(ArtifactsInput!$N$27+1,20,24,28,32,36,40),0)/100)))))/Skills!H9,1)))/Inputs!$B$43),G1751*Q1751)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1751*(1-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1751*(1-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1">
        <f>IF(C1751,(H1751*N1751*IF(AND(Inputs!$B$38&lt;&gt;"pvp",Inputs!$B$43&gt;0),((Skills!G9*((R1751-1)*IF(Skills!H9&gt;0,Skills!I9/Skills!H9,1)+IF(Skills!H9&gt;0,MIN(Skills!I9,MAX(0,MAX(0,Inputs!$B$43-B1780)-((R1751-1)*(IF(Inputs!$B$38="pvp",15,MAX(0.1,Skills!E9-IF(Skills!F7=TRUE,Inputs!$B$32,0)))*(1-IF(AND(ArtifactsInput!$M$27,Inputs!$B$4="Chapter Hunt"),CHOOSE(ArtifactsInput!$N$27+1,20,24,28,32,36,40),0)/100)))))/Skills!H9,1)))/Inputs!$B$43),G1751*Q1751)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2">
      <c r="A1752">
        <f>Skills!A10</f>
        <v/>
      </c>
      <c r="B1752">
        <f>Skills!B10</f>
        <v/>
      </c>
      <c r="C1752">
        <f>TRUE</f>
        <v/>
      </c>
      <c r="D1752">
        <f>IF(Skills!C10=1,60+Inputs!$B$25+Inputs!$B$29,IF(Skills!C10=2,90+Inputs!$B$26+Inputs!$B$29,IF(Skills!C10=3,120+Inputs!$B$27+Inputs!$B$29,MAX(0,(Inputs!$B$3-100)*3)+Inputs!$B$28+Inputs!$B$29)))</f>
        <v/>
      </c>
      <c r="E1752">
        <f>INDEX(FactorTable!$B$2:$Y$301, MATCH(ROUND(MIN(300,MAX(1,D1752)),0), FactorTable!$A$2:$A$301,0), Skills!M10+1)</f>
        <v/>
      </c>
      <c r="F1752">
        <f>IF(Skills!N10=TRUE,(Skills!L10/10)*(E1752/1000),Skills!L10/10)+Skills!O10</f>
        <v/>
      </c>
      <c r="G1752">
        <f>Calc!G10</f>
        <v/>
      </c>
      <c r="H1752">
        <f>Calc!H10</f>
        <v/>
      </c>
      <c r="I1752">
        <f>IF(Skills!X10&lt;&gt;"",1+(Skills!X10/10)*(Z1745/1000)/100,1)</f>
        <v/>
      </c>
      <c r="J1752">
        <f>((Inputs!$B$6*(1+Inputs!$B$7/100))+(((Inputs!$B$12*(1+Inputs!$B$13/100))-(Inputs!$B$12*(1+Inputs!$B$13/100)))+0.25*(Inputs!$B$14-Inputs!$B$14))*(1+Inputs!$B$7/100))*(F1752/100)</f>
        <v/>
      </c>
      <c r="K1752">
        <f>J1752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1752)</f>
        <v/>
      </c>
      <c r="L1752">
        <f>K1752*(MIN(Inputs!$B$22+(F1764-Calc!F22),(Inputs!$B$23+(IF(ArtifactsInput!$M$15,CHOOSE(ArtifactsInput!$N$15+1,25,30,35,40,45,50)/100*(Inputs!$B$11-Inputs!$B$11),0))))/100+(Inputs!$B$23+(IF(ArtifactsInput!$M$15,CHOOSE(ArtifactsInput!$N$15+1,25,30,35,40,45,50)/100*(Inputs!$B$11-Inputs!$B$11),0)))/100)/2</f>
        <v/>
      </c>
      <c r="M1752">
        <f>L1752*(1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2">
        <f>L1752*(1-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1752*(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2">
        <f>(1-Summary!$B$11)*S1752+Summary!$B$11*U1752</f>
        <v/>
      </c>
      <c r="P1752">
        <f>IF(B1783=0,0,O1752/B1783)</f>
        <v/>
      </c>
      <c r="Q1752">
        <f>IFERROR(1/(IF(Inputs!$B$38="pvp",15,MAX(0.1,Skills!E10-IF(Skills!F10=TRUE,Inputs!$B$32,0)))*(1-IF(AND(ArtifactsInput!$M$27,Inputs!$B$4="Chapter Hunt"),CHOOSE(ArtifactsInput!$N$27+1,20,24,28,32,36,40),0)/100)),0)</f>
        <v/>
      </c>
      <c r="R1752">
        <f>IF(AND(Inputs!$B$38&lt;&gt;"pvp",Inputs!$B$43&gt;0),IF(MAX(0,Inputs!$B$43-B1780)&lt;=0,0,(INT(MAX(0,Inputs!$B$43-B1780)/(IF(Inputs!$B$38="pvp",15,MAX(0.1,Skills!E10-IF(Skills!F10=TRUE,Inputs!$B$32,0)))*(1-IF(AND(ArtifactsInput!$M$27,Inputs!$B$4="Chapter Hunt"),CHOOSE(ArtifactsInput!$N$27+1,20,24,28,32,36,40),0)/100)))+1)),0)</f>
        <v/>
      </c>
      <c r="S1752">
        <f>IF(C1752,(H1752*N1752*IF(AND(Inputs!$B$38&lt;&gt;"pvp",Inputs!$B$43&gt;0),((Skills!G10*((R1752-1)*IF(Skills!H10&gt;0,Skills!I10/Skills!H10,1)+IF(Skills!H10&gt;0,MIN(Skills!I10,MAX(0,MAX(0,Inputs!$B$43-B1780)-((R1752-1)*(IF(Inputs!$B$38="pvp",15,MAX(0.1,Skills!E10-IF(Skills!F10=TRUE,Inputs!$B$32,0)))*(1-IF(AND(ArtifactsInput!$M$27,Inputs!$B$4="Chapter Hunt"),CHOOSE(ArtifactsInput!$N$27+1,20,24,28,32,36,40),0)/100)))))/Skills!H10,1)))/Inputs!$B$43),G1752*Q1752)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1752*(1-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1752*(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1752*(1-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1752*(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2">
        <f>IF(C1752,(H1752*N1752*IF(AND(Inputs!$B$38&lt;&gt;"pvp",Inputs!$B$43&gt;0),((Skills!G10*((R1752-1)*IF(Skills!H10&gt;0,Skills!I10/Skills!H10,1)+IF(Skills!H10&gt;0,MIN(Skills!I10,MAX(0,MAX(0,Inputs!$B$43-B1780)-((R1752-1)*(IF(Inputs!$B$38="pvp",15,MAX(0.1,Skills!E10-IF(Skills!F10=TRUE,Inputs!$B$32,0)))*(1-IF(AND(ArtifactsInput!$M$27,Inputs!$B$4="Chapter Hunt"),CHOOSE(ArtifactsInput!$N$27+1,20,24,28,32,36,40),0)/100)))))/Skills!H10,1)))/Inputs!$B$43),G1752*Q1752)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3">
      <c r="A1753">
        <f>Skills!A11</f>
        <v/>
      </c>
      <c r="B1753">
        <f>Skills!B11</f>
        <v/>
      </c>
      <c r="C1753">
        <f>TRUE</f>
        <v/>
      </c>
      <c r="D1753">
        <f>IF(Skills!C11=1,60+Inputs!$B$25+Inputs!$B$29,IF(Skills!C11=2,90+Inputs!$B$26+Inputs!$B$29,IF(Skills!C11=3,120+Inputs!$B$27+Inputs!$B$29,MAX(0,(Inputs!$B$3-100)*3)+Inputs!$B$28+Inputs!$B$29)))</f>
        <v/>
      </c>
      <c r="E1753">
        <f>INDEX(FactorTable!$B$2:$Y$301, MATCH(ROUND(MIN(300,MAX(1,D1753)),0), FactorTable!$A$2:$A$301,0), Skills!M11+1)</f>
        <v/>
      </c>
      <c r="F1753">
        <f>IF(Skills!N11=TRUE,(Skills!L11/10)*(E1753/1000),Skills!L11/10)+Skills!O11</f>
        <v/>
      </c>
      <c r="G1753">
        <f>Calc!G11</f>
        <v/>
      </c>
      <c r="H1753">
        <f>Calc!H11</f>
        <v/>
      </c>
      <c r="I1753">
        <f>IF(Skills!X11&lt;&gt;"",1+(Skills!X11/10)*(Z1745/1000)/100,1)</f>
        <v/>
      </c>
      <c r="J1753" t="inlineStr"/>
      <c r="K1753" t="inlineStr"/>
      <c r="L1753" t="inlineStr"/>
      <c r="M1753" t="inlineStr"/>
      <c r="N1753" t="inlineStr"/>
      <c r="O1753">
        <f>(1-Summary!$B$11)*S1753+Summary!$B$11*U1753</f>
        <v/>
      </c>
      <c r="P1753">
        <f>IF(B1783=0,0,O1753/B1783)</f>
        <v/>
      </c>
      <c r="Q1753">
        <f>IFERROR(1/(IF(Inputs!$B$38="pvp",15,MAX(0.1,Skills!E11-IF(Skills!F11=TRUE,Inputs!$B$32,0)))*(1-IF(AND(ArtifactsInput!$M$27,Inputs!$B$4="Chapter Hunt"),CHOOSE(ArtifactsInput!$N$27+1,20,24,28,32,36,40),0)/100)),0)</f>
        <v/>
      </c>
      <c r="R1753" t="n">
        <v>0</v>
      </c>
      <c r="S1753" t="n">
        <v>0</v>
      </c>
      <c r="U1753" t="n">
        <v>0</v>
      </c>
    </row>
    <row r="1754">
      <c r="A1754">
        <f>Skills!A12</f>
        <v/>
      </c>
      <c r="B1754">
        <f>Skills!B12</f>
        <v/>
      </c>
      <c r="C1754">
        <f>TRUE</f>
        <v/>
      </c>
      <c r="D1754">
        <f>IF(Skills!C12=1,60+Inputs!$B$25+Inputs!$B$29,IF(Skills!C12=2,90+Inputs!$B$26+Inputs!$B$29,IF(Skills!C12=3,120+Inputs!$B$27+Inputs!$B$29,MAX(0,(Inputs!$B$3-100)*3)+Inputs!$B$28+Inputs!$B$29)))</f>
        <v/>
      </c>
      <c r="E1754">
        <f>INDEX(FactorTable!$B$2:$Y$301, MATCH(ROUND(MIN(300,MAX(1,D1754)),0), FactorTable!$A$2:$A$301,0), Skills!M12+1)</f>
        <v/>
      </c>
      <c r="F1754">
        <f>IF(Skills!N12=TRUE,(Skills!L12/10)*(E1754/1000),Skills!L12/10)+Skills!O12</f>
        <v/>
      </c>
      <c r="G1754">
        <f>Calc!G12</f>
        <v/>
      </c>
      <c r="H1754">
        <f>Calc!H12</f>
        <v/>
      </c>
      <c r="I1754">
        <f>IF(Skills!X12&lt;&gt;"",1+(Skills!X12/10)*(Z1745/1000)/100,1)</f>
        <v/>
      </c>
      <c r="J1754" t="inlineStr"/>
      <c r="K1754" t="inlineStr"/>
      <c r="L1754" t="inlineStr"/>
      <c r="M1754" t="inlineStr"/>
      <c r="N1754" t="inlineStr"/>
      <c r="O1754">
        <f>(1-Summary!$B$11)*S1754+Summary!$B$11*U1754</f>
        <v/>
      </c>
      <c r="P1754">
        <f>IF(B1783=0,0,O1754/B1783)</f>
        <v/>
      </c>
      <c r="Q1754">
        <f>IFERROR(1/(IF(Inputs!$B$38="pvp",15,MAX(0.1,Skills!E12-IF(Skills!F12=TRUE,Inputs!$B$32,0)))*(1-IF(AND(ArtifactsInput!$M$27,Inputs!$B$4="Chapter Hunt"),CHOOSE(ArtifactsInput!$N$27+1,20,24,28,32,36,40),0)/100)),0)</f>
        <v/>
      </c>
      <c r="R1754" t="n">
        <v>0</v>
      </c>
      <c r="S1754" t="n">
        <v>0</v>
      </c>
      <c r="U1754" t="n">
        <v>0</v>
      </c>
    </row>
    <row r="1755">
      <c r="A1755">
        <f>Skills!A13</f>
        <v/>
      </c>
      <c r="B1755">
        <f>Skills!B13</f>
        <v/>
      </c>
      <c r="C1755">
        <f>Inputs!$B$3&gt;=105</f>
        <v/>
      </c>
      <c r="D1755">
        <f>IF(Skills!C13=1,60+Inputs!$B$25+Inputs!$B$29,IF(Skills!C13=2,90+Inputs!$B$26+Inputs!$B$29,IF(Skills!C13=3,120+Inputs!$B$27+Inputs!$B$29,MAX(0,(Inputs!$B$3-100)*3)+Inputs!$B$28+Inputs!$B$29)))</f>
        <v/>
      </c>
      <c r="E1755">
        <f>INDEX(FactorTable!$B$2:$Y$301, MATCH(ROUND(MIN(300,MAX(1,D1755)),0), FactorTable!$A$2:$A$301,0), Skills!M13+1)</f>
        <v/>
      </c>
      <c r="F1755">
        <f>IF(Skills!N13=TRUE,(Skills!L13/10)*(E1755/1000),Skills!L13/10)+Skills!O13</f>
        <v/>
      </c>
      <c r="G1755">
        <f>Calc!G13</f>
        <v/>
      </c>
      <c r="H1755">
        <f>Calc!H13</f>
        <v/>
      </c>
      <c r="I1755">
        <f>IF(Skills!X13&lt;&gt;"",1+(Skills!X13/10)*(Z1745/1000)/100,1)</f>
        <v/>
      </c>
      <c r="J1755">
        <f>((Inputs!$B$6*(1+Inputs!$B$7/100))+(((Inputs!$B$12*(1+Inputs!$B$13/100))-(Inputs!$B$12*(1+Inputs!$B$13/100)))+0.25*(Inputs!$B$14-Inputs!$B$14))*(1+Inputs!$B$7/100))*(F1755/100)</f>
        <v/>
      </c>
      <c r="K1755">
        <f>J1755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1755)</f>
        <v/>
      </c>
      <c r="L1755">
        <f>K1755*(MIN(Inputs!$B$22+(F1764-Calc!F22),(Inputs!$B$23+(IF(ArtifactsInput!$M$15,CHOOSE(ArtifactsInput!$N$15+1,25,30,35,40,45,50)/100*(Inputs!$B$11-Inputs!$B$11),0))))/100+(Inputs!$B$23+(IF(ArtifactsInput!$M$15,CHOOSE(ArtifactsInput!$N$15+1,25,30,35,40,45,50)/100*(Inputs!$B$11-Inputs!$B$11),0)))/100)/2</f>
        <v/>
      </c>
      <c r="M1755">
        <f>L1755*(1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5">
        <f>L1755*(1-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1755*(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5">
        <f>(1-Summary!$B$11)*S1755+Summary!$B$11*U1755</f>
        <v/>
      </c>
      <c r="P1755">
        <f>IF(B1783=0,0,O1755/B1783)</f>
        <v/>
      </c>
      <c r="Q1755">
        <f>IFERROR(1/(IF(Inputs!$B$38="pvp",15,MAX(0.1,Skills!E13-IF(Skills!F13=TRUE,Inputs!$B$32,0)))*(1-IF(AND(ArtifactsInput!$M$27,Inputs!$B$4="Chapter Hunt"),CHOOSE(ArtifactsInput!$N$27+1,20,24,28,32,36,40),0)/100)),0)</f>
        <v/>
      </c>
      <c r="R1755">
        <f>IF(AND(Inputs!$B$38&lt;&gt;"pvp",Inputs!$B$43&gt;0),IF(MAX(0,Inputs!$B$43-B1780)&lt;=0,0,(INT(MAX(0,Inputs!$B$43-B1780)/(IF(Inputs!$B$38="pvp",15,MAX(0.1,Skills!E13-IF(Skills!F13=TRUE,Inputs!$B$32,0)))*(1-IF(AND(ArtifactsInput!$M$27,Inputs!$B$4="Chapter Hunt"),CHOOSE(ArtifactsInput!$N$27+1,20,24,28,32,36,40),0)/100)))+1)),0)</f>
        <v/>
      </c>
      <c r="S1755">
        <f>IF(C1755,(H1755*N1755*IF(AND(Inputs!$B$38&lt;&gt;"pvp",Inputs!$B$43&gt;0),((Skills!G13*((R1755-1)*IF(Skills!H13&gt;0,Skills!I13/Skills!H13,1)+IF(Skills!H13&gt;0,MIN(Skills!I13,MAX(0,MAX(0,Inputs!$B$43-B1780)-((R1755-1)*(IF(Inputs!$B$38="pvp",15,MAX(0.1,Skills!E13-IF(Skills!F13=TRUE,Inputs!$B$32,0)))*(1-IF(AND(ArtifactsInput!$M$27,Inputs!$B$4="Chapter Hunt"),CHOOSE(ArtifactsInput!$N$27+1,20,24,28,32,36,40),0)/100)))))/Skills!H13,1)))/Inputs!$B$43),G1755*Q1755)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1755*(1-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1755*(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1755*(1-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1755*(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5">
        <f>IF(C1755,(H1755*N1755*IF(AND(Inputs!$B$38&lt;&gt;"pvp",Inputs!$B$43&gt;0),((Skills!G13*((R1755-1)*IF(Skills!H13&gt;0,Skills!I13/Skills!H13,1)+IF(Skills!H13&gt;0,MIN(Skills!I13,MAX(0,MAX(0,Inputs!$B$43-B1780)-((R1755-1)*(IF(Inputs!$B$38="pvp",15,MAX(0.1,Skills!E13-IF(Skills!F13=TRUE,Inputs!$B$32,0)))*(1-IF(AND(ArtifactsInput!$M$27,Inputs!$B$4="Chapter Hunt"),CHOOSE(ArtifactsInput!$N$27+1,20,24,28,32,36,40),0)/100)))))/Skills!H13,1)))/Inputs!$B$43),G1755*Q1755)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6">
      <c r="A1756">
        <f>Skills!A14</f>
        <v/>
      </c>
      <c r="B1756">
        <f>Skills!B14</f>
        <v/>
      </c>
      <c r="C1756">
        <f>Inputs!$B$3&gt;=113</f>
        <v/>
      </c>
      <c r="D1756">
        <f>IF(Skills!C14=1,60+Inputs!$B$25+Inputs!$B$29,IF(Skills!C14=2,90+Inputs!$B$26+Inputs!$B$29,IF(Skills!C14=3,120+Inputs!$B$27+Inputs!$B$29,MAX(0,(Inputs!$B$3-100)*3)+Inputs!$B$28+Inputs!$B$29)))</f>
        <v/>
      </c>
      <c r="E1756">
        <f>INDEX(FactorTable!$B$2:$Y$301, MATCH(ROUND(MIN(300,MAX(1,D1756)),0), FactorTable!$A$2:$A$301,0), Skills!M14+1)</f>
        <v/>
      </c>
      <c r="F1756">
        <f>IF(Skills!N14=TRUE,(Skills!L14/10)*(E1756/1000),Skills!L14/10)+Skills!O14</f>
        <v/>
      </c>
      <c r="G1756">
        <f>Calc!G14</f>
        <v/>
      </c>
      <c r="H1756">
        <f>Calc!H14</f>
        <v/>
      </c>
      <c r="I1756">
        <f>IF(Skills!X14&lt;&gt;"",1+(Skills!X14/10)*(Z1745/1000)/100,1)</f>
        <v/>
      </c>
      <c r="J1756">
        <f>((Inputs!$B$6*(1+Inputs!$B$7/100))+(((Inputs!$B$12*(1+Inputs!$B$13/100))-(Inputs!$B$12*(1+Inputs!$B$13/100)))+0.25*(Inputs!$B$14-Inputs!$B$14))*(1+Inputs!$B$7/100))*(F1756/100)</f>
        <v/>
      </c>
      <c r="K1756">
        <f>J1756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1756)</f>
        <v/>
      </c>
      <c r="L1756">
        <f>K1756*(MIN(Inputs!$B$22+(F1764-Calc!F22),(Inputs!$B$23+(IF(ArtifactsInput!$M$15,CHOOSE(ArtifactsInput!$N$15+1,25,30,35,40,45,50)/100*(Inputs!$B$11-Inputs!$B$11),0))))/100+(Inputs!$B$23+(IF(ArtifactsInput!$M$15,CHOOSE(ArtifactsInput!$N$15+1,25,30,35,40,45,50)/100*(Inputs!$B$11-Inputs!$B$11),0)))/100)/2</f>
        <v/>
      </c>
      <c r="M1756">
        <f>L1756*(1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6">
        <f>L1756*(1-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1756*(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6">
        <f>(1-Summary!$B$11)*S1756+Summary!$B$11*U1756</f>
        <v/>
      </c>
      <c r="P1756">
        <f>IF(B1783=0,0,O1756/B1783)</f>
        <v/>
      </c>
      <c r="Q1756">
        <f>IFERROR(1/(IF(Inputs!$B$38="pvp",15,MAX(0.1,Skills!E14-IF(Skills!F14=TRUE,Inputs!$B$32,0)))*(1-IF(AND(ArtifactsInput!$M$27,Inputs!$B$4="Chapter Hunt"),CHOOSE(ArtifactsInput!$N$27+1,20,24,28,32,36,40),0)/100)),0)</f>
        <v/>
      </c>
      <c r="R1756" t="n">
        <v>0</v>
      </c>
      <c r="S1756">
        <f>IF(C1756,((H1756*B1779)/(1+Skills!H14*H1756*B1779)*N1756)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1756*(1-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1756*(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1756*(1-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1756*(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6">
        <f>IF(C1756,((H1756*B1779)/(1+Skills!H14*H1756*B1779)*N1756)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7">
      <c r="A1757">
        <f>Skills!A15</f>
        <v/>
      </c>
      <c r="B1757">
        <f>Skills!B15</f>
        <v/>
      </c>
      <c r="C1757">
        <f>Inputs!$B$3&gt;=107</f>
        <v/>
      </c>
      <c r="D1757">
        <f>IF(Skills!C15=1,60+Inputs!$B$25+Inputs!$B$29,IF(Skills!C15=2,90+Inputs!$B$26+Inputs!$B$29,IF(Skills!C15=3,120+Inputs!$B$27+Inputs!$B$29,MAX(0,(Inputs!$B$3-100)*3)+Inputs!$B$28+Inputs!$B$29)))</f>
        <v/>
      </c>
      <c r="E1757">
        <f>INDEX(FactorTable!$B$2:$Y$301, MATCH(ROUND(MIN(300,MAX(1,D1757)),0), FactorTable!$A$2:$A$301,0), Skills!M15+1)</f>
        <v/>
      </c>
      <c r="F1757">
        <f>IF(Skills!N15=TRUE,(Skills!L15/10)*(E1757/1000),Skills!L15/10)+Skills!O15</f>
        <v/>
      </c>
      <c r="G1757">
        <f>Calc!G15</f>
        <v/>
      </c>
      <c r="H1757">
        <f>Calc!H15</f>
        <v/>
      </c>
      <c r="I1757">
        <f>IF(Skills!X15&lt;&gt;"",1+(Skills!X15/10)*(Z1745/1000)/100,1)</f>
        <v/>
      </c>
      <c r="J1757">
        <f>((Inputs!$B$6*(1+Inputs!$B$7/100))+(((Inputs!$B$12*(1+Inputs!$B$13/100))-(Inputs!$B$12*(1+Inputs!$B$13/100)))+0.25*(Inputs!$B$14-Inputs!$B$14))*(1+Inputs!$B$7/100))*(F1757/100)</f>
        <v/>
      </c>
      <c r="K1757">
        <f>J1757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1757)</f>
        <v/>
      </c>
      <c r="L1757">
        <f>K1757*(MIN(Inputs!$B$22+(F1764-Calc!F22),(Inputs!$B$23+(IF(ArtifactsInput!$M$15,CHOOSE(ArtifactsInput!$N$15+1,25,30,35,40,45,50)/100*(Inputs!$B$11-Inputs!$B$11),0))))/100+(Inputs!$B$23+(IF(ArtifactsInput!$M$15,CHOOSE(ArtifactsInput!$N$15+1,25,30,35,40,45,50)/100*(Inputs!$B$11-Inputs!$B$11),0)))/100)/2</f>
        <v/>
      </c>
      <c r="M1757">
        <f>L1757*(1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7">
        <f>L1757*(1-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1757*(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7">
        <f>(1-Summary!$B$11)*S1757+Summary!$B$11*U1757</f>
        <v/>
      </c>
      <c r="P1757">
        <f>IF(B1783=0,0,O1757/B1783)</f>
        <v/>
      </c>
      <c r="Q1757">
        <f>IFERROR(1/(IF(Inputs!$B$38="pvp",15,MAX(0.1,Skills!E15-IF(Skills!F15=TRUE,Inputs!$B$32,0)))*(1-IF(AND(ArtifactsInput!$M$27,Inputs!$B$4="Chapter Hunt"),CHOOSE(ArtifactsInput!$N$27+1,20,24,28,32,36,40),0)/100)),0)</f>
        <v/>
      </c>
      <c r="R1757">
        <f>IF(AND(Inputs!$B$38&lt;&gt;"pvp",Inputs!$B$43&gt;0),IF(MAX(0,Inputs!$B$43-B1780)&lt;=0,0,(INT(MAX(0,Inputs!$B$43-B1780)/(IF(Inputs!$B$38="pvp",15,MAX(0.1,Skills!E15-IF(Skills!F15=TRUE,Inputs!$B$32,0)))*(1-IF(AND(ArtifactsInput!$M$27,Inputs!$B$4="Chapter Hunt"),CHOOSE(ArtifactsInput!$N$27+1,20,24,28,32,36,40),0)/100)))+1)),0)</f>
        <v/>
      </c>
      <c r="S1757">
        <f>IF(C1757,(H1757*N1757*IF(AND(Inputs!$B$38&lt;&gt;"pvp",Inputs!$B$43&gt;0),((Skills!G15*((R1757-1)*IF(Skills!H15&gt;0,Skills!I15/Skills!H15,1)+IF(Skills!H15&gt;0,MIN(Skills!I15,MAX(0,MAX(0,Inputs!$B$43-B1780)-((R1757-1)*(IF(Inputs!$B$38="pvp",15,MAX(0.1,Skills!E15-IF(Skills!F15=TRUE,Inputs!$B$32,0)))*(1-IF(AND(ArtifactsInput!$M$27,Inputs!$B$4="Chapter Hunt"),CHOOSE(ArtifactsInput!$N$27+1,20,24,28,32,36,40),0)/100)))))/Skills!H15,1)))/Inputs!$B$43),G1757*Q1757)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1757*(1-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1757*(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1757*(1-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1757*(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7">
        <f>IF(C1757,(H1757*N1757*IF(AND(Inputs!$B$38&lt;&gt;"pvp",Inputs!$B$43&gt;0),((Skills!G15*((R1757-1)*IF(Skills!H15&gt;0,Skills!I15/Skills!H15,1)+IF(Skills!H15&gt;0,MIN(Skills!I15,MAX(0,MAX(0,Inputs!$B$43-B1780)-((R1757-1)*(IF(Inputs!$B$38="pvp",15,MAX(0.1,Skills!E15-IF(Skills!F15=TRUE,Inputs!$B$32,0)))*(1-IF(AND(ArtifactsInput!$M$27,Inputs!$B$4="Chapter Hunt"),CHOOSE(ArtifactsInput!$N$27+1,20,24,28,32,36,40),0)/100)))))/Skills!H15,1)))/Inputs!$B$43),G1757*Q1757)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8">
      <c r="A1758">
        <f>Skills!A16</f>
        <v/>
      </c>
      <c r="B1758">
        <f>Skills!B16</f>
        <v/>
      </c>
      <c r="C1758">
        <f>Inputs!$B$3&gt;=107</f>
        <v/>
      </c>
      <c r="D1758">
        <f>IF(Skills!C16=1,60+Inputs!$B$25+Inputs!$B$29,IF(Skills!C16=2,90+Inputs!$B$26+Inputs!$B$29,IF(Skills!C16=3,120+Inputs!$B$27+Inputs!$B$29,MAX(0,(Inputs!$B$3-100)*3)+Inputs!$B$28+Inputs!$B$29)))</f>
        <v/>
      </c>
      <c r="E1758">
        <f>INDEX(FactorTable!$B$2:$Y$301, MATCH(ROUND(MIN(300,MAX(1,D1758)),0), FactorTable!$A$2:$A$301,0), Skills!M16+1)</f>
        <v/>
      </c>
      <c r="F1758">
        <f>IF(Skills!N16=TRUE,(Skills!L16/10)*(E1758/1000),Skills!L16/10)+Skills!O16</f>
        <v/>
      </c>
      <c r="G1758">
        <f>Calc!G16</f>
        <v/>
      </c>
      <c r="H1758">
        <f>Calc!H16</f>
        <v/>
      </c>
      <c r="I1758">
        <f>IF(Skills!X16&lt;&gt;"",1+(Skills!X16/10)*(Z1745/1000)/100,1)</f>
        <v/>
      </c>
      <c r="J1758">
        <f>((Inputs!$B$6*(1+Inputs!$B$7/100))+(((Inputs!$B$12*(1+Inputs!$B$13/100))-(Inputs!$B$12*(1+Inputs!$B$13/100)))+0.25*(Inputs!$B$14-Inputs!$B$14))*(1+Inputs!$B$7/100))*(F1758/100)</f>
        <v/>
      </c>
      <c r="K1758">
        <f>J1758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1758)</f>
        <v/>
      </c>
      <c r="L1758">
        <f>K1758*(MIN(Inputs!$B$22+(F1764-Calc!F22),(Inputs!$B$23+(IF(ArtifactsInput!$M$15,CHOOSE(ArtifactsInput!$N$15+1,25,30,35,40,45,50)/100*(Inputs!$B$11-Inputs!$B$11),0))))/100+(Inputs!$B$23+(IF(ArtifactsInput!$M$15,CHOOSE(ArtifactsInput!$N$15+1,25,30,35,40,45,50)/100*(Inputs!$B$11-Inputs!$B$11),0)))/100)/2</f>
        <v/>
      </c>
      <c r="M1758">
        <f>L1758*(1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8">
        <f>L1758*(1-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1758*(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8">
        <f>(1-Summary!$B$11)*S1758+Summary!$B$11*U1758</f>
        <v/>
      </c>
      <c r="P1758">
        <f>IF(B1783=0,0,O1758/B1783)</f>
        <v/>
      </c>
      <c r="Q1758">
        <f>IFERROR(1/(IF(Inputs!$B$38="pvp",15,MAX(0.1,Skills!E16-IF(Skills!F16=TRUE,Inputs!$B$32,0)))*(1-IF(AND(ArtifactsInput!$M$27,Inputs!$B$4="Chapter Hunt"),CHOOSE(ArtifactsInput!$N$27+1,20,24,28,32,36,40),0)/100)),0)</f>
        <v/>
      </c>
      <c r="R1758">
        <f>IF(AND(Inputs!$B$38&lt;&gt;"pvp",Inputs!$B$43&gt;0),IF(MAX(0,Inputs!$B$43-B1780)&lt;=0,0,(INT(MAX(0,Inputs!$B$43-B1780)/(IF(Inputs!$B$38="pvp",15,MAX(0.1,Skills!E16-IF(Skills!F16=TRUE,Inputs!$B$32,0)))*(1-IF(AND(ArtifactsInput!$M$27,Inputs!$B$4="Chapter Hunt"),CHOOSE(ArtifactsInput!$N$27+1,20,24,28,32,36,40),0)/100)))+1)),0)</f>
        <v/>
      </c>
      <c r="S1758">
        <f>IF(C1758,(H1758*N1758*IF(AND(Inputs!$B$38&lt;&gt;"pvp",Inputs!$B$43&gt;0),((Skills!G16*((R1758-1)*IF(Skills!H16&gt;0,Skills!I16/Skills!H16,1)+IF(Skills!H16&gt;0,MIN(Skills!I16,MAX(0,MAX(0,Inputs!$B$43-B1780)-((R1758-1)*(IF(Inputs!$B$38="pvp",15,MAX(0.1,Skills!E16-IF(Skills!F16=TRUE,Inputs!$B$32,0)))*(1-IF(AND(ArtifactsInput!$M$27,Inputs!$B$4="Chapter Hunt"),CHOOSE(ArtifactsInput!$N$27+1,20,24,28,32,36,40),0)/100)))))/Skills!H16,1)))/Inputs!$B$43),G1758*Q1758)*(1+IF(Inputs!$B$3&gt;=126,0.05*(B1778+Q1755+(H1756*B1779)/(1+Skills!H14*H1756*B1779)+Q1766)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1758*(1-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1758*(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1758*(1-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1758*(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8">
        <f>IF(C1758,(H1758*N1758*IF(AND(Inputs!$B$38&lt;&gt;"pvp",Inputs!$B$43&gt;0),((Skills!G16*((R1758-1)*IF(Skills!H16&gt;0,Skills!I16/Skills!H16,1)+IF(Skills!H16&gt;0,MIN(Skills!I16,MAX(0,MAX(0,Inputs!$B$43-B1780)-((R1758-1)*(IF(Inputs!$B$38="pvp",15,MAX(0.1,Skills!E16-IF(Skills!F16=TRUE,Inputs!$B$32,0)))*(1-IF(AND(ArtifactsInput!$M$27,Inputs!$B$4="Chapter Hunt"),CHOOSE(ArtifactsInput!$N$27+1,20,24,28,32,36,40),0)/100)))))/Skills!H16,1)))/Inputs!$B$43),G1758*Q1758)*(1+IF(Inputs!$B$3&gt;=126,0.05*(B1778+Q1755+(H1756*B1779)/(1+Skills!H14*H1756*B1779)+Q1766)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9">
      <c r="A1759">
        <f>Skills!A17</f>
        <v/>
      </c>
      <c r="B1759">
        <f>Skills!B17</f>
        <v/>
      </c>
      <c r="C1759">
        <f>TRUE</f>
        <v/>
      </c>
      <c r="D1759">
        <f>IF(Skills!C17=1,60+Inputs!$B$25+Inputs!$B$29,IF(Skills!C17=2,90+Inputs!$B$26+Inputs!$B$29,IF(Skills!C17=3,120+Inputs!$B$27+Inputs!$B$29,MAX(0,(Inputs!$B$3-100)*3)+Inputs!$B$28+Inputs!$B$29)))</f>
        <v/>
      </c>
      <c r="E1759">
        <f>INDEX(FactorTable!$B$2:$Y$301, MATCH(ROUND(MIN(300,MAX(1,D1759)),0), FactorTable!$A$2:$A$301,0), Skills!M17+1)</f>
        <v/>
      </c>
      <c r="F1759">
        <f>IF(Skills!N17=TRUE,(Skills!L17/10)*(E1759/1000),Skills!L17/10)+Skills!O17</f>
        <v/>
      </c>
      <c r="G1759">
        <f>Calc!G17</f>
        <v/>
      </c>
      <c r="H1759">
        <f>Calc!H17</f>
        <v/>
      </c>
      <c r="I1759">
        <f>IF(Skills!X17&lt;&gt;"",1+(Skills!X17/10)*(Z1745/1000)/100,1)</f>
        <v/>
      </c>
      <c r="J1759" t="inlineStr"/>
      <c r="K1759" t="inlineStr"/>
      <c r="L1759" t="inlineStr"/>
      <c r="M1759" t="inlineStr"/>
      <c r="N1759" t="inlineStr"/>
      <c r="O1759">
        <f>(1-Summary!$B$11)*S1759+Summary!$B$11*U1759</f>
        <v/>
      </c>
      <c r="P1759">
        <f>IF(B1783=0,0,O1759/B1783)</f>
        <v/>
      </c>
      <c r="Q1759">
        <f>IFERROR(1/(IF(Inputs!$B$38="pvp",15,MAX(0.1,Skills!E17-IF(Skills!F17=TRUE,Inputs!$B$32,0)))*(1-IF(AND(ArtifactsInput!$M$27,Inputs!$B$4="Chapter Hunt"),CHOOSE(ArtifactsInput!$N$27+1,20,24,28,32,36,40),0)/100)),0)</f>
        <v/>
      </c>
      <c r="R1759">
        <f>IF(AND(Inputs!$B$38&lt;&gt;"pvp",Inputs!$B$43&gt;0),IF(Inputs!$B$43&lt;=0,0,(INT(Inputs!$B$43/(IF(Inputs!$B$38="pvp",15,MAX(0.1,Skills!E17-IF(Skills!F17=TRUE,Inputs!$B$32,0)))*(1-IF(AND(ArtifactsInput!$M$27,Inputs!$B$4="Chapter Hunt"),CHOOSE(ArtifactsInput!$N$27+1,20,24,28,32,36,40),0)/100)))+1)),0)</f>
        <v/>
      </c>
      <c r="S1759" t="n">
        <v>0</v>
      </c>
      <c r="U1759" t="n">
        <v>0</v>
      </c>
    </row>
    <row r="1760">
      <c r="A1760">
        <f>Skills!A18</f>
        <v/>
      </c>
      <c r="B1760">
        <f>Skills!B18</f>
        <v/>
      </c>
      <c r="C1760">
        <f>TRUE</f>
        <v/>
      </c>
      <c r="D1760">
        <f>IF(Skills!C18=1,60+Inputs!$B$25+Inputs!$B$29,IF(Skills!C18=2,90+Inputs!$B$26+Inputs!$B$29,IF(Skills!C18=3,120+Inputs!$B$27+Inputs!$B$29,MAX(0,(Inputs!$B$3-100)*3)+Inputs!$B$28+Inputs!$B$29)))</f>
        <v/>
      </c>
      <c r="E1760">
        <f>INDEX(FactorTable!$B$2:$Y$301, MATCH(ROUND(MIN(300,MAX(1,D1760)),0), FactorTable!$A$2:$A$301,0), Skills!M18+1)</f>
        <v/>
      </c>
      <c r="F1760">
        <f>IF(Skills!N18=TRUE,(Skills!L18/10)*(E1760/1000),Skills!L18/10)+Skills!O18</f>
        <v/>
      </c>
      <c r="G1760">
        <f>Calc!G18</f>
        <v/>
      </c>
      <c r="H1760">
        <f>Calc!H18</f>
        <v/>
      </c>
      <c r="I1760">
        <f>IF(Skills!X18&lt;&gt;"",1+(Skills!X18/10)*(Z1745/1000)/100,1)</f>
        <v/>
      </c>
      <c r="J1760" t="inlineStr"/>
      <c r="K1760" t="inlineStr"/>
      <c r="L1760" t="inlineStr"/>
      <c r="M1760" t="inlineStr"/>
      <c r="N1760" t="inlineStr"/>
      <c r="O1760">
        <f>(1-Summary!$B$11)*S1760+Summary!$B$11*U1760</f>
        <v/>
      </c>
      <c r="P1760">
        <f>IF(B1783=0,0,O1760/B1783)</f>
        <v/>
      </c>
      <c r="Q1760">
        <f>IFERROR(1/(IF(Inputs!$B$38="pvp",15,MAX(0.1,Skills!E18-IF(Skills!F18=TRUE,Inputs!$B$32,0)))*(1-IF(AND(ArtifactsInput!$M$27,Inputs!$B$4="Chapter Hunt"),CHOOSE(ArtifactsInput!$N$27+1,20,24,28,32,36,40),0)/100)),0)</f>
        <v/>
      </c>
      <c r="R1760">
        <f>IF(AND(Inputs!$B$38&lt;&gt;"pvp",Inputs!$B$43&gt;0),IF(Inputs!$B$43&lt;=0,0,(INT(Inputs!$B$43/(IF(Inputs!$B$38="pvp",15,MAX(0.1,Skills!E18-IF(Skills!F18=TRUE,Inputs!$B$32,0)))*(1-IF(AND(ArtifactsInput!$M$27,Inputs!$B$4="Chapter Hunt"),CHOOSE(ArtifactsInput!$N$27+1,20,24,28,32,36,40),0)/100)))+1)),0)</f>
        <v/>
      </c>
      <c r="S1760" t="n">
        <v>0</v>
      </c>
      <c r="U1760" t="n">
        <v>0</v>
      </c>
    </row>
    <row r="1761">
      <c r="A1761">
        <f>Skills!A19</f>
        <v/>
      </c>
      <c r="B1761">
        <f>Skills!B19</f>
        <v/>
      </c>
      <c r="C1761">
        <f>Inputs!$B$3&gt;=110</f>
        <v/>
      </c>
      <c r="D1761">
        <f>IF(Skills!C19=1,60+Inputs!$B$25+Inputs!$B$29,IF(Skills!C19=2,90+Inputs!$B$26+Inputs!$B$29,IF(Skills!C19=3,120+Inputs!$B$27+Inputs!$B$29,MAX(0,(Inputs!$B$3-100)*3)+Inputs!$B$28+Inputs!$B$29)))</f>
        <v/>
      </c>
      <c r="E1761">
        <f>INDEX(FactorTable!$B$2:$Y$301, MATCH(ROUND(MIN(300,MAX(1,D1761)),0), FactorTable!$A$2:$A$301,0), Skills!M19+1)</f>
        <v/>
      </c>
      <c r="F1761">
        <f>IF(Skills!N19=TRUE,(Skills!L19/10)*(E1761/1000),Skills!L19/10)+Skills!O19</f>
        <v/>
      </c>
      <c r="G1761">
        <f>Calc!G19</f>
        <v/>
      </c>
      <c r="H1761">
        <f>Calc!H19</f>
        <v/>
      </c>
      <c r="I1761">
        <f>IF(Skills!X19&lt;&gt;"",1+(Skills!X19/10)*(Z1745/1000)/100,1)</f>
        <v/>
      </c>
      <c r="J1761" t="inlineStr"/>
      <c r="K1761" t="inlineStr"/>
      <c r="L1761" t="inlineStr"/>
      <c r="M1761" t="inlineStr"/>
      <c r="N1761" t="inlineStr"/>
      <c r="O1761">
        <f>(1-Summary!$B$11)*S1761+Summary!$B$11*U1761</f>
        <v/>
      </c>
      <c r="P1761">
        <f>IF(B1783=0,0,O1761/B1783)</f>
        <v/>
      </c>
      <c r="Q1761">
        <f>IFERROR(1/(IF(Inputs!$B$38="pvp",15,MAX(0.1,Skills!E19-IF(Skills!F19=TRUE,Inputs!$B$32,0)))*(1-IF(AND(ArtifactsInput!$M$27,Inputs!$B$4="Chapter Hunt"),CHOOSE(ArtifactsInput!$N$27+1,20,24,28,32,36,40),0)/100)),0)</f>
        <v/>
      </c>
      <c r="R1761">
        <f>IF(AND(Inputs!$B$38&lt;&gt;"pvp",Inputs!$B$43&gt;0),IF(Inputs!$B$43&lt;=0,0,(INT(Inputs!$B$43/(IF(Inputs!$B$38="pvp",15,MAX(0.1,Skills!E19-IF(Skills!F19=TRUE,Inputs!$B$32,0)))*(1-IF(AND(ArtifactsInput!$M$27,Inputs!$B$4="Chapter Hunt"),CHOOSE(ArtifactsInput!$N$27+1,20,24,28,32,36,40),0)/100)))+1)),0)</f>
        <v/>
      </c>
      <c r="S1761" t="n">
        <v>0</v>
      </c>
      <c r="U1761" t="n">
        <v>0</v>
      </c>
    </row>
    <row r="1762">
      <c r="A1762">
        <f>Skills!A20</f>
        <v/>
      </c>
      <c r="B1762">
        <f>Skills!B20</f>
        <v/>
      </c>
      <c r="C1762">
        <f>TRUE</f>
        <v/>
      </c>
      <c r="D1762">
        <f>IF(Skills!C20=1,60+Inputs!$B$25+Inputs!$B$29,IF(Skills!C20=2,90+Inputs!$B$26+Inputs!$B$29,IF(Skills!C20=3,120+Inputs!$B$27+Inputs!$B$29,MAX(0,(Inputs!$B$3-100)*3)+Inputs!$B$28+Inputs!$B$29)))</f>
        <v/>
      </c>
      <c r="E1762">
        <f>INDEX(FactorTable!$B$2:$Y$301, MATCH(ROUND(MIN(300,MAX(1,D1762)),0), FactorTable!$A$2:$A$301,0), Skills!M20+1)</f>
        <v/>
      </c>
      <c r="F1762">
        <f>IF(Skills!N20=TRUE,(Skills!L20/10)*(E1762/1000),Skills!L20/10)+Skills!O20</f>
        <v/>
      </c>
      <c r="G1762">
        <f>Calc!G20</f>
        <v/>
      </c>
      <c r="H1762">
        <f>Calc!H20</f>
        <v/>
      </c>
      <c r="I1762">
        <f>IF(Skills!X20&lt;&gt;"",1+(Skills!X20/10)*(Z1745/1000)/100,1)</f>
        <v/>
      </c>
      <c r="J1762" t="inlineStr"/>
      <c r="K1762" t="inlineStr"/>
      <c r="L1762" t="inlineStr"/>
      <c r="M1762" t="inlineStr"/>
      <c r="N1762" t="inlineStr"/>
      <c r="O1762">
        <f>(1-Summary!$B$11)*S1762+Summary!$B$11*U1762</f>
        <v/>
      </c>
      <c r="P1762">
        <f>IF(B1783=0,0,O1762/B1783)</f>
        <v/>
      </c>
      <c r="Q1762">
        <f>IFERROR(1/(IF(Inputs!$B$38="pvp",15,MAX(0.1,Skills!E20-IF(Skills!F20=TRUE,Inputs!$B$32,0)))*(1-IF(AND(ArtifactsInput!$M$27,Inputs!$B$4="Chapter Hunt"),CHOOSE(ArtifactsInput!$N$27+1,20,24,28,32,36,40),0)/100)),0)</f>
        <v/>
      </c>
      <c r="R1762" t="n">
        <v>0</v>
      </c>
      <c r="S1762" t="n">
        <v>0</v>
      </c>
      <c r="U1762" t="n">
        <v>0</v>
      </c>
    </row>
    <row r="1763">
      <c r="A1763">
        <f>Skills!A21</f>
        <v/>
      </c>
      <c r="B1763">
        <f>Skills!B21</f>
        <v/>
      </c>
      <c r="C1763">
        <f>TRUE</f>
        <v/>
      </c>
      <c r="D1763">
        <f>IF(Skills!C21=1,60+Inputs!$B$25+Inputs!$B$29,IF(Skills!C21=2,90+Inputs!$B$26+Inputs!$B$29,IF(Skills!C21=3,120+Inputs!$B$27+Inputs!$B$29,MAX(0,(Inputs!$B$3-100)*3)+Inputs!$B$28+Inputs!$B$29)))</f>
        <v/>
      </c>
      <c r="E1763">
        <f>INDEX(FactorTable!$B$2:$Y$301, MATCH(ROUND(MIN(300,MAX(1,D1763)),0), FactorTable!$A$2:$A$301,0), Skills!M21+1)</f>
        <v/>
      </c>
      <c r="F1763">
        <f>IF(Skills!N21=TRUE,(Skills!L21/10)*(E1763/1000),Skills!L21/10)+Skills!O21</f>
        <v/>
      </c>
      <c r="G1763">
        <f>Calc!G21</f>
        <v/>
      </c>
      <c r="H1763">
        <f>Calc!H21</f>
        <v/>
      </c>
      <c r="I1763">
        <f>IF(Skills!X21&lt;&gt;"",1+(Skills!X21/10)*(Z1745/1000)/100,1)</f>
        <v/>
      </c>
      <c r="J1763" t="inlineStr"/>
      <c r="K1763" t="inlineStr"/>
      <c r="L1763" t="inlineStr"/>
      <c r="M1763" t="inlineStr"/>
      <c r="N1763" t="inlineStr"/>
      <c r="O1763">
        <f>(1-Summary!$B$11)*S1763+Summary!$B$11*U1763</f>
        <v/>
      </c>
      <c r="P1763">
        <f>IF(B1783=0,0,O1763/B1783)</f>
        <v/>
      </c>
      <c r="Q1763">
        <f>IFERROR(1/(IF(Inputs!$B$38="pvp",15,MAX(0.1,Skills!E21-IF(Skills!F21=TRUE,Inputs!$B$32,0)))*(1-IF(AND(ArtifactsInput!$M$27,Inputs!$B$4="Chapter Hunt"),CHOOSE(ArtifactsInput!$N$27+1,20,24,28,32,36,40),0)/100)),0)</f>
        <v/>
      </c>
      <c r="R1763" t="n">
        <v>0</v>
      </c>
      <c r="S1763" t="n">
        <v>0</v>
      </c>
      <c r="U1763" t="n">
        <v>0</v>
      </c>
    </row>
    <row r="1764">
      <c r="A1764">
        <f>Skills!A22</f>
        <v/>
      </c>
      <c r="B1764">
        <f>Skills!B22</f>
        <v/>
      </c>
      <c r="C1764">
        <f>TRUE</f>
        <v/>
      </c>
      <c r="D1764">
        <f>IF(Skills!C22=1,60+Inputs!$B$25+Inputs!$B$29,IF(Skills!C22=2,90+Inputs!$B$26+Inputs!$B$29,IF(Skills!C22=3,120+Inputs!$B$27+Inputs!$B$29,MAX(0,(Inputs!$B$3-100)*3)+Inputs!$B$28+Inputs!$B$29)))</f>
        <v/>
      </c>
      <c r="E1764">
        <f>INDEX(FactorTable!$B$2:$Y$301, MATCH(ROUND(MIN(300,MAX(1,D1764)),0), FactorTable!$A$2:$A$301,0), Skills!M22+1)</f>
        <v/>
      </c>
      <c r="F1764">
        <f>IF(Skills!N22=TRUE,(Skills!L22/10)*(E1764/1000),Skills!L22/10)+Skills!O22</f>
        <v/>
      </c>
      <c r="G1764">
        <f>Calc!G22</f>
        <v/>
      </c>
      <c r="H1764">
        <f>Calc!H22</f>
        <v/>
      </c>
      <c r="I1764">
        <f>IF(Skills!X22&lt;&gt;"",1+(Skills!X22/10)*(Z1745/1000)/100,1)</f>
        <v/>
      </c>
      <c r="J1764" t="inlineStr"/>
      <c r="K1764" t="inlineStr"/>
      <c r="L1764" t="inlineStr"/>
      <c r="M1764" t="inlineStr"/>
      <c r="N1764" t="inlineStr"/>
      <c r="O1764">
        <f>(1-Summary!$B$11)*S1764+Summary!$B$11*U1764</f>
        <v/>
      </c>
      <c r="P1764">
        <f>IF(B1783=0,0,O1764/B1783)</f>
        <v/>
      </c>
      <c r="Q1764">
        <f>IFERROR(1/(IF(Inputs!$B$38="pvp",15,MAX(0.1,Skills!E22-IF(Skills!F22=TRUE,Inputs!$B$32,0)))*(1-IF(AND(ArtifactsInput!$M$27,Inputs!$B$4="Chapter Hunt"),CHOOSE(ArtifactsInput!$N$27+1,20,24,28,32,36,40),0)/100)),0)</f>
        <v/>
      </c>
      <c r="R1764" t="n">
        <v>0</v>
      </c>
      <c r="S1764" t="n">
        <v>0</v>
      </c>
      <c r="U1764" t="n">
        <v>0</v>
      </c>
    </row>
    <row r="1765">
      <c r="A1765">
        <f>Skills!A23</f>
        <v/>
      </c>
      <c r="B1765">
        <f>Skills!B23</f>
        <v/>
      </c>
      <c r="C1765">
        <f>TRUE</f>
        <v/>
      </c>
      <c r="D1765">
        <f>IF(Skills!C23=1,60+Inputs!$B$25+Inputs!$B$29,IF(Skills!C23=2,90+Inputs!$B$26+Inputs!$B$29,IF(Skills!C23=3,120+Inputs!$B$27+Inputs!$B$29,MAX(0,(Inputs!$B$3-100)*3)+Inputs!$B$28+Inputs!$B$29)))</f>
        <v/>
      </c>
      <c r="E1765">
        <f>INDEX(FactorTable!$B$2:$Y$301, MATCH(ROUND(MIN(300,MAX(1,D1765)),0), FactorTable!$A$2:$A$301,0), Skills!M23+1)</f>
        <v/>
      </c>
      <c r="F1765">
        <f>IF(Skills!N23=TRUE,(Skills!L23/10)*(E1765/1000),Skills!L23/10)+Skills!O23</f>
        <v/>
      </c>
      <c r="G1765">
        <f>Calc!G23</f>
        <v/>
      </c>
      <c r="H1765">
        <f>Calc!H23</f>
        <v/>
      </c>
      <c r="I1765">
        <f>IF(Skills!X23&lt;&gt;"",1+(Skills!X23/10)*(Z1745/1000)/100,1)</f>
        <v/>
      </c>
      <c r="J1765" t="inlineStr"/>
      <c r="K1765" t="inlineStr"/>
      <c r="L1765" t="inlineStr"/>
      <c r="M1765" t="inlineStr"/>
      <c r="N1765" t="inlineStr"/>
      <c r="O1765">
        <f>(1-Summary!$B$11)*S1765+Summary!$B$11*U1765</f>
        <v/>
      </c>
      <c r="P1765">
        <f>IF(B1783=0,0,O1765/B1783)</f>
        <v/>
      </c>
      <c r="Q1765">
        <f>IFERROR(1/(IF(Inputs!$B$38="pvp",15,MAX(0.1,Skills!E23-IF(Skills!F23=TRUE,Inputs!$B$32,0)))*(1-IF(AND(ArtifactsInput!$M$27,Inputs!$B$4="Chapter Hunt"),CHOOSE(ArtifactsInput!$N$27+1,20,24,28,32,36,40),0)/100)),0)</f>
        <v/>
      </c>
      <c r="R1765" t="n">
        <v>0</v>
      </c>
      <c r="S1765" t="n">
        <v>0</v>
      </c>
      <c r="U1765" t="n">
        <v>0</v>
      </c>
    </row>
    <row r="1766">
      <c r="A1766">
        <f>Skills!A24</f>
        <v/>
      </c>
      <c r="B1766">
        <f>Skills!B24</f>
        <v/>
      </c>
      <c r="C1766">
        <f>Inputs!$B$3&gt;=115</f>
        <v/>
      </c>
      <c r="D1766">
        <f>IF(Skills!C24=1,60+Inputs!$B$25+Inputs!$B$29,IF(Skills!C24=2,90+Inputs!$B$26+Inputs!$B$29,IF(Skills!C24=3,120+Inputs!$B$27+Inputs!$B$29,MAX(0,(Inputs!$B$3-100)*3)+Inputs!$B$28+Inputs!$B$29)))</f>
        <v/>
      </c>
      <c r="E1766">
        <f>INDEX(FactorTable!$B$2:$Y$301, MATCH(ROUND(MIN(300,MAX(1,D1766)),0), FactorTable!$A$2:$A$301,0), Skills!M24+1)</f>
        <v/>
      </c>
      <c r="F1766">
        <f>IF(Skills!N24=TRUE,(Skills!L24/10)*(E1766/1000),Skills!L24/10)+Skills!O24</f>
        <v/>
      </c>
      <c r="G1766">
        <f>Calc!G24</f>
        <v/>
      </c>
      <c r="H1766">
        <f>Calc!H24</f>
        <v/>
      </c>
      <c r="I1766">
        <f>IF(Skills!X24&lt;&gt;"",1+(Skills!X24/10)*(Z1745/1000)/100,1)</f>
        <v/>
      </c>
      <c r="J1766">
        <f>((Inputs!$B$6*(1+Inputs!$B$7/100))+(((Inputs!$B$12*(1+Inputs!$B$13/100))-(Inputs!$B$12*(1+Inputs!$B$13/100)))+0.25*(Inputs!$B$14-Inputs!$B$14))*(1+Inputs!$B$7/100))*(F1766/100)</f>
        <v/>
      </c>
      <c r="K1766">
        <f>J1766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1766)</f>
        <v/>
      </c>
      <c r="L1766">
        <f>K1766*(MIN(Inputs!$B$22+(F1764-Calc!F22),(Inputs!$B$23+(IF(ArtifactsInput!$M$15,CHOOSE(ArtifactsInput!$N$15+1,25,30,35,40,45,50)/100*(Inputs!$B$11-Inputs!$B$11),0))))/100+(Inputs!$B$23+(IF(ArtifactsInput!$M$15,CHOOSE(ArtifactsInput!$N$15+1,25,30,35,40,45,50)/100*(Inputs!$B$11-Inputs!$B$11),0)))/100)/2</f>
        <v/>
      </c>
      <c r="M1766">
        <f>L1766*(1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6">
        <f>L1766*(1-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1766*(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6">
        <f>(1-Summary!$B$11)*S1766+Summary!$B$11*U1766</f>
        <v/>
      </c>
      <c r="P1766">
        <f>IF(B1783=0,0,O1766/B1783)</f>
        <v/>
      </c>
      <c r="Q1766">
        <f>IFERROR(1/(IF(Inputs!$B$38="pvp",15,MAX(0.1,Skills!E24-IF(Skills!F24=TRUE,Inputs!$B$32,0)))*(1-IF(AND(ArtifactsInput!$M$27,Inputs!$B$4="Chapter Hunt"),CHOOSE(ArtifactsInput!$N$27+1,20,24,28,32,36,40),0)/100)),0)</f>
        <v/>
      </c>
      <c r="R1766">
        <f>IF(AND(Inputs!$B$38&lt;&gt;"pvp",Inputs!$B$43&gt;0),IF(MAX(0,Inputs!$B$43-B1780)&lt;=0,0,(INT(MAX(0,Inputs!$B$43-B1780)/(IF(Inputs!$B$38="pvp",15,MAX(0.1,Skills!E24-IF(Skills!F24=TRUE,Inputs!$B$32,0)))*(1-IF(AND(ArtifactsInput!$M$27,Inputs!$B$4="Chapter Hunt"),CHOOSE(ArtifactsInput!$N$27+1,20,24,28,32,36,40),0)/100)))+1)),0)</f>
        <v/>
      </c>
      <c r="S1766">
        <f>IF(C1766,(H1766*N1766*IF(AND(Inputs!$B$38&lt;&gt;"pvp",Inputs!$B$43&gt;0),((Skills!G24*((R1766-1)*IF(Skills!H24&gt;0,Skills!I24/Skills!H24,1)+IF(Skills!H24&gt;0,MIN(Skills!I24,MAX(0,MAX(0,Inputs!$B$43-B1780)-((R1766-1)*(IF(Inputs!$B$38="pvp",15,MAX(0.1,Skills!E24-IF(Skills!F24=TRUE,Inputs!$B$32,0)))*(1-IF(AND(ArtifactsInput!$M$27,Inputs!$B$4="Chapter Hunt"),CHOOSE(ArtifactsInput!$N$27+1,20,24,28,32,36,40),0)/100)))))/Skills!H24,1)))/Inputs!$B$43),G1766*Q1766)*(1+IF(Inputs!$B$3&gt;=130,0.2*(Skills!I16/Skills!E15+IF(Inputs!$B$3&gt;=126,0.05*(B1778+Q1755+(H1756*B1779)/(1+Skills!H14*H1756*B1779)+Q1766)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1766*(1-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1766*(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1766*(1-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1766*(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66">
        <f>IF(C1766,(H1766*N1766*IF(AND(Inputs!$B$38&lt;&gt;"pvp",Inputs!$B$43&gt;0),((Skills!G24*((R1766-1)*IF(Skills!H24&gt;0,Skills!I24/Skills!H24,1)+IF(Skills!H24&gt;0,MIN(Skills!I24,MAX(0,MAX(0,Inputs!$B$43-B1780)-((R1766-1)*(IF(Inputs!$B$38="pvp",15,MAX(0.1,Skills!E24-IF(Skills!F24=TRUE,Inputs!$B$32,0)))*(1-IF(AND(ArtifactsInput!$M$27,Inputs!$B$4="Chapter Hunt"),CHOOSE(ArtifactsInput!$N$27+1,20,24,28,32,36,40),0)/100)))))/Skills!H24,1)))/Inputs!$B$43),G1766*Q1766)*(1+IF(Inputs!$B$3&gt;=130,0.2*(Skills!I16/Skills!E15+IF(Inputs!$B$3&gt;=126,0.05*(B1778+Q1755+(H1756*B1779)/(1+Skills!H14*H1756*B1779)+Q1766)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7">
      <c r="A1767">
        <f>Skills!A25</f>
        <v/>
      </c>
      <c r="B1767">
        <f>Skills!B25</f>
        <v/>
      </c>
      <c r="C1767">
        <f>Inputs!$B$3&gt;=117</f>
        <v/>
      </c>
      <c r="D1767">
        <f>IF(Skills!C25=1,60+Inputs!$B$25+Inputs!$B$29,IF(Skills!C25=2,90+Inputs!$B$26+Inputs!$B$29,IF(Skills!C25=3,120+Inputs!$B$27+Inputs!$B$29,MAX(0,(Inputs!$B$3-100)*3)+Inputs!$B$28+Inputs!$B$29)))</f>
        <v/>
      </c>
      <c r="E1767">
        <f>INDEX(FactorTable!$B$2:$Y$301, MATCH(ROUND(MIN(300,MAX(1,D1767)),0), FactorTable!$A$2:$A$301,0), Skills!M25+1)</f>
        <v/>
      </c>
      <c r="F1767">
        <f>IF(Skills!N25=TRUE,(Skills!L25/10)*(E1767/1000),Skills!L25/10)+Skills!O25</f>
        <v/>
      </c>
      <c r="G1767">
        <f>Calc!G25</f>
        <v/>
      </c>
      <c r="H1767">
        <f>Calc!H25</f>
        <v/>
      </c>
      <c r="I1767">
        <f>IF(Skills!X25&lt;&gt;"",1+(Skills!X25/10)*(Z1745/1000)/100,1)</f>
        <v/>
      </c>
      <c r="J1767" t="inlineStr"/>
      <c r="K1767" t="inlineStr"/>
      <c r="L1767" t="inlineStr"/>
      <c r="M1767" t="inlineStr"/>
      <c r="N1767" t="inlineStr"/>
      <c r="O1767">
        <f>(1-Summary!$B$11)*S1767+Summary!$B$11*U1767</f>
        <v/>
      </c>
      <c r="P1767">
        <f>IF(B1783=0,0,O1767/B1783)</f>
        <v/>
      </c>
      <c r="Q1767">
        <f>IFERROR(1/(IF(Inputs!$B$38="pvp",15,MAX(0.1,Skills!E25-IF(Skills!F25=TRUE,Inputs!$B$32,0)))*(1-IF(AND(ArtifactsInput!$M$27,Inputs!$B$4="Chapter Hunt"),CHOOSE(ArtifactsInput!$N$27+1,20,24,28,32,36,40),0)/100)),0)</f>
        <v/>
      </c>
      <c r="R1767" t="n">
        <v>0</v>
      </c>
      <c r="S1767" t="n">
        <v>0</v>
      </c>
      <c r="U1767" t="n">
        <v>0</v>
      </c>
    </row>
    <row r="1768">
      <c r="A1768">
        <f>Skills!A26</f>
        <v/>
      </c>
      <c r="B1768">
        <f>Skills!B26</f>
        <v/>
      </c>
      <c r="C1768">
        <f>Inputs!$B$3&gt;=120</f>
        <v/>
      </c>
      <c r="D1768">
        <f>IF(Skills!C26=1,60+Inputs!$B$25+Inputs!$B$29,IF(Skills!C26=2,90+Inputs!$B$26+Inputs!$B$29,IF(Skills!C26=3,120+Inputs!$B$27+Inputs!$B$29,MAX(0,(Inputs!$B$3-100)*3)+Inputs!$B$28+Inputs!$B$29)))</f>
        <v/>
      </c>
      <c r="E1768">
        <f>INDEX(FactorTable!$B$2:$Y$301, MATCH(ROUND(MIN(300,MAX(1,D1768)),0), FactorTable!$A$2:$A$301,0), Skills!M26+1)</f>
        <v/>
      </c>
      <c r="F1768">
        <f>IF(Skills!N26=TRUE,(Skills!L26/10)*(E1768/1000),Skills!L26/10)+Skills!O26</f>
        <v/>
      </c>
      <c r="G1768">
        <f>Calc!G26</f>
        <v/>
      </c>
      <c r="H1768">
        <f>Calc!H26</f>
        <v/>
      </c>
      <c r="I1768">
        <f>IF(Skills!X26&lt;&gt;"",1+(Skills!X26/10)*(Z1745/1000)/100,1)</f>
        <v/>
      </c>
      <c r="J1768" t="inlineStr"/>
      <c r="K1768" t="inlineStr"/>
      <c r="L1768" t="inlineStr"/>
      <c r="M1768" t="inlineStr"/>
      <c r="N1768" t="inlineStr"/>
      <c r="O1768">
        <f>(1-Summary!$B$11)*S1768+Summary!$B$11*U1768</f>
        <v/>
      </c>
      <c r="P1768">
        <f>IF(B1783=0,0,O1768/B1783)</f>
        <v/>
      </c>
      <c r="Q1768">
        <f>IFERROR(1/(IF(Inputs!$B$38="pvp",15,MAX(0.1,Skills!E26-IF(Skills!F26=TRUE,Inputs!$B$32,0)))*(1-IF(AND(ArtifactsInput!$M$27,Inputs!$B$4="Chapter Hunt"),CHOOSE(ArtifactsInput!$N$27+1,20,24,28,32,36,40),0)/100)),0)</f>
        <v/>
      </c>
      <c r="R1768" t="n">
        <v>0</v>
      </c>
      <c r="S1768" t="n">
        <v>0</v>
      </c>
      <c r="U1768" t="n">
        <v>0</v>
      </c>
    </row>
    <row r="1769">
      <c r="A1769">
        <f>Skills!A27</f>
        <v/>
      </c>
      <c r="B1769">
        <f>Skills!B27</f>
        <v/>
      </c>
      <c r="C1769">
        <f>Inputs!$B$3&gt;=125</f>
        <v/>
      </c>
      <c r="D1769">
        <f>IF(Skills!C27=1,60+Inputs!$B$25+Inputs!$B$29,IF(Skills!C27=2,90+Inputs!$B$26+Inputs!$B$29,IF(Skills!C27=3,120+Inputs!$B$27+Inputs!$B$29,MAX(0,(Inputs!$B$3-100)*3)+Inputs!$B$28+Inputs!$B$29)))</f>
        <v/>
      </c>
      <c r="E1769">
        <f>INDEX(FactorTable!$B$2:$Y$301, MATCH(ROUND(MIN(300,MAX(1,D1769)),0), FactorTable!$A$2:$A$301,0), Skills!M27+1)</f>
        <v/>
      </c>
      <c r="F1769">
        <f>IF(Skills!N27=TRUE,(Skills!L27/10)*(E1769/1000),Skills!L27/10)+Skills!O27</f>
        <v/>
      </c>
      <c r="G1769">
        <f>Calc!G27</f>
        <v/>
      </c>
      <c r="H1769">
        <f>Calc!H27</f>
        <v/>
      </c>
      <c r="I1769">
        <f>IF(Skills!X27&lt;&gt;"",1+(Skills!X27/10)*(Z1745/1000)/100,1)</f>
        <v/>
      </c>
      <c r="J1769" t="inlineStr"/>
      <c r="K1769" t="inlineStr"/>
      <c r="L1769" t="inlineStr"/>
      <c r="M1769" t="inlineStr"/>
      <c r="N1769" t="inlineStr"/>
      <c r="O1769">
        <f>(1-Summary!$B$11)*S1769+Summary!$B$11*U1769</f>
        <v/>
      </c>
      <c r="P1769">
        <f>IF(B1783=0,0,O1769/B1783)</f>
        <v/>
      </c>
      <c r="Q1769">
        <f>IFERROR(1/(IF(Inputs!$B$38="pvp",15,MAX(0.1,Skills!E27-IF(Skills!F27=TRUE,Inputs!$B$32,0)))*(1-IF(AND(ArtifactsInput!$M$27,Inputs!$B$4="Chapter Hunt"),CHOOSE(ArtifactsInput!$N$27+1,20,24,28,32,36,40),0)/100)),0)</f>
        <v/>
      </c>
      <c r="R1769" t="n">
        <v>0</v>
      </c>
      <c r="S1769" t="n">
        <v>0</v>
      </c>
      <c r="U1769" t="n">
        <v>0</v>
      </c>
    </row>
    <row r="1770">
      <c r="A1770">
        <f>Skills!A28</f>
        <v/>
      </c>
      <c r="B1770">
        <f>Skills!B28</f>
        <v/>
      </c>
      <c r="C1770">
        <f>Inputs!$B$3&gt;=118</f>
        <v/>
      </c>
      <c r="D1770">
        <f>IF(Skills!C28=1,60+Inputs!$B$25+Inputs!$B$29,IF(Skills!C28=2,90+Inputs!$B$26+Inputs!$B$29,IF(Skills!C28=3,120+Inputs!$B$27+Inputs!$B$29,MAX(0,(Inputs!$B$3-100)*3)+Inputs!$B$28+Inputs!$B$29)))</f>
        <v/>
      </c>
      <c r="E1770">
        <f>INDEX(FactorTable!$B$2:$Y$301, MATCH(ROUND(MIN(300,MAX(1,D1770)),0), FactorTable!$A$2:$A$301,0), Skills!M28+1)</f>
        <v/>
      </c>
      <c r="F1770">
        <f>IF(Skills!N28=TRUE,(Skills!L28/10)*(E1770/1000),Skills!L28/10)+Skills!O28</f>
        <v/>
      </c>
      <c r="G1770">
        <f>Calc!G28</f>
        <v/>
      </c>
      <c r="H1770">
        <f>Calc!H28</f>
        <v/>
      </c>
      <c r="I1770">
        <f>IF(Skills!X28&lt;&gt;"",1+(Skills!X28/10)*(Z1745/1000)/100,1)</f>
        <v/>
      </c>
      <c r="J1770">
        <f>((Inputs!$B$6*(1+Inputs!$B$7/100))+(((Inputs!$B$12*(1+Inputs!$B$13/100))-(Inputs!$B$12*(1+Inputs!$B$13/100)))+0.25*(Inputs!$B$14-Inputs!$B$14))*(1+Inputs!$B$7/100))*(F1770/100)</f>
        <v/>
      </c>
      <c r="K1770">
        <f>J1770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1765/100)*(1+IF(Inputs!$B$3&gt;=120,F1768,0)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1769*5,0)))/100)*(B1772*B1773*B1774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1770)</f>
        <v/>
      </c>
      <c r="L1770">
        <f>K1770*(MIN(Inputs!$B$22+(F1764-Calc!F22),(Inputs!$B$23+(IF(ArtifactsInput!$M$15,CHOOSE(ArtifactsInput!$N$15+1,25,30,35,40,45,50)/100*(Inputs!$B$11-Inputs!$B$11),0))))/100+(Inputs!$B$23+(IF(ArtifactsInput!$M$15,CHOOSE(ArtifactsInput!$N$15+1,25,30,35,40,45,50)/100*(Inputs!$B$11-Inputs!$B$11),0)))/100)/2</f>
        <v/>
      </c>
      <c r="M1770">
        <f>L1770*(1+(Inputs!$B$10+(F1763-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70">
        <f>L1770*(1-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1770*(MIN((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70">
        <f>(1-Summary!$B$11)*S1770+Summary!$B$11*U1770</f>
        <v/>
      </c>
      <c r="P1770">
        <f>IF(B1783=0,0,O1770/B1783)</f>
        <v/>
      </c>
      <c r="Q1770">
        <f>IFERROR(1/(IF(Inputs!$B$38="pvp",15,MAX(0.1,Skills!E28-IF(Skills!F28=TRUE,Inputs!$B$32,0)))*(1-IF(AND(ArtifactsInput!$M$27,Inputs!$B$4="Chapter Hunt"),CHOOSE(ArtifactsInput!$N$27+1,20,24,28,32,36,40),0)/100)),0)</f>
        <v/>
      </c>
      <c r="R1770">
        <f>IF(AND(Inputs!$B$38&lt;&gt;"pvp",Inputs!$B$43&gt;0),IF(MAX(0,Inputs!$B$43-B1780)&lt;=0,0,(INT(MAX(0,Inputs!$B$43-B1780)/(IF(Inputs!$B$38="pvp",15,MAX(0.1,Skills!E28-IF(Skills!F28=TRUE,Inputs!$B$32,0)))*(1-IF(AND(ArtifactsInput!$M$27,Inputs!$B$4="Chapter Hunt"),CHOOSE(ArtifactsInput!$N$27+1,20,24,28,32,36,40),0)/100)))+1)),0)</f>
        <v/>
      </c>
      <c r="S1770">
        <f>IF(C1770,(H1770*N1770*IF(AND(Inputs!$B$38&lt;&gt;"pvp",Inputs!$B$43&gt;0),((Skills!G28*((R1770-1)*IF(Skills!H28&gt;0,Skills!I28/Skills!H28,1)+IF(Skills!H28&gt;0,MIN(Skills!I28,MAX(0,MAX(0,Inputs!$B$43-B1780)-((R1770-1)*(IF(Inputs!$B$38="pvp",15,MAX(0.1,Skills!E28-IF(Skills!F28=TRUE,Inputs!$B$32,0)))*(1-IF(AND(ArtifactsInput!$M$27,Inputs!$B$4="Chapter Hunt"),CHOOSE(ArtifactsInput!$N$27+1,20,24,28,32,36,40),0)/100)))))/Skills!H28,1)))/Inputs!$B$43),G1770*Q1770)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1770*(1-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1770*(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1770*(1-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1770*(MIN(100,(Inputs!$B$9+(F1762-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70">
        <f>IF(C1770,(H1770*N1770*IF(AND(Inputs!$B$38&lt;&gt;"pvp",Inputs!$B$43&gt;0),((Skills!G28*((R1770-1)*IF(Skills!H28&gt;0,Skills!I28/Skills!H28,1)+IF(Skills!H28&gt;0,MIN(Skills!I28,MAX(0,MAX(0,Inputs!$B$43-B1780)-((R1770-1)*(IF(Inputs!$B$38="pvp",15,MAX(0.1,Skills!E28-IF(Skills!F28=TRUE,Inputs!$B$32,0)))*(1-IF(AND(ArtifactsInput!$M$27,Inputs!$B$4="Chapter Hunt"),CHOOSE(ArtifactsInput!$N$27+1,20,24,28,32,36,40),0)/100)))))/Skills!H28,1)))/Inputs!$B$43),G1770*Q1770)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72">
      <c r="A1772" t="inlineStr">
        <is>
          <t>Burning Magic Multiplier</t>
        </is>
      </c>
      <c r="B1772">
        <f>1+(F1753*Skills!Z11)/100</f>
        <v/>
      </c>
    </row>
    <row r="1773">
      <c r="A1773" t="inlineStr">
        <is>
          <t>Elemental Decrease Multiplier (always-on)</t>
        </is>
      </c>
      <c r="B1773">
        <f>1+(F1754+(IF(AND(ArtifactsInput!$M$35,Inputs!$B$4&lt;&gt;"Chapter Hunt"),CHOOSE(ArtifactsInput!$N$35+1,15,18,21,24,27,30)*(1-EXP(-(0.2*B1776)*5)),0)+IF(AND(ArtifactsInput!$M$22,Inputs!$B$4&lt;&gt;"Chapter Hunt"),CHOOSE(ArtifactsInput!$N$22+1,10,12,14,16,18,20)*((0*(((0.15*B1776*5))^0/1)+1*(((0.15*B1776*5))^1/1)+2*(((0.15*B1776*5))^2/2)+3*(((0.15*B1776*5))^3/6)+4*(((0.15*B1776*5))^4/24)+5*(((0.15*B1776*5))^5/120))/((((0.15*B1776*5))^0/1)+(((0.15*B1776*5))^1/1)+(((0.15*B1776*5))^2/2)+(((0.15*B1776*5))^3/6)+(((0.15*B1776*5))^4/24)+(((0.15*B1776*5))^5/120))),0)))/100</f>
        <v/>
      </c>
    </row>
    <row r="1774">
      <c r="A1774" t="inlineStr">
        <is>
          <t>Average Buff Multiplier (Magic Guard + Meditation + Artifact Attack%, summed; then Infinity)</t>
        </is>
      </c>
      <c r="B1774">
        <f>(1+(F1748*IF(AND(Inputs!$B$38&lt;&gt;"pvp",Inputs!$B$43&gt;0),(((R1748-1)*(Skills!T6*(1+((Inputs!$B$34+(ArtifactsInput!$M$7-ArtifactsInput!$M$7)*CHOOSE(ArtifactsInput!$N$7+1,6,7.2,8.4,9.6,10.8,12)))/100))+MIN((Skills!T6*(1+((Inputs!$B$34+(ArtifactsInput!$M$7-ArtifactsInput!$M$7)*CHOOSE(ArtifactsInput!$N$7+1,6,7.2,8.4,9.6,10.8,12)))/100)),MAX(0,Inputs!$B$43-((R1748-1)*Skills!E6))))/Inputs!$B$43),IF(Inputs!$B$38="pvp",MIN((Skills!T6*(1+((Inputs!$B$34+(ArtifactsInput!$M$7-ArtifactsInput!$M$7)*CHOOSE(ArtifactsInput!$N$7+1,6,7.2,8.4,9.6,10.8,12)))/100)),15)/15,(Skills!T6*(1+((Inputs!$B$34+(ArtifactsInput!$M$7-ArtifactsInput!$M$7)*CHOOSE(ArtifactsInput!$N$7+1,6,7.2,8.4,9.6,10.8,12)))/100))/Skills!E6))+F1759*IF(AND(Inputs!$B$38&lt;&gt;"pvp",Inputs!$B$43&gt;0),(((R1759-1)*(Skills!T17*(1+((Inputs!$B$34+(ArtifactsInput!$M$7-ArtifactsInput!$M$7)*CHOOSE(ArtifactsInput!$N$7+1,6,7.2,8.4,9.6,10.8,12)))/100))+MIN((Skills!T17*(1+((Inputs!$B$34+(ArtifactsInput!$M$7-ArtifactsInput!$M$7)*CHOOSE(ArtifactsInput!$N$7+1,6,7.2,8.4,9.6,10.8,12)))/100)),MAX(0,Inputs!$B$43-((R1759-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1761=TRUE,(1+F1761*IF(AND(Inputs!$B$38&lt;&gt;"pvp",Inputs!$B$43&gt;0),(((R1761-1)*(Skills!T19*(1+((Inputs!$B$34+(ArtifactsInput!$M$7-ArtifactsInput!$M$7)*CHOOSE(ArtifactsInput!$N$7+1,6,7.2,8.4,9.6,10.8,12)))/100))+MIN((Skills!T19*(1+((Inputs!$B$34+(ArtifactsInput!$M$7-ArtifactsInput!$M$7)*CHOOSE(ArtifactsInput!$N$7+1,6,7.2,8.4,9.6,10.8,12)))/100)),MAX(0,Inputs!$B$43-((R1761-1)*Skills!E19))))/Inputs!$B$43),IF(Inputs!$B$38="pvp",MIN((Skills!T19*(1+((Inputs!$B$34+(ArtifactsInput!$M$7-ArtifactsInput!$M$7)*CHOOSE(ArtifactsInput!$N$7+1,6,7.2,8.4,9.6,10.8,12)))/100)),15)/15,(Skills!T19*(1+((Inputs!$B$34+(ArtifactsInput!$M$7-ArtifactsInput!$M$7)*CHOOSE(ArtifactsInput!$N$7+1,6,7.2,8.4,9.6,10.8,12)))/100))/Skills!E19))/100),1)</f>
        <v/>
      </c>
    </row>
    <row r="1775">
      <c r="A1775" t="inlineStr">
        <is>
          <t>Attack Speed Buff Bonus % (Nimble Feet, averaged)</t>
        </is>
      </c>
      <c r="B1775">
        <f>F1760*IF(AND(Inputs!$B$38&lt;&gt;"pvp",Inputs!$B$43&gt;0),(((R1760-1)*(Skills!T18*(1+((Inputs!$B$34+(ArtifactsInput!$M$7-ArtifactsInput!$M$7)*CHOOSE(ArtifactsInput!$N$7+1,6,7.2,8.4,9.6,10.8,12)))/100))+MIN((Skills!T18*(1+((Inputs!$B$34+(ArtifactsInput!$M$7-ArtifactsInput!$M$7)*CHOOSE(ArtifactsInput!$N$7+1,6,7.2,8.4,9.6,10.8,12)))/100)),MAX(0,Inputs!$B$43-((R1760-1)*Skills!E18))))/Inputs!$B$43),IF(Inputs!$B$38="pvp",MIN((Skills!T18*(1+((Inputs!$B$34+(ArtifactsInput!$M$7-ArtifactsInput!$M$7)*CHOOSE(ArtifactsInput!$N$7+1,6,7.2,8.4,9.6,10.8,12)))/100)),15)/15,(Skills!T18*(1+((Inputs!$B$34+(ArtifactsInput!$M$7-ArtifactsInput!$M$7)*CHOOSE(ArtifactsInput!$N$7+1,6,7.2,8.4,9.6,10.8,12)))/100))/Skills!E18))</f>
        <v/>
      </c>
    </row>
    <row r="1776">
      <c r="A1776" t="inlineStr">
        <is>
          <t>Actions Per Second</t>
        </is>
      </c>
      <c r="B1776">
        <f>1+MIN(150,150*(1-(1-(Inputs!$B$11+(ArtifactsInput!$M$15-ArtifactsInput!$M$15)*CHOOSE(ArtifactsInput!$N$15+1,8,9.6,11.2,12.8,14.4,16))/150)*(1-B1775/150)))/100</f>
        <v/>
      </c>
    </row>
    <row r="1777">
      <c r="A1777" t="inlineStr">
        <is>
          <t>Skill + Buff Cast Rate</t>
        </is>
      </c>
      <c r="B1777">
        <f>IF(AND(Inputs!$B$38&lt;&gt;"pvp",Inputs!$B$43&gt;0),SUMPRODUCT((Skills!F2:F28=TRUE)*(C1744:C1770=TRUE)*R1744:R1770)/Inputs!$B$43,SUMPRODUCT((Skills!F2:F28=TRUE)*(C1744:C1770=TRUE)*Q1744:Q1770))</f>
        <v/>
      </c>
    </row>
    <row r="1778">
      <c r="A1778" t="inlineStr">
        <is>
          <t>Basic Attacks Per Second</t>
        </is>
      </c>
      <c r="B1778">
        <f>MAX(0,B1776-B1777)</f>
        <v/>
      </c>
    </row>
    <row r="1779">
      <c r="A1779" t="inlineStr">
        <is>
          <t>Meteor Proc — combined trigger cast rate</t>
        </is>
      </c>
      <c r="B1779">
        <f>IF(AND(Inputs!$B$38&lt;&gt;"pvp",Inputs!$B$43&gt;0),SUMPRODUCT((Skills!V2:V28=TRUE)*(C1744:C1770=TRUE)*R1744:R1770*Skills!W2:W28)/Inputs!$B$43,SUMPRODUCT((Skills!V2:V28=TRUE)*(C1744:C1770=TRUE)*Q1744:Q1770*Skills!W2:W28))+B1778</f>
        <v/>
      </c>
    </row>
    <row r="1780">
      <c r="A1780" t="inlineStr">
        <is>
          <t>Buff-Casting Startup Delay (s, fixed-duration only)</t>
        </is>
      </c>
      <c r="B1780">
        <f>IF(AND(Inputs!$B$38&lt;&gt;"pvp",Inputs!$B$43&gt;0),SUMPRODUCT((Skills!T2:T28&gt;0)*(Skills!F2:F28=TRUE)*(C1744:C1770=TRUE))/B1776,0)</f>
        <v/>
      </c>
    </row>
    <row r="1781">
      <c r="A1781" t="inlineStr">
        <is>
          <t>Boss-Only Total DPS (this block's swept value)</t>
        </is>
      </c>
      <c r="B1781">
        <f>SUM(S1744:S1770)</f>
        <v/>
      </c>
    </row>
    <row r="1782">
      <c r="A1782" t="inlineStr">
        <is>
          <t>Normal-Only Total DPS (this block's swept value)</t>
        </is>
      </c>
      <c r="B1782">
        <f>SUM(U1744:U1770)</f>
        <v/>
      </c>
    </row>
    <row r="1783">
      <c r="A1783" s="6" t="inlineStr">
        <is>
          <t>TOTAL DPS</t>
        </is>
      </c>
      <c r="B1783" s="6">
        <f>SUM(O1744:O1770)</f>
        <v/>
      </c>
    </row>
    <row r="1786">
      <c r="A1786" s="6" t="inlineStr">
        <is>
          <t>Stat: Old Music Box (Equip)</t>
        </is>
      </c>
    </row>
    <row r="1787">
      <c r="A1787" s="5" t="inlineStr">
        <is>
          <t>Key</t>
        </is>
      </c>
      <c r="B1787" s="5" t="inlineStr">
        <is>
          <t>Name</t>
        </is>
      </c>
      <c r="C1787" s="5" t="inlineStr">
        <is>
          <t>Unlocked</t>
        </is>
      </c>
      <c r="D1787" s="5" t="inlineStr">
        <is>
          <t>InputLevel</t>
        </is>
      </c>
      <c r="E1787" s="5" t="inlineStr">
        <is>
          <t>Factor</t>
        </is>
      </c>
      <c r="F1787" s="5" t="inlineStr">
        <is>
          <t>CoefficientPercent</t>
        </is>
      </c>
      <c r="G1787" s="5" t="inlineStr">
        <is>
          <t>EffectiveHits</t>
        </is>
      </c>
      <c r="H1787" s="5" t="inlineStr">
        <is>
          <t>ProcProbability</t>
        </is>
      </c>
      <c r="I1787" s="5" t="inlineStr">
        <is>
          <t>MapleHeroMultiplier</t>
        </is>
      </c>
      <c r="J1787" s="5" t="inlineStr">
        <is>
          <t>BaseDamage</t>
        </is>
      </c>
      <c r="K1787" s="5" t="inlineStr">
        <is>
          <t>BaseHitDamage</t>
        </is>
      </c>
      <c r="L1787" s="5" t="inlineStr">
        <is>
          <t>NonCritAvg</t>
        </is>
      </c>
      <c r="M1787" s="5" t="inlineStr">
        <is>
          <t>CritAvg</t>
        </is>
      </c>
      <c r="N1787" s="5" t="inlineStr">
        <is>
          <t>ExpectedDamage(perHit)</t>
        </is>
      </c>
      <c r="O1787" s="5" t="inlineStr">
        <is>
          <t>DPS</t>
        </is>
      </c>
      <c r="P1787" s="5" t="inlineStr">
        <is>
          <t>% of Total</t>
        </is>
      </c>
      <c r="R1787" t="inlineStr">
        <is>
          <t>helpers</t>
        </is>
      </c>
    </row>
    <row r="1788">
      <c r="A1788">
        <f>Skills!A2</f>
        <v/>
      </c>
      <c r="B1788">
        <f>Skills!B2</f>
        <v/>
      </c>
      <c r="C1788">
        <f>TRUE</f>
        <v/>
      </c>
      <c r="D1788" t="inlineStr"/>
      <c r="E1788" t="inlineStr"/>
      <c r="F1788">
        <f>T1790+Skills!O2</f>
        <v/>
      </c>
      <c r="G1788">
        <f>Calc!G2</f>
        <v/>
      </c>
      <c r="H1788">
        <f>Calc!H2</f>
        <v/>
      </c>
      <c r="I1788">
        <f>IF(Skills!X2&lt;&gt;"",1+(Skills!X2/10)*(Z1789/1000)/100,1)</f>
        <v/>
      </c>
      <c r="J1788">
        <f>((Inputs!$B$6*(1+Inputs!$B$7/100))+(((Inputs!$B$12*(1+Inputs!$B$13/100))-(Inputs!$B$12*(1+Inputs!$B$13/100)))+0.25*(Inputs!$B$14-Inputs!$B$14))*(1+Inputs!$B$7/100))*(F1788/100)</f>
        <v/>
      </c>
      <c r="K1788">
        <f>J1788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1788)</f>
        <v/>
      </c>
      <c r="L1788">
        <f>K1788*(MIN(Inputs!$B$22+(F1808-Calc!F22),(Inputs!$B$23+(IF(ArtifactsInput!$M$15,CHOOSE(ArtifactsInput!$N$15+1,25,30,35,40,45,50)/100*(Inputs!$B$11-Inputs!$B$11),0))))/100+(Inputs!$B$23+(IF(ArtifactsInput!$M$15,CHOOSE(ArtifactsInput!$N$15+1,25,30,35,40,45,50)/100*(Inputs!$B$11-Inputs!$B$11),0)))/100)/2</f>
        <v/>
      </c>
      <c r="M1788">
        <f>L1788*(1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8">
        <f>L1788*(1-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1788*(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8">
        <f>(1-Summary!$B$11)*S1788+Summary!$B$11*U1788</f>
        <v/>
      </c>
      <c r="P1788">
        <f>IF(B1827=0,0,O1788/B1827)</f>
        <v/>
      </c>
      <c r="Q1788">
        <f>IFERROR(1/(IF(Inputs!$B$38="pvp",15,MAX(0.1,Skills!E2-IF(Skills!F2=TRUE,Inputs!$B$32,0)))*(1-IF(AND(ArtifactsInput!$M$27,Inputs!$B$4="Chapter Hunt"),CHOOSE(ArtifactsInput!$N$27+1,20,24,28,32,36,40),0)/100)),0)</f>
        <v/>
      </c>
      <c r="R1788" t="n">
        <v>0</v>
      </c>
      <c r="S1788">
        <f>(Skills!G2*N1788*B1822)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1788*(1-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1788*(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1788*(1-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1788*(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788">
        <f>MAX(0,(Inputs!$B$3-100)*3)+Inputs!$B$28+Inputs!$B$29</f>
        <v/>
      </c>
      <c r="U1788">
        <f>(Skills!G2*N1788*B1822)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788">
        <f>MAX(0,(Inputs!$B$3-100)*3)+Inputs!$B$28+Inputs!$B$29</f>
        <v/>
      </c>
    </row>
    <row r="1789">
      <c r="A1789">
        <f>Skills!A3</f>
        <v/>
      </c>
      <c r="B1789">
        <f>Skills!B3</f>
        <v/>
      </c>
      <c r="C1789">
        <f>TRUE</f>
        <v/>
      </c>
      <c r="D1789">
        <f>IF(Skills!C3=1,60+Inputs!$B$25+Inputs!$B$29,IF(Skills!C3=2,90+Inputs!$B$26+Inputs!$B$29,IF(Skills!C3=3,120+Inputs!$B$27+Inputs!$B$29,MAX(0,(Inputs!$B$3-100)*3)+Inputs!$B$28+Inputs!$B$29)))</f>
        <v/>
      </c>
      <c r="E1789">
        <f>INDEX(FactorTable!$B$2:$Y$301, MATCH(ROUND(MIN(300,MAX(1,D1789)),0), FactorTable!$A$2:$A$301,0), Skills!M3+1)</f>
        <v/>
      </c>
      <c r="F1789">
        <f>IF(Skills!N3=TRUE,(Skills!L3/10)*(E1789/1000),Skills!L3/10)+Skills!O3</f>
        <v/>
      </c>
      <c r="G1789">
        <f>Calc!G3</f>
        <v/>
      </c>
      <c r="H1789">
        <f>Calc!H3</f>
        <v/>
      </c>
      <c r="I1789">
        <f>IF(Skills!X3&lt;&gt;"",1+(Skills!X3/10)*(Z1789/1000)/100,1)</f>
        <v/>
      </c>
      <c r="J1789">
        <f>((Inputs!$B$6*(1+Inputs!$B$7/100))+(((Inputs!$B$12*(1+Inputs!$B$13/100))-(Inputs!$B$12*(1+Inputs!$B$13/100)))+0.25*(Inputs!$B$14-Inputs!$B$14))*(1+Inputs!$B$7/100))*(F1789/100)</f>
        <v/>
      </c>
      <c r="K1789">
        <f>J1789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1789)</f>
        <v/>
      </c>
      <c r="L1789">
        <f>K1789*(MIN(Inputs!$B$22+(F1808-Calc!F22),(Inputs!$B$23+(IF(ArtifactsInput!$M$15,CHOOSE(ArtifactsInput!$N$15+1,25,30,35,40,45,50)/100*(Inputs!$B$11-Inputs!$B$11),0))))/100+(Inputs!$B$23+(IF(ArtifactsInput!$M$15,CHOOSE(ArtifactsInput!$N$15+1,25,30,35,40,45,50)/100*(Inputs!$B$11-Inputs!$B$11),0)))/100)/2</f>
        <v/>
      </c>
      <c r="M1789">
        <f>L1789*(1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9">
        <f>L1789*(1-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1789*(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9">
        <f>(1-Summary!$B$11)*S1789+Summary!$B$11*U1789</f>
        <v/>
      </c>
      <c r="P1789">
        <f>IF(B1827=0,0,O1789/B1827)</f>
        <v/>
      </c>
      <c r="Q1789">
        <f>IFERROR(1/(IF(Inputs!$B$38="pvp",15,MAX(0.1,Skills!E3-IF(Skills!F3=TRUE,Inputs!$B$32,0)))*(1-IF(AND(ArtifactsInput!$M$27,Inputs!$B$4="Chapter Hunt"),CHOOSE(ArtifactsInput!$N$27+1,20,24,28,32,36,40),0)/100)),0)</f>
        <v/>
      </c>
      <c r="R1789">
        <f>IF(AND(Inputs!$B$38&lt;&gt;"pvp",Inputs!$B$43&gt;0),IF(MAX(0,Inputs!$B$43-B1824)&lt;=0,0,(INT(MAX(0,Inputs!$B$43-B1824)/(IF(Inputs!$B$38="pvp",15,MAX(0.1,Skills!E3-IF(Skills!F3=TRUE,Inputs!$B$32,0)))*(1-IF(AND(ArtifactsInput!$M$27,Inputs!$B$4="Chapter Hunt"),CHOOSE(ArtifactsInput!$N$27+1,20,24,28,32,36,40),0)/100)))+1)),0)</f>
        <v/>
      </c>
      <c r="S1789">
        <f>IF(C1789,(H1789*N1789*IF(AND(Inputs!$B$38&lt;&gt;"pvp",Inputs!$B$43&gt;0),((Skills!G3*((R1789-1)*IF(Skills!H3&gt;0,Skills!I3/Skills!H3,1)+IF(Skills!H3&gt;0,MIN(Skills!I3,MAX(0,MAX(0,Inputs!$B$43-B1824)-((R1789-1)*(IF(Inputs!$B$38="pvp",15,MAX(0.1,Skills!E3-IF(Skills!F3=TRUE,Inputs!$B$32,0)))*(1-IF(AND(ArtifactsInput!$M$27,Inputs!$B$4="Chapter Hunt"),CHOOSE(ArtifactsInput!$N$27+1,20,24,28,32,36,40),0)/100)))))/Skills!H3,1)))/Inputs!$B$43),G1789*Q1789)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1789*(1-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1789*(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1789*(1-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1789*(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89">
        <f>INDEX(FactorTable!$B$2:$Y$301, MATCH(ROUND(MIN(300,MAX(1,T1788)),0), FactorTable!$A$2:$A$301,0), 22)</f>
        <v/>
      </c>
      <c r="U1789">
        <f>IF(C1789,(H1789*N1789*IF(AND(Inputs!$B$38&lt;&gt;"pvp",Inputs!$B$43&gt;0),((Skills!G3*((R1789-1)*IF(Skills!H3&gt;0,Skills!I3/Skills!H3,1)+IF(Skills!H3&gt;0,MIN(Skills!I3,MAX(0,MAX(0,Inputs!$B$43-B1824)-((R1789-1)*(IF(Inputs!$B$38="pvp",15,MAX(0.1,Skills!E3-IF(Skills!F3=TRUE,Inputs!$B$32,0)))*(1-IF(AND(ArtifactsInput!$M$27,Inputs!$B$4="Chapter Hunt"),CHOOSE(ArtifactsInput!$N$27+1,20,24,28,32,36,40),0)/100)))))/Skills!H3,1)))/Inputs!$B$43),G1789*Q1789)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789">
        <f>INDEX(FactorTable!$B$2:$Y$301, MATCH(ROUND(MIN(300,MAX(1,Z1788)),0), FactorTable!$A$2:$A$301,0), 24)</f>
        <v/>
      </c>
    </row>
    <row r="1790">
      <c r="A1790">
        <f>Skills!A4</f>
        <v/>
      </c>
      <c r="B1790">
        <f>Skills!B4</f>
        <v/>
      </c>
      <c r="C1790">
        <f>TRUE</f>
        <v/>
      </c>
      <c r="D1790">
        <f>IF(Skills!C4=1,60+Inputs!$B$25+Inputs!$B$29,IF(Skills!C4=2,90+Inputs!$B$26+Inputs!$B$29,IF(Skills!C4=3,120+Inputs!$B$27+Inputs!$B$29,MAX(0,(Inputs!$B$3-100)*3)+Inputs!$B$28+Inputs!$B$29)))</f>
        <v/>
      </c>
      <c r="E1790">
        <f>INDEX(FactorTable!$B$2:$Y$301, MATCH(ROUND(MIN(300,MAX(1,D1790)),0), FactorTable!$A$2:$A$301,0), Skills!M4+1)</f>
        <v/>
      </c>
      <c r="F1790">
        <f>IF(Skills!N4=TRUE,(Skills!L4/10)*(E1790/1000),Skills!L4/10)+Skills!O4</f>
        <v/>
      </c>
      <c r="G1790">
        <f>Calc!G4</f>
        <v/>
      </c>
      <c r="H1790">
        <f>Calc!H4</f>
        <v/>
      </c>
      <c r="I1790">
        <f>IF(Skills!X4&lt;&gt;"",1+(Skills!X4/10)*(Z1789/1000)/100,1)</f>
        <v/>
      </c>
      <c r="J1790">
        <f>((Inputs!$B$6*(1+Inputs!$B$7/100))+(((Inputs!$B$12*(1+Inputs!$B$13/100))-(Inputs!$B$12*(1+Inputs!$B$13/100)))+0.25*(Inputs!$B$14-Inputs!$B$14))*(1+Inputs!$B$7/100))*(F1790/100)</f>
        <v/>
      </c>
      <c r="K1790">
        <f>J1790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1790)</f>
        <v/>
      </c>
      <c r="L1790">
        <f>K1790*(MIN(Inputs!$B$22+(F1808-Calc!F22),(Inputs!$B$23+(IF(ArtifactsInput!$M$15,CHOOSE(ArtifactsInput!$N$15+1,25,30,35,40,45,50)/100*(Inputs!$B$11-Inputs!$B$11),0))))/100+(Inputs!$B$23+(IF(ArtifactsInput!$M$15,CHOOSE(ArtifactsInput!$N$15+1,25,30,35,40,45,50)/100*(Inputs!$B$11-Inputs!$B$11),0)))/100)/2</f>
        <v/>
      </c>
      <c r="M1790">
        <f>L1790*(1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0">
        <f>L1790*(1-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1790*(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0">
        <f>(1-Summary!$B$11)*S1790+Summary!$B$11*U1790</f>
        <v/>
      </c>
      <c r="P1790">
        <f>IF(B1827=0,0,O1790/B1827)</f>
        <v/>
      </c>
      <c r="Q1790">
        <f>IFERROR(1/(IF(Inputs!$B$38="pvp",15,MAX(0.1,Skills!E4-IF(Skills!F4=TRUE,Inputs!$B$32,0)))*(1-IF(AND(ArtifactsInput!$M$27,Inputs!$B$4="Chapter Hunt"),CHOOSE(ArtifactsInput!$N$27+1,20,24,28,32,36,40),0)/100)),0)</f>
        <v/>
      </c>
      <c r="R1790">
        <f>IF(AND(Inputs!$B$38&lt;&gt;"pvp",Inputs!$B$43&gt;0),IF(MAX(0,Inputs!$B$43-B1824)&lt;=0,0,(INT(MAX(0,Inputs!$B$43-B1824)/(IF(Inputs!$B$38="pvp",15,MAX(0.1,Skills!E4-IF(Skills!F4=TRUE,Inputs!$B$32,0)))*(1-IF(AND(ArtifactsInput!$M$27,Inputs!$B$4="Chapter Hunt"),CHOOSE(ArtifactsInput!$N$27+1,20,24,28,32,36,40),0)/100)))+1)),0)</f>
        <v/>
      </c>
      <c r="S1790">
        <f>IF(C1790,(H1790*N1790*IF(AND(Inputs!$B$38&lt;&gt;"pvp",Inputs!$B$43&gt;0),((Skills!G4*((R1790-1)*IF(Skills!H4&gt;0,Skills!I4/Skills!H4,1)+IF(Skills!H4&gt;0,MIN(Skills!I4,MAX(0,MAX(0,Inputs!$B$43-B1824)-((R1790-1)*(IF(Inputs!$B$38="pvp",15,MAX(0.1,Skills!E4-IF(Skills!F4=TRUE,Inputs!$B$32,0)))*(1-IF(AND(ArtifactsInput!$M$27,Inputs!$B$4="Chapter Hunt"),CHOOSE(ArtifactsInput!$N$27+1,20,24,28,32,36,40),0)/100)))))/Skills!H4,1)))/Inputs!$B$43),G1790*Q1790)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1790*(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1790*(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90">
        <f>290*T1789/1000</f>
        <v/>
      </c>
      <c r="U1790">
        <f>IF(C1790,(H1790*N1790*IF(AND(Inputs!$B$38&lt;&gt;"pvp",Inputs!$B$43&gt;0),((Skills!G4*((R1790-1)*IF(Skills!H4&gt;0,Skills!I4/Skills!H4,1)+IF(Skills!H4&gt;0,MIN(Skills!I4,MAX(0,MAX(0,Inputs!$B$43-B1824)-((R1790-1)*(IF(Inputs!$B$38="pvp",15,MAX(0.1,Skills!E4-IF(Skills!F4=TRUE,Inputs!$B$32,0)))*(1-IF(AND(ArtifactsInput!$M$27,Inputs!$B$4="Chapter Hunt"),CHOOSE(ArtifactsInput!$N$27+1,20,24,28,32,36,40),0)/100)))))/Skills!H4,1)))/Inputs!$B$43),G1790*Q1790)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1">
      <c r="A1791">
        <f>Skills!A5</f>
        <v/>
      </c>
      <c r="B1791">
        <f>Skills!B5</f>
        <v/>
      </c>
      <c r="C1791">
        <f>TRUE</f>
        <v/>
      </c>
      <c r="D1791">
        <f>IF(Skills!C5=1,60+Inputs!$B$25+Inputs!$B$29,IF(Skills!C5=2,90+Inputs!$B$26+Inputs!$B$29,IF(Skills!C5=3,120+Inputs!$B$27+Inputs!$B$29,MAX(0,(Inputs!$B$3-100)*3)+Inputs!$B$28+Inputs!$B$29)))</f>
        <v/>
      </c>
      <c r="E1791">
        <f>INDEX(FactorTable!$B$2:$Y$301, MATCH(ROUND(MIN(300,MAX(1,D1791)),0), FactorTable!$A$2:$A$301,0), Skills!M5+1)</f>
        <v/>
      </c>
      <c r="F1791">
        <f>IF(Skills!N5=TRUE,(Skills!L5/10)*(E1791/1000),Skills!L5/10)+Skills!O5</f>
        <v/>
      </c>
      <c r="G1791">
        <f>Calc!G5</f>
        <v/>
      </c>
      <c r="H1791">
        <f>Calc!H5</f>
        <v/>
      </c>
      <c r="I1791">
        <f>IF(Skills!X5&lt;&gt;"",1+(Skills!X5/10)*(Z1789/1000)/100,1)</f>
        <v/>
      </c>
      <c r="J1791">
        <f>((Inputs!$B$6*(1+Inputs!$B$7/100))+(((Inputs!$B$12*(1+Inputs!$B$13/100))-(Inputs!$B$12*(1+Inputs!$B$13/100)))+0.25*(Inputs!$B$14-Inputs!$B$14))*(1+Inputs!$B$7/100))*(F1791/100)</f>
        <v/>
      </c>
      <c r="K1791">
        <f>J1791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1791)</f>
        <v/>
      </c>
      <c r="L1791">
        <f>K1791*(MIN(Inputs!$B$22+(F1808-Calc!F22),(Inputs!$B$23+(IF(ArtifactsInput!$M$15,CHOOSE(ArtifactsInput!$N$15+1,25,30,35,40,45,50)/100*(Inputs!$B$11-Inputs!$B$11),0))))/100+(Inputs!$B$23+(IF(ArtifactsInput!$M$15,CHOOSE(ArtifactsInput!$N$15+1,25,30,35,40,45,50)/100*(Inputs!$B$11-Inputs!$B$11),0)))/100)/2</f>
        <v/>
      </c>
      <c r="M1791">
        <f>L1791*(1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1">
        <f>L1791*(1-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1">
        <f>(1-Summary!$B$11)*S1791+Summary!$B$11*U1791</f>
        <v/>
      </c>
      <c r="P1791">
        <f>IF(B1827=0,0,O1791/B1827)</f>
        <v/>
      </c>
      <c r="Q1791">
        <f>IFERROR(1/(IF(Inputs!$B$38="pvp",15,MAX(0.1,Skills!E5-IF(Skills!F5=TRUE,Inputs!$B$32,0)))*(1-IF(AND(ArtifactsInput!$M$27,Inputs!$B$4="Chapter Hunt"),CHOOSE(ArtifactsInput!$N$27+1,20,24,28,32,36,40),0)/100)),0)</f>
        <v/>
      </c>
      <c r="R1791">
        <f>IF(AND(Inputs!$B$38&lt;&gt;"pvp",Inputs!$B$43&gt;0),IF(MAX(0,Inputs!$B$43-B1824)&lt;=0,0,(INT(MAX(0,Inputs!$B$43-B1824)/(IF(Inputs!$B$38="pvp",15,MAX(0.1,Skills!E5-IF(Skills!F5=TRUE,Inputs!$B$32,0)))*(1-IF(AND(ArtifactsInput!$M$27,Inputs!$B$4="Chapter Hunt"),CHOOSE(ArtifactsInput!$N$27+1,20,24,28,32,36,40),0)/100)))+1)),0)</f>
        <v/>
      </c>
      <c r="S1791">
        <f>IF(C1791,(H1791*N1791*IF(AND(Inputs!$B$38&lt;&gt;"pvp",Inputs!$B$43&gt;0),((Skills!G5*((R1791-1)*IF(Skills!H5&gt;0,Skills!I5/Skills!H5,1)+IF(Skills!H5&gt;0,MIN(Skills!I5,MAX(0,MAX(0,Inputs!$B$43-B1824)-((R1791-1)*(IF(Inputs!$B$38="pvp",15,MAX(0.1,Skills!E5-IF(Skills!F5=TRUE,Inputs!$B$32,0)))*(1-IF(AND(ArtifactsInput!$M$27,Inputs!$B$4="Chapter Hunt"),CHOOSE(ArtifactsInput!$N$27+1,20,24,28,32,36,40),0)/100)))))/Skills!H5,1)))/Inputs!$B$43),G1791*Q1791)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1791*(1-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1791*(1-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1">
        <f>IF(C1791,(H1791*N1791*IF(AND(Inputs!$B$38&lt;&gt;"pvp",Inputs!$B$43&gt;0),((Skills!G5*((R1791-1)*IF(Skills!H5&gt;0,Skills!I5/Skills!H5,1)+IF(Skills!H5&gt;0,MIN(Skills!I5,MAX(0,MAX(0,Inputs!$B$43-B1824)-((R1791-1)*(IF(Inputs!$B$38="pvp",15,MAX(0.1,Skills!E5-IF(Skills!F5=TRUE,Inputs!$B$32,0)))*(1-IF(AND(ArtifactsInput!$M$27,Inputs!$B$4="Chapter Hunt"),CHOOSE(ArtifactsInput!$N$27+1,20,24,28,32,36,40),0)/100)))))/Skills!H5,1)))/Inputs!$B$43),G1791*Q1791)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2">
      <c r="A1792">
        <f>Skills!A6</f>
        <v/>
      </c>
      <c r="B1792">
        <f>Skills!B6</f>
        <v/>
      </c>
      <c r="C1792">
        <f>TRUE</f>
        <v/>
      </c>
      <c r="D1792">
        <f>IF(Skills!C6=1,60+Inputs!$B$25+Inputs!$B$29,IF(Skills!C6=2,90+Inputs!$B$26+Inputs!$B$29,IF(Skills!C6=3,120+Inputs!$B$27+Inputs!$B$29,MAX(0,(Inputs!$B$3-100)*3)+Inputs!$B$28+Inputs!$B$29)))</f>
        <v/>
      </c>
      <c r="E1792">
        <f>INDEX(FactorTable!$B$2:$Y$301, MATCH(ROUND(MIN(300,MAX(1,D1792)),0), FactorTable!$A$2:$A$301,0), Skills!M6+1)</f>
        <v/>
      </c>
      <c r="F1792">
        <f>IF(Skills!N6=TRUE,(Skills!L6/10)*(E1792/1000),Skills!L6/10)+Skills!O6</f>
        <v/>
      </c>
      <c r="G1792">
        <f>Calc!G6</f>
        <v/>
      </c>
      <c r="H1792">
        <f>Calc!H6</f>
        <v/>
      </c>
      <c r="I1792">
        <f>IF(Skills!X6&lt;&gt;"",1+(Skills!X6/10)*(Z1789/1000)/100,1)</f>
        <v/>
      </c>
      <c r="J1792" t="inlineStr"/>
      <c r="K1792" t="inlineStr"/>
      <c r="L1792" t="inlineStr"/>
      <c r="M1792" t="inlineStr"/>
      <c r="N1792" t="inlineStr"/>
      <c r="O1792">
        <f>(1-Summary!$B$11)*S1792+Summary!$B$11*U1792</f>
        <v/>
      </c>
      <c r="P1792">
        <f>IF(B1827=0,0,O1792/B1827)</f>
        <v/>
      </c>
      <c r="Q1792">
        <f>IFERROR(1/(IF(Inputs!$B$38="pvp",15,MAX(0.1,Skills!E6-IF(Skills!F6=TRUE,Inputs!$B$32,0)))*(1-IF(AND(ArtifactsInput!$M$27,Inputs!$B$4="Chapter Hunt"),CHOOSE(ArtifactsInput!$N$27+1,20,24,28,32,36,40),0)/100)),0)</f>
        <v/>
      </c>
      <c r="R1792">
        <f>IF(AND(Inputs!$B$38&lt;&gt;"pvp",Inputs!$B$43&gt;0),IF(Inputs!$B$43&lt;=0,0,(INT(Inputs!$B$43/(IF(Inputs!$B$38="pvp",15,MAX(0.1,Skills!E6-IF(Skills!F6=TRUE,Inputs!$B$32,0)))*(1-IF(AND(ArtifactsInput!$M$27,Inputs!$B$4="Chapter Hunt"),CHOOSE(ArtifactsInput!$N$27+1,20,24,28,32,36,40),0)/100)))+1)),0)</f>
        <v/>
      </c>
      <c r="S1792" t="n">
        <v>0</v>
      </c>
      <c r="U1792" t="n">
        <v>0</v>
      </c>
    </row>
    <row r="1793">
      <c r="A1793">
        <f>Skills!A7</f>
        <v/>
      </c>
      <c r="B1793">
        <f>Skills!B7</f>
        <v/>
      </c>
      <c r="C1793">
        <f>TRUE</f>
        <v/>
      </c>
      <c r="D1793">
        <f>IF(Skills!C7=1,60+Inputs!$B$25+Inputs!$B$29,IF(Skills!C7=2,90+Inputs!$B$26+Inputs!$B$29,IF(Skills!C7=3,120+Inputs!$B$27+Inputs!$B$29,MAX(0,(Inputs!$B$3-100)*3)+Inputs!$B$28+Inputs!$B$29)))</f>
        <v/>
      </c>
      <c r="E1793">
        <f>INDEX(FactorTable!$B$2:$Y$301, MATCH(ROUND(MIN(300,MAX(1,D1793)),0), FactorTable!$A$2:$A$301,0), Skills!M7+1)</f>
        <v/>
      </c>
      <c r="F1793">
        <f>IF(Skills!N7=TRUE,(Skills!L7/10)*(E1793/1000),Skills!L7/10)+Skills!O7</f>
        <v/>
      </c>
      <c r="G1793">
        <f>Calc!G7</f>
        <v/>
      </c>
      <c r="H1793">
        <f>Calc!H7</f>
        <v/>
      </c>
      <c r="I1793">
        <f>IF(Skills!X7&lt;&gt;"",1+(Skills!X7/10)*(Z1789/1000)/100,1)</f>
        <v/>
      </c>
      <c r="J1793">
        <f>((Inputs!$B$6*(1+Inputs!$B$7/100))+(((Inputs!$B$12*(1+Inputs!$B$13/100))-(Inputs!$B$12*(1+Inputs!$B$13/100)))+0.25*(Inputs!$B$14-Inputs!$B$14))*(1+Inputs!$B$7/100))*(F1793/100)</f>
        <v/>
      </c>
      <c r="K1793">
        <f>J1793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1793)</f>
        <v/>
      </c>
      <c r="L1793">
        <f>K1793*(MIN(Inputs!$B$22+(F1808-Calc!F22),(Inputs!$B$23+(IF(ArtifactsInput!$M$15,CHOOSE(ArtifactsInput!$N$15+1,25,30,35,40,45,50)/100*(Inputs!$B$11-Inputs!$B$11),0))))/100+(Inputs!$B$23+(IF(ArtifactsInput!$M$15,CHOOSE(ArtifactsInput!$N$15+1,25,30,35,40,45,50)/100*(Inputs!$B$11-Inputs!$B$11),0)))/100)/2</f>
        <v/>
      </c>
      <c r="M1793">
        <f>L1793*(1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3">
        <f>L1793*(1-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1793*(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3">
        <f>(1-Summary!$B$11)*S1793+Summary!$B$11*U1793</f>
        <v/>
      </c>
      <c r="P1793">
        <f>IF(B1827=0,0,O1793/B1827)</f>
        <v/>
      </c>
      <c r="Q1793">
        <f>IFERROR(1/(IF(Inputs!$B$38="pvp",15,MAX(0.1,Skills!E7-IF(Skills!F7=TRUE,Inputs!$B$32,0)))*(1-IF(AND(ArtifactsInput!$M$27,Inputs!$B$4="Chapter Hunt"),CHOOSE(ArtifactsInput!$N$27+1,20,24,28,32,36,40),0)/100)),0)</f>
        <v/>
      </c>
      <c r="R1793">
        <f>IF(AND(Inputs!$B$38&lt;&gt;"pvp",Inputs!$B$43&gt;0),IF(MAX(0,Inputs!$B$43-B1824)&lt;=0,0,(INT(MAX(0,Inputs!$B$43-B1824)/(IF(Inputs!$B$38="pvp",15,MAX(0.1,Skills!E7-IF(Skills!F7=TRUE,Inputs!$B$32,0)))*(1-IF(AND(ArtifactsInput!$M$27,Inputs!$B$4="Chapter Hunt"),CHOOSE(ArtifactsInput!$N$27+1,20,24,28,32,36,40),0)/100)))+1)),0)</f>
        <v/>
      </c>
      <c r="S1793">
        <f>IF(C1793,(H1793*N1793*IF(AND(Inputs!$B$38&lt;&gt;"pvp",Inputs!$B$43&gt;0),((Skills!G7*((R1793-1)*IF(Skills!H7&gt;0,Skills!I7/Skills!H7,1)+IF(Skills!H7&gt;0,MIN(Skills!I7,MAX(0,MAX(0,Inputs!$B$43-B1824)-((R1793-1)*(IF(Inputs!$B$38="pvp",15,MAX(0.1,Skills!E7-IF(Skills!F7=TRUE,Inputs!$B$32,0)))*(1-IF(AND(ArtifactsInput!$M$27,Inputs!$B$4="Chapter Hunt"),CHOOSE(ArtifactsInput!$N$27+1,20,24,28,32,36,40),0)/100)))))/Skills!H7,1)))/Inputs!$B$43),G1793*Q1793)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1793*(1-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1793*(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1793*(1-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1793*(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3">
        <f>IF(C1793,(H1793*N1793*IF(AND(Inputs!$B$38&lt;&gt;"pvp",Inputs!$B$43&gt;0),((Skills!G7*((R1793-1)*IF(Skills!H7&gt;0,Skills!I7/Skills!H7,1)+IF(Skills!H7&gt;0,MIN(Skills!I7,MAX(0,MAX(0,Inputs!$B$43-B1824)-((R1793-1)*(IF(Inputs!$B$38="pvp",15,MAX(0.1,Skills!E7-IF(Skills!F7=TRUE,Inputs!$B$32,0)))*(1-IF(AND(ArtifactsInput!$M$27,Inputs!$B$4="Chapter Hunt"),CHOOSE(ArtifactsInput!$N$27+1,20,24,28,32,36,40),0)/100)))))/Skills!H7,1)))/Inputs!$B$43),G1793*Q1793)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4">
      <c r="A1794">
        <f>Skills!A8</f>
        <v/>
      </c>
      <c r="B1794">
        <f>Skills!B8</f>
        <v/>
      </c>
      <c r="C1794">
        <f>TRUE</f>
        <v/>
      </c>
      <c r="D1794">
        <f>IF(Skills!C8=1,60+Inputs!$B$25+Inputs!$B$29,IF(Skills!C8=2,90+Inputs!$B$26+Inputs!$B$29,IF(Skills!C8=3,120+Inputs!$B$27+Inputs!$B$29,MAX(0,(Inputs!$B$3-100)*3)+Inputs!$B$28+Inputs!$B$29)))</f>
        <v/>
      </c>
      <c r="E1794">
        <f>INDEX(FactorTable!$B$2:$Y$301, MATCH(ROUND(MIN(300,MAX(1,D1794)),0), FactorTable!$A$2:$A$301,0), Skills!M8+1)</f>
        <v/>
      </c>
      <c r="F1794">
        <f>IF(Skills!N8=TRUE,(Skills!L8/10)*(E1794/1000),Skills!L8/10)+Skills!O8</f>
        <v/>
      </c>
      <c r="G1794">
        <f>Calc!G8</f>
        <v/>
      </c>
      <c r="H1794">
        <f>Calc!H8</f>
        <v/>
      </c>
      <c r="I1794">
        <f>IF(Skills!X8&lt;&gt;"",1+(Skills!X8/10)*(Z1789/1000)/100,1)</f>
        <v/>
      </c>
      <c r="J1794">
        <f>((Inputs!$B$6*(1+Inputs!$B$7/100))+(((Inputs!$B$12*(1+Inputs!$B$13/100))-(Inputs!$B$12*(1+Inputs!$B$13/100)))+0.25*(Inputs!$B$14-Inputs!$B$14))*(1+Inputs!$B$7/100))*(F1794/100)</f>
        <v/>
      </c>
      <c r="K1794">
        <f>J1794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1794)</f>
        <v/>
      </c>
      <c r="L1794">
        <f>K1794*(MIN(Inputs!$B$22+(F1808-Calc!F22),(Inputs!$B$23+(IF(ArtifactsInput!$M$15,CHOOSE(ArtifactsInput!$N$15+1,25,30,35,40,45,50)/100*(Inputs!$B$11-Inputs!$B$11),0))))/100+(Inputs!$B$23+(IF(ArtifactsInput!$M$15,CHOOSE(ArtifactsInput!$N$15+1,25,30,35,40,45,50)/100*(Inputs!$B$11-Inputs!$B$11),0)))/100)/2</f>
        <v/>
      </c>
      <c r="M1794">
        <f>L1794*(1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4">
        <f>L1794*(1-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1794*(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4">
        <f>(1-Summary!$B$11)*S1794+Summary!$B$11*U1794</f>
        <v/>
      </c>
      <c r="P1794">
        <f>IF(B1827=0,0,O1794/B1827)</f>
        <v/>
      </c>
      <c r="Q1794">
        <f>IFERROR(1/(IF(Inputs!$B$38="pvp",15,MAX(0.1,Skills!E8-IF(Skills!F8=TRUE,Inputs!$B$32,0)))*(1-IF(AND(ArtifactsInput!$M$27,Inputs!$B$4="Chapter Hunt"),CHOOSE(ArtifactsInput!$N$27+1,20,24,28,32,36,40),0)/100)),0)</f>
        <v/>
      </c>
      <c r="R1794">
        <f>IF(AND(Inputs!$B$38&lt;&gt;"pvp",Inputs!$B$43&gt;0),IF(MAX(0,Inputs!$B$43-B1824)&lt;=0,0,(INT(MAX(0,Inputs!$B$43-B1824)/(IF(Inputs!$B$38="pvp",15,MAX(0.1,Skills!E8-IF(Skills!F8=TRUE,Inputs!$B$32,0)))*(1-IF(AND(ArtifactsInput!$M$27,Inputs!$B$4="Chapter Hunt"),CHOOSE(ArtifactsInput!$N$27+1,20,24,28,32,36,40),0)/100)))+1)),0)</f>
        <v/>
      </c>
      <c r="S1794">
        <f>IF(C1794,(H1794*N1794*IF(AND(Inputs!$B$38&lt;&gt;"pvp",Inputs!$B$43&gt;0),((Skills!G8*((R1794-1)*IF(Skills!H8&gt;0,Skills!I8/Skills!H8,1)+IF(Skills!H8&gt;0,MIN(Skills!I8,MAX(0,MAX(0,Inputs!$B$43-B1824)-((R1794-1)*(IF(Inputs!$B$38="pvp",15,MAX(0.1,Skills!E8-IF(Skills!F8=TRUE,Inputs!$B$32,0)))*(1-IF(AND(ArtifactsInput!$M$27,Inputs!$B$4="Chapter Hunt"),CHOOSE(ArtifactsInput!$N$27+1,20,24,28,32,36,40),0)/100)))))/Skills!H8,1)))/Inputs!$B$43),G1794*Q1794)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1794*(1-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1794*(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1794*(1-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1794*(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4">
        <f>IF(C1794,(H1794*N1794*IF(AND(Inputs!$B$38&lt;&gt;"pvp",Inputs!$B$43&gt;0),((Skills!G8*((R1794-1)*IF(Skills!H8&gt;0,Skills!I8/Skills!H8,1)+IF(Skills!H8&gt;0,MIN(Skills!I8,MAX(0,MAX(0,Inputs!$B$43-B1824)-((R1794-1)*(IF(Inputs!$B$38="pvp",15,MAX(0.1,Skills!E8-IF(Skills!F8=TRUE,Inputs!$B$32,0)))*(1-IF(AND(ArtifactsInput!$M$27,Inputs!$B$4="Chapter Hunt"),CHOOSE(ArtifactsInput!$N$27+1,20,24,28,32,36,40),0)/100)))))/Skills!H8,1)))/Inputs!$B$43),G1794*Q1794)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5">
      <c r="A1795">
        <f>Skills!A9</f>
        <v/>
      </c>
      <c r="B1795">
        <f>Skills!B9</f>
        <v/>
      </c>
      <c r="C1795">
        <f>Inputs!$B$3&gt;=103</f>
        <v/>
      </c>
      <c r="D1795">
        <f>IF(Skills!C9=1,60+Inputs!$B$25+Inputs!$B$29,IF(Skills!C9=2,90+Inputs!$B$26+Inputs!$B$29,IF(Skills!C9=3,120+Inputs!$B$27+Inputs!$B$29,MAX(0,(Inputs!$B$3-100)*3)+Inputs!$B$28+Inputs!$B$29)))</f>
        <v/>
      </c>
      <c r="E1795">
        <f>INDEX(FactorTable!$B$2:$Y$301, MATCH(ROUND(MIN(300,MAX(1,D1795)),0), FactorTable!$A$2:$A$301,0), Skills!M9+1)</f>
        <v/>
      </c>
      <c r="F1795">
        <f>IF(Skills!N9=TRUE,(Skills!L9/10)*(E1795/1000),Skills!L9/10)+Skills!O9</f>
        <v/>
      </c>
      <c r="G1795">
        <f>Calc!G9</f>
        <v/>
      </c>
      <c r="H1795">
        <f>Calc!H9</f>
        <v/>
      </c>
      <c r="I1795">
        <f>IF(Skills!X9&lt;&gt;"",1+(Skills!X9/10)*(Z1789/1000)/100,1)</f>
        <v/>
      </c>
      <c r="J1795">
        <f>((Inputs!$B$6*(1+Inputs!$B$7/100))+(((Inputs!$B$12*(1+Inputs!$B$13/100))-(Inputs!$B$12*(1+Inputs!$B$13/100)))+0.25*(Inputs!$B$14-Inputs!$B$14))*(1+Inputs!$B$7/100))*(F1795/100)</f>
        <v/>
      </c>
      <c r="K1795">
        <f>J1795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1795)</f>
        <v/>
      </c>
      <c r="L1795">
        <f>K1795*(MIN(Inputs!$B$22+(F1808-Calc!F22),(Inputs!$B$23+(IF(ArtifactsInput!$M$15,CHOOSE(ArtifactsInput!$N$15+1,25,30,35,40,45,50)/100*(Inputs!$B$11-Inputs!$B$11),0))))/100+(Inputs!$B$23+(IF(ArtifactsInput!$M$15,CHOOSE(ArtifactsInput!$N$15+1,25,30,35,40,45,50)/100*(Inputs!$B$11-Inputs!$B$11),0)))/100)/2</f>
        <v/>
      </c>
      <c r="M1795">
        <f>L1795*(1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5">
        <f>L1795*(1-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1795*(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5">
        <f>(1-Summary!$B$11)*S1795+Summary!$B$11*U1795</f>
        <v/>
      </c>
      <c r="P1795">
        <f>IF(B1827=0,0,O1795/B1827)</f>
        <v/>
      </c>
      <c r="Q1795">
        <f>IFERROR(1/(IF(Inputs!$B$38="pvp",15,MAX(0.1,Skills!E9-IF(Skills!F7=TRUE,Inputs!$B$32,0)))*(1-IF(AND(ArtifactsInput!$M$27,Inputs!$B$4="Chapter Hunt"),CHOOSE(ArtifactsInput!$N$27+1,20,24,28,32,36,40),0)/100)),0)</f>
        <v/>
      </c>
      <c r="R1795">
        <f>IF(AND(Inputs!$B$38&lt;&gt;"pvp",Inputs!$B$43&gt;0),IF(MAX(0,Inputs!$B$43-B1824)&lt;=0,0,(INT(MAX(0,Inputs!$B$43-B1824)/(IF(Inputs!$B$38="pvp",15,MAX(0.1,Skills!E9-IF(Skills!F7=TRUE,Inputs!$B$32,0)))*(1-IF(AND(ArtifactsInput!$M$27,Inputs!$B$4="Chapter Hunt"),CHOOSE(ArtifactsInput!$N$27+1,20,24,28,32,36,40),0)/100)))+1)),0)</f>
        <v/>
      </c>
      <c r="S1795">
        <f>IF(C1795,(H1795*N1795*IF(AND(Inputs!$B$38&lt;&gt;"pvp",Inputs!$B$43&gt;0),((Skills!G9*((R1795-1)*IF(Skills!H9&gt;0,Skills!I9/Skills!H9,1)+IF(Skills!H9&gt;0,MIN(Skills!I9,MAX(0,MAX(0,Inputs!$B$43-B1824)-((R1795-1)*(IF(Inputs!$B$38="pvp",15,MAX(0.1,Skills!E9-IF(Skills!F7=TRUE,Inputs!$B$32,0)))*(1-IF(AND(ArtifactsInput!$M$27,Inputs!$B$4="Chapter Hunt"),CHOOSE(ArtifactsInput!$N$27+1,20,24,28,32,36,40),0)/100)))))/Skills!H9,1)))/Inputs!$B$43),G1795*Q1795)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1795*(1-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1795*(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1795*(1-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1795*(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5">
        <f>IF(C1795,(H1795*N1795*IF(AND(Inputs!$B$38&lt;&gt;"pvp",Inputs!$B$43&gt;0),((Skills!G9*((R1795-1)*IF(Skills!H9&gt;0,Skills!I9/Skills!H9,1)+IF(Skills!H9&gt;0,MIN(Skills!I9,MAX(0,MAX(0,Inputs!$B$43-B1824)-((R1795-1)*(IF(Inputs!$B$38="pvp",15,MAX(0.1,Skills!E9-IF(Skills!F7=TRUE,Inputs!$B$32,0)))*(1-IF(AND(ArtifactsInput!$M$27,Inputs!$B$4="Chapter Hunt"),CHOOSE(ArtifactsInput!$N$27+1,20,24,28,32,36,40),0)/100)))))/Skills!H9,1)))/Inputs!$B$43),G1795*Q1795)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6">
      <c r="A1796">
        <f>Skills!A10</f>
        <v/>
      </c>
      <c r="B1796">
        <f>Skills!B10</f>
        <v/>
      </c>
      <c r="C1796">
        <f>TRUE</f>
        <v/>
      </c>
      <c r="D1796">
        <f>IF(Skills!C10=1,60+Inputs!$B$25+Inputs!$B$29,IF(Skills!C10=2,90+Inputs!$B$26+Inputs!$B$29,IF(Skills!C10=3,120+Inputs!$B$27+Inputs!$B$29,MAX(0,(Inputs!$B$3-100)*3)+Inputs!$B$28+Inputs!$B$29)))</f>
        <v/>
      </c>
      <c r="E1796">
        <f>INDEX(FactorTable!$B$2:$Y$301, MATCH(ROUND(MIN(300,MAX(1,D1796)),0), FactorTable!$A$2:$A$301,0), Skills!M10+1)</f>
        <v/>
      </c>
      <c r="F1796">
        <f>IF(Skills!N10=TRUE,(Skills!L10/10)*(E1796/1000),Skills!L10/10)+Skills!O10</f>
        <v/>
      </c>
      <c r="G1796">
        <f>Calc!G10</f>
        <v/>
      </c>
      <c r="H1796">
        <f>Calc!H10</f>
        <v/>
      </c>
      <c r="I1796">
        <f>IF(Skills!X10&lt;&gt;"",1+(Skills!X10/10)*(Z1789/1000)/100,1)</f>
        <v/>
      </c>
      <c r="J1796">
        <f>((Inputs!$B$6*(1+Inputs!$B$7/100))+(((Inputs!$B$12*(1+Inputs!$B$13/100))-(Inputs!$B$12*(1+Inputs!$B$13/100)))+0.25*(Inputs!$B$14-Inputs!$B$14))*(1+Inputs!$B$7/100))*(F1796/100)</f>
        <v/>
      </c>
      <c r="K1796">
        <f>J1796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1796)</f>
        <v/>
      </c>
      <c r="L1796">
        <f>K1796*(MIN(Inputs!$B$22+(F1808-Calc!F22),(Inputs!$B$23+(IF(ArtifactsInput!$M$15,CHOOSE(ArtifactsInput!$N$15+1,25,30,35,40,45,50)/100*(Inputs!$B$11-Inputs!$B$11),0))))/100+(Inputs!$B$23+(IF(ArtifactsInput!$M$15,CHOOSE(ArtifactsInput!$N$15+1,25,30,35,40,45,50)/100*(Inputs!$B$11-Inputs!$B$11),0)))/100)/2</f>
        <v/>
      </c>
      <c r="M1796">
        <f>L1796*(1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6">
        <f>L1796*(1-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1796*(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6">
        <f>(1-Summary!$B$11)*S1796+Summary!$B$11*U1796</f>
        <v/>
      </c>
      <c r="P1796">
        <f>IF(B1827=0,0,O1796/B1827)</f>
        <v/>
      </c>
      <c r="Q1796">
        <f>IFERROR(1/(IF(Inputs!$B$38="pvp",15,MAX(0.1,Skills!E10-IF(Skills!F10=TRUE,Inputs!$B$32,0)))*(1-IF(AND(ArtifactsInput!$M$27,Inputs!$B$4="Chapter Hunt"),CHOOSE(ArtifactsInput!$N$27+1,20,24,28,32,36,40),0)/100)),0)</f>
        <v/>
      </c>
      <c r="R1796">
        <f>IF(AND(Inputs!$B$38&lt;&gt;"pvp",Inputs!$B$43&gt;0),IF(MAX(0,Inputs!$B$43-B1824)&lt;=0,0,(INT(MAX(0,Inputs!$B$43-B1824)/(IF(Inputs!$B$38="pvp",15,MAX(0.1,Skills!E10-IF(Skills!F10=TRUE,Inputs!$B$32,0)))*(1-IF(AND(ArtifactsInput!$M$27,Inputs!$B$4="Chapter Hunt"),CHOOSE(ArtifactsInput!$N$27+1,20,24,28,32,36,40),0)/100)))+1)),0)</f>
        <v/>
      </c>
      <c r="S1796">
        <f>IF(C1796,(H1796*N1796*IF(AND(Inputs!$B$38&lt;&gt;"pvp",Inputs!$B$43&gt;0),((Skills!G10*((R1796-1)*IF(Skills!H10&gt;0,Skills!I10/Skills!H10,1)+IF(Skills!H10&gt;0,MIN(Skills!I10,MAX(0,MAX(0,Inputs!$B$43-B1824)-((R1796-1)*(IF(Inputs!$B$38="pvp",15,MAX(0.1,Skills!E10-IF(Skills!F10=TRUE,Inputs!$B$32,0)))*(1-IF(AND(ArtifactsInput!$M$27,Inputs!$B$4="Chapter Hunt"),CHOOSE(ArtifactsInput!$N$27+1,20,24,28,32,36,40),0)/100)))))/Skills!H10,1)))/Inputs!$B$43),G1796*Q1796)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1796*(1-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1796*(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1796*(1-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1796*(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6">
        <f>IF(C1796,(H1796*N1796*IF(AND(Inputs!$B$38&lt;&gt;"pvp",Inputs!$B$43&gt;0),((Skills!G10*((R1796-1)*IF(Skills!H10&gt;0,Skills!I10/Skills!H10,1)+IF(Skills!H10&gt;0,MIN(Skills!I10,MAX(0,MAX(0,Inputs!$B$43-B1824)-((R1796-1)*(IF(Inputs!$B$38="pvp",15,MAX(0.1,Skills!E10-IF(Skills!F10=TRUE,Inputs!$B$32,0)))*(1-IF(AND(ArtifactsInput!$M$27,Inputs!$B$4="Chapter Hunt"),CHOOSE(ArtifactsInput!$N$27+1,20,24,28,32,36,40),0)/100)))))/Skills!H10,1)))/Inputs!$B$43),G1796*Q1796)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7">
      <c r="A1797">
        <f>Skills!A11</f>
        <v/>
      </c>
      <c r="B1797">
        <f>Skills!B11</f>
        <v/>
      </c>
      <c r="C1797">
        <f>TRUE</f>
        <v/>
      </c>
      <c r="D1797">
        <f>IF(Skills!C11=1,60+Inputs!$B$25+Inputs!$B$29,IF(Skills!C11=2,90+Inputs!$B$26+Inputs!$B$29,IF(Skills!C11=3,120+Inputs!$B$27+Inputs!$B$29,MAX(0,(Inputs!$B$3-100)*3)+Inputs!$B$28+Inputs!$B$29)))</f>
        <v/>
      </c>
      <c r="E1797">
        <f>INDEX(FactorTable!$B$2:$Y$301, MATCH(ROUND(MIN(300,MAX(1,D1797)),0), FactorTable!$A$2:$A$301,0), Skills!M11+1)</f>
        <v/>
      </c>
      <c r="F1797">
        <f>IF(Skills!N11=TRUE,(Skills!L11/10)*(E1797/1000),Skills!L11/10)+Skills!O11</f>
        <v/>
      </c>
      <c r="G1797">
        <f>Calc!G11</f>
        <v/>
      </c>
      <c r="H1797">
        <f>Calc!H11</f>
        <v/>
      </c>
      <c r="I1797">
        <f>IF(Skills!X11&lt;&gt;"",1+(Skills!X11/10)*(Z1789/1000)/100,1)</f>
        <v/>
      </c>
      <c r="J1797" t="inlineStr"/>
      <c r="K1797" t="inlineStr"/>
      <c r="L1797" t="inlineStr"/>
      <c r="M1797" t="inlineStr"/>
      <c r="N1797" t="inlineStr"/>
      <c r="O1797">
        <f>(1-Summary!$B$11)*S1797+Summary!$B$11*U1797</f>
        <v/>
      </c>
      <c r="P1797">
        <f>IF(B1827=0,0,O1797/B1827)</f>
        <v/>
      </c>
      <c r="Q1797">
        <f>IFERROR(1/(IF(Inputs!$B$38="pvp",15,MAX(0.1,Skills!E11-IF(Skills!F11=TRUE,Inputs!$B$32,0)))*(1-IF(AND(ArtifactsInput!$M$27,Inputs!$B$4="Chapter Hunt"),CHOOSE(ArtifactsInput!$N$27+1,20,24,28,32,36,40),0)/100)),0)</f>
        <v/>
      </c>
      <c r="R1797" t="n">
        <v>0</v>
      </c>
      <c r="S1797" t="n">
        <v>0</v>
      </c>
      <c r="U1797" t="n">
        <v>0</v>
      </c>
    </row>
    <row r="1798">
      <c r="A1798">
        <f>Skills!A12</f>
        <v/>
      </c>
      <c r="B1798">
        <f>Skills!B12</f>
        <v/>
      </c>
      <c r="C1798">
        <f>TRUE</f>
        <v/>
      </c>
      <c r="D1798">
        <f>IF(Skills!C12=1,60+Inputs!$B$25+Inputs!$B$29,IF(Skills!C12=2,90+Inputs!$B$26+Inputs!$B$29,IF(Skills!C12=3,120+Inputs!$B$27+Inputs!$B$29,MAX(0,(Inputs!$B$3-100)*3)+Inputs!$B$28+Inputs!$B$29)))</f>
        <v/>
      </c>
      <c r="E1798">
        <f>INDEX(FactorTable!$B$2:$Y$301, MATCH(ROUND(MIN(300,MAX(1,D1798)),0), FactorTable!$A$2:$A$301,0), Skills!M12+1)</f>
        <v/>
      </c>
      <c r="F1798">
        <f>IF(Skills!N12=TRUE,(Skills!L12/10)*(E1798/1000),Skills!L12/10)+Skills!O12</f>
        <v/>
      </c>
      <c r="G1798">
        <f>Calc!G12</f>
        <v/>
      </c>
      <c r="H1798">
        <f>Calc!H12</f>
        <v/>
      </c>
      <c r="I1798">
        <f>IF(Skills!X12&lt;&gt;"",1+(Skills!X12/10)*(Z1789/1000)/100,1)</f>
        <v/>
      </c>
      <c r="J1798" t="inlineStr"/>
      <c r="K1798" t="inlineStr"/>
      <c r="L1798" t="inlineStr"/>
      <c r="M1798" t="inlineStr"/>
      <c r="N1798" t="inlineStr"/>
      <c r="O1798">
        <f>(1-Summary!$B$11)*S1798+Summary!$B$11*U1798</f>
        <v/>
      </c>
      <c r="P1798">
        <f>IF(B1827=0,0,O1798/B1827)</f>
        <v/>
      </c>
      <c r="Q1798">
        <f>IFERROR(1/(IF(Inputs!$B$38="pvp",15,MAX(0.1,Skills!E12-IF(Skills!F12=TRUE,Inputs!$B$32,0)))*(1-IF(AND(ArtifactsInput!$M$27,Inputs!$B$4="Chapter Hunt"),CHOOSE(ArtifactsInput!$N$27+1,20,24,28,32,36,40),0)/100)),0)</f>
        <v/>
      </c>
      <c r="R1798" t="n">
        <v>0</v>
      </c>
      <c r="S1798" t="n">
        <v>0</v>
      </c>
      <c r="U1798" t="n">
        <v>0</v>
      </c>
    </row>
    <row r="1799">
      <c r="A1799">
        <f>Skills!A13</f>
        <v/>
      </c>
      <c r="B1799">
        <f>Skills!B13</f>
        <v/>
      </c>
      <c r="C1799">
        <f>Inputs!$B$3&gt;=105</f>
        <v/>
      </c>
      <c r="D1799">
        <f>IF(Skills!C13=1,60+Inputs!$B$25+Inputs!$B$29,IF(Skills!C13=2,90+Inputs!$B$26+Inputs!$B$29,IF(Skills!C13=3,120+Inputs!$B$27+Inputs!$B$29,MAX(0,(Inputs!$B$3-100)*3)+Inputs!$B$28+Inputs!$B$29)))</f>
        <v/>
      </c>
      <c r="E1799">
        <f>INDEX(FactorTable!$B$2:$Y$301, MATCH(ROUND(MIN(300,MAX(1,D1799)),0), FactorTable!$A$2:$A$301,0), Skills!M13+1)</f>
        <v/>
      </c>
      <c r="F1799">
        <f>IF(Skills!N13=TRUE,(Skills!L13/10)*(E1799/1000),Skills!L13/10)+Skills!O13</f>
        <v/>
      </c>
      <c r="G1799">
        <f>Calc!G13</f>
        <v/>
      </c>
      <c r="H1799">
        <f>Calc!H13</f>
        <v/>
      </c>
      <c r="I1799">
        <f>IF(Skills!X13&lt;&gt;"",1+(Skills!X13/10)*(Z1789/1000)/100,1)</f>
        <v/>
      </c>
      <c r="J1799">
        <f>((Inputs!$B$6*(1+Inputs!$B$7/100))+(((Inputs!$B$12*(1+Inputs!$B$13/100))-(Inputs!$B$12*(1+Inputs!$B$13/100)))+0.25*(Inputs!$B$14-Inputs!$B$14))*(1+Inputs!$B$7/100))*(F1799/100)</f>
        <v/>
      </c>
      <c r="K1799">
        <f>J1799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1799)</f>
        <v/>
      </c>
      <c r="L1799">
        <f>K1799*(MIN(Inputs!$B$22+(F1808-Calc!F22),(Inputs!$B$23+(IF(ArtifactsInput!$M$15,CHOOSE(ArtifactsInput!$N$15+1,25,30,35,40,45,50)/100*(Inputs!$B$11-Inputs!$B$11),0))))/100+(Inputs!$B$23+(IF(ArtifactsInput!$M$15,CHOOSE(ArtifactsInput!$N$15+1,25,30,35,40,45,50)/100*(Inputs!$B$11-Inputs!$B$11),0)))/100)/2</f>
        <v/>
      </c>
      <c r="M1799">
        <f>L1799*(1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9">
        <f>L1799*(1-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1799*(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9">
        <f>(1-Summary!$B$11)*S1799+Summary!$B$11*U1799</f>
        <v/>
      </c>
      <c r="P1799">
        <f>IF(B1827=0,0,O1799/B1827)</f>
        <v/>
      </c>
      <c r="Q1799">
        <f>IFERROR(1/(IF(Inputs!$B$38="pvp",15,MAX(0.1,Skills!E13-IF(Skills!F13=TRUE,Inputs!$B$32,0)))*(1-IF(AND(ArtifactsInput!$M$27,Inputs!$B$4="Chapter Hunt"),CHOOSE(ArtifactsInput!$N$27+1,20,24,28,32,36,40),0)/100)),0)</f>
        <v/>
      </c>
      <c r="R1799">
        <f>IF(AND(Inputs!$B$38&lt;&gt;"pvp",Inputs!$B$43&gt;0),IF(MAX(0,Inputs!$B$43-B1824)&lt;=0,0,(INT(MAX(0,Inputs!$B$43-B1824)/(IF(Inputs!$B$38="pvp",15,MAX(0.1,Skills!E13-IF(Skills!F13=TRUE,Inputs!$B$32,0)))*(1-IF(AND(ArtifactsInput!$M$27,Inputs!$B$4="Chapter Hunt"),CHOOSE(ArtifactsInput!$N$27+1,20,24,28,32,36,40),0)/100)))+1)),0)</f>
        <v/>
      </c>
      <c r="S1799">
        <f>IF(C1799,(H1799*N1799*IF(AND(Inputs!$B$38&lt;&gt;"pvp",Inputs!$B$43&gt;0),((Skills!G13*((R1799-1)*IF(Skills!H13&gt;0,Skills!I13/Skills!H13,1)+IF(Skills!H13&gt;0,MIN(Skills!I13,MAX(0,MAX(0,Inputs!$B$43-B1824)-((R1799-1)*(IF(Inputs!$B$38="pvp",15,MAX(0.1,Skills!E13-IF(Skills!F13=TRUE,Inputs!$B$32,0)))*(1-IF(AND(ArtifactsInput!$M$27,Inputs!$B$4="Chapter Hunt"),CHOOSE(ArtifactsInput!$N$27+1,20,24,28,32,36,40),0)/100)))))/Skills!H13,1)))/Inputs!$B$43),G1799*Q1799)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1799*(1-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1799*(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1799*(1-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1799*(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9">
        <f>IF(C1799,(H1799*N1799*IF(AND(Inputs!$B$38&lt;&gt;"pvp",Inputs!$B$43&gt;0),((Skills!G13*((R1799-1)*IF(Skills!H13&gt;0,Skills!I13/Skills!H13,1)+IF(Skills!H13&gt;0,MIN(Skills!I13,MAX(0,MAX(0,Inputs!$B$43-B1824)-((R1799-1)*(IF(Inputs!$B$38="pvp",15,MAX(0.1,Skills!E13-IF(Skills!F13=TRUE,Inputs!$B$32,0)))*(1-IF(AND(ArtifactsInput!$M$27,Inputs!$B$4="Chapter Hunt"),CHOOSE(ArtifactsInput!$N$27+1,20,24,28,32,36,40),0)/100)))))/Skills!H13,1)))/Inputs!$B$43),G1799*Q1799)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0">
      <c r="A1800">
        <f>Skills!A14</f>
        <v/>
      </c>
      <c r="B1800">
        <f>Skills!B14</f>
        <v/>
      </c>
      <c r="C1800">
        <f>Inputs!$B$3&gt;=113</f>
        <v/>
      </c>
      <c r="D1800">
        <f>IF(Skills!C14=1,60+Inputs!$B$25+Inputs!$B$29,IF(Skills!C14=2,90+Inputs!$B$26+Inputs!$B$29,IF(Skills!C14=3,120+Inputs!$B$27+Inputs!$B$29,MAX(0,(Inputs!$B$3-100)*3)+Inputs!$B$28+Inputs!$B$29)))</f>
        <v/>
      </c>
      <c r="E1800">
        <f>INDEX(FactorTable!$B$2:$Y$301, MATCH(ROUND(MIN(300,MAX(1,D1800)),0), FactorTable!$A$2:$A$301,0), Skills!M14+1)</f>
        <v/>
      </c>
      <c r="F1800">
        <f>IF(Skills!N14=TRUE,(Skills!L14/10)*(E1800/1000),Skills!L14/10)+Skills!O14</f>
        <v/>
      </c>
      <c r="G1800">
        <f>Calc!G14</f>
        <v/>
      </c>
      <c r="H1800">
        <f>Calc!H14</f>
        <v/>
      </c>
      <c r="I1800">
        <f>IF(Skills!X14&lt;&gt;"",1+(Skills!X14/10)*(Z1789/1000)/100,1)</f>
        <v/>
      </c>
      <c r="J1800">
        <f>((Inputs!$B$6*(1+Inputs!$B$7/100))+(((Inputs!$B$12*(1+Inputs!$B$13/100))-(Inputs!$B$12*(1+Inputs!$B$13/100)))+0.25*(Inputs!$B$14-Inputs!$B$14))*(1+Inputs!$B$7/100))*(F1800/100)</f>
        <v/>
      </c>
      <c r="K1800">
        <f>J1800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1800)</f>
        <v/>
      </c>
      <c r="L1800">
        <f>K1800*(MIN(Inputs!$B$22+(F1808-Calc!F22),(Inputs!$B$23+(IF(ArtifactsInput!$M$15,CHOOSE(ArtifactsInput!$N$15+1,25,30,35,40,45,50)/100*(Inputs!$B$11-Inputs!$B$11),0))))/100+(Inputs!$B$23+(IF(ArtifactsInput!$M$15,CHOOSE(ArtifactsInput!$N$15+1,25,30,35,40,45,50)/100*(Inputs!$B$11-Inputs!$B$11),0)))/100)/2</f>
        <v/>
      </c>
      <c r="M1800">
        <f>L1800*(1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0">
        <f>L1800*(1-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1800*(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0">
        <f>(1-Summary!$B$11)*S1800+Summary!$B$11*U1800</f>
        <v/>
      </c>
      <c r="P1800">
        <f>IF(B1827=0,0,O1800/B1827)</f>
        <v/>
      </c>
      <c r="Q1800">
        <f>IFERROR(1/(IF(Inputs!$B$38="pvp",15,MAX(0.1,Skills!E14-IF(Skills!F14=TRUE,Inputs!$B$32,0)))*(1-IF(AND(ArtifactsInput!$M$27,Inputs!$B$4="Chapter Hunt"),CHOOSE(ArtifactsInput!$N$27+1,20,24,28,32,36,40),0)/100)),0)</f>
        <v/>
      </c>
      <c r="R1800" t="n">
        <v>0</v>
      </c>
      <c r="S1800">
        <f>IF(C1800,((H1800*B1823)/(1+Skills!H14*H1800*B1823)*N1800)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1800*(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1800*(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0">
        <f>IF(C1800,((H1800*B1823)/(1+Skills!H14*H1800*B1823)*N1800)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1">
      <c r="A1801">
        <f>Skills!A15</f>
        <v/>
      </c>
      <c r="B1801">
        <f>Skills!B15</f>
        <v/>
      </c>
      <c r="C1801">
        <f>Inputs!$B$3&gt;=107</f>
        <v/>
      </c>
      <c r="D1801">
        <f>IF(Skills!C15=1,60+Inputs!$B$25+Inputs!$B$29,IF(Skills!C15=2,90+Inputs!$B$26+Inputs!$B$29,IF(Skills!C15=3,120+Inputs!$B$27+Inputs!$B$29,MAX(0,(Inputs!$B$3-100)*3)+Inputs!$B$28+Inputs!$B$29)))</f>
        <v/>
      </c>
      <c r="E1801">
        <f>INDEX(FactorTable!$B$2:$Y$301, MATCH(ROUND(MIN(300,MAX(1,D1801)),0), FactorTable!$A$2:$A$301,0), Skills!M15+1)</f>
        <v/>
      </c>
      <c r="F1801">
        <f>IF(Skills!N15=TRUE,(Skills!L15/10)*(E1801/1000),Skills!L15/10)+Skills!O15</f>
        <v/>
      </c>
      <c r="G1801">
        <f>Calc!G15</f>
        <v/>
      </c>
      <c r="H1801">
        <f>Calc!H15</f>
        <v/>
      </c>
      <c r="I1801">
        <f>IF(Skills!X15&lt;&gt;"",1+(Skills!X15/10)*(Z1789/1000)/100,1)</f>
        <v/>
      </c>
      <c r="J1801">
        <f>((Inputs!$B$6*(1+Inputs!$B$7/100))+(((Inputs!$B$12*(1+Inputs!$B$13/100))-(Inputs!$B$12*(1+Inputs!$B$13/100)))+0.25*(Inputs!$B$14-Inputs!$B$14))*(1+Inputs!$B$7/100))*(F1801/100)</f>
        <v/>
      </c>
      <c r="K1801">
        <f>J1801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1801)</f>
        <v/>
      </c>
      <c r="L1801">
        <f>K1801*(MIN(Inputs!$B$22+(F1808-Calc!F22),(Inputs!$B$23+(IF(ArtifactsInput!$M$15,CHOOSE(ArtifactsInput!$N$15+1,25,30,35,40,45,50)/100*(Inputs!$B$11-Inputs!$B$11),0))))/100+(Inputs!$B$23+(IF(ArtifactsInput!$M$15,CHOOSE(ArtifactsInput!$N$15+1,25,30,35,40,45,50)/100*(Inputs!$B$11-Inputs!$B$11),0)))/100)/2</f>
        <v/>
      </c>
      <c r="M1801">
        <f>L1801*(1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1">
        <f>L1801*(1-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1">
        <f>(1-Summary!$B$11)*S1801+Summary!$B$11*U1801</f>
        <v/>
      </c>
      <c r="P1801">
        <f>IF(B1827=0,0,O1801/B1827)</f>
        <v/>
      </c>
      <c r="Q1801">
        <f>IFERROR(1/(IF(Inputs!$B$38="pvp",15,MAX(0.1,Skills!E15-IF(Skills!F15=TRUE,Inputs!$B$32,0)))*(1-IF(AND(ArtifactsInput!$M$27,Inputs!$B$4="Chapter Hunt"),CHOOSE(ArtifactsInput!$N$27+1,20,24,28,32,36,40),0)/100)),0)</f>
        <v/>
      </c>
      <c r="R1801">
        <f>IF(AND(Inputs!$B$38&lt;&gt;"pvp",Inputs!$B$43&gt;0),IF(MAX(0,Inputs!$B$43-B1824)&lt;=0,0,(INT(MAX(0,Inputs!$B$43-B1824)/(IF(Inputs!$B$38="pvp",15,MAX(0.1,Skills!E15-IF(Skills!F15=TRUE,Inputs!$B$32,0)))*(1-IF(AND(ArtifactsInput!$M$27,Inputs!$B$4="Chapter Hunt"),CHOOSE(ArtifactsInput!$N$27+1,20,24,28,32,36,40),0)/100)))+1)),0)</f>
        <v/>
      </c>
      <c r="S1801">
        <f>IF(C1801,(H1801*N1801*IF(AND(Inputs!$B$38&lt;&gt;"pvp",Inputs!$B$43&gt;0),((Skills!G15*((R1801-1)*IF(Skills!H15&gt;0,Skills!I15/Skills!H15,1)+IF(Skills!H15&gt;0,MIN(Skills!I15,MAX(0,MAX(0,Inputs!$B$43-B1824)-((R1801-1)*(IF(Inputs!$B$38="pvp",15,MAX(0.1,Skills!E15-IF(Skills!F15=TRUE,Inputs!$B$32,0)))*(1-IF(AND(ArtifactsInput!$M$27,Inputs!$B$4="Chapter Hunt"),CHOOSE(ArtifactsInput!$N$27+1,20,24,28,32,36,40),0)/100)))))/Skills!H15,1)))/Inputs!$B$43),G1801*Q1801)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1801*(1-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1801*(1-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1">
        <f>IF(C1801,(H1801*N1801*IF(AND(Inputs!$B$38&lt;&gt;"pvp",Inputs!$B$43&gt;0),((Skills!G15*((R1801-1)*IF(Skills!H15&gt;0,Skills!I15/Skills!H15,1)+IF(Skills!H15&gt;0,MIN(Skills!I15,MAX(0,MAX(0,Inputs!$B$43-B1824)-((R1801-1)*(IF(Inputs!$B$38="pvp",15,MAX(0.1,Skills!E15-IF(Skills!F15=TRUE,Inputs!$B$32,0)))*(1-IF(AND(ArtifactsInput!$M$27,Inputs!$B$4="Chapter Hunt"),CHOOSE(ArtifactsInput!$N$27+1,20,24,28,32,36,40),0)/100)))))/Skills!H15,1)))/Inputs!$B$43),G1801*Q1801)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2">
      <c r="A1802">
        <f>Skills!A16</f>
        <v/>
      </c>
      <c r="B1802">
        <f>Skills!B16</f>
        <v/>
      </c>
      <c r="C1802">
        <f>Inputs!$B$3&gt;=107</f>
        <v/>
      </c>
      <c r="D1802">
        <f>IF(Skills!C16=1,60+Inputs!$B$25+Inputs!$B$29,IF(Skills!C16=2,90+Inputs!$B$26+Inputs!$B$29,IF(Skills!C16=3,120+Inputs!$B$27+Inputs!$B$29,MAX(0,(Inputs!$B$3-100)*3)+Inputs!$B$28+Inputs!$B$29)))</f>
        <v/>
      </c>
      <c r="E1802">
        <f>INDEX(FactorTable!$B$2:$Y$301, MATCH(ROUND(MIN(300,MAX(1,D1802)),0), FactorTable!$A$2:$A$301,0), Skills!M16+1)</f>
        <v/>
      </c>
      <c r="F1802">
        <f>IF(Skills!N16=TRUE,(Skills!L16/10)*(E1802/1000),Skills!L16/10)+Skills!O16</f>
        <v/>
      </c>
      <c r="G1802">
        <f>Calc!G16</f>
        <v/>
      </c>
      <c r="H1802">
        <f>Calc!H16</f>
        <v/>
      </c>
      <c r="I1802">
        <f>IF(Skills!X16&lt;&gt;"",1+(Skills!X16/10)*(Z1789/1000)/100,1)</f>
        <v/>
      </c>
      <c r="J1802">
        <f>((Inputs!$B$6*(1+Inputs!$B$7/100))+(((Inputs!$B$12*(1+Inputs!$B$13/100))-(Inputs!$B$12*(1+Inputs!$B$13/100)))+0.25*(Inputs!$B$14-Inputs!$B$14))*(1+Inputs!$B$7/100))*(F1802/100)</f>
        <v/>
      </c>
      <c r="K1802">
        <f>J1802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1802)</f>
        <v/>
      </c>
      <c r="L1802">
        <f>K1802*(MIN(Inputs!$B$22+(F1808-Calc!F22),(Inputs!$B$23+(IF(ArtifactsInput!$M$15,CHOOSE(ArtifactsInput!$N$15+1,25,30,35,40,45,50)/100*(Inputs!$B$11-Inputs!$B$11),0))))/100+(Inputs!$B$23+(IF(ArtifactsInput!$M$15,CHOOSE(ArtifactsInput!$N$15+1,25,30,35,40,45,50)/100*(Inputs!$B$11-Inputs!$B$11),0)))/100)/2</f>
        <v/>
      </c>
      <c r="M1802">
        <f>L1802*(1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02">
        <f>L1802*(1-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1802*(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2">
        <f>(1-Summary!$B$11)*S1802+Summary!$B$11*U1802</f>
        <v/>
      </c>
      <c r="P1802">
        <f>IF(B1827=0,0,O1802/B1827)</f>
        <v/>
      </c>
      <c r="Q1802">
        <f>IFERROR(1/(IF(Inputs!$B$38="pvp",15,MAX(0.1,Skills!E16-IF(Skills!F16=TRUE,Inputs!$B$32,0)))*(1-IF(AND(ArtifactsInput!$M$27,Inputs!$B$4="Chapter Hunt"),CHOOSE(ArtifactsInput!$N$27+1,20,24,28,32,36,40),0)/100)),0)</f>
        <v/>
      </c>
      <c r="R1802">
        <f>IF(AND(Inputs!$B$38&lt;&gt;"pvp",Inputs!$B$43&gt;0),IF(MAX(0,Inputs!$B$43-B1824)&lt;=0,0,(INT(MAX(0,Inputs!$B$43-B1824)/(IF(Inputs!$B$38="pvp",15,MAX(0.1,Skills!E16-IF(Skills!F16=TRUE,Inputs!$B$32,0)))*(1-IF(AND(ArtifactsInput!$M$27,Inputs!$B$4="Chapter Hunt"),CHOOSE(ArtifactsInput!$N$27+1,20,24,28,32,36,40),0)/100)))+1)),0)</f>
        <v/>
      </c>
      <c r="S1802">
        <f>IF(C1802,(H1802*N1802*IF(AND(Inputs!$B$38&lt;&gt;"pvp",Inputs!$B$43&gt;0),((Skills!G16*((R1802-1)*IF(Skills!H16&gt;0,Skills!I16/Skills!H16,1)+IF(Skills!H16&gt;0,MIN(Skills!I16,MAX(0,MAX(0,Inputs!$B$43-B1824)-((R1802-1)*(IF(Inputs!$B$38="pvp",15,MAX(0.1,Skills!E16-IF(Skills!F16=TRUE,Inputs!$B$32,0)))*(1-IF(AND(ArtifactsInput!$M$27,Inputs!$B$4="Chapter Hunt"),CHOOSE(ArtifactsInput!$N$27+1,20,24,28,32,36,40),0)/100)))))/Skills!H16,1)))/Inputs!$B$43),G1802*Q1802)*(1+IF(Inputs!$B$3&gt;=126,0.05*(B1822+Q1799+(H1800*B1823)/(1+Skills!H14*H1800*B1823)+Q1810)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1802*(1-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1802*(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1802*(1-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1802*(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2">
        <f>IF(C1802,(H1802*N1802*IF(AND(Inputs!$B$38&lt;&gt;"pvp",Inputs!$B$43&gt;0),((Skills!G16*((R1802-1)*IF(Skills!H16&gt;0,Skills!I16/Skills!H16,1)+IF(Skills!H16&gt;0,MIN(Skills!I16,MAX(0,MAX(0,Inputs!$B$43-B1824)-((R1802-1)*(IF(Inputs!$B$38="pvp",15,MAX(0.1,Skills!E16-IF(Skills!F16=TRUE,Inputs!$B$32,0)))*(1-IF(AND(ArtifactsInput!$M$27,Inputs!$B$4="Chapter Hunt"),CHOOSE(ArtifactsInput!$N$27+1,20,24,28,32,36,40),0)/100)))))/Skills!H16,1)))/Inputs!$B$43),G1802*Q1802)*(1+IF(Inputs!$B$3&gt;=126,0.05*(B1822+Q1799+(H1800*B1823)/(1+Skills!H14*H1800*B1823)+Q1810)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3">
      <c r="A1803">
        <f>Skills!A17</f>
        <v/>
      </c>
      <c r="B1803">
        <f>Skills!B17</f>
        <v/>
      </c>
      <c r="C1803">
        <f>TRUE</f>
        <v/>
      </c>
      <c r="D1803">
        <f>IF(Skills!C17=1,60+Inputs!$B$25+Inputs!$B$29,IF(Skills!C17=2,90+Inputs!$B$26+Inputs!$B$29,IF(Skills!C17=3,120+Inputs!$B$27+Inputs!$B$29,MAX(0,(Inputs!$B$3-100)*3)+Inputs!$B$28+Inputs!$B$29)))</f>
        <v/>
      </c>
      <c r="E1803">
        <f>INDEX(FactorTable!$B$2:$Y$301, MATCH(ROUND(MIN(300,MAX(1,D1803)),0), FactorTable!$A$2:$A$301,0), Skills!M17+1)</f>
        <v/>
      </c>
      <c r="F1803">
        <f>IF(Skills!N17=TRUE,(Skills!L17/10)*(E1803/1000),Skills!L17/10)+Skills!O17</f>
        <v/>
      </c>
      <c r="G1803">
        <f>Calc!G17</f>
        <v/>
      </c>
      <c r="H1803">
        <f>Calc!H17</f>
        <v/>
      </c>
      <c r="I1803">
        <f>IF(Skills!X17&lt;&gt;"",1+(Skills!X17/10)*(Z1789/1000)/100,1)</f>
        <v/>
      </c>
      <c r="J1803" t="inlineStr"/>
      <c r="K1803" t="inlineStr"/>
      <c r="L1803" t="inlineStr"/>
      <c r="M1803" t="inlineStr"/>
      <c r="N1803" t="inlineStr"/>
      <c r="O1803">
        <f>(1-Summary!$B$11)*S1803+Summary!$B$11*U1803</f>
        <v/>
      </c>
      <c r="P1803">
        <f>IF(B1827=0,0,O1803/B1827)</f>
        <v/>
      </c>
      <c r="Q1803">
        <f>IFERROR(1/(IF(Inputs!$B$38="pvp",15,MAX(0.1,Skills!E17-IF(Skills!F17=TRUE,Inputs!$B$32,0)))*(1-IF(AND(ArtifactsInput!$M$27,Inputs!$B$4="Chapter Hunt"),CHOOSE(ArtifactsInput!$N$27+1,20,24,28,32,36,40),0)/100)),0)</f>
        <v/>
      </c>
      <c r="R1803">
        <f>IF(AND(Inputs!$B$38&lt;&gt;"pvp",Inputs!$B$43&gt;0),IF(Inputs!$B$43&lt;=0,0,(INT(Inputs!$B$43/(IF(Inputs!$B$38="pvp",15,MAX(0.1,Skills!E17-IF(Skills!F17=TRUE,Inputs!$B$32,0)))*(1-IF(AND(ArtifactsInput!$M$27,Inputs!$B$4="Chapter Hunt"),CHOOSE(ArtifactsInput!$N$27+1,20,24,28,32,36,40),0)/100)))+1)),0)</f>
        <v/>
      </c>
      <c r="S1803" t="n">
        <v>0</v>
      </c>
      <c r="U1803" t="n">
        <v>0</v>
      </c>
    </row>
    <row r="1804">
      <c r="A1804">
        <f>Skills!A18</f>
        <v/>
      </c>
      <c r="B1804">
        <f>Skills!B18</f>
        <v/>
      </c>
      <c r="C1804">
        <f>TRUE</f>
        <v/>
      </c>
      <c r="D1804">
        <f>IF(Skills!C18=1,60+Inputs!$B$25+Inputs!$B$29,IF(Skills!C18=2,90+Inputs!$B$26+Inputs!$B$29,IF(Skills!C18=3,120+Inputs!$B$27+Inputs!$B$29,MAX(0,(Inputs!$B$3-100)*3)+Inputs!$B$28+Inputs!$B$29)))</f>
        <v/>
      </c>
      <c r="E1804">
        <f>INDEX(FactorTable!$B$2:$Y$301, MATCH(ROUND(MIN(300,MAX(1,D1804)),0), FactorTable!$A$2:$A$301,0), Skills!M18+1)</f>
        <v/>
      </c>
      <c r="F1804">
        <f>IF(Skills!N18=TRUE,(Skills!L18/10)*(E1804/1000),Skills!L18/10)+Skills!O18</f>
        <v/>
      </c>
      <c r="G1804">
        <f>Calc!G18</f>
        <v/>
      </c>
      <c r="H1804">
        <f>Calc!H18</f>
        <v/>
      </c>
      <c r="I1804">
        <f>IF(Skills!X18&lt;&gt;"",1+(Skills!X18/10)*(Z1789/1000)/100,1)</f>
        <v/>
      </c>
      <c r="J1804" t="inlineStr"/>
      <c r="K1804" t="inlineStr"/>
      <c r="L1804" t="inlineStr"/>
      <c r="M1804" t="inlineStr"/>
      <c r="N1804" t="inlineStr"/>
      <c r="O1804">
        <f>(1-Summary!$B$11)*S1804+Summary!$B$11*U1804</f>
        <v/>
      </c>
      <c r="P1804">
        <f>IF(B1827=0,0,O1804/B1827)</f>
        <v/>
      </c>
      <c r="Q1804">
        <f>IFERROR(1/(IF(Inputs!$B$38="pvp",15,MAX(0.1,Skills!E18-IF(Skills!F18=TRUE,Inputs!$B$32,0)))*(1-IF(AND(ArtifactsInput!$M$27,Inputs!$B$4="Chapter Hunt"),CHOOSE(ArtifactsInput!$N$27+1,20,24,28,32,36,40),0)/100)),0)</f>
        <v/>
      </c>
      <c r="R1804">
        <f>IF(AND(Inputs!$B$38&lt;&gt;"pvp",Inputs!$B$43&gt;0),IF(Inputs!$B$43&lt;=0,0,(INT(Inputs!$B$43/(IF(Inputs!$B$38="pvp",15,MAX(0.1,Skills!E18-IF(Skills!F18=TRUE,Inputs!$B$32,0)))*(1-IF(AND(ArtifactsInput!$M$27,Inputs!$B$4="Chapter Hunt"),CHOOSE(ArtifactsInput!$N$27+1,20,24,28,32,36,40),0)/100)))+1)),0)</f>
        <v/>
      </c>
      <c r="S1804" t="n">
        <v>0</v>
      </c>
      <c r="U1804" t="n">
        <v>0</v>
      </c>
    </row>
    <row r="1805">
      <c r="A1805">
        <f>Skills!A19</f>
        <v/>
      </c>
      <c r="B1805">
        <f>Skills!B19</f>
        <v/>
      </c>
      <c r="C1805">
        <f>Inputs!$B$3&gt;=110</f>
        <v/>
      </c>
      <c r="D1805">
        <f>IF(Skills!C19=1,60+Inputs!$B$25+Inputs!$B$29,IF(Skills!C19=2,90+Inputs!$B$26+Inputs!$B$29,IF(Skills!C19=3,120+Inputs!$B$27+Inputs!$B$29,MAX(0,(Inputs!$B$3-100)*3)+Inputs!$B$28+Inputs!$B$29)))</f>
        <v/>
      </c>
      <c r="E1805">
        <f>INDEX(FactorTable!$B$2:$Y$301, MATCH(ROUND(MIN(300,MAX(1,D1805)),0), FactorTable!$A$2:$A$301,0), Skills!M19+1)</f>
        <v/>
      </c>
      <c r="F1805">
        <f>IF(Skills!N19=TRUE,(Skills!L19/10)*(E1805/1000),Skills!L19/10)+Skills!O19</f>
        <v/>
      </c>
      <c r="G1805">
        <f>Calc!G19</f>
        <v/>
      </c>
      <c r="H1805">
        <f>Calc!H19</f>
        <v/>
      </c>
      <c r="I1805">
        <f>IF(Skills!X19&lt;&gt;"",1+(Skills!X19/10)*(Z1789/1000)/100,1)</f>
        <v/>
      </c>
      <c r="J1805" t="inlineStr"/>
      <c r="K1805" t="inlineStr"/>
      <c r="L1805" t="inlineStr"/>
      <c r="M1805" t="inlineStr"/>
      <c r="N1805" t="inlineStr"/>
      <c r="O1805">
        <f>(1-Summary!$B$11)*S1805+Summary!$B$11*U1805</f>
        <v/>
      </c>
      <c r="P1805">
        <f>IF(B1827=0,0,O1805/B1827)</f>
        <v/>
      </c>
      <c r="Q1805">
        <f>IFERROR(1/(IF(Inputs!$B$38="pvp",15,MAX(0.1,Skills!E19-IF(Skills!F19=TRUE,Inputs!$B$32,0)))*(1-IF(AND(ArtifactsInput!$M$27,Inputs!$B$4="Chapter Hunt"),CHOOSE(ArtifactsInput!$N$27+1,20,24,28,32,36,40),0)/100)),0)</f>
        <v/>
      </c>
      <c r="R1805">
        <f>IF(AND(Inputs!$B$38&lt;&gt;"pvp",Inputs!$B$43&gt;0),IF(Inputs!$B$43&lt;=0,0,(INT(Inputs!$B$43/(IF(Inputs!$B$38="pvp",15,MAX(0.1,Skills!E19-IF(Skills!F19=TRUE,Inputs!$B$32,0)))*(1-IF(AND(ArtifactsInput!$M$27,Inputs!$B$4="Chapter Hunt"),CHOOSE(ArtifactsInput!$N$27+1,20,24,28,32,36,40),0)/100)))+1)),0)</f>
        <v/>
      </c>
      <c r="S1805" t="n">
        <v>0</v>
      </c>
      <c r="U1805" t="n">
        <v>0</v>
      </c>
    </row>
    <row r="1806">
      <c r="A1806">
        <f>Skills!A20</f>
        <v/>
      </c>
      <c r="B1806">
        <f>Skills!B20</f>
        <v/>
      </c>
      <c r="C1806">
        <f>TRUE</f>
        <v/>
      </c>
      <c r="D1806">
        <f>IF(Skills!C20=1,60+Inputs!$B$25+Inputs!$B$29,IF(Skills!C20=2,90+Inputs!$B$26+Inputs!$B$29,IF(Skills!C20=3,120+Inputs!$B$27+Inputs!$B$29,MAX(0,(Inputs!$B$3-100)*3)+Inputs!$B$28+Inputs!$B$29)))</f>
        <v/>
      </c>
      <c r="E1806">
        <f>INDEX(FactorTable!$B$2:$Y$301, MATCH(ROUND(MIN(300,MAX(1,D1806)),0), FactorTable!$A$2:$A$301,0), Skills!M20+1)</f>
        <v/>
      </c>
      <c r="F1806">
        <f>IF(Skills!N20=TRUE,(Skills!L20/10)*(E1806/1000),Skills!L20/10)+Skills!O20</f>
        <v/>
      </c>
      <c r="G1806">
        <f>Calc!G20</f>
        <v/>
      </c>
      <c r="H1806">
        <f>Calc!H20</f>
        <v/>
      </c>
      <c r="I1806">
        <f>IF(Skills!X20&lt;&gt;"",1+(Skills!X20/10)*(Z1789/1000)/100,1)</f>
        <v/>
      </c>
      <c r="J1806" t="inlineStr"/>
      <c r="K1806" t="inlineStr"/>
      <c r="L1806" t="inlineStr"/>
      <c r="M1806" t="inlineStr"/>
      <c r="N1806" t="inlineStr"/>
      <c r="O1806">
        <f>(1-Summary!$B$11)*S1806+Summary!$B$11*U1806</f>
        <v/>
      </c>
      <c r="P1806">
        <f>IF(B1827=0,0,O1806/B1827)</f>
        <v/>
      </c>
      <c r="Q1806">
        <f>IFERROR(1/(IF(Inputs!$B$38="pvp",15,MAX(0.1,Skills!E20-IF(Skills!F20=TRUE,Inputs!$B$32,0)))*(1-IF(AND(ArtifactsInput!$M$27,Inputs!$B$4="Chapter Hunt"),CHOOSE(ArtifactsInput!$N$27+1,20,24,28,32,36,40),0)/100)),0)</f>
        <v/>
      </c>
      <c r="R1806" t="n">
        <v>0</v>
      </c>
      <c r="S1806" t="n">
        <v>0</v>
      </c>
      <c r="U1806" t="n">
        <v>0</v>
      </c>
    </row>
    <row r="1807">
      <c r="A1807">
        <f>Skills!A21</f>
        <v/>
      </c>
      <c r="B1807">
        <f>Skills!B21</f>
        <v/>
      </c>
      <c r="C1807">
        <f>TRUE</f>
        <v/>
      </c>
      <c r="D1807">
        <f>IF(Skills!C21=1,60+Inputs!$B$25+Inputs!$B$29,IF(Skills!C21=2,90+Inputs!$B$26+Inputs!$B$29,IF(Skills!C21=3,120+Inputs!$B$27+Inputs!$B$29,MAX(0,(Inputs!$B$3-100)*3)+Inputs!$B$28+Inputs!$B$29)))</f>
        <v/>
      </c>
      <c r="E1807">
        <f>INDEX(FactorTable!$B$2:$Y$301, MATCH(ROUND(MIN(300,MAX(1,D1807)),0), FactorTable!$A$2:$A$301,0), Skills!M21+1)</f>
        <v/>
      </c>
      <c r="F1807">
        <f>IF(Skills!N21=TRUE,(Skills!L21/10)*(E1807/1000),Skills!L21/10)+Skills!O21</f>
        <v/>
      </c>
      <c r="G1807">
        <f>Calc!G21</f>
        <v/>
      </c>
      <c r="H1807">
        <f>Calc!H21</f>
        <v/>
      </c>
      <c r="I1807">
        <f>IF(Skills!X21&lt;&gt;"",1+(Skills!X21/10)*(Z1789/1000)/100,1)</f>
        <v/>
      </c>
      <c r="J1807" t="inlineStr"/>
      <c r="K1807" t="inlineStr"/>
      <c r="L1807" t="inlineStr"/>
      <c r="M1807" t="inlineStr"/>
      <c r="N1807" t="inlineStr"/>
      <c r="O1807">
        <f>(1-Summary!$B$11)*S1807+Summary!$B$11*U1807</f>
        <v/>
      </c>
      <c r="P1807">
        <f>IF(B1827=0,0,O1807/B1827)</f>
        <v/>
      </c>
      <c r="Q1807">
        <f>IFERROR(1/(IF(Inputs!$B$38="pvp",15,MAX(0.1,Skills!E21-IF(Skills!F21=TRUE,Inputs!$B$32,0)))*(1-IF(AND(ArtifactsInput!$M$27,Inputs!$B$4="Chapter Hunt"),CHOOSE(ArtifactsInput!$N$27+1,20,24,28,32,36,40),0)/100)),0)</f>
        <v/>
      </c>
      <c r="R1807" t="n">
        <v>0</v>
      </c>
      <c r="S1807" t="n">
        <v>0</v>
      </c>
      <c r="U1807" t="n">
        <v>0</v>
      </c>
    </row>
    <row r="1808">
      <c r="A1808">
        <f>Skills!A22</f>
        <v/>
      </c>
      <c r="B1808">
        <f>Skills!B22</f>
        <v/>
      </c>
      <c r="C1808">
        <f>TRUE</f>
        <v/>
      </c>
      <c r="D1808">
        <f>IF(Skills!C22=1,60+Inputs!$B$25+Inputs!$B$29,IF(Skills!C22=2,90+Inputs!$B$26+Inputs!$B$29,IF(Skills!C22=3,120+Inputs!$B$27+Inputs!$B$29,MAX(0,(Inputs!$B$3-100)*3)+Inputs!$B$28+Inputs!$B$29)))</f>
        <v/>
      </c>
      <c r="E1808">
        <f>INDEX(FactorTable!$B$2:$Y$301, MATCH(ROUND(MIN(300,MAX(1,D1808)),0), FactorTable!$A$2:$A$301,0), Skills!M22+1)</f>
        <v/>
      </c>
      <c r="F1808">
        <f>IF(Skills!N22=TRUE,(Skills!L22/10)*(E1808/1000),Skills!L22/10)+Skills!O22</f>
        <v/>
      </c>
      <c r="G1808">
        <f>Calc!G22</f>
        <v/>
      </c>
      <c r="H1808">
        <f>Calc!H22</f>
        <v/>
      </c>
      <c r="I1808">
        <f>IF(Skills!X22&lt;&gt;"",1+(Skills!X22/10)*(Z1789/1000)/100,1)</f>
        <v/>
      </c>
      <c r="J1808" t="inlineStr"/>
      <c r="K1808" t="inlineStr"/>
      <c r="L1808" t="inlineStr"/>
      <c r="M1808" t="inlineStr"/>
      <c r="N1808" t="inlineStr"/>
      <c r="O1808">
        <f>(1-Summary!$B$11)*S1808+Summary!$B$11*U1808</f>
        <v/>
      </c>
      <c r="P1808">
        <f>IF(B1827=0,0,O1808/B1827)</f>
        <v/>
      </c>
      <c r="Q1808">
        <f>IFERROR(1/(IF(Inputs!$B$38="pvp",15,MAX(0.1,Skills!E22-IF(Skills!F22=TRUE,Inputs!$B$32,0)))*(1-IF(AND(ArtifactsInput!$M$27,Inputs!$B$4="Chapter Hunt"),CHOOSE(ArtifactsInput!$N$27+1,20,24,28,32,36,40),0)/100)),0)</f>
        <v/>
      </c>
      <c r="R1808" t="n">
        <v>0</v>
      </c>
      <c r="S1808" t="n">
        <v>0</v>
      </c>
      <c r="U1808" t="n">
        <v>0</v>
      </c>
    </row>
    <row r="1809">
      <c r="A1809">
        <f>Skills!A23</f>
        <v/>
      </c>
      <c r="B1809">
        <f>Skills!B23</f>
        <v/>
      </c>
      <c r="C1809">
        <f>TRUE</f>
        <v/>
      </c>
      <c r="D1809">
        <f>IF(Skills!C23=1,60+Inputs!$B$25+Inputs!$B$29,IF(Skills!C23=2,90+Inputs!$B$26+Inputs!$B$29,IF(Skills!C23=3,120+Inputs!$B$27+Inputs!$B$29,MAX(0,(Inputs!$B$3-100)*3)+Inputs!$B$28+Inputs!$B$29)))</f>
        <v/>
      </c>
      <c r="E1809">
        <f>INDEX(FactorTable!$B$2:$Y$301, MATCH(ROUND(MIN(300,MAX(1,D1809)),0), FactorTable!$A$2:$A$301,0), Skills!M23+1)</f>
        <v/>
      </c>
      <c r="F1809">
        <f>IF(Skills!N23=TRUE,(Skills!L23/10)*(E1809/1000),Skills!L23/10)+Skills!O23</f>
        <v/>
      </c>
      <c r="G1809">
        <f>Calc!G23</f>
        <v/>
      </c>
      <c r="H1809">
        <f>Calc!H23</f>
        <v/>
      </c>
      <c r="I1809">
        <f>IF(Skills!X23&lt;&gt;"",1+(Skills!X23/10)*(Z1789/1000)/100,1)</f>
        <v/>
      </c>
      <c r="J1809" t="inlineStr"/>
      <c r="K1809" t="inlineStr"/>
      <c r="L1809" t="inlineStr"/>
      <c r="M1809" t="inlineStr"/>
      <c r="N1809" t="inlineStr"/>
      <c r="O1809">
        <f>(1-Summary!$B$11)*S1809+Summary!$B$11*U1809</f>
        <v/>
      </c>
      <c r="P1809">
        <f>IF(B1827=0,0,O1809/B1827)</f>
        <v/>
      </c>
      <c r="Q1809">
        <f>IFERROR(1/(IF(Inputs!$B$38="pvp",15,MAX(0.1,Skills!E23-IF(Skills!F23=TRUE,Inputs!$B$32,0)))*(1-IF(AND(ArtifactsInput!$M$27,Inputs!$B$4="Chapter Hunt"),CHOOSE(ArtifactsInput!$N$27+1,20,24,28,32,36,40),0)/100)),0)</f>
        <v/>
      </c>
      <c r="R1809" t="n">
        <v>0</v>
      </c>
      <c r="S1809" t="n">
        <v>0</v>
      </c>
      <c r="U1809" t="n">
        <v>0</v>
      </c>
    </row>
    <row r="1810">
      <c r="A1810">
        <f>Skills!A24</f>
        <v/>
      </c>
      <c r="B1810">
        <f>Skills!B24</f>
        <v/>
      </c>
      <c r="C1810">
        <f>Inputs!$B$3&gt;=115</f>
        <v/>
      </c>
      <c r="D1810">
        <f>IF(Skills!C24=1,60+Inputs!$B$25+Inputs!$B$29,IF(Skills!C24=2,90+Inputs!$B$26+Inputs!$B$29,IF(Skills!C24=3,120+Inputs!$B$27+Inputs!$B$29,MAX(0,(Inputs!$B$3-100)*3)+Inputs!$B$28+Inputs!$B$29)))</f>
        <v/>
      </c>
      <c r="E1810">
        <f>INDEX(FactorTable!$B$2:$Y$301, MATCH(ROUND(MIN(300,MAX(1,D1810)),0), FactorTable!$A$2:$A$301,0), Skills!M24+1)</f>
        <v/>
      </c>
      <c r="F1810">
        <f>IF(Skills!N24=TRUE,(Skills!L24/10)*(E1810/1000),Skills!L24/10)+Skills!O24</f>
        <v/>
      </c>
      <c r="G1810">
        <f>Calc!G24</f>
        <v/>
      </c>
      <c r="H1810">
        <f>Calc!H24</f>
        <v/>
      </c>
      <c r="I1810">
        <f>IF(Skills!X24&lt;&gt;"",1+(Skills!X24/10)*(Z1789/1000)/100,1)</f>
        <v/>
      </c>
      <c r="J1810">
        <f>((Inputs!$B$6*(1+Inputs!$B$7/100))+(((Inputs!$B$12*(1+Inputs!$B$13/100))-(Inputs!$B$12*(1+Inputs!$B$13/100)))+0.25*(Inputs!$B$14-Inputs!$B$14))*(1+Inputs!$B$7/100))*(F1810/100)</f>
        <v/>
      </c>
      <c r="K1810">
        <f>J1810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1810)</f>
        <v/>
      </c>
      <c r="L1810">
        <f>K1810*(MIN(Inputs!$B$22+(F1808-Calc!F22),(Inputs!$B$23+(IF(ArtifactsInput!$M$15,CHOOSE(ArtifactsInput!$N$15+1,25,30,35,40,45,50)/100*(Inputs!$B$11-Inputs!$B$11),0))))/100+(Inputs!$B$23+(IF(ArtifactsInput!$M$15,CHOOSE(ArtifactsInput!$N$15+1,25,30,35,40,45,50)/100*(Inputs!$B$11-Inputs!$B$11),0)))/100)/2</f>
        <v/>
      </c>
      <c r="M1810">
        <f>L1810*(1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0">
        <f>L1810*(1-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1810*(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0">
        <f>(1-Summary!$B$11)*S1810+Summary!$B$11*U1810</f>
        <v/>
      </c>
      <c r="P1810">
        <f>IF(B1827=0,0,O1810/B1827)</f>
        <v/>
      </c>
      <c r="Q1810">
        <f>IFERROR(1/(IF(Inputs!$B$38="pvp",15,MAX(0.1,Skills!E24-IF(Skills!F24=TRUE,Inputs!$B$32,0)))*(1-IF(AND(ArtifactsInput!$M$27,Inputs!$B$4="Chapter Hunt"),CHOOSE(ArtifactsInput!$N$27+1,20,24,28,32,36,40),0)/100)),0)</f>
        <v/>
      </c>
      <c r="R1810">
        <f>IF(AND(Inputs!$B$38&lt;&gt;"pvp",Inputs!$B$43&gt;0),IF(MAX(0,Inputs!$B$43-B1824)&lt;=0,0,(INT(MAX(0,Inputs!$B$43-B1824)/(IF(Inputs!$B$38="pvp",15,MAX(0.1,Skills!E24-IF(Skills!F24=TRUE,Inputs!$B$32,0)))*(1-IF(AND(ArtifactsInput!$M$27,Inputs!$B$4="Chapter Hunt"),CHOOSE(ArtifactsInput!$N$27+1,20,24,28,32,36,40),0)/100)))+1)),0)</f>
        <v/>
      </c>
      <c r="S1810">
        <f>IF(C1810,(H1810*N1810*IF(AND(Inputs!$B$38&lt;&gt;"pvp",Inputs!$B$43&gt;0),((Skills!G24*((R1810-1)*IF(Skills!H24&gt;0,Skills!I24/Skills!H24,1)+IF(Skills!H24&gt;0,MIN(Skills!I24,MAX(0,MAX(0,Inputs!$B$43-B1824)-((R1810-1)*(IF(Inputs!$B$38="pvp",15,MAX(0.1,Skills!E24-IF(Skills!F24=TRUE,Inputs!$B$32,0)))*(1-IF(AND(ArtifactsInput!$M$27,Inputs!$B$4="Chapter Hunt"),CHOOSE(ArtifactsInput!$N$27+1,20,24,28,32,36,40),0)/100)))))/Skills!H24,1)))/Inputs!$B$43),G1810*Q1810)*(1+IF(Inputs!$B$3&gt;=130,0.2*(Skills!I16/Skills!E15+IF(Inputs!$B$3&gt;=126,0.05*(B1822+Q1799+(H1800*B1823)/(1+Skills!H14*H1800*B1823)+Q1810)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1810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1810*(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1810*(1-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1810*(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10">
        <f>IF(C1810,(H1810*N1810*IF(AND(Inputs!$B$38&lt;&gt;"pvp",Inputs!$B$43&gt;0),((Skills!G24*((R1810-1)*IF(Skills!H24&gt;0,Skills!I24/Skills!H24,1)+IF(Skills!H24&gt;0,MIN(Skills!I24,MAX(0,MAX(0,Inputs!$B$43-B1824)-((R1810-1)*(IF(Inputs!$B$38="pvp",15,MAX(0.1,Skills!E24-IF(Skills!F24=TRUE,Inputs!$B$32,0)))*(1-IF(AND(ArtifactsInput!$M$27,Inputs!$B$4="Chapter Hunt"),CHOOSE(ArtifactsInput!$N$27+1,20,24,28,32,36,40),0)/100)))))/Skills!H24,1)))/Inputs!$B$43),G1810*Q1810)*(1+IF(Inputs!$B$3&gt;=130,0.2*(Skills!I16/Skills!E15+IF(Inputs!$B$3&gt;=126,0.05*(B1822+Q1799+(H1800*B1823)/(1+Skills!H14*H1800*B1823)+Q1810)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11">
      <c r="A1811">
        <f>Skills!A25</f>
        <v/>
      </c>
      <c r="B1811">
        <f>Skills!B25</f>
        <v/>
      </c>
      <c r="C1811">
        <f>Inputs!$B$3&gt;=117</f>
        <v/>
      </c>
      <c r="D1811">
        <f>IF(Skills!C25=1,60+Inputs!$B$25+Inputs!$B$29,IF(Skills!C25=2,90+Inputs!$B$26+Inputs!$B$29,IF(Skills!C25=3,120+Inputs!$B$27+Inputs!$B$29,MAX(0,(Inputs!$B$3-100)*3)+Inputs!$B$28+Inputs!$B$29)))</f>
        <v/>
      </c>
      <c r="E1811">
        <f>INDEX(FactorTable!$B$2:$Y$301, MATCH(ROUND(MIN(300,MAX(1,D1811)),0), FactorTable!$A$2:$A$301,0), Skills!M25+1)</f>
        <v/>
      </c>
      <c r="F1811">
        <f>IF(Skills!N25=TRUE,(Skills!L25/10)*(E1811/1000),Skills!L25/10)+Skills!O25</f>
        <v/>
      </c>
      <c r="G1811">
        <f>Calc!G25</f>
        <v/>
      </c>
      <c r="H1811">
        <f>Calc!H25</f>
        <v/>
      </c>
      <c r="I1811">
        <f>IF(Skills!X25&lt;&gt;"",1+(Skills!X25/10)*(Z1789/1000)/100,1)</f>
        <v/>
      </c>
      <c r="J1811" t="inlineStr"/>
      <c r="K1811" t="inlineStr"/>
      <c r="L1811" t="inlineStr"/>
      <c r="M1811" t="inlineStr"/>
      <c r="N1811" t="inlineStr"/>
      <c r="O1811">
        <f>(1-Summary!$B$11)*S1811+Summary!$B$11*U1811</f>
        <v/>
      </c>
      <c r="P1811">
        <f>IF(B1827=0,0,O1811/B1827)</f>
        <v/>
      </c>
      <c r="Q1811">
        <f>IFERROR(1/(IF(Inputs!$B$38="pvp",15,MAX(0.1,Skills!E25-IF(Skills!F25=TRUE,Inputs!$B$32,0)))*(1-IF(AND(ArtifactsInput!$M$27,Inputs!$B$4="Chapter Hunt"),CHOOSE(ArtifactsInput!$N$27+1,20,24,28,32,36,40),0)/100)),0)</f>
        <v/>
      </c>
      <c r="R1811" t="n">
        <v>0</v>
      </c>
      <c r="S1811" t="n">
        <v>0</v>
      </c>
      <c r="U1811" t="n">
        <v>0</v>
      </c>
    </row>
    <row r="1812">
      <c r="A1812">
        <f>Skills!A26</f>
        <v/>
      </c>
      <c r="B1812">
        <f>Skills!B26</f>
        <v/>
      </c>
      <c r="C1812">
        <f>Inputs!$B$3&gt;=120</f>
        <v/>
      </c>
      <c r="D1812">
        <f>IF(Skills!C26=1,60+Inputs!$B$25+Inputs!$B$29,IF(Skills!C26=2,90+Inputs!$B$26+Inputs!$B$29,IF(Skills!C26=3,120+Inputs!$B$27+Inputs!$B$29,MAX(0,(Inputs!$B$3-100)*3)+Inputs!$B$28+Inputs!$B$29)))</f>
        <v/>
      </c>
      <c r="E1812">
        <f>INDEX(FactorTable!$B$2:$Y$301, MATCH(ROUND(MIN(300,MAX(1,D1812)),0), FactorTable!$A$2:$A$301,0), Skills!M26+1)</f>
        <v/>
      </c>
      <c r="F1812">
        <f>IF(Skills!N26=TRUE,(Skills!L26/10)*(E1812/1000),Skills!L26/10)+Skills!O26</f>
        <v/>
      </c>
      <c r="G1812">
        <f>Calc!G26</f>
        <v/>
      </c>
      <c r="H1812">
        <f>Calc!H26</f>
        <v/>
      </c>
      <c r="I1812">
        <f>IF(Skills!X26&lt;&gt;"",1+(Skills!X26/10)*(Z1789/1000)/100,1)</f>
        <v/>
      </c>
      <c r="J1812" t="inlineStr"/>
      <c r="K1812" t="inlineStr"/>
      <c r="L1812" t="inlineStr"/>
      <c r="M1812" t="inlineStr"/>
      <c r="N1812" t="inlineStr"/>
      <c r="O1812">
        <f>(1-Summary!$B$11)*S1812+Summary!$B$11*U1812</f>
        <v/>
      </c>
      <c r="P1812">
        <f>IF(B1827=0,0,O1812/B1827)</f>
        <v/>
      </c>
      <c r="Q1812">
        <f>IFERROR(1/(IF(Inputs!$B$38="pvp",15,MAX(0.1,Skills!E26-IF(Skills!F26=TRUE,Inputs!$B$32,0)))*(1-IF(AND(ArtifactsInput!$M$27,Inputs!$B$4="Chapter Hunt"),CHOOSE(ArtifactsInput!$N$27+1,20,24,28,32,36,40),0)/100)),0)</f>
        <v/>
      </c>
      <c r="R1812" t="n">
        <v>0</v>
      </c>
      <c r="S1812" t="n">
        <v>0</v>
      </c>
      <c r="U1812" t="n">
        <v>0</v>
      </c>
    </row>
    <row r="1813">
      <c r="A1813">
        <f>Skills!A27</f>
        <v/>
      </c>
      <c r="B1813">
        <f>Skills!B27</f>
        <v/>
      </c>
      <c r="C1813">
        <f>Inputs!$B$3&gt;=125</f>
        <v/>
      </c>
      <c r="D1813">
        <f>IF(Skills!C27=1,60+Inputs!$B$25+Inputs!$B$29,IF(Skills!C27=2,90+Inputs!$B$26+Inputs!$B$29,IF(Skills!C27=3,120+Inputs!$B$27+Inputs!$B$29,MAX(0,(Inputs!$B$3-100)*3)+Inputs!$B$28+Inputs!$B$29)))</f>
        <v/>
      </c>
      <c r="E1813">
        <f>INDEX(FactorTable!$B$2:$Y$301, MATCH(ROUND(MIN(300,MAX(1,D1813)),0), FactorTable!$A$2:$A$301,0), Skills!M27+1)</f>
        <v/>
      </c>
      <c r="F1813">
        <f>IF(Skills!N27=TRUE,(Skills!L27/10)*(E1813/1000),Skills!L27/10)+Skills!O27</f>
        <v/>
      </c>
      <c r="G1813">
        <f>Calc!G27</f>
        <v/>
      </c>
      <c r="H1813">
        <f>Calc!H27</f>
        <v/>
      </c>
      <c r="I1813">
        <f>IF(Skills!X27&lt;&gt;"",1+(Skills!X27/10)*(Z1789/1000)/100,1)</f>
        <v/>
      </c>
      <c r="J1813" t="inlineStr"/>
      <c r="K1813" t="inlineStr"/>
      <c r="L1813" t="inlineStr"/>
      <c r="M1813" t="inlineStr"/>
      <c r="N1813" t="inlineStr"/>
      <c r="O1813">
        <f>(1-Summary!$B$11)*S1813+Summary!$B$11*U1813</f>
        <v/>
      </c>
      <c r="P1813">
        <f>IF(B1827=0,0,O1813/B1827)</f>
        <v/>
      </c>
      <c r="Q1813">
        <f>IFERROR(1/(IF(Inputs!$B$38="pvp",15,MAX(0.1,Skills!E27-IF(Skills!F27=TRUE,Inputs!$B$32,0)))*(1-IF(AND(ArtifactsInput!$M$27,Inputs!$B$4="Chapter Hunt"),CHOOSE(ArtifactsInput!$N$27+1,20,24,28,32,36,40),0)/100)),0)</f>
        <v/>
      </c>
      <c r="R1813" t="n">
        <v>0</v>
      </c>
      <c r="S1813" t="n">
        <v>0</v>
      </c>
      <c r="U1813" t="n">
        <v>0</v>
      </c>
    </row>
    <row r="1814">
      <c r="A1814">
        <f>Skills!A28</f>
        <v/>
      </c>
      <c r="B1814">
        <f>Skills!B28</f>
        <v/>
      </c>
      <c r="C1814">
        <f>Inputs!$B$3&gt;=118</f>
        <v/>
      </c>
      <c r="D1814">
        <f>IF(Skills!C28=1,60+Inputs!$B$25+Inputs!$B$29,IF(Skills!C28=2,90+Inputs!$B$26+Inputs!$B$29,IF(Skills!C28=3,120+Inputs!$B$27+Inputs!$B$29,MAX(0,(Inputs!$B$3-100)*3)+Inputs!$B$28+Inputs!$B$29)))</f>
        <v/>
      </c>
      <c r="E1814">
        <f>INDEX(FactorTable!$B$2:$Y$301, MATCH(ROUND(MIN(300,MAX(1,D1814)),0), FactorTable!$A$2:$A$301,0), Skills!M28+1)</f>
        <v/>
      </c>
      <c r="F1814">
        <f>IF(Skills!N28=TRUE,(Skills!L28/10)*(E1814/1000),Skills!L28/10)+Skills!O28</f>
        <v/>
      </c>
      <c r="G1814">
        <f>Calc!G28</f>
        <v/>
      </c>
      <c r="H1814">
        <f>Calc!H28</f>
        <v/>
      </c>
      <c r="I1814">
        <f>IF(Skills!X28&lt;&gt;"",1+(Skills!X28/10)*(Z1789/1000)/100,1)</f>
        <v/>
      </c>
      <c r="J1814">
        <f>((Inputs!$B$6*(1+Inputs!$B$7/100))+(((Inputs!$B$12*(1+Inputs!$B$13/100))-(Inputs!$B$12*(1+Inputs!$B$13/100)))+0.25*(Inputs!$B$14-Inputs!$B$14))*(1+Inputs!$B$7/100))*(F1814/100)</f>
        <v/>
      </c>
      <c r="K1814">
        <f>J1814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1809/100)*(1+IF(Inputs!$B$3&gt;=120,F1812,0)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1813*5,0)))/100)*(B1816*B1817*B1818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1814)</f>
        <v/>
      </c>
      <c r="L1814">
        <f>K1814*(MIN(Inputs!$B$22+(F1808-Calc!F22),(Inputs!$B$23+(IF(ArtifactsInput!$M$15,CHOOSE(ArtifactsInput!$N$15+1,25,30,35,40,45,50)/100*(Inputs!$B$11-Inputs!$B$11),0))))/100+(Inputs!$B$23+(IF(ArtifactsInput!$M$15,CHOOSE(ArtifactsInput!$N$15+1,25,30,35,40,45,50)/100*(Inputs!$B$11-Inputs!$B$11),0)))/100)/2</f>
        <v/>
      </c>
      <c r="M1814">
        <f>L1814*(1+(Inputs!$B$10+(F1807-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14">
        <f>L1814*(1-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1814*(MIN((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14">
        <f>(1-Summary!$B$11)*S1814+Summary!$B$11*U1814</f>
        <v/>
      </c>
      <c r="P1814">
        <f>IF(B1827=0,0,O1814/B1827)</f>
        <v/>
      </c>
      <c r="Q1814">
        <f>IFERROR(1/(IF(Inputs!$B$38="pvp",15,MAX(0.1,Skills!E28-IF(Skills!F28=TRUE,Inputs!$B$32,0)))*(1-IF(AND(ArtifactsInput!$M$27,Inputs!$B$4="Chapter Hunt"),CHOOSE(ArtifactsInput!$N$27+1,20,24,28,32,36,40),0)/100)),0)</f>
        <v/>
      </c>
      <c r="R1814">
        <f>IF(AND(Inputs!$B$38&lt;&gt;"pvp",Inputs!$B$43&gt;0),IF(MAX(0,Inputs!$B$43-B1824)&lt;=0,0,(INT(MAX(0,Inputs!$B$43-B1824)/(IF(Inputs!$B$38="pvp",15,MAX(0.1,Skills!E28-IF(Skills!F28=TRUE,Inputs!$B$32,0)))*(1-IF(AND(ArtifactsInput!$M$27,Inputs!$B$4="Chapter Hunt"),CHOOSE(ArtifactsInput!$N$27+1,20,24,28,32,36,40),0)/100)))+1)),0)</f>
        <v/>
      </c>
      <c r="S1814">
        <f>IF(C1814,(H1814*N1814*IF(AND(Inputs!$B$38&lt;&gt;"pvp",Inputs!$B$43&gt;0),((Skills!G28*((R1814-1)*IF(Skills!H28&gt;0,Skills!I28/Skills!H28,1)+IF(Skills!H28&gt;0,MIN(Skills!I28,MAX(0,MAX(0,Inputs!$B$43-B1824)-((R1814-1)*(IF(Inputs!$B$38="pvp",15,MAX(0.1,Skills!E28-IF(Skills!F28=TRUE,Inputs!$B$32,0)))*(1-IF(AND(ArtifactsInput!$M$27,Inputs!$B$4="Chapter Hunt"),CHOOSE(ArtifactsInput!$N$27+1,20,24,28,32,36,40),0)/100)))))/Skills!H28,1)))/Inputs!$B$43),G1814*Q1814)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1814*(1-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1814*(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1814*(1-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1814*(MIN(100,(Inputs!$B$9+(F1806-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14">
        <f>IF(C1814,(H1814*N1814*IF(AND(Inputs!$B$38&lt;&gt;"pvp",Inputs!$B$43&gt;0),((Skills!G28*((R1814-1)*IF(Skills!H28&gt;0,Skills!I28/Skills!H28,1)+IF(Skills!H28&gt;0,MIN(Skills!I28,MAX(0,MAX(0,Inputs!$B$43-B1824)-((R1814-1)*(IF(Inputs!$B$38="pvp",15,MAX(0.1,Skills!E28-IF(Skills!F28=TRUE,Inputs!$B$32,0)))*(1-IF(AND(ArtifactsInput!$M$27,Inputs!$B$4="Chapter Hunt"),CHOOSE(ArtifactsInput!$N$27+1,20,24,28,32,36,40),0)/100)))))/Skills!H28,1)))/Inputs!$B$43),G1814*Q1814)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16">
      <c r="A1816" t="inlineStr">
        <is>
          <t>Burning Magic Multiplier</t>
        </is>
      </c>
      <c r="B1816">
        <f>1+(F1797*Skills!Z11)/100</f>
        <v/>
      </c>
    </row>
    <row r="1817">
      <c r="A1817" t="inlineStr">
        <is>
          <t>Elemental Decrease Multiplier (always-on)</t>
        </is>
      </c>
      <c r="B1817">
        <f>1+(F1798+(IF(AND(ArtifactsInput!$M$35,Inputs!$B$4&lt;&gt;"Chapter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100</f>
        <v/>
      </c>
    </row>
    <row r="1818">
      <c r="A1818" t="inlineStr">
        <is>
          <t>Average Buff Multiplier (Magic Guard + Meditation + Artifact Attack%, summed; then Infinity)</t>
        </is>
      </c>
      <c r="B1818">
        <f>(1+(F1792*IF(AND(Inputs!$B$38&lt;&gt;"pvp",Inputs!$B$43&gt;0),(((R1792-1)*(Skills!T6*(1+((Inputs!$B$34+(ArtifactsInput!$M$7-ArtifactsInput!$M$7)*CHOOSE(ArtifactsInput!$N$7+1,6,7.2,8.4,9.6,10.8,12)))/100))+MIN((Skills!T6*(1+((Inputs!$B$34+(ArtifactsInput!$M$7-ArtifactsInput!$M$7)*CHOOSE(ArtifactsInput!$N$7+1,6,7.2,8.4,9.6,10.8,12)))/100)),MAX(0,Inputs!$B$43-((R1792-1)*Skills!E6))))/Inputs!$B$43),IF(Inputs!$B$38="pvp",MIN((Skills!T6*(1+((Inputs!$B$34+(ArtifactsInput!$M$7-ArtifactsInput!$M$7)*CHOOSE(ArtifactsInput!$N$7+1,6,7.2,8.4,9.6,10.8,12)))/100)),15)/15,(Skills!T6*(1+((Inputs!$B$34+(ArtifactsInput!$M$7-ArtifactsInput!$M$7)*CHOOSE(ArtifactsInput!$N$7+1,6,7.2,8.4,9.6,10.8,12)))/100))/Skills!E6))+F1803*IF(AND(Inputs!$B$38&lt;&gt;"pvp",Inputs!$B$43&gt;0),(((R1803-1)*(Skills!T17*(1+((Inputs!$B$34+(ArtifactsInput!$M$7-ArtifactsInput!$M$7)*CHOOSE(ArtifactsInput!$N$7+1,6,7.2,8.4,9.6,10.8,12)))/100))+MIN((Skills!T17*(1+((Inputs!$B$34+(ArtifactsInput!$M$7-ArtifactsInput!$M$7)*CHOOSE(ArtifactsInput!$N$7+1,6,7.2,8.4,9.6,10.8,12)))/100)),MAX(0,Inputs!$B$43-((R1803-1)*Skills!E17))))/Inputs!$B$43),IF(Inputs!$B$38="pvp",MIN((Skills!T17*(1+((Inputs!$B$34+(ArtifactsInput!$M$7-ArtifactsInput!$M$7)*CHOOSE(ArtifactsInput!$N$7+1,6,7.2,8.4,9.6,10.8,12)))/100)),15)/15,(Skills!T17*(1+((Inputs!$B$34+(ArtifactsInput!$M$7-ArtifactsInput!$M$7)*CHOOSE(ArtifactsInput!$N$7+1,6,7.2,8.4,9.6,10.8,12)))/100))/Skills!E17))+(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1805=TRUE,(1+F1805*IF(AND(Inputs!$B$38&lt;&gt;"pvp",Inputs!$B$43&gt;0),(((R1805-1)*(Skills!T19*(1+((Inputs!$B$34+(ArtifactsInput!$M$7-ArtifactsInput!$M$7)*CHOOSE(ArtifactsInput!$N$7+1,6,7.2,8.4,9.6,10.8,12)))/100))+MIN((Skills!T19*(1+((Inputs!$B$34+(ArtifactsInput!$M$7-ArtifactsInput!$M$7)*CHOOSE(ArtifactsInput!$N$7+1,6,7.2,8.4,9.6,10.8,12)))/100)),MAX(0,Inputs!$B$43-((R1805-1)*Skills!E19))))/Inputs!$B$43),IF(Inputs!$B$38="pvp",MIN((Skills!T19*(1+((Inputs!$B$34+(ArtifactsInput!$M$7-ArtifactsInput!$M$7)*CHOOSE(ArtifactsInput!$N$7+1,6,7.2,8.4,9.6,10.8,12)))/100)),15)/15,(Skills!T19*(1+((Inputs!$B$34+(ArtifactsInput!$M$7-ArtifactsInput!$M$7)*CHOOSE(ArtifactsInput!$N$7+1,6,7.2,8.4,9.6,10.8,12)))/100))/Skills!E19))/100),1)</f>
        <v/>
      </c>
    </row>
    <row r="1819">
      <c r="A1819" t="inlineStr">
        <is>
          <t>Attack Speed Buff Bonus % (Nimble Feet, averaged)</t>
        </is>
      </c>
      <c r="B1819">
        <f>F1804*IF(AND(Inputs!$B$38&lt;&gt;"pvp",Inputs!$B$43&gt;0),(((R1804-1)*(Skills!T18*(1+((Inputs!$B$34+(ArtifactsInput!$M$7-ArtifactsInput!$M$7)*CHOOSE(ArtifactsInput!$N$7+1,6,7.2,8.4,9.6,10.8,12)))/100))+MIN((Skills!T18*(1+((Inputs!$B$34+(ArtifactsInput!$M$7-ArtifactsInput!$M$7)*CHOOSE(ArtifactsInput!$N$7+1,6,7.2,8.4,9.6,10.8,12)))/100)),MAX(0,Inputs!$B$43-((R1804-1)*Skills!E18))))/Inputs!$B$43),IF(Inputs!$B$38="pvp",MIN((Skills!T18*(1+((Inputs!$B$34+(ArtifactsInput!$M$7-ArtifactsInput!$M$7)*CHOOSE(ArtifactsInput!$N$7+1,6,7.2,8.4,9.6,10.8,12)))/100)),15)/15,(Skills!T18*(1+((Inputs!$B$34+(ArtifactsInput!$M$7-ArtifactsInput!$M$7)*CHOOSE(ArtifactsInput!$N$7+1,6,7.2,8.4,9.6,10.8,12)))/100))/Skills!E18))</f>
        <v/>
      </c>
    </row>
    <row r="1820">
      <c r="A1820" t="inlineStr">
        <is>
          <t>Actions Per Second</t>
        </is>
      </c>
      <c r="B1820">
        <f>1+MIN(150,150*(1-(1-(Inputs!$B$11+(ArtifactsInput!$M$15-ArtifactsInput!$M$15)*CHOOSE(ArtifactsInput!$N$15+1,8,9.6,11.2,12.8,14.4,16))/150)*(1-B1819/150)))/100</f>
        <v/>
      </c>
    </row>
    <row r="1821">
      <c r="A1821" t="inlineStr">
        <is>
          <t>Skill + Buff Cast Rate</t>
        </is>
      </c>
      <c r="B1821">
        <f>IF(AND(Inputs!$B$38&lt;&gt;"pvp",Inputs!$B$43&gt;0),SUMPRODUCT((Skills!F2:F28=TRUE)*(C1788:C1814=TRUE)*R1788:R1814)/Inputs!$B$43,SUMPRODUCT((Skills!F2:F28=TRUE)*(C1788:C1814=TRUE)*Q1788:Q1814))</f>
        <v/>
      </c>
    </row>
    <row r="1822">
      <c r="A1822" t="inlineStr">
        <is>
          <t>Basic Attacks Per Second</t>
        </is>
      </c>
      <c r="B1822">
        <f>MAX(0,B1820-B1821)</f>
        <v/>
      </c>
    </row>
    <row r="1823">
      <c r="A1823" t="inlineStr">
        <is>
          <t>Meteor Proc — combined trigger cast rate</t>
        </is>
      </c>
      <c r="B1823">
        <f>IF(AND(Inputs!$B$38&lt;&gt;"pvp",Inputs!$B$43&gt;0),SUMPRODUCT((Skills!V2:V28=TRUE)*(C1788:C1814=TRUE)*R1788:R1814*Skills!W2:W28)/Inputs!$B$43,SUMPRODUCT((Skills!V2:V28=TRUE)*(C1788:C1814=TRUE)*Q1788:Q1814*Skills!W2:W28))+B1822</f>
        <v/>
      </c>
    </row>
    <row r="1824">
      <c r="A1824" t="inlineStr">
        <is>
          <t>Buff-Casting Startup Delay (s, fixed-duration only)</t>
        </is>
      </c>
      <c r="B1824">
        <f>IF(AND(Inputs!$B$38&lt;&gt;"pvp",Inputs!$B$43&gt;0),SUMPRODUCT((Skills!T2:T28&gt;0)*(Skills!F2:F28=TRUE)*(C1788:C1814=TRUE))/B1820,0)</f>
        <v/>
      </c>
    </row>
    <row r="1825">
      <c r="A1825" t="inlineStr">
        <is>
          <t>Boss-Only Total DPS (this block's swept value)</t>
        </is>
      </c>
      <c r="B1825">
        <f>SUM(S1788:S1814)</f>
        <v/>
      </c>
    </row>
    <row r="1826">
      <c r="A1826" t="inlineStr">
        <is>
          <t>Normal-Only Total DPS (this block's swept value)</t>
        </is>
      </c>
      <c r="B1826">
        <f>SUM(U1788:U1814)</f>
        <v/>
      </c>
    </row>
    <row r="1827">
      <c r="A1827" s="6" t="inlineStr">
        <is>
          <t>TOTAL DPS</t>
        </is>
      </c>
      <c r="B1827" s="6">
        <f>SUM(O1788:O1814)</f>
        <v/>
      </c>
    </row>
    <row r="1830">
      <c r="A1830" s="6" t="inlineStr">
        <is>
          <t>Stat: Silver Pendant (Equip)</t>
        </is>
      </c>
    </row>
    <row r="1831">
      <c r="A1831" s="5" t="inlineStr">
        <is>
          <t>Key</t>
        </is>
      </c>
      <c r="B1831" s="5" t="inlineStr">
        <is>
          <t>Name</t>
        </is>
      </c>
      <c r="C1831" s="5" t="inlineStr">
        <is>
          <t>Unlocked</t>
        </is>
      </c>
      <c r="D1831" s="5" t="inlineStr">
        <is>
          <t>InputLevel</t>
        </is>
      </c>
      <c r="E1831" s="5" t="inlineStr">
        <is>
          <t>Factor</t>
        </is>
      </c>
      <c r="F1831" s="5" t="inlineStr">
        <is>
          <t>CoefficientPercent</t>
        </is>
      </c>
      <c r="G1831" s="5" t="inlineStr">
        <is>
          <t>EffectiveHits</t>
        </is>
      </c>
      <c r="H1831" s="5" t="inlineStr">
        <is>
          <t>ProcProbability</t>
        </is>
      </c>
      <c r="I1831" s="5" t="inlineStr">
        <is>
          <t>MapleHeroMultiplier</t>
        </is>
      </c>
      <c r="J1831" s="5" t="inlineStr">
        <is>
          <t>BaseDamage</t>
        </is>
      </c>
      <c r="K1831" s="5" t="inlineStr">
        <is>
          <t>BaseHitDamage</t>
        </is>
      </c>
      <c r="L1831" s="5" t="inlineStr">
        <is>
          <t>NonCritAvg</t>
        </is>
      </c>
      <c r="M1831" s="5" t="inlineStr">
        <is>
          <t>CritAvg</t>
        </is>
      </c>
      <c r="N1831" s="5" t="inlineStr">
        <is>
          <t>ExpectedDamage(perHit)</t>
        </is>
      </c>
      <c r="O1831" s="5" t="inlineStr">
        <is>
          <t>DPS</t>
        </is>
      </c>
      <c r="P1831" s="5" t="inlineStr">
        <is>
          <t>% of Total</t>
        </is>
      </c>
      <c r="R1831" t="inlineStr">
        <is>
          <t>helpers</t>
        </is>
      </c>
    </row>
    <row r="1832">
      <c r="A1832">
        <f>Skills!A2</f>
        <v/>
      </c>
      <c r="B1832">
        <f>Skills!B2</f>
        <v/>
      </c>
      <c r="C1832">
        <f>TRUE</f>
        <v/>
      </c>
      <c r="D1832" t="inlineStr"/>
      <c r="E1832" t="inlineStr"/>
      <c r="F1832">
        <f>T1834+Skills!O2</f>
        <v/>
      </c>
      <c r="G1832">
        <f>Calc!G2</f>
        <v/>
      </c>
      <c r="H1832">
        <f>Calc!H2</f>
        <v/>
      </c>
      <c r="I1832">
        <f>IF(Skills!X2&lt;&gt;"",1+(Skills!X2/10)*(Z1833/1000)/100,1)</f>
        <v/>
      </c>
      <c r="J1832">
        <f>((Inputs!$B$6*(1+Inputs!$B$7/100))+(((Inputs!$B$12*(1+Inputs!$B$13/100))-(Inputs!$B$12*(1+Inputs!$B$13/100)))+0.25*(Inputs!$B$14-Inputs!$B$14))*(1+Inputs!$B$7/100))*(F1832/100)</f>
        <v/>
      </c>
      <c r="K1832">
        <f>J1832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1832)</f>
        <v/>
      </c>
      <c r="L1832">
        <f>K1832*(MIN(Inputs!$B$22+(F1852-Calc!F22),(Inputs!$B$23+(IF(ArtifactsInput!$M$15,CHOOSE(ArtifactsInput!$N$15+1,25,30,35,40,45,50)/100*(Inputs!$B$11-Inputs!$B$11),0))))/100+(Inputs!$B$23+(IF(ArtifactsInput!$M$15,CHOOSE(ArtifactsInput!$N$15+1,25,30,35,40,45,50)/100*(Inputs!$B$11-Inputs!$B$11),0)))/100)/2</f>
        <v/>
      </c>
      <c r="M1832">
        <f>L1832*(1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2">
        <f>L1832*(1-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1832*(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2">
        <f>(1-Summary!$B$11)*S1832+Summary!$B$11*U1832</f>
        <v/>
      </c>
      <c r="P1832">
        <f>IF(B1871=0,0,O1832/B1871)</f>
        <v/>
      </c>
      <c r="Q1832">
        <f>IFERROR(1/(IF(Inputs!$B$38="pvp",15,MAX(0.1,Skills!E2-IF(Skills!F2=TRUE,Inputs!$B$32,0)))*(1-IF(AND(ArtifactsInput!$M$27,Inputs!$B$4="Chapter Hunt"),CHOOSE(ArtifactsInput!$N$27+1,20,24,28,32,36,40),0)/100)),0)</f>
        <v/>
      </c>
      <c r="R1832" t="n">
        <v>0</v>
      </c>
      <c r="S1832">
        <f>(Skills!G2*N1832*B1866)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1832*(1-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1832*(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1832*(1-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1832*(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832">
        <f>MAX(0,(Inputs!$B$3-100)*3)+Inputs!$B$28+Inputs!$B$29</f>
        <v/>
      </c>
      <c r="U1832">
        <f>(Skills!G2*N1832*B1866)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832">
        <f>MAX(0,(Inputs!$B$3-100)*3)+Inputs!$B$28+Inputs!$B$29</f>
        <v/>
      </c>
    </row>
    <row r="1833">
      <c r="A1833">
        <f>Skills!A3</f>
        <v/>
      </c>
      <c r="B1833">
        <f>Skills!B3</f>
        <v/>
      </c>
      <c r="C1833">
        <f>TRUE</f>
        <v/>
      </c>
      <c r="D1833">
        <f>IF(Skills!C3=1,60+Inputs!$B$25+Inputs!$B$29,IF(Skills!C3=2,90+Inputs!$B$26+Inputs!$B$29,IF(Skills!C3=3,120+Inputs!$B$27+Inputs!$B$29,MAX(0,(Inputs!$B$3-100)*3)+Inputs!$B$28+Inputs!$B$29)))</f>
        <v/>
      </c>
      <c r="E1833">
        <f>INDEX(FactorTable!$B$2:$Y$301, MATCH(ROUND(MIN(300,MAX(1,D1833)),0), FactorTable!$A$2:$A$301,0), Skills!M3+1)</f>
        <v/>
      </c>
      <c r="F1833">
        <f>IF(Skills!N3=TRUE,(Skills!L3/10)*(E1833/1000),Skills!L3/10)+Skills!O3</f>
        <v/>
      </c>
      <c r="G1833">
        <f>Calc!G3</f>
        <v/>
      </c>
      <c r="H1833">
        <f>Calc!H3</f>
        <v/>
      </c>
      <c r="I1833">
        <f>IF(Skills!X3&lt;&gt;"",1+(Skills!X3/10)*(Z1833/1000)/100,1)</f>
        <v/>
      </c>
      <c r="J1833">
        <f>((Inputs!$B$6*(1+Inputs!$B$7/100))+(((Inputs!$B$12*(1+Inputs!$B$13/100))-(Inputs!$B$12*(1+Inputs!$B$13/100)))+0.25*(Inputs!$B$14-Inputs!$B$14))*(1+Inputs!$B$7/100))*(F1833/100)</f>
        <v/>
      </c>
      <c r="K1833">
        <f>J1833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1833)</f>
        <v/>
      </c>
      <c r="L1833">
        <f>K1833*(MIN(Inputs!$B$22+(F1852-Calc!F22),(Inputs!$B$23+(IF(ArtifactsInput!$M$15,CHOOSE(ArtifactsInput!$N$15+1,25,30,35,40,45,50)/100*(Inputs!$B$11-Inputs!$B$11),0))))/100+(Inputs!$B$23+(IF(ArtifactsInput!$M$15,CHOOSE(ArtifactsInput!$N$15+1,25,30,35,40,45,50)/100*(Inputs!$B$11-Inputs!$B$11),0)))/100)/2</f>
        <v/>
      </c>
      <c r="M1833">
        <f>L1833*(1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3">
        <f>L1833*(1-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1833*(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3">
        <f>(1-Summary!$B$11)*S1833+Summary!$B$11*U1833</f>
        <v/>
      </c>
      <c r="P1833">
        <f>IF(B1871=0,0,O1833/B1871)</f>
        <v/>
      </c>
      <c r="Q1833">
        <f>IFERROR(1/(IF(Inputs!$B$38="pvp",15,MAX(0.1,Skills!E3-IF(Skills!F3=TRUE,Inputs!$B$32,0)))*(1-IF(AND(ArtifactsInput!$M$27,Inputs!$B$4="Chapter Hunt"),CHOOSE(ArtifactsInput!$N$27+1,20,24,28,32,36,40),0)/100)),0)</f>
        <v/>
      </c>
      <c r="R1833">
        <f>IF(AND(Inputs!$B$38&lt;&gt;"pvp",Inputs!$B$43&gt;0),IF(MAX(0,Inputs!$B$43-B1868)&lt;=0,0,(INT(MAX(0,Inputs!$B$43-B1868)/(IF(Inputs!$B$38="pvp",15,MAX(0.1,Skills!E3-IF(Skills!F3=TRUE,Inputs!$B$32,0)))*(1-IF(AND(ArtifactsInput!$M$27,Inputs!$B$4="Chapter Hunt"),CHOOSE(ArtifactsInput!$N$27+1,20,24,28,32,36,40),0)/100)))+1)),0)</f>
        <v/>
      </c>
      <c r="S1833">
        <f>IF(C1833,(H1833*N1833*IF(AND(Inputs!$B$38&lt;&gt;"pvp",Inputs!$B$43&gt;0),((Skills!G3*((R1833-1)*IF(Skills!H3&gt;0,Skills!I3/Skills!H3,1)+IF(Skills!H3&gt;0,MIN(Skills!I3,MAX(0,MAX(0,Inputs!$B$43-B1868)-((R1833-1)*(IF(Inputs!$B$38="pvp",15,MAX(0.1,Skills!E3-IF(Skills!F3=TRUE,Inputs!$B$32,0)))*(1-IF(AND(ArtifactsInput!$M$27,Inputs!$B$4="Chapter Hunt"),CHOOSE(ArtifactsInput!$N$27+1,20,24,28,32,36,40),0)/100)))))/Skills!H3,1)))/Inputs!$B$43),G1833*Q1833)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1833*(1-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1833*(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1833*(1-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1833*(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833">
        <f>INDEX(FactorTable!$B$2:$Y$301, MATCH(ROUND(MIN(300,MAX(1,T1832)),0), FactorTable!$A$2:$A$301,0), 22)</f>
        <v/>
      </c>
      <c r="U1833">
        <f>IF(C1833,(H1833*N1833*IF(AND(Inputs!$B$38&lt;&gt;"pvp",Inputs!$B$43&gt;0),((Skills!G3*((R1833-1)*IF(Skills!H3&gt;0,Skills!I3/Skills!H3,1)+IF(Skills!H3&gt;0,MIN(Skills!I3,MAX(0,MAX(0,Inputs!$B$43-B1868)-((R1833-1)*(IF(Inputs!$B$38="pvp",15,MAX(0.1,Skills!E3-IF(Skills!F3=TRUE,Inputs!$B$32,0)))*(1-IF(AND(ArtifactsInput!$M$27,Inputs!$B$4="Chapter Hunt"),CHOOSE(ArtifactsInput!$N$27+1,20,24,28,32,36,40),0)/100)))))/Skills!H3,1)))/Inputs!$B$43),G1833*Q1833)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833">
        <f>INDEX(FactorTable!$B$2:$Y$301, MATCH(ROUND(MIN(300,MAX(1,Z1832)),0), FactorTable!$A$2:$A$301,0), 24)</f>
        <v/>
      </c>
    </row>
    <row r="1834">
      <c r="A1834">
        <f>Skills!A4</f>
        <v/>
      </c>
      <c r="B1834">
        <f>Skills!B4</f>
        <v/>
      </c>
      <c r="C1834">
        <f>TRUE</f>
        <v/>
      </c>
      <c r="D1834">
        <f>IF(Skills!C4=1,60+Inputs!$B$25+Inputs!$B$29,IF(Skills!C4=2,90+Inputs!$B$26+Inputs!$B$29,IF(Skills!C4=3,120+Inputs!$B$27+Inputs!$B$29,MAX(0,(Inputs!$B$3-100)*3)+Inputs!$B$28+Inputs!$B$29)))</f>
        <v/>
      </c>
      <c r="E1834">
        <f>INDEX(FactorTable!$B$2:$Y$301, MATCH(ROUND(MIN(300,MAX(1,D1834)),0), FactorTable!$A$2:$A$301,0), Skills!M4+1)</f>
        <v/>
      </c>
      <c r="F1834">
        <f>IF(Skills!N4=TRUE,(Skills!L4/10)*(E1834/1000),Skills!L4/10)+Skills!O4</f>
        <v/>
      </c>
      <c r="G1834">
        <f>Calc!G4</f>
        <v/>
      </c>
      <c r="H1834">
        <f>Calc!H4</f>
        <v/>
      </c>
      <c r="I1834">
        <f>IF(Skills!X4&lt;&gt;"",1+(Skills!X4/10)*(Z1833/1000)/100,1)</f>
        <v/>
      </c>
      <c r="J1834">
        <f>((Inputs!$B$6*(1+Inputs!$B$7/100))+(((Inputs!$B$12*(1+Inputs!$B$13/100))-(Inputs!$B$12*(1+Inputs!$B$13/100)))+0.25*(Inputs!$B$14-Inputs!$B$14))*(1+Inputs!$B$7/100))*(F1834/100)</f>
        <v/>
      </c>
      <c r="K1834">
        <f>J1834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1834)</f>
        <v/>
      </c>
      <c r="L1834">
        <f>K1834*(MIN(Inputs!$B$22+(F1852-Calc!F22),(Inputs!$B$23+(IF(ArtifactsInput!$M$15,CHOOSE(ArtifactsInput!$N$15+1,25,30,35,40,45,50)/100*(Inputs!$B$11-Inputs!$B$11),0))))/100+(Inputs!$B$23+(IF(ArtifactsInput!$M$15,CHOOSE(ArtifactsInput!$N$15+1,25,30,35,40,45,50)/100*(Inputs!$B$11-Inputs!$B$11),0)))/100)/2</f>
        <v/>
      </c>
      <c r="M1834">
        <f>L1834*(1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4">
        <f>L1834*(1-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1834*(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4">
        <f>(1-Summary!$B$11)*S1834+Summary!$B$11*U1834</f>
        <v/>
      </c>
      <c r="P1834">
        <f>IF(B1871=0,0,O1834/B1871)</f>
        <v/>
      </c>
      <c r="Q1834">
        <f>IFERROR(1/(IF(Inputs!$B$38="pvp",15,MAX(0.1,Skills!E4-IF(Skills!F4=TRUE,Inputs!$B$32,0)))*(1-IF(AND(ArtifactsInput!$M$27,Inputs!$B$4="Chapter Hunt"),CHOOSE(ArtifactsInput!$N$27+1,20,24,28,32,36,40),0)/100)),0)</f>
        <v/>
      </c>
      <c r="R1834">
        <f>IF(AND(Inputs!$B$38&lt;&gt;"pvp",Inputs!$B$43&gt;0),IF(MAX(0,Inputs!$B$43-B1868)&lt;=0,0,(INT(MAX(0,Inputs!$B$43-B1868)/(IF(Inputs!$B$38="pvp",15,MAX(0.1,Skills!E4-IF(Skills!F4=TRUE,Inputs!$B$32,0)))*(1-IF(AND(ArtifactsInput!$M$27,Inputs!$B$4="Chapter Hunt"),CHOOSE(ArtifactsInput!$N$27+1,20,24,28,32,36,40),0)/100)))+1)),0)</f>
        <v/>
      </c>
      <c r="S1834">
        <f>IF(C1834,(H1834*N1834*IF(AND(Inputs!$B$38&lt;&gt;"pvp",Inputs!$B$43&gt;0),((Skills!G4*((R1834-1)*IF(Skills!H4&gt;0,Skills!I4/Skills!H4,1)+IF(Skills!H4&gt;0,MIN(Skills!I4,MAX(0,MAX(0,Inputs!$B$43-B1868)-((R1834-1)*(IF(Inputs!$B$38="pvp",15,MAX(0.1,Skills!E4-IF(Skills!F4=TRUE,Inputs!$B$32,0)))*(1-IF(AND(ArtifactsInput!$M$27,Inputs!$B$4="Chapter Hunt"),CHOOSE(ArtifactsInput!$N$27+1,20,24,28,32,36,40),0)/100)))))/Skills!H4,1)))/Inputs!$B$43),G1834*Q1834)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1834*(1-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1834*(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1834*(1-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1834*(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834">
        <f>290*T1833/1000</f>
        <v/>
      </c>
      <c r="U1834">
        <f>IF(C1834,(H1834*N1834*IF(AND(Inputs!$B$38&lt;&gt;"pvp",Inputs!$B$43&gt;0),((Skills!G4*((R1834-1)*IF(Skills!H4&gt;0,Skills!I4/Skills!H4,1)+IF(Skills!H4&gt;0,MIN(Skills!I4,MAX(0,MAX(0,Inputs!$B$43-B1868)-((R1834-1)*(IF(Inputs!$B$38="pvp",15,MAX(0.1,Skills!E4-IF(Skills!F4=TRUE,Inputs!$B$32,0)))*(1-IF(AND(ArtifactsInput!$M$27,Inputs!$B$4="Chapter Hunt"),CHOOSE(ArtifactsInput!$N$27+1,20,24,28,32,36,40),0)/100)))))/Skills!H4,1)))/Inputs!$B$43),G1834*Q1834)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5">
      <c r="A1835">
        <f>Skills!A5</f>
        <v/>
      </c>
      <c r="B1835">
        <f>Skills!B5</f>
        <v/>
      </c>
      <c r="C1835">
        <f>TRUE</f>
        <v/>
      </c>
      <c r="D1835">
        <f>IF(Skills!C5=1,60+Inputs!$B$25+Inputs!$B$29,IF(Skills!C5=2,90+Inputs!$B$26+Inputs!$B$29,IF(Skills!C5=3,120+Inputs!$B$27+Inputs!$B$29,MAX(0,(Inputs!$B$3-100)*3)+Inputs!$B$28+Inputs!$B$29)))</f>
        <v/>
      </c>
      <c r="E1835">
        <f>INDEX(FactorTable!$B$2:$Y$301, MATCH(ROUND(MIN(300,MAX(1,D1835)),0), FactorTable!$A$2:$A$301,0), Skills!M5+1)</f>
        <v/>
      </c>
      <c r="F1835">
        <f>IF(Skills!N5=TRUE,(Skills!L5/10)*(E1835/1000),Skills!L5/10)+Skills!O5</f>
        <v/>
      </c>
      <c r="G1835">
        <f>Calc!G5</f>
        <v/>
      </c>
      <c r="H1835">
        <f>Calc!H5</f>
        <v/>
      </c>
      <c r="I1835">
        <f>IF(Skills!X5&lt;&gt;"",1+(Skills!X5/10)*(Z1833/1000)/100,1)</f>
        <v/>
      </c>
      <c r="J1835">
        <f>((Inputs!$B$6*(1+Inputs!$B$7/100))+(((Inputs!$B$12*(1+Inputs!$B$13/100))-(Inputs!$B$12*(1+Inputs!$B$13/100)))+0.25*(Inputs!$B$14-Inputs!$B$14))*(1+Inputs!$B$7/100))*(F1835/100)</f>
        <v/>
      </c>
      <c r="K1835">
        <f>J1835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1835)</f>
        <v/>
      </c>
      <c r="L1835">
        <f>K1835*(MIN(Inputs!$B$22+(F1852-Calc!F22),(Inputs!$B$23+(IF(ArtifactsInput!$M$15,CHOOSE(ArtifactsInput!$N$15+1,25,30,35,40,45,50)/100*(Inputs!$B$11-Inputs!$B$11),0))))/100+(Inputs!$B$23+(IF(ArtifactsInput!$M$15,CHOOSE(ArtifactsInput!$N$15+1,25,30,35,40,45,50)/100*(Inputs!$B$11-Inputs!$B$11),0)))/100)/2</f>
        <v/>
      </c>
      <c r="M1835">
        <f>L1835*(1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5">
        <f>L1835*(1-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1835*(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5">
        <f>(1-Summary!$B$11)*S1835+Summary!$B$11*U1835</f>
        <v/>
      </c>
      <c r="P1835">
        <f>IF(B1871=0,0,O1835/B1871)</f>
        <v/>
      </c>
      <c r="Q1835">
        <f>IFERROR(1/(IF(Inputs!$B$38="pvp",15,MAX(0.1,Skills!E5-IF(Skills!F5=TRUE,Inputs!$B$32,0)))*(1-IF(AND(ArtifactsInput!$M$27,Inputs!$B$4="Chapter Hunt"),CHOOSE(ArtifactsInput!$N$27+1,20,24,28,32,36,40),0)/100)),0)</f>
        <v/>
      </c>
      <c r="R1835">
        <f>IF(AND(Inputs!$B$38&lt;&gt;"pvp",Inputs!$B$43&gt;0),IF(MAX(0,Inputs!$B$43-B1868)&lt;=0,0,(INT(MAX(0,Inputs!$B$43-B1868)/(IF(Inputs!$B$38="pvp",15,MAX(0.1,Skills!E5-IF(Skills!F5=TRUE,Inputs!$B$32,0)))*(1-IF(AND(ArtifactsInput!$M$27,Inputs!$B$4="Chapter Hunt"),CHOOSE(ArtifactsInput!$N$27+1,20,24,28,32,36,40),0)/100)))+1)),0)</f>
        <v/>
      </c>
      <c r="S1835">
        <f>IF(C1835,(H1835*N1835*IF(AND(Inputs!$B$38&lt;&gt;"pvp",Inputs!$B$43&gt;0),((Skills!G5*((R1835-1)*IF(Skills!H5&gt;0,Skills!I5/Skills!H5,1)+IF(Skills!H5&gt;0,MIN(Skills!I5,MAX(0,MAX(0,Inputs!$B$43-B1868)-((R1835-1)*(IF(Inputs!$B$38="pvp",15,MAX(0.1,Skills!E5-IF(Skills!F5=TRUE,Inputs!$B$32,0)))*(1-IF(AND(ArtifactsInput!$M$27,Inputs!$B$4="Chapter Hunt"),CHOOSE(ArtifactsInput!$N$27+1,20,24,28,32,36,40),0)/100)))))/Skills!H5,1)))/Inputs!$B$43),G1835*Q1835)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1835*(1-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1835*(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1835*(1-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1835*(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5">
        <f>IF(C1835,(H1835*N1835*IF(AND(Inputs!$B$38&lt;&gt;"pvp",Inputs!$B$43&gt;0),((Skills!G5*((R1835-1)*IF(Skills!H5&gt;0,Skills!I5/Skills!H5,1)+IF(Skills!H5&gt;0,MIN(Skills!I5,MAX(0,MAX(0,Inputs!$B$43-B1868)-((R1835-1)*(IF(Inputs!$B$38="pvp",15,MAX(0.1,Skills!E5-IF(Skills!F5=TRUE,Inputs!$B$32,0)))*(1-IF(AND(ArtifactsInput!$M$27,Inputs!$B$4="Chapter Hunt"),CHOOSE(ArtifactsInput!$N$27+1,20,24,28,32,36,40),0)/100)))))/Skills!H5,1)))/Inputs!$B$43),G1835*Q1835)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6">
      <c r="A1836">
        <f>Skills!A6</f>
        <v/>
      </c>
      <c r="B1836">
        <f>Skills!B6</f>
        <v/>
      </c>
      <c r="C1836">
        <f>TRUE</f>
        <v/>
      </c>
      <c r="D1836">
        <f>IF(Skills!C6=1,60+Inputs!$B$25+Inputs!$B$29,IF(Skills!C6=2,90+Inputs!$B$26+Inputs!$B$29,IF(Skills!C6=3,120+Inputs!$B$27+Inputs!$B$29,MAX(0,(Inputs!$B$3-100)*3)+Inputs!$B$28+Inputs!$B$29)))</f>
        <v/>
      </c>
      <c r="E1836">
        <f>INDEX(FactorTable!$B$2:$Y$301, MATCH(ROUND(MIN(300,MAX(1,D1836)),0), FactorTable!$A$2:$A$301,0), Skills!M6+1)</f>
        <v/>
      </c>
      <c r="F1836">
        <f>IF(Skills!N6=TRUE,(Skills!L6/10)*(E1836/1000),Skills!L6/10)+Skills!O6</f>
        <v/>
      </c>
      <c r="G1836">
        <f>Calc!G6</f>
        <v/>
      </c>
      <c r="H1836">
        <f>Calc!H6</f>
        <v/>
      </c>
      <c r="I1836">
        <f>IF(Skills!X6&lt;&gt;"",1+(Skills!X6/10)*(Z1833/1000)/100,1)</f>
        <v/>
      </c>
      <c r="J1836" t="inlineStr"/>
      <c r="K1836" t="inlineStr"/>
      <c r="L1836" t="inlineStr"/>
      <c r="M1836" t="inlineStr"/>
      <c r="N1836" t="inlineStr"/>
      <c r="O1836">
        <f>(1-Summary!$B$11)*S1836+Summary!$B$11*U1836</f>
        <v/>
      </c>
      <c r="P1836">
        <f>IF(B1871=0,0,O1836/B1871)</f>
        <v/>
      </c>
      <c r="Q1836">
        <f>IFERROR(1/(IF(Inputs!$B$38="pvp",15,MAX(0.1,Skills!E6-IF(Skills!F6=TRUE,Inputs!$B$32,0)))*(1-IF(AND(ArtifactsInput!$M$27,Inputs!$B$4="Chapter Hunt"),CHOOSE(ArtifactsInput!$N$27+1,20,24,28,32,36,40),0)/100)),0)</f>
        <v/>
      </c>
      <c r="R1836">
        <f>IF(AND(Inputs!$B$38&lt;&gt;"pvp",Inputs!$B$43&gt;0),IF(Inputs!$B$43&lt;=0,0,(INT(Inputs!$B$43/(IF(Inputs!$B$38="pvp",15,MAX(0.1,Skills!E6-IF(Skills!F6=TRUE,Inputs!$B$32,0)))*(1-IF(AND(ArtifactsInput!$M$27,Inputs!$B$4="Chapter Hunt"),CHOOSE(ArtifactsInput!$N$27+1,20,24,28,32,36,40),0)/100)))+1)),0)</f>
        <v/>
      </c>
      <c r="S1836" t="n">
        <v>0</v>
      </c>
      <c r="U1836" t="n">
        <v>0</v>
      </c>
    </row>
    <row r="1837">
      <c r="A1837">
        <f>Skills!A7</f>
        <v/>
      </c>
      <c r="B1837">
        <f>Skills!B7</f>
        <v/>
      </c>
      <c r="C1837">
        <f>TRUE</f>
        <v/>
      </c>
      <c r="D1837">
        <f>IF(Skills!C7=1,60+Inputs!$B$25+Inputs!$B$29,IF(Skills!C7=2,90+Inputs!$B$26+Inputs!$B$29,IF(Skills!C7=3,120+Inputs!$B$27+Inputs!$B$29,MAX(0,(Inputs!$B$3-100)*3)+Inputs!$B$28+Inputs!$B$29)))</f>
        <v/>
      </c>
      <c r="E1837">
        <f>INDEX(FactorTable!$B$2:$Y$301, MATCH(ROUND(MIN(300,MAX(1,D1837)),0), FactorTable!$A$2:$A$301,0), Skills!M7+1)</f>
        <v/>
      </c>
      <c r="F1837">
        <f>IF(Skills!N7=TRUE,(Skills!L7/10)*(E1837/1000),Skills!L7/10)+Skills!O7</f>
        <v/>
      </c>
      <c r="G1837">
        <f>Calc!G7</f>
        <v/>
      </c>
      <c r="H1837">
        <f>Calc!H7</f>
        <v/>
      </c>
      <c r="I1837">
        <f>IF(Skills!X7&lt;&gt;"",1+(Skills!X7/10)*(Z1833/1000)/100,1)</f>
        <v/>
      </c>
      <c r="J1837">
        <f>((Inputs!$B$6*(1+Inputs!$B$7/100))+(((Inputs!$B$12*(1+Inputs!$B$13/100))-(Inputs!$B$12*(1+Inputs!$B$13/100)))+0.25*(Inputs!$B$14-Inputs!$B$14))*(1+Inputs!$B$7/100))*(F1837/100)</f>
        <v/>
      </c>
      <c r="K1837">
        <f>J1837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1837)</f>
        <v/>
      </c>
      <c r="L1837">
        <f>K1837*(MIN(Inputs!$B$22+(F1852-Calc!F22),(Inputs!$B$23+(IF(ArtifactsInput!$M$15,CHOOSE(ArtifactsInput!$N$15+1,25,30,35,40,45,50)/100*(Inputs!$B$11-Inputs!$B$11),0))))/100+(Inputs!$B$23+(IF(ArtifactsInput!$M$15,CHOOSE(ArtifactsInput!$N$15+1,25,30,35,40,45,50)/100*(Inputs!$B$11-Inputs!$B$11),0)))/100)/2</f>
        <v/>
      </c>
      <c r="M1837">
        <f>L1837*(1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7">
        <f>L1837*(1-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1837*(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7">
        <f>(1-Summary!$B$11)*S1837+Summary!$B$11*U1837</f>
        <v/>
      </c>
      <c r="P1837">
        <f>IF(B1871=0,0,O1837/B1871)</f>
        <v/>
      </c>
      <c r="Q1837">
        <f>IFERROR(1/(IF(Inputs!$B$38="pvp",15,MAX(0.1,Skills!E7-IF(Skills!F7=TRUE,Inputs!$B$32,0)))*(1-IF(AND(ArtifactsInput!$M$27,Inputs!$B$4="Chapter Hunt"),CHOOSE(ArtifactsInput!$N$27+1,20,24,28,32,36,40),0)/100)),0)</f>
        <v/>
      </c>
      <c r="R1837">
        <f>IF(AND(Inputs!$B$38&lt;&gt;"pvp",Inputs!$B$43&gt;0),IF(MAX(0,Inputs!$B$43-B1868)&lt;=0,0,(INT(MAX(0,Inputs!$B$43-B1868)/(IF(Inputs!$B$38="pvp",15,MAX(0.1,Skills!E7-IF(Skills!F7=TRUE,Inputs!$B$32,0)))*(1-IF(AND(ArtifactsInput!$M$27,Inputs!$B$4="Chapter Hunt"),CHOOSE(ArtifactsInput!$N$27+1,20,24,28,32,36,40),0)/100)))+1)),0)</f>
        <v/>
      </c>
      <c r="S1837">
        <f>IF(C1837,(H1837*N1837*IF(AND(Inputs!$B$38&lt;&gt;"pvp",Inputs!$B$43&gt;0),((Skills!G7*((R1837-1)*IF(Skills!H7&gt;0,Skills!I7/Skills!H7,1)+IF(Skills!H7&gt;0,MIN(Skills!I7,MAX(0,MAX(0,Inputs!$B$43-B1868)-((R1837-1)*(IF(Inputs!$B$38="pvp",15,MAX(0.1,Skills!E7-IF(Skills!F7=TRUE,Inputs!$B$32,0)))*(1-IF(AND(ArtifactsInput!$M$27,Inputs!$B$4="Chapter Hunt"),CHOOSE(ArtifactsInput!$N$27+1,20,24,28,32,36,40),0)/100)))))/Skills!H7,1)))/Inputs!$B$43),G1837*Q1837)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1837*(1-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1837*(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1837*(1-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1837*(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7">
        <f>IF(C1837,(H1837*N1837*IF(AND(Inputs!$B$38&lt;&gt;"pvp",Inputs!$B$43&gt;0),((Skills!G7*((R1837-1)*IF(Skills!H7&gt;0,Skills!I7/Skills!H7,1)+IF(Skills!H7&gt;0,MIN(Skills!I7,MAX(0,MAX(0,Inputs!$B$43-B1868)-((R1837-1)*(IF(Inputs!$B$38="pvp",15,MAX(0.1,Skills!E7-IF(Skills!F7=TRUE,Inputs!$B$32,0)))*(1-IF(AND(ArtifactsInput!$M$27,Inputs!$B$4="Chapter Hunt"),CHOOSE(ArtifactsInput!$N$27+1,20,24,28,32,36,40),0)/100)))))/Skills!H7,1)))/Inputs!$B$43),G1837*Q1837)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8">
      <c r="A1838">
        <f>Skills!A8</f>
        <v/>
      </c>
      <c r="B1838">
        <f>Skills!B8</f>
        <v/>
      </c>
      <c r="C1838">
        <f>TRUE</f>
        <v/>
      </c>
      <c r="D1838">
        <f>IF(Skills!C8=1,60+Inputs!$B$25+Inputs!$B$29,IF(Skills!C8=2,90+Inputs!$B$26+Inputs!$B$29,IF(Skills!C8=3,120+Inputs!$B$27+Inputs!$B$29,MAX(0,(Inputs!$B$3-100)*3)+Inputs!$B$28+Inputs!$B$29)))</f>
        <v/>
      </c>
      <c r="E1838">
        <f>INDEX(FactorTable!$B$2:$Y$301, MATCH(ROUND(MIN(300,MAX(1,D1838)),0), FactorTable!$A$2:$A$301,0), Skills!M8+1)</f>
        <v/>
      </c>
      <c r="F1838">
        <f>IF(Skills!N8=TRUE,(Skills!L8/10)*(E1838/1000),Skills!L8/10)+Skills!O8</f>
        <v/>
      </c>
      <c r="G1838">
        <f>Calc!G8</f>
        <v/>
      </c>
      <c r="H1838">
        <f>Calc!H8</f>
        <v/>
      </c>
      <c r="I1838">
        <f>IF(Skills!X8&lt;&gt;"",1+(Skills!X8/10)*(Z1833/1000)/100,1)</f>
        <v/>
      </c>
      <c r="J1838">
        <f>((Inputs!$B$6*(1+Inputs!$B$7/100))+(((Inputs!$B$12*(1+Inputs!$B$13/100))-(Inputs!$B$12*(1+Inputs!$B$13/100)))+0.25*(Inputs!$B$14-Inputs!$B$14))*(1+Inputs!$B$7/100))*(F1838/100)</f>
        <v/>
      </c>
      <c r="K1838">
        <f>J1838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1838)</f>
        <v/>
      </c>
      <c r="L1838">
        <f>K1838*(MIN(Inputs!$B$22+(F1852-Calc!F22),(Inputs!$B$23+(IF(ArtifactsInput!$M$15,CHOOSE(ArtifactsInput!$N$15+1,25,30,35,40,45,50)/100*(Inputs!$B$11-Inputs!$B$11),0))))/100+(Inputs!$B$23+(IF(ArtifactsInput!$M$15,CHOOSE(ArtifactsInput!$N$15+1,25,30,35,40,45,50)/100*(Inputs!$B$11-Inputs!$B$11),0)))/100)/2</f>
        <v/>
      </c>
      <c r="M1838">
        <f>L1838*(1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8">
        <f>L1838*(1-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1838*(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8">
        <f>(1-Summary!$B$11)*S1838+Summary!$B$11*U1838</f>
        <v/>
      </c>
      <c r="P1838">
        <f>IF(B1871=0,0,O1838/B1871)</f>
        <v/>
      </c>
      <c r="Q1838">
        <f>IFERROR(1/(IF(Inputs!$B$38="pvp",15,MAX(0.1,Skills!E8-IF(Skills!F8=TRUE,Inputs!$B$32,0)))*(1-IF(AND(ArtifactsInput!$M$27,Inputs!$B$4="Chapter Hunt"),CHOOSE(ArtifactsInput!$N$27+1,20,24,28,32,36,40),0)/100)),0)</f>
        <v/>
      </c>
      <c r="R1838">
        <f>IF(AND(Inputs!$B$38&lt;&gt;"pvp",Inputs!$B$43&gt;0),IF(MAX(0,Inputs!$B$43-B1868)&lt;=0,0,(INT(MAX(0,Inputs!$B$43-B1868)/(IF(Inputs!$B$38="pvp",15,MAX(0.1,Skills!E8-IF(Skills!F8=TRUE,Inputs!$B$32,0)))*(1-IF(AND(ArtifactsInput!$M$27,Inputs!$B$4="Chapter Hunt"),CHOOSE(ArtifactsInput!$N$27+1,20,24,28,32,36,40),0)/100)))+1)),0)</f>
        <v/>
      </c>
      <c r="S1838">
        <f>IF(C1838,(H1838*N1838*IF(AND(Inputs!$B$38&lt;&gt;"pvp",Inputs!$B$43&gt;0),((Skills!G8*((R1838-1)*IF(Skills!H8&gt;0,Skills!I8/Skills!H8,1)+IF(Skills!H8&gt;0,MIN(Skills!I8,MAX(0,MAX(0,Inputs!$B$43-B1868)-((R1838-1)*(IF(Inputs!$B$38="pvp",15,MAX(0.1,Skills!E8-IF(Skills!F8=TRUE,Inputs!$B$32,0)))*(1-IF(AND(ArtifactsInput!$M$27,Inputs!$B$4="Chapter Hunt"),CHOOSE(ArtifactsInput!$N$27+1,20,24,28,32,36,40),0)/100)))))/Skills!H8,1)))/Inputs!$B$43),G1838*Q1838)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1838*(1-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1838*(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1838*(1-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1838*(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8">
        <f>IF(C1838,(H1838*N1838*IF(AND(Inputs!$B$38&lt;&gt;"pvp",Inputs!$B$43&gt;0),((Skills!G8*((R1838-1)*IF(Skills!H8&gt;0,Skills!I8/Skills!H8,1)+IF(Skills!H8&gt;0,MIN(Skills!I8,MAX(0,MAX(0,Inputs!$B$43-B1868)-((R1838-1)*(IF(Inputs!$B$38="pvp",15,MAX(0.1,Skills!E8-IF(Skills!F8=TRUE,Inputs!$B$32,0)))*(1-IF(AND(ArtifactsInput!$M$27,Inputs!$B$4="Chapter Hunt"),CHOOSE(ArtifactsInput!$N$27+1,20,24,28,32,36,40),0)/100)))))/Skills!H8,1)))/Inputs!$B$43),G1838*Q1838)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9">
      <c r="A1839">
        <f>Skills!A9</f>
        <v/>
      </c>
      <c r="B1839">
        <f>Skills!B9</f>
        <v/>
      </c>
      <c r="C1839">
        <f>Inputs!$B$3&gt;=103</f>
        <v/>
      </c>
      <c r="D1839">
        <f>IF(Skills!C9=1,60+Inputs!$B$25+Inputs!$B$29,IF(Skills!C9=2,90+Inputs!$B$26+Inputs!$B$29,IF(Skills!C9=3,120+Inputs!$B$27+Inputs!$B$29,MAX(0,(Inputs!$B$3-100)*3)+Inputs!$B$28+Inputs!$B$29)))</f>
        <v/>
      </c>
      <c r="E1839">
        <f>INDEX(FactorTable!$B$2:$Y$301, MATCH(ROUND(MIN(300,MAX(1,D1839)),0), FactorTable!$A$2:$A$301,0), Skills!M9+1)</f>
        <v/>
      </c>
      <c r="F1839">
        <f>IF(Skills!N9=TRUE,(Skills!L9/10)*(E1839/1000),Skills!L9/10)+Skills!O9</f>
        <v/>
      </c>
      <c r="G1839">
        <f>Calc!G9</f>
        <v/>
      </c>
      <c r="H1839">
        <f>Calc!H9</f>
        <v/>
      </c>
      <c r="I1839">
        <f>IF(Skills!X9&lt;&gt;"",1+(Skills!X9/10)*(Z1833/1000)/100,1)</f>
        <v/>
      </c>
      <c r="J1839">
        <f>((Inputs!$B$6*(1+Inputs!$B$7/100))+(((Inputs!$B$12*(1+Inputs!$B$13/100))-(Inputs!$B$12*(1+Inputs!$B$13/100)))+0.25*(Inputs!$B$14-Inputs!$B$14))*(1+Inputs!$B$7/100))*(F1839/100)</f>
        <v/>
      </c>
      <c r="K1839">
        <f>J1839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1839)</f>
        <v/>
      </c>
      <c r="L1839">
        <f>K1839*(MIN(Inputs!$B$22+(F1852-Calc!F22),(Inputs!$B$23+(IF(ArtifactsInput!$M$15,CHOOSE(ArtifactsInput!$N$15+1,25,30,35,40,45,50)/100*(Inputs!$B$11-Inputs!$B$11),0))))/100+(Inputs!$B$23+(IF(ArtifactsInput!$M$15,CHOOSE(ArtifactsInput!$N$15+1,25,30,35,40,45,50)/100*(Inputs!$B$11-Inputs!$B$11),0)))/100)/2</f>
        <v/>
      </c>
      <c r="M1839">
        <f>L1839*(1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9">
        <f>L1839*(1-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1839*(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9">
        <f>(1-Summary!$B$11)*S1839+Summary!$B$11*U1839</f>
        <v/>
      </c>
      <c r="P1839">
        <f>IF(B1871=0,0,O1839/B1871)</f>
        <v/>
      </c>
      <c r="Q1839">
        <f>IFERROR(1/(IF(Inputs!$B$38="pvp",15,MAX(0.1,Skills!E9-IF(Skills!F7=TRUE,Inputs!$B$32,0)))*(1-IF(AND(ArtifactsInput!$M$27,Inputs!$B$4="Chapter Hunt"),CHOOSE(ArtifactsInput!$N$27+1,20,24,28,32,36,40),0)/100)),0)</f>
        <v/>
      </c>
      <c r="R1839">
        <f>IF(AND(Inputs!$B$38&lt;&gt;"pvp",Inputs!$B$43&gt;0),IF(MAX(0,Inputs!$B$43-B1868)&lt;=0,0,(INT(MAX(0,Inputs!$B$43-B1868)/(IF(Inputs!$B$38="pvp",15,MAX(0.1,Skills!E9-IF(Skills!F7=TRUE,Inputs!$B$32,0)))*(1-IF(AND(ArtifactsInput!$M$27,Inputs!$B$4="Chapter Hunt"),CHOOSE(ArtifactsInput!$N$27+1,20,24,28,32,36,40),0)/100)))+1)),0)</f>
        <v/>
      </c>
      <c r="S1839">
        <f>IF(C1839,(H1839*N1839*IF(AND(Inputs!$B$38&lt;&gt;"pvp",Inputs!$B$43&gt;0),((Skills!G9*((R1839-1)*IF(Skills!H9&gt;0,Skills!I9/Skills!H9,1)+IF(Skills!H9&gt;0,MIN(Skills!I9,MAX(0,MAX(0,Inputs!$B$43-B1868)-((R1839-1)*(IF(Inputs!$B$38="pvp",15,MAX(0.1,Skills!E9-IF(Skills!F7=TRUE,Inputs!$B$32,0)))*(1-IF(AND(ArtifactsInput!$M$27,Inputs!$B$4="Chapter Hunt"),CHOOSE(ArtifactsInput!$N$27+1,20,24,28,32,36,40),0)/100)))))/Skills!H9,1)))/Inputs!$B$43),G1839*Q1839)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1839*(1-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1839*(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1839*(1-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1839*(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9">
        <f>IF(C1839,(H1839*N1839*IF(AND(Inputs!$B$38&lt;&gt;"pvp",Inputs!$B$43&gt;0),((Skills!G9*((R1839-1)*IF(Skills!H9&gt;0,Skills!I9/Skills!H9,1)+IF(Skills!H9&gt;0,MIN(Skills!I9,MAX(0,MAX(0,Inputs!$B$43-B1868)-((R1839-1)*(IF(Inputs!$B$38="pvp",15,MAX(0.1,Skills!E9-IF(Skills!F7=TRUE,Inputs!$B$32,0)))*(1-IF(AND(ArtifactsInput!$M$27,Inputs!$B$4="Chapter Hunt"),CHOOSE(ArtifactsInput!$N$27+1,20,24,28,32,36,40),0)/100)))))/Skills!H9,1)))/Inputs!$B$43),G1839*Q1839)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0">
      <c r="A1840">
        <f>Skills!A10</f>
        <v/>
      </c>
      <c r="B1840">
        <f>Skills!B10</f>
        <v/>
      </c>
      <c r="C1840">
        <f>TRUE</f>
        <v/>
      </c>
      <c r="D1840">
        <f>IF(Skills!C10=1,60+Inputs!$B$25+Inputs!$B$29,IF(Skills!C10=2,90+Inputs!$B$26+Inputs!$B$29,IF(Skills!C10=3,120+Inputs!$B$27+Inputs!$B$29,MAX(0,(Inputs!$B$3-100)*3)+Inputs!$B$28+Inputs!$B$29)))</f>
        <v/>
      </c>
      <c r="E1840">
        <f>INDEX(FactorTable!$B$2:$Y$301, MATCH(ROUND(MIN(300,MAX(1,D1840)),0), FactorTable!$A$2:$A$301,0), Skills!M10+1)</f>
        <v/>
      </c>
      <c r="F1840">
        <f>IF(Skills!N10=TRUE,(Skills!L10/10)*(E1840/1000),Skills!L10/10)+Skills!O10</f>
        <v/>
      </c>
      <c r="G1840">
        <f>Calc!G10</f>
        <v/>
      </c>
      <c r="H1840">
        <f>Calc!H10</f>
        <v/>
      </c>
      <c r="I1840">
        <f>IF(Skills!X10&lt;&gt;"",1+(Skills!X10/10)*(Z1833/1000)/100,1)</f>
        <v/>
      </c>
      <c r="J1840">
        <f>((Inputs!$B$6*(1+Inputs!$B$7/100))+(((Inputs!$B$12*(1+Inputs!$B$13/100))-(Inputs!$B$12*(1+Inputs!$B$13/100)))+0.25*(Inputs!$B$14-Inputs!$B$14))*(1+Inputs!$B$7/100))*(F1840/100)</f>
        <v/>
      </c>
      <c r="K1840">
        <f>J1840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1840)</f>
        <v/>
      </c>
      <c r="L1840">
        <f>K1840*(MIN(Inputs!$B$22+(F1852-Calc!F22),(Inputs!$B$23+(IF(ArtifactsInput!$M$15,CHOOSE(ArtifactsInput!$N$15+1,25,30,35,40,45,50)/100*(Inputs!$B$11-Inputs!$B$11),0))))/100+(Inputs!$B$23+(IF(ArtifactsInput!$M$15,CHOOSE(ArtifactsInput!$N$15+1,25,30,35,40,45,50)/100*(Inputs!$B$11-Inputs!$B$11),0)))/100)/2</f>
        <v/>
      </c>
      <c r="M1840">
        <f>L1840*(1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0">
        <f>L1840*(1-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1840*(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0">
        <f>(1-Summary!$B$11)*S1840+Summary!$B$11*U1840</f>
        <v/>
      </c>
      <c r="P1840">
        <f>IF(B1871=0,0,O1840/B1871)</f>
        <v/>
      </c>
      <c r="Q1840">
        <f>IFERROR(1/(IF(Inputs!$B$38="pvp",15,MAX(0.1,Skills!E10-IF(Skills!F10=TRUE,Inputs!$B$32,0)))*(1-IF(AND(ArtifactsInput!$M$27,Inputs!$B$4="Chapter Hunt"),CHOOSE(ArtifactsInput!$N$27+1,20,24,28,32,36,40),0)/100)),0)</f>
        <v/>
      </c>
      <c r="R1840">
        <f>IF(AND(Inputs!$B$38&lt;&gt;"pvp",Inputs!$B$43&gt;0),IF(MAX(0,Inputs!$B$43-B1868)&lt;=0,0,(INT(MAX(0,Inputs!$B$43-B1868)/(IF(Inputs!$B$38="pvp",15,MAX(0.1,Skills!E10-IF(Skills!F10=TRUE,Inputs!$B$32,0)))*(1-IF(AND(ArtifactsInput!$M$27,Inputs!$B$4="Chapter Hunt"),CHOOSE(ArtifactsInput!$N$27+1,20,24,28,32,36,40),0)/100)))+1)),0)</f>
        <v/>
      </c>
      <c r="S1840">
        <f>IF(C1840,(H1840*N1840*IF(AND(Inputs!$B$38&lt;&gt;"pvp",Inputs!$B$43&gt;0),((Skills!G10*((R1840-1)*IF(Skills!H10&gt;0,Skills!I10/Skills!H10,1)+IF(Skills!H10&gt;0,MIN(Skills!I10,MAX(0,MAX(0,Inputs!$B$43-B1868)-((R1840-1)*(IF(Inputs!$B$38="pvp",15,MAX(0.1,Skills!E10-IF(Skills!F10=TRUE,Inputs!$B$32,0)))*(1-IF(AND(ArtifactsInput!$M$27,Inputs!$B$4="Chapter Hunt"),CHOOSE(ArtifactsInput!$N$27+1,20,24,28,32,36,40),0)/100)))))/Skills!H10,1)))/Inputs!$B$43),G1840*Q1840)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1840*(1-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1840*(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1840*(1-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1840*(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0">
        <f>IF(C1840,(H1840*N1840*IF(AND(Inputs!$B$38&lt;&gt;"pvp",Inputs!$B$43&gt;0),((Skills!G10*((R1840-1)*IF(Skills!H10&gt;0,Skills!I10/Skills!H10,1)+IF(Skills!H10&gt;0,MIN(Skills!I10,MAX(0,MAX(0,Inputs!$B$43-B1868)-((R1840-1)*(IF(Inputs!$B$38="pvp",15,MAX(0.1,Skills!E10-IF(Skills!F10=TRUE,Inputs!$B$32,0)))*(1-IF(AND(ArtifactsInput!$M$27,Inputs!$B$4="Chapter Hunt"),CHOOSE(ArtifactsInput!$N$27+1,20,24,28,32,36,40),0)/100)))))/Skills!H10,1)))/Inputs!$B$43),G1840*Q1840)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1">
      <c r="A1841">
        <f>Skills!A11</f>
        <v/>
      </c>
      <c r="B1841">
        <f>Skills!B11</f>
        <v/>
      </c>
      <c r="C1841">
        <f>TRUE</f>
        <v/>
      </c>
      <c r="D1841">
        <f>IF(Skills!C11=1,60+Inputs!$B$25+Inputs!$B$29,IF(Skills!C11=2,90+Inputs!$B$26+Inputs!$B$29,IF(Skills!C11=3,120+Inputs!$B$27+Inputs!$B$29,MAX(0,(Inputs!$B$3-100)*3)+Inputs!$B$28+Inputs!$B$29)))</f>
        <v/>
      </c>
      <c r="E1841">
        <f>INDEX(FactorTable!$B$2:$Y$301, MATCH(ROUND(MIN(300,MAX(1,D1841)),0), FactorTable!$A$2:$A$301,0), Skills!M11+1)</f>
        <v/>
      </c>
      <c r="F1841">
        <f>IF(Skills!N11=TRUE,(Skills!L11/10)*(E1841/1000),Skills!L11/10)+Skills!O11</f>
        <v/>
      </c>
      <c r="G1841">
        <f>Calc!G11</f>
        <v/>
      </c>
      <c r="H1841">
        <f>Calc!H11</f>
        <v/>
      </c>
      <c r="I1841">
        <f>IF(Skills!X11&lt;&gt;"",1+(Skills!X11/10)*(Z1833/1000)/100,1)</f>
        <v/>
      </c>
      <c r="J1841" t="inlineStr"/>
      <c r="K1841" t="inlineStr"/>
      <c r="L1841" t="inlineStr"/>
      <c r="M1841" t="inlineStr"/>
      <c r="N1841" t="inlineStr"/>
      <c r="O1841">
        <f>(1-Summary!$B$11)*S1841+Summary!$B$11*U1841</f>
        <v/>
      </c>
      <c r="P1841">
        <f>IF(B1871=0,0,O1841/B1871)</f>
        <v/>
      </c>
      <c r="Q1841">
        <f>IFERROR(1/(IF(Inputs!$B$38="pvp",15,MAX(0.1,Skills!E11-IF(Skills!F11=TRUE,Inputs!$B$32,0)))*(1-IF(AND(ArtifactsInput!$M$27,Inputs!$B$4="Chapter Hunt"),CHOOSE(ArtifactsInput!$N$27+1,20,24,28,32,36,40),0)/100)),0)</f>
        <v/>
      </c>
      <c r="R1841" t="n">
        <v>0</v>
      </c>
      <c r="S1841" t="n">
        <v>0</v>
      </c>
      <c r="U1841" t="n">
        <v>0</v>
      </c>
    </row>
    <row r="1842">
      <c r="A1842">
        <f>Skills!A12</f>
        <v/>
      </c>
      <c r="B1842">
        <f>Skills!B12</f>
        <v/>
      </c>
      <c r="C1842">
        <f>TRUE</f>
        <v/>
      </c>
      <c r="D1842">
        <f>IF(Skills!C12=1,60+Inputs!$B$25+Inputs!$B$29,IF(Skills!C12=2,90+Inputs!$B$26+Inputs!$B$29,IF(Skills!C12=3,120+Inputs!$B$27+Inputs!$B$29,MAX(0,(Inputs!$B$3-100)*3)+Inputs!$B$28+Inputs!$B$29)))</f>
        <v/>
      </c>
      <c r="E1842">
        <f>INDEX(FactorTable!$B$2:$Y$301, MATCH(ROUND(MIN(300,MAX(1,D1842)),0), FactorTable!$A$2:$A$301,0), Skills!M12+1)</f>
        <v/>
      </c>
      <c r="F1842">
        <f>IF(Skills!N12=TRUE,(Skills!L12/10)*(E1842/1000),Skills!L12/10)+Skills!O12</f>
        <v/>
      </c>
      <c r="G1842">
        <f>Calc!G12</f>
        <v/>
      </c>
      <c r="H1842">
        <f>Calc!H12</f>
        <v/>
      </c>
      <c r="I1842">
        <f>IF(Skills!X12&lt;&gt;"",1+(Skills!X12/10)*(Z1833/1000)/100,1)</f>
        <v/>
      </c>
      <c r="J1842" t="inlineStr"/>
      <c r="K1842" t="inlineStr"/>
      <c r="L1842" t="inlineStr"/>
      <c r="M1842" t="inlineStr"/>
      <c r="N1842" t="inlineStr"/>
      <c r="O1842">
        <f>(1-Summary!$B$11)*S1842+Summary!$B$11*U1842</f>
        <v/>
      </c>
      <c r="P1842">
        <f>IF(B1871=0,0,O1842/B1871)</f>
        <v/>
      </c>
      <c r="Q1842">
        <f>IFERROR(1/(IF(Inputs!$B$38="pvp",15,MAX(0.1,Skills!E12-IF(Skills!F12=TRUE,Inputs!$B$32,0)))*(1-IF(AND(ArtifactsInput!$M$27,Inputs!$B$4="Chapter Hunt"),CHOOSE(ArtifactsInput!$N$27+1,20,24,28,32,36,40),0)/100)),0)</f>
        <v/>
      </c>
      <c r="R1842" t="n">
        <v>0</v>
      </c>
      <c r="S1842" t="n">
        <v>0</v>
      </c>
      <c r="U1842" t="n">
        <v>0</v>
      </c>
    </row>
    <row r="1843">
      <c r="A1843">
        <f>Skills!A13</f>
        <v/>
      </c>
      <c r="B1843">
        <f>Skills!B13</f>
        <v/>
      </c>
      <c r="C1843">
        <f>Inputs!$B$3&gt;=105</f>
        <v/>
      </c>
      <c r="D1843">
        <f>IF(Skills!C13=1,60+Inputs!$B$25+Inputs!$B$29,IF(Skills!C13=2,90+Inputs!$B$26+Inputs!$B$29,IF(Skills!C13=3,120+Inputs!$B$27+Inputs!$B$29,MAX(0,(Inputs!$B$3-100)*3)+Inputs!$B$28+Inputs!$B$29)))</f>
        <v/>
      </c>
      <c r="E1843">
        <f>INDEX(FactorTable!$B$2:$Y$301, MATCH(ROUND(MIN(300,MAX(1,D1843)),0), FactorTable!$A$2:$A$301,0), Skills!M13+1)</f>
        <v/>
      </c>
      <c r="F1843">
        <f>IF(Skills!N13=TRUE,(Skills!L13/10)*(E1843/1000),Skills!L13/10)+Skills!O13</f>
        <v/>
      </c>
      <c r="G1843">
        <f>Calc!G13</f>
        <v/>
      </c>
      <c r="H1843">
        <f>Calc!H13</f>
        <v/>
      </c>
      <c r="I1843">
        <f>IF(Skills!X13&lt;&gt;"",1+(Skills!X13/10)*(Z1833/1000)/100,1)</f>
        <v/>
      </c>
      <c r="J1843">
        <f>((Inputs!$B$6*(1+Inputs!$B$7/100))+(((Inputs!$B$12*(1+Inputs!$B$13/100))-(Inputs!$B$12*(1+Inputs!$B$13/100)))+0.25*(Inputs!$B$14-Inputs!$B$14))*(1+Inputs!$B$7/100))*(F1843/100)</f>
        <v/>
      </c>
      <c r="K1843">
        <f>J1843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1843)</f>
        <v/>
      </c>
      <c r="L1843">
        <f>K1843*(MIN(Inputs!$B$22+(F1852-Calc!F22),(Inputs!$B$23+(IF(ArtifactsInput!$M$15,CHOOSE(ArtifactsInput!$N$15+1,25,30,35,40,45,50)/100*(Inputs!$B$11-Inputs!$B$11),0))))/100+(Inputs!$B$23+(IF(ArtifactsInput!$M$15,CHOOSE(ArtifactsInput!$N$15+1,25,30,35,40,45,50)/100*(Inputs!$B$11-Inputs!$B$11),0)))/100)/2</f>
        <v/>
      </c>
      <c r="M1843">
        <f>L1843*(1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3">
        <f>L1843*(1-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1843*(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3">
        <f>(1-Summary!$B$11)*S1843+Summary!$B$11*U1843</f>
        <v/>
      </c>
      <c r="P1843">
        <f>IF(B1871=0,0,O1843/B1871)</f>
        <v/>
      </c>
      <c r="Q1843">
        <f>IFERROR(1/(IF(Inputs!$B$38="pvp",15,MAX(0.1,Skills!E13-IF(Skills!F13=TRUE,Inputs!$B$32,0)))*(1-IF(AND(ArtifactsInput!$M$27,Inputs!$B$4="Chapter Hunt"),CHOOSE(ArtifactsInput!$N$27+1,20,24,28,32,36,40),0)/100)),0)</f>
        <v/>
      </c>
      <c r="R1843">
        <f>IF(AND(Inputs!$B$38&lt;&gt;"pvp",Inputs!$B$43&gt;0),IF(MAX(0,Inputs!$B$43-B1868)&lt;=0,0,(INT(MAX(0,Inputs!$B$43-B1868)/(IF(Inputs!$B$38="pvp",15,MAX(0.1,Skills!E13-IF(Skills!F13=TRUE,Inputs!$B$32,0)))*(1-IF(AND(ArtifactsInput!$M$27,Inputs!$B$4="Chapter Hunt"),CHOOSE(ArtifactsInput!$N$27+1,20,24,28,32,36,40),0)/100)))+1)),0)</f>
        <v/>
      </c>
      <c r="S1843">
        <f>IF(C1843,(H1843*N1843*IF(AND(Inputs!$B$38&lt;&gt;"pvp",Inputs!$B$43&gt;0),((Skills!G13*((R1843-1)*IF(Skills!H13&gt;0,Skills!I13/Skills!H13,1)+IF(Skills!H13&gt;0,MIN(Skills!I13,MAX(0,MAX(0,Inputs!$B$43-B1868)-((R1843-1)*(IF(Inputs!$B$38="pvp",15,MAX(0.1,Skills!E13-IF(Skills!F13=TRUE,Inputs!$B$32,0)))*(1-IF(AND(ArtifactsInput!$M$27,Inputs!$B$4="Chapter Hunt"),CHOOSE(ArtifactsInput!$N$27+1,20,24,28,32,36,40),0)/100)))))/Skills!H13,1)))/Inputs!$B$43),G1843*Q1843)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1843*(1-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1843*(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1843*(1-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1843*(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3">
        <f>IF(C1843,(H1843*N1843*IF(AND(Inputs!$B$38&lt;&gt;"pvp",Inputs!$B$43&gt;0),((Skills!G13*((R1843-1)*IF(Skills!H13&gt;0,Skills!I13/Skills!H13,1)+IF(Skills!H13&gt;0,MIN(Skills!I13,MAX(0,MAX(0,Inputs!$B$43-B1868)-((R1843-1)*(IF(Inputs!$B$38="pvp",15,MAX(0.1,Skills!E13-IF(Skills!F13=TRUE,Inputs!$B$32,0)))*(1-IF(AND(ArtifactsInput!$M$27,Inputs!$B$4="Chapter Hunt"),CHOOSE(ArtifactsInput!$N$27+1,20,24,28,32,36,40),0)/100)))))/Skills!H13,1)))/Inputs!$B$43),G1843*Q1843)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4">
      <c r="A1844">
        <f>Skills!A14</f>
        <v/>
      </c>
      <c r="B1844">
        <f>Skills!B14</f>
        <v/>
      </c>
      <c r="C1844">
        <f>Inputs!$B$3&gt;=113</f>
        <v/>
      </c>
      <c r="D1844">
        <f>IF(Skills!C14=1,60+Inputs!$B$25+Inputs!$B$29,IF(Skills!C14=2,90+Inputs!$B$26+Inputs!$B$29,IF(Skills!C14=3,120+Inputs!$B$27+Inputs!$B$29,MAX(0,(Inputs!$B$3-100)*3)+Inputs!$B$28+Inputs!$B$29)))</f>
        <v/>
      </c>
      <c r="E1844">
        <f>INDEX(FactorTable!$B$2:$Y$301, MATCH(ROUND(MIN(300,MAX(1,D1844)),0), FactorTable!$A$2:$A$301,0), Skills!M14+1)</f>
        <v/>
      </c>
      <c r="F1844">
        <f>IF(Skills!N14=TRUE,(Skills!L14/10)*(E1844/1000),Skills!L14/10)+Skills!O14</f>
        <v/>
      </c>
      <c r="G1844">
        <f>Calc!G14</f>
        <v/>
      </c>
      <c r="H1844">
        <f>Calc!H14</f>
        <v/>
      </c>
      <c r="I1844">
        <f>IF(Skills!X14&lt;&gt;"",1+(Skills!X14/10)*(Z1833/1000)/100,1)</f>
        <v/>
      </c>
      <c r="J1844">
        <f>((Inputs!$B$6*(1+Inputs!$B$7/100))+(((Inputs!$B$12*(1+Inputs!$B$13/100))-(Inputs!$B$12*(1+Inputs!$B$13/100)))+0.25*(Inputs!$B$14-Inputs!$B$14))*(1+Inputs!$B$7/100))*(F1844/100)</f>
        <v/>
      </c>
      <c r="K1844">
        <f>J1844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1844)</f>
        <v/>
      </c>
      <c r="L1844">
        <f>K1844*(MIN(Inputs!$B$22+(F1852-Calc!F22),(Inputs!$B$23+(IF(ArtifactsInput!$M$15,CHOOSE(ArtifactsInput!$N$15+1,25,30,35,40,45,50)/100*(Inputs!$B$11-Inputs!$B$11),0))))/100+(Inputs!$B$23+(IF(ArtifactsInput!$M$15,CHOOSE(ArtifactsInput!$N$15+1,25,30,35,40,45,50)/100*(Inputs!$B$11-Inputs!$B$11),0)))/100)/2</f>
        <v/>
      </c>
      <c r="M1844">
        <f>L1844*(1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4">
        <f>L1844*(1-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1844*(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4">
        <f>(1-Summary!$B$11)*S1844+Summary!$B$11*U1844</f>
        <v/>
      </c>
      <c r="P1844">
        <f>IF(B1871=0,0,O1844/B1871)</f>
        <v/>
      </c>
      <c r="Q1844">
        <f>IFERROR(1/(IF(Inputs!$B$38="pvp",15,MAX(0.1,Skills!E14-IF(Skills!F14=TRUE,Inputs!$B$32,0)))*(1-IF(AND(ArtifactsInput!$M$27,Inputs!$B$4="Chapter Hunt"),CHOOSE(ArtifactsInput!$N$27+1,20,24,28,32,36,40),0)/100)),0)</f>
        <v/>
      </c>
      <c r="R1844" t="n">
        <v>0</v>
      </c>
      <c r="S1844">
        <f>IF(C1844,((H1844*B1867)/(1+Skills!H14*H1844*B1867)*N1844)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1844*(1-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1844*(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1844*(1-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1844*(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4">
        <f>IF(C1844,((H1844*B1867)/(1+Skills!H14*H1844*B1867)*N1844)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5">
      <c r="A1845">
        <f>Skills!A15</f>
        <v/>
      </c>
      <c r="B1845">
        <f>Skills!B15</f>
        <v/>
      </c>
      <c r="C1845">
        <f>Inputs!$B$3&gt;=107</f>
        <v/>
      </c>
      <c r="D1845">
        <f>IF(Skills!C15=1,60+Inputs!$B$25+Inputs!$B$29,IF(Skills!C15=2,90+Inputs!$B$26+Inputs!$B$29,IF(Skills!C15=3,120+Inputs!$B$27+Inputs!$B$29,MAX(0,(Inputs!$B$3-100)*3)+Inputs!$B$28+Inputs!$B$29)))</f>
        <v/>
      </c>
      <c r="E1845">
        <f>INDEX(FactorTable!$B$2:$Y$301, MATCH(ROUND(MIN(300,MAX(1,D1845)),0), FactorTable!$A$2:$A$301,0), Skills!M15+1)</f>
        <v/>
      </c>
      <c r="F1845">
        <f>IF(Skills!N15=TRUE,(Skills!L15/10)*(E1845/1000),Skills!L15/10)+Skills!O15</f>
        <v/>
      </c>
      <c r="G1845">
        <f>Calc!G15</f>
        <v/>
      </c>
      <c r="H1845">
        <f>Calc!H15</f>
        <v/>
      </c>
      <c r="I1845">
        <f>IF(Skills!X15&lt;&gt;"",1+(Skills!X15/10)*(Z1833/1000)/100,1)</f>
        <v/>
      </c>
      <c r="J1845">
        <f>((Inputs!$B$6*(1+Inputs!$B$7/100))+(((Inputs!$B$12*(1+Inputs!$B$13/100))-(Inputs!$B$12*(1+Inputs!$B$13/100)))+0.25*(Inputs!$B$14-Inputs!$B$14))*(1+Inputs!$B$7/100))*(F1845/100)</f>
        <v/>
      </c>
      <c r="K1845">
        <f>J1845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1845)</f>
        <v/>
      </c>
      <c r="L1845">
        <f>K1845*(MIN(Inputs!$B$22+(F1852-Calc!F22),(Inputs!$B$23+(IF(ArtifactsInput!$M$15,CHOOSE(ArtifactsInput!$N$15+1,25,30,35,40,45,50)/100*(Inputs!$B$11-Inputs!$B$11),0))))/100+(Inputs!$B$23+(IF(ArtifactsInput!$M$15,CHOOSE(ArtifactsInput!$N$15+1,25,30,35,40,45,50)/100*(Inputs!$B$11-Inputs!$B$11),0)))/100)/2</f>
        <v/>
      </c>
      <c r="M1845">
        <f>L1845*(1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5">
        <f>L1845*(1-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1845*(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5">
        <f>(1-Summary!$B$11)*S1845+Summary!$B$11*U1845</f>
        <v/>
      </c>
      <c r="P1845">
        <f>IF(B1871=0,0,O1845/B1871)</f>
        <v/>
      </c>
      <c r="Q1845">
        <f>IFERROR(1/(IF(Inputs!$B$38="pvp",15,MAX(0.1,Skills!E15-IF(Skills!F15=TRUE,Inputs!$B$32,0)))*(1-IF(AND(ArtifactsInput!$M$27,Inputs!$B$4="Chapter Hunt"),CHOOSE(ArtifactsInput!$N$27+1,20,24,28,32,36,40),0)/100)),0)</f>
        <v/>
      </c>
      <c r="R1845">
        <f>IF(AND(Inputs!$B$38&lt;&gt;"pvp",Inputs!$B$43&gt;0),IF(MAX(0,Inputs!$B$43-B1868)&lt;=0,0,(INT(MAX(0,Inputs!$B$43-B1868)/(IF(Inputs!$B$38="pvp",15,MAX(0.1,Skills!E15-IF(Skills!F15=TRUE,Inputs!$B$32,0)))*(1-IF(AND(ArtifactsInput!$M$27,Inputs!$B$4="Chapter Hunt"),CHOOSE(ArtifactsInput!$N$27+1,20,24,28,32,36,40),0)/100)))+1)),0)</f>
        <v/>
      </c>
      <c r="S1845">
        <f>IF(C1845,(H1845*N1845*IF(AND(Inputs!$B$38&lt;&gt;"pvp",Inputs!$B$43&gt;0),((Skills!G15*((R1845-1)*IF(Skills!H15&gt;0,Skills!I15/Skills!H15,1)+IF(Skills!H15&gt;0,MIN(Skills!I15,MAX(0,MAX(0,Inputs!$B$43-B1868)-((R1845-1)*(IF(Inputs!$B$38="pvp",15,MAX(0.1,Skills!E15-IF(Skills!F15=TRUE,Inputs!$B$32,0)))*(1-IF(AND(ArtifactsInput!$M$27,Inputs!$B$4="Chapter Hunt"),CHOOSE(ArtifactsInput!$N$27+1,20,24,28,32,36,40),0)/100)))))/Skills!H15,1)))/Inputs!$B$43),G1845*Q1845)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1845*(1-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1845*(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1845*(1-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1845*(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5">
        <f>IF(C1845,(H1845*N1845*IF(AND(Inputs!$B$38&lt;&gt;"pvp",Inputs!$B$43&gt;0),((Skills!G15*((R1845-1)*IF(Skills!H15&gt;0,Skills!I15/Skills!H15,1)+IF(Skills!H15&gt;0,MIN(Skills!I15,MAX(0,MAX(0,Inputs!$B$43-B1868)-((R1845-1)*(IF(Inputs!$B$38="pvp",15,MAX(0.1,Skills!E15-IF(Skills!F15=TRUE,Inputs!$B$32,0)))*(1-IF(AND(ArtifactsInput!$M$27,Inputs!$B$4="Chapter Hunt"),CHOOSE(ArtifactsInput!$N$27+1,20,24,28,32,36,40),0)/100)))))/Skills!H15,1)))/Inputs!$B$43),G1845*Q1845)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6">
      <c r="A1846">
        <f>Skills!A16</f>
        <v/>
      </c>
      <c r="B1846">
        <f>Skills!B16</f>
        <v/>
      </c>
      <c r="C1846">
        <f>Inputs!$B$3&gt;=107</f>
        <v/>
      </c>
      <c r="D1846">
        <f>IF(Skills!C16=1,60+Inputs!$B$25+Inputs!$B$29,IF(Skills!C16=2,90+Inputs!$B$26+Inputs!$B$29,IF(Skills!C16=3,120+Inputs!$B$27+Inputs!$B$29,MAX(0,(Inputs!$B$3-100)*3)+Inputs!$B$28+Inputs!$B$29)))</f>
        <v/>
      </c>
      <c r="E1846">
        <f>INDEX(FactorTable!$B$2:$Y$301, MATCH(ROUND(MIN(300,MAX(1,D1846)),0), FactorTable!$A$2:$A$301,0), Skills!M16+1)</f>
        <v/>
      </c>
      <c r="F1846">
        <f>IF(Skills!N16=TRUE,(Skills!L16/10)*(E1846/1000),Skills!L16/10)+Skills!O16</f>
        <v/>
      </c>
      <c r="G1846">
        <f>Calc!G16</f>
        <v/>
      </c>
      <c r="H1846">
        <f>Calc!H16</f>
        <v/>
      </c>
      <c r="I1846">
        <f>IF(Skills!X16&lt;&gt;"",1+(Skills!X16/10)*(Z1833/1000)/100,1)</f>
        <v/>
      </c>
      <c r="J1846">
        <f>((Inputs!$B$6*(1+Inputs!$B$7/100))+(((Inputs!$B$12*(1+Inputs!$B$13/100))-(Inputs!$B$12*(1+Inputs!$B$13/100)))+0.25*(Inputs!$B$14-Inputs!$B$14))*(1+Inputs!$B$7/100))*(F1846/100)</f>
        <v/>
      </c>
      <c r="K1846">
        <f>J1846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1846)</f>
        <v/>
      </c>
      <c r="L1846">
        <f>K1846*(MIN(Inputs!$B$22+(F1852-Calc!F22),(Inputs!$B$23+(IF(ArtifactsInput!$M$15,CHOOSE(ArtifactsInput!$N$15+1,25,30,35,40,45,50)/100*(Inputs!$B$11-Inputs!$B$11),0))))/100+(Inputs!$B$23+(IF(ArtifactsInput!$M$15,CHOOSE(ArtifactsInput!$N$15+1,25,30,35,40,45,50)/100*(Inputs!$B$11-Inputs!$B$11),0)))/100)/2</f>
        <v/>
      </c>
      <c r="M1846">
        <f>L1846*(1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6">
        <f>L1846*(1-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1846*(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6">
        <f>(1-Summary!$B$11)*S1846+Summary!$B$11*U1846</f>
        <v/>
      </c>
      <c r="P1846">
        <f>IF(B1871=0,0,O1846/B1871)</f>
        <v/>
      </c>
      <c r="Q1846">
        <f>IFERROR(1/(IF(Inputs!$B$38="pvp",15,MAX(0.1,Skills!E16-IF(Skills!F16=TRUE,Inputs!$B$32,0)))*(1-IF(AND(ArtifactsInput!$M$27,Inputs!$B$4="Chapter Hunt"),CHOOSE(ArtifactsInput!$N$27+1,20,24,28,32,36,40),0)/100)),0)</f>
        <v/>
      </c>
      <c r="R1846">
        <f>IF(AND(Inputs!$B$38&lt;&gt;"pvp",Inputs!$B$43&gt;0),IF(MAX(0,Inputs!$B$43-B1868)&lt;=0,0,(INT(MAX(0,Inputs!$B$43-B1868)/(IF(Inputs!$B$38="pvp",15,MAX(0.1,Skills!E16-IF(Skills!F16=TRUE,Inputs!$B$32,0)))*(1-IF(AND(ArtifactsInput!$M$27,Inputs!$B$4="Chapter Hunt"),CHOOSE(ArtifactsInput!$N$27+1,20,24,28,32,36,40),0)/100)))+1)),0)</f>
        <v/>
      </c>
      <c r="S1846">
        <f>IF(C1846,(H1846*N1846*IF(AND(Inputs!$B$38&lt;&gt;"pvp",Inputs!$B$43&gt;0),((Skills!G16*((R1846-1)*IF(Skills!H16&gt;0,Skills!I16/Skills!H16,1)+IF(Skills!H16&gt;0,MIN(Skills!I16,MAX(0,MAX(0,Inputs!$B$43-B1868)-((R1846-1)*(IF(Inputs!$B$38="pvp",15,MAX(0.1,Skills!E16-IF(Skills!F16=TRUE,Inputs!$B$32,0)))*(1-IF(AND(ArtifactsInput!$M$27,Inputs!$B$4="Chapter Hunt"),CHOOSE(ArtifactsInput!$N$27+1,20,24,28,32,36,40),0)/100)))))/Skills!H16,1)))/Inputs!$B$43),G1846*Q1846)*(1+IF(Inputs!$B$3&gt;=126,0.05*(B1866+Q1843+(H1844*B1867)/(1+Skills!H14*H1844*B1867)+Q1854)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1846*(1-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1846*(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1846*(1-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1846*(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6">
        <f>IF(C1846,(H1846*N1846*IF(AND(Inputs!$B$38&lt;&gt;"pvp",Inputs!$B$43&gt;0),((Skills!G16*((R1846-1)*IF(Skills!H16&gt;0,Skills!I16/Skills!H16,1)+IF(Skills!H16&gt;0,MIN(Skills!I16,MAX(0,MAX(0,Inputs!$B$43-B1868)-((R1846-1)*(IF(Inputs!$B$38="pvp",15,MAX(0.1,Skills!E16-IF(Skills!F16=TRUE,Inputs!$B$32,0)))*(1-IF(AND(ArtifactsInput!$M$27,Inputs!$B$4="Chapter Hunt"),CHOOSE(ArtifactsInput!$N$27+1,20,24,28,32,36,40),0)/100)))))/Skills!H16,1)))/Inputs!$B$43),G1846*Q1846)*(1+IF(Inputs!$B$3&gt;=126,0.05*(B1866+Q1843+(H1844*B1867)/(1+Skills!H14*H1844*B1867)+Q1854)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7">
      <c r="A1847">
        <f>Skills!A17</f>
        <v/>
      </c>
      <c r="B1847">
        <f>Skills!B17</f>
        <v/>
      </c>
      <c r="C1847">
        <f>TRUE</f>
        <v/>
      </c>
      <c r="D1847">
        <f>IF(Skills!C17=1,60+Inputs!$B$25+Inputs!$B$29,IF(Skills!C17=2,90+Inputs!$B$26+Inputs!$B$29,IF(Skills!C17=3,120+Inputs!$B$27+Inputs!$B$29,MAX(0,(Inputs!$B$3-100)*3)+Inputs!$B$28+Inputs!$B$29)))</f>
        <v/>
      </c>
      <c r="E1847">
        <f>INDEX(FactorTable!$B$2:$Y$301, MATCH(ROUND(MIN(300,MAX(1,D1847)),0), FactorTable!$A$2:$A$301,0), Skills!M17+1)</f>
        <v/>
      </c>
      <c r="F1847">
        <f>IF(Skills!N17=TRUE,(Skills!L17/10)*(E1847/1000),Skills!L17/10)+Skills!O17</f>
        <v/>
      </c>
      <c r="G1847">
        <f>Calc!G17</f>
        <v/>
      </c>
      <c r="H1847">
        <f>Calc!H17</f>
        <v/>
      </c>
      <c r="I1847">
        <f>IF(Skills!X17&lt;&gt;"",1+(Skills!X17/10)*(Z1833/1000)/100,1)</f>
        <v/>
      </c>
      <c r="J1847" t="inlineStr"/>
      <c r="K1847" t="inlineStr"/>
      <c r="L1847" t="inlineStr"/>
      <c r="M1847" t="inlineStr"/>
      <c r="N1847" t="inlineStr"/>
      <c r="O1847">
        <f>(1-Summary!$B$11)*S1847+Summary!$B$11*U1847</f>
        <v/>
      </c>
      <c r="P1847">
        <f>IF(B1871=0,0,O1847/B1871)</f>
        <v/>
      </c>
      <c r="Q1847">
        <f>IFERROR(1/(IF(Inputs!$B$38="pvp",15,MAX(0.1,Skills!E17-IF(Skills!F17=TRUE,Inputs!$B$32,0)))*(1-IF(AND(ArtifactsInput!$M$27,Inputs!$B$4="Chapter Hunt"),CHOOSE(ArtifactsInput!$N$27+1,20,24,28,32,36,40),0)/100)),0)</f>
        <v/>
      </c>
      <c r="R1847">
        <f>IF(AND(Inputs!$B$38&lt;&gt;"pvp",Inputs!$B$43&gt;0),IF(Inputs!$B$43&lt;=0,0,(INT(Inputs!$B$43/(IF(Inputs!$B$38="pvp",15,MAX(0.1,Skills!E17-IF(Skills!F17=TRUE,Inputs!$B$32,0)))*(1-IF(AND(ArtifactsInput!$M$27,Inputs!$B$4="Chapter Hunt"),CHOOSE(ArtifactsInput!$N$27+1,20,24,28,32,36,40),0)/100)))+1)),0)</f>
        <v/>
      </c>
      <c r="S1847" t="n">
        <v>0</v>
      </c>
      <c r="U1847" t="n">
        <v>0</v>
      </c>
    </row>
    <row r="1848">
      <c r="A1848">
        <f>Skills!A18</f>
        <v/>
      </c>
      <c r="B1848">
        <f>Skills!B18</f>
        <v/>
      </c>
      <c r="C1848">
        <f>TRUE</f>
        <v/>
      </c>
      <c r="D1848">
        <f>IF(Skills!C18=1,60+Inputs!$B$25+Inputs!$B$29,IF(Skills!C18=2,90+Inputs!$B$26+Inputs!$B$29,IF(Skills!C18=3,120+Inputs!$B$27+Inputs!$B$29,MAX(0,(Inputs!$B$3-100)*3)+Inputs!$B$28+Inputs!$B$29)))</f>
        <v/>
      </c>
      <c r="E1848">
        <f>INDEX(FactorTable!$B$2:$Y$301, MATCH(ROUND(MIN(300,MAX(1,D1848)),0), FactorTable!$A$2:$A$301,0), Skills!M18+1)</f>
        <v/>
      </c>
      <c r="F1848">
        <f>IF(Skills!N18=TRUE,(Skills!L18/10)*(E1848/1000),Skills!L18/10)+Skills!O18</f>
        <v/>
      </c>
      <c r="G1848">
        <f>Calc!G18</f>
        <v/>
      </c>
      <c r="H1848">
        <f>Calc!H18</f>
        <v/>
      </c>
      <c r="I1848">
        <f>IF(Skills!X18&lt;&gt;"",1+(Skills!X18/10)*(Z1833/1000)/100,1)</f>
        <v/>
      </c>
      <c r="J1848" t="inlineStr"/>
      <c r="K1848" t="inlineStr"/>
      <c r="L1848" t="inlineStr"/>
      <c r="M1848" t="inlineStr"/>
      <c r="N1848" t="inlineStr"/>
      <c r="O1848">
        <f>(1-Summary!$B$11)*S1848+Summary!$B$11*U1848</f>
        <v/>
      </c>
      <c r="P1848">
        <f>IF(B1871=0,0,O1848/B1871)</f>
        <v/>
      </c>
      <c r="Q1848">
        <f>IFERROR(1/(IF(Inputs!$B$38="pvp",15,MAX(0.1,Skills!E18-IF(Skills!F18=TRUE,Inputs!$B$32,0)))*(1-IF(AND(ArtifactsInput!$M$27,Inputs!$B$4="Chapter Hunt"),CHOOSE(ArtifactsInput!$N$27+1,20,24,28,32,36,40),0)/100)),0)</f>
        <v/>
      </c>
      <c r="R1848">
        <f>IF(AND(Inputs!$B$38&lt;&gt;"pvp",Inputs!$B$43&gt;0),IF(Inputs!$B$43&lt;=0,0,(INT(Inputs!$B$43/(IF(Inputs!$B$38="pvp",15,MAX(0.1,Skills!E18-IF(Skills!F18=TRUE,Inputs!$B$32,0)))*(1-IF(AND(ArtifactsInput!$M$27,Inputs!$B$4="Chapter Hunt"),CHOOSE(ArtifactsInput!$N$27+1,20,24,28,32,36,40),0)/100)))+1)),0)</f>
        <v/>
      </c>
      <c r="S1848" t="n">
        <v>0</v>
      </c>
      <c r="U1848" t="n">
        <v>0</v>
      </c>
    </row>
    <row r="1849">
      <c r="A1849">
        <f>Skills!A19</f>
        <v/>
      </c>
      <c r="B1849">
        <f>Skills!B19</f>
        <v/>
      </c>
      <c r="C1849">
        <f>Inputs!$B$3&gt;=110</f>
        <v/>
      </c>
      <c r="D1849">
        <f>IF(Skills!C19=1,60+Inputs!$B$25+Inputs!$B$29,IF(Skills!C19=2,90+Inputs!$B$26+Inputs!$B$29,IF(Skills!C19=3,120+Inputs!$B$27+Inputs!$B$29,MAX(0,(Inputs!$B$3-100)*3)+Inputs!$B$28+Inputs!$B$29)))</f>
        <v/>
      </c>
      <c r="E1849">
        <f>INDEX(FactorTable!$B$2:$Y$301, MATCH(ROUND(MIN(300,MAX(1,D1849)),0), FactorTable!$A$2:$A$301,0), Skills!M19+1)</f>
        <v/>
      </c>
      <c r="F1849">
        <f>IF(Skills!N19=TRUE,(Skills!L19/10)*(E1849/1000),Skills!L19/10)+Skills!O19</f>
        <v/>
      </c>
      <c r="G1849">
        <f>Calc!G19</f>
        <v/>
      </c>
      <c r="H1849">
        <f>Calc!H19</f>
        <v/>
      </c>
      <c r="I1849">
        <f>IF(Skills!X19&lt;&gt;"",1+(Skills!X19/10)*(Z1833/1000)/100,1)</f>
        <v/>
      </c>
      <c r="J1849" t="inlineStr"/>
      <c r="K1849" t="inlineStr"/>
      <c r="L1849" t="inlineStr"/>
      <c r="M1849" t="inlineStr"/>
      <c r="N1849" t="inlineStr"/>
      <c r="O1849">
        <f>(1-Summary!$B$11)*S1849+Summary!$B$11*U1849</f>
        <v/>
      </c>
      <c r="P1849">
        <f>IF(B1871=0,0,O1849/B1871)</f>
        <v/>
      </c>
      <c r="Q1849">
        <f>IFERROR(1/(IF(Inputs!$B$38="pvp",15,MAX(0.1,Skills!E19-IF(Skills!F19=TRUE,Inputs!$B$32,0)))*(1-IF(AND(ArtifactsInput!$M$27,Inputs!$B$4="Chapter Hunt"),CHOOSE(ArtifactsInput!$N$27+1,20,24,28,32,36,40),0)/100)),0)</f>
        <v/>
      </c>
      <c r="R1849">
        <f>IF(AND(Inputs!$B$38&lt;&gt;"pvp",Inputs!$B$43&gt;0),IF(Inputs!$B$43&lt;=0,0,(INT(Inputs!$B$43/(IF(Inputs!$B$38="pvp",15,MAX(0.1,Skills!E19-IF(Skills!F19=TRUE,Inputs!$B$32,0)))*(1-IF(AND(ArtifactsInput!$M$27,Inputs!$B$4="Chapter Hunt"),CHOOSE(ArtifactsInput!$N$27+1,20,24,28,32,36,40),0)/100)))+1)),0)</f>
        <v/>
      </c>
      <c r="S1849" t="n">
        <v>0</v>
      </c>
      <c r="U1849" t="n">
        <v>0</v>
      </c>
    </row>
    <row r="1850">
      <c r="A1850">
        <f>Skills!A20</f>
        <v/>
      </c>
      <c r="B1850">
        <f>Skills!B20</f>
        <v/>
      </c>
      <c r="C1850">
        <f>TRUE</f>
        <v/>
      </c>
      <c r="D1850">
        <f>IF(Skills!C20=1,60+Inputs!$B$25+Inputs!$B$29,IF(Skills!C20=2,90+Inputs!$B$26+Inputs!$B$29,IF(Skills!C20=3,120+Inputs!$B$27+Inputs!$B$29,MAX(0,(Inputs!$B$3-100)*3)+Inputs!$B$28+Inputs!$B$29)))</f>
        <v/>
      </c>
      <c r="E1850">
        <f>INDEX(FactorTable!$B$2:$Y$301, MATCH(ROUND(MIN(300,MAX(1,D1850)),0), FactorTable!$A$2:$A$301,0), Skills!M20+1)</f>
        <v/>
      </c>
      <c r="F1850">
        <f>IF(Skills!N20=TRUE,(Skills!L20/10)*(E1850/1000),Skills!L20/10)+Skills!O20</f>
        <v/>
      </c>
      <c r="G1850">
        <f>Calc!G20</f>
        <v/>
      </c>
      <c r="H1850">
        <f>Calc!H20</f>
        <v/>
      </c>
      <c r="I1850">
        <f>IF(Skills!X20&lt;&gt;"",1+(Skills!X20/10)*(Z1833/1000)/100,1)</f>
        <v/>
      </c>
      <c r="J1850" t="inlineStr"/>
      <c r="K1850" t="inlineStr"/>
      <c r="L1850" t="inlineStr"/>
      <c r="M1850" t="inlineStr"/>
      <c r="N1850" t="inlineStr"/>
      <c r="O1850">
        <f>(1-Summary!$B$11)*S1850+Summary!$B$11*U1850</f>
        <v/>
      </c>
      <c r="P1850">
        <f>IF(B1871=0,0,O1850/B1871)</f>
        <v/>
      </c>
      <c r="Q1850">
        <f>IFERROR(1/(IF(Inputs!$B$38="pvp",15,MAX(0.1,Skills!E20-IF(Skills!F20=TRUE,Inputs!$B$32,0)))*(1-IF(AND(ArtifactsInput!$M$27,Inputs!$B$4="Chapter Hunt"),CHOOSE(ArtifactsInput!$N$27+1,20,24,28,32,36,40),0)/100)),0)</f>
        <v/>
      </c>
      <c r="R1850" t="n">
        <v>0</v>
      </c>
      <c r="S1850" t="n">
        <v>0</v>
      </c>
      <c r="U1850" t="n">
        <v>0</v>
      </c>
    </row>
    <row r="1851">
      <c r="A1851">
        <f>Skills!A21</f>
        <v/>
      </c>
      <c r="B1851">
        <f>Skills!B21</f>
        <v/>
      </c>
      <c r="C1851">
        <f>TRUE</f>
        <v/>
      </c>
      <c r="D1851">
        <f>IF(Skills!C21=1,60+Inputs!$B$25+Inputs!$B$29,IF(Skills!C21=2,90+Inputs!$B$26+Inputs!$B$29,IF(Skills!C21=3,120+Inputs!$B$27+Inputs!$B$29,MAX(0,(Inputs!$B$3-100)*3)+Inputs!$B$28+Inputs!$B$29)))</f>
        <v/>
      </c>
      <c r="E1851">
        <f>INDEX(FactorTable!$B$2:$Y$301, MATCH(ROUND(MIN(300,MAX(1,D1851)),0), FactorTable!$A$2:$A$301,0), Skills!M21+1)</f>
        <v/>
      </c>
      <c r="F1851">
        <f>IF(Skills!N21=TRUE,(Skills!L21/10)*(E1851/1000),Skills!L21/10)+Skills!O21</f>
        <v/>
      </c>
      <c r="G1851">
        <f>Calc!G21</f>
        <v/>
      </c>
      <c r="H1851">
        <f>Calc!H21</f>
        <v/>
      </c>
      <c r="I1851">
        <f>IF(Skills!X21&lt;&gt;"",1+(Skills!X21/10)*(Z1833/1000)/100,1)</f>
        <v/>
      </c>
      <c r="J1851" t="inlineStr"/>
      <c r="K1851" t="inlineStr"/>
      <c r="L1851" t="inlineStr"/>
      <c r="M1851" t="inlineStr"/>
      <c r="N1851" t="inlineStr"/>
      <c r="O1851">
        <f>(1-Summary!$B$11)*S1851+Summary!$B$11*U1851</f>
        <v/>
      </c>
      <c r="P1851">
        <f>IF(B1871=0,0,O1851/B1871)</f>
        <v/>
      </c>
      <c r="Q1851">
        <f>IFERROR(1/(IF(Inputs!$B$38="pvp",15,MAX(0.1,Skills!E21-IF(Skills!F21=TRUE,Inputs!$B$32,0)))*(1-IF(AND(ArtifactsInput!$M$27,Inputs!$B$4="Chapter Hunt"),CHOOSE(ArtifactsInput!$N$27+1,20,24,28,32,36,40),0)/100)),0)</f>
        <v/>
      </c>
      <c r="R1851" t="n">
        <v>0</v>
      </c>
      <c r="S1851" t="n">
        <v>0</v>
      </c>
      <c r="U1851" t="n">
        <v>0</v>
      </c>
    </row>
    <row r="1852">
      <c r="A1852">
        <f>Skills!A22</f>
        <v/>
      </c>
      <c r="B1852">
        <f>Skills!B22</f>
        <v/>
      </c>
      <c r="C1852">
        <f>TRUE</f>
        <v/>
      </c>
      <c r="D1852">
        <f>IF(Skills!C22=1,60+Inputs!$B$25+Inputs!$B$29,IF(Skills!C22=2,90+Inputs!$B$26+Inputs!$B$29,IF(Skills!C22=3,120+Inputs!$B$27+Inputs!$B$29,MAX(0,(Inputs!$B$3-100)*3)+Inputs!$B$28+Inputs!$B$29)))</f>
        <v/>
      </c>
      <c r="E1852">
        <f>INDEX(FactorTable!$B$2:$Y$301, MATCH(ROUND(MIN(300,MAX(1,D1852)),0), FactorTable!$A$2:$A$301,0), Skills!M22+1)</f>
        <v/>
      </c>
      <c r="F1852">
        <f>IF(Skills!N22=TRUE,(Skills!L22/10)*(E1852/1000),Skills!L22/10)+Skills!O22</f>
        <v/>
      </c>
      <c r="G1852">
        <f>Calc!G22</f>
        <v/>
      </c>
      <c r="H1852">
        <f>Calc!H22</f>
        <v/>
      </c>
      <c r="I1852">
        <f>IF(Skills!X22&lt;&gt;"",1+(Skills!X22/10)*(Z1833/1000)/100,1)</f>
        <v/>
      </c>
      <c r="J1852" t="inlineStr"/>
      <c r="K1852" t="inlineStr"/>
      <c r="L1852" t="inlineStr"/>
      <c r="M1852" t="inlineStr"/>
      <c r="N1852" t="inlineStr"/>
      <c r="O1852">
        <f>(1-Summary!$B$11)*S1852+Summary!$B$11*U1852</f>
        <v/>
      </c>
      <c r="P1852">
        <f>IF(B1871=0,0,O1852/B1871)</f>
        <v/>
      </c>
      <c r="Q1852">
        <f>IFERROR(1/(IF(Inputs!$B$38="pvp",15,MAX(0.1,Skills!E22-IF(Skills!F22=TRUE,Inputs!$B$32,0)))*(1-IF(AND(ArtifactsInput!$M$27,Inputs!$B$4="Chapter Hunt"),CHOOSE(ArtifactsInput!$N$27+1,20,24,28,32,36,40),0)/100)),0)</f>
        <v/>
      </c>
      <c r="R1852" t="n">
        <v>0</v>
      </c>
      <c r="S1852" t="n">
        <v>0</v>
      </c>
      <c r="U1852" t="n">
        <v>0</v>
      </c>
    </row>
    <row r="1853">
      <c r="A1853">
        <f>Skills!A23</f>
        <v/>
      </c>
      <c r="B1853">
        <f>Skills!B23</f>
        <v/>
      </c>
      <c r="C1853">
        <f>TRUE</f>
        <v/>
      </c>
      <c r="D1853">
        <f>IF(Skills!C23=1,60+Inputs!$B$25+Inputs!$B$29,IF(Skills!C23=2,90+Inputs!$B$26+Inputs!$B$29,IF(Skills!C23=3,120+Inputs!$B$27+Inputs!$B$29,MAX(0,(Inputs!$B$3-100)*3)+Inputs!$B$28+Inputs!$B$29)))</f>
        <v/>
      </c>
      <c r="E1853">
        <f>INDEX(FactorTable!$B$2:$Y$301, MATCH(ROUND(MIN(300,MAX(1,D1853)),0), FactorTable!$A$2:$A$301,0), Skills!M23+1)</f>
        <v/>
      </c>
      <c r="F1853">
        <f>IF(Skills!N23=TRUE,(Skills!L23/10)*(E1853/1000),Skills!L23/10)+Skills!O23</f>
        <v/>
      </c>
      <c r="G1853">
        <f>Calc!G23</f>
        <v/>
      </c>
      <c r="H1853">
        <f>Calc!H23</f>
        <v/>
      </c>
      <c r="I1853">
        <f>IF(Skills!X23&lt;&gt;"",1+(Skills!X23/10)*(Z1833/1000)/100,1)</f>
        <v/>
      </c>
      <c r="J1853" t="inlineStr"/>
      <c r="K1853" t="inlineStr"/>
      <c r="L1853" t="inlineStr"/>
      <c r="M1853" t="inlineStr"/>
      <c r="N1853" t="inlineStr"/>
      <c r="O1853">
        <f>(1-Summary!$B$11)*S1853+Summary!$B$11*U1853</f>
        <v/>
      </c>
      <c r="P1853">
        <f>IF(B1871=0,0,O1853/B1871)</f>
        <v/>
      </c>
      <c r="Q1853">
        <f>IFERROR(1/(IF(Inputs!$B$38="pvp",15,MAX(0.1,Skills!E23-IF(Skills!F23=TRUE,Inputs!$B$32,0)))*(1-IF(AND(ArtifactsInput!$M$27,Inputs!$B$4="Chapter Hunt"),CHOOSE(ArtifactsInput!$N$27+1,20,24,28,32,36,40),0)/100)),0)</f>
        <v/>
      </c>
      <c r="R1853" t="n">
        <v>0</v>
      </c>
      <c r="S1853" t="n">
        <v>0</v>
      </c>
      <c r="U1853" t="n">
        <v>0</v>
      </c>
    </row>
    <row r="1854">
      <c r="A1854">
        <f>Skills!A24</f>
        <v/>
      </c>
      <c r="B1854">
        <f>Skills!B24</f>
        <v/>
      </c>
      <c r="C1854">
        <f>Inputs!$B$3&gt;=115</f>
        <v/>
      </c>
      <c r="D1854">
        <f>IF(Skills!C24=1,60+Inputs!$B$25+Inputs!$B$29,IF(Skills!C24=2,90+Inputs!$B$26+Inputs!$B$29,IF(Skills!C24=3,120+Inputs!$B$27+Inputs!$B$29,MAX(0,(Inputs!$B$3-100)*3)+Inputs!$B$28+Inputs!$B$29)))</f>
        <v/>
      </c>
      <c r="E1854">
        <f>INDEX(FactorTable!$B$2:$Y$301, MATCH(ROUND(MIN(300,MAX(1,D1854)),0), FactorTable!$A$2:$A$301,0), Skills!M24+1)</f>
        <v/>
      </c>
      <c r="F1854">
        <f>IF(Skills!N24=TRUE,(Skills!L24/10)*(E1854/1000),Skills!L24/10)+Skills!O24</f>
        <v/>
      </c>
      <c r="G1854">
        <f>Calc!G24</f>
        <v/>
      </c>
      <c r="H1854">
        <f>Calc!H24</f>
        <v/>
      </c>
      <c r="I1854">
        <f>IF(Skills!X24&lt;&gt;"",1+(Skills!X24/10)*(Z1833/1000)/100,1)</f>
        <v/>
      </c>
      <c r="J1854">
        <f>((Inputs!$B$6*(1+Inputs!$B$7/100))+(((Inputs!$B$12*(1+Inputs!$B$13/100))-(Inputs!$B$12*(1+Inputs!$B$13/100)))+0.25*(Inputs!$B$14-Inputs!$B$14))*(1+Inputs!$B$7/100))*(F1854/100)</f>
        <v/>
      </c>
      <c r="K1854">
        <f>J1854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1854)</f>
        <v/>
      </c>
      <c r="L1854">
        <f>K1854*(MIN(Inputs!$B$22+(F1852-Calc!F22),(Inputs!$B$23+(IF(ArtifactsInput!$M$15,CHOOSE(ArtifactsInput!$N$15+1,25,30,35,40,45,50)/100*(Inputs!$B$11-Inputs!$B$11),0))))/100+(Inputs!$B$23+(IF(ArtifactsInput!$M$15,CHOOSE(ArtifactsInput!$N$15+1,25,30,35,40,45,50)/100*(Inputs!$B$11-Inputs!$B$11),0)))/100)/2</f>
        <v/>
      </c>
      <c r="M1854">
        <f>L1854*(1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54">
        <f>L1854*(1-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1854*(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54">
        <f>(1-Summary!$B$11)*S1854+Summary!$B$11*U1854</f>
        <v/>
      </c>
      <c r="P1854">
        <f>IF(B1871=0,0,O1854/B1871)</f>
        <v/>
      </c>
      <c r="Q1854">
        <f>IFERROR(1/(IF(Inputs!$B$38="pvp",15,MAX(0.1,Skills!E24-IF(Skills!F24=TRUE,Inputs!$B$32,0)))*(1-IF(AND(ArtifactsInput!$M$27,Inputs!$B$4="Chapter Hunt"),CHOOSE(ArtifactsInput!$N$27+1,20,24,28,32,36,40),0)/100)),0)</f>
        <v/>
      </c>
      <c r="R1854">
        <f>IF(AND(Inputs!$B$38&lt;&gt;"pvp",Inputs!$B$43&gt;0),IF(MAX(0,Inputs!$B$43-B1868)&lt;=0,0,(INT(MAX(0,Inputs!$B$43-B1868)/(IF(Inputs!$B$38="pvp",15,MAX(0.1,Skills!E24-IF(Skills!F24=TRUE,Inputs!$B$32,0)))*(1-IF(AND(ArtifactsInput!$M$27,Inputs!$B$4="Chapter Hunt"),CHOOSE(ArtifactsInput!$N$27+1,20,24,28,32,36,40),0)/100)))+1)),0)</f>
        <v/>
      </c>
      <c r="S1854">
        <f>IF(C1854,(H1854*N1854*IF(AND(Inputs!$B$38&lt;&gt;"pvp",Inputs!$B$43&gt;0),((Skills!G24*((R1854-1)*IF(Skills!H24&gt;0,Skills!I24/Skills!H24,1)+IF(Skills!H24&gt;0,MIN(Skills!I24,MAX(0,MAX(0,Inputs!$B$43-B1868)-((R1854-1)*(IF(Inputs!$B$38="pvp",15,MAX(0.1,Skills!E24-IF(Skills!F24=TRUE,Inputs!$B$32,0)))*(1-IF(AND(ArtifactsInput!$M$27,Inputs!$B$4="Chapter Hunt"),CHOOSE(ArtifactsInput!$N$27+1,20,24,28,32,36,40),0)/100)))))/Skills!H24,1)))/Inputs!$B$43),G1854*Q1854)*(1+IF(Inputs!$B$3&gt;=130,0.2*(Skills!I16/Skills!E15+IF(Inputs!$B$3&gt;=126,0.05*(B1866+Q1843+(H1844*B1867)/(1+Skills!H14*H1844*B1867)+Q1854)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1854*(1-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1854*(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1854*(1-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1854*(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54">
        <f>IF(C1854,(H1854*N1854*IF(AND(Inputs!$B$38&lt;&gt;"pvp",Inputs!$B$43&gt;0),((Skills!G24*((R1854-1)*IF(Skills!H24&gt;0,Skills!I24/Skills!H24,1)+IF(Skills!H24&gt;0,MIN(Skills!I24,MAX(0,MAX(0,Inputs!$B$43-B1868)-((R1854-1)*(IF(Inputs!$B$38="pvp",15,MAX(0.1,Skills!E24-IF(Skills!F24=TRUE,Inputs!$B$32,0)))*(1-IF(AND(ArtifactsInput!$M$27,Inputs!$B$4="Chapter Hunt"),CHOOSE(ArtifactsInput!$N$27+1,20,24,28,32,36,40),0)/100)))))/Skills!H24,1)))/Inputs!$B$43),G1854*Q1854)*(1+IF(Inputs!$B$3&gt;=130,0.2*(Skills!I16/Skills!E15+IF(Inputs!$B$3&gt;=126,0.05*(B1866+Q1843+(H1844*B1867)/(1+Skills!H14*H1844*B1867)+Q1854)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55">
      <c r="A1855">
        <f>Skills!A25</f>
        <v/>
      </c>
      <c r="B1855">
        <f>Skills!B25</f>
        <v/>
      </c>
      <c r="C1855">
        <f>Inputs!$B$3&gt;=117</f>
        <v/>
      </c>
      <c r="D1855">
        <f>IF(Skills!C25=1,60+Inputs!$B$25+Inputs!$B$29,IF(Skills!C25=2,90+Inputs!$B$26+Inputs!$B$29,IF(Skills!C25=3,120+Inputs!$B$27+Inputs!$B$29,MAX(0,(Inputs!$B$3-100)*3)+Inputs!$B$28+Inputs!$B$29)))</f>
        <v/>
      </c>
      <c r="E1855">
        <f>INDEX(FactorTable!$B$2:$Y$301, MATCH(ROUND(MIN(300,MAX(1,D1855)),0), FactorTable!$A$2:$A$301,0), Skills!M25+1)</f>
        <v/>
      </c>
      <c r="F1855">
        <f>IF(Skills!N25=TRUE,(Skills!L25/10)*(E1855/1000),Skills!L25/10)+Skills!O25</f>
        <v/>
      </c>
      <c r="G1855">
        <f>Calc!G25</f>
        <v/>
      </c>
      <c r="H1855">
        <f>Calc!H25</f>
        <v/>
      </c>
      <c r="I1855">
        <f>IF(Skills!X25&lt;&gt;"",1+(Skills!X25/10)*(Z1833/1000)/100,1)</f>
        <v/>
      </c>
      <c r="J1855" t="inlineStr"/>
      <c r="K1855" t="inlineStr"/>
      <c r="L1855" t="inlineStr"/>
      <c r="M1855" t="inlineStr"/>
      <c r="N1855" t="inlineStr"/>
      <c r="O1855">
        <f>(1-Summary!$B$11)*S1855+Summary!$B$11*U1855</f>
        <v/>
      </c>
      <c r="P1855">
        <f>IF(B1871=0,0,O1855/B1871)</f>
        <v/>
      </c>
      <c r="Q1855">
        <f>IFERROR(1/(IF(Inputs!$B$38="pvp",15,MAX(0.1,Skills!E25-IF(Skills!F25=TRUE,Inputs!$B$32,0)))*(1-IF(AND(ArtifactsInput!$M$27,Inputs!$B$4="Chapter Hunt"),CHOOSE(ArtifactsInput!$N$27+1,20,24,28,32,36,40),0)/100)),0)</f>
        <v/>
      </c>
      <c r="R1855" t="n">
        <v>0</v>
      </c>
      <c r="S1855" t="n">
        <v>0</v>
      </c>
      <c r="U1855" t="n">
        <v>0</v>
      </c>
    </row>
    <row r="1856">
      <c r="A1856">
        <f>Skills!A26</f>
        <v/>
      </c>
      <c r="B1856">
        <f>Skills!B26</f>
        <v/>
      </c>
      <c r="C1856">
        <f>Inputs!$B$3&gt;=120</f>
        <v/>
      </c>
      <c r="D1856">
        <f>IF(Skills!C26=1,60+Inputs!$B$25+Inputs!$B$29,IF(Skills!C26=2,90+Inputs!$B$26+Inputs!$B$29,IF(Skills!C26=3,120+Inputs!$B$27+Inputs!$B$29,MAX(0,(Inputs!$B$3-100)*3)+Inputs!$B$28+Inputs!$B$29)))</f>
        <v/>
      </c>
      <c r="E1856">
        <f>INDEX(FactorTable!$B$2:$Y$301, MATCH(ROUND(MIN(300,MAX(1,D1856)),0), FactorTable!$A$2:$A$301,0), Skills!M26+1)</f>
        <v/>
      </c>
      <c r="F1856">
        <f>IF(Skills!N26=TRUE,(Skills!L26/10)*(E1856/1000),Skills!L26/10)+Skills!O26</f>
        <v/>
      </c>
      <c r="G1856">
        <f>Calc!G26</f>
        <v/>
      </c>
      <c r="H1856">
        <f>Calc!H26</f>
        <v/>
      </c>
      <c r="I1856">
        <f>IF(Skills!X26&lt;&gt;"",1+(Skills!X26/10)*(Z1833/1000)/100,1)</f>
        <v/>
      </c>
      <c r="J1856" t="inlineStr"/>
      <c r="K1856" t="inlineStr"/>
      <c r="L1856" t="inlineStr"/>
      <c r="M1856" t="inlineStr"/>
      <c r="N1856" t="inlineStr"/>
      <c r="O1856">
        <f>(1-Summary!$B$11)*S1856+Summary!$B$11*U1856</f>
        <v/>
      </c>
      <c r="P1856">
        <f>IF(B1871=0,0,O1856/B1871)</f>
        <v/>
      </c>
      <c r="Q1856">
        <f>IFERROR(1/(IF(Inputs!$B$38="pvp",15,MAX(0.1,Skills!E26-IF(Skills!F26=TRUE,Inputs!$B$32,0)))*(1-IF(AND(ArtifactsInput!$M$27,Inputs!$B$4="Chapter Hunt"),CHOOSE(ArtifactsInput!$N$27+1,20,24,28,32,36,40),0)/100)),0)</f>
        <v/>
      </c>
      <c r="R1856" t="n">
        <v>0</v>
      </c>
      <c r="S1856" t="n">
        <v>0</v>
      </c>
      <c r="U1856" t="n">
        <v>0</v>
      </c>
    </row>
    <row r="1857">
      <c r="A1857">
        <f>Skills!A27</f>
        <v/>
      </c>
      <c r="B1857">
        <f>Skills!B27</f>
        <v/>
      </c>
      <c r="C1857">
        <f>Inputs!$B$3&gt;=125</f>
        <v/>
      </c>
      <c r="D1857">
        <f>IF(Skills!C27=1,60+Inputs!$B$25+Inputs!$B$29,IF(Skills!C27=2,90+Inputs!$B$26+Inputs!$B$29,IF(Skills!C27=3,120+Inputs!$B$27+Inputs!$B$29,MAX(0,(Inputs!$B$3-100)*3)+Inputs!$B$28+Inputs!$B$29)))</f>
        <v/>
      </c>
      <c r="E1857">
        <f>INDEX(FactorTable!$B$2:$Y$301, MATCH(ROUND(MIN(300,MAX(1,D1857)),0), FactorTable!$A$2:$A$301,0), Skills!M27+1)</f>
        <v/>
      </c>
      <c r="F1857">
        <f>IF(Skills!N27=TRUE,(Skills!L27/10)*(E1857/1000),Skills!L27/10)+Skills!O27</f>
        <v/>
      </c>
      <c r="G1857">
        <f>Calc!G27</f>
        <v/>
      </c>
      <c r="H1857">
        <f>Calc!H27</f>
        <v/>
      </c>
      <c r="I1857">
        <f>IF(Skills!X27&lt;&gt;"",1+(Skills!X27/10)*(Z1833/1000)/100,1)</f>
        <v/>
      </c>
      <c r="J1857" t="inlineStr"/>
      <c r="K1857" t="inlineStr"/>
      <c r="L1857" t="inlineStr"/>
      <c r="M1857" t="inlineStr"/>
      <c r="N1857" t="inlineStr"/>
      <c r="O1857">
        <f>(1-Summary!$B$11)*S1857+Summary!$B$11*U1857</f>
        <v/>
      </c>
      <c r="P1857">
        <f>IF(B1871=0,0,O1857/B1871)</f>
        <v/>
      </c>
      <c r="Q1857">
        <f>IFERROR(1/(IF(Inputs!$B$38="pvp",15,MAX(0.1,Skills!E27-IF(Skills!F27=TRUE,Inputs!$B$32,0)))*(1-IF(AND(ArtifactsInput!$M$27,Inputs!$B$4="Chapter Hunt"),CHOOSE(ArtifactsInput!$N$27+1,20,24,28,32,36,40),0)/100)),0)</f>
        <v/>
      </c>
      <c r="R1857" t="n">
        <v>0</v>
      </c>
      <c r="S1857" t="n">
        <v>0</v>
      </c>
      <c r="U1857" t="n">
        <v>0</v>
      </c>
    </row>
    <row r="1858">
      <c r="A1858">
        <f>Skills!A28</f>
        <v/>
      </c>
      <c r="B1858">
        <f>Skills!B28</f>
        <v/>
      </c>
      <c r="C1858">
        <f>Inputs!$B$3&gt;=118</f>
        <v/>
      </c>
      <c r="D1858">
        <f>IF(Skills!C28=1,60+Inputs!$B$25+Inputs!$B$29,IF(Skills!C28=2,90+Inputs!$B$26+Inputs!$B$29,IF(Skills!C28=3,120+Inputs!$B$27+Inputs!$B$29,MAX(0,(Inputs!$B$3-100)*3)+Inputs!$B$28+Inputs!$B$29)))</f>
        <v/>
      </c>
      <c r="E1858">
        <f>INDEX(FactorTable!$B$2:$Y$301, MATCH(ROUND(MIN(300,MAX(1,D1858)),0), FactorTable!$A$2:$A$301,0), Skills!M28+1)</f>
        <v/>
      </c>
      <c r="F1858">
        <f>IF(Skills!N28=TRUE,(Skills!L28/10)*(E1858/1000),Skills!L28/10)+Skills!O28</f>
        <v/>
      </c>
      <c r="G1858">
        <f>Calc!G28</f>
        <v/>
      </c>
      <c r="H1858">
        <f>Calc!H28</f>
        <v/>
      </c>
      <c r="I1858">
        <f>IF(Skills!X28&lt;&gt;"",1+(Skills!X28/10)*(Z1833/1000)/100,1)</f>
        <v/>
      </c>
      <c r="J1858">
        <f>((Inputs!$B$6*(1+Inputs!$B$7/100))+(((Inputs!$B$12*(1+Inputs!$B$13/100))-(Inputs!$B$12*(1+Inputs!$B$13/100)))+0.25*(Inputs!$B$14-Inputs!$B$14))*(1+Inputs!$B$7/100))*(F1858/100)</f>
        <v/>
      </c>
      <c r="K1858">
        <f>J1858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1853/100)*(1+IF(Inputs!$B$3&gt;=120,F1856,0)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1857*5,0)))/100)*(B1860*B1861*B1862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1858)</f>
        <v/>
      </c>
      <c r="L1858">
        <f>K1858*(MIN(Inputs!$B$22+(F1852-Calc!F22),(Inputs!$B$23+(IF(ArtifactsInput!$M$15,CHOOSE(ArtifactsInput!$N$15+1,25,30,35,40,45,50)/100*(Inputs!$B$11-Inputs!$B$11),0))))/100+(Inputs!$B$23+(IF(ArtifactsInput!$M$15,CHOOSE(ArtifactsInput!$N$15+1,25,30,35,40,45,50)/100*(Inputs!$B$11-Inputs!$B$11),0)))/100)/2</f>
        <v/>
      </c>
      <c r="M1858">
        <f>L1858*(1+(Inputs!$B$10+(F1851-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58">
        <f>L1858*(1-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1858*(MIN((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58">
        <f>(1-Summary!$B$11)*S1858+Summary!$B$11*U1858</f>
        <v/>
      </c>
      <c r="P1858">
        <f>IF(B1871=0,0,O1858/B1871)</f>
        <v/>
      </c>
      <c r="Q1858">
        <f>IFERROR(1/(IF(Inputs!$B$38="pvp",15,MAX(0.1,Skills!E28-IF(Skills!F28=TRUE,Inputs!$B$32,0)))*(1-IF(AND(ArtifactsInput!$M$27,Inputs!$B$4="Chapter Hunt"),CHOOSE(ArtifactsInput!$N$27+1,20,24,28,32,36,40),0)/100)),0)</f>
        <v/>
      </c>
      <c r="R1858">
        <f>IF(AND(Inputs!$B$38&lt;&gt;"pvp",Inputs!$B$43&gt;0),IF(MAX(0,Inputs!$B$43-B1868)&lt;=0,0,(INT(MAX(0,Inputs!$B$43-B1868)/(IF(Inputs!$B$38="pvp",15,MAX(0.1,Skills!E28-IF(Skills!F28=TRUE,Inputs!$B$32,0)))*(1-IF(AND(ArtifactsInput!$M$27,Inputs!$B$4="Chapter Hunt"),CHOOSE(ArtifactsInput!$N$27+1,20,24,28,32,36,40),0)/100)))+1)),0)</f>
        <v/>
      </c>
      <c r="S1858">
        <f>IF(C1858,(H1858*N1858*IF(AND(Inputs!$B$38&lt;&gt;"pvp",Inputs!$B$43&gt;0),((Skills!G28*((R1858-1)*IF(Skills!H28&gt;0,Skills!I28/Skills!H28,1)+IF(Skills!H28&gt;0,MIN(Skills!I28,MAX(0,MAX(0,Inputs!$B$43-B1868)-((R1858-1)*(IF(Inputs!$B$38="pvp",15,MAX(0.1,Skills!E28-IF(Skills!F28=TRUE,Inputs!$B$32,0)))*(1-IF(AND(ArtifactsInput!$M$27,Inputs!$B$4="Chapter Hunt"),CHOOSE(ArtifactsInput!$N$27+1,20,24,28,32,36,40),0)/100)))))/Skills!H28,1)))/Inputs!$B$43),G1858*Q1858)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1858*(1-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1858*(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1858*(1-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1858*(MIN(100,(Inputs!$B$9+(F1850-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58">
        <f>IF(C1858,(H1858*N1858*IF(AND(Inputs!$B$38&lt;&gt;"pvp",Inputs!$B$43&gt;0),((Skills!G28*((R1858-1)*IF(Skills!H28&gt;0,Skills!I28/Skills!H28,1)+IF(Skills!H28&gt;0,MIN(Skills!I28,MAX(0,MAX(0,Inputs!$B$43-B1868)-((R1858-1)*(IF(Inputs!$B$38="pvp",15,MAX(0.1,Skills!E28-IF(Skills!F28=TRUE,Inputs!$B$32,0)))*(1-IF(AND(ArtifactsInput!$M$27,Inputs!$B$4="Chapter Hunt"),CHOOSE(ArtifactsInput!$N$27+1,20,24,28,32,36,40),0)/100)))))/Skills!H28,1)))/Inputs!$B$43),G1858*Q1858)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60">
      <c r="A1860" t="inlineStr">
        <is>
          <t>Burning Magic Multiplier</t>
        </is>
      </c>
      <c r="B1860">
        <f>1+(F1841*Skills!Z11)/100</f>
        <v/>
      </c>
    </row>
    <row r="1861">
      <c r="A1861" t="inlineStr">
        <is>
          <t>Elemental Decrease Multiplier (always-on)</t>
        </is>
      </c>
      <c r="B1861">
        <f>1+(F1842+(IF(AND(ArtifactsInput!$M$35,Inputs!$B$4&lt;&gt;"Chapter Hunt"),CHOOSE(ArtifactsInput!$N$35+1,15,18,21,24,27,30)*(1-EXP(-(0.2*B1864)*5)),0)+IF(AND(IF(ArtifactsInput!$M$22,FALSE,TRUE),Inputs!$B$4&lt;&gt;"Chapter Hunt"),CHOOSE(ArtifactsInput!$N$22+1,10,12,14,16,18,20)*((0*(((0.15*B1864*5))^0/1)+1*(((0.15*B1864*5))^1/1)+2*(((0.15*B1864*5))^2/2)+3*(((0.15*B1864*5))^3/6)+4*(((0.15*B1864*5))^4/24)+5*(((0.15*B1864*5))^5/120))/((((0.15*B1864*5))^0/1)+(((0.15*B1864*5))^1/1)+(((0.15*B1864*5))^2/2)+(((0.15*B1864*5))^3/6)+(((0.15*B1864*5))^4/24)+(((0.15*B1864*5))^5/120))),0)))/100</f>
        <v/>
      </c>
    </row>
    <row r="1862">
      <c r="A1862" t="inlineStr">
        <is>
          <t>Average Buff Multiplier (Magic Guard + Meditation + Artifact Attack%, summed; then Infinity)</t>
        </is>
      </c>
      <c r="B1862">
        <f>(1+(F1836*IF(AND(Inputs!$B$38&lt;&gt;"pvp",Inputs!$B$43&gt;0),(((R1836-1)*(Skills!T6*(1+((Inputs!$B$34+(ArtifactsInput!$M$7-ArtifactsInput!$M$7)*CHOOSE(ArtifactsInput!$N$7+1,6,7.2,8.4,9.6,10.8,12)))/100))+MIN((Skills!T6*(1+((Inputs!$B$34+(ArtifactsInput!$M$7-ArtifactsInput!$M$7)*CHOOSE(ArtifactsInput!$N$7+1,6,7.2,8.4,9.6,10.8,12)))/100)),MAX(0,Inputs!$B$43-((R1836-1)*Skills!E6))))/Inputs!$B$43),IF(Inputs!$B$38="pvp",MIN((Skills!T6*(1+((Inputs!$B$34+(ArtifactsInput!$M$7-ArtifactsInput!$M$7)*CHOOSE(ArtifactsInput!$N$7+1,6,7.2,8.4,9.6,10.8,12)))/100)),15)/15,(Skills!T6*(1+((Inputs!$B$34+(ArtifactsInput!$M$7-ArtifactsInput!$M$7)*CHOOSE(ArtifactsInput!$N$7+1,6,7.2,8.4,9.6,10.8,12)))/100))/Skills!E6))+F1847*IF(AND(Inputs!$B$38&lt;&gt;"pvp",Inputs!$B$43&gt;0),(((R1847-1)*(Skills!T17*(1+((Inputs!$B$34+(ArtifactsInput!$M$7-ArtifactsInput!$M$7)*CHOOSE(ArtifactsInput!$N$7+1,6,7.2,8.4,9.6,10.8,12)))/100))+MIN((Skills!T17*(1+((Inputs!$B$34+(ArtifactsInput!$M$7-ArtifactsInput!$M$7)*CHOOSE(ArtifactsInput!$N$7+1,6,7.2,8.4,9.6,10.8,12)))/100)),MAX(0,Inputs!$B$43-((R1847-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1849=TRUE,(1+F1849*IF(AND(Inputs!$B$38&lt;&gt;"pvp",Inputs!$B$43&gt;0),(((R1849-1)*(Skills!T19*(1+((Inputs!$B$34+(ArtifactsInput!$M$7-ArtifactsInput!$M$7)*CHOOSE(ArtifactsInput!$N$7+1,6,7.2,8.4,9.6,10.8,12)))/100))+MIN((Skills!T19*(1+((Inputs!$B$34+(ArtifactsInput!$M$7-ArtifactsInput!$M$7)*CHOOSE(ArtifactsInput!$N$7+1,6,7.2,8.4,9.6,10.8,12)))/100)),MAX(0,Inputs!$B$43-((R1849-1)*Skills!E19))))/Inputs!$B$43),IF(Inputs!$B$38="pvp",MIN((Skills!T19*(1+((Inputs!$B$34+(ArtifactsInput!$M$7-ArtifactsInput!$M$7)*CHOOSE(ArtifactsInput!$N$7+1,6,7.2,8.4,9.6,10.8,12)))/100)),15)/15,(Skills!T19*(1+((Inputs!$B$34+(ArtifactsInput!$M$7-ArtifactsInput!$M$7)*CHOOSE(ArtifactsInput!$N$7+1,6,7.2,8.4,9.6,10.8,12)))/100))/Skills!E19))/100),1)</f>
        <v/>
      </c>
    </row>
    <row r="1863">
      <c r="A1863" t="inlineStr">
        <is>
          <t>Attack Speed Buff Bonus % (Nimble Feet, averaged)</t>
        </is>
      </c>
      <c r="B1863">
        <f>F1848*IF(AND(Inputs!$B$38&lt;&gt;"pvp",Inputs!$B$43&gt;0),(((R1848-1)*(Skills!T18*(1+((Inputs!$B$34+(ArtifactsInput!$M$7-ArtifactsInput!$M$7)*CHOOSE(ArtifactsInput!$N$7+1,6,7.2,8.4,9.6,10.8,12)))/100))+MIN((Skills!T18*(1+((Inputs!$B$34+(ArtifactsInput!$M$7-ArtifactsInput!$M$7)*CHOOSE(ArtifactsInput!$N$7+1,6,7.2,8.4,9.6,10.8,12)))/100)),MAX(0,Inputs!$B$43-((R1848-1)*Skills!E18))))/Inputs!$B$43),IF(Inputs!$B$38="pvp",MIN((Skills!T18*(1+((Inputs!$B$34+(ArtifactsInput!$M$7-ArtifactsInput!$M$7)*CHOOSE(ArtifactsInput!$N$7+1,6,7.2,8.4,9.6,10.8,12)))/100)),15)/15,(Skills!T18*(1+((Inputs!$B$34+(ArtifactsInput!$M$7-ArtifactsInput!$M$7)*CHOOSE(ArtifactsInput!$N$7+1,6,7.2,8.4,9.6,10.8,12)))/100))/Skills!E18))</f>
        <v/>
      </c>
    </row>
    <row r="1864">
      <c r="A1864" t="inlineStr">
        <is>
          <t>Actions Per Second</t>
        </is>
      </c>
      <c r="B1864">
        <f>1+MIN(150,150*(1-(1-(Inputs!$B$11+(ArtifactsInput!$M$15-ArtifactsInput!$M$15)*CHOOSE(ArtifactsInput!$N$15+1,8,9.6,11.2,12.8,14.4,16))/150)*(1-B1863/150)))/100</f>
        <v/>
      </c>
    </row>
    <row r="1865">
      <c r="A1865" t="inlineStr">
        <is>
          <t>Skill + Buff Cast Rate</t>
        </is>
      </c>
      <c r="B1865">
        <f>IF(AND(Inputs!$B$38&lt;&gt;"pvp",Inputs!$B$43&gt;0),SUMPRODUCT((Skills!F2:F28=TRUE)*(C1832:C1858=TRUE)*R1832:R1858)/Inputs!$B$43,SUMPRODUCT((Skills!F2:F28=TRUE)*(C1832:C1858=TRUE)*Q1832:Q1858))</f>
        <v/>
      </c>
    </row>
    <row r="1866">
      <c r="A1866" t="inlineStr">
        <is>
          <t>Basic Attacks Per Second</t>
        </is>
      </c>
      <c r="B1866">
        <f>MAX(0,B1864-B1865)</f>
        <v/>
      </c>
    </row>
    <row r="1867">
      <c r="A1867" t="inlineStr">
        <is>
          <t>Meteor Proc — combined trigger cast rate</t>
        </is>
      </c>
      <c r="B1867">
        <f>IF(AND(Inputs!$B$38&lt;&gt;"pvp",Inputs!$B$43&gt;0),SUMPRODUCT((Skills!V2:V28=TRUE)*(C1832:C1858=TRUE)*R1832:R1858*Skills!W2:W28)/Inputs!$B$43,SUMPRODUCT((Skills!V2:V28=TRUE)*(C1832:C1858=TRUE)*Q1832:Q1858*Skills!W2:W28))+B1866</f>
        <v/>
      </c>
    </row>
    <row r="1868">
      <c r="A1868" t="inlineStr">
        <is>
          <t>Buff-Casting Startup Delay (s, fixed-duration only)</t>
        </is>
      </c>
      <c r="B1868">
        <f>IF(AND(Inputs!$B$38&lt;&gt;"pvp",Inputs!$B$43&gt;0),SUMPRODUCT((Skills!T2:T28&gt;0)*(Skills!F2:F28=TRUE)*(C1832:C1858=TRUE))/B1864,0)</f>
        <v/>
      </c>
    </row>
    <row r="1869">
      <c r="A1869" t="inlineStr">
        <is>
          <t>Boss-Only Total DPS (this block's swept value)</t>
        </is>
      </c>
      <c r="B1869">
        <f>SUM(S1832:S1858)</f>
        <v/>
      </c>
    </row>
    <row r="1870">
      <c r="A1870" t="inlineStr">
        <is>
          <t>Normal-Only Total DPS (this block's swept value)</t>
        </is>
      </c>
      <c r="B1870">
        <f>SUM(U1832:U1858)</f>
        <v/>
      </c>
    </row>
    <row r="1871">
      <c r="A1871" s="6" t="inlineStr">
        <is>
          <t>TOTAL DPS</t>
        </is>
      </c>
      <c r="B1871" s="6">
        <f>SUM(O1832:O1858)</f>
        <v/>
      </c>
    </row>
    <row r="1874">
      <c r="A1874" s="6" t="inlineStr">
        <is>
          <t>Stat: Star Rock (Equip)</t>
        </is>
      </c>
    </row>
    <row r="1875">
      <c r="A1875" s="5" t="inlineStr">
        <is>
          <t>Key</t>
        </is>
      </c>
      <c r="B1875" s="5" t="inlineStr">
        <is>
          <t>Name</t>
        </is>
      </c>
      <c r="C1875" s="5" t="inlineStr">
        <is>
          <t>Unlocked</t>
        </is>
      </c>
      <c r="D1875" s="5" t="inlineStr">
        <is>
          <t>InputLevel</t>
        </is>
      </c>
      <c r="E1875" s="5" t="inlineStr">
        <is>
          <t>Factor</t>
        </is>
      </c>
      <c r="F1875" s="5" t="inlineStr">
        <is>
          <t>CoefficientPercent</t>
        </is>
      </c>
      <c r="G1875" s="5" t="inlineStr">
        <is>
          <t>EffectiveHits</t>
        </is>
      </c>
      <c r="H1875" s="5" t="inlineStr">
        <is>
          <t>ProcProbability</t>
        </is>
      </c>
      <c r="I1875" s="5" t="inlineStr">
        <is>
          <t>MapleHeroMultiplier</t>
        </is>
      </c>
      <c r="J1875" s="5" t="inlineStr">
        <is>
          <t>BaseDamage</t>
        </is>
      </c>
      <c r="K1875" s="5" t="inlineStr">
        <is>
          <t>BaseHitDamage</t>
        </is>
      </c>
      <c r="L1875" s="5" t="inlineStr">
        <is>
          <t>NonCritAvg</t>
        </is>
      </c>
      <c r="M1875" s="5" t="inlineStr">
        <is>
          <t>CritAvg</t>
        </is>
      </c>
      <c r="N1875" s="5" t="inlineStr">
        <is>
          <t>ExpectedDamage(perHit)</t>
        </is>
      </c>
      <c r="O1875" s="5" t="inlineStr">
        <is>
          <t>DPS</t>
        </is>
      </c>
      <c r="P1875" s="5" t="inlineStr">
        <is>
          <t>% of Total</t>
        </is>
      </c>
      <c r="R1875" t="inlineStr">
        <is>
          <t>helpers</t>
        </is>
      </c>
    </row>
    <row r="1876">
      <c r="A1876">
        <f>Skills!A2</f>
        <v/>
      </c>
      <c r="B1876">
        <f>Skills!B2</f>
        <v/>
      </c>
      <c r="C1876">
        <f>TRUE</f>
        <v/>
      </c>
      <c r="D1876" t="inlineStr"/>
      <c r="E1876" t="inlineStr"/>
      <c r="F1876">
        <f>T1878+Skills!O2</f>
        <v/>
      </c>
      <c r="G1876">
        <f>Calc!G2</f>
        <v/>
      </c>
      <c r="H1876">
        <f>Calc!H2</f>
        <v/>
      </c>
      <c r="I1876">
        <f>IF(Skills!X2&lt;&gt;"",1+(Skills!X2/10)*(Z1877/1000)/100,1)</f>
        <v/>
      </c>
      <c r="J1876">
        <f>((Inputs!$B$6*(1+Inputs!$B$7/100))+(((Inputs!$B$12*(1+Inputs!$B$13/100))-(Inputs!$B$12*(1+Inputs!$B$13/100)))+0.25*(Inputs!$B$14-Inputs!$B$14))*(1+Inputs!$B$7/100))*(F1876/100)</f>
        <v/>
      </c>
      <c r="K1876">
        <f>J1876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1876)</f>
        <v/>
      </c>
      <c r="L1876">
        <f>K1876*(MIN(Inputs!$B$22+(F1896-Calc!F22),(Inputs!$B$23+(IF(ArtifactsInput!$M$15,CHOOSE(ArtifactsInput!$N$15+1,25,30,35,40,45,50)/100*(Inputs!$B$11-Inputs!$B$11),0))))/100+(Inputs!$B$23+(IF(ArtifactsInput!$M$15,CHOOSE(ArtifactsInput!$N$15+1,25,30,35,40,45,50)/100*(Inputs!$B$11-Inputs!$B$11),0)))/100)/2</f>
        <v/>
      </c>
      <c r="M1876">
        <f>L1876*(1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6">
        <f>L1876*(1-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1876*(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6">
        <f>(1-Summary!$B$11)*S1876+Summary!$B$11*U1876</f>
        <v/>
      </c>
      <c r="P1876">
        <f>IF(B1915=0,0,O1876/B1915)</f>
        <v/>
      </c>
      <c r="Q1876">
        <f>IFERROR(1/(IF(Inputs!$B$38="pvp",15,MAX(0.1,Skills!E2-IF(Skills!F2=TRUE,Inputs!$B$32,0)))*(1-IF(AND(ArtifactsInput!$M$27,Inputs!$B$4="Chapter Hunt"),CHOOSE(ArtifactsInput!$N$27+1,20,24,28,32,36,40),0)/100)),0)</f>
        <v/>
      </c>
      <c r="R1876" t="n">
        <v>0</v>
      </c>
      <c r="S1876">
        <f>(Skills!G2*N1876*B1910)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1876*(1-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1876*(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1876*(1-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1876*(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876">
        <f>MAX(0,(Inputs!$B$3-100)*3)+Inputs!$B$28+Inputs!$B$29</f>
        <v/>
      </c>
      <c r="U1876">
        <f>(Skills!G2*N1876*B1910)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876">
        <f>MAX(0,(Inputs!$B$3-100)*3)+Inputs!$B$28+Inputs!$B$29</f>
        <v/>
      </c>
    </row>
    <row r="1877">
      <c r="A1877">
        <f>Skills!A3</f>
        <v/>
      </c>
      <c r="B1877">
        <f>Skills!B3</f>
        <v/>
      </c>
      <c r="C1877">
        <f>TRUE</f>
        <v/>
      </c>
      <c r="D1877">
        <f>IF(Skills!C3=1,60+Inputs!$B$25+Inputs!$B$29,IF(Skills!C3=2,90+Inputs!$B$26+Inputs!$B$29,IF(Skills!C3=3,120+Inputs!$B$27+Inputs!$B$29,MAX(0,(Inputs!$B$3-100)*3)+Inputs!$B$28+Inputs!$B$29)))</f>
        <v/>
      </c>
      <c r="E1877">
        <f>INDEX(FactorTable!$B$2:$Y$301, MATCH(ROUND(MIN(300,MAX(1,D1877)),0), FactorTable!$A$2:$A$301,0), Skills!M3+1)</f>
        <v/>
      </c>
      <c r="F1877">
        <f>IF(Skills!N3=TRUE,(Skills!L3/10)*(E1877/1000),Skills!L3/10)+Skills!O3</f>
        <v/>
      </c>
      <c r="G1877">
        <f>Calc!G3</f>
        <v/>
      </c>
      <c r="H1877">
        <f>Calc!H3</f>
        <v/>
      </c>
      <c r="I1877">
        <f>IF(Skills!X3&lt;&gt;"",1+(Skills!X3/10)*(Z1877/1000)/100,1)</f>
        <v/>
      </c>
      <c r="J1877">
        <f>((Inputs!$B$6*(1+Inputs!$B$7/100))+(((Inputs!$B$12*(1+Inputs!$B$13/100))-(Inputs!$B$12*(1+Inputs!$B$13/100)))+0.25*(Inputs!$B$14-Inputs!$B$14))*(1+Inputs!$B$7/100))*(F1877/100)</f>
        <v/>
      </c>
      <c r="K1877">
        <f>J1877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1877)</f>
        <v/>
      </c>
      <c r="L1877">
        <f>K1877*(MIN(Inputs!$B$22+(F1896-Calc!F22),(Inputs!$B$23+(IF(ArtifactsInput!$M$15,CHOOSE(ArtifactsInput!$N$15+1,25,30,35,40,45,50)/100*(Inputs!$B$11-Inputs!$B$11),0))))/100+(Inputs!$B$23+(IF(ArtifactsInput!$M$15,CHOOSE(ArtifactsInput!$N$15+1,25,30,35,40,45,50)/100*(Inputs!$B$11-Inputs!$B$11),0)))/100)/2</f>
        <v/>
      </c>
      <c r="M1877">
        <f>L1877*(1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7">
        <f>L1877*(1-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1877*(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7">
        <f>(1-Summary!$B$11)*S1877+Summary!$B$11*U1877</f>
        <v/>
      </c>
      <c r="P1877">
        <f>IF(B1915=0,0,O1877/B1915)</f>
        <v/>
      </c>
      <c r="Q1877">
        <f>IFERROR(1/(IF(Inputs!$B$38="pvp",15,MAX(0.1,Skills!E3-IF(Skills!F3=TRUE,Inputs!$B$32,0)))*(1-IF(AND(ArtifactsInput!$M$27,Inputs!$B$4="Chapter Hunt"),CHOOSE(ArtifactsInput!$N$27+1,20,24,28,32,36,40),0)/100)),0)</f>
        <v/>
      </c>
      <c r="R1877">
        <f>IF(AND(Inputs!$B$38&lt;&gt;"pvp",Inputs!$B$43&gt;0),IF(MAX(0,Inputs!$B$43-B1912)&lt;=0,0,(INT(MAX(0,Inputs!$B$43-B1912)/(IF(Inputs!$B$38="pvp",15,MAX(0.1,Skills!E3-IF(Skills!F3=TRUE,Inputs!$B$32,0)))*(1-IF(AND(ArtifactsInput!$M$27,Inputs!$B$4="Chapter Hunt"),CHOOSE(ArtifactsInput!$N$27+1,20,24,28,32,36,40),0)/100)))+1)),0)</f>
        <v/>
      </c>
      <c r="S1877">
        <f>IF(C1877,(H1877*N1877*IF(AND(Inputs!$B$38&lt;&gt;"pvp",Inputs!$B$43&gt;0),((Skills!G3*((R1877-1)*IF(Skills!H3&gt;0,Skills!I3/Skills!H3,1)+IF(Skills!H3&gt;0,MIN(Skills!I3,MAX(0,MAX(0,Inputs!$B$43-B1912)-((R1877-1)*(IF(Inputs!$B$38="pvp",15,MAX(0.1,Skills!E3-IF(Skills!F3=TRUE,Inputs!$B$32,0)))*(1-IF(AND(ArtifactsInput!$M$27,Inputs!$B$4="Chapter Hunt"),CHOOSE(ArtifactsInput!$N$27+1,20,24,28,32,36,40),0)/100)))))/Skills!H3,1)))/Inputs!$B$43),G1877*Q1877)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1877*(1-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1877*(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1877*(1-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1877*(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877">
        <f>INDEX(FactorTable!$B$2:$Y$301, MATCH(ROUND(MIN(300,MAX(1,T1876)),0), FactorTable!$A$2:$A$301,0), 22)</f>
        <v/>
      </c>
      <c r="U1877">
        <f>IF(C1877,(H1877*N1877*IF(AND(Inputs!$B$38&lt;&gt;"pvp",Inputs!$B$43&gt;0),((Skills!G3*((R1877-1)*IF(Skills!H3&gt;0,Skills!I3/Skills!H3,1)+IF(Skills!H3&gt;0,MIN(Skills!I3,MAX(0,MAX(0,Inputs!$B$43-B1912)-((R1877-1)*(IF(Inputs!$B$38="pvp",15,MAX(0.1,Skills!E3-IF(Skills!F3=TRUE,Inputs!$B$32,0)))*(1-IF(AND(ArtifactsInput!$M$27,Inputs!$B$4="Chapter Hunt"),CHOOSE(ArtifactsInput!$N$27+1,20,24,28,32,36,40),0)/100)))))/Skills!H3,1)))/Inputs!$B$43),G1877*Q1877)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877">
        <f>INDEX(FactorTable!$B$2:$Y$301, MATCH(ROUND(MIN(300,MAX(1,Z1876)),0), FactorTable!$A$2:$A$301,0), 24)</f>
        <v/>
      </c>
    </row>
    <row r="1878">
      <c r="A1878">
        <f>Skills!A4</f>
        <v/>
      </c>
      <c r="B1878">
        <f>Skills!B4</f>
        <v/>
      </c>
      <c r="C1878">
        <f>TRUE</f>
        <v/>
      </c>
      <c r="D1878">
        <f>IF(Skills!C4=1,60+Inputs!$B$25+Inputs!$B$29,IF(Skills!C4=2,90+Inputs!$B$26+Inputs!$B$29,IF(Skills!C4=3,120+Inputs!$B$27+Inputs!$B$29,MAX(0,(Inputs!$B$3-100)*3)+Inputs!$B$28+Inputs!$B$29)))</f>
        <v/>
      </c>
      <c r="E1878">
        <f>INDEX(FactorTable!$B$2:$Y$301, MATCH(ROUND(MIN(300,MAX(1,D1878)),0), FactorTable!$A$2:$A$301,0), Skills!M4+1)</f>
        <v/>
      </c>
      <c r="F1878">
        <f>IF(Skills!N4=TRUE,(Skills!L4/10)*(E1878/1000),Skills!L4/10)+Skills!O4</f>
        <v/>
      </c>
      <c r="G1878">
        <f>Calc!G4</f>
        <v/>
      </c>
      <c r="H1878">
        <f>Calc!H4</f>
        <v/>
      </c>
      <c r="I1878">
        <f>IF(Skills!X4&lt;&gt;"",1+(Skills!X4/10)*(Z1877/1000)/100,1)</f>
        <v/>
      </c>
      <c r="J1878">
        <f>((Inputs!$B$6*(1+Inputs!$B$7/100))+(((Inputs!$B$12*(1+Inputs!$B$13/100))-(Inputs!$B$12*(1+Inputs!$B$13/100)))+0.25*(Inputs!$B$14-Inputs!$B$14))*(1+Inputs!$B$7/100))*(F1878/100)</f>
        <v/>
      </c>
      <c r="K1878">
        <f>J1878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1878)</f>
        <v/>
      </c>
      <c r="L1878">
        <f>K1878*(MIN(Inputs!$B$22+(F1896-Calc!F22),(Inputs!$B$23+(IF(ArtifactsInput!$M$15,CHOOSE(ArtifactsInput!$N$15+1,25,30,35,40,45,50)/100*(Inputs!$B$11-Inputs!$B$11),0))))/100+(Inputs!$B$23+(IF(ArtifactsInput!$M$15,CHOOSE(ArtifactsInput!$N$15+1,25,30,35,40,45,50)/100*(Inputs!$B$11-Inputs!$B$11),0)))/100)/2</f>
        <v/>
      </c>
      <c r="M1878">
        <f>L1878*(1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8">
        <f>L1878*(1-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1878*(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8">
        <f>(1-Summary!$B$11)*S1878+Summary!$B$11*U1878</f>
        <v/>
      </c>
      <c r="P1878">
        <f>IF(B1915=0,0,O1878/B1915)</f>
        <v/>
      </c>
      <c r="Q1878">
        <f>IFERROR(1/(IF(Inputs!$B$38="pvp",15,MAX(0.1,Skills!E4-IF(Skills!F4=TRUE,Inputs!$B$32,0)))*(1-IF(AND(ArtifactsInput!$M$27,Inputs!$B$4="Chapter Hunt"),CHOOSE(ArtifactsInput!$N$27+1,20,24,28,32,36,40),0)/100)),0)</f>
        <v/>
      </c>
      <c r="R1878">
        <f>IF(AND(Inputs!$B$38&lt;&gt;"pvp",Inputs!$B$43&gt;0),IF(MAX(0,Inputs!$B$43-B1912)&lt;=0,0,(INT(MAX(0,Inputs!$B$43-B1912)/(IF(Inputs!$B$38="pvp",15,MAX(0.1,Skills!E4-IF(Skills!F4=TRUE,Inputs!$B$32,0)))*(1-IF(AND(ArtifactsInput!$M$27,Inputs!$B$4="Chapter Hunt"),CHOOSE(ArtifactsInput!$N$27+1,20,24,28,32,36,40),0)/100)))+1)),0)</f>
        <v/>
      </c>
      <c r="S1878">
        <f>IF(C1878,(H1878*N1878*IF(AND(Inputs!$B$38&lt;&gt;"pvp",Inputs!$B$43&gt;0),((Skills!G4*((R1878-1)*IF(Skills!H4&gt;0,Skills!I4/Skills!H4,1)+IF(Skills!H4&gt;0,MIN(Skills!I4,MAX(0,MAX(0,Inputs!$B$43-B1912)-((R1878-1)*(IF(Inputs!$B$38="pvp",15,MAX(0.1,Skills!E4-IF(Skills!F4=TRUE,Inputs!$B$32,0)))*(1-IF(AND(ArtifactsInput!$M$27,Inputs!$B$4="Chapter Hunt"),CHOOSE(ArtifactsInput!$N$27+1,20,24,28,32,36,40),0)/100)))))/Skills!H4,1)))/Inputs!$B$43),G1878*Q1878)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1878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1878*(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1878*(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878">
        <f>290*T1877/1000</f>
        <v/>
      </c>
      <c r="U1878">
        <f>IF(C1878,(H1878*N1878*IF(AND(Inputs!$B$38&lt;&gt;"pvp",Inputs!$B$43&gt;0),((Skills!G4*((R1878-1)*IF(Skills!H4&gt;0,Skills!I4/Skills!H4,1)+IF(Skills!H4&gt;0,MIN(Skills!I4,MAX(0,MAX(0,Inputs!$B$43-B1912)-((R1878-1)*(IF(Inputs!$B$38="pvp",15,MAX(0.1,Skills!E4-IF(Skills!F4=TRUE,Inputs!$B$32,0)))*(1-IF(AND(ArtifactsInput!$M$27,Inputs!$B$4="Chapter Hunt"),CHOOSE(ArtifactsInput!$N$27+1,20,24,28,32,36,40),0)/100)))))/Skills!H4,1)))/Inputs!$B$43),G1878*Q1878)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9">
      <c r="A1879">
        <f>Skills!A5</f>
        <v/>
      </c>
      <c r="B1879">
        <f>Skills!B5</f>
        <v/>
      </c>
      <c r="C1879">
        <f>TRUE</f>
        <v/>
      </c>
      <c r="D1879">
        <f>IF(Skills!C5=1,60+Inputs!$B$25+Inputs!$B$29,IF(Skills!C5=2,90+Inputs!$B$26+Inputs!$B$29,IF(Skills!C5=3,120+Inputs!$B$27+Inputs!$B$29,MAX(0,(Inputs!$B$3-100)*3)+Inputs!$B$28+Inputs!$B$29)))</f>
        <v/>
      </c>
      <c r="E1879">
        <f>INDEX(FactorTable!$B$2:$Y$301, MATCH(ROUND(MIN(300,MAX(1,D1879)),0), FactorTable!$A$2:$A$301,0), Skills!M5+1)</f>
        <v/>
      </c>
      <c r="F1879">
        <f>IF(Skills!N5=TRUE,(Skills!L5/10)*(E1879/1000),Skills!L5/10)+Skills!O5</f>
        <v/>
      </c>
      <c r="G1879">
        <f>Calc!G5</f>
        <v/>
      </c>
      <c r="H1879">
        <f>Calc!H5</f>
        <v/>
      </c>
      <c r="I1879">
        <f>IF(Skills!X5&lt;&gt;"",1+(Skills!X5/10)*(Z1877/1000)/100,1)</f>
        <v/>
      </c>
      <c r="J1879">
        <f>((Inputs!$B$6*(1+Inputs!$B$7/100))+(((Inputs!$B$12*(1+Inputs!$B$13/100))-(Inputs!$B$12*(1+Inputs!$B$13/100)))+0.25*(Inputs!$B$14-Inputs!$B$14))*(1+Inputs!$B$7/100))*(F1879/100)</f>
        <v/>
      </c>
      <c r="K1879">
        <f>J1879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1879)</f>
        <v/>
      </c>
      <c r="L1879">
        <f>K1879*(MIN(Inputs!$B$22+(F1896-Calc!F22),(Inputs!$B$23+(IF(ArtifactsInput!$M$15,CHOOSE(ArtifactsInput!$N$15+1,25,30,35,40,45,50)/100*(Inputs!$B$11-Inputs!$B$11),0))))/100+(Inputs!$B$23+(IF(ArtifactsInput!$M$15,CHOOSE(ArtifactsInput!$N$15+1,25,30,35,40,45,50)/100*(Inputs!$B$11-Inputs!$B$11),0)))/100)/2</f>
        <v/>
      </c>
      <c r="M1879">
        <f>L1879*(1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9">
        <f>L1879*(1-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1879*(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9">
        <f>(1-Summary!$B$11)*S1879+Summary!$B$11*U1879</f>
        <v/>
      </c>
      <c r="P1879">
        <f>IF(B1915=0,0,O1879/B1915)</f>
        <v/>
      </c>
      <c r="Q1879">
        <f>IFERROR(1/(IF(Inputs!$B$38="pvp",15,MAX(0.1,Skills!E5-IF(Skills!F5=TRUE,Inputs!$B$32,0)))*(1-IF(AND(ArtifactsInput!$M$27,Inputs!$B$4="Chapter Hunt"),CHOOSE(ArtifactsInput!$N$27+1,20,24,28,32,36,40),0)/100)),0)</f>
        <v/>
      </c>
      <c r="R1879">
        <f>IF(AND(Inputs!$B$38&lt;&gt;"pvp",Inputs!$B$43&gt;0),IF(MAX(0,Inputs!$B$43-B1912)&lt;=0,0,(INT(MAX(0,Inputs!$B$43-B1912)/(IF(Inputs!$B$38="pvp",15,MAX(0.1,Skills!E5-IF(Skills!F5=TRUE,Inputs!$B$32,0)))*(1-IF(AND(ArtifactsInput!$M$27,Inputs!$B$4="Chapter Hunt"),CHOOSE(ArtifactsInput!$N$27+1,20,24,28,32,36,40),0)/100)))+1)),0)</f>
        <v/>
      </c>
      <c r="S1879">
        <f>IF(C1879,(H1879*N1879*IF(AND(Inputs!$B$38&lt;&gt;"pvp",Inputs!$B$43&gt;0),((Skills!G5*((R1879-1)*IF(Skills!H5&gt;0,Skills!I5/Skills!H5,1)+IF(Skills!H5&gt;0,MIN(Skills!I5,MAX(0,MAX(0,Inputs!$B$43-B1912)-((R1879-1)*(IF(Inputs!$B$38="pvp",15,MAX(0.1,Skills!E5-IF(Skills!F5=TRUE,Inputs!$B$32,0)))*(1-IF(AND(ArtifactsInput!$M$27,Inputs!$B$4="Chapter Hunt"),CHOOSE(ArtifactsInput!$N$27+1,20,24,28,32,36,40),0)/100)))))/Skills!H5,1)))/Inputs!$B$43),G1879*Q1879)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1879*(1-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1879*(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1879*(1-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1879*(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9">
        <f>IF(C1879,(H1879*N1879*IF(AND(Inputs!$B$38&lt;&gt;"pvp",Inputs!$B$43&gt;0),((Skills!G5*((R1879-1)*IF(Skills!H5&gt;0,Skills!I5/Skills!H5,1)+IF(Skills!H5&gt;0,MIN(Skills!I5,MAX(0,MAX(0,Inputs!$B$43-B1912)-((R1879-1)*(IF(Inputs!$B$38="pvp",15,MAX(0.1,Skills!E5-IF(Skills!F5=TRUE,Inputs!$B$32,0)))*(1-IF(AND(ArtifactsInput!$M$27,Inputs!$B$4="Chapter Hunt"),CHOOSE(ArtifactsInput!$N$27+1,20,24,28,32,36,40),0)/100)))))/Skills!H5,1)))/Inputs!$B$43),G1879*Q1879)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0">
      <c r="A1880">
        <f>Skills!A6</f>
        <v/>
      </c>
      <c r="B1880">
        <f>Skills!B6</f>
        <v/>
      </c>
      <c r="C1880">
        <f>TRUE</f>
        <v/>
      </c>
      <c r="D1880">
        <f>IF(Skills!C6=1,60+Inputs!$B$25+Inputs!$B$29,IF(Skills!C6=2,90+Inputs!$B$26+Inputs!$B$29,IF(Skills!C6=3,120+Inputs!$B$27+Inputs!$B$29,MAX(0,(Inputs!$B$3-100)*3)+Inputs!$B$28+Inputs!$B$29)))</f>
        <v/>
      </c>
      <c r="E1880">
        <f>INDEX(FactorTable!$B$2:$Y$301, MATCH(ROUND(MIN(300,MAX(1,D1880)),0), FactorTable!$A$2:$A$301,0), Skills!M6+1)</f>
        <v/>
      </c>
      <c r="F1880">
        <f>IF(Skills!N6=TRUE,(Skills!L6/10)*(E1880/1000),Skills!L6/10)+Skills!O6</f>
        <v/>
      </c>
      <c r="G1880">
        <f>Calc!G6</f>
        <v/>
      </c>
      <c r="H1880">
        <f>Calc!H6</f>
        <v/>
      </c>
      <c r="I1880">
        <f>IF(Skills!X6&lt;&gt;"",1+(Skills!X6/10)*(Z1877/1000)/100,1)</f>
        <v/>
      </c>
      <c r="J1880" t="inlineStr"/>
      <c r="K1880" t="inlineStr"/>
      <c r="L1880" t="inlineStr"/>
      <c r="M1880" t="inlineStr"/>
      <c r="N1880" t="inlineStr"/>
      <c r="O1880">
        <f>(1-Summary!$B$11)*S1880+Summary!$B$11*U1880</f>
        <v/>
      </c>
      <c r="P1880">
        <f>IF(B1915=0,0,O1880/B1915)</f>
        <v/>
      </c>
      <c r="Q1880">
        <f>IFERROR(1/(IF(Inputs!$B$38="pvp",15,MAX(0.1,Skills!E6-IF(Skills!F6=TRUE,Inputs!$B$32,0)))*(1-IF(AND(ArtifactsInput!$M$27,Inputs!$B$4="Chapter Hunt"),CHOOSE(ArtifactsInput!$N$27+1,20,24,28,32,36,40),0)/100)),0)</f>
        <v/>
      </c>
      <c r="R1880">
        <f>IF(AND(Inputs!$B$38&lt;&gt;"pvp",Inputs!$B$43&gt;0),IF(Inputs!$B$43&lt;=0,0,(INT(Inputs!$B$43/(IF(Inputs!$B$38="pvp",15,MAX(0.1,Skills!E6-IF(Skills!F6=TRUE,Inputs!$B$32,0)))*(1-IF(AND(ArtifactsInput!$M$27,Inputs!$B$4="Chapter Hunt"),CHOOSE(ArtifactsInput!$N$27+1,20,24,28,32,36,40),0)/100)))+1)),0)</f>
        <v/>
      </c>
      <c r="S1880" t="n">
        <v>0</v>
      </c>
      <c r="U1880" t="n">
        <v>0</v>
      </c>
    </row>
    <row r="1881">
      <c r="A1881">
        <f>Skills!A7</f>
        <v/>
      </c>
      <c r="B1881">
        <f>Skills!B7</f>
        <v/>
      </c>
      <c r="C1881">
        <f>TRUE</f>
        <v/>
      </c>
      <c r="D1881">
        <f>IF(Skills!C7=1,60+Inputs!$B$25+Inputs!$B$29,IF(Skills!C7=2,90+Inputs!$B$26+Inputs!$B$29,IF(Skills!C7=3,120+Inputs!$B$27+Inputs!$B$29,MAX(0,(Inputs!$B$3-100)*3)+Inputs!$B$28+Inputs!$B$29)))</f>
        <v/>
      </c>
      <c r="E1881">
        <f>INDEX(FactorTable!$B$2:$Y$301, MATCH(ROUND(MIN(300,MAX(1,D1881)),0), FactorTable!$A$2:$A$301,0), Skills!M7+1)</f>
        <v/>
      </c>
      <c r="F1881">
        <f>IF(Skills!N7=TRUE,(Skills!L7/10)*(E1881/1000),Skills!L7/10)+Skills!O7</f>
        <v/>
      </c>
      <c r="G1881">
        <f>Calc!G7</f>
        <v/>
      </c>
      <c r="H1881">
        <f>Calc!H7</f>
        <v/>
      </c>
      <c r="I1881">
        <f>IF(Skills!X7&lt;&gt;"",1+(Skills!X7/10)*(Z1877/1000)/100,1)</f>
        <v/>
      </c>
      <c r="J1881">
        <f>((Inputs!$B$6*(1+Inputs!$B$7/100))+(((Inputs!$B$12*(1+Inputs!$B$13/100))-(Inputs!$B$12*(1+Inputs!$B$13/100)))+0.25*(Inputs!$B$14-Inputs!$B$14))*(1+Inputs!$B$7/100))*(F1881/100)</f>
        <v/>
      </c>
      <c r="K1881">
        <f>J1881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1881)</f>
        <v/>
      </c>
      <c r="L1881">
        <f>K1881*(MIN(Inputs!$B$22+(F1896-Calc!F22),(Inputs!$B$23+(IF(ArtifactsInput!$M$15,CHOOSE(ArtifactsInput!$N$15+1,25,30,35,40,45,50)/100*(Inputs!$B$11-Inputs!$B$11),0))))/100+(Inputs!$B$23+(IF(ArtifactsInput!$M$15,CHOOSE(ArtifactsInput!$N$15+1,25,30,35,40,45,50)/100*(Inputs!$B$11-Inputs!$B$11),0)))/100)/2</f>
        <v/>
      </c>
      <c r="M1881">
        <f>L1881*(1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1">
        <f>L1881*(1-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1">
        <f>(1-Summary!$B$11)*S1881+Summary!$B$11*U1881</f>
        <v/>
      </c>
      <c r="P1881">
        <f>IF(B1915=0,0,O1881/B1915)</f>
        <v/>
      </c>
      <c r="Q1881">
        <f>IFERROR(1/(IF(Inputs!$B$38="pvp",15,MAX(0.1,Skills!E7-IF(Skills!F7=TRUE,Inputs!$B$32,0)))*(1-IF(AND(ArtifactsInput!$M$27,Inputs!$B$4="Chapter Hunt"),CHOOSE(ArtifactsInput!$N$27+1,20,24,28,32,36,40),0)/100)),0)</f>
        <v/>
      </c>
      <c r="R1881">
        <f>IF(AND(Inputs!$B$38&lt;&gt;"pvp",Inputs!$B$43&gt;0),IF(MAX(0,Inputs!$B$43-B1912)&lt;=0,0,(INT(MAX(0,Inputs!$B$43-B1912)/(IF(Inputs!$B$38="pvp",15,MAX(0.1,Skills!E7-IF(Skills!F7=TRUE,Inputs!$B$32,0)))*(1-IF(AND(ArtifactsInput!$M$27,Inputs!$B$4="Chapter Hunt"),CHOOSE(ArtifactsInput!$N$27+1,20,24,28,32,36,40),0)/100)))+1)),0)</f>
        <v/>
      </c>
      <c r="S1881">
        <f>IF(C1881,(H1881*N1881*IF(AND(Inputs!$B$38&lt;&gt;"pvp",Inputs!$B$43&gt;0),((Skills!G7*((R1881-1)*IF(Skills!H7&gt;0,Skills!I7/Skills!H7,1)+IF(Skills!H7&gt;0,MIN(Skills!I7,MAX(0,MAX(0,Inputs!$B$43-B1912)-((R1881-1)*(IF(Inputs!$B$38="pvp",15,MAX(0.1,Skills!E7-IF(Skills!F7=TRUE,Inputs!$B$32,0)))*(1-IF(AND(ArtifactsInput!$M$27,Inputs!$B$4="Chapter Hunt"),CHOOSE(ArtifactsInput!$N$27+1,20,24,28,32,36,40),0)/100)))))/Skills!H7,1)))/Inputs!$B$43),G1881*Q1881)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1881*(1-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1881*(1-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1">
        <f>IF(C1881,(H1881*N1881*IF(AND(Inputs!$B$38&lt;&gt;"pvp",Inputs!$B$43&gt;0),((Skills!G7*((R1881-1)*IF(Skills!H7&gt;0,Skills!I7/Skills!H7,1)+IF(Skills!H7&gt;0,MIN(Skills!I7,MAX(0,MAX(0,Inputs!$B$43-B1912)-((R1881-1)*(IF(Inputs!$B$38="pvp",15,MAX(0.1,Skills!E7-IF(Skills!F7=TRUE,Inputs!$B$32,0)))*(1-IF(AND(ArtifactsInput!$M$27,Inputs!$B$4="Chapter Hunt"),CHOOSE(ArtifactsInput!$N$27+1,20,24,28,32,36,40),0)/100)))))/Skills!H7,1)))/Inputs!$B$43),G1881*Q1881)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2">
      <c r="A1882">
        <f>Skills!A8</f>
        <v/>
      </c>
      <c r="B1882">
        <f>Skills!B8</f>
        <v/>
      </c>
      <c r="C1882">
        <f>TRUE</f>
        <v/>
      </c>
      <c r="D1882">
        <f>IF(Skills!C8=1,60+Inputs!$B$25+Inputs!$B$29,IF(Skills!C8=2,90+Inputs!$B$26+Inputs!$B$29,IF(Skills!C8=3,120+Inputs!$B$27+Inputs!$B$29,MAX(0,(Inputs!$B$3-100)*3)+Inputs!$B$28+Inputs!$B$29)))</f>
        <v/>
      </c>
      <c r="E1882">
        <f>INDEX(FactorTable!$B$2:$Y$301, MATCH(ROUND(MIN(300,MAX(1,D1882)),0), FactorTable!$A$2:$A$301,0), Skills!M8+1)</f>
        <v/>
      </c>
      <c r="F1882">
        <f>IF(Skills!N8=TRUE,(Skills!L8/10)*(E1882/1000),Skills!L8/10)+Skills!O8</f>
        <v/>
      </c>
      <c r="G1882">
        <f>Calc!G8</f>
        <v/>
      </c>
      <c r="H1882">
        <f>Calc!H8</f>
        <v/>
      </c>
      <c r="I1882">
        <f>IF(Skills!X8&lt;&gt;"",1+(Skills!X8/10)*(Z1877/1000)/100,1)</f>
        <v/>
      </c>
      <c r="J1882">
        <f>((Inputs!$B$6*(1+Inputs!$B$7/100))+(((Inputs!$B$12*(1+Inputs!$B$13/100))-(Inputs!$B$12*(1+Inputs!$B$13/100)))+0.25*(Inputs!$B$14-Inputs!$B$14))*(1+Inputs!$B$7/100))*(F1882/100)</f>
        <v/>
      </c>
      <c r="K1882">
        <f>J1882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1882)</f>
        <v/>
      </c>
      <c r="L1882">
        <f>K1882*(MIN(Inputs!$B$22+(F1896-Calc!F22),(Inputs!$B$23+(IF(ArtifactsInput!$M$15,CHOOSE(ArtifactsInput!$N$15+1,25,30,35,40,45,50)/100*(Inputs!$B$11-Inputs!$B$11),0))))/100+(Inputs!$B$23+(IF(ArtifactsInput!$M$15,CHOOSE(ArtifactsInput!$N$15+1,25,30,35,40,45,50)/100*(Inputs!$B$11-Inputs!$B$11),0)))/100)/2</f>
        <v/>
      </c>
      <c r="M1882">
        <f>L1882*(1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2">
        <f>L1882*(1-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1882*(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2">
        <f>(1-Summary!$B$11)*S1882+Summary!$B$11*U1882</f>
        <v/>
      </c>
      <c r="P1882">
        <f>IF(B1915=0,0,O1882/B1915)</f>
        <v/>
      </c>
      <c r="Q1882">
        <f>IFERROR(1/(IF(Inputs!$B$38="pvp",15,MAX(0.1,Skills!E8-IF(Skills!F8=TRUE,Inputs!$B$32,0)))*(1-IF(AND(ArtifactsInput!$M$27,Inputs!$B$4="Chapter Hunt"),CHOOSE(ArtifactsInput!$N$27+1,20,24,28,32,36,40),0)/100)),0)</f>
        <v/>
      </c>
      <c r="R1882">
        <f>IF(AND(Inputs!$B$38&lt;&gt;"pvp",Inputs!$B$43&gt;0),IF(MAX(0,Inputs!$B$43-B1912)&lt;=0,0,(INT(MAX(0,Inputs!$B$43-B1912)/(IF(Inputs!$B$38="pvp",15,MAX(0.1,Skills!E8-IF(Skills!F8=TRUE,Inputs!$B$32,0)))*(1-IF(AND(ArtifactsInput!$M$27,Inputs!$B$4="Chapter Hunt"),CHOOSE(ArtifactsInput!$N$27+1,20,24,28,32,36,40),0)/100)))+1)),0)</f>
        <v/>
      </c>
      <c r="S1882">
        <f>IF(C1882,(H1882*N1882*IF(AND(Inputs!$B$38&lt;&gt;"pvp",Inputs!$B$43&gt;0),((Skills!G8*((R1882-1)*IF(Skills!H8&gt;0,Skills!I8/Skills!H8,1)+IF(Skills!H8&gt;0,MIN(Skills!I8,MAX(0,MAX(0,Inputs!$B$43-B1912)-((R1882-1)*(IF(Inputs!$B$38="pvp",15,MAX(0.1,Skills!E8-IF(Skills!F8=TRUE,Inputs!$B$32,0)))*(1-IF(AND(ArtifactsInput!$M$27,Inputs!$B$4="Chapter Hunt"),CHOOSE(ArtifactsInput!$N$27+1,20,24,28,32,36,40),0)/100)))))/Skills!H8,1)))/Inputs!$B$43),G1882*Q1882)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1882*(1-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1882*(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1882*(1-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1882*(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2">
        <f>IF(C1882,(H1882*N1882*IF(AND(Inputs!$B$38&lt;&gt;"pvp",Inputs!$B$43&gt;0),((Skills!G8*((R1882-1)*IF(Skills!H8&gt;0,Skills!I8/Skills!H8,1)+IF(Skills!H8&gt;0,MIN(Skills!I8,MAX(0,MAX(0,Inputs!$B$43-B1912)-((R1882-1)*(IF(Inputs!$B$38="pvp",15,MAX(0.1,Skills!E8-IF(Skills!F8=TRUE,Inputs!$B$32,0)))*(1-IF(AND(ArtifactsInput!$M$27,Inputs!$B$4="Chapter Hunt"),CHOOSE(ArtifactsInput!$N$27+1,20,24,28,32,36,40),0)/100)))))/Skills!H8,1)))/Inputs!$B$43),G1882*Q1882)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3">
      <c r="A1883">
        <f>Skills!A9</f>
        <v/>
      </c>
      <c r="B1883">
        <f>Skills!B9</f>
        <v/>
      </c>
      <c r="C1883">
        <f>Inputs!$B$3&gt;=103</f>
        <v/>
      </c>
      <c r="D1883">
        <f>IF(Skills!C9=1,60+Inputs!$B$25+Inputs!$B$29,IF(Skills!C9=2,90+Inputs!$B$26+Inputs!$B$29,IF(Skills!C9=3,120+Inputs!$B$27+Inputs!$B$29,MAX(0,(Inputs!$B$3-100)*3)+Inputs!$B$28+Inputs!$B$29)))</f>
        <v/>
      </c>
      <c r="E1883">
        <f>INDEX(FactorTable!$B$2:$Y$301, MATCH(ROUND(MIN(300,MAX(1,D1883)),0), FactorTable!$A$2:$A$301,0), Skills!M9+1)</f>
        <v/>
      </c>
      <c r="F1883">
        <f>IF(Skills!N9=TRUE,(Skills!L9/10)*(E1883/1000),Skills!L9/10)+Skills!O9</f>
        <v/>
      </c>
      <c r="G1883">
        <f>Calc!G9</f>
        <v/>
      </c>
      <c r="H1883">
        <f>Calc!H9</f>
        <v/>
      </c>
      <c r="I1883">
        <f>IF(Skills!X9&lt;&gt;"",1+(Skills!X9/10)*(Z1877/1000)/100,1)</f>
        <v/>
      </c>
      <c r="J1883">
        <f>((Inputs!$B$6*(1+Inputs!$B$7/100))+(((Inputs!$B$12*(1+Inputs!$B$13/100))-(Inputs!$B$12*(1+Inputs!$B$13/100)))+0.25*(Inputs!$B$14-Inputs!$B$14))*(1+Inputs!$B$7/100))*(F1883/100)</f>
        <v/>
      </c>
      <c r="K1883">
        <f>J1883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1883)</f>
        <v/>
      </c>
      <c r="L1883">
        <f>K1883*(MIN(Inputs!$B$22+(F1896-Calc!F22),(Inputs!$B$23+(IF(ArtifactsInput!$M$15,CHOOSE(ArtifactsInput!$N$15+1,25,30,35,40,45,50)/100*(Inputs!$B$11-Inputs!$B$11),0))))/100+(Inputs!$B$23+(IF(ArtifactsInput!$M$15,CHOOSE(ArtifactsInput!$N$15+1,25,30,35,40,45,50)/100*(Inputs!$B$11-Inputs!$B$11),0)))/100)/2</f>
        <v/>
      </c>
      <c r="M1883">
        <f>L1883*(1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3">
        <f>L1883*(1-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1883*(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3">
        <f>(1-Summary!$B$11)*S1883+Summary!$B$11*U1883</f>
        <v/>
      </c>
      <c r="P1883">
        <f>IF(B1915=0,0,O1883/B1915)</f>
        <v/>
      </c>
      <c r="Q1883">
        <f>IFERROR(1/(IF(Inputs!$B$38="pvp",15,MAX(0.1,Skills!E9-IF(Skills!F7=TRUE,Inputs!$B$32,0)))*(1-IF(AND(ArtifactsInput!$M$27,Inputs!$B$4="Chapter Hunt"),CHOOSE(ArtifactsInput!$N$27+1,20,24,28,32,36,40),0)/100)),0)</f>
        <v/>
      </c>
      <c r="R1883">
        <f>IF(AND(Inputs!$B$38&lt;&gt;"pvp",Inputs!$B$43&gt;0),IF(MAX(0,Inputs!$B$43-B1912)&lt;=0,0,(INT(MAX(0,Inputs!$B$43-B1912)/(IF(Inputs!$B$38="pvp",15,MAX(0.1,Skills!E9-IF(Skills!F7=TRUE,Inputs!$B$32,0)))*(1-IF(AND(ArtifactsInput!$M$27,Inputs!$B$4="Chapter Hunt"),CHOOSE(ArtifactsInput!$N$27+1,20,24,28,32,36,40),0)/100)))+1)),0)</f>
        <v/>
      </c>
      <c r="S1883">
        <f>IF(C1883,(H1883*N1883*IF(AND(Inputs!$B$38&lt;&gt;"pvp",Inputs!$B$43&gt;0),((Skills!G9*((R1883-1)*IF(Skills!H9&gt;0,Skills!I9/Skills!H9,1)+IF(Skills!H9&gt;0,MIN(Skills!I9,MAX(0,MAX(0,Inputs!$B$43-B1912)-((R1883-1)*(IF(Inputs!$B$38="pvp",15,MAX(0.1,Skills!E9-IF(Skills!F7=TRUE,Inputs!$B$32,0)))*(1-IF(AND(ArtifactsInput!$M$27,Inputs!$B$4="Chapter Hunt"),CHOOSE(ArtifactsInput!$N$27+1,20,24,28,32,36,40),0)/100)))))/Skills!H9,1)))/Inputs!$B$43),G1883*Q1883)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1883*(1-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1883*(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1883*(1-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1883*(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3">
        <f>IF(C1883,(H1883*N1883*IF(AND(Inputs!$B$38&lt;&gt;"pvp",Inputs!$B$43&gt;0),((Skills!G9*((R1883-1)*IF(Skills!H9&gt;0,Skills!I9/Skills!H9,1)+IF(Skills!H9&gt;0,MIN(Skills!I9,MAX(0,MAX(0,Inputs!$B$43-B1912)-((R1883-1)*(IF(Inputs!$B$38="pvp",15,MAX(0.1,Skills!E9-IF(Skills!F7=TRUE,Inputs!$B$32,0)))*(1-IF(AND(ArtifactsInput!$M$27,Inputs!$B$4="Chapter Hunt"),CHOOSE(ArtifactsInput!$N$27+1,20,24,28,32,36,40),0)/100)))))/Skills!H9,1)))/Inputs!$B$43),G1883*Q1883)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4">
      <c r="A1884">
        <f>Skills!A10</f>
        <v/>
      </c>
      <c r="B1884">
        <f>Skills!B10</f>
        <v/>
      </c>
      <c r="C1884">
        <f>TRUE</f>
        <v/>
      </c>
      <c r="D1884">
        <f>IF(Skills!C10=1,60+Inputs!$B$25+Inputs!$B$29,IF(Skills!C10=2,90+Inputs!$B$26+Inputs!$B$29,IF(Skills!C10=3,120+Inputs!$B$27+Inputs!$B$29,MAX(0,(Inputs!$B$3-100)*3)+Inputs!$B$28+Inputs!$B$29)))</f>
        <v/>
      </c>
      <c r="E1884">
        <f>INDEX(FactorTable!$B$2:$Y$301, MATCH(ROUND(MIN(300,MAX(1,D1884)),0), FactorTable!$A$2:$A$301,0), Skills!M10+1)</f>
        <v/>
      </c>
      <c r="F1884">
        <f>IF(Skills!N10=TRUE,(Skills!L10/10)*(E1884/1000),Skills!L10/10)+Skills!O10</f>
        <v/>
      </c>
      <c r="G1884">
        <f>Calc!G10</f>
        <v/>
      </c>
      <c r="H1884">
        <f>Calc!H10</f>
        <v/>
      </c>
      <c r="I1884">
        <f>IF(Skills!X10&lt;&gt;"",1+(Skills!X10/10)*(Z1877/1000)/100,1)</f>
        <v/>
      </c>
      <c r="J1884">
        <f>((Inputs!$B$6*(1+Inputs!$B$7/100))+(((Inputs!$B$12*(1+Inputs!$B$13/100))-(Inputs!$B$12*(1+Inputs!$B$13/100)))+0.25*(Inputs!$B$14-Inputs!$B$14))*(1+Inputs!$B$7/100))*(F1884/100)</f>
        <v/>
      </c>
      <c r="K1884">
        <f>J1884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1884)</f>
        <v/>
      </c>
      <c r="L1884">
        <f>K1884*(MIN(Inputs!$B$22+(F1896-Calc!F22),(Inputs!$B$23+(IF(ArtifactsInput!$M$15,CHOOSE(ArtifactsInput!$N$15+1,25,30,35,40,45,50)/100*(Inputs!$B$11-Inputs!$B$11),0))))/100+(Inputs!$B$23+(IF(ArtifactsInput!$M$15,CHOOSE(ArtifactsInput!$N$15+1,25,30,35,40,45,50)/100*(Inputs!$B$11-Inputs!$B$11),0)))/100)/2</f>
        <v/>
      </c>
      <c r="M1884">
        <f>L1884*(1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4">
        <f>L1884*(1-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1884*(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4">
        <f>(1-Summary!$B$11)*S1884+Summary!$B$11*U1884</f>
        <v/>
      </c>
      <c r="P1884">
        <f>IF(B1915=0,0,O1884/B1915)</f>
        <v/>
      </c>
      <c r="Q1884">
        <f>IFERROR(1/(IF(Inputs!$B$38="pvp",15,MAX(0.1,Skills!E10-IF(Skills!F10=TRUE,Inputs!$B$32,0)))*(1-IF(AND(ArtifactsInput!$M$27,Inputs!$B$4="Chapter Hunt"),CHOOSE(ArtifactsInput!$N$27+1,20,24,28,32,36,40),0)/100)),0)</f>
        <v/>
      </c>
      <c r="R1884">
        <f>IF(AND(Inputs!$B$38&lt;&gt;"pvp",Inputs!$B$43&gt;0),IF(MAX(0,Inputs!$B$43-B1912)&lt;=0,0,(INT(MAX(0,Inputs!$B$43-B1912)/(IF(Inputs!$B$38="pvp",15,MAX(0.1,Skills!E10-IF(Skills!F10=TRUE,Inputs!$B$32,0)))*(1-IF(AND(ArtifactsInput!$M$27,Inputs!$B$4="Chapter Hunt"),CHOOSE(ArtifactsInput!$N$27+1,20,24,28,32,36,40),0)/100)))+1)),0)</f>
        <v/>
      </c>
      <c r="S1884">
        <f>IF(C1884,(H1884*N1884*IF(AND(Inputs!$B$38&lt;&gt;"pvp",Inputs!$B$43&gt;0),((Skills!G10*((R1884-1)*IF(Skills!H10&gt;0,Skills!I10/Skills!H10,1)+IF(Skills!H10&gt;0,MIN(Skills!I10,MAX(0,MAX(0,Inputs!$B$43-B1912)-((R1884-1)*(IF(Inputs!$B$38="pvp",15,MAX(0.1,Skills!E10-IF(Skills!F10=TRUE,Inputs!$B$32,0)))*(1-IF(AND(ArtifactsInput!$M$27,Inputs!$B$4="Chapter Hunt"),CHOOSE(ArtifactsInput!$N$27+1,20,24,28,32,36,40),0)/100)))))/Skills!H10,1)))/Inputs!$B$43),G1884*Q1884)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1884*(1-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1884*(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1884*(1-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1884*(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4">
        <f>IF(C1884,(H1884*N1884*IF(AND(Inputs!$B$38&lt;&gt;"pvp",Inputs!$B$43&gt;0),((Skills!G10*((R1884-1)*IF(Skills!H10&gt;0,Skills!I10/Skills!H10,1)+IF(Skills!H10&gt;0,MIN(Skills!I10,MAX(0,MAX(0,Inputs!$B$43-B1912)-((R1884-1)*(IF(Inputs!$B$38="pvp",15,MAX(0.1,Skills!E10-IF(Skills!F10=TRUE,Inputs!$B$32,0)))*(1-IF(AND(ArtifactsInput!$M$27,Inputs!$B$4="Chapter Hunt"),CHOOSE(ArtifactsInput!$N$27+1,20,24,28,32,36,40),0)/100)))))/Skills!H10,1)))/Inputs!$B$43),G1884*Q1884)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5">
      <c r="A1885">
        <f>Skills!A11</f>
        <v/>
      </c>
      <c r="B1885">
        <f>Skills!B11</f>
        <v/>
      </c>
      <c r="C1885">
        <f>TRUE</f>
        <v/>
      </c>
      <c r="D1885">
        <f>IF(Skills!C11=1,60+Inputs!$B$25+Inputs!$B$29,IF(Skills!C11=2,90+Inputs!$B$26+Inputs!$B$29,IF(Skills!C11=3,120+Inputs!$B$27+Inputs!$B$29,MAX(0,(Inputs!$B$3-100)*3)+Inputs!$B$28+Inputs!$B$29)))</f>
        <v/>
      </c>
      <c r="E1885">
        <f>INDEX(FactorTable!$B$2:$Y$301, MATCH(ROUND(MIN(300,MAX(1,D1885)),0), FactorTable!$A$2:$A$301,0), Skills!M11+1)</f>
        <v/>
      </c>
      <c r="F1885">
        <f>IF(Skills!N11=TRUE,(Skills!L11/10)*(E1885/1000),Skills!L11/10)+Skills!O11</f>
        <v/>
      </c>
      <c r="G1885">
        <f>Calc!G11</f>
        <v/>
      </c>
      <c r="H1885">
        <f>Calc!H11</f>
        <v/>
      </c>
      <c r="I1885">
        <f>IF(Skills!X11&lt;&gt;"",1+(Skills!X11/10)*(Z1877/1000)/100,1)</f>
        <v/>
      </c>
      <c r="J1885" t="inlineStr"/>
      <c r="K1885" t="inlineStr"/>
      <c r="L1885" t="inlineStr"/>
      <c r="M1885" t="inlineStr"/>
      <c r="N1885" t="inlineStr"/>
      <c r="O1885">
        <f>(1-Summary!$B$11)*S1885+Summary!$B$11*U1885</f>
        <v/>
      </c>
      <c r="P1885">
        <f>IF(B1915=0,0,O1885/B1915)</f>
        <v/>
      </c>
      <c r="Q1885">
        <f>IFERROR(1/(IF(Inputs!$B$38="pvp",15,MAX(0.1,Skills!E11-IF(Skills!F11=TRUE,Inputs!$B$32,0)))*(1-IF(AND(ArtifactsInput!$M$27,Inputs!$B$4="Chapter Hunt"),CHOOSE(ArtifactsInput!$N$27+1,20,24,28,32,36,40),0)/100)),0)</f>
        <v/>
      </c>
      <c r="R1885" t="n">
        <v>0</v>
      </c>
      <c r="S1885" t="n">
        <v>0</v>
      </c>
      <c r="U1885" t="n">
        <v>0</v>
      </c>
    </row>
    <row r="1886">
      <c r="A1886">
        <f>Skills!A12</f>
        <v/>
      </c>
      <c r="B1886">
        <f>Skills!B12</f>
        <v/>
      </c>
      <c r="C1886">
        <f>TRUE</f>
        <v/>
      </c>
      <c r="D1886">
        <f>IF(Skills!C12=1,60+Inputs!$B$25+Inputs!$B$29,IF(Skills!C12=2,90+Inputs!$B$26+Inputs!$B$29,IF(Skills!C12=3,120+Inputs!$B$27+Inputs!$B$29,MAX(0,(Inputs!$B$3-100)*3)+Inputs!$B$28+Inputs!$B$29)))</f>
        <v/>
      </c>
      <c r="E1886">
        <f>INDEX(FactorTable!$B$2:$Y$301, MATCH(ROUND(MIN(300,MAX(1,D1886)),0), FactorTable!$A$2:$A$301,0), Skills!M12+1)</f>
        <v/>
      </c>
      <c r="F1886">
        <f>IF(Skills!N12=TRUE,(Skills!L12/10)*(E1886/1000),Skills!L12/10)+Skills!O12</f>
        <v/>
      </c>
      <c r="G1886">
        <f>Calc!G12</f>
        <v/>
      </c>
      <c r="H1886">
        <f>Calc!H12</f>
        <v/>
      </c>
      <c r="I1886">
        <f>IF(Skills!X12&lt;&gt;"",1+(Skills!X12/10)*(Z1877/1000)/100,1)</f>
        <v/>
      </c>
      <c r="J1886" t="inlineStr"/>
      <c r="K1886" t="inlineStr"/>
      <c r="L1886" t="inlineStr"/>
      <c r="M1886" t="inlineStr"/>
      <c r="N1886" t="inlineStr"/>
      <c r="O1886">
        <f>(1-Summary!$B$11)*S1886+Summary!$B$11*U1886</f>
        <v/>
      </c>
      <c r="P1886">
        <f>IF(B1915=0,0,O1886/B1915)</f>
        <v/>
      </c>
      <c r="Q1886">
        <f>IFERROR(1/(IF(Inputs!$B$38="pvp",15,MAX(0.1,Skills!E12-IF(Skills!F12=TRUE,Inputs!$B$32,0)))*(1-IF(AND(ArtifactsInput!$M$27,Inputs!$B$4="Chapter Hunt"),CHOOSE(ArtifactsInput!$N$27+1,20,24,28,32,36,40),0)/100)),0)</f>
        <v/>
      </c>
      <c r="R1886" t="n">
        <v>0</v>
      </c>
      <c r="S1886" t="n">
        <v>0</v>
      </c>
      <c r="U1886" t="n">
        <v>0</v>
      </c>
    </row>
    <row r="1887">
      <c r="A1887">
        <f>Skills!A13</f>
        <v/>
      </c>
      <c r="B1887">
        <f>Skills!B13</f>
        <v/>
      </c>
      <c r="C1887">
        <f>Inputs!$B$3&gt;=105</f>
        <v/>
      </c>
      <c r="D1887">
        <f>IF(Skills!C13=1,60+Inputs!$B$25+Inputs!$B$29,IF(Skills!C13=2,90+Inputs!$B$26+Inputs!$B$29,IF(Skills!C13=3,120+Inputs!$B$27+Inputs!$B$29,MAX(0,(Inputs!$B$3-100)*3)+Inputs!$B$28+Inputs!$B$29)))</f>
        <v/>
      </c>
      <c r="E1887">
        <f>INDEX(FactorTable!$B$2:$Y$301, MATCH(ROUND(MIN(300,MAX(1,D1887)),0), FactorTable!$A$2:$A$301,0), Skills!M13+1)</f>
        <v/>
      </c>
      <c r="F1887">
        <f>IF(Skills!N13=TRUE,(Skills!L13/10)*(E1887/1000),Skills!L13/10)+Skills!O13</f>
        <v/>
      </c>
      <c r="G1887">
        <f>Calc!G13</f>
        <v/>
      </c>
      <c r="H1887">
        <f>Calc!H13</f>
        <v/>
      </c>
      <c r="I1887">
        <f>IF(Skills!X13&lt;&gt;"",1+(Skills!X13/10)*(Z1877/1000)/100,1)</f>
        <v/>
      </c>
      <c r="J1887">
        <f>((Inputs!$B$6*(1+Inputs!$B$7/100))+(((Inputs!$B$12*(1+Inputs!$B$13/100))-(Inputs!$B$12*(1+Inputs!$B$13/100)))+0.25*(Inputs!$B$14-Inputs!$B$14))*(1+Inputs!$B$7/100))*(F1887/100)</f>
        <v/>
      </c>
      <c r="K1887">
        <f>J1887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1887)</f>
        <v/>
      </c>
      <c r="L1887">
        <f>K1887*(MIN(Inputs!$B$22+(F1896-Calc!F22),(Inputs!$B$23+(IF(ArtifactsInput!$M$15,CHOOSE(ArtifactsInput!$N$15+1,25,30,35,40,45,50)/100*(Inputs!$B$11-Inputs!$B$11),0))))/100+(Inputs!$B$23+(IF(ArtifactsInput!$M$15,CHOOSE(ArtifactsInput!$N$15+1,25,30,35,40,45,50)/100*(Inputs!$B$11-Inputs!$B$11),0)))/100)/2</f>
        <v/>
      </c>
      <c r="M1887">
        <f>L1887*(1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7">
        <f>L1887*(1-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1887*(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7">
        <f>(1-Summary!$B$11)*S1887+Summary!$B$11*U1887</f>
        <v/>
      </c>
      <c r="P1887">
        <f>IF(B1915=0,0,O1887/B1915)</f>
        <v/>
      </c>
      <c r="Q1887">
        <f>IFERROR(1/(IF(Inputs!$B$38="pvp",15,MAX(0.1,Skills!E13-IF(Skills!F13=TRUE,Inputs!$B$32,0)))*(1-IF(AND(ArtifactsInput!$M$27,Inputs!$B$4="Chapter Hunt"),CHOOSE(ArtifactsInput!$N$27+1,20,24,28,32,36,40),0)/100)),0)</f>
        <v/>
      </c>
      <c r="R1887">
        <f>IF(AND(Inputs!$B$38&lt;&gt;"pvp",Inputs!$B$43&gt;0),IF(MAX(0,Inputs!$B$43-B1912)&lt;=0,0,(INT(MAX(0,Inputs!$B$43-B1912)/(IF(Inputs!$B$38="pvp",15,MAX(0.1,Skills!E13-IF(Skills!F13=TRUE,Inputs!$B$32,0)))*(1-IF(AND(ArtifactsInput!$M$27,Inputs!$B$4="Chapter Hunt"),CHOOSE(ArtifactsInput!$N$27+1,20,24,28,32,36,40),0)/100)))+1)),0)</f>
        <v/>
      </c>
      <c r="S1887">
        <f>IF(C1887,(H1887*N1887*IF(AND(Inputs!$B$38&lt;&gt;"pvp",Inputs!$B$43&gt;0),((Skills!G13*((R1887-1)*IF(Skills!H13&gt;0,Skills!I13/Skills!H13,1)+IF(Skills!H13&gt;0,MIN(Skills!I13,MAX(0,MAX(0,Inputs!$B$43-B1912)-((R1887-1)*(IF(Inputs!$B$38="pvp",15,MAX(0.1,Skills!E13-IF(Skills!F13=TRUE,Inputs!$B$32,0)))*(1-IF(AND(ArtifactsInput!$M$27,Inputs!$B$4="Chapter Hunt"),CHOOSE(ArtifactsInput!$N$27+1,20,24,28,32,36,40),0)/100)))))/Skills!H13,1)))/Inputs!$B$43),G1887*Q1887)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1887*(1-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1887*(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1887*(1-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1887*(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7">
        <f>IF(C1887,(H1887*N1887*IF(AND(Inputs!$B$38&lt;&gt;"pvp",Inputs!$B$43&gt;0),((Skills!G13*((R1887-1)*IF(Skills!H13&gt;0,Skills!I13/Skills!H13,1)+IF(Skills!H13&gt;0,MIN(Skills!I13,MAX(0,MAX(0,Inputs!$B$43-B1912)-((R1887-1)*(IF(Inputs!$B$38="pvp",15,MAX(0.1,Skills!E13-IF(Skills!F13=TRUE,Inputs!$B$32,0)))*(1-IF(AND(ArtifactsInput!$M$27,Inputs!$B$4="Chapter Hunt"),CHOOSE(ArtifactsInput!$N$27+1,20,24,28,32,36,40),0)/100)))))/Skills!H13,1)))/Inputs!$B$43),G1887*Q1887)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8">
      <c r="A1888">
        <f>Skills!A14</f>
        <v/>
      </c>
      <c r="B1888">
        <f>Skills!B14</f>
        <v/>
      </c>
      <c r="C1888">
        <f>Inputs!$B$3&gt;=113</f>
        <v/>
      </c>
      <c r="D1888">
        <f>IF(Skills!C14=1,60+Inputs!$B$25+Inputs!$B$29,IF(Skills!C14=2,90+Inputs!$B$26+Inputs!$B$29,IF(Skills!C14=3,120+Inputs!$B$27+Inputs!$B$29,MAX(0,(Inputs!$B$3-100)*3)+Inputs!$B$28+Inputs!$B$29)))</f>
        <v/>
      </c>
      <c r="E1888">
        <f>INDEX(FactorTable!$B$2:$Y$301, MATCH(ROUND(MIN(300,MAX(1,D1888)),0), FactorTable!$A$2:$A$301,0), Skills!M14+1)</f>
        <v/>
      </c>
      <c r="F1888">
        <f>IF(Skills!N14=TRUE,(Skills!L14/10)*(E1888/1000),Skills!L14/10)+Skills!O14</f>
        <v/>
      </c>
      <c r="G1888">
        <f>Calc!G14</f>
        <v/>
      </c>
      <c r="H1888">
        <f>Calc!H14</f>
        <v/>
      </c>
      <c r="I1888">
        <f>IF(Skills!X14&lt;&gt;"",1+(Skills!X14/10)*(Z1877/1000)/100,1)</f>
        <v/>
      </c>
      <c r="J1888">
        <f>((Inputs!$B$6*(1+Inputs!$B$7/100))+(((Inputs!$B$12*(1+Inputs!$B$13/100))-(Inputs!$B$12*(1+Inputs!$B$13/100)))+0.25*(Inputs!$B$14-Inputs!$B$14))*(1+Inputs!$B$7/100))*(F1888/100)</f>
        <v/>
      </c>
      <c r="K1888">
        <f>J1888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1888)</f>
        <v/>
      </c>
      <c r="L1888">
        <f>K1888*(MIN(Inputs!$B$22+(F1896-Calc!F22),(Inputs!$B$23+(IF(ArtifactsInput!$M$15,CHOOSE(ArtifactsInput!$N$15+1,25,30,35,40,45,50)/100*(Inputs!$B$11-Inputs!$B$11),0))))/100+(Inputs!$B$23+(IF(ArtifactsInput!$M$15,CHOOSE(ArtifactsInput!$N$15+1,25,30,35,40,45,50)/100*(Inputs!$B$11-Inputs!$B$11),0)))/100)/2</f>
        <v/>
      </c>
      <c r="M1888">
        <f>L1888*(1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8">
        <f>L1888*(1-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1888*(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8">
        <f>(1-Summary!$B$11)*S1888+Summary!$B$11*U1888</f>
        <v/>
      </c>
      <c r="P1888">
        <f>IF(B1915=0,0,O1888/B1915)</f>
        <v/>
      </c>
      <c r="Q1888">
        <f>IFERROR(1/(IF(Inputs!$B$38="pvp",15,MAX(0.1,Skills!E14-IF(Skills!F14=TRUE,Inputs!$B$32,0)))*(1-IF(AND(ArtifactsInput!$M$27,Inputs!$B$4="Chapter Hunt"),CHOOSE(ArtifactsInput!$N$27+1,20,24,28,32,36,40),0)/100)),0)</f>
        <v/>
      </c>
      <c r="R1888" t="n">
        <v>0</v>
      </c>
      <c r="S1888">
        <f>IF(C1888,((H1888*B1911)/(1+Skills!H14*H1888*B1911)*N1888)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1888*(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1888*(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8">
        <f>IF(C1888,((H1888*B1911)/(1+Skills!H14*H1888*B1911)*N1888)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9">
      <c r="A1889">
        <f>Skills!A15</f>
        <v/>
      </c>
      <c r="B1889">
        <f>Skills!B15</f>
        <v/>
      </c>
      <c r="C1889">
        <f>Inputs!$B$3&gt;=107</f>
        <v/>
      </c>
      <c r="D1889">
        <f>IF(Skills!C15=1,60+Inputs!$B$25+Inputs!$B$29,IF(Skills!C15=2,90+Inputs!$B$26+Inputs!$B$29,IF(Skills!C15=3,120+Inputs!$B$27+Inputs!$B$29,MAX(0,(Inputs!$B$3-100)*3)+Inputs!$B$28+Inputs!$B$29)))</f>
        <v/>
      </c>
      <c r="E1889">
        <f>INDEX(FactorTable!$B$2:$Y$301, MATCH(ROUND(MIN(300,MAX(1,D1889)),0), FactorTable!$A$2:$A$301,0), Skills!M15+1)</f>
        <v/>
      </c>
      <c r="F1889">
        <f>IF(Skills!N15=TRUE,(Skills!L15/10)*(E1889/1000),Skills!L15/10)+Skills!O15</f>
        <v/>
      </c>
      <c r="G1889">
        <f>Calc!G15</f>
        <v/>
      </c>
      <c r="H1889">
        <f>Calc!H15</f>
        <v/>
      </c>
      <c r="I1889">
        <f>IF(Skills!X15&lt;&gt;"",1+(Skills!X15/10)*(Z1877/1000)/100,1)</f>
        <v/>
      </c>
      <c r="J1889">
        <f>((Inputs!$B$6*(1+Inputs!$B$7/100))+(((Inputs!$B$12*(1+Inputs!$B$13/100))-(Inputs!$B$12*(1+Inputs!$B$13/100)))+0.25*(Inputs!$B$14-Inputs!$B$14))*(1+Inputs!$B$7/100))*(F1889/100)</f>
        <v/>
      </c>
      <c r="K1889">
        <f>J1889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1889)</f>
        <v/>
      </c>
      <c r="L1889">
        <f>K1889*(MIN(Inputs!$B$22+(F1896-Calc!F22),(Inputs!$B$23+(IF(ArtifactsInput!$M$15,CHOOSE(ArtifactsInput!$N$15+1,25,30,35,40,45,50)/100*(Inputs!$B$11-Inputs!$B$11),0))))/100+(Inputs!$B$23+(IF(ArtifactsInput!$M$15,CHOOSE(ArtifactsInput!$N$15+1,25,30,35,40,45,50)/100*(Inputs!$B$11-Inputs!$B$11),0)))/100)/2</f>
        <v/>
      </c>
      <c r="M1889">
        <f>L1889*(1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9">
        <f>L1889*(1-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1889*(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9">
        <f>(1-Summary!$B$11)*S1889+Summary!$B$11*U1889</f>
        <v/>
      </c>
      <c r="P1889">
        <f>IF(B1915=0,0,O1889/B1915)</f>
        <v/>
      </c>
      <c r="Q1889">
        <f>IFERROR(1/(IF(Inputs!$B$38="pvp",15,MAX(0.1,Skills!E15-IF(Skills!F15=TRUE,Inputs!$B$32,0)))*(1-IF(AND(ArtifactsInput!$M$27,Inputs!$B$4="Chapter Hunt"),CHOOSE(ArtifactsInput!$N$27+1,20,24,28,32,36,40),0)/100)),0)</f>
        <v/>
      </c>
      <c r="R1889">
        <f>IF(AND(Inputs!$B$38&lt;&gt;"pvp",Inputs!$B$43&gt;0),IF(MAX(0,Inputs!$B$43-B1912)&lt;=0,0,(INT(MAX(0,Inputs!$B$43-B1912)/(IF(Inputs!$B$38="pvp",15,MAX(0.1,Skills!E15-IF(Skills!F15=TRUE,Inputs!$B$32,0)))*(1-IF(AND(ArtifactsInput!$M$27,Inputs!$B$4="Chapter Hunt"),CHOOSE(ArtifactsInput!$N$27+1,20,24,28,32,36,40),0)/100)))+1)),0)</f>
        <v/>
      </c>
      <c r="S1889">
        <f>IF(C1889,(H1889*N1889*IF(AND(Inputs!$B$38&lt;&gt;"pvp",Inputs!$B$43&gt;0),((Skills!G15*((R1889-1)*IF(Skills!H15&gt;0,Skills!I15/Skills!H15,1)+IF(Skills!H15&gt;0,MIN(Skills!I15,MAX(0,MAX(0,Inputs!$B$43-B1912)-((R1889-1)*(IF(Inputs!$B$38="pvp",15,MAX(0.1,Skills!E15-IF(Skills!F15=TRUE,Inputs!$B$32,0)))*(1-IF(AND(ArtifactsInput!$M$27,Inputs!$B$4="Chapter Hunt"),CHOOSE(ArtifactsInput!$N$27+1,20,24,28,32,36,40),0)/100)))))/Skills!H15,1)))/Inputs!$B$43),G1889*Q1889)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1889*(1-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1889*(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1889*(1-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1889*(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9">
        <f>IF(C1889,(H1889*N1889*IF(AND(Inputs!$B$38&lt;&gt;"pvp",Inputs!$B$43&gt;0),((Skills!G15*((R1889-1)*IF(Skills!H15&gt;0,Skills!I15/Skills!H15,1)+IF(Skills!H15&gt;0,MIN(Skills!I15,MAX(0,MAX(0,Inputs!$B$43-B1912)-((R1889-1)*(IF(Inputs!$B$38="pvp",15,MAX(0.1,Skills!E15-IF(Skills!F15=TRUE,Inputs!$B$32,0)))*(1-IF(AND(ArtifactsInput!$M$27,Inputs!$B$4="Chapter Hunt"),CHOOSE(ArtifactsInput!$N$27+1,20,24,28,32,36,40),0)/100)))))/Skills!H15,1)))/Inputs!$B$43),G1889*Q1889)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90">
      <c r="A1890">
        <f>Skills!A16</f>
        <v/>
      </c>
      <c r="B1890">
        <f>Skills!B16</f>
        <v/>
      </c>
      <c r="C1890">
        <f>Inputs!$B$3&gt;=107</f>
        <v/>
      </c>
      <c r="D1890">
        <f>IF(Skills!C16=1,60+Inputs!$B$25+Inputs!$B$29,IF(Skills!C16=2,90+Inputs!$B$26+Inputs!$B$29,IF(Skills!C16=3,120+Inputs!$B$27+Inputs!$B$29,MAX(0,(Inputs!$B$3-100)*3)+Inputs!$B$28+Inputs!$B$29)))</f>
        <v/>
      </c>
      <c r="E1890">
        <f>INDEX(FactorTable!$B$2:$Y$301, MATCH(ROUND(MIN(300,MAX(1,D1890)),0), FactorTable!$A$2:$A$301,0), Skills!M16+1)</f>
        <v/>
      </c>
      <c r="F1890">
        <f>IF(Skills!N16=TRUE,(Skills!L16/10)*(E1890/1000),Skills!L16/10)+Skills!O16</f>
        <v/>
      </c>
      <c r="G1890">
        <f>Calc!G16</f>
        <v/>
      </c>
      <c r="H1890">
        <f>Calc!H16</f>
        <v/>
      </c>
      <c r="I1890">
        <f>IF(Skills!X16&lt;&gt;"",1+(Skills!X16/10)*(Z1877/1000)/100,1)</f>
        <v/>
      </c>
      <c r="J1890">
        <f>((Inputs!$B$6*(1+Inputs!$B$7/100))+(((Inputs!$B$12*(1+Inputs!$B$13/100))-(Inputs!$B$12*(1+Inputs!$B$13/100)))+0.25*(Inputs!$B$14-Inputs!$B$14))*(1+Inputs!$B$7/100))*(F1890/100)</f>
        <v/>
      </c>
      <c r="K1890">
        <f>J1890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1890)</f>
        <v/>
      </c>
      <c r="L1890">
        <f>K1890*(MIN(Inputs!$B$22+(F1896-Calc!F22),(Inputs!$B$23+(IF(ArtifactsInput!$M$15,CHOOSE(ArtifactsInput!$N$15+1,25,30,35,40,45,50)/100*(Inputs!$B$11-Inputs!$B$11),0))))/100+(Inputs!$B$23+(IF(ArtifactsInput!$M$15,CHOOSE(ArtifactsInput!$N$15+1,25,30,35,40,45,50)/100*(Inputs!$B$11-Inputs!$B$11),0)))/100)/2</f>
        <v/>
      </c>
      <c r="M1890">
        <f>L1890*(1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90">
        <f>L1890*(1-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1890*(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90">
        <f>(1-Summary!$B$11)*S1890+Summary!$B$11*U1890</f>
        <v/>
      </c>
      <c r="P1890">
        <f>IF(B1915=0,0,O1890/B1915)</f>
        <v/>
      </c>
      <c r="Q1890">
        <f>IFERROR(1/(IF(Inputs!$B$38="pvp",15,MAX(0.1,Skills!E16-IF(Skills!F16=TRUE,Inputs!$B$32,0)))*(1-IF(AND(ArtifactsInput!$M$27,Inputs!$B$4="Chapter Hunt"),CHOOSE(ArtifactsInput!$N$27+1,20,24,28,32,36,40),0)/100)),0)</f>
        <v/>
      </c>
      <c r="R1890">
        <f>IF(AND(Inputs!$B$38&lt;&gt;"pvp",Inputs!$B$43&gt;0),IF(MAX(0,Inputs!$B$43-B1912)&lt;=0,0,(INT(MAX(0,Inputs!$B$43-B1912)/(IF(Inputs!$B$38="pvp",15,MAX(0.1,Skills!E16-IF(Skills!F16=TRUE,Inputs!$B$32,0)))*(1-IF(AND(ArtifactsInput!$M$27,Inputs!$B$4="Chapter Hunt"),CHOOSE(ArtifactsInput!$N$27+1,20,24,28,32,36,40),0)/100)))+1)),0)</f>
        <v/>
      </c>
      <c r="S1890">
        <f>IF(C1890,(H1890*N1890*IF(AND(Inputs!$B$38&lt;&gt;"pvp",Inputs!$B$43&gt;0),((Skills!G16*((R1890-1)*IF(Skills!H16&gt;0,Skills!I16/Skills!H16,1)+IF(Skills!H16&gt;0,MIN(Skills!I16,MAX(0,MAX(0,Inputs!$B$43-B1912)-((R1890-1)*(IF(Inputs!$B$38="pvp",15,MAX(0.1,Skills!E16-IF(Skills!F16=TRUE,Inputs!$B$32,0)))*(1-IF(AND(ArtifactsInput!$M$27,Inputs!$B$4="Chapter Hunt"),CHOOSE(ArtifactsInput!$N$27+1,20,24,28,32,36,40),0)/100)))))/Skills!H16,1)))/Inputs!$B$43),G1890*Q1890)*(1+IF(Inputs!$B$3&gt;=126,0.05*(B1910+Q1887+(H1888*B1911)/(1+Skills!H14*H1888*B1911)+Q1898)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1890*(1-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1890*(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1890*(1-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1890*(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90">
        <f>IF(C1890,(H1890*N1890*IF(AND(Inputs!$B$38&lt;&gt;"pvp",Inputs!$B$43&gt;0),((Skills!G16*((R1890-1)*IF(Skills!H16&gt;0,Skills!I16/Skills!H16,1)+IF(Skills!H16&gt;0,MIN(Skills!I16,MAX(0,MAX(0,Inputs!$B$43-B1912)-((R1890-1)*(IF(Inputs!$B$38="pvp",15,MAX(0.1,Skills!E16-IF(Skills!F16=TRUE,Inputs!$B$32,0)))*(1-IF(AND(ArtifactsInput!$M$27,Inputs!$B$4="Chapter Hunt"),CHOOSE(ArtifactsInput!$N$27+1,20,24,28,32,36,40),0)/100)))))/Skills!H16,1)))/Inputs!$B$43),G1890*Q1890)*(1+IF(Inputs!$B$3&gt;=126,0.05*(B1910+Q1887+(H1888*B1911)/(1+Skills!H14*H1888*B1911)+Q1898)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91">
      <c r="A1891">
        <f>Skills!A17</f>
        <v/>
      </c>
      <c r="B1891">
        <f>Skills!B17</f>
        <v/>
      </c>
      <c r="C1891">
        <f>TRUE</f>
        <v/>
      </c>
      <c r="D1891">
        <f>IF(Skills!C17=1,60+Inputs!$B$25+Inputs!$B$29,IF(Skills!C17=2,90+Inputs!$B$26+Inputs!$B$29,IF(Skills!C17=3,120+Inputs!$B$27+Inputs!$B$29,MAX(0,(Inputs!$B$3-100)*3)+Inputs!$B$28+Inputs!$B$29)))</f>
        <v/>
      </c>
      <c r="E1891">
        <f>INDEX(FactorTable!$B$2:$Y$301, MATCH(ROUND(MIN(300,MAX(1,D1891)),0), FactorTable!$A$2:$A$301,0), Skills!M17+1)</f>
        <v/>
      </c>
      <c r="F1891">
        <f>IF(Skills!N17=TRUE,(Skills!L17/10)*(E1891/1000),Skills!L17/10)+Skills!O17</f>
        <v/>
      </c>
      <c r="G1891">
        <f>Calc!G17</f>
        <v/>
      </c>
      <c r="H1891">
        <f>Calc!H17</f>
        <v/>
      </c>
      <c r="I1891">
        <f>IF(Skills!X17&lt;&gt;"",1+(Skills!X17/10)*(Z1877/1000)/100,1)</f>
        <v/>
      </c>
      <c r="J1891" t="inlineStr"/>
      <c r="K1891" t="inlineStr"/>
      <c r="L1891" t="inlineStr"/>
      <c r="M1891" t="inlineStr"/>
      <c r="N1891" t="inlineStr"/>
      <c r="O1891">
        <f>(1-Summary!$B$11)*S1891+Summary!$B$11*U1891</f>
        <v/>
      </c>
      <c r="P1891">
        <f>IF(B1915=0,0,O1891/B1915)</f>
        <v/>
      </c>
      <c r="Q1891">
        <f>IFERROR(1/(IF(Inputs!$B$38="pvp",15,MAX(0.1,Skills!E17-IF(Skills!F17=TRUE,Inputs!$B$32,0)))*(1-IF(AND(ArtifactsInput!$M$27,Inputs!$B$4="Chapter Hunt"),CHOOSE(ArtifactsInput!$N$27+1,20,24,28,32,36,40),0)/100)),0)</f>
        <v/>
      </c>
      <c r="R1891">
        <f>IF(AND(Inputs!$B$38&lt;&gt;"pvp",Inputs!$B$43&gt;0),IF(Inputs!$B$43&lt;=0,0,(INT(Inputs!$B$43/(IF(Inputs!$B$38="pvp",15,MAX(0.1,Skills!E17-IF(Skills!F17=TRUE,Inputs!$B$32,0)))*(1-IF(AND(ArtifactsInput!$M$27,Inputs!$B$4="Chapter Hunt"),CHOOSE(ArtifactsInput!$N$27+1,20,24,28,32,36,40),0)/100)))+1)),0)</f>
        <v/>
      </c>
      <c r="S1891" t="n">
        <v>0</v>
      </c>
      <c r="U1891" t="n">
        <v>0</v>
      </c>
    </row>
    <row r="1892">
      <c r="A1892">
        <f>Skills!A18</f>
        <v/>
      </c>
      <c r="B1892">
        <f>Skills!B18</f>
        <v/>
      </c>
      <c r="C1892">
        <f>TRUE</f>
        <v/>
      </c>
      <c r="D1892">
        <f>IF(Skills!C18=1,60+Inputs!$B$25+Inputs!$B$29,IF(Skills!C18=2,90+Inputs!$B$26+Inputs!$B$29,IF(Skills!C18=3,120+Inputs!$B$27+Inputs!$B$29,MAX(0,(Inputs!$B$3-100)*3)+Inputs!$B$28+Inputs!$B$29)))</f>
        <v/>
      </c>
      <c r="E1892">
        <f>INDEX(FactorTable!$B$2:$Y$301, MATCH(ROUND(MIN(300,MAX(1,D1892)),0), FactorTable!$A$2:$A$301,0), Skills!M18+1)</f>
        <v/>
      </c>
      <c r="F1892">
        <f>IF(Skills!N18=TRUE,(Skills!L18/10)*(E1892/1000),Skills!L18/10)+Skills!O18</f>
        <v/>
      </c>
      <c r="G1892">
        <f>Calc!G18</f>
        <v/>
      </c>
      <c r="H1892">
        <f>Calc!H18</f>
        <v/>
      </c>
      <c r="I1892">
        <f>IF(Skills!X18&lt;&gt;"",1+(Skills!X18/10)*(Z1877/1000)/100,1)</f>
        <v/>
      </c>
      <c r="J1892" t="inlineStr"/>
      <c r="K1892" t="inlineStr"/>
      <c r="L1892" t="inlineStr"/>
      <c r="M1892" t="inlineStr"/>
      <c r="N1892" t="inlineStr"/>
      <c r="O1892">
        <f>(1-Summary!$B$11)*S1892+Summary!$B$11*U1892</f>
        <v/>
      </c>
      <c r="P1892">
        <f>IF(B1915=0,0,O1892/B1915)</f>
        <v/>
      </c>
      <c r="Q1892">
        <f>IFERROR(1/(IF(Inputs!$B$38="pvp",15,MAX(0.1,Skills!E18-IF(Skills!F18=TRUE,Inputs!$B$32,0)))*(1-IF(AND(ArtifactsInput!$M$27,Inputs!$B$4="Chapter Hunt"),CHOOSE(ArtifactsInput!$N$27+1,20,24,28,32,36,40),0)/100)),0)</f>
        <v/>
      </c>
      <c r="R1892">
        <f>IF(AND(Inputs!$B$38&lt;&gt;"pvp",Inputs!$B$43&gt;0),IF(Inputs!$B$43&lt;=0,0,(INT(Inputs!$B$43/(IF(Inputs!$B$38="pvp",15,MAX(0.1,Skills!E18-IF(Skills!F18=TRUE,Inputs!$B$32,0)))*(1-IF(AND(ArtifactsInput!$M$27,Inputs!$B$4="Chapter Hunt"),CHOOSE(ArtifactsInput!$N$27+1,20,24,28,32,36,40),0)/100)))+1)),0)</f>
        <v/>
      </c>
      <c r="S1892" t="n">
        <v>0</v>
      </c>
      <c r="U1892" t="n">
        <v>0</v>
      </c>
    </row>
    <row r="1893">
      <c r="A1893">
        <f>Skills!A19</f>
        <v/>
      </c>
      <c r="B1893">
        <f>Skills!B19</f>
        <v/>
      </c>
      <c r="C1893">
        <f>Inputs!$B$3&gt;=110</f>
        <v/>
      </c>
      <c r="D1893">
        <f>IF(Skills!C19=1,60+Inputs!$B$25+Inputs!$B$29,IF(Skills!C19=2,90+Inputs!$B$26+Inputs!$B$29,IF(Skills!C19=3,120+Inputs!$B$27+Inputs!$B$29,MAX(0,(Inputs!$B$3-100)*3)+Inputs!$B$28+Inputs!$B$29)))</f>
        <v/>
      </c>
      <c r="E1893">
        <f>INDEX(FactorTable!$B$2:$Y$301, MATCH(ROUND(MIN(300,MAX(1,D1893)),0), FactorTable!$A$2:$A$301,0), Skills!M19+1)</f>
        <v/>
      </c>
      <c r="F1893">
        <f>IF(Skills!N19=TRUE,(Skills!L19/10)*(E1893/1000),Skills!L19/10)+Skills!O19</f>
        <v/>
      </c>
      <c r="G1893">
        <f>Calc!G19</f>
        <v/>
      </c>
      <c r="H1893">
        <f>Calc!H19</f>
        <v/>
      </c>
      <c r="I1893">
        <f>IF(Skills!X19&lt;&gt;"",1+(Skills!X19/10)*(Z1877/1000)/100,1)</f>
        <v/>
      </c>
      <c r="J1893" t="inlineStr"/>
      <c r="K1893" t="inlineStr"/>
      <c r="L1893" t="inlineStr"/>
      <c r="M1893" t="inlineStr"/>
      <c r="N1893" t="inlineStr"/>
      <c r="O1893">
        <f>(1-Summary!$B$11)*S1893+Summary!$B$11*U1893</f>
        <v/>
      </c>
      <c r="P1893">
        <f>IF(B1915=0,0,O1893/B1915)</f>
        <v/>
      </c>
      <c r="Q1893">
        <f>IFERROR(1/(IF(Inputs!$B$38="pvp",15,MAX(0.1,Skills!E19-IF(Skills!F19=TRUE,Inputs!$B$32,0)))*(1-IF(AND(ArtifactsInput!$M$27,Inputs!$B$4="Chapter Hunt"),CHOOSE(ArtifactsInput!$N$27+1,20,24,28,32,36,40),0)/100)),0)</f>
        <v/>
      </c>
      <c r="R1893">
        <f>IF(AND(Inputs!$B$38&lt;&gt;"pvp",Inputs!$B$43&gt;0),IF(Inputs!$B$43&lt;=0,0,(INT(Inputs!$B$43/(IF(Inputs!$B$38="pvp",15,MAX(0.1,Skills!E19-IF(Skills!F19=TRUE,Inputs!$B$32,0)))*(1-IF(AND(ArtifactsInput!$M$27,Inputs!$B$4="Chapter Hunt"),CHOOSE(ArtifactsInput!$N$27+1,20,24,28,32,36,40),0)/100)))+1)),0)</f>
        <v/>
      </c>
      <c r="S1893" t="n">
        <v>0</v>
      </c>
      <c r="U1893" t="n">
        <v>0</v>
      </c>
    </row>
    <row r="1894">
      <c r="A1894">
        <f>Skills!A20</f>
        <v/>
      </c>
      <c r="B1894">
        <f>Skills!B20</f>
        <v/>
      </c>
      <c r="C1894">
        <f>TRUE</f>
        <v/>
      </c>
      <c r="D1894">
        <f>IF(Skills!C20=1,60+Inputs!$B$25+Inputs!$B$29,IF(Skills!C20=2,90+Inputs!$B$26+Inputs!$B$29,IF(Skills!C20=3,120+Inputs!$B$27+Inputs!$B$29,MAX(0,(Inputs!$B$3-100)*3)+Inputs!$B$28+Inputs!$B$29)))</f>
        <v/>
      </c>
      <c r="E1894">
        <f>INDEX(FactorTable!$B$2:$Y$301, MATCH(ROUND(MIN(300,MAX(1,D1894)),0), FactorTable!$A$2:$A$301,0), Skills!M20+1)</f>
        <v/>
      </c>
      <c r="F1894">
        <f>IF(Skills!N20=TRUE,(Skills!L20/10)*(E1894/1000),Skills!L20/10)+Skills!O20</f>
        <v/>
      </c>
      <c r="G1894">
        <f>Calc!G20</f>
        <v/>
      </c>
      <c r="H1894">
        <f>Calc!H20</f>
        <v/>
      </c>
      <c r="I1894">
        <f>IF(Skills!X20&lt;&gt;"",1+(Skills!X20/10)*(Z1877/1000)/100,1)</f>
        <v/>
      </c>
      <c r="J1894" t="inlineStr"/>
      <c r="K1894" t="inlineStr"/>
      <c r="L1894" t="inlineStr"/>
      <c r="M1894" t="inlineStr"/>
      <c r="N1894" t="inlineStr"/>
      <c r="O1894">
        <f>(1-Summary!$B$11)*S1894+Summary!$B$11*U1894</f>
        <v/>
      </c>
      <c r="P1894">
        <f>IF(B1915=0,0,O1894/B1915)</f>
        <v/>
      </c>
      <c r="Q1894">
        <f>IFERROR(1/(IF(Inputs!$B$38="pvp",15,MAX(0.1,Skills!E20-IF(Skills!F20=TRUE,Inputs!$B$32,0)))*(1-IF(AND(ArtifactsInput!$M$27,Inputs!$B$4="Chapter Hunt"),CHOOSE(ArtifactsInput!$N$27+1,20,24,28,32,36,40),0)/100)),0)</f>
        <v/>
      </c>
      <c r="R1894" t="n">
        <v>0</v>
      </c>
      <c r="S1894" t="n">
        <v>0</v>
      </c>
      <c r="U1894" t="n">
        <v>0</v>
      </c>
    </row>
    <row r="1895">
      <c r="A1895">
        <f>Skills!A21</f>
        <v/>
      </c>
      <c r="B1895">
        <f>Skills!B21</f>
        <v/>
      </c>
      <c r="C1895">
        <f>TRUE</f>
        <v/>
      </c>
      <c r="D1895">
        <f>IF(Skills!C21=1,60+Inputs!$B$25+Inputs!$B$29,IF(Skills!C21=2,90+Inputs!$B$26+Inputs!$B$29,IF(Skills!C21=3,120+Inputs!$B$27+Inputs!$B$29,MAX(0,(Inputs!$B$3-100)*3)+Inputs!$B$28+Inputs!$B$29)))</f>
        <v/>
      </c>
      <c r="E1895">
        <f>INDEX(FactorTable!$B$2:$Y$301, MATCH(ROUND(MIN(300,MAX(1,D1895)),0), FactorTable!$A$2:$A$301,0), Skills!M21+1)</f>
        <v/>
      </c>
      <c r="F1895">
        <f>IF(Skills!N21=TRUE,(Skills!L21/10)*(E1895/1000),Skills!L21/10)+Skills!O21</f>
        <v/>
      </c>
      <c r="G1895">
        <f>Calc!G21</f>
        <v/>
      </c>
      <c r="H1895">
        <f>Calc!H21</f>
        <v/>
      </c>
      <c r="I1895">
        <f>IF(Skills!X21&lt;&gt;"",1+(Skills!X21/10)*(Z1877/1000)/100,1)</f>
        <v/>
      </c>
      <c r="J1895" t="inlineStr"/>
      <c r="K1895" t="inlineStr"/>
      <c r="L1895" t="inlineStr"/>
      <c r="M1895" t="inlineStr"/>
      <c r="N1895" t="inlineStr"/>
      <c r="O1895">
        <f>(1-Summary!$B$11)*S1895+Summary!$B$11*U1895</f>
        <v/>
      </c>
      <c r="P1895">
        <f>IF(B1915=0,0,O1895/B1915)</f>
        <v/>
      </c>
      <c r="Q1895">
        <f>IFERROR(1/(IF(Inputs!$B$38="pvp",15,MAX(0.1,Skills!E21-IF(Skills!F21=TRUE,Inputs!$B$32,0)))*(1-IF(AND(ArtifactsInput!$M$27,Inputs!$B$4="Chapter Hunt"),CHOOSE(ArtifactsInput!$N$27+1,20,24,28,32,36,40),0)/100)),0)</f>
        <v/>
      </c>
      <c r="R1895" t="n">
        <v>0</v>
      </c>
      <c r="S1895" t="n">
        <v>0</v>
      </c>
      <c r="U1895" t="n">
        <v>0</v>
      </c>
    </row>
    <row r="1896">
      <c r="A1896">
        <f>Skills!A22</f>
        <v/>
      </c>
      <c r="B1896">
        <f>Skills!B22</f>
        <v/>
      </c>
      <c r="C1896">
        <f>TRUE</f>
        <v/>
      </c>
      <c r="D1896">
        <f>IF(Skills!C22=1,60+Inputs!$B$25+Inputs!$B$29,IF(Skills!C22=2,90+Inputs!$B$26+Inputs!$B$29,IF(Skills!C22=3,120+Inputs!$B$27+Inputs!$B$29,MAX(0,(Inputs!$B$3-100)*3)+Inputs!$B$28+Inputs!$B$29)))</f>
        <v/>
      </c>
      <c r="E1896">
        <f>INDEX(FactorTable!$B$2:$Y$301, MATCH(ROUND(MIN(300,MAX(1,D1896)),0), FactorTable!$A$2:$A$301,0), Skills!M22+1)</f>
        <v/>
      </c>
      <c r="F1896">
        <f>IF(Skills!N22=TRUE,(Skills!L22/10)*(E1896/1000),Skills!L22/10)+Skills!O22</f>
        <v/>
      </c>
      <c r="G1896">
        <f>Calc!G22</f>
        <v/>
      </c>
      <c r="H1896">
        <f>Calc!H22</f>
        <v/>
      </c>
      <c r="I1896">
        <f>IF(Skills!X22&lt;&gt;"",1+(Skills!X22/10)*(Z1877/1000)/100,1)</f>
        <v/>
      </c>
      <c r="J1896" t="inlineStr"/>
      <c r="K1896" t="inlineStr"/>
      <c r="L1896" t="inlineStr"/>
      <c r="M1896" t="inlineStr"/>
      <c r="N1896" t="inlineStr"/>
      <c r="O1896">
        <f>(1-Summary!$B$11)*S1896+Summary!$B$11*U1896</f>
        <v/>
      </c>
      <c r="P1896">
        <f>IF(B1915=0,0,O1896/B1915)</f>
        <v/>
      </c>
      <c r="Q1896">
        <f>IFERROR(1/(IF(Inputs!$B$38="pvp",15,MAX(0.1,Skills!E22-IF(Skills!F22=TRUE,Inputs!$B$32,0)))*(1-IF(AND(ArtifactsInput!$M$27,Inputs!$B$4="Chapter Hunt"),CHOOSE(ArtifactsInput!$N$27+1,20,24,28,32,36,40),0)/100)),0)</f>
        <v/>
      </c>
      <c r="R1896" t="n">
        <v>0</v>
      </c>
      <c r="S1896" t="n">
        <v>0</v>
      </c>
      <c r="U1896" t="n">
        <v>0</v>
      </c>
    </row>
    <row r="1897">
      <c r="A1897">
        <f>Skills!A23</f>
        <v/>
      </c>
      <c r="B1897">
        <f>Skills!B23</f>
        <v/>
      </c>
      <c r="C1897">
        <f>TRUE</f>
        <v/>
      </c>
      <c r="D1897">
        <f>IF(Skills!C23=1,60+Inputs!$B$25+Inputs!$B$29,IF(Skills!C23=2,90+Inputs!$B$26+Inputs!$B$29,IF(Skills!C23=3,120+Inputs!$B$27+Inputs!$B$29,MAX(0,(Inputs!$B$3-100)*3)+Inputs!$B$28+Inputs!$B$29)))</f>
        <v/>
      </c>
      <c r="E1897">
        <f>INDEX(FactorTable!$B$2:$Y$301, MATCH(ROUND(MIN(300,MAX(1,D1897)),0), FactorTable!$A$2:$A$301,0), Skills!M23+1)</f>
        <v/>
      </c>
      <c r="F1897">
        <f>IF(Skills!N23=TRUE,(Skills!L23/10)*(E1897/1000),Skills!L23/10)+Skills!O23</f>
        <v/>
      </c>
      <c r="G1897">
        <f>Calc!G23</f>
        <v/>
      </c>
      <c r="H1897">
        <f>Calc!H23</f>
        <v/>
      </c>
      <c r="I1897">
        <f>IF(Skills!X23&lt;&gt;"",1+(Skills!X23/10)*(Z1877/1000)/100,1)</f>
        <v/>
      </c>
      <c r="J1897" t="inlineStr"/>
      <c r="K1897" t="inlineStr"/>
      <c r="L1897" t="inlineStr"/>
      <c r="M1897" t="inlineStr"/>
      <c r="N1897" t="inlineStr"/>
      <c r="O1897">
        <f>(1-Summary!$B$11)*S1897+Summary!$B$11*U1897</f>
        <v/>
      </c>
      <c r="P1897">
        <f>IF(B1915=0,0,O1897/B1915)</f>
        <v/>
      </c>
      <c r="Q1897">
        <f>IFERROR(1/(IF(Inputs!$B$38="pvp",15,MAX(0.1,Skills!E23-IF(Skills!F23=TRUE,Inputs!$B$32,0)))*(1-IF(AND(ArtifactsInput!$M$27,Inputs!$B$4="Chapter Hunt"),CHOOSE(ArtifactsInput!$N$27+1,20,24,28,32,36,40),0)/100)),0)</f>
        <v/>
      </c>
      <c r="R1897" t="n">
        <v>0</v>
      </c>
      <c r="S1897" t="n">
        <v>0</v>
      </c>
      <c r="U1897" t="n">
        <v>0</v>
      </c>
    </row>
    <row r="1898">
      <c r="A1898">
        <f>Skills!A24</f>
        <v/>
      </c>
      <c r="B1898">
        <f>Skills!B24</f>
        <v/>
      </c>
      <c r="C1898">
        <f>Inputs!$B$3&gt;=115</f>
        <v/>
      </c>
      <c r="D1898">
        <f>IF(Skills!C24=1,60+Inputs!$B$25+Inputs!$B$29,IF(Skills!C24=2,90+Inputs!$B$26+Inputs!$B$29,IF(Skills!C24=3,120+Inputs!$B$27+Inputs!$B$29,MAX(0,(Inputs!$B$3-100)*3)+Inputs!$B$28+Inputs!$B$29)))</f>
        <v/>
      </c>
      <c r="E1898">
        <f>INDEX(FactorTable!$B$2:$Y$301, MATCH(ROUND(MIN(300,MAX(1,D1898)),0), FactorTable!$A$2:$A$301,0), Skills!M24+1)</f>
        <v/>
      </c>
      <c r="F1898">
        <f>IF(Skills!N24=TRUE,(Skills!L24/10)*(E1898/1000),Skills!L24/10)+Skills!O24</f>
        <v/>
      </c>
      <c r="G1898">
        <f>Calc!G24</f>
        <v/>
      </c>
      <c r="H1898">
        <f>Calc!H24</f>
        <v/>
      </c>
      <c r="I1898">
        <f>IF(Skills!X24&lt;&gt;"",1+(Skills!X24/10)*(Z1877/1000)/100,1)</f>
        <v/>
      </c>
      <c r="J1898">
        <f>((Inputs!$B$6*(1+Inputs!$B$7/100))+(((Inputs!$B$12*(1+Inputs!$B$13/100))-(Inputs!$B$12*(1+Inputs!$B$13/100)))+0.25*(Inputs!$B$14-Inputs!$B$14))*(1+Inputs!$B$7/100))*(F1898/100)</f>
        <v/>
      </c>
      <c r="K1898">
        <f>J1898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1898)</f>
        <v/>
      </c>
      <c r="L1898">
        <f>K1898*(MIN(Inputs!$B$22+(F1896-Calc!F22),(Inputs!$B$23+(IF(ArtifactsInput!$M$15,CHOOSE(ArtifactsInput!$N$15+1,25,30,35,40,45,50)/100*(Inputs!$B$11-Inputs!$B$11),0))))/100+(Inputs!$B$23+(IF(ArtifactsInput!$M$15,CHOOSE(ArtifactsInput!$N$15+1,25,30,35,40,45,50)/100*(Inputs!$B$11-Inputs!$B$11),0)))/100)/2</f>
        <v/>
      </c>
      <c r="M1898">
        <f>L1898*(1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98">
        <f>L1898*(1-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1898*(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98">
        <f>(1-Summary!$B$11)*S1898+Summary!$B$11*U1898</f>
        <v/>
      </c>
      <c r="P1898">
        <f>IF(B1915=0,0,O1898/B1915)</f>
        <v/>
      </c>
      <c r="Q1898">
        <f>IFERROR(1/(IF(Inputs!$B$38="pvp",15,MAX(0.1,Skills!E24-IF(Skills!F24=TRUE,Inputs!$B$32,0)))*(1-IF(AND(ArtifactsInput!$M$27,Inputs!$B$4="Chapter Hunt"),CHOOSE(ArtifactsInput!$N$27+1,20,24,28,32,36,40),0)/100)),0)</f>
        <v/>
      </c>
      <c r="R1898">
        <f>IF(AND(Inputs!$B$38&lt;&gt;"pvp",Inputs!$B$43&gt;0),IF(MAX(0,Inputs!$B$43-B1912)&lt;=0,0,(INT(MAX(0,Inputs!$B$43-B1912)/(IF(Inputs!$B$38="pvp",15,MAX(0.1,Skills!E24-IF(Skills!F24=TRUE,Inputs!$B$32,0)))*(1-IF(AND(ArtifactsInput!$M$27,Inputs!$B$4="Chapter Hunt"),CHOOSE(ArtifactsInput!$N$27+1,20,24,28,32,36,40),0)/100)))+1)),0)</f>
        <v/>
      </c>
      <c r="S1898">
        <f>IF(C1898,(H1898*N1898*IF(AND(Inputs!$B$38&lt;&gt;"pvp",Inputs!$B$43&gt;0),((Skills!G24*((R1898-1)*IF(Skills!H24&gt;0,Skills!I24/Skills!H24,1)+IF(Skills!H24&gt;0,MIN(Skills!I24,MAX(0,MAX(0,Inputs!$B$43-B1912)-((R1898-1)*(IF(Inputs!$B$38="pvp",15,MAX(0.1,Skills!E24-IF(Skills!F24=TRUE,Inputs!$B$32,0)))*(1-IF(AND(ArtifactsInput!$M$27,Inputs!$B$4="Chapter Hunt"),CHOOSE(ArtifactsInput!$N$27+1,20,24,28,32,36,40),0)/100)))))/Skills!H24,1)))/Inputs!$B$43),G1898*Q1898)*(1+IF(Inputs!$B$3&gt;=130,0.2*(Skills!I16/Skills!E15+IF(Inputs!$B$3&gt;=126,0.05*(B1910+Q1887+(H1888*B1911)/(1+Skills!H14*H1888*B1911)+Q1898)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1898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1898*(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1898*(1-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1898*(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98">
        <f>IF(C1898,(H1898*N1898*IF(AND(Inputs!$B$38&lt;&gt;"pvp",Inputs!$B$43&gt;0),((Skills!G24*((R1898-1)*IF(Skills!H24&gt;0,Skills!I24/Skills!H24,1)+IF(Skills!H24&gt;0,MIN(Skills!I24,MAX(0,MAX(0,Inputs!$B$43-B1912)-((R1898-1)*(IF(Inputs!$B$38="pvp",15,MAX(0.1,Skills!E24-IF(Skills!F24=TRUE,Inputs!$B$32,0)))*(1-IF(AND(ArtifactsInput!$M$27,Inputs!$B$4="Chapter Hunt"),CHOOSE(ArtifactsInput!$N$27+1,20,24,28,32,36,40),0)/100)))))/Skills!H24,1)))/Inputs!$B$43),G1898*Q1898)*(1+IF(Inputs!$B$3&gt;=130,0.2*(Skills!I16/Skills!E15+IF(Inputs!$B$3&gt;=126,0.05*(B1910+Q1887+(H1888*B1911)/(1+Skills!H14*H1888*B1911)+Q1898)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99">
      <c r="A1899">
        <f>Skills!A25</f>
        <v/>
      </c>
      <c r="B1899">
        <f>Skills!B25</f>
        <v/>
      </c>
      <c r="C1899">
        <f>Inputs!$B$3&gt;=117</f>
        <v/>
      </c>
      <c r="D1899">
        <f>IF(Skills!C25=1,60+Inputs!$B$25+Inputs!$B$29,IF(Skills!C25=2,90+Inputs!$B$26+Inputs!$B$29,IF(Skills!C25=3,120+Inputs!$B$27+Inputs!$B$29,MAX(0,(Inputs!$B$3-100)*3)+Inputs!$B$28+Inputs!$B$29)))</f>
        <v/>
      </c>
      <c r="E1899">
        <f>INDEX(FactorTable!$B$2:$Y$301, MATCH(ROUND(MIN(300,MAX(1,D1899)),0), FactorTable!$A$2:$A$301,0), Skills!M25+1)</f>
        <v/>
      </c>
      <c r="F1899">
        <f>IF(Skills!N25=TRUE,(Skills!L25/10)*(E1899/1000),Skills!L25/10)+Skills!O25</f>
        <v/>
      </c>
      <c r="G1899">
        <f>Calc!G25</f>
        <v/>
      </c>
      <c r="H1899">
        <f>Calc!H25</f>
        <v/>
      </c>
      <c r="I1899">
        <f>IF(Skills!X25&lt;&gt;"",1+(Skills!X25/10)*(Z1877/1000)/100,1)</f>
        <v/>
      </c>
      <c r="J1899" t="inlineStr"/>
      <c r="K1899" t="inlineStr"/>
      <c r="L1899" t="inlineStr"/>
      <c r="M1899" t="inlineStr"/>
      <c r="N1899" t="inlineStr"/>
      <c r="O1899">
        <f>(1-Summary!$B$11)*S1899+Summary!$B$11*U1899</f>
        <v/>
      </c>
      <c r="P1899">
        <f>IF(B1915=0,0,O1899/B1915)</f>
        <v/>
      </c>
      <c r="Q1899">
        <f>IFERROR(1/(IF(Inputs!$B$38="pvp",15,MAX(0.1,Skills!E25-IF(Skills!F25=TRUE,Inputs!$B$32,0)))*(1-IF(AND(ArtifactsInput!$M$27,Inputs!$B$4="Chapter Hunt"),CHOOSE(ArtifactsInput!$N$27+1,20,24,28,32,36,40),0)/100)),0)</f>
        <v/>
      </c>
      <c r="R1899" t="n">
        <v>0</v>
      </c>
      <c r="S1899" t="n">
        <v>0</v>
      </c>
      <c r="U1899" t="n">
        <v>0</v>
      </c>
    </row>
    <row r="1900">
      <c r="A1900">
        <f>Skills!A26</f>
        <v/>
      </c>
      <c r="B1900">
        <f>Skills!B26</f>
        <v/>
      </c>
      <c r="C1900">
        <f>Inputs!$B$3&gt;=120</f>
        <v/>
      </c>
      <c r="D1900">
        <f>IF(Skills!C26=1,60+Inputs!$B$25+Inputs!$B$29,IF(Skills!C26=2,90+Inputs!$B$26+Inputs!$B$29,IF(Skills!C26=3,120+Inputs!$B$27+Inputs!$B$29,MAX(0,(Inputs!$B$3-100)*3)+Inputs!$B$28+Inputs!$B$29)))</f>
        <v/>
      </c>
      <c r="E1900">
        <f>INDEX(FactorTable!$B$2:$Y$301, MATCH(ROUND(MIN(300,MAX(1,D1900)),0), FactorTable!$A$2:$A$301,0), Skills!M26+1)</f>
        <v/>
      </c>
      <c r="F1900">
        <f>IF(Skills!N26=TRUE,(Skills!L26/10)*(E1900/1000),Skills!L26/10)+Skills!O26</f>
        <v/>
      </c>
      <c r="G1900">
        <f>Calc!G26</f>
        <v/>
      </c>
      <c r="H1900">
        <f>Calc!H26</f>
        <v/>
      </c>
      <c r="I1900">
        <f>IF(Skills!X26&lt;&gt;"",1+(Skills!X26/10)*(Z1877/1000)/100,1)</f>
        <v/>
      </c>
      <c r="J1900" t="inlineStr"/>
      <c r="K1900" t="inlineStr"/>
      <c r="L1900" t="inlineStr"/>
      <c r="M1900" t="inlineStr"/>
      <c r="N1900" t="inlineStr"/>
      <c r="O1900">
        <f>(1-Summary!$B$11)*S1900+Summary!$B$11*U1900</f>
        <v/>
      </c>
      <c r="P1900">
        <f>IF(B1915=0,0,O1900/B1915)</f>
        <v/>
      </c>
      <c r="Q1900">
        <f>IFERROR(1/(IF(Inputs!$B$38="pvp",15,MAX(0.1,Skills!E26-IF(Skills!F26=TRUE,Inputs!$B$32,0)))*(1-IF(AND(ArtifactsInput!$M$27,Inputs!$B$4="Chapter Hunt"),CHOOSE(ArtifactsInput!$N$27+1,20,24,28,32,36,40),0)/100)),0)</f>
        <v/>
      </c>
      <c r="R1900" t="n">
        <v>0</v>
      </c>
      <c r="S1900" t="n">
        <v>0</v>
      </c>
      <c r="U1900" t="n">
        <v>0</v>
      </c>
    </row>
    <row r="1901">
      <c r="A1901">
        <f>Skills!A27</f>
        <v/>
      </c>
      <c r="B1901">
        <f>Skills!B27</f>
        <v/>
      </c>
      <c r="C1901">
        <f>Inputs!$B$3&gt;=125</f>
        <v/>
      </c>
      <c r="D1901">
        <f>IF(Skills!C27=1,60+Inputs!$B$25+Inputs!$B$29,IF(Skills!C27=2,90+Inputs!$B$26+Inputs!$B$29,IF(Skills!C27=3,120+Inputs!$B$27+Inputs!$B$29,MAX(0,(Inputs!$B$3-100)*3)+Inputs!$B$28+Inputs!$B$29)))</f>
        <v/>
      </c>
      <c r="E1901">
        <f>INDEX(FactorTable!$B$2:$Y$301, MATCH(ROUND(MIN(300,MAX(1,D1901)),0), FactorTable!$A$2:$A$301,0), Skills!M27+1)</f>
        <v/>
      </c>
      <c r="F1901">
        <f>IF(Skills!N27=TRUE,(Skills!L27/10)*(E1901/1000),Skills!L27/10)+Skills!O27</f>
        <v/>
      </c>
      <c r="G1901">
        <f>Calc!G27</f>
        <v/>
      </c>
      <c r="H1901">
        <f>Calc!H27</f>
        <v/>
      </c>
      <c r="I1901">
        <f>IF(Skills!X27&lt;&gt;"",1+(Skills!X27/10)*(Z1877/1000)/100,1)</f>
        <v/>
      </c>
      <c r="J1901" t="inlineStr"/>
      <c r="K1901" t="inlineStr"/>
      <c r="L1901" t="inlineStr"/>
      <c r="M1901" t="inlineStr"/>
      <c r="N1901" t="inlineStr"/>
      <c r="O1901">
        <f>(1-Summary!$B$11)*S1901+Summary!$B$11*U1901</f>
        <v/>
      </c>
      <c r="P1901">
        <f>IF(B1915=0,0,O1901/B1915)</f>
        <v/>
      </c>
      <c r="Q1901">
        <f>IFERROR(1/(IF(Inputs!$B$38="pvp",15,MAX(0.1,Skills!E27-IF(Skills!F27=TRUE,Inputs!$B$32,0)))*(1-IF(AND(ArtifactsInput!$M$27,Inputs!$B$4="Chapter Hunt"),CHOOSE(ArtifactsInput!$N$27+1,20,24,28,32,36,40),0)/100)),0)</f>
        <v/>
      </c>
      <c r="R1901" t="n">
        <v>0</v>
      </c>
      <c r="S1901" t="n">
        <v>0</v>
      </c>
      <c r="U1901" t="n">
        <v>0</v>
      </c>
    </row>
    <row r="1902">
      <c r="A1902">
        <f>Skills!A28</f>
        <v/>
      </c>
      <c r="B1902">
        <f>Skills!B28</f>
        <v/>
      </c>
      <c r="C1902">
        <f>Inputs!$B$3&gt;=118</f>
        <v/>
      </c>
      <c r="D1902">
        <f>IF(Skills!C28=1,60+Inputs!$B$25+Inputs!$B$29,IF(Skills!C28=2,90+Inputs!$B$26+Inputs!$B$29,IF(Skills!C28=3,120+Inputs!$B$27+Inputs!$B$29,MAX(0,(Inputs!$B$3-100)*3)+Inputs!$B$28+Inputs!$B$29)))</f>
        <v/>
      </c>
      <c r="E1902">
        <f>INDEX(FactorTable!$B$2:$Y$301, MATCH(ROUND(MIN(300,MAX(1,D1902)),0), FactorTable!$A$2:$A$301,0), Skills!M28+1)</f>
        <v/>
      </c>
      <c r="F1902">
        <f>IF(Skills!N28=TRUE,(Skills!L28/10)*(E1902/1000),Skills!L28/10)+Skills!O28</f>
        <v/>
      </c>
      <c r="G1902">
        <f>Calc!G28</f>
        <v/>
      </c>
      <c r="H1902">
        <f>Calc!H28</f>
        <v/>
      </c>
      <c r="I1902">
        <f>IF(Skills!X28&lt;&gt;"",1+(Skills!X28/10)*(Z1877/1000)/100,1)</f>
        <v/>
      </c>
      <c r="J1902">
        <f>((Inputs!$B$6*(1+Inputs!$B$7/100))+(((Inputs!$B$12*(1+Inputs!$B$13/100))-(Inputs!$B$12*(1+Inputs!$B$13/100)))+0.25*(Inputs!$B$14-Inputs!$B$14))*(1+Inputs!$B$7/100))*(F1902/100)</f>
        <v/>
      </c>
      <c r="K1902">
        <f>J1902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1897/100)*(1+IF(Inputs!$B$3&gt;=120,F1900,0)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1901*5,0)))/100)*(B1904*B1905*B1906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1902)</f>
        <v/>
      </c>
      <c r="L1902">
        <f>K1902*(MIN(Inputs!$B$22+(F1896-Calc!F22),(Inputs!$B$23+(IF(ArtifactsInput!$M$15,CHOOSE(ArtifactsInput!$N$15+1,25,30,35,40,45,50)/100*(Inputs!$B$11-Inputs!$B$11),0))))/100+(Inputs!$B$23+(IF(ArtifactsInput!$M$15,CHOOSE(ArtifactsInput!$N$15+1,25,30,35,40,45,50)/100*(Inputs!$B$11-Inputs!$B$11),0)))/100)/2</f>
        <v/>
      </c>
      <c r="M1902">
        <f>L1902*(1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02">
        <f>L1902*(1-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1902*(MIN((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02">
        <f>(1-Summary!$B$11)*S1902+Summary!$B$11*U1902</f>
        <v/>
      </c>
      <c r="P1902">
        <f>IF(B1915=0,0,O1902/B1915)</f>
        <v/>
      </c>
      <c r="Q1902">
        <f>IFERROR(1/(IF(Inputs!$B$38="pvp",15,MAX(0.1,Skills!E28-IF(Skills!F28=TRUE,Inputs!$B$32,0)))*(1-IF(AND(ArtifactsInput!$M$27,Inputs!$B$4="Chapter Hunt"),CHOOSE(ArtifactsInput!$N$27+1,20,24,28,32,36,40),0)/100)),0)</f>
        <v/>
      </c>
      <c r="R1902">
        <f>IF(AND(Inputs!$B$38&lt;&gt;"pvp",Inputs!$B$43&gt;0),IF(MAX(0,Inputs!$B$43-B1912)&lt;=0,0,(INT(MAX(0,Inputs!$B$43-B1912)/(IF(Inputs!$B$38="pvp",15,MAX(0.1,Skills!E28-IF(Skills!F28=TRUE,Inputs!$B$32,0)))*(1-IF(AND(ArtifactsInput!$M$27,Inputs!$B$4="Chapter Hunt"),CHOOSE(ArtifactsInput!$N$27+1,20,24,28,32,36,40),0)/100)))+1)),0)</f>
        <v/>
      </c>
      <c r="S1902">
        <f>IF(C1902,(H1902*N1902*IF(AND(Inputs!$B$38&lt;&gt;"pvp",Inputs!$B$43&gt;0),((Skills!G28*((R1902-1)*IF(Skills!H28&gt;0,Skills!I28/Skills!H28,1)+IF(Skills!H28&gt;0,MIN(Skills!I28,MAX(0,MAX(0,Inputs!$B$43-B1912)-((R1902-1)*(IF(Inputs!$B$38="pvp",15,MAX(0.1,Skills!E28-IF(Skills!F28=TRUE,Inputs!$B$32,0)))*(1-IF(AND(ArtifactsInput!$M$27,Inputs!$B$4="Chapter Hunt"),CHOOSE(ArtifactsInput!$N$27+1,20,24,28,32,36,40),0)/100)))))/Skills!H28,1)))/Inputs!$B$43),G1902*Q1902)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1902*(1-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1902*(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1902*(1-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1902*(MIN(100,(Inputs!$B$9+(F1894-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02">
        <f>IF(C1902,(H1902*N1902*IF(AND(Inputs!$B$38&lt;&gt;"pvp",Inputs!$B$43&gt;0),((Skills!G28*((R1902-1)*IF(Skills!H28&gt;0,Skills!I28/Skills!H28,1)+IF(Skills!H28&gt;0,MIN(Skills!I28,MAX(0,MAX(0,Inputs!$B$43-B1912)-((R1902-1)*(IF(Inputs!$B$38="pvp",15,MAX(0.1,Skills!E28-IF(Skills!F28=TRUE,Inputs!$B$32,0)))*(1-IF(AND(ArtifactsInput!$M$27,Inputs!$B$4="Chapter Hunt"),CHOOSE(ArtifactsInput!$N$27+1,20,24,28,32,36,40),0)/100)))))/Skills!H28,1)))/Inputs!$B$43),G1902*Q1902)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04">
      <c r="A1904" t="inlineStr">
        <is>
          <t>Burning Magic Multiplier</t>
        </is>
      </c>
      <c r="B1904">
        <f>1+(F1885*Skills!Z11)/100</f>
        <v/>
      </c>
    </row>
    <row r="1905">
      <c r="A1905" t="inlineStr">
        <is>
          <t>Elemental Decrease Multiplier (always-on)</t>
        </is>
      </c>
      <c r="B1905">
        <f>1+(F1886+(IF(AND(ArtifactsInput!$M$35,Inputs!$B$4&lt;&gt;"Chapter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f>
        <v/>
      </c>
    </row>
    <row r="1906">
      <c r="A1906" t="inlineStr">
        <is>
          <t>Average Buff Multiplier (Magic Guard + Meditation + Artifact Attack%, summed; then Infinity)</t>
        </is>
      </c>
      <c r="B1906">
        <f>(1+(F1880*IF(AND(Inputs!$B$38&lt;&gt;"pvp",Inputs!$B$43&gt;0),(((R1880-1)*(Skills!T6*(1+((Inputs!$B$34+(ArtifactsInput!$M$7-ArtifactsInput!$M$7)*CHOOSE(ArtifactsInput!$N$7+1,6,7.2,8.4,9.6,10.8,12)))/100))+MIN((Skills!T6*(1+((Inputs!$B$34+(ArtifactsInput!$M$7-ArtifactsInput!$M$7)*CHOOSE(ArtifactsInput!$N$7+1,6,7.2,8.4,9.6,10.8,12)))/100)),MAX(0,Inputs!$B$43-((R1880-1)*Skills!E6))))/Inputs!$B$43),IF(Inputs!$B$38="pvp",MIN((Skills!T6*(1+((Inputs!$B$34+(ArtifactsInput!$M$7-ArtifactsInput!$M$7)*CHOOSE(ArtifactsInput!$N$7+1,6,7.2,8.4,9.6,10.8,12)))/100)),15)/15,(Skills!T6*(1+((Inputs!$B$34+(ArtifactsInput!$M$7-ArtifactsInput!$M$7)*CHOOSE(ArtifactsInput!$N$7+1,6,7.2,8.4,9.6,10.8,12)))/100))/Skills!E6))+F1891*IF(AND(Inputs!$B$38&lt;&gt;"pvp",Inputs!$B$43&gt;0),(((R1891-1)*(Skills!T17*(1+((Inputs!$B$34+(ArtifactsInput!$M$7-ArtifactsInput!$M$7)*CHOOSE(ArtifactsInput!$N$7+1,6,7.2,8.4,9.6,10.8,12)))/100))+MIN((Skills!T17*(1+((Inputs!$B$34+(ArtifactsInput!$M$7-ArtifactsInput!$M$7)*CHOOSE(ArtifactsInput!$N$7+1,6,7.2,8.4,9.6,10.8,12)))/100)),MAX(0,Inputs!$B$43-((R1891-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1893=TRUE,(1+F1893*IF(AND(Inputs!$B$38&lt;&gt;"pvp",Inputs!$B$43&gt;0),(((R1893-1)*(Skills!T19*(1+((Inputs!$B$34+(ArtifactsInput!$M$7-ArtifactsInput!$M$7)*CHOOSE(ArtifactsInput!$N$7+1,6,7.2,8.4,9.6,10.8,12)))/100))+MIN((Skills!T19*(1+((Inputs!$B$34+(ArtifactsInput!$M$7-ArtifactsInput!$M$7)*CHOOSE(ArtifactsInput!$N$7+1,6,7.2,8.4,9.6,10.8,12)))/100)),MAX(0,Inputs!$B$43-((R1893-1)*Skills!E19))))/Inputs!$B$43),IF(Inputs!$B$38="pvp",MIN((Skills!T19*(1+((Inputs!$B$34+(ArtifactsInput!$M$7-ArtifactsInput!$M$7)*CHOOSE(ArtifactsInput!$N$7+1,6,7.2,8.4,9.6,10.8,12)))/100)),15)/15,(Skills!T19*(1+((Inputs!$B$34+(ArtifactsInput!$M$7-ArtifactsInput!$M$7)*CHOOSE(ArtifactsInput!$N$7+1,6,7.2,8.4,9.6,10.8,12)))/100))/Skills!E19))/100),1)</f>
        <v/>
      </c>
    </row>
    <row r="1907">
      <c r="A1907" t="inlineStr">
        <is>
          <t>Attack Speed Buff Bonus % (Nimble Feet, averaged)</t>
        </is>
      </c>
      <c r="B1907">
        <f>F1892*IF(AND(Inputs!$B$38&lt;&gt;"pvp",Inputs!$B$43&gt;0),(((R1892-1)*(Skills!T18*(1+((Inputs!$B$34+(ArtifactsInput!$M$7-ArtifactsInput!$M$7)*CHOOSE(ArtifactsInput!$N$7+1,6,7.2,8.4,9.6,10.8,12)))/100))+MIN((Skills!T18*(1+((Inputs!$B$34+(ArtifactsInput!$M$7-ArtifactsInput!$M$7)*CHOOSE(ArtifactsInput!$N$7+1,6,7.2,8.4,9.6,10.8,12)))/100)),MAX(0,Inputs!$B$43-((R1892-1)*Skills!E18))))/Inputs!$B$43),IF(Inputs!$B$38="pvp",MIN((Skills!T18*(1+((Inputs!$B$34+(ArtifactsInput!$M$7-ArtifactsInput!$M$7)*CHOOSE(ArtifactsInput!$N$7+1,6,7.2,8.4,9.6,10.8,12)))/100)),15)/15,(Skills!T18*(1+((Inputs!$B$34+(ArtifactsInput!$M$7-ArtifactsInput!$M$7)*CHOOSE(ArtifactsInput!$N$7+1,6,7.2,8.4,9.6,10.8,12)))/100))/Skills!E18))</f>
        <v/>
      </c>
    </row>
    <row r="1908">
      <c r="A1908" t="inlineStr">
        <is>
          <t>Actions Per Second</t>
        </is>
      </c>
      <c r="B1908">
        <f>1+MIN(150,150*(1-(1-(Inputs!$B$11+(ArtifactsInput!$M$15-ArtifactsInput!$M$15)*CHOOSE(ArtifactsInput!$N$15+1,8,9.6,11.2,12.8,14.4,16))/150)*(1-B1907/150)))/100</f>
        <v/>
      </c>
    </row>
    <row r="1909">
      <c r="A1909" t="inlineStr">
        <is>
          <t>Skill + Buff Cast Rate</t>
        </is>
      </c>
      <c r="B1909">
        <f>IF(AND(Inputs!$B$38&lt;&gt;"pvp",Inputs!$B$43&gt;0),SUMPRODUCT((Skills!F2:F28=TRUE)*(C1876:C1902=TRUE)*R1876:R1902)/Inputs!$B$43,SUMPRODUCT((Skills!F2:F28=TRUE)*(C1876:C1902=TRUE)*Q1876:Q1902))</f>
        <v/>
      </c>
    </row>
    <row r="1910">
      <c r="A1910" t="inlineStr">
        <is>
          <t>Basic Attacks Per Second</t>
        </is>
      </c>
      <c r="B1910">
        <f>MAX(0,B1908-B1909)</f>
        <v/>
      </c>
    </row>
    <row r="1911">
      <c r="A1911" t="inlineStr">
        <is>
          <t>Meteor Proc — combined trigger cast rate</t>
        </is>
      </c>
      <c r="B1911">
        <f>IF(AND(Inputs!$B$38&lt;&gt;"pvp",Inputs!$B$43&gt;0),SUMPRODUCT((Skills!V2:V28=TRUE)*(C1876:C1902=TRUE)*R1876:R1902*Skills!W2:W28)/Inputs!$B$43,SUMPRODUCT((Skills!V2:V28=TRUE)*(C1876:C1902=TRUE)*Q1876:Q1902*Skills!W2:W28))+B1910</f>
        <v/>
      </c>
    </row>
    <row r="1912">
      <c r="A1912" t="inlineStr">
        <is>
          <t>Buff-Casting Startup Delay (s, fixed-duration only)</t>
        </is>
      </c>
      <c r="B1912">
        <f>IF(AND(Inputs!$B$38&lt;&gt;"pvp",Inputs!$B$43&gt;0),SUMPRODUCT((Skills!T2:T28&gt;0)*(Skills!F2:F28=TRUE)*(C1876:C1902=TRUE))/B1908,0)</f>
        <v/>
      </c>
    </row>
    <row r="1913">
      <c r="A1913" t="inlineStr">
        <is>
          <t>Boss-Only Total DPS (this block's swept value)</t>
        </is>
      </c>
      <c r="B1913">
        <f>SUM(S1876:S1902)</f>
        <v/>
      </c>
    </row>
    <row r="1914">
      <c r="A1914" t="inlineStr">
        <is>
          <t>Normal-Only Total DPS (this block's swept value)</t>
        </is>
      </c>
      <c r="B1914">
        <f>SUM(U1876:U1902)</f>
        <v/>
      </c>
    </row>
    <row r="1915">
      <c r="A1915" s="6" t="inlineStr">
        <is>
          <t>TOTAL DPS</t>
        </is>
      </c>
      <c r="B1915" s="6">
        <f>SUM(O1876:O1902)</f>
        <v/>
      </c>
    </row>
    <row r="1918">
      <c r="A1918" s="6" t="inlineStr">
        <is>
          <t>Stat: Book of Ancient (Equip)</t>
        </is>
      </c>
    </row>
    <row r="1919">
      <c r="A1919" s="5" t="inlineStr">
        <is>
          <t>Key</t>
        </is>
      </c>
      <c r="B1919" s="5" t="inlineStr">
        <is>
          <t>Name</t>
        </is>
      </c>
      <c r="C1919" s="5" t="inlineStr">
        <is>
          <t>Unlocked</t>
        </is>
      </c>
      <c r="D1919" s="5" t="inlineStr">
        <is>
          <t>InputLevel</t>
        </is>
      </c>
      <c r="E1919" s="5" t="inlineStr">
        <is>
          <t>Factor</t>
        </is>
      </c>
      <c r="F1919" s="5" t="inlineStr">
        <is>
          <t>CoefficientPercent</t>
        </is>
      </c>
      <c r="G1919" s="5" t="inlineStr">
        <is>
          <t>EffectiveHits</t>
        </is>
      </c>
      <c r="H1919" s="5" t="inlineStr">
        <is>
          <t>ProcProbability</t>
        </is>
      </c>
      <c r="I1919" s="5" t="inlineStr">
        <is>
          <t>MapleHeroMultiplier</t>
        </is>
      </c>
      <c r="J1919" s="5" t="inlineStr">
        <is>
          <t>BaseDamage</t>
        </is>
      </c>
      <c r="K1919" s="5" t="inlineStr">
        <is>
          <t>BaseHitDamage</t>
        </is>
      </c>
      <c r="L1919" s="5" t="inlineStr">
        <is>
          <t>NonCritAvg</t>
        </is>
      </c>
      <c r="M1919" s="5" t="inlineStr">
        <is>
          <t>CritAvg</t>
        </is>
      </c>
      <c r="N1919" s="5" t="inlineStr">
        <is>
          <t>ExpectedDamage(perHit)</t>
        </is>
      </c>
      <c r="O1919" s="5" t="inlineStr">
        <is>
          <t>DPS</t>
        </is>
      </c>
      <c r="P1919" s="5" t="inlineStr">
        <is>
          <t>% of Total</t>
        </is>
      </c>
      <c r="R1919" t="inlineStr">
        <is>
          <t>helpers</t>
        </is>
      </c>
    </row>
    <row r="1920">
      <c r="A1920">
        <f>Skills!A2</f>
        <v/>
      </c>
      <c r="B1920">
        <f>Skills!B2</f>
        <v/>
      </c>
      <c r="C1920">
        <f>TRUE</f>
        <v/>
      </c>
      <c r="D1920" t="inlineStr"/>
      <c r="E1920" t="inlineStr"/>
      <c r="F1920">
        <f>T1922+Skills!O2</f>
        <v/>
      </c>
      <c r="G1920">
        <f>Calc!G2</f>
        <v/>
      </c>
      <c r="H1920">
        <f>Calc!H2</f>
        <v/>
      </c>
      <c r="I1920">
        <f>IF(Skills!X2&lt;&gt;"",1+(Skills!X2/10)*(Z1921/1000)/100,1)</f>
        <v/>
      </c>
      <c r="J1920">
        <f>((Inputs!$B$6*(1+Inputs!$B$7/100))+(((Inputs!$B$12*(1+Inputs!$B$13/100))-(Inputs!$B$12*(1+Inputs!$B$13/100)))+0.25*(Inputs!$B$14-Inputs!$B$14))*(1+Inputs!$B$7/100))*(F1920/100)</f>
        <v/>
      </c>
      <c r="K1920">
        <f>J1920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2="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1920)</f>
        <v/>
      </c>
      <c r="L1920">
        <f>K1920*(MIN(Inputs!$B$22+(F1940-Calc!F22),(Inputs!$B$23+(IF(ArtifactsInput!$M$15,CHOOSE(ArtifactsInput!$N$15+1,25,30,35,40,45,50)/100*(Inputs!$B$11-Inputs!$B$11),0))))/100+(Inputs!$B$23+(IF(ArtifactsInput!$M$15,CHOOSE(ArtifactsInput!$N$15+1,25,30,35,40,45,50)/100*(Inputs!$B$11-Inputs!$B$11),0)))/100)/2</f>
        <v/>
      </c>
      <c r="M1920">
        <f>L1920*(1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0">
        <f>L1920*(1-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1920*(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0">
        <f>(1-Summary!$B$11)*S1920+Summary!$B$11*U1920</f>
        <v/>
      </c>
      <c r="P1920">
        <f>IF(B1959=0,0,O1920/B1959)</f>
        <v/>
      </c>
      <c r="Q1920">
        <f>IFERROR(1/(IF(Inputs!$B$38="pvp",15,MAX(0.1,Skills!E2-IF(Skills!F2=TRUE,Inputs!$B$32,0)))*(1-IF(AND(ArtifactsInput!$M$27,Inputs!$B$4="Chapter Hunt"),CHOOSE(ArtifactsInput!$N$27+1,20,24,28,32,36,40),0)/100)),0)</f>
        <v/>
      </c>
      <c r="R1920" t="n">
        <v>0</v>
      </c>
      <c r="S1920">
        <f>(Skills!G2*N1920*B1954)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1920*(1-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1920*(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1920*(1-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1920*(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920">
        <f>MAX(0,(Inputs!$B$3-100)*3)+Inputs!$B$28+Inputs!$B$29</f>
        <v/>
      </c>
      <c r="U1920">
        <f>(Skills!G2*N1920*B1954)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920">
        <f>MAX(0,(Inputs!$B$3-100)*3)+Inputs!$B$28+Inputs!$B$29</f>
        <v/>
      </c>
    </row>
    <row r="1921">
      <c r="A1921">
        <f>Skills!A3</f>
        <v/>
      </c>
      <c r="B1921">
        <f>Skills!B3</f>
        <v/>
      </c>
      <c r="C1921">
        <f>TRUE</f>
        <v/>
      </c>
      <c r="D1921">
        <f>IF(Skills!C3=1,60+Inputs!$B$25+Inputs!$B$29,IF(Skills!C3=2,90+Inputs!$B$26+Inputs!$B$29,IF(Skills!C3=3,120+Inputs!$B$27+Inputs!$B$29,MAX(0,(Inputs!$B$3-100)*3)+Inputs!$B$28+Inputs!$B$29)))</f>
        <v/>
      </c>
      <c r="E1921">
        <f>INDEX(FactorTable!$B$2:$Y$301, MATCH(ROUND(MIN(300,MAX(1,D1921)),0), FactorTable!$A$2:$A$301,0), Skills!M3+1)</f>
        <v/>
      </c>
      <c r="F1921">
        <f>IF(Skills!N3=TRUE,(Skills!L3/10)*(E1921/1000),Skills!L3/10)+Skills!O3</f>
        <v/>
      </c>
      <c r="G1921">
        <f>Calc!G3</f>
        <v/>
      </c>
      <c r="H1921">
        <f>Calc!H3</f>
        <v/>
      </c>
      <c r="I1921">
        <f>IF(Skills!X3&lt;&gt;"",1+(Skills!X3/10)*(Z1921/1000)/100,1)</f>
        <v/>
      </c>
      <c r="J1921">
        <f>((Inputs!$B$6*(1+Inputs!$B$7/100))+(((Inputs!$B$12*(1+Inputs!$B$13/100))-(Inputs!$B$12*(1+Inputs!$B$13/100)))+0.25*(Inputs!$B$14-Inputs!$B$14))*(1+Inputs!$B$7/100))*(F1921/100)</f>
        <v/>
      </c>
      <c r="K1921">
        <f>J1921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3="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1921)</f>
        <v/>
      </c>
      <c r="L1921">
        <f>K1921*(MIN(Inputs!$B$22+(F1940-Calc!F22),(Inputs!$B$23+(IF(ArtifactsInput!$M$15,CHOOSE(ArtifactsInput!$N$15+1,25,30,35,40,45,50)/100*(Inputs!$B$11-Inputs!$B$11),0))))/100+(Inputs!$B$23+(IF(ArtifactsInput!$M$15,CHOOSE(ArtifactsInput!$N$15+1,25,30,35,40,45,50)/100*(Inputs!$B$11-Inputs!$B$11),0)))/100)/2</f>
        <v/>
      </c>
      <c r="M1921">
        <f>L1921*(1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1">
        <f>L1921*(1-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1">
        <f>(1-Summary!$B$11)*S1921+Summary!$B$11*U1921</f>
        <v/>
      </c>
      <c r="P1921">
        <f>IF(B1959=0,0,O1921/B1959)</f>
        <v/>
      </c>
      <c r="Q1921">
        <f>IFERROR(1/(IF(Inputs!$B$38="pvp",15,MAX(0.1,Skills!E3-IF(Skills!F3=TRUE,Inputs!$B$32,0)))*(1-IF(AND(ArtifactsInput!$M$27,Inputs!$B$4="Chapter Hunt"),CHOOSE(ArtifactsInput!$N$27+1,20,24,28,32,36,40),0)/100)),0)</f>
        <v/>
      </c>
      <c r="R1921">
        <f>IF(AND(Inputs!$B$38&lt;&gt;"pvp",Inputs!$B$43&gt;0),IF(MAX(0,Inputs!$B$43-B1956)&lt;=0,0,(INT(MAX(0,Inputs!$B$43-B1956)/(IF(Inputs!$B$38="pvp",15,MAX(0.1,Skills!E3-IF(Skills!F3=TRUE,Inputs!$B$32,0)))*(1-IF(AND(ArtifactsInput!$M$27,Inputs!$B$4="Chapter Hunt"),CHOOSE(ArtifactsInput!$N$27+1,20,24,28,32,36,40),0)/100)))+1)),0)</f>
        <v/>
      </c>
      <c r="S1921">
        <f>IF(C1921,(H1921*N1921*IF(AND(Inputs!$B$38&lt;&gt;"pvp",Inputs!$B$43&gt;0),((Skills!G3*((R1921-1)*IF(Skills!H3&gt;0,Skills!I3/Skills!H3,1)+IF(Skills!H3&gt;0,MIN(Skills!I3,MAX(0,MAX(0,Inputs!$B$43-B1956)-((R1921-1)*(IF(Inputs!$B$38="pvp",15,MAX(0.1,Skills!E3-IF(Skills!F3=TRUE,Inputs!$B$32,0)))*(1-IF(AND(ArtifactsInput!$M$27,Inputs!$B$4="Chapter Hunt"),CHOOSE(ArtifactsInput!$N$27+1,20,24,28,32,36,40),0)/100)))))/Skills!H3,1)))/Inputs!$B$43),G1921*Q1921)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1921*(1-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1921*(1-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21">
        <f>INDEX(FactorTable!$B$2:$Y$301, MATCH(ROUND(MIN(300,MAX(1,T1920)),0), FactorTable!$A$2:$A$301,0), 22)</f>
        <v/>
      </c>
      <c r="U1921">
        <f>IF(C1921,(H1921*N1921*IF(AND(Inputs!$B$38&lt;&gt;"pvp",Inputs!$B$43&gt;0),((Skills!G3*((R1921-1)*IF(Skills!H3&gt;0,Skills!I3/Skills!H3,1)+IF(Skills!H3&gt;0,MIN(Skills!I3,MAX(0,MAX(0,Inputs!$B$43-B1956)-((R1921-1)*(IF(Inputs!$B$38="pvp",15,MAX(0.1,Skills!E3-IF(Skills!F3=TRUE,Inputs!$B$32,0)))*(1-IF(AND(ArtifactsInput!$M$27,Inputs!$B$4="Chapter Hunt"),CHOOSE(ArtifactsInput!$N$27+1,20,24,28,32,36,40),0)/100)))))/Skills!H3,1)))/Inputs!$B$43),G1921*Q1921)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921">
        <f>INDEX(FactorTable!$B$2:$Y$301, MATCH(ROUND(MIN(300,MAX(1,Z1920)),0), FactorTable!$A$2:$A$301,0), 24)</f>
        <v/>
      </c>
    </row>
    <row r="1922">
      <c r="A1922">
        <f>Skills!A4</f>
        <v/>
      </c>
      <c r="B1922">
        <f>Skills!B4</f>
        <v/>
      </c>
      <c r="C1922">
        <f>TRUE</f>
        <v/>
      </c>
      <c r="D1922">
        <f>IF(Skills!C4=1,60+Inputs!$B$25+Inputs!$B$29,IF(Skills!C4=2,90+Inputs!$B$26+Inputs!$B$29,IF(Skills!C4=3,120+Inputs!$B$27+Inputs!$B$29,MAX(0,(Inputs!$B$3-100)*3)+Inputs!$B$28+Inputs!$B$29)))</f>
        <v/>
      </c>
      <c r="E1922">
        <f>INDEX(FactorTable!$B$2:$Y$301, MATCH(ROUND(MIN(300,MAX(1,D1922)),0), FactorTable!$A$2:$A$301,0), Skills!M4+1)</f>
        <v/>
      </c>
      <c r="F1922">
        <f>IF(Skills!N4=TRUE,(Skills!L4/10)*(E1922/1000),Skills!L4/10)+Skills!O4</f>
        <v/>
      </c>
      <c r="G1922">
        <f>Calc!G4</f>
        <v/>
      </c>
      <c r="H1922">
        <f>Calc!H4</f>
        <v/>
      </c>
      <c r="I1922">
        <f>IF(Skills!X4&lt;&gt;"",1+(Skills!X4/10)*(Z1921/1000)/100,1)</f>
        <v/>
      </c>
      <c r="J1922">
        <f>((Inputs!$B$6*(1+Inputs!$B$7/100))+(((Inputs!$B$12*(1+Inputs!$B$13/100))-(Inputs!$B$12*(1+Inputs!$B$13/100)))+0.25*(Inputs!$B$14-Inputs!$B$14))*(1+Inputs!$B$7/100))*(F1922/100)</f>
        <v/>
      </c>
      <c r="K1922">
        <f>J1922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4="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1922)</f>
        <v/>
      </c>
      <c r="L1922">
        <f>K1922*(MIN(Inputs!$B$22+(F1940-Calc!F22),(Inputs!$B$23+(IF(ArtifactsInput!$M$15,CHOOSE(ArtifactsInput!$N$15+1,25,30,35,40,45,50)/100*(Inputs!$B$11-Inputs!$B$11),0))))/100+(Inputs!$B$23+(IF(ArtifactsInput!$M$15,CHOOSE(ArtifactsInput!$N$15+1,25,30,35,40,45,50)/100*(Inputs!$B$11-Inputs!$B$11),0)))/100)/2</f>
        <v/>
      </c>
      <c r="M1922">
        <f>L1922*(1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2">
        <f>L1922*(1-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1922*(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2">
        <f>(1-Summary!$B$11)*S1922+Summary!$B$11*U1922</f>
        <v/>
      </c>
      <c r="P1922">
        <f>IF(B1959=0,0,O1922/B1959)</f>
        <v/>
      </c>
      <c r="Q1922">
        <f>IFERROR(1/(IF(Inputs!$B$38="pvp",15,MAX(0.1,Skills!E4-IF(Skills!F4=TRUE,Inputs!$B$32,0)))*(1-IF(AND(ArtifactsInput!$M$27,Inputs!$B$4="Chapter Hunt"),CHOOSE(ArtifactsInput!$N$27+1,20,24,28,32,36,40),0)/100)),0)</f>
        <v/>
      </c>
      <c r="R1922">
        <f>IF(AND(Inputs!$B$38&lt;&gt;"pvp",Inputs!$B$43&gt;0),IF(MAX(0,Inputs!$B$43-B1956)&lt;=0,0,(INT(MAX(0,Inputs!$B$43-B1956)/(IF(Inputs!$B$38="pvp",15,MAX(0.1,Skills!E4-IF(Skills!F4=TRUE,Inputs!$B$32,0)))*(1-IF(AND(ArtifactsInput!$M$27,Inputs!$B$4="Chapter Hunt"),CHOOSE(ArtifactsInput!$N$27+1,20,24,28,32,36,40),0)/100)))+1)),0)</f>
        <v/>
      </c>
      <c r="S1922">
        <f>IF(C1922,(H1922*N1922*IF(AND(Inputs!$B$38&lt;&gt;"pvp",Inputs!$B$43&gt;0),((Skills!G4*((R1922-1)*IF(Skills!H4&gt;0,Skills!I4/Skills!H4,1)+IF(Skills!H4&gt;0,MIN(Skills!I4,MAX(0,MAX(0,Inputs!$B$43-B1956)-((R1922-1)*(IF(Inputs!$B$38="pvp",15,MAX(0.1,Skills!E4-IF(Skills!F4=TRUE,Inputs!$B$32,0)))*(1-IF(AND(ArtifactsInput!$M$27,Inputs!$B$4="Chapter Hunt"),CHOOSE(ArtifactsInput!$N$27+1,20,24,28,32,36,40),0)/100)))))/Skills!H4,1)))/Inputs!$B$43),G1922*Q1922)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1922*(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1922*(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22">
        <f>290*T1921/1000</f>
        <v/>
      </c>
      <c r="U1922">
        <f>IF(C1922,(H1922*N1922*IF(AND(Inputs!$B$38&lt;&gt;"pvp",Inputs!$B$43&gt;0),((Skills!G4*((R1922-1)*IF(Skills!H4&gt;0,Skills!I4/Skills!H4,1)+IF(Skills!H4&gt;0,MIN(Skills!I4,MAX(0,MAX(0,Inputs!$B$43-B1956)-((R1922-1)*(IF(Inputs!$B$38="pvp",15,MAX(0.1,Skills!E4-IF(Skills!F4=TRUE,Inputs!$B$32,0)))*(1-IF(AND(ArtifactsInput!$M$27,Inputs!$B$4="Chapter Hunt"),CHOOSE(ArtifactsInput!$N$27+1,20,24,28,32,36,40),0)/100)))))/Skills!H4,1)))/Inputs!$B$43),G1922*Q1922)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3">
      <c r="A1923">
        <f>Skills!A5</f>
        <v/>
      </c>
      <c r="B1923">
        <f>Skills!B5</f>
        <v/>
      </c>
      <c r="C1923">
        <f>TRUE</f>
        <v/>
      </c>
      <c r="D1923">
        <f>IF(Skills!C5=1,60+Inputs!$B$25+Inputs!$B$29,IF(Skills!C5=2,90+Inputs!$B$26+Inputs!$B$29,IF(Skills!C5=3,120+Inputs!$B$27+Inputs!$B$29,MAX(0,(Inputs!$B$3-100)*3)+Inputs!$B$28+Inputs!$B$29)))</f>
        <v/>
      </c>
      <c r="E1923">
        <f>INDEX(FactorTable!$B$2:$Y$301, MATCH(ROUND(MIN(300,MAX(1,D1923)),0), FactorTable!$A$2:$A$301,0), Skills!M5+1)</f>
        <v/>
      </c>
      <c r="F1923">
        <f>IF(Skills!N5=TRUE,(Skills!L5/10)*(E1923/1000),Skills!L5/10)+Skills!O5</f>
        <v/>
      </c>
      <c r="G1923">
        <f>Calc!G5</f>
        <v/>
      </c>
      <c r="H1923">
        <f>Calc!H5</f>
        <v/>
      </c>
      <c r="I1923">
        <f>IF(Skills!X5&lt;&gt;"",1+(Skills!X5/10)*(Z1921/1000)/100,1)</f>
        <v/>
      </c>
      <c r="J1923">
        <f>((Inputs!$B$6*(1+Inputs!$B$7/100))+(((Inputs!$B$12*(1+Inputs!$B$13/100))-(Inputs!$B$12*(1+Inputs!$B$13/100)))+0.25*(Inputs!$B$14-Inputs!$B$14))*(1+Inputs!$B$7/100))*(F1923/100)</f>
        <v/>
      </c>
      <c r="K1923">
        <f>J1923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5="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1923)</f>
        <v/>
      </c>
      <c r="L1923">
        <f>K1923*(MIN(Inputs!$B$22+(F1940-Calc!F22),(Inputs!$B$23+(IF(ArtifactsInput!$M$15,CHOOSE(ArtifactsInput!$N$15+1,25,30,35,40,45,50)/100*(Inputs!$B$11-Inputs!$B$11),0))))/100+(Inputs!$B$23+(IF(ArtifactsInput!$M$15,CHOOSE(ArtifactsInput!$N$15+1,25,30,35,40,45,50)/100*(Inputs!$B$11-Inputs!$B$11),0)))/100)/2</f>
        <v/>
      </c>
      <c r="M1923">
        <f>L1923*(1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3">
        <f>L1923*(1-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1923*(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3">
        <f>(1-Summary!$B$11)*S1923+Summary!$B$11*U1923</f>
        <v/>
      </c>
      <c r="P1923">
        <f>IF(B1959=0,0,O1923/B1959)</f>
        <v/>
      </c>
      <c r="Q1923">
        <f>IFERROR(1/(IF(Inputs!$B$38="pvp",15,MAX(0.1,Skills!E5-IF(Skills!F5=TRUE,Inputs!$B$32,0)))*(1-IF(AND(ArtifactsInput!$M$27,Inputs!$B$4="Chapter Hunt"),CHOOSE(ArtifactsInput!$N$27+1,20,24,28,32,36,40),0)/100)),0)</f>
        <v/>
      </c>
      <c r="R1923">
        <f>IF(AND(Inputs!$B$38&lt;&gt;"pvp",Inputs!$B$43&gt;0),IF(MAX(0,Inputs!$B$43-B1956)&lt;=0,0,(INT(MAX(0,Inputs!$B$43-B1956)/(IF(Inputs!$B$38="pvp",15,MAX(0.1,Skills!E5-IF(Skills!F5=TRUE,Inputs!$B$32,0)))*(1-IF(AND(ArtifactsInput!$M$27,Inputs!$B$4="Chapter Hunt"),CHOOSE(ArtifactsInput!$N$27+1,20,24,28,32,36,40),0)/100)))+1)),0)</f>
        <v/>
      </c>
      <c r="S1923">
        <f>IF(C1923,(H1923*N1923*IF(AND(Inputs!$B$38&lt;&gt;"pvp",Inputs!$B$43&gt;0),((Skills!G5*((R1923-1)*IF(Skills!H5&gt;0,Skills!I5/Skills!H5,1)+IF(Skills!H5&gt;0,MIN(Skills!I5,MAX(0,MAX(0,Inputs!$B$43-B1956)-((R1923-1)*(IF(Inputs!$B$38="pvp",15,MAX(0.1,Skills!E5-IF(Skills!F5=TRUE,Inputs!$B$32,0)))*(1-IF(AND(ArtifactsInput!$M$27,Inputs!$B$4="Chapter Hunt"),CHOOSE(ArtifactsInput!$N$27+1,20,24,28,32,36,40),0)/100)))))/Skills!H5,1)))/Inputs!$B$43),G1923*Q1923)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1923*(1-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1923*(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1923*(1-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1923*(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3">
        <f>IF(C1923,(H1923*N1923*IF(AND(Inputs!$B$38&lt;&gt;"pvp",Inputs!$B$43&gt;0),((Skills!G5*((R1923-1)*IF(Skills!H5&gt;0,Skills!I5/Skills!H5,1)+IF(Skills!H5&gt;0,MIN(Skills!I5,MAX(0,MAX(0,Inputs!$B$43-B1956)-((R1923-1)*(IF(Inputs!$B$38="pvp",15,MAX(0.1,Skills!E5-IF(Skills!F5=TRUE,Inputs!$B$32,0)))*(1-IF(AND(ArtifactsInput!$M$27,Inputs!$B$4="Chapter Hunt"),CHOOSE(ArtifactsInput!$N$27+1,20,24,28,32,36,40),0)/100)))))/Skills!H5,1)))/Inputs!$B$43),G1923*Q1923)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4">
      <c r="A1924">
        <f>Skills!A6</f>
        <v/>
      </c>
      <c r="B1924">
        <f>Skills!B6</f>
        <v/>
      </c>
      <c r="C1924">
        <f>TRUE</f>
        <v/>
      </c>
      <c r="D1924">
        <f>IF(Skills!C6=1,60+Inputs!$B$25+Inputs!$B$29,IF(Skills!C6=2,90+Inputs!$B$26+Inputs!$B$29,IF(Skills!C6=3,120+Inputs!$B$27+Inputs!$B$29,MAX(0,(Inputs!$B$3-100)*3)+Inputs!$B$28+Inputs!$B$29)))</f>
        <v/>
      </c>
      <c r="E1924">
        <f>INDEX(FactorTable!$B$2:$Y$301, MATCH(ROUND(MIN(300,MAX(1,D1924)),0), FactorTable!$A$2:$A$301,0), Skills!M6+1)</f>
        <v/>
      </c>
      <c r="F1924">
        <f>IF(Skills!N6=TRUE,(Skills!L6/10)*(E1924/1000),Skills!L6/10)+Skills!O6</f>
        <v/>
      </c>
      <c r="G1924">
        <f>Calc!G6</f>
        <v/>
      </c>
      <c r="H1924">
        <f>Calc!H6</f>
        <v/>
      </c>
      <c r="I1924">
        <f>IF(Skills!X6&lt;&gt;"",1+(Skills!X6/10)*(Z1921/1000)/100,1)</f>
        <v/>
      </c>
      <c r="J1924" t="inlineStr"/>
      <c r="K1924" t="inlineStr"/>
      <c r="L1924" t="inlineStr"/>
      <c r="M1924" t="inlineStr"/>
      <c r="N1924" t="inlineStr"/>
      <c r="O1924">
        <f>(1-Summary!$B$11)*S1924+Summary!$B$11*U1924</f>
        <v/>
      </c>
      <c r="P1924">
        <f>IF(B1959=0,0,O1924/B1959)</f>
        <v/>
      </c>
      <c r="Q1924">
        <f>IFERROR(1/(IF(Inputs!$B$38="pvp",15,MAX(0.1,Skills!E6-IF(Skills!F6=TRUE,Inputs!$B$32,0)))*(1-IF(AND(ArtifactsInput!$M$27,Inputs!$B$4="Chapter Hunt"),CHOOSE(ArtifactsInput!$N$27+1,20,24,28,32,36,40),0)/100)),0)</f>
        <v/>
      </c>
      <c r="R1924">
        <f>IF(AND(Inputs!$B$38&lt;&gt;"pvp",Inputs!$B$43&gt;0),IF(Inputs!$B$43&lt;=0,0,(INT(Inputs!$B$43/(IF(Inputs!$B$38="pvp",15,MAX(0.1,Skills!E6-IF(Skills!F6=TRUE,Inputs!$B$32,0)))*(1-IF(AND(ArtifactsInput!$M$27,Inputs!$B$4="Chapter Hunt"),CHOOSE(ArtifactsInput!$N$27+1,20,24,28,32,36,40),0)/100)))+1)),0)</f>
        <v/>
      </c>
      <c r="S1924" t="n">
        <v>0</v>
      </c>
      <c r="U1924" t="n">
        <v>0</v>
      </c>
    </row>
    <row r="1925">
      <c r="A1925">
        <f>Skills!A7</f>
        <v/>
      </c>
      <c r="B1925">
        <f>Skills!B7</f>
        <v/>
      </c>
      <c r="C1925">
        <f>TRUE</f>
        <v/>
      </c>
      <c r="D1925">
        <f>IF(Skills!C7=1,60+Inputs!$B$25+Inputs!$B$29,IF(Skills!C7=2,90+Inputs!$B$26+Inputs!$B$29,IF(Skills!C7=3,120+Inputs!$B$27+Inputs!$B$29,MAX(0,(Inputs!$B$3-100)*3)+Inputs!$B$28+Inputs!$B$29)))</f>
        <v/>
      </c>
      <c r="E1925">
        <f>INDEX(FactorTable!$B$2:$Y$301, MATCH(ROUND(MIN(300,MAX(1,D1925)),0), FactorTable!$A$2:$A$301,0), Skills!M7+1)</f>
        <v/>
      </c>
      <c r="F1925">
        <f>IF(Skills!N7=TRUE,(Skills!L7/10)*(E1925/1000),Skills!L7/10)+Skills!O7</f>
        <v/>
      </c>
      <c r="G1925">
        <f>Calc!G7</f>
        <v/>
      </c>
      <c r="H1925">
        <f>Calc!H7</f>
        <v/>
      </c>
      <c r="I1925">
        <f>IF(Skills!X7&lt;&gt;"",1+(Skills!X7/10)*(Z1921/1000)/100,1)</f>
        <v/>
      </c>
      <c r="J1925">
        <f>((Inputs!$B$6*(1+Inputs!$B$7/100))+(((Inputs!$B$12*(1+Inputs!$B$13/100))-(Inputs!$B$12*(1+Inputs!$B$13/100)))+0.25*(Inputs!$B$14-Inputs!$B$14))*(1+Inputs!$B$7/100))*(F1925/100)</f>
        <v/>
      </c>
      <c r="K1925">
        <f>J1925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7="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1925)</f>
        <v/>
      </c>
      <c r="L1925">
        <f>K1925*(MIN(Inputs!$B$22+(F1940-Calc!F22),(Inputs!$B$23+(IF(ArtifactsInput!$M$15,CHOOSE(ArtifactsInput!$N$15+1,25,30,35,40,45,50)/100*(Inputs!$B$11-Inputs!$B$11),0))))/100+(Inputs!$B$23+(IF(ArtifactsInput!$M$15,CHOOSE(ArtifactsInput!$N$15+1,25,30,35,40,45,50)/100*(Inputs!$B$11-Inputs!$B$11),0)))/100)/2</f>
        <v/>
      </c>
      <c r="M1925">
        <f>L1925*(1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5">
        <f>L1925*(1-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1925*(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5">
        <f>(1-Summary!$B$11)*S1925+Summary!$B$11*U1925</f>
        <v/>
      </c>
      <c r="P1925">
        <f>IF(B1959=0,0,O1925/B1959)</f>
        <v/>
      </c>
      <c r="Q1925">
        <f>IFERROR(1/(IF(Inputs!$B$38="pvp",15,MAX(0.1,Skills!E7-IF(Skills!F7=TRUE,Inputs!$B$32,0)))*(1-IF(AND(ArtifactsInput!$M$27,Inputs!$B$4="Chapter Hunt"),CHOOSE(ArtifactsInput!$N$27+1,20,24,28,32,36,40),0)/100)),0)</f>
        <v/>
      </c>
      <c r="R1925">
        <f>IF(AND(Inputs!$B$38&lt;&gt;"pvp",Inputs!$B$43&gt;0),IF(MAX(0,Inputs!$B$43-B1956)&lt;=0,0,(INT(MAX(0,Inputs!$B$43-B1956)/(IF(Inputs!$B$38="pvp",15,MAX(0.1,Skills!E7-IF(Skills!F7=TRUE,Inputs!$B$32,0)))*(1-IF(AND(ArtifactsInput!$M$27,Inputs!$B$4="Chapter Hunt"),CHOOSE(ArtifactsInput!$N$27+1,20,24,28,32,36,40),0)/100)))+1)),0)</f>
        <v/>
      </c>
      <c r="S1925">
        <f>IF(C1925,(H1925*N1925*IF(AND(Inputs!$B$38&lt;&gt;"pvp",Inputs!$B$43&gt;0),((Skills!G7*((R1925-1)*IF(Skills!H7&gt;0,Skills!I7/Skills!H7,1)+IF(Skills!H7&gt;0,MIN(Skills!I7,MAX(0,MAX(0,Inputs!$B$43-B1956)-((R1925-1)*(IF(Inputs!$B$38="pvp",15,MAX(0.1,Skills!E7-IF(Skills!F7=TRUE,Inputs!$B$32,0)))*(1-IF(AND(ArtifactsInput!$M$27,Inputs!$B$4="Chapter Hunt"),CHOOSE(ArtifactsInput!$N$27+1,20,24,28,32,36,40),0)/100)))))/Skills!H7,1)))/Inputs!$B$43),G1925*Q1925)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1925*(1-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1925*(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1925*(1-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1925*(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5">
        <f>IF(C1925,(H1925*N1925*IF(AND(Inputs!$B$38&lt;&gt;"pvp",Inputs!$B$43&gt;0),((Skills!G7*((R1925-1)*IF(Skills!H7&gt;0,Skills!I7/Skills!H7,1)+IF(Skills!H7&gt;0,MIN(Skills!I7,MAX(0,MAX(0,Inputs!$B$43-B1956)-((R1925-1)*(IF(Inputs!$B$38="pvp",15,MAX(0.1,Skills!E7-IF(Skills!F7=TRUE,Inputs!$B$32,0)))*(1-IF(AND(ArtifactsInput!$M$27,Inputs!$B$4="Chapter Hunt"),CHOOSE(ArtifactsInput!$N$27+1,20,24,28,32,36,40),0)/100)))))/Skills!H7,1)))/Inputs!$B$43),G1925*Q1925)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6">
      <c r="A1926">
        <f>Skills!A8</f>
        <v/>
      </c>
      <c r="B1926">
        <f>Skills!B8</f>
        <v/>
      </c>
      <c r="C1926">
        <f>TRUE</f>
        <v/>
      </c>
      <c r="D1926">
        <f>IF(Skills!C8=1,60+Inputs!$B$25+Inputs!$B$29,IF(Skills!C8=2,90+Inputs!$B$26+Inputs!$B$29,IF(Skills!C8=3,120+Inputs!$B$27+Inputs!$B$29,MAX(0,(Inputs!$B$3-100)*3)+Inputs!$B$28+Inputs!$B$29)))</f>
        <v/>
      </c>
      <c r="E1926">
        <f>INDEX(FactorTable!$B$2:$Y$301, MATCH(ROUND(MIN(300,MAX(1,D1926)),0), FactorTable!$A$2:$A$301,0), Skills!M8+1)</f>
        <v/>
      </c>
      <c r="F1926">
        <f>IF(Skills!N8=TRUE,(Skills!L8/10)*(E1926/1000),Skills!L8/10)+Skills!O8</f>
        <v/>
      </c>
      <c r="G1926">
        <f>Calc!G8</f>
        <v/>
      </c>
      <c r="H1926">
        <f>Calc!H8</f>
        <v/>
      </c>
      <c r="I1926">
        <f>IF(Skills!X8&lt;&gt;"",1+(Skills!X8/10)*(Z1921/1000)/100,1)</f>
        <v/>
      </c>
      <c r="J1926">
        <f>((Inputs!$B$6*(1+Inputs!$B$7/100))+(((Inputs!$B$12*(1+Inputs!$B$13/100))-(Inputs!$B$12*(1+Inputs!$B$13/100)))+0.25*(Inputs!$B$14-Inputs!$B$14))*(1+Inputs!$B$7/100))*(F1926/100)</f>
        <v/>
      </c>
      <c r="K1926">
        <f>J1926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8="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1926)</f>
        <v/>
      </c>
      <c r="L1926">
        <f>K1926*(MIN(Inputs!$B$22+(F1940-Calc!F22),(Inputs!$B$23+(IF(ArtifactsInput!$M$15,CHOOSE(ArtifactsInput!$N$15+1,25,30,35,40,45,50)/100*(Inputs!$B$11-Inputs!$B$11),0))))/100+(Inputs!$B$23+(IF(ArtifactsInput!$M$15,CHOOSE(ArtifactsInput!$N$15+1,25,30,35,40,45,50)/100*(Inputs!$B$11-Inputs!$B$11),0)))/100)/2</f>
        <v/>
      </c>
      <c r="M1926">
        <f>L1926*(1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6">
        <f>L1926*(1-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1926*(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6">
        <f>(1-Summary!$B$11)*S1926+Summary!$B$11*U1926</f>
        <v/>
      </c>
      <c r="P1926">
        <f>IF(B1959=0,0,O1926/B1959)</f>
        <v/>
      </c>
      <c r="Q1926">
        <f>IFERROR(1/(IF(Inputs!$B$38="pvp",15,MAX(0.1,Skills!E8-IF(Skills!F8=TRUE,Inputs!$B$32,0)))*(1-IF(AND(ArtifactsInput!$M$27,Inputs!$B$4="Chapter Hunt"),CHOOSE(ArtifactsInput!$N$27+1,20,24,28,32,36,40),0)/100)),0)</f>
        <v/>
      </c>
      <c r="R1926">
        <f>IF(AND(Inputs!$B$38&lt;&gt;"pvp",Inputs!$B$43&gt;0),IF(MAX(0,Inputs!$B$43-B1956)&lt;=0,0,(INT(MAX(0,Inputs!$B$43-B1956)/(IF(Inputs!$B$38="pvp",15,MAX(0.1,Skills!E8-IF(Skills!F8=TRUE,Inputs!$B$32,0)))*(1-IF(AND(ArtifactsInput!$M$27,Inputs!$B$4="Chapter Hunt"),CHOOSE(ArtifactsInput!$N$27+1,20,24,28,32,36,40),0)/100)))+1)),0)</f>
        <v/>
      </c>
      <c r="S1926">
        <f>IF(C1926,(H1926*N1926*IF(AND(Inputs!$B$38&lt;&gt;"pvp",Inputs!$B$43&gt;0),((Skills!G8*((R1926-1)*IF(Skills!H8&gt;0,Skills!I8/Skills!H8,1)+IF(Skills!H8&gt;0,MIN(Skills!I8,MAX(0,MAX(0,Inputs!$B$43-B1956)-((R1926-1)*(IF(Inputs!$B$38="pvp",15,MAX(0.1,Skills!E8-IF(Skills!F8=TRUE,Inputs!$B$32,0)))*(1-IF(AND(ArtifactsInput!$M$27,Inputs!$B$4="Chapter Hunt"),CHOOSE(ArtifactsInput!$N$27+1,20,24,28,32,36,40),0)/100)))))/Skills!H8,1)))/Inputs!$B$43),G1926*Q1926)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1926*(1-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1926*(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1926*(1-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1926*(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6">
        <f>IF(C1926,(H1926*N1926*IF(AND(Inputs!$B$38&lt;&gt;"pvp",Inputs!$B$43&gt;0),((Skills!G8*((R1926-1)*IF(Skills!H8&gt;0,Skills!I8/Skills!H8,1)+IF(Skills!H8&gt;0,MIN(Skills!I8,MAX(0,MAX(0,Inputs!$B$43-B1956)-((R1926-1)*(IF(Inputs!$B$38="pvp",15,MAX(0.1,Skills!E8-IF(Skills!F8=TRUE,Inputs!$B$32,0)))*(1-IF(AND(ArtifactsInput!$M$27,Inputs!$B$4="Chapter Hunt"),CHOOSE(ArtifactsInput!$N$27+1,20,24,28,32,36,40),0)/100)))))/Skills!H8,1)))/Inputs!$B$43),G1926*Q1926)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7">
      <c r="A1927">
        <f>Skills!A9</f>
        <v/>
      </c>
      <c r="B1927">
        <f>Skills!B9</f>
        <v/>
      </c>
      <c r="C1927">
        <f>Inputs!$B$3&gt;=103</f>
        <v/>
      </c>
      <c r="D1927">
        <f>IF(Skills!C9=1,60+Inputs!$B$25+Inputs!$B$29,IF(Skills!C9=2,90+Inputs!$B$26+Inputs!$B$29,IF(Skills!C9=3,120+Inputs!$B$27+Inputs!$B$29,MAX(0,(Inputs!$B$3-100)*3)+Inputs!$B$28+Inputs!$B$29)))</f>
        <v/>
      </c>
      <c r="E1927">
        <f>INDEX(FactorTable!$B$2:$Y$301, MATCH(ROUND(MIN(300,MAX(1,D1927)),0), FactorTable!$A$2:$A$301,0), Skills!M9+1)</f>
        <v/>
      </c>
      <c r="F1927">
        <f>IF(Skills!N9=TRUE,(Skills!L9/10)*(E1927/1000),Skills!L9/10)+Skills!O9</f>
        <v/>
      </c>
      <c r="G1927">
        <f>Calc!G9</f>
        <v/>
      </c>
      <c r="H1927">
        <f>Calc!H9</f>
        <v/>
      </c>
      <c r="I1927">
        <f>IF(Skills!X9&lt;&gt;"",1+(Skills!X9/10)*(Z1921/1000)/100,1)</f>
        <v/>
      </c>
      <c r="J1927">
        <f>((Inputs!$B$6*(1+Inputs!$B$7/100))+(((Inputs!$B$12*(1+Inputs!$B$13/100))-(Inputs!$B$12*(1+Inputs!$B$13/100)))+0.25*(Inputs!$B$14-Inputs!$B$14))*(1+Inputs!$B$7/100))*(F1927/100)</f>
        <v/>
      </c>
      <c r="K1927">
        <f>J1927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9="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1927)</f>
        <v/>
      </c>
      <c r="L1927">
        <f>K1927*(MIN(Inputs!$B$22+(F1940-Calc!F22),(Inputs!$B$23+(IF(ArtifactsInput!$M$15,CHOOSE(ArtifactsInput!$N$15+1,25,30,35,40,45,50)/100*(Inputs!$B$11-Inputs!$B$11),0))))/100+(Inputs!$B$23+(IF(ArtifactsInput!$M$15,CHOOSE(ArtifactsInput!$N$15+1,25,30,35,40,45,50)/100*(Inputs!$B$11-Inputs!$B$11),0)))/100)/2</f>
        <v/>
      </c>
      <c r="M1927">
        <f>L1927*(1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7">
        <f>L1927*(1-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1927*(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7">
        <f>(1-Summary!$B$11)*S1927+Summary!$B$11*U1927</f>
        <v/>
      </c>
      <c r="P1927">
        <f>IF(B1959=0,0,O1927/B1959)</f>
        <v/>
      </c>
      <c r="Q1927">
        <f>IFERROR(1/(IF(Inputs!$B$38="pvp",15,MAX(0.1,Skills!E9-IF(Skills!F7=TRUE,Inputs!$B$32,0)))*(1-IF(AND(ArtifactsInput!$M$27,Inputs!$B$4="Chapter Hunt"),CHOOSE(ArtifactsInput!$N$27+1,20,24,28,32,36,40),0)/100)),0)</f>
        <v/>
      </c>
      <c r="R1927">
        <f>IF(AND(Inputs!$B$38&lt;&gt;"pvp",Inputs!$B$43&gt;0),IF(MAX(0,Inputs!$B$43-B1956)&lt;=0,0,(INT(MAX(0,Inputs!$B$43-B1956)/(IF(Inputs!$B$38="pvp",15,MAX(0.1,Skills!E9-IF(Skills!F7=TRUE,Inputs!$B$32,0)))*(1-IF(AND(ArtifactsInput!$M$27,Inputs!$B$4="Chapter Hunt"),CHOOSE(ArtifactsInput!$N$27+1,20,24,28,32,36,40),0)/100)))+1)),0)</f>
        <v/>
      </c>
      <c r="S1927">
        <f>IF(C1927,(H1927*N1927*IF(AND(Inputs!$B$38&lt;&gt;"pvp",Inputs!$B$43&gt;0),((Skills!G9*((R1927-1)*IF(Skills!H9&gt;0,Skills!I9/Skills!H9,1)+IF(Skills!H9&gt;0,MIN(Skills!I9,MAX(0,MAX(0,Inputs!$B$43-B1956)-((R1927-1)*(IF(Inputs!$B$38="pvp",15,MAX(0.1,Skills!E9-IF(Skills!F7=TRUE,Inputs!$B$32,0)))*(1-IF(AND(ArtifactsInput!$M$27,Inputs!$B$4="Chapter Hunt"),CHOOSE(ArtifactsInput!$N$27+1,20,24,28,32,36,40),0)/100)))))/Skills!H9,1)))/Inputs!$B$43),G1927*Q1927)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1927*(1-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1927*(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1927*(1-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1927*(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7">
        <f>IF(C1927,(H1927*N1927*IF(AND(Inputs!$B$38&lt;&gt;"pvp",Inputs!$B$43&gt;0),((Skills!G9*((R1927-1)*IF(Skills!H9&gt;0,Skills!I9/Skills!H9,1)+IF(Skills!H9&gt;0,MIN(Skills!I9,MAX(0,MAX(0,Inputs!$B$43-B1956)-((R1927-1)*(IF(Inputs!$B$38="pvp",15,MAX(0.1,Skills!E9-IF(Skills!F7=TRUE,Inputs!$B$32,0)))*(1-IF(AND(ArtifactsInput!$M$27,Inputs!$B$4="Chapter Hunt"),CHOOSE(ArtifactsInput!$N$27+1,20,24,28,32,36,40),0)/100)))))/Skills!H9,1)))/Inputs!$B$43),G1927*Q1927)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8">
      <c r="A1928">
        <f>Skills!A10</f>
        <v/>
      </c>
      <c r="B1928">
        <f>Skills!B10</f>
        <v/>
      </c>
      <c r="C1928">
        <f>TRUE</f>
        <v/>
      </c>
      <c r="D1928">
        <f>IF(Skills!C10=1,60+Inputs!$B$25+Inputs!$B$29,IF(Skills!C10=2,90+Inputs!$B$26+Inputs!$B$29,IF(Skills!C10=3,120+Inputs!$B$27+Inputs!$B$29,MAX(0,(Inputs!$B$3-100)*3)+Inputs!$B$28+Inputs!$B$29)))</f>
        <v/>
      </c>
      <c r="E1928">
        <f>INDEX(FactorTable!$B$2:$Y$301, MATCH(ROUND(MIN(300,MAX(1,D1928)),0), FactorTable!$A$2:$A$301,0), Skills!M10+1)</f>
        <v/>
      </c>
      <c r="F1928">
        <f>IF(Skills!N10=TRUE,(Skills!L10/10)*(E1928/1000),Skills!L10/10)+Skills!O10</f>
        <v/>
      </c>
      <c r="G1928">
        <f>Calc!G10</f>
        <v/>
      </c>
      <c r="H1928">
        <f>Calc!H10</f>
        <v/>
      </c>
      <c r="I1928">
        <f>IF(Skills!X10&lt;&gt;"",1+(Skills!X10/10)*(Z1921/1000)/100,1)</f>
        <v/>
      </c>
      <c r="J1928">
        <f>((Inputs!$B$6*(1+Inputs!$B$7/100))+(((Inputs!$B$12*(1+Inputs!$B$13/100))-(Inputs!$B$12*(1+Inputs!$B$13/100)))+0.25*(Inputs!$B$14-Inputs!$B$14))*(1+Inputs!$B$7/100))*(F1928/100)</f>
        <v/>
      </c>
      <c r="K1928">
        <f>J1928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10="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1928)</f>
        <v/>
      </c>
      <c r="L1928">
        <f>K1928*(MIN(Inputs!$B$22+(F1940-Calc!F22),(Inputs!$B$23+(IF(ArtifactsInput!$M$15,CHOOSE(ArtifactsInput!$N$15+1,25,30,35,40,45,50)/100*(Inputs!$B$11-Inputs!$B$11),0))))/100+(Inputs!$B$23+(IF(ArtifactsInput!$M$15,CHOOSE(ArtifactsInput!$N$15+1,25,30,35,40,45,50)/100*(Inputs!$B$11-Inputs!$B$11),0)))/100)/2</f>
        <v/>
      </c>
      <c r="M1928">
        <f>L1928*(1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28">
        <f>L1928*(1-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1928*(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8">
        <f>(1-Summary!$B$11)*S1928+Summary!$B$11*U1928</f>
        <v/>
      </c>
      <c r="P1928">
        <f>IF(B1959=0,0,O1928/B1959)</f>
        <v/>
      </c>
      <c r="Q1928">
        <f>IFERROR(1/(IF(Inputs!$B$38="pvp",15,MAX(0.1,Skills!E10-IF(Skills!F10=TRUE,Inputs!$B$32,0)))*(1-IF(AND(ArtifactsInput!$M$27,Inputs!$B$4="Chapter Hunt"),CHOOSE(ArtifactsInput!$N$27+1,20,24,28,32,36,40),0)/100)),0)</f>
        <v/>
      </c>
      <c r="R1928">
        <f>IF(AND(Inputs!$B$38&lt;&gt;"pvp",Inputs!$B$43&gt;0),IF(MAX(0,Inputs!$B$43-B1956)&lt;=0,0,(INT(MAX(0,Inputs!$B$43-B1956)/(IF(Inputs!$B$38="pvp",15,MAX(0.1,Skills!E10-IF(Skills!F10=TRUE,Inputs!$B$32,0)))*(1-IF(AND(ArtifactsInput!$M$27,Inputs!$B$4="Chapter Hunt"),CHOOSE(ArtifactsInput!$N$27+1,20,24,28,32,36,40),0)/100)))+1)),0)</f>
        <v/>
      </c>
      <c r="S1928">
        <f>IF(C1928,(H1928*N1928*IF(AND(Inputs!$B$38&lt;&gt;"pvp",Inputs!$B$43&gt;0),((Skills!G10*((R1928-1)*IF(Skills!H10&gt;0,Skills!I10/Skills!H10,1)+IF(Skills!H10&gt;0,MIN(Skills!I10,MAX(0,MAX(0,Inputs!$B$43-B1956)-((R1928-1)*(IF(Inputs!$B$38="pvp",15,MAX(0.1,Skills!E10-IF(Skills!F10=TRUE,Inputs!$B$32,0)))*(1-IF(AND(ArtifactsInput!$M$27,Inputs!$B$4="Chapter Hunt"),CHOOSE(ArtifactsInput!$N$27+1,20,24,28,32,36,40),0)/100)))))/Skills!H10,1)))/Inputs!$B$43),G1928*Q1928)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1928*(1-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1928*(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1928*(1-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1928*(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8">
        <f>IF(C1928,(H1928*N1928*IF(AND(Inputs!$B$38&lt;&gt;"pvp",Inputs!$B$43&gt;0),((Skills!G10*((R1928-1)*IF(Skills!H10&gt;0,Skills!I10/Skills!H10,1)+IF(Skills!H10&gt;0,MIN(Skills!I10,MAX(0,MAX(0,Inputs!$B$43-B1956)-((R1928-1)*(IF(Inputs!$B$38="pvp",15,MAX(0.1,Skills!E10-IF(Skills!F10=TRUE,Inputs!$B$32,0)))*(1-IF(AND(ArtifactsInput!$M$27,Inputs!$B$4="Chapter Hunt"),CHOOSE(ArtifactsInput!$N$27+1,20,24,28,32,36,40),0)/100)))))/Skills!H10,1)))/Inputs!$B$43),G1928*Q1928)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9">
      <c r="A1929">
        <f>Skills!A11</f>
        <v/>
      </c>
      <c r="B1929">
        <f>Skills!B11</f>
        <v/>
      </c>
      <c r="C1929">
        <f>TRUE</f>
        <v/>
      </c>
      <c r="D1929">
        <f>IF(Skills!C11=1,60+Inputs!$B$25+Inputs!$B$29,IF(Skills!C11=2,90+Inputs!$B$26+Inputs!$B$29,IF(Skills!C11=3,120+Inputs!$B$27+Inputs!$B$29,MAX(0,(Inputs!$B$3-100)*3)+Inputs!$B$28+Inputs!$B$29)))</f>
        <v/>
      </c>
      <c r="E1929">
        <f>INDEX(FactorTable!$B$2:$Y$301, MATCH(ROUND(MIN(300,MAX(1,D1929)),0), FactorTable!$A$2:$A$301,0), Skills!M11+1)</f>
        <v/>
      </c>
      <c r="F1929">
        <f>IF(Skills!N11=TRUE,(Skills!L11/10)*(E1929/1000),Skills!L11/10)+Skills!O11</f>
        <v/>
      </c>
      <c r="G1929">
        <f>Calc!G11</f>
        <v/>
      </c>
      <c r="H1929">
        <f>Calc!H11</f>
        <v/>
      </c>
      <c r="I1929">
        <f>IF(Skills!X11&lt;&gt;"",1+(Skills!X11/10)*(Z1921/1000)/100,1)</f>
        <v/>
      </c>
      <c r="J1929" t="inlineStr"/>
      <c r="K1929" t="inlineStr"/>
      <c r="L1929" t="inlineStr"/>
      <c r="M1929" t="inlineStr"/>
      <c r="N1929" t="inlineStr"/>
      <c r="O1929">
        <f>(1-Summary!$B$11)*S1929+Summary!$B$11*U1929</f>
        <v/>
      </c>
      <c r="P1929">
        <f>IF(B1959=0,0,O1929/B1959)</f>
        <v/>
      </c>
      <c r="Q1929">
        <f>IFERROR(1/(IF(Inputs!$B$38="pvp",15,MAX(0.1,Skills!E11-IF(Skills!F11=TRUE,Inputs!$B$32,0)))*(1-IF(AND(ArtifactsInput!$M$27,Inputs!$B$4="Chapter Hunt"),CHOOSE(ArtifactsInput!$N$27+1,20,24,28,32,36,40),0)/100)),0)</f>
        <v/>
      </c>
      <c r="R1929" t="n">
        <v>0</v>
      </c>
      <c r="S1929" t="n">
        <v>0</v>
      </c>
      <c r="U1929" t="n">
        <v>0</v>
      </c>
    </row>
    <row r="1930">
      <c r="A1930">
        <f>Skills!A12</f>
        <v/>
      </c>
      <c r="B1930">
        <f>Skills!B12</f>
        <v/>
      </c>
      <c r="C1930">
        <f>TRUE</f>
        <v/>
      </c>
      <c r="D1930">
        <f>IF(Skills!C12=1,60+Inputs!$B$25+Inputs!$B$29,IF(Skills!C12=2,90+Inputs!$B$26+Inputs!$B$29,IF(Skills!C12=3,120+Inputs!$B$27+Inputs!$B$29,MAX(0,(Inputs!$B$3-100)*3)+Inputs!$B$28+Inputs!$B$29)))</f>
        <v/>
      </c>
      <c r="E1930">
        <f>INDEX(FactorTable!$B$2:$Y$301, MATCH(ROUND(MIN(300,MAX(1,D1930)),0), FactorTable!$A$2:$A$301,0), Skills!M12+1)</f>
        <v/>
      </c>
      <c r="F1930">
        <f>IF(Skills!N12=TRUE,(Skills!L12/10)*(E1930/1000),Skills!L12/10)+Skills!O12</f>
        <v/>
      </c>
      <c r="G1930">
        <f>Calc!G12</f>
        <v/>
      </c>
      <c r="H1930">
        <f>Calc!H12</f>
        <v/>
      </c>
      <c r="I1930">
        <f>IF(Skills!X12&lt;&gt;"",1+(Skills!X12/10)*(Z1921/1000)/100,1)</f>
        <v/>
      </c>
      <c r="J1930" t="inlineStr"/>
      <c r="K1930" t="inlineStr"/>
      <c r="L1930" t="inlineStr"/>
      <c r="M1930" t="inlineStr"/>
      <c r="N1930" t="inlineStr"/>
      <c r="O1930">
        <f>(1-Summary!$B$11)*S1930+Summary!$B$11*U1930</f>
        <v/>
      </c>
      <c r="P1930">
        <f>IF(B1959=0,0,O1930/B1959)</f>
        <v/>
      </c>
      <c r="Q1930">
        <f>IFERROR(1/(IF(Inputs!$B$38="pvp",15,MAX(0.1,Skills!E12-IF(Skills!F12=TRUE,Inputs!$B$32,0)))*(1-IF(AND(ArtifactsInput!$M$27,Inputs!$B$4="Chapter Hunt"),CHOOSE(ArtifactsInput!$N$27+1,20,24,28,32,36,40),0)/100)),0)</f>
        <v/>
      </c>
      <c r="R1930" t="n">
        <v>0</v>
      </c>
      <c r="S1930" t="n">
        <v>0</v>
      </c>
      <c r="U1930" t="n">
        <v>0</v>
      </c>
    </row>
    <row r="1931">
      <c r="A1931">
        <f>Skills!A13</f>
        <v/>
      </c>
      <c r="B1931">
        <f>Skills!B13</f>
        <v/>
      </c>
      <c r="C1931">
        <f>Inputs!$B$3&gt;=105</f>
        <v/>
      </c>
      <c r="D1931">
        <f>IF(Skills!C13=1,60+Inputs!$B$25+Inputs!$B$29,IF(Skills!C13=2,90+Inputs!$B$26+Inputs!$B$29,IF(Skills!C13=3,120+Inputs!$B$27+Inputs!$B$29,MAX(0,(Inputs!$B$3-100)*3)+Inputs!$B$28+Inputs!$B$29)))</f>
        <v/>
      </c>
      <c r="E1931">
        <f>INDEX(FactorTable!$B$2:$Y$301, MATCH(ROUND(MIN(300,MAX(1,D1931)),0), FactorTable!$A$2:$A$301,0), Skills!M13+1)</f>
        <v/>
      </c>
      <c r="F1931">
        <f>IF(Skills!N13=TRUE,(Skills!L13/10)*(E1931/1000),Skills!L13/10)+Skills!O13</f>
        <v/>
      </c>
      <c r="G1931">
        <f>Calc!G13</f>
        <v/>
      </c>
      <c r="H1931">
        <f>Calc!H13</f>
        <v/>
      </c>
      <c r="I1931">
        <f>IF(Skills!X13&lt;&gt;"",1+(Skills!X13/10)*(Z1921/1000)/100,1)</f>
        <v/>
      </c>
      <c r="J1931">
        <f>((Inputs!$B$6*(1+Inputs!$B$7/100))+(((Inputs!$B$12*(1+Inputs!$B$13/100))-(Inputs!$B$12*(1+Inputs!$B$13/100)))+0.25*(Inputs!$B$14-Inputs!$B$14))*(1+Inputs!$B$7/100))*(F1931/100)</f>
        <v/>
      </c>
      <c r="K1931">
        <f>J1931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13="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1931)</f>
        <v/>
      </c>
      <c r="L1931">
        <f>K1931*(MIN(Inputs!$B$22+(F1940-Calc!F22),(Inputs!$B$23+(IF(ArtifactsInput!$M$15,CHOOSE(ArtifactsInput!$N$15+1,25,30,35,40,45,50)/100*(Inputs!$B$11-Inputs!$B$11),0))))/100+(Inputs!$B$23+(IF(ArtifactsInput!$M$15,CHOOSE(ArtifactsInput!$N$15+1,25,30,35,40,45,50)/100*(Inputs!$B$11-Inputs!$B$11),0)))/100)/2</f>
        <v/>
      </c>
      <c r="M1931">
        <f>L1931*(1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31">
        <f>L1931*(1-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1931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31">
        <f>(1-Summary!$B$11)*S1931+Summary!$B$11*U1931</f>
        <v/>
      </c>
      <c r="P1931">
        <f>IF(B1959=0,0,O1931/B1959)</f>
        <v/>
      </c>
      <c r="Q1931">
        <f>IFERROR(1/(IF(Inputs!$B$38="pvp",15,MAX(0.1,Skills!E13-IF(Skills!F13=TRUE,Inputs!$B$32,0)))*(1-IF(AND(ArtifactsInput!$M$27,Inputs!$B$4="Chapter Hunt"),CHOOSE(ArtifactsInput!$N$27+1,20,24,28,32,36,40),0)/100)),0)</f>
        <v/>
      </c>
      <c r="R1931">
        <f>IF(AND(Inputs!$B$38&lt;&gt;"pvp",Inputs!$B$43&gt;0),IF(MAX(0,Inputs!$B$43-B1956)&lt;=0,0,(INT(MAX(0,Inputs!$B$43-B1956)/(IF(Inputs!$B$38="pvp",15,MAX(0.1,Skills!E13-IF(Skills!F13=TRUE,Inputs!$B$32,0)))*(1-IF(AND(ArtifactsInput!$M$27,Inputs!$B$4="Chapter Hunt"),CHOOSE(ArtifactsInput!$N$27+1,20,24,28,32,36,40),0)/100)))+1)),0)</f>
        <v/>
      </c>
      <c r="S1931">
        <f>IF(C1931,(H1931*N1931*IF(AND(Inputs!$B$38&lt;&gt;"pvp",Inputs!$B$43&gt;0),((Skills!G13*((R1931-1)*IF(Skills!H13&gt;0,Skills!I13/Skills!H13,1)+IF(Skills!H13&gt;0,MIN(Skills!I13,MAX(0,MAX(0,Inputs!$B$43-B1956)-((R1931-1)*(IF(Inputs!$B$38="pvp",15,MAX(0.1,Skills!E13-IF(Skills!F13=TRUE,Inputs!$B$32,0)))*(1-IF(AND(ArtifactsInput!$M$27,Inputs!$B$4="Chapter Hunt"),CHOOSE(ArtifactsInput!$N$27+1,20,24,28,32,36,40),0)/100)))))/Skills!H13,1)))/Inputs!$B$43),G1931*Q1931)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1931*(1-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1931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1931*(1-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1931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31">
        <f>IF(C1931,(H1931*N1931*IF(AND(Inputs!$B$38&lt;&gt;"pvp",Inputs!$B$43&gt;0),((Skills!G13*((R1931-1)*IF(Skills!H13&gt;0,Skills!I13/Skills!H13,1)+IF(Skills!H13&gt;0,MIN(Skills!I13,MAX(0,MAX(0,Inputs!$B$43-B1956)-((R1931-1)*(IF(Inputs!$B$38="pvp",15,MAX(0.1,Skills!E13-IF(Skills!F13=TRUE,Inputs!$B$32,0)))*(1-IF(AND(ArtifactsInput!$M$27,Inputs!$B$4="Chapter Hunt"),CHOOSE(ArtifactsInput!$N$27+1,20,24,28,32,36,40),0)/100)))))/Skills!H13,1)))/Inputs!$B$43),G1931*Q1931)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32">
      <c r="A1932">
        <f>Skills!A14</f>
        <v/>
      </c>
      <c r="B1932">
        <f>Skills!B14</f>
        <v/>
      </c>
      <c r="C1932">
        <f>Inputs!$B$3&gt;=113</f>
        <v/>
      </c>
      <c r="D1932">
        <f>IF(Skills!C14=1,60+Inputs!$B$25+Inputs!$B$29,IF(Skills!C14=2,90+Inputs!$B$26+Inputs!$B$29,IF(Skills!C14=3,120+Inputs!$B$27+Inputs!$B$29,MAX(0,(Inputs!$B$3-100)*3)+Inputs!$B$28+Inputs!$B$29)))</f>
        <v/>
      </c>
      <c r="E1932">
        <f>INDEX(FactorTable!$B$2:$Y$301, MATCH(ROUND(MIN(300,MAX(1,D1932)),0), FactorTable!$A$2:$A$301,0), Skills!M14+1)</f>
        <v/>
      </c>
      <c r="F1932">
        <f>IF(Skills!N14=TRUE,(Skills!L14/10)*(E1932/1000),Skills!L14/10)+Skills!O14</f>
        <v/>
      </c>
      <c r="G1932">
        <f>Calc!G14</f>
        <v/>
      </c>
      <c r="H1932">
        <f>Calc!H14</f>
        <v/>
      </c>
      <c r="I1932">
        <f>IF(Skills!X14&lt;&gt;"",1+(Skills!X14/10)*(Z1921/1000)/100,1)</f>
        <v/>
      </c>
      <c r="J1932">
        <f>((Inputs!$B$6*(1+Inputs!$B$7/100))+(((Inputs!$B$12*(1+Inputs!$B$13/100))-(Inputs!$B$12*(1+Inputs!$B$13/100)))+0.25*(Inputs!$B$14-Inputs!$B$14))*(1+Inputs!$B$7/100))*(F1932/100)</f>
        <v/>
      </c>
      <c r="K1932">
        <f>J1932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14="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1932)</f>
        <v/>
      </c>
      <c r="L1932">
        <f>K1932*(MIN(Inputs!$B$22+(F1940-Calc!F22),(Inputs!$B$23+(IF(ArtifactsInput!$M$15,CHOOSE(ArtifactsInput!$N$15+1,25,30,35,40,45,50)/100*(Inputs!$B$11-Inputs!$B$11),0))))/100+(Inputs!$B$23+(IF(ArtifactsInput!$M$15,CHOOSE(ArtifactsInput!$N$15+1,25,30,35,40,45,50)/100*(Inputs!$B$11-Inputs!$B$11),0)))/100)/2</f>
        <v/>
      </c>
      <c r="M1932">
        <f>L1932*(1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32">
        <f>L1932*(1-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1932*(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32">
        <f>(1-Summary!$B$11)*S1932+Summary!$B$11*U1932</f>
        <v/>
      </c>
      <c r="P1932">
        <f>IF(B1959=0,0,O1932/B1959)</f>
        <v/>
      </c>
      <c r="Q1932">
        <f>IFERROR(1/(IF(Inputs!$B$38="pvp",15,MAX(0.1,Skills!E14-IF(Skills!F14=TRUE,Inputs!$B$32,0)))*(1-IF(AND(ArtifactsInput!$M$27,Inputs!$B$4="Chapter Hunt"),CHOOSE(ArtifactsInput!$N$27+1,20,24,28,32,36,40),0)/100)),0)</f>
        <v/>
      </c>
      <c r="R1932" t="n">
        <v>0</v>
      </c>
      <c r="S1932">
        <f>IF(C1932,((H1932*B1955)/(1+Skills!H14*H1932*B1955)*N1932)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1932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1932*(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1932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1932*(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32">
        <f>IF(C1932,((H1932*B1955)/(1+Skills!H14*H1932*B1955)*N1932)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33">
      <c r="A1933">
        <f>Skills!A15</f>
        <v/>
      </c>
      <c r="B1933">
        <f>Skills!B15</f>
        <v/>
      </c>
      <c r="C1933">
        <f>Inputs!$B$3&gt;=107</f>
        <v/>
      </c>
      <c r="D1933">
        <f>IF(Skills!C15=1,60+Inputs!$B$25+Inputs!$B$29,IF(Skills!C15=2,90+Inputs!$B$26+Inputs!$B$29,IF(Skills!C15=3,120+Inputs!$B$27+Inputs!$B$29,MAX(0,(Inputs!$B$3-100)*3)+Inputs!$B$28+Inputs!$B$29)))</f>
        <v/>
      </c>
      <c r="E1933">
        <f>INDEX(FactorTable!$B$2:$Y$301, MATCH(ROUND(MIN(300,MAX(1,D1933)),0), FactorTable!$A$2:$A$301,0), Skills!M15+1)</f>
        <v/>
      </c>
      <c r="F1933">
        <f>IF(Skills!N15=TRUE,(Skills!L15/10)*(E1933/1000),Skills!L15/10)+Skills!O15</f>
        <v/>
      </c>
      <c r="G1933">
        <f>Calc!G15</f>
        <v/>
      </c>
      <c r="H1933">
        <f>Calc!H15</f>
        <v/>
      </c>
      <c r="I1933">
        <f>IF(Skills!X15&lt;&gt;"",1+(Skills!X15/10)*(Z1921/1000)/100,1)</f>
        <v/>
      </c>
      <c r="J1933">
        <f>((Inputs!$B$6*(1+Inputs!$B$7/100))+(((Inputs!$B$12*(1+Inputs!$B$13/100))-(Inputs!$B$12*(1+Inputs!$B$13/100)))+0.25*(Inputs!$B$14-Inputs!$B$14))*(1+Inputs!$B$7/100))*(F1933/100)</f>
        <v/>
      </c>
      <c r="K1933">
        <f>J1933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15="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1933)</f>
        <v/>
      </c>
      <c r="L1933">
        <f>K1933*(MIN(Inputs!$B$22+(F1940-Calc!F22),(Inputs!$B$23+(IF(ArtifactsInput!$M$15,CHOOSE(ArtifactsInput!$N$15+1,25,30,35,40,45,50)/100*(Inputs!$B$11-Inputs!$B$11),0))))/100+(Inputs!$B$23+(IF(ArtifactsInput!$M$15,CHOOSE(ArtifactsInput!$N$15+1,25,30,35,40,45,50)/100*(Inputs!$B$11-Inputs!$B$11),0)))/100)/2</f>
        <v/>
      </c>
      <c r="M1933">
        <f>L1933*(1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33">
        <f>L1933*(1-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1933*(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33">
        <f>(1-Summary!$B$11)*S1933+Summary!$B$11*U1933</f>
        <v/>
      </c>
      <c r="P1933">
        <f>IF(B1959=0,0,O1933/B1959)</f>
        <v/>
      </c>
      <c r="Q1933">
        <f>IFERROR(1/(IF(Inputs!$B$38="pvp",15,MAX(0.1,Skills!E15-IF(Skills!F15=TRUE,Inputs!$B$32,0)))*(1-IF(AND(ArtifactsInput!$M$27,Inputs!$B$4="Chapter Hunt"),CHOOSE(ArtifactsInput!$N$27+1,20,24,28,32,36,40),0)/100)),0)</f>
        <v/>
      </c>
      <c r="R1933">
        <f>IF(AND(Inputs!$B$38&lt;&gt;"pvp",Inputs!$B$43&gt;0),IF(MAX(0,Inputs!$B$43-B1956)&lt;=0,0,(INT(MAX(0,Inputs!$B$43-B1956)/(IF(Inputs!$B$38="pvp",15,MAX(0.1,Skills!E15-IF(Skills!F15=TRUE,Inputs!$B$32,0)))*(1-IF(AND(ArtifactsInput!$M$27,Inputs!$B$4="Chapter Hunt"),CHOOSE(ArtifactsInput!$N$27+1,20,24,28,32,36,40),0)/100)))+1)),0)</f>
        <v/>
      </c>
      <c r="S1933">
        <f>IF(C1933,(H1933*N1933*IF(AND(Inputs!$B$38&lt;&gt;"pvp",Inputs!$B$43&gt;0),((Skills!G15*((R1933-1)*IF(Skills!H15&gt;0,Skills!I15/Skills!H15,1)+IF(Skills!H15&gt;0,MIN(Skills!I15,MAX(0,MAX(0,Inputs!$B$43-B1956)-((R1933-1)*(IF(Inputs!$B$38="pvp",15,MAX(0.1,Skills!E15-IF(Skills!F15=TRUE,Inputs!$B$32,0)))*(1-IF(AND(ArtifactsInput!$M$27,Inputs!$B$4="Chapter Hunt"),CHOOSE(ArtifactsInput!$N$27+1,20,24,28,32,36,40),0)/100)))))/Skills!H15,1)))/Inputs!$B$43),G1933*Q1933)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1933*(1-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1933*(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1933*(1-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1933*(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33">
        <f>IF(C1933,(H1933*N1933*IF(AND(Inputs!$B$38&lt;&gt;"pvp",Inputs!$B$43&gt;0),((Skills!G15*((R1933-1)*IF(Skills!H15&gt;0,Skills!I15/Skills!H15,1)+IF(Skills!H15&gt;0,MIN(Skills!I15,MAX(0,MAX(0,Inputs!$B$43-B1956)-((R1933-1)*(IF(Inputs!$B$38="pvp",15,MAX(0.1,Skills!E15-IF(Skills!F15=TRUE,Inputs!$B$32,0)))*(1-IF(AND(ArtifactsInput!$M$27,Inputs!$B$4="Chapter Hunt"),CHOOSE(ArtifactsInput!$N$27+1,20,24,28,32,36,40),0)/100)))))/Skills!H15,1)))/Inputs!$B$43),G1933*Q1933)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34">
      <c r="A1934">
        <f>Skills!A16</f>
        <v/>
      </c>
      <c r="B1934">
        <f>Skills!B16</f>
        <v/>
      </c>
      <c r="C1934">
        <f>Inputs!$B$3&gt;=107</f>
        <v/>
      </c>
      <c r="D1934">
        <f>IF(Skills!C16=1,60+Inputs!$B$25+Inputs!$B$29,IF(Skills!C16=2,90+Inputs!$B$26+Inputs!$B$29,IF(Skills!C16=3,120+Inputs!$B$27+Inputs!$B$29,MAX(0,(Inputs!$B$3-100)*3)+Inputs!$B$28+Inputs!$B$29)))</f>
        <v/>
      </c>
      <c r="E1934">
        <f>INDEX(FactorTable!$B$2:$Y$301, MATCH(ROUND(MIN(300,MAX(1,D1934)),0), FactorTable!$A$2:$A$301,0), Skills!M16+1)</f>
        <v/>
      </c>
      <c r="F1934">
        <f>IF(Skills!N16=TRUE,(Skills!L16/10)*(E1934/1000),Skills!L16/10)+Skills!O16</f>
        <v/>
      </c>
      <c r="G1934">
        <f>Calc!G16</f>
        <v/>
      </c>
      <c r="H1934">
        <f>Calc!H16</f>
        <v/>
      </c>
      <c r="I1934">
        <f>IF(Skills!X16&lt;&gt;"",1+(Skills!X16/10)*(Z1921/1000)/100,1)</f>
        <v/>
      </c>
      <c r="J1934">
        <f>((Inputs!$B$6*(1+Inputs!$B$7/100))+(((Inputs!$B$12*(1+Inputs!$B$13/100))-(Inputs!$B$12*(1+Inputs!$B$13/100)))+0.25*(Inputs!$B$14-Inputs!$B$14))*(1+Inputs!$B$7/100))*(F1934/100)</f>
        <v/>
      </c>
      <c r="K1934">
        <f>J1934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16="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1934)</f>
        <v/>
      </c>
      <c r="L1934">
        <f>K1934*(MIN(Inputs!$B$22+(F1940-Calc!F22),(Inputs!$B$23+(IF(ArtifactsInput!$M$15,CHOOSE(ArtifactsInput!$N$15+1,25,30,35,40,45,50)/100*(Inputs!$B$11-Inputs!$B$11),0))))/100+(Inputs!$B$23+(IF(ArtifactsInput!$M$15,CHOOSE(ArtifactsInput!$N$15+1,25,30,35,40,45,50)/100*(Inputs!$B$11-Inputs!$B$11),0)))/100)/2</f>
        <v/>
      </c>
      <c r="M1934">
        <f>L1934*(1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34">
        <f>L1934*(1-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1934*(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34">
        <f>(1-Summary!$B$11)*S1934+Summary!$B$11*U1934</f>
        <v/>
      </c>
      <c r="P1934">
        <f>IF(B1959=0,0,O1934/B1959)</f>
        <v/>
      </c>
      <c r="Q1934">
        <f>IFERROR(1/(IF(Inputs!$B$38="pvp",15,MAX(0.1,Skills!E16-IF(Skills!F16=TRUE,Inputs!$B$32,0)))*(1-IF(AND(ArtifactsInput!$M$27,Inputs!$B$4="Chapter Hunt"),CHOOSE(ArtifactsInput!$N$27+1,20,24,28,32,36,40),0)/100)),0)</f>
        <v/>
      </c>
      <c r="R1934">
        <f>IF(AND(Inputs!$B$38&lt;&gt;"pvp",Inputs!$B$43&gt;0),IF(MAX(0,Inputs!$B$43-B1956)&lt;=0,0,(INT(MAX(0,Inputs!$B$43-B1956)/(IF(Inputs!$B$38="pvp",15,MAX(0.1,Skills!E16-IF(Skills!F16=TRUE,Inputs!$B$32,0)))*(1-IF(AND(ArtifactsInput!$M$27,Inputs!$B$4="Chapter Hunt"),CHOOSE(ArtifactsInput!$N$27+1,20,24,28,32,36,40),0)/100)))+1)),0)</f>
        <v/>
      </c>
      <c r="S1934">
        <f>IF(C1934,(H1934*N1934*IF(AND(Inputs!$B$38&lt;&gt;"pvp",Inputs!$B$43&gt;0),((Skills!G16*((R1934-1)*IF(Skills!H16&gt;0,Skills!I16/Skills!H16,1)+IF(Skills!H16&gt;0,MIN(Skills!I16,MAX(0,MAX(0,Inputs!$B$43-B1956)-((R1934-1)*(IF(Inputs!$B$38="pvp",15,MAX(0.1,Skills!E16-IF(Skills!F16=TRUE,Inputs!$B$32,0)))*(1-IF(AND(ArtifactsInput!$M$27,Inputs!$B$4="Chapter Hunt"),CHOOSE(ArtifactsInput!$N$27+1,20,24,28,32,36,40),0)/100)))))/Skills!H16,1)))/Inputs!$B$43),G1934*Q1934)*(1+IF(Inputs!$B$3&gt;=126,0.05*(B1954+Q1931+(H1932*B1955)/(1+Skills!H14*H1932*B1955)+Q1942)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1934*(1-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1934*(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1934*(1-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1934*(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34">
        <f>IF(C1934,(H1934*N1934*IF(AND(Inputs!$B$38&lt;&gt;"pvp",Inputs!$B$43&gt;0),((Skills!G16*((R1934-1)*IF(Skills!H16&gt;0,Skills!I16/Skills!H16,1)+IF(Skills!H16&gt;0,MIN(Skills!I16,MAX(0,MAX(0,Inputs!$B$43-B1956)-((R1934-1)*(IF(Inputs!$B$38="pvp",15,MAX(0.1,Skills!E16-IF(Skills!F16=TRUE,Inputs!$B$32,0)))*(1-IF(AND(ArtifactsInput!$M$27,Inputs!$B$4="Chapter Hunt"),CHOOSE(ArtifactsInput!$N$27+1,20,24,28,32,36,40),0)/100)))))/Skills!H16,1)))/Inputs!$B$43),G1934*Q1934)*(1+IF(Inputs!$B$3&gt;=126,0.05*(B1954+Q1931+(H1932*B1955)/(1+Skills!H14*H1932*B1955)+Q1942)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35">
      <c r="A1935">
        <f>Skills!A17</f>
        <v/>
      </c>
      <c r="B1935">
        <f>Skills!B17</f>
        <v/>
      </c>
      <c r="C1935">
        <f>TRUE</f>
        <v/>
      </c>
      <c r="D1935">
        <f>IF(Skills!C17=1,60+Inputs!$B$25+Inputs!$B$29,IF(Skills!C17=2,90+Inputs!$B$26+Inputs!$B$29,IF(Skills!C17=3,120+Inputs!$B$27+Inputs!$B$29,MAX(0,(Inputs!$B$3-100)*3)+Inputs!$B$28+Inputs!$B$29)))</f>
        <v/>
      </c>
      <c r="E1935">
        <f>INDEX(FactorTable!$B$2:$Y$301, MATCH(ROUND(MIN(300,MAX(1,D1935)),0), FactorTable!$A$2:$A$301,0), Skills!M17+1)</f>
        <v/>
      </c>
      <c r="F1935">
        <f>IF(Skills!N17=TRUE,(Skills!L17/10)*(E1935/1000),Skills!L17/10)+Skills!O17</f>
        <v/>
      </c>
      <c r="G1935">
        <f>Calc!G17</f>
        <v/>
      </c>
      <c r="H1935">
        <f>Calc!H17</f>
        <v/>
      </c>
      <c r="I1935">
        <f>IF(Skills!X17&lt;&gt;"",1+(Skills!X17/10)*(Z1921/1000)/100,1)</f>
        <v/>
      </c>
      <c r="J1935" t="inlineStr"/>
      <c r="K1935" t="inlineStr"/>
      <c r="L1935" t="inlineStr"/>
      <c r="M1935" t="inlineStr"/>
      <c r="N1935" t="inlineStr"/>
      <c r="O1935">
        <f>(1-Summary!$B$11)*S1935+Summary!$B$11*U1935</f>
        <v/>
      </c>
      <c r="P1935">
        <f>IF(B1959=0,0,O1935/B1959)</f>
        <v/>
      </c>
      <c r="Q1935">
        <f>IFERROR(1/(IF(Inputs!$B$38="pvp",15,MAX(0.1,Skills!E17-IF(Skills!F17=TRUE,Inputs!$B$32,0)))*(1-IF(AND(ArtifactsInput!$M$27,Inputs!$B$4="Chapter Hunt"),CHOOSE(ArtifactsInput!$N$27+1,20,24,28,32,36,40),0)/100)),0)</f>
        <v/>
      </c>
      <c r="R1935">
        <f>IF(AND(Inputs!$B$38&lt;&gt;"pvp",Inputs!$B$43&gt;0),IF(Inputs!$B$43&lt;=0,0,(INT(Inputs!$B$43/(IF(Inputs!$B$38="pvp",15,MAX(0.1,Skills!E17-IF(Skills!F17=TRUE,Inputs!$B$32,0)))*(1-IF(AND(ArtifactsInput!$M$27,Inputs!$B$4="Chapter Hunt"),CHOOSE(ArtifactsInput!$N$27+1,20,24,28,32,36,40),0)/100)))+1)),0)</f>
        <v/>
      </c>
      <c r="S1935" t="n">
        <v>0</v>
      </c>
      <c r="U1935" t="n">
        <v>0</v>
      </c>
    </row>
    <row r="1936">
      <c r="A1936">
        <f>Skills!A18</f>
        <v/>
      </c>
      <c r="B1936">
        <f>Skills!B18</f>
        <v/>
      </c>
      <c r="C1936">
        <f>TRUE</f>
        <v/>
      </c>
      <c r="D1936">
        <f>IF(Skills!C18=1,60+Inputs!$B$25+Inputs!$B$29,IF(Skills!C18=2,90+Inputs!$B$26+Inputs!$B$29,IF(Skills!C18=3,120+Inputs!$B$27+Inputs!$B$29,MAX(0,(Inputs!$B$3-100)*3)+Inputs!$B$28+Inputs!$B$29)))</f>
        <v/>
      </c>
      <c r="E1936">
        <f>INDEX(FactorTable!$B$2:$Y$301, MATCH(ROUND(MIN(300,MAX(1,D1936)),0), FactorTable!$A$2:$A$301,0), Skills!M18+1)</f>
        <v/>
      </c>
      <c r="F1936">
        <f>IF(Skills!N18=TRUE,(Skills!L18/10)*(E1936/1000),Skills!L18/10)+Skills!O18</f>
        <v/>
      </c>
      <c r="G1936">
        <f>Calc!G18</f>
        <v/>
      </c>
      <c r="H1936">
        <f>Calc!H18</f>
        <v/>
      </c>
      <c r="I1936">
        <f>IF(Skills!X18&lt;&gt;"",1+(Skills!X18/10)*(Z1921/1000)/100,1)</f>
        <v/>
      </c>
      <c r="J1936" t="inlineStr"/>
      <c r="K1936" t="inlineStr"/>
      <c r="L1936" t="inlineStr"/>
      <c r="M1936" t="inlineStr"/>
      <c r="N1936" t="inlineStr"/>
      <c r="O1936">
        <f>(1-Summary!$B$11)*S1936+Summary!$B$11*U1936</f>
        <v/>
      </c>
      <c r="P1936">
        <f>IF(B1959=0,0,O1936/B1959)</f>
        <v/>
      </c>
      <c r="Q1936">
        <f>IFERROR(1/(IF(Inputs!$B$38="pvp",15,MAX(0.1,Skills!E18-IF(Skills!F18=TRUE,Inputs!$B$32,0)))*(1-IF(AND(ArtifactsInput!$M$27,Inputs!$B$4="Chapter Hunt"),CHOOSE(ArtifactsInput!$N$27+1,20,24,28,32,36,40),0)/100)),0)</f>
        <v/>
      </c>
      <c r="R1936">
        <f>IF(AND(Inputs!$B$38&lt;&gt;"pvp",Inputs!$B$43&gt;0),IF(Inputs!$B$43&lt;=0,0,(INT(Inputs!$B$43/(IF(Inputs!$B$38="pvp",15,MAX(0.1,Skills!E18-IF(Skills!F18=TRUE,Inputs!$B$32,0)))*(1-IF(AND(ArtifactsInput!$M$27,Inputs!$B$4="Chapter Hunt"),CHOOSE(ArtifactsInput!$N$27+1,20,24,28,32,36,40),0)/100)))+1)),0)</f>
        <v/>
      </c>
      <c r="S1936" t="n">
        <v>0</v>
      </c>
      <c r="U1936" t="n">
        <v>0</v>
      </c>
    </row>
    <row r="1937">
      <c r="A1937">
        <f>Skills!A19</f>
        <v/>
      </c>
      <c r="B1937">
        <f>Skills!B19</f>
        <v/>
      </c>
      <c r="C1937">
        <f>Inputs!$B$3&gt;=110</f>
        <v/>
      </c>
      <c r="D1937">
        <f>IF(Skills!C19=1,60+Inputs!$B$25+Inputs!$B$29,IF(Skills!C19=2,90+Inputs!$B$26+Inputs!$B$29,IF(Skills!C19=3,120+Inputs!$B$27+Inputs!$B$29,MAX(0,(Inputs!$B$3-100)*3)+Inputs!$B$28+Inputs!$B$29)))</f>
        <v/>
      </c>
      <c r="E1937">
        <f>INDEX(FactorTable!$B$2:$Y$301, MATCH(ROUND(MIN(300,MAX(1,D1937)),0), FactorTable!$A$2:$A$301,0), Skills!M19+1)</f>
        <v/>
      </c>
      <c r="F1937">
        <f>IF(Skills!N19=TRUE,(Skills!L19/10)*(E1937/1000),Skills!L19/10)+Skills!O19</f>
        <v/>
      </c>
      <c r="G1937">
        <f>Calc!G19</f>
        <v/>
      </c>
      <c r="H1937">
        <f>Calc!H19</f>
        <v/>
      </c>
      <c r="I1937">
        <f>IF(Skills!X19&lt;&gt;"",1+(Skills!X19/10)*(Z1921/1000)/100,1)</f>
        <v/>
      </c>
      <c r="J1937" t="inlineStr"/>
      <c r="K1937" t="inlineStr"/>
      <c r="L1937" t="inlineStr"/>
      <c r="M1937" t="inlineStr"/>
      <c r="N1937" t="inlineStr"/>
      <c r="O1937">
        <f>(1-Summary!$B$11)*S1937+Summary!$B$11*U1937</f>
        <v/>
      </c>
      <c r="P1937">
        <f>IF(B1959=0,0,O1937/B1959)</f>
        <v/>
      </c>
      <c r="Q1937">
        <f>IFERROR(1/(IF(Inputs!$B$38="pvp",15,MAX(0.1,Skills!E19-IF(Skills!F19=TRUE,Inputs!$B$32,0)))*(1-IF(AND(ArtifactsInput!$M$27,Inputs!$B$4="Chapter Hunt"),CHOOSE(ArtifactsInput!$N$27+1,20,24,28,32,36,40),0)/100)),0)</f>
        <v/>
      </c>
      <c r="R1937">
        <f>IF(AND(Inputs!$B$38&lt;&gt;"pvp",Inputs!$B$43&gt;0),IF(Inputs!$B$43&lt;=0,0,(INT(Inputs!$B$43/(IF(Inputs!$B$38="pvp",15,MAX(0.1,Skills!E19-IF(Skills!F19=TRUE,Inputs!$B$32,0)))*(1-IF(AND(ArtifactsInput!$M$27,Inputs!$B$4="Chapter Hunt"),CHOOSE(ArtifactsInput!$N$27+1,20,24,28,32,36,40),0)/100)))+1)),0)</f>
        <v/>
      </c>
      <c r="S1937" t="n">
        <v>0</v>
      </c>
      <c r="U1937" t="n">
        <v>0</v>
      </c>
    </row>
    <row r="1938">
      <c r="A1938">
        <f>Skills!A20</f>
        <v/>
      </c>
      <c r="B1938">
        <f>Skills!B20</f>
        <v/>
      </c>
      <c r="C1938">
        <f>TRUE</f>
        <v/>
      </c>
      <c r="D1938">
        <f>IF(Skills!C20=1,60+Inputs!$B$25+Inputs!$B$29,IF(Skills!C20=2,90+Inputs!$B$26+Inputs!$B$29,IF(Skills!C20=3,120+Inputs!$B$27+Inputs!$B$29,MAX(0,(Inputs!$B$3-100)*3)+Inputs!$B$28+Inputs!$B$29)))</f>
        <v/>
      </c>
      <c r="E1938">
        <f>INDEX(FactorTable!$B$2:$Y$301, MATCH(ROUND(MIN(300,MAX(1,D1938)),0), FactorTable!$A$2:$A$301,0), Skills!M20+1)</f>
        <v/>
      </c>
      <c r="F1938">
        <f>IF(Skills!N20=TRUE,(Skills!L20/10)*(E1938/1000),Skills!L20/10)+Skills!O20</f>
        <v/>
      </c>
      <c r="G1938">
        <f>Calc!G20</f>
        <v/>
      </c>
      <c r="H1938">
        <f>Calc!H20</f>
        <v/>
      </c>
      <c r="I1938">
        <f>IF(Skills!X20&lt;&gt;"",1+(Skills!X20/10)*(Z1921/1000)/100,1)</f>
        <v/>
      </c>
      <c r="J1938" t="inlineStr"/>
      <c r="K1938" t="inlineStr"/>
      <c r="L1938" t="inlineStr"/>
      <c r="M1938" t="inlineStr"/>
      <c r="N1938" t="inlineStr"/>
      <c r="O1938">
        <f>(1-Summary!$B$11)*S1938+Summary!$B$11*U1938</f>
        <v/>
      </c>
      <c r="P1938">
        <f>IF(B1959=0,0,O1938/B1959)</f>
        <v/>
      </c>
      <c r="Q1938">
        <f>IFERROR(1/(IF(Inputs!$B$38="pvp",15,MAX(0.1,Skills!E20-IF(Skills!F20=TRUE,Inputs!$B$32,0)))*(1-IF(AND(ArtifactsInput!$M$27,Inputs!$B$4="Chapter Hunt"),CHOOSE(ArtifactsInput!$N$27+1,20,24,28,32,36,40),0)/100)),0)</f>
        <v/>
      </c>
      <c r="R1938" t="n">
        <v>0</v>
      </c>
      <c r="S1938" t="n">
        <v>0</v>
      </c>
      <c r="U1938" t="n">
        <v>0</v>
      </c>
    </row>
    <row r="1939">
      <c r="A1939">
        <f>Skills!A21</f>
        <v/>
      </c>
      <c r="B1939">
        <f>Skills!B21</f>
        <v/>
      </c>
      <c r="C1939">
        <f>TRUE</f>
        <v/>
      </c>
      <c r="D1939">
        <f>IF(Skills!C21=1,60+Inputs!$B$25+Inputs!$B$29,IF(Skills!C21=2,90+Inputs!$B$26+Inputs!$B$29,IF(Skills!C21=3,120+Inputs!$B$27+Inputs!$B$29,MAX(0,(Inputs!$B$3-100)*3)+Inputs!$B$28+Inputs!$B$29)))</f>
        <v/>
      </c>
      <c r="E1939">
        <f>INDEX(FactorTable!$B$2:$Y$301, MATCH(ROUND(MIN(300,MAX(1,D1939)),0), FactorTable!$A$2:$A$301,0), Skills!M21+1)</f>
        <v/>
      </c>
      <c r="F1939">
        <f>IF(Skills!N21=TRUE,(Skills!L21/10)*(E1939/1000),Skills!L21/10)+Skills!O21</f>
        <v/>
      </c>
      <c r="G1939">
        <f>Calc!G21</f>
        <v/>
      </c>
      <c r="H1939">
        <f>Calc!H21</f>
        <v/>
      </c>
      <c r="I1939">
        <f>IF(Skills!X21&lt;&gt;"",1+(Skills!X21/10)*(Z1921/1000)/100,1)</f>
        <v/>
      </c>
      <c r="J1939" t="inlineStr"/>
      <c r="K1939" t="inlineStr"/>
      <c r="L1939" t="inlineStr"/>
      <c r="M1939" t="inlineStr"/>
      <c r="N1939" t="inlineStr"/>
      <c r="O1939">
        <f>(1-Summary!$B$11)*S1939+Summary!$B$11*U1939</f>
        <v/>
      </c>
      <c r="P1939">
        <f>IF(B1959=0,0,O1939/B1959)</f>
        <v/>
      </c>
      <c r="Q1939">
        <f>IFERROR(1/(IF(Inputs!$B$38="pvp",15,MAX(0.1,Skills!E21-IF(Skills!F21=TRUE,Inputs!$B$32,0)))*(1-IF(AND(ArtifactsInput!$M$27,Inputs!$B$4="Chapter Hunt"),CHOOSE(ArtifactsInput!$N$27+1,20,24,28,32,36,40),0)/100)),0)</f>
        <v/>
      </c>
      <c r="R1939" t="n">
        <v>0</v>
      </c>
      <c r="S1939" t="n">
        <v>0</v>
      </c>
      <c r="U1939" t="n">
        <v>0</v>
      </c>
    </row>
    <row r="1940">
      <c r="A1940">
        <f>Skills!A22</f>
        <v/>
      </c>
      <c r="B1940">
        <f>Skills!B22</f>
        <v/>
      </c>
      <c r="C1940">
        <f>TRUE</f>
        <v/>
      </c>
      <c r="D1940">
        <f>IF(Skills!C22=1,60+Inputs!$B$25+Inputs!$B$29,IF(Skills!C22=2,90+Inputs!$B$26+Inputs!$B$29,IF(Skills!C22=3,120+Inputs!$B$27+Inputs!$B$29,MAX(0,(Inputs!$B$3-100)*3)+Inputs!$B$28+Inputs!$B$29)))</f>
        <v/>
      </c>
      <c r="E1940">
        <f>INDEX(FactorTable!$B$2:$Y$301, MATCH(ROUND(MIN(300,MAX(1,D1940)),0), FactorTable!$A$2:$A$301,0), Skills!M22+1)</f>
        <v/>
      </c>
      <c r="F1940">
        <f>IF(Skills!N22=TRUE,(Skills!L22/10)*(E1940/1000),Skills!L22/10)+Skills!O22</f>
        <v/>
      </c>
      <c r="G1940">
        <f>Calc!G22</f>
        <v/>
      </c>
      <c r="H1940">
        <f>Calc!H22</f>
        <v/>
      </c>
      <c r="I1940">
        <f>IF(Skills!X22&lt;&gt;"",1+(Skills!X22/10)*(Z1921/1000)/100,1)</f>
        <v/>
      </c>
      <c r="J1940" t="inlineStr"/>
      <c r="K1940" t="inlineStr"/>
      <c r="L1940" t="inlineStr"/>
      <c r="M1940" t="inlineStr"/>
      <c r="N1940" t="inlineStr"/>
      <c r="O1940">
        <f>(1-Summary!$B$11)*S1940+Summary!$B$11*U1940</f>
        <v/>
      </c>
      <c r="P1940">
        <f>IF(B1959=0,0,O1940/B1959)</f>
        <v/>
      </c>
      <c r="Q1940">
        <f>IFERROR(1/(IF(Inputs!$B$38="pvp",15,MAX(0.1,Skills!E22-IF(Skills!F22=TRUE,Inputs!$B$32,0)))*(1-IF(AND(ArtifactsInput!$M$27,Inputs!$B$4="Chapter Hunt"),CHOOSE(ArtifactsInput!$N$27+1,20,24,28,32,36,40),0)/100)),0)</f>
        <v/>
      </c>
      <c r="R1940" t="n">
        <v>0</v>
      </c>
      <c r="S1940" t="n">
        <v>0</v>
      </c>
      <c r="U1940" t="n">
        <v>0</v>
      </c>
    </row>
    <row r="1941">
      <c r="A1941">
        <f>Skills!A23</f>
        <v/>
      </c>
      <c r="B1941">
        <f>Skills!B23</f>
        <v/>
      </c>
      <c r="C1941">
        <f>TRUE</f>
        <v/>
      </c>
      <c r="D1941">
        <f>IF(Skills!C23=1,60+Inputs!$B$25+Inputs!$B$29,IF(Skills!C23=2,90+Inputs!$B$26+Inputs!$B$29,IF(Skills!C23=3,120+Inputs!$B$27+Inputs!$B$29,MAX(0,(Inputs!$B$3-100)*3)+Inputs!$B$28+Inputs!$B$29)))</f>
        <v/>
      </c>
      <c r="E1941">
        <f>INDEX(FactorTable!$B$2:$Y$301, MATCH(ROUND(MIN(300,MAX(1,D1941)),0), FactorTable!$A$2:$A$301,0), Skills!M23+1)</f>
        <v/>
      </c>
      <c r="F1941">
        <f>IF(Skills!N23=TRUE,(Skills!L23/10)*(E1941/1000),Skills!L23/10)+Skills!O23</f>
        <v/>
      </c>
      <c r="G1941">
        <f>Calc!G23</f>
        <v/>
      </c>
      <c r="H1941">
        <f>Calc!H23</f>
        <v/>
      </c>
      <c r="I1941">
        <f>IF(Skills!X23&lt;&gt;"",1+(Skills!X23/10)*(Z1921/1000)/100,1)</f>
        <v/>
      </c>
      <c r="J1941" t="inlineStr"/>
      <c r="K1941" t="inlineStr"/>
      <c r="L1941" t="inlineStr"/>
      <c r="M1941" t="inlineStr"/>
      <c r="N1941" t="inlineStr"/>
      <c r="O1941">
        <f>(1-Summary!$B$11)*S1941+Summary!$B$11*U1941</f>
        <v/>
      </c>
      <c r="P1941">
        <f>IF(B1959=0,0,O1941/B1959)</f>
        <v/>
      </c>
      <c r="Q1941">
        <f>IFERROR(1/(IF(Inputs!$B$38="pvp",15,MAX(0.1,Skills!E23-IF(Skills!F23=TRUE,Inputs!$B$32,0)))*(1-IF(AND(ArtifactsInput!$M$27,Inputs!$B$4="Chapter Hunt"),CHOOSE(ArtifactsInput!$N$27+1,20,24,28,32,36,40),0)/100)),0)</f>
        <v/>
      </c>
      <c r="R1941" t="n">
        <v>0</v>
      </c>
      <c r="S1941" t="n">
        <v>0</v>
      </c>
      <c r="U1941" t="n">
        <v>0</v>
      </c>
    </row>
    <row r="1942">
      <c r="A1942">
        <f>Skills!A24</f>
        <v/>
      </c>
      <c r="B1942">
        <f>Skills!B24</f>
        <v/>
      </c>
      <c r="C1942">
        <f>Inputs!$B$3&gt;=115</f>
        <v/>
      </c>
      <c r="D1942">
        <f>IF(Skills!C24=1,60+Inputs!$B$25+Inputs!$B$29,IF(Skills!C24=2,90+Inputs!$B$26+Inputs!$B$29,IF(Skills!C24=3,120+Inputs!$B$27+Inputs!$B$29,MAX(0,(Inputs!$B$3-100)*3)+Inputs!$B$28+Inputs!$B$29)))</f>
        <v/>
      </c>
      <c r="E1942">
        <f>INDEX(FactorTable!$B$2:$Y$301, MATCH(ROUND(MIN(300,MAX(1,D1942)),0), FactorTable!$A$2:$A$301,0), Skills!M24+1)</f>
        <v/>
      </c>
      <c r="F1942">
        <f>IF(Skills!N24=TRUE,(Skills!L24/10)*(E1942/1000),Skills!L24/10)+Skills!O24</f>
        <v/>
      </c>
      <c r="G1942">
        <f>Calc!G24</f>
        <v/>
      </c>
      <c r="H1942">
        <f>Calc!H24</f>
        <v/>
      </c>
      <c r="I1942">
        <f>IF(Skills!X24&lt;&gt;"",1+(Skills!X24/10)*(Z1921/1000)/100,1)</f>
        <v/>
      </c>
      <c r="J1942">
        <f>((Inputs!$B$6*(1+Inputs!$B$7/100))+(((Inputs!$B$12*(1+Inputs!$B$13/100))-(Inputs!$B$12*(1+Inputs!$B$13/100)))+0.25*(Inputs!$B$14-Inputs!$B$14))*(1+Inputs!$B$7/100))*(F1942/100)</f>
        <v/>
      </c>
      <c r="K1942">
        <f>J1942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24="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1942)</f>
        <v/>
      </c>
      <c r="L1942">
        <f>K1942*(MIN(Inputs!$B$22+(F1940-Calc!F22),(Inputs!$B$23+(IF(ArtifactsInput!$M$15,CHOOSE(ArtifactsInput!$N$15+1,25,30,35,40,45,50)/100*(Inputs!$B$11-Inputs!$B$11),0))))/100+(Inputs!$B$23+(IF(ArtifactsInput!$M$15,CHOOSE(ArtifactsInput!$N$15+1,25,30,35,40,45,50)/100*(Inputs!$B$11-Inputs!$B$11),0)))/100)/2</f>
        <v/>
      </c>
      <c r="M1942">
        <f>L1942*(1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42">
        <f>L1942*(1-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1942*(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42">
        <f>(1-Summary!$B$11)*S1942+Summary!$B$11*U1942</f>
        <v/>
      </c>
      <c r="P1942">
        <f>IF(B1959=0,0,O1942/B1959)</f>
        <v/>
      </c>
      <c r="Q1942">
        <f>IFERROR(1/(IF(Inputs!$B$38="pvp",15,MAX(0.1,Skills!E24-IF(Skills!F24=TRUE,Inputs!$B$32,0)))*(1-IF(AND(ArtifactsInput!$M$27,Inputs!$B$4="Chapter Hunt"),CHOOSE(ArtifactsInput!$N$27+1,20,24,28,32,36,40),0)/100)),0)</f>
        <v/>
      </c>
      <c r="R1942">
        <f>IF(AND(Inputs!$B$38&lt;&gt;"pvp",Inputs!$B$43&gt;0),IF(MAX(0,Inputs!$B$43-B1956)&lt;=0,0,(INT(MAX(0,Inputs!$B$43-B1956)/(IF(Inputs!$B$38="pvp",15,MAX(0.1,Skills!E24-IF(Skills!F24=TRUE,Inputs!$B$32,0)))*(1-IF(AND(ArtifactsInput!$M$27,Inputs!$B$4="Chapter Hunt"),CHOOSE(ArtifactsInput!$N$27+1,20,24,28,32,36,40),0)/100)))+1)),0)</f>
        <v/>
      </c>
      <c r="S1942">
        <f>IF(C1942,(H1942*N1942*IF(AND(Inputs!$B$38&lt;&gt;"pvp",Inputs!$B$43&gt;0),((Skills!G24*((R1942-1)*IF(Skills!H24&gt;0,Skills!I24/Skills!H24,1)+IF(Skills!H24&gt;0,MIN(Skills!I24,MAX(0,MAX(0,Inputs!$B$43-B1956)-((R1942-1)*(IF(Inputs!$B$38="pvp",15,MAX(0.1,Skills!E24-IF(Skills!F24=TRUE,Inputs!$B$32,0)))*(1-IF(AND(ArtifactsInput!$M$27,Inputs!$B$4="Chapter Hunt"),CHOOSE(ArtifactsInput!$N$27+1,20,24,28,32,36,40),0)/100)))))/Skills!H24,1)))/Inputs!$B$43),G1942*Q1942)*(1+IF(Inputs!$B$3&gt;=130,0.2*(Skills!I16/Skills!E15+IF(Inputs!$B$3&gt;=126,0.05*(B1954+Q1931+(H1932*B1955)/(1+Skills!H14*H1932*B1955)+Q1942)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1942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1942*(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1942*(1-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1942*(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42">
        <f>IF(C1942,(H1942*N1942*IF(AND(Inputs!$B$38&lt;&gt;"pvp",Inputs!$B$43&gt;0),((Skills!G24*((R1942-1)*IF(Skills!H24&gt;0,Skills!I24/Skills!H24,1)+IF(Skills!H24&gt;0,MIN(Skills!I24,MAX(0,MAX(0,Inputs!$B$43-B1956)-((R1942-1)*(IF(Inputs!$B$38="pvp",15,MAX(0.1,Skills!E24-IF(Skills!F24=TRUE,Inputs!$B$32,0)))*(1-IF(AND(ArtifactsInput!$M$27,Inputs!$B$4="Chapter Hunt"),CHOOSE(ArtifactsInput!$N$27+1,20,24,28,32,36,40),0)/100)))))/Skills!H24,1)))/Inputs!$B$43),G1942*Q1942)*(1+IF(Inputs!$B$3&gt;=130,0.2*(Skills!I16/Skills!E15+IF(Inputs!$B$3&gt;=126,0.05*(B1954+Q1931+(H1932*B1955)/(1+Skills!H14*H1932*B1955)+Q1942)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43">
      <c r="A1943">
        <f>Skills!A25</f>
        <v/>
      </c>
      <c r="B1943">
        <f>Skills!B25</f>
        <v/>
      </c>
      <c r="C1943">
        <f>Inputs!$B$3&gt;=117</f>
        <v/>
      </c>
      <c r="D1943">
        <f>IF(Skills!C25=1,60+Inputs!$B$25+Inputs!$B$29,IF(Skills!C25=2,90+Inputs!$B$26+Inputs!$B$29,IF(Skills!C25=3,120+Inputs!$B$27+Inputs!$B$29,MAX(0,(Inputs!$B$3-100)*3)+Inputs!$B$28+Inputs!$B$29)))</f>
        <v/>
      </c>
      <c r="E1943">
        <f>INDEX(FactorTable!$B$2:$Y$301, MATCH(ROUND(MIN(300,MAX(1,D1943)),0), FactorTable!$A$2:$A$301,0), Skills!M25+1)</f>
        <v/>
      </c>
      <c r="F1943">
        <f>IF(Skills!N25=TRUE,(Skills!L25/10)*(E1943/1000),Skills!L25/10)+Skills!O25</f>
        <v/>
      </c>
      <c r="G1943">
        <f>Calc!G25</f>
        <v/>
      </c>
      <c r="H1943">
        <f>Calc!H25</f>
        <v/>
      </c>
      <c r="I1943">
        <f>IF(Skills!X25&lt;&gt;"",1+(Skills!X25/10)*(Z1921/1000)/100,1)</f>
        <v/>
      </c>
      <c r="J1943" t="inlineStr"/>
      <c r="K1943" t="inlineStr"/>
      <c r="L1943" t="inlineStr"/>
      <c r="M1943" t="inlineStr"/>
      <c r="N1943" t="inlineStr"/>
      <c r="O1943">
        <f>(1-Summary!$B$11)*S1943+Summary!$B$11*U1943</f>
        <v/>
      </c>
      <c r="P1943">
        <f>IF(B1959=0,0,O1943/B1959)</f>
        <v/>
      </c>
      <c r="Q1943">
        <f>IFERROR(1/(IF(Inputs!$B$38="pvp",15,MAX(0.1,Skills!E25-IF(Skills!F25=TRUE,Inputs!$B$32,0)))*(1-IF(AND(ArtifactsInput!$M$27,Inputs!$B$4="Chapter Hunt"),CHOOSE(ArtifactsInput!$N$27+1,20,24,28,32,36,40),0)/100)),0)</f>
        <v/>
      </c>
      <c r="R1943" t="n">
        <v>0</v>
      </c>
      <c r="S1943" t="n">
        <v>0</v>
      </c>
      <c r="U1943" t="n">
        <v>0</v>
      </c>
    </row>
    <row r="1944">
      <c r="A1944">
        <f>Skills!A26</f>
        <v/>
      </c>
      <c r="B1944">
        <f>Skills!B26</f>
        <v/>
      </c>
      <c r="C1944">
        <f>Inputs!$B$3&gt;=120</f>
        <v/>
      </c>
      <c r="D1944">
        <f>IF(Skills!C26=1,60+Inputs!$B$25+Inputs!$B$29,IF(Skills!C26=2,90+Inputs!$B$26+Inputs!$B$29,IF(Skills!C26=3,120+Inputs!$B$27+Inputs!$B$29,MAX(0,(Inputs!$B$3-100)*3)+Inputs!$B$28+Inputs!$B$29)))</f>
        <v/>
      </c>
      <c r="E1944">
        <f>INDEX(FactorTable!$B$2:$Y$301, MATCH(ROUND(MIN(300,MAX(1,D1944)),0), FactorTable!$A$2:$A$301,0), Skills!M26+1)</f>
        <v/>
      </c>
      <c r="F1944">
        <f>IF(Skills!N26=TRUE,(Skills!L26/10)*(E1944/1000),Skills!L26/10)+Skills!O26</f>
        <v/>
      </c>
      <c r="G1944">
        <f>Calc!G26</f>
        <v/>
      </c>
      <c r="H1944">
        <f>Calc!H26</f>
        <v/>
      </c>
      <c r="I1944">
        <f>IF(Skills!X26&lt;&gt;"",1+(Skills!X26/10)*(Z1921/1000)/100,1)</f>
        <v/>
      </c>
      <c r="J1944" t="inlineStr"/>
      <c r="K1944" t="inlineStr"/>
      <c r="L1944" t="inlineStr"/>
      <c r="M1944" t="inlineStr"/>
      <c r="N1944" t="inlineStr"/>
      <c r="O1944">
        <f>(1-Summary!$B$11)*S1944+Summary!$B$11*U1944</f>
        <v/>
      </c>
      <c r="P1944">
        <f>IF(B1959=0,0,O1944/B1959)</f>
        <v/>
      </c>
      <c r="Q1944">
        <f>IFERROR(1/(IF(Inputs!$B$38="pvp",15,MAX(0.1,Skills!E26-IF(Skills!F26=TRUE,Inputs!$B$32,0)))*(1-IF(AND(ArtifactsInput!$M$27,Inputs!$B$4="Chapter Hunt"),CHOOSE(ArtifactsInput!$N$27+1,20,24,28,32,36,40),0)/100)),0)</f>
        <v/>
      </c>
      <c r="R1944" t="n">
        <v>0</v>
      </c>
      <c r="S1944" t="n">
        <v>0</v>
      </c>
      <c r="U1944" t="n">
        <v>0</v>
      </c>
    </row>
    <row r="1945">
      <c r="A1945">
        <f>Skills!A27</f>
        <v/>
      </c>
      <c r="B1945">
        <f>Skills!B27</f>
        <v/>
      </c>
      <c r="C1945">
        <f>Inputs!$B$3&gt;=125</f>
        <v/>
      </c>
      <c r="D1945">
        <f>IF(Skills!C27=1,60+Inputs!$B$25+Inputs!$B$29,IF(Skills!C27=2,90+Inputs!$B$26+Inputs!$B$29,IF(Skills!C27=3,120+Inputs!$B$27+Inputs!$B$29,MAX(0,(Inputs!$B$3-100)*3)+Inputs!$B$28+Inputs!$B$29)))</f>
        <v/>
      </c>
      <c r="E1945">
        <f>INDEX(FactorTable!$B$2:$Y$301, MATCH(ROUND(MIN(300,MAX(1,D1945)),0), FactorTable!$A$2:$A$301,0), Skills!M27+1)</f>
        <v/>
      </c>
      <c r="F1945">
        <f>IF(Skills!N27=TRUE,(Skills!L27/10)*(E1945/1000),Skills!L27/10)+Skills!O27</f>
        <v/>
      </c>
      <c r="G1945">
        <f>Calc!G27</f>
        <v/>
      </c>
      <c r="H1945">
        <f>Calc!H27</f>
        <v/>
      </c>
      <c r="I1945">
        <f>IF(Skills!X27&lt;&gt;"",1+(Skills!X27/10)*(Z1921/1000)/100,1)</f>
        <v/>
      </c>
      <c r="J1945" t="inlineStr"/>
      <c r="K1945" t="inlineStr"/>
      <c r="L1945" t="inlineStr"/>
      <c r="M1945" t="inlineStr"/>
      <c r="N1945" t="inlineStr"/>
      <c r="O1945">
        <f>(1-Summary!$B$11)*S1945+Summary!$B$11*U1945</f>
        <v/>
      </c>
      <c r="P1945">
        <f>IF(B1959=0,0,O1945/B1959)</f>
        <v/>
      </c>
      <c r="Q1945">
        <f>IFERROR(1/(IF(Inputs!$B$38="pvp",15,MAX(0.1,Skills!E27-IF(Skills!F27=TRUE,Inputs!$B$32,0)))*(1-IF(AND(ArtifactsInput!$M$27,Inputs!$B$4="Chapter Hunt"),CHOOSE(ArtifactsInput!$N$27+1,20,24,28,32,36,40),0)/100)),0)</f>
        <v/>
      </c>
      <c r="R1945" t="n">
        <v>0</v>
      </c>
      <c r="S1945" t="n">
        <v>0</v>
      </c>
      <c r="U1945" t="n">
        <v>0</v>
      </c>
    </row>
    <row r="1946">
      <c r="A1946">
        <f>Skills!A28</f>
        <v/>
      </c>
      <c r="B1946">
        <f>Skills!B28</f>
        <v/>
      </c>
      <c r="C1946">
        <f>Inputs!$B$3&gt;=118</f>
        <v/>
      </c>
      <c r="D1946">
        <f>IF(Skills!C28=1,60+Inputs!$B$25+Inputs!$B$29,IF(Skills!C28=2,90+Inputs!$B$26+Inputs!$B$29,IF(Skills!C28=3,120+Inputs!$B$27+Inputs!$B$29,MAX(0,(Inputs!$B$3-100)*3)+Inputs!$B$28+Inputs!$B$29)))</f>
        <v/>
      </c>
      <c r="E1946">
        <f>INDEX(FactorTable!$B$2:$Y$301, MATCH(ROUND(MIN(300,MAX(1,D1946)),0), FactorTable!$A$2:$A$301,0), Skills!M28+1)</f>
        <v/>
      </c>
      <c r="F1946">
        <f>IF(Skills!N28=TRUE,(Skills!L28/10)*(E1946/1000),Skills!L28/10)+Skills!O28</f>
        <v/>
      </c>
      <c r="G1946">
        <f>Calc!G28</f>
        <v/>
      </c>
      <c r="H1946">
        <f>Calc!H28</f>
        <v/>
      </c>
      <c r="I1946">
        <f>IF(Skills!X28&lt;&gt;"",1+(Skills!X28/10)*(Z1921/1000)/100,1)</f>
        <v/>
      </c>
      <c r="J1946">
        <f>((Inputs!$B$6*(1+Inputs!$B$7/100))+(((Inputs!$B$12*(1+Inputs!$B$13/100))-(Inputs!$B$12*(1+Inputs!$B$13/100)))+0.25*(Inputs!$B$14-Inputs!$B$14))*(1+Inputs!$B$7/100))*(F1946/100)</f>
        <v/>
      </c>
      <c r="K1946">
        <f>J1946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1941/100)*(1+IF(Inputs!$B$3&gt;=120,F1944,0)/100)^5*(1+(IF(Skills!A28="BASIC_ATTACK",Inputs!$B$17+(((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IF(Inputs!$B$3&gt;=125,F1945*5,0)))/100)*(B1948*B1949*B1950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1946)</f>
        <v/>
      </c>
      <c r="L1946">
        <f>K1946*(MIN(Inputs!$B$22+(F1940-Calc!F22),(Inputs!$B$23+(IF(ArtifactsInput!$M$15,CHOOSE(ArtifactsInput!$N$15+1,25,30,35,40,45,50)/100*(Inputs!$B$11-Inputs!$B$11),0))))/100+(Inputs!$B$23+(IF(ArtifactsInput!$M$15,CHOOSE(ArtifactsInput!$N$15+1,25,30,35,40,45,50)/100*(Inputs!$B$11-Inputs!$B$11),0)))/100)/2</f>
        <v/>
      </c>
      <c r="M1946">
        <f>L1946*(1+(Inputs!$B$10+(F1939-Calc!F21)+((IF(IF(ArtifactsInput!$M$24,FALSE,TRUE),1,-1)*CHOOSE(ArtifactsInput!$N$24+1,30,36,42,48,54,60)/100*IF(IF(ArtifactsInput!$M$24,FALSE,TRUE),(Inputs!$B$9+(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946">
        <f>L1946*(1-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1946*(MIN((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46">
        <f>(1-Summary!$B$11)*S1946+Summary!$B$11*U1946</f>
        <v/>
      </c>
      <c r="P1946">
        <f>IF(B1959=0,0,O1946/B1959)</f>
        <v/>
      </c>
      <c r="Q1946">
        <f>IFERROR(1/(IF(Inputs!$B$38="pvp",15,MAX(0.1,Skills!E28-IF(Skills!F28=TRUE,Inputs!$B$32,0)))*(1-IF(AND(ArtifactsInput!$M$27,Inputs!$B$4="Chapter Hunt"),CHOOSE(ArtifactsInput!$N$27+1,20,24,28,32,36,40),0)/100)),0)</f>
        <v/>
      </c>
      <c r="R1946">
        <f>IF(AND(Inputs!$B$38&lt;&gt;"pvp",Inputs!$B$43&gt;0),IF(MAX(0,Inputs!$B$43-B1956)&lt;=0,0,(INT(MAX(0,Inputs!$B$43-B1956)/(IF(Inputs!$B$38="pvp",15,MAX(0.1,Skills!E28-IF(Skills!F28=TRUE,Inputs!$B$32,0)))*(1-IF(AND(ArtifactsInput!$M$27,Inputs!$B$4="Chapter Hunt"),CHOOSE(ArtifactsInput!$N$27+1,20,24,28,32,36,40),0)/100)))+1)),0)</f>
        <v/>
      </c>
      <c r="S1946">
        <f>IF(C1946,(H1946*N1946*IF(AND(Inputs!$B$38&lt;&gt;"pvp",Inputs!$B$43&gt;0),((Skills!G28*((R1946-1)*IF(Skills!H28&gt;0,Skills!I28/Skills!H28,1)+IF(Skills!H28&gt;0,MIN(Skills!I28,MAX(0,MAX(0,Inputs!$B$43-B1956)-((R1946-1)*(IF(Inputs!$B$38="pvp",15,MAX(0.1,Skills!E28-IF(Skills!F28=TRUE,Inputs!$B$32,0)))*(1-IF(AND(ArtifactsInput!$M$27,Inputs!$B$4="Chapter Hunt"),CHOOSE(ArtifactsInput!$N$27+1,20,24,28,32,36,40),0)/100)))))/Skills!H28,1)))/Inputs!$B$43),G1946*Q1946)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1946*(1-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1946*(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1946*(1-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1946*(MIN(100,(Inputs!$B$9+(F1938-Calc!F20)+(IF(ArtifactsInput!$M$24,FALSE,TRUE)-ArtifactsInput!$M$24)*CHOOSE(ArtifactsInput!$N$24+1,10,12,14,16,18,20)+(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46">
        <f>IF(C1946,(H1946*N1946*IF(AND(Inputs!$B$38&lt;&gt;"pvp",Inputs!$B$43&gt;0),((Skills!G28*((R1946-1)*IF(Skills!H28&gt;0,Skills!I28/Skills!H28,1)+IF(Skills!H28&gt;0,MIN(Skills!I28,MAX(0,MAX(0,Inputs!$B$43-B1956)-((R1946-1)*(IF(Inputs!$B$38="pvp",15,MAX(0.1,Skills!E28-IF(Skills!F28=TRUE,Inputs!$B$32,0)))*(1-IF(AND(ArtifactsInput!$M$27,Inputs!$B$4="Chapter Hunt"),CHOOSE(ArtifactsInput!$N$27+1,20,24,28,32,36,40),0)/100)))))/Skills!H28,1)))/Inputs!$B$43),G1946*Q1946)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48">
      <c r="A1948" t="inlineStr">
        <is>
          <t>Burning Magic Multiplier</t>
        </is>
      </c>
      <c r="B1948">
        <f>1+(F1929*Skills!Z11)/100</f>
        <v/>
      </c>
    </row>
    <row r="1949">
      <c r="A1949" t="inlineStr">
        <is>
          <t>Elemental Decrease Multiplier (always-on)</t>
        </is>
      </c>
      <c r="B1949">
        <f>1+(F1930+(IF(AND(ArtifactsInput!$M$35,Inputs!$B$4&lt;&gt;"Chapter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100</f>
        <v/>
      </c>
    </row>
    <row r="1950">
      <c r="A1950" t="inlineStr">
        <is>
          <t>Average Buff Multiplier (Magic Guard + Meditation + Artifact Attack%, summed; then Infinity)</t>
        </is>
      </c>
      <c r="B1950">
        <f>(1+(F1924*IF(AND(Inputs!$B$38&lt;&gt;"pvp",Inputs!$B$43&gt;0),(((R1924-1)*(Skills!T6*(1+((Inputs!$B$34+(ArtifactsInput!$M$7-ArtifactsInput!$M$7)*CHOOSE(ArtifactsInput!$N$7+1,6,7.2,8.4,9.6,10.8,12)))/100))+MIN((Skills!T6*(1+((Inputs!$B$34+(ArtifactsInput!$M$7-ArtifactsInput!$M$7)*CHOOSE(ArtifactsInput!$N$7+1,6,7.2,8.4,9.6,10.8,12)))/100)),MAX(0,Inputs!$B$43-((R1924-1)*Skills!E6))))/Inputs!$B$43),IF(Inputs!$B$38="pvp",MIN((Skills!T6*(1+((Inputs!$B$34+(ArtifactsInput!$M$7-ArtifactsInput!$M$7)*CHOOSE(ArtifactsInput!$N$7+1,6,7.2,8.4,9.6,10.8,12)))/100)),15)/15,(Skills!T6*(1+((Inputs!$B$34+(ArtifactsInput!$M$7-ArtifactsInput!$M$7)*CHOOSE(ArtifactsInput!$N$7+1,6,7.2,8.4,9.6,10.8,12)))/100))/Skills!E6))+F1935*IF(AND(Inputs!$B$38&lt;&gt;"pvp",Inputs!$B$43&gt;0),(((R1935-1)*(Skills!T17*(1+((Inputs!$B$34+(ArtifactsInput!$M$7-ArtifactsInput!$M$7)*CHOOSE(ArtifactsInput!$N$7+1,6,7.2,8.4,9.6,10.8,12)))/100))+MIN((Skills!T17*(1+((Inputs!$B$34+(ArtifactsInput!$M$7-ArtifactsInput!$M$7)*CHOOSE(ArtifactsInput!$N$7+1,6,7.2,8.4,9.6,10.8,12)))/100)),MAX(0,Inputs!$B$43-((R1935-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1937=TRUE,(1+F1937*IF(AND(Inputs!$B$38&lt;&gt;"pvp",Inputs!$B$43&gt;0),(((R1937-1)*(Skills!T19*(1+((Inputs!$B$34+(ArtifactsInput!$M$7-ArtifactsInput!$M$7)*CHOOSE(ArtifactsInput!$N$7+1,6,7.2,8.4,9.6,10.8,12)))/100))+MIN((Skills!T19*(1+((Inputs!$B$34+(ArtifactsInput!$M$7-ArtifactsInput!$M$7)*CHOOSE(ArtifactsInput!$N$7+1,6,7.2,8.4,9.6,10.8,12)))/100)),MAX(0,Inputs!$B$43-((R1937-1)*Skills!E19))))/Inputs!$B$43),IF(Inputs!$B$38="pvp",MIN((Skills!T19*(1+((Inputs!$B$34+(ArtifactsInput!$M$7-ArtifactsInput!$M$7)*CHOOSE(ArtifactsInput!$N$7+1,6,7.2,8.4,9.6,10.8,12)))/100)),15)/15,(Skills!T19*(1+((Inputs!$B$34+(ArtifactsInput!$M$7-ArtifactsInput!$M$7)*CHOOSE(ArtifactsInput!$N$7+1,6,7.2,8.4,9.6,10.8,12)))/100))/Skills!E19))/100),1)</f>
        <v/>
      </c>
    </row>
    <row r="1951">
      <c r="A1951" t="inlineStr">
        <is>
          <t>Attack Speed Buff Bonus % (Nimble Feet, averaged)</t>
        </is>
      </c>
      <c r="B1951">
        <f>F1936*IF(AND(Inputs!$B$38&lt;&gt;"pvp",Inputs!$B$43&gt;0),(((R1936-1)*(Skills!T18*(1+((Inputs!$B$34+(ArtifactsInput!$M$7-ArtifactsInput!$M$7)*CHOOSE(ArtifactsInput!$N$7+1,6,7.2,8.4,9.6,10.8,12)))/100))+MIN((Skills!T18*(1+((Inputs!$B$34+(ArtifactsInput!$M$7-ArtifactsInput!$M$7)*CHOOSE(ArtifactsInput!$N$7+1,6,7.2,8.4,9.6,10.8,12)))/100)),MAX(0,Inputs!$B$43-((R1936-1)*Skills!E18))))/Inputs!$B$43),IF(Inputs!$B$38="pvp",MIN((Skills!T18*(1+((Inputs!$B$34+(ArtifactsInput!$M$7-ArtifactsInput!$M$7)*CHOOSE(ArtifactsInput!$N$7+1,6,7.2,8.4,9.6,10.8,12)))/100)),15)/15,(Skills!T18*(1+((Inputs!$B$34+(ArtifactsInput!$M$7-ArtifactsInput!$M$7)*CHOOSE(ArtifactsInput!$N$7+1,6,7.2,8.4,9.6,10.8,12)))/100))/Skills!E18))</f>
        <v/>
      </c>
    </row>
    <row r="1952">
      <c r="A1952" t="inlineStr">
        <is>
          <t>Actions Per Second</t>
        </is>
      </c>
      <c r="B1952">
        <f>1+MIN(150,150*(1-(1-(Inputs!$B$11+(ArtifactsInput!$M$15-ArtifactsInput!$M$15)*CHOOSE(ArtifactsInput!$N$15+1,8,9.6,11.2,12.8,14.4,16))/150)*(1-B1951/150)))/100</f>
        <v/>
      </c>
    </row>
    <row r="1953">
      <c r="A1953" t="inlineStr">
        <is>
          <t>Skill + Buff Cast Rate</t>
        </is>
      </c>
      <c r="B1953">
        <f>IF(AND(Inputs!$B$38&lt;&gt;"pvp",Inputs!$B$43&gt;0),SUMPRODUCT((Skills!F2:F28=TRUE)*(C1920:C1946=TRUE)*R1920:R1946)/Inputs!$B$43,SUMPRODUCT((Skills!F2:F28=TRUE)*(C1920:C1946=TRUE)*Q1920:Q1946))</f>
        <v/>
      </c>
    </row>
    <row r="1954">
      <c r="A1954" t="inlineStr">
        <is>
          <t>Basic Attacks Per Second</t>
        </is>
      </c>
      <c r="B1954">
        <f>MAX(0,B1952-B1953)</f>
        <v/>
      </c>
    </row>
    <row r="1955">
      <c r="A1955" t="inlineStr">
        <is>
          <t>Meteor Proc — combined trigger cast rate</t>
        </is>
      </c>
      <c r="B1955">
        <f>IF(AND(Inputs!$B$38&lt;&gt;"pvp",Inputs!$B$43&gt;0),SUMPRODUCT((Skills!V2:V28=TRUE)*(C1920:C1946=TRUE)*R1920:R1946*Skills!W2:W28)/Inputs!$B$43,SUMPRODUCT((Skills!V2:V28=TRUE)*(C1920:C1946=TRUE)*Q1920:Q1946*Skills!W2:W28))+B1954</f>
        <v/>
      </c>
    </row>
    <row r="1956">
      <c r="A1956" t="inlineStr">
        <is>
          <t>Buff-Casting Startup Delay (s, fixed-duration only)</t>
        </is>
      </c>
      <c r="B1956">
        <f>IF(AND(Inputs!$B$38&lt;&gt;"pvp",Inputs!$B$43&gt;0),SUMPRODUCT((Skills!T2:T28&gt;0)*(Skills!F2:F28=TRUE)*(C1920:C1946=TRUE))/B1952,0)</f>
        <v/>
      </c>
    </row>
    <row r="1957">
      <c r="A1957" t="inlineStr">
        <is>
          <t>Boss-Only Total DPS (this block's swept value)</t>
        </is>
      </c>
      <c r="B1957">
        <f>SUM(S1920:S1946)</f>
        <v/>
      </c>
    </row>
    <row r="1958">
      <c r="A1958" t="inlineStr">
        <is>
          <t>Normal-Only Total DPS (this block's swept value)</t>
        </is>
      </c>
      <c r="B1958">
        <f>SUM(U1920:U1946)</f>
        <v/>
      </c>
    </row>
    <row r="1959">
      <c r="A1959" s="6" t="inlineStr">
        <is>
          <t>TOTAL DPS</t>
        </is>
      </c>
      <c r="B1959" s="6">
        <f>SUM(O1920:O1946)</f>
        <v/>
      </c>
    </row>
    <row r="1962">
      <c r="A1962" s="6" t="inlineStr">
        <is>
          <t>Stat: Lunar Dew (Equip)</t>
        </is>
      </c>
    </row>
    <row r="1963">
      <c r="A1963" s="5" t="inlineStr">
        <is>
          <t>Key</t>
        </is>
      </c>
      <c r="B1963" s="5" t="inlineStr">
        <is>
          <t>Name</t>
        </is>
      </c>
      <c r="C1963" s="5" t="inlineStr">
        <is>
          <t>Unlocked</t>
        </is>
      </c>
      <c r="D1963" s="5" t="inlineStr">
        <is>
          <t>InputLevel</t>
        </is>
      </c>
      <c r="E1963" s="5" t="inlineStr">
        <is>
          <t>Factor</t>
        </is>
      </c>
      <c r="F1963" s="5" t="inlineStr">
        <is>
          <t>CoefficientPercent</t>
        </is>
      </c>
      <c r="G1963" s="5" t="inlineStr">
        <is>
          <t>EffectiveHits</t>
        </is>
      </c>
      <c r="H1963" s="5" t="inlineStr">
        <is>
          <t>ProcProbability</t>
        </is>
      </c>
      <c r="I1963" s="5" t="inlineStr">
        <is>
          <t>MapleHeroMultiplier</t>
        </is>
      </c>
      <c r="J1963" s="5" t="inlineStr">
        <is>
          <t>BaseDamage</t>
        </is>
      </c>
      <c r="K1963" s="5" t="inlineStr">
        <is>
          <t>BaseHitDamage</t>
        </is>
      </c>
      <c r="L1963" s="5" t="inlineStr">
        <is>
          <t>NonCritAvg</t>
        </is>
      </c>
      <c r="M1963" s="5" t="inlineStr">
        <is>
          <t>CritAvg</t>
        </is>
      </c>
      <c r="N1963" s="5" t="inlineStr">
        <is>
          <t>ExpectedDamage(perHit)</t>
        </is>
      </c>
      <c r="O1963" s="5" t="inlineStr">
        <is>
          <t>DPS</t>
        </is>
      </c>
      <c r="P1963" s="5" t="inlineStr">
        <is>
          <t>% of Total</t>
        </is>
      </c>
      <c r="R1963" t="inlineStr">
        <is>
          <t>helpers</t>
        </is>
      </c>
    </row>
    <row r="1964">
      <c r="A1964">
        <f>Skills!A2</f>
        <v/>
      </c>
      <c r="B1964">
        <f>Skills!B2</f>
        <v/>
      </c>
      <c r="C1964">
        <f>TRUE</f>
        <v/>
      </c>
      <c r="D1964" t="inlineStr"/>
      <c r="E1964" t="inlineStr"/>
      <c r="F1964">
        <f>T1966+Skills!O2</f>
        <v/>
      </c>
      <c r="G1964">
        <f>Calc!G2</f>
        <v/>
      </c>
      <c r="H1964">
        <f>Calc!H2</f>
        <v/>
      </c>
      <c r="I1964">
        <f>IF(Skills!X2&lt;&gt;"",1+(Skills!X2/10)*(Z1965/1000)/100,1)</f>
        <v/>
      </c>
      <c r="J1964">
        <f>((Inputs!$B$6*(1+Inputs!$B$7/100))+(((Inputs!$B$12*(1+Inputs!$B$13/100))-(Inputs!$B$12*(1+Inputs!$B$13/100)))+0.25*(Inputs!$B$14-Inputs!$B$14))*(1+Inputs!$B$7/100))*(F1964/100)</f>
        <v/>
      </c>
      <c r="K1964">
        <f>J1964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1964)</f>
        <v/>
      </c>
      <c r="L1964">
        <f>K1964*(MIN(Inputs!$B$22+(F1984-Calc!F22),(Inputs!$B$23+(IF(ArtifactsInput!$M$15,CHOOSE(ArtifactsInput!$N$15+1,25,30,35,40,45,50)/100*(Inputs!$B$11-Inputs!$B$11),0))))/100+(Inputs!$B$23+(IF(ArtifactsInput!$M$15,CHOOSE(ArtifactsInput!$N$15+1,25,30,35,40,45,50)/100*(Inputs!$B$11-Inputs!$B$11),0)))/100)/2</f>
        <v/>
      </c>
      <c r="M1964">
        <f>L1964*(1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4">
        <f>L1964*(1-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1964*(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4">
        <f>(1-Summary!$B$11)*S1964+Summary!$B$11*U1964</f>
        <v/>
      </c>
      <c r="P1964">
        <f>IF(B2003=0,0,O1964/B2003)</f>
        <v/>
      </c>
      <c r="Q1964">
        <f>IFERROR(1/(IF(Inputs!$B$38="pvp",15,MAX(0.1,Skills!E2-IF(Skills!F2=TRUE,Inputs!$B$32,0)))*(1-IF(AND(ArtifactsInput!$M$27,Inputs!$B$4="Chapter Hunt"),CHOOSE(ArtifactsInput!$N$27+1,20,24,28,32,36,40),0)/100)),0)</f>
        <v/>
      </c>
      <c r="R1964" t="n">
        <v>0</v>
      </c>
      <c r="S1964">
        <f>(Skills!G2*N1964*B1998)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1964*(1-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1964*(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1964*(1-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1964*(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1964">
        <f>MAX(0,(Inputs!$B$3-100)*3)+Inputs!$B$28+Inputs!$B$29</f>
        <v/>
      </c>
      <c r="U1964">
        <f>(Skills!G2*N1964*B1998)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1964">
        <f>MAX(0,(Inputs!$B$3-100)*3)+Inputs!$B$28+Inputs!$B$29</f>
        <v/>
      </c>
    </row>
    <row r="1965">
      <c r="A1965">
        <f>Skills!A3</f>
        <v/>
      </c>
      <c r="B1965">
        <f>Skills!B3</f>
        <v/>
      </c>
      <c r="C1965">
        <f>TRUE</f>
        <v/>
      </c>
      <c r="D1965">
        <f>IF(Skills!C3=1,60+Inputs!$B$25+Inputs!$B$29,IF(Skills!C3=2,90+Inputs!$B$26+Inputs!$B$29,IF(Skills!C3=3,120+Inputs!$B$27+Inputs!$B$29,MAX(0,(Inputs!$B$3-100)*3)+Inputs!$B$28+Inputs!$B$29)))</f>
        <v/>
      </c>
      <c r="E1965">
        <f>INDEX(FactorTable!$B$2:$Y$301, MATCH(ROUND(MIN(300,MAX(1,D1965)),0), FactorTable!$A$2:$A$301,0), Skills!M3+1)</f>
        <v/>
      </c>
      <c r="F1965">
        <f>IF(Skills!N3=TRUE,(Skills!L3/10)*(E1965/1000),Skills!L3/10)+Skills!O3</f>
        <v/>
      </c>
      <c r="G1965">
        <f>Calc!G3</f>
        <v/>
      </c>
      <c r="H1965">
        <f>Calc!H3</f>
        <v/>
      </c>
      <c r="I1965">
        <f>IF(Skills!X3&lt;&gt;"",1+(Skills!X3/10)*(Z1965/1000)/100,1)</f>
        <v/>
      </c>
      <c r="J1965">
        <f>((Inputs!$B$6*(1+Inputs!$B$7/100))+(((Inputs!$B$12*(1+Inputs!$B$13/100))-(Inputs!$B$12*(1+Inputs!$B$13/100)))+0.25*(Inputs!$B$14-Inputs!$B$14))*(1+Inputs!$B$7/100))*(F1965/100)</f>
        <v/>
      </c>
      <c r="K1965">
        <f>J1965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1965)</f>
        <v/>
      </c>
      <c r="L1965">
        <f>K1965*(MIN(Inputs!$B$22+(F1984-Calc!F22),(Inputs!$B$23+(IF(ArtifactsInput!$M$15,CHOOSE(ArtifactsInput!$N$15+1,25,30,35,40,45,50)/100*(Inputs!$B$11-Inputs!$B$11),0))))/100+(Inputs!$B$23+(IF(ArtifactsInput!$M$15,CHOOSE(ArtifactsInput!$N$15+1,25,30,35,40,45,50)/100*(Inputs!$B$11-Inputs!$B$11),0)))/100)/2</f>
        <v/>
      </c>
      <c r="M1965">
        <f>L1965*(1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5">
        <f>L1965*(1-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1965*(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5">
        <f>(1-Summary!$B$11)*S1965+Summary!$B$11*U1965</f>
        <v/>
      </c>
      <c r="P1965">
        <f>IF(B2003=0,0,O1965/B2003)</f>
        <v/>
      </c>
      <c r="Q1965">
        <f>IFERROR(1/(IF(Inputs!$B$38="pvp",15,MAX(0.1,Skills!E3-IF(Skills!F3=TRUE,Inputs!$B$32,0)))*(1-IF(AND(ArtifactsInput!$M$27,Inputs!$B$4="Chapter Hunt"),CHOOSE(ArtifactsInput!$N$27+1,20,24,28,32,36,40),0)/100)),0)</f>
        <v/>
      </c>
      <c r="R1965">
        <f>IF(AND(Inputs!$B$38&lt;&gt;"pvp",Inputs!$B$43&gt;0),IF(MAX(0,Inputs!$B$43-B2000)&lt;=0,0,(INT(MAX(0,Inputs!$B$43-B2000)/(IF(Inputs!$B$38="pvp",15,MAX(0.1,Skills!E3-IF(Skills!F3=TRUE,Inputs!$B$32,0)))*(1-IF(AND(ArtifactsInput!$M$27,Inputs!$B$4="Chapter Hunt"),CHOOSE(ArtifactsInput!$N$27+1,20,24,28,32,36,40),0)/100)))+1)),0)</f>
        <v/>
      </c>
      <c r="S1965">
        <f>IF(C1965,(H1965*N1965*IF(AND(Inputs!$B$38&lt;&gt;"pvp",Inputs!$B$43&gt;0),((Skills!G3*((R1965-1)*IF(Skills!H3&gt;0,Skills!I3/Skills!H3,1)+IF(Skills!H3&gt;0,MIN(Skills!I3,MAX(0,MAX(0,Inputs!$B$43-B2000)-((R1965-1)*(IF(Inputs!$B$38="pvp",15,MAX(0.1,Skills!E3-IF(Skills!F3=TRUE,Inputs!$B$32,0)))*(1-IF(AND(ArtifactsInput!$M$27,Inputs!$B$4="Chapter Hunt"),CHOOSE(ArtifactsInput!$N$27+1,20,24,28,32,36,40),0)/100)))))/Skills!H3,1)))/Inputs!$B$43),G1965*Q1965)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1965*(1-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1965*(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1965*(1-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1965*(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65">
        <f>INDEX(FactorTable!$B$2:$Y$301, MATCH(ROUND(MIN(300,MAX(1,T1964)),0), FactorTable!$A$2:$A$301,0), 22)</f>
        <v/>
      </c>
      <c r="U1965">
        <f>IF(C1965,(H1965*N1965*IF(AND(Inputs!$B$38&lt;&gt;"pvp",Inputs!$B$43&gt;0),((Skills!G3*((R1965-1)*IF(Skills!H3&gt;0,Skills!I3/Skills!H3,1)+IF(Skills!H3&gt;0,MIN(Skills!I3,MAX(0,MAX(0,Inputs!$B$43-B2000)-((R1965-1)*(IF(Inputs!$B$38="pvp",15,MAX(0.1,Skills!E3-IF(Skills!F3=TRUE,Inputs!$B$32,0)))*(1-IF(AND(ArtifactsInput!$M$27,Inputs!$B$4="Chapter Hunt"),CHOOSE(ArtifactsInput!$N$27+1,20,24,28,32,36,40),0)/100)))))/Skills!H3,1)))/Inputs!$B$43),G1965*Q1965)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965">
        <f>INDEX(FactorTable!$B$2:$Y$301, MATCH(ROUND(MIN(300,MAX(1,Z1964)),0), FactorTable!$A$2:$A$301,0), 24)</f>
        <v/>
      </c>
    </row>
    <row r="1966">
      <c r="A1966">
        <f>Skills!A4</f>
        <v/>
      </c>
      <c r="B1966">
        <f>Skills!B4</f>
        <v/>
      </c>
      <c r="C1966">
        <f>TRUE</f>
        <v/>
      </c>
      <c r="D1966">
        <f>IF(Skills!C4=1,60+Inputs!$B$25+Inputs!$B$29,IF(Skills!C4=2,90+Inputs!$B$26+Inputs!$B$29,IF(Skills!C4=3,120+Inputs!$B$27+Inputs!$B$29,MAX(0,(Inputs!$B$3-100)*3)+Inputs!$B$28+Inputs!$B$29)))</f>
        <v/>
      </c>
      <c r="E1966">
        <f>INDEX(FactorTable!$B$2:$Y$301, MATCH(ROUND(MIN(300,MAX(1,D1966)),0), FactorTable!$A$2:$A$301,0), Skills!M4+1)</f>
        <v/>
      </c>
      <c r="F1966">
        <f>IF(Skills!N4=TRUE,(Skills!L4/10)*(E1966/1000),Skills!L4/10)+Skills!O4</f>
        <v/>
      </c>
      <c r="G1966">
        <f>Calc!G4</f>
        <v/>
      </c>
      <c r="H1966">
        <f>Calc!H4</f>
        <v/>
      </c>
      <c r="I1966">
        <f>IF(Skills!X4&lt;&gt;"",1+(Skills!X4/10)*(Z1965/1000)/100,1)</f>
        <v/>
      </c>
      <c r="J1966">
        <f>((Inputs!$B$6*(1+Inputs!$B$7/100))+(((Inputs!$B$12*(1+Inputs!$B$13/100))-(Inputs!$B$12*(1+Inputs!$B$13/100)))+0.25*(Inputs!$B$14-Inputs!$B$14))*(1+Inputs!$B$7/100))*(F1966/100)</f>
        <v/>
      </c>
      <c r="K1966">
        <f>J1966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1966)</f>
        <v/>
      </c>
      <c r="L1966">
        <f>K1966*(MIN(Inputs!$B$22+(F1984-Calc!F22),(Inputs!$B$23+(IF(ArtifactsInput!$M$15,CHOOSE(ArtifactsInput!$N$15+1,25,30,35,40,45,50)/100*(Inputs!$B$11-Inputs!$B$11),0))))/100+(Inputs!$B$23+(IF(ArtifactsInput!$M$15,CHOOSE(ArtifactsInput!$N$15+1,25,30,35,40,45,50)/100*(Inputs!$B$11-Inputs!$B$11),0)))/100)/2</f>
        <v/>
      </c>
      <c r="M1966">
        <f>L1966*(1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6">
        <f>L1966*(1-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1966*(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6">
        <f>(1-Summary!$B$11)*S1966+Summary!$B$11*U1966</f>
        <v/>
      </c>
      <c r="P1966">
        <f>IF(B2003=0,0,O1966/B2003)</f>
        <v/>
      </c>
      <c r="Q1966">
        <f>IFERROR(1/(IF(Inputs!$B$38="pvp",15,MAX(0.1,Skills!E4-IF(Skills!F4=TRUE,Inputs!$B$32,0)))*(1-IF(AND(ArtifactsInput!$M$27,Inputs!$B$4="Chapter Hunt"),CHOOSE(ArtifactsInput!$N$27+1,20,24,28,32,36,40),0)/100)),0)</f>
        <v/>
      </c>
      <c r="R1966">
        <f>IF(AND(Inputs!$B$38&lt;&gt;"pvp",Inputs!$B$43&gt;0),IF(MAX(0,Inputs!$B$43-B2000)&lt;=0,0,(INT(MAX(0,Inputs!$B$43-B2000)/(IF(Inputs!$B$38="pvp",15,MAX(0.1,Skills!E4-IF(Skills!F4=TRUE,Inputs!$B$32,0)))*(1-IF(AND(ArtifactsInput!$M$27,Inputs!$B$4="Chapter Hunt"),CHOOSE(ArtifactsInput!$N$27+1,20,24,28,32,36,40),0)/100)))+1)),0)</f>
        <v/>
      </c>
      <c r="S1966">
        <f>IF(C1966,(H1966*N1966*IF(AND(Inputs!$B$38&lt;&gt;"pvp",Inputs!$B$43&gt;0),((Skills!G4*((R1966-1)*IF(Skills!H4&gt;0,Skills!I4/Skills!H4,1)+IF(Skills!H4&gt;0,MIN(Skills!I4,MAX(0,MAX(0,Inputs!$B$43-B2000)-((R1966-1)*(IF(Inputs!$B$38="pvp",15,MAX(0.1,Skills!E4-IF(Skills!F4=TRUE,Inputs!$B$32,0)))*(1-IF(AND(ArtifactsInput!$M$27,Inputs!$B$4="Chapter Hunt"),CHOOSE(ArtifactsInput!$N$27+1,20,24,28,32,36,40),0)/100)))))/Skills!H4,1)))/Inputs!$B$43),G1966*Q1966)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1966*(1-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1966*(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1966*(1-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1966*(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66">
        <f>290*T1965/1000</f>
        <v/>
      </c>
      <c r="U1966">
        <f>IF(C1966,(H1966*N1966*IF(AND(Inputs!$B$38&lt;&gt;"pvp",Inputs!$B$43&gt;0),((Skills!G4*((R1966-1)*IF(Skills!H4&gt;0,Skills!I4/Skills!H4,1)+IF(Skills!H4&gt;0,MIN(Skills!I4,MAX(0,MAX(0,Inputs!$B$43-B2000)-((R1966-1)*(IF(Inputs!$B$38="pvp",15,MAX(0.1,Skills!E4-IF(Skills!F4=TRUE,Inputs!$B$32,0)))*(1-IF(AND(ArtifactsInput!$M$27,Inputs!$B$4="Chapter Hunt"),CHOOSE(ArtifactsInput!$N$27+1,20,24,28,32,36,40),0)/100)))))/Skills!H4,1)))/Inputs!$B$43),G1966*Q1966)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7">
      <c r="A1967">
        <f>Skills!A5</f>
        <v/>
      </c>
      <c r="B1967">
        <f>Skills!B5</f>
        <v/>
      </c>
      <c r="C1967">
        <f>TRUE</f>
        <v/>
      </c>
      <c r="D1967">
        <f>IF(Skills!C5=1,60+Inputs!$B$25+Inputs!$B$29,IF(Skills!C5=2,90+Inputs!$B$26+Inputs!$B$29,IF(Skills!C5=3,120+Inputs!$B$27+Inputs!$B$29,MAX(0,(Inputs!$B$3-100)*3)+Inputs!$B$28+Inputs!$B$29)))</f>
        <v/>
      </c>
      <c r="E1967">
        <f>INDEX(FactorTable!$B$2:$Y$301, MATCH(ROUND(MIN(300,MAX(1,D1967)),0), FactorTable!$A$2:$A$301,0), Skills!M5+1)</f>
        <v/>
      </c>
      <c r="F1967">
        <f>IF(Skills!N5=TRUE,(Skills!L5/10)*(E1967/1000),Skills!L5/10)+Skills!O5</f>
        <v/>
      </c>
      <c r="G1967">
        <f>Calc!G5</f>
        <v/>
      </c>
      <c r="H1967">
        <f>Calc!H5</f>
        <v/>
      </c>
      <c r="I1967">
        <f>IF(Skills!X5&lt;&gt;"",1+(Skills!X5/10)*(Z1965/1000)/100,1)</f>
        <v/>
      </c>
      <c r="J1967">
        <f>((Inputs!$B$6*(1+Inputs!$B$7/100))+(((Inputs!$B$12*(1+Inputs!$B$13/100))-(Inputs!$B$12*(1+Inputs!$B$13/100)))+0.25*(Inputs!$B$14-Inputs!$B$14))*(1+Inputs!$B$7/100))*(F1967/100)</f>
        <v/>
      </c>
      <c r="K1967">
        <f>J1967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1967)</f>
        <v/>
      </c>
      <c r="L1967">
        <f>K1967*(MIN(Inputs!$B$22+(F1984-Calc!F22),(Inputs!$B$23+(IF(ArtifactsInput!$M$15,CHOOSE(ArtifactsInput!$N$15+1,25,30,35,40,45,50)/100*(Inputs!$B$11-Inputs!$B$11),0))))/100+(Inputs!$B$23+(IF(ArtifactsInput!$M$15,CHOOSE(ArtifactsInput!$N$15+1,25,30,35,40,45,50)/100*(Inputs!$B$11-Inputs!$B$11),0)))/100)/2</f>
        <v/>
      </c>
      <c r="M1967">
        <f>L1967*(1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7">
        <f>L1967*(1-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1967*(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7">
        <f>(1-Summary!$B$11)*S1967+Summary!$B$11*U1967</f>
        <v/>
      </c>
      <c r="P1967">
        <f>IF(B2003=0,0,O1967/B2003)</f>
        <v/>
      </c>
      <c r="Q1967">
        <f>IFERROR(1/(IF(Inputs!$B$38="pvp",15,MAX(0.1,Skills!E5-IF(Skills!F5=TRUE,Inputs!$B$32,0)))*(1-IF(AND(ArtifactsInput!$M$27,Inputs!$B$4="Chapter Hunt"),CHOOSE(ArtifactsInput!$N$27+1,20,24,28,32,36,40),0)/100)),0)</f>
        <v/>
      </c>
      <c r="R1967">
        <f>IF(AND(Inputs!$B$38&lt;&gt;"pvp",Inputs!$B$43&gt;0),IF(MAX(0,Inputs!$B$43-B2000)&lt;=0,0,(INT(MAX(0,Inputs!$B$43-B2000)/(IF(Inputs!$B$38="pvp",15,MAX(0.1,Skills!E5-IF(Skills!F5=TRUE,Inputs!$B$32,0)))*(1-IF(AND(ArtifactsInput!$M$27,Inputs!$B$4="Chapter Hunt"),CHOOSE(ArtifactsInput!$N$27+1,20,24,28,32,36,40),0)/100)))+1)),0)</f>
        <v/>
      </c>
      <c r="S1967">
        <f>IF(C1967,(H1967*N1967*IF(AND(Inputs!$B$38&lt;&gt;"pvp",Inputs!$B$43&gt;0),((Skills!G5*((R1967-1)*IF(Skills!H5&gt;0,Skills!I5/Skills!H5,1)+IF(Skills!H5&gt;0,MIN(Skills!I5,MAX(0,MAX(0,Inputs!$B$43-B2000)-((R1967-1)*(IF(Inputs!$B$38="pvp",15,MAX(0.1,Skills!E5-IF(Skills!F5=TRUE,Inputs!$B$32,0)))*(1-IF(AND(ArtifactsInput!$M$27,Inputs!$B$4="Chapter Hunt"),CHOOSE(ArtifactsInput!$N$27+1,20,24,28,32,36,40),0)/100)))))/Skills!H5,1)))/Inputs!$B$43),G1967*Q1967)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1967*(1-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1967*(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1967*(1-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1967*(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7">
        <f>IF(C1967,(H1967*N1967*IF(AND(Inputs!$B$38&lt;&gt;"pvp",Inputs!$B$43&gt;0),((Skills!G5*((R1967-1)*IF(Skills!H5&gt;0,Skills!I5/Skills!H5,1)+IF(Skills!H5&gt;0,MIN(Skills!I5,MAX(0,MAX(0,Inputs!$B$43-B2000)-((R1967-1)*(IF(Inputs!$B$38="pvp",15,MAX(0.1,Skills!E5-IF(Skills!F5=TRUE,Inputs!$B$32,0)))*(1-IF(AND(ArtifactsInput!$M$27,Inputs!$B$4="Chapter Hunt"),CHOOSE(ArtifactsInput!$N$27+1,20,24,28,32,36,40),0)/100)))))/Skills!H5,1)))/Inputs!$B$43),G1967*Q1967)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8">
      <c r="A1968">
        <f>Skills!A6</f>
        <v/>
      </c>
      <c r="B1968">
        <f>Skills!B6</f>
        <v/>
      </c>
      <c r="C1968">
        <f>TRUE</f>
        <v/>
      </c>
      <c r="D1968">
        <f>IF(Skills!C6=1,60+Inputs!$B$25+Inputs!$B$29,IF(Skills!C6=2,90+Inputs!$B$26+Inputs!$B$29,IF(Skills!C6=3,120+Inputs!$B$27+Inputs!$B$29,MAX(0,(Inputs!$B$3-100)*3)+Inputs!$B$28+Inputs!$B$29)))</f>
        <v/>
      </c>
      <c r="E1968">
        <f>INDEX(FactorTable!$B$2:$Y$301, MATCH(ROUND(MIN(300,MAX(1,D1968)),0), FactorTable!$A$2:$A$301,0), Skills!M6+1)</f>
        <v/>
      </c>
      <c r="F1968">
        <f>IF(Skills!N6=TRUE,(Skills!L6/10)*(E1968/1000),Skills!L6/10)+Skills!O6</f>
        <v/>
      </c>
      <c r="G1968">
        <f>Calc!G6</f>
        <v/>
      </c>
      <c r="H1968">
        <f>Calc!H6</f>
        <v/>
      </c>
      <c r="I1968">
        <f>IF(Skills!X6&lt;&gt;"",1+(Skills!X6/10)*(Z1965/1000)/100,1)</f>
        <v/>
      </c>
      <c r="J1968" t="inlineStr"/>
      <c r="K1968" t="inlineStr"/>
      <c r="L1968" t="inlineStr"/>
      <c r="M1968" t="inlineStr"/>
      <c r="N1968" t="inlineStr"/>
      <c r="O1968">
        <f>(1-Summary!$B$11)*S1968+Summary!$B$11*U1968</f>
        <v/>
      </c>
      <c r="P1968">
        <f>IF(B2003=0,0,O1968/B2003)</f>
        <v/>
      </c>
      <c r="Q1968">
        <f>IFERROR(1/(IF(Inputs!$B$38="pvp",15,MAX(0.1,Skills!E6-IF(Skills!F6=TRUE,Inputs!$B$32,0)))*(1-IF(AND(ArtifactsInput!$M$27,Inputs!$B$4="Chapter Hunt"),CHOOSE(ArtifactsInput!$N$27+1,20,24,28,32,36,40),0)/100)),0)</f>
        <v/>
      </c>
      <c r="R1968">
        <f>IF(AND(Inputs!$B$38&lt;&gt;"pvp",Inputs!$B$43&gt;0),IF(Inputs!$B$43&lt;=0,0,(INT(Inputs!$B$43/(IF(Inputs!$B$38="pvp",15,MAX(0.1,Skills!E6-IF(Skills!F6=TRUE,Inputs!$B$32,0)))*(1-IF(AND(ArtifactsInput!$M$27,Inputs!$B$4="Chapter Hunt"),CHOOSE(ArtifactsInput!$N$27+1,20,24,28,32,36,40),0)/100)))+1)),0)</f>
        <v/>
      </c>
      <c r="S1968" t="n">
        <v>0</v>
      </c>
      <c r="U1968" t="n">
        <v>0</v>
      </c>
    </row>
    <row r="1969">
      <c r="A1969">
        <f>Skills!A7</f>
        <v/>
      </c>
      <c r="B1969">
        <f>Skills!B7</f>
        <v/>
      </c>
      <c r="C1969">
        <f>TRUE</f>
        <v/>
      </c>
      <c r="D1969">
        <f>IF(Skills!C7=1,60+Inputs!$B$25+Inputs!$B$29,IF(Skills!C7=2,90+Inputs!$B$26+Inputs!$B$29,IF(Skills!C7=3,120+Inputs!$B$27+Inputs!$B$29,MAX(0,(Inputs!$B$3-100)*3)+Inputs!$B$28+Inputs!$B$29)))</f>
        <v/>
      </c>
      <c r="E1969">
        <f>INDEX(FactorTable!$B$2:$Y$301, MATCH(ROUND(MIN(300,MAX(1,D1969)),0), FactorTable!$A$2:$A$301,0), Skills!M7+1)</f>
        <v/>
      </c>
      <c r="F1969">
        <f>IF(Skills!N7=TRUE,(Skills!L7/10)*(E1969/1000),Skills!L7/10)+Skills!O7</f>
        <v/>
      </c>
      <c r="G1969">
        <f>Calc!G7</f>
        <v/>
      </c>
      <c r="H1969">
        <f>Calc!H7</f>
        <v/>
      </c>
      <c r="I1969">
        <f>IF(Skills!X7&lt;&gt;"",1+(Skills!X7/10)*(Z1965/1000)/100,1)</f>
        <v/>
      </c>
      <c r="J1969">
        <f>((Inputs!$B$6*(1+Inputs!$B$7/100))+(((Inputs!$B$12*(1+Inputs!$B$13/100))-(Inputs!$B$12*(1+Inputs!$B$13/100)))+0.25*(Inputs!$B$14-Inputs!$B$14))*(1+Inputs!$B$7/100))*(F1969/100)</f>
        <v/>
      </c>
      <c r="K1969">
        <f>J1969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1969)</f>
        <v/>
      </c>
      <c r="L1969">
        <f>K1969*(MIN(Inputs!$B$22+(F1984-Calc!F22),(Inputs!$B$23+(IF(ArtifactsInput!$M$15,CHOOSE(ArtifactsInput!$N$15+1,25,30,35,40,45,50)/100*(Inputs!$B$11-Inputs!$B$11),0))))/100+(Inputs!$B$23+(IF(ArtifactsInput!$M$15,CHOOSE(ArtifactsInput!$N$15+1,25,30,35,40,45,50)/100*(Inputs!$B$11-Inputs!$B$11),0)))/100)/2</f>
        <v/>
      </c>
      <c r="M1969">
        <f>L1969*(1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9">
        <f>L1969*(1-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1969*(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9">
        <f>(1-Summary!$B$11)*S1969+Summary!$B$11*U1969</f>
        <v/>
      </c>
      <c r="P1969">
        <f>IF(B2003=0,0,O1969/B2003)</f>
        <v/>
      </c>
      <c r="Q1969">
        <f>IFERROR(1/(IF(Inputs!$B$38="pvp",15,MAX(0.1,Skills!E7-IF(Skills!F7=TRUE,Inputs!$B$32,0)))*(1-IF(AND(ArtifactsInput!$M$27,Inputs!$B$4="Chapter Hunt"),CHOOSE(ArtifactsInput!$N$27+1,20,24,28,32,36,40),0)/100)),0)</f>
        <v/>
      </c>
      <c r="R1969">
        <f>IF(AND(Inputs!$B$38&lt;&gt;"pvp",Inputs!$B$43&gt;0),IF(MAX(0,Inputs!$B$43-B2000)&lt;=0,0,(INT(MAX(0,Inputs!$B$43-B2000)/(IF(Inputs!$B$38="pvp",15,MAX(0.1,Skills!E7-IF(Skills!F7=TRUE,Inputs!$B$32,0)))*(1-IF(AND(ArtifactsInput!$M$27,Inputs!$B$4="Chapter Hunt"),CHOOSE(ArtifactsInput!$N$27+1,20,24,28,32,36,40),0)/100)))+1)),0)</f>
        <v/>
      </c>
      <c r="S1969">
        <f>IF(C1969,(H1969*N1969*IF(AND(Inputs!$B$38&lt;&gt;"pvp",Inputs!$B$43&gt;0),((Skills!G7*((R1969-1)*IF(Skills!H7&gt;0,Skills!I7/Skills!H7,1)+IF(Skills!H7&gt;0,MIN(Skills!I7,MAX(0,MAX(0,Inputs!$B$43-B2000)-((R1969-1)*(IF(Inputs!$B$38="pvp",15,MAX(0.1,Skills!E7-IF(Skills!F7=TRUE,Inputs!$B$32,0)))*(1-IF(AND(ArtifactsInput!$M$27,Inputs!$B$4="Chapter Hunt"),CHOOSE(ArtifactsInput!$N$27+1,20,24,28,32,36,40),0)/100)))))/Skills!H7,1)))/Inputs!$B$43),G1969*Q1969)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1969*(1-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1969*(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1969*(1-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1969*(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9">
        <f>IF(C1969,(H1969*N1969*IF(AND(Inputs!$B$38&lt;&gt;"pvp",Inputs!$B$43&gt;0),((Skills!G7*((R1969-1)*IF(Skills!H7&gt;0,Skills!I7/Skills!H7,1)+IF(Skills!H7&gt;0,MIN(Skills!I7,MAX(0,MAX(0,Inputs!$B$43-B2000)-((R1969-1)*(IF(Inputs!$B$38="pvp",15,MAX(0.1,Skills!E7-IF(Skills!F7=TRUE,Inputs!$B$32,0)))*(1-IF(AND(ArtifactsInput!$M$27,Inputs!$B$4="Chapter Hunt"),CHOOSE(ArtifactsInput!$N$27+1,20,24,28,32,36,40),0)/100)))))/Skills!H7,1)))/Inputs!$B$43),G1969*Q1969)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0">
      <c r="A1970">
        <f>Skills!A8</f>
        <v/>
      </c>
      <c r="B1970">
        <f>Skills!B8</f>
        <v/>
      </c>
      <c r="C1970">
        <f>TRUE</f>
        <v/>
      </c>
      <c r="D1970">
        <f>IF(Skills!C8=1,60+Inputs!$B$25+Inputs!$B$29,IF(Skills!C8=2,90+Inputs!$B$26+Inputs!$B$29,IF(Skills!C8=3,120+Inputs!$B$27+Inputs!$B$29,MAX(0,(Inputs!$B$3-100)*3)+Inputs!$B$28+Inputs!$B$29)))</f>
        <v/>
      </c>
      <c r="E1970">
        <f>INDEX(FactorTable!$B$2:$Y$301, MATCH(ROUND(MIN(300,MAX(1,D1970)),0), FactorTable!$A$2:$A$301,0), Skills!M8+1)</f>
        <v/>
      </c>
      <c r="F1970">
        <f>IF(Skills!N8=TRUE,(Skills!L8/10)*(E1970/1000),Skills!L8/10)+Skills!O8</f>
        <v/>
      </c>
      <c r="G1970">
        <f>Calc!G8</f>
        <v/>
      </c>
      <c r="H1970">
        <f>Calc!H8</f>
        <v/>
      </c>
      <c r="I1970">
        <f>IF(Skills!X8&lt;&gt;"",1+(Skills!X8/10)*(Z1965/1000)/100,1)</f>
        <v/>
      </c>
      <c r="J1970">
        <f>((Inputs!$B$6*(1+Inputs!$B$7/100))+(((Inputs!$B$12*(1+Inputs!$B$13/100))-(Inputs!$B$12*(1+Inputs!$B$13/100)))+0.25*(Inputs!$B$14-Inputs!$B$14))*(1+Inputs!$B$7/100))*(F1970/100)</f>
        <v/>
      </c>
      <c r="K1970">
        <f>J1970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1970)</f>
        <v/>
      </c>
      <c r="L1970">
        <f>K1970*(MIN(Inputs!$B$22+(F1984-Calc!F22),(Inputs!$B$23+(IF(ArtifactsInput!$M$15,CHOOSE(ArtifactsInput!$N$15+1,25,30,35,40,45,50)/100*(Inputs!$B$11-Inputs!$B$11),0))))/100+(Inputs!$B$23+(IF(ArtifactsInput!$M$15,CHOOSE(ArtifactsInput!$N$15+1,25,30,35,40,45,50)/100*(Inputs!$B$11-Inputs!$B$11),0)))/100)/2</f>
        <v/>
      </c>
      <c r="M1970">
        <f>L1970*(1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0">
        <f>L1970*(1-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1970*(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0">
        <f>(1-Summary!$B$11)*S1970+Summary!$B$11*U1970</f>
        <v/>
      </c>
      <c r="P1970">
        <f>IF(B2003=0,0,O1970/B2003)</f>
        <v/>
      </c>
      <c r="Q1970">
        <f>IFERROR(1/(IF(Inputs!$B$38="pvp",15,MAX(0.1,Skills!E8-IF(Skills!F8=TRUE,Inputs!$B$32,0)))*(1-IF(AND(ArtifactsInput!$M$27,Inputs!$B$4="Chapter Hunt"),CHOOSE(ArtifactsInput!$N$27+1,20,24,28,32,36,40),0)/100)),0)</f>
        <v/>
      </c>
      <c r="R1970">
        <f>IF(AND(Inputs!$B$38&lt;&gt;"pvp",Inputs!$B$43&gt;0),IF(MAX(0,Inputs!$B$43-B2000)&lt;=0,0,(INT(MAX(0,Inputs!$B$43-B2000)/(IF(Inputs!$B$38="pvp",15,MAX(0.1,Skills!E8-IF(Skills!F8=TRUE,Inputs!$B$32,0)))*(1-IF(AND(ArtifactsInput!$M$27,Inputs!$B$4="Chapter Hunt"),CHOOSE(ArtifactsInput!$N$27+1,20,24,28,32,36,40),0)/100)))+1)),0)</f>
        <v/>
      </c>
      <c r="S1970">
        <f>IF(C1970,(H1970*N1970*IF(AND(Inputs!$B$38&lt;&gt;"pvp",Inputs!$B$43&gt;0),((Skills!G8*((R1970-1)*IF(Skills!H8&gt;0,Skills!I8/Skills!H8,1)+IF(Skills!H8&gt;0,MIN(Skills!I8,MAX(0,MAX(0,Inputs!$B$43-B2000)-((R1970-1)*(IF(Inputs!$B$38="pvp",15,MAX(0.1,Skills!E8-IF(Skills!F8=TRUE,Inputs!$B$32,0)))*(1-IF(AND(ArtifactsInput!$M$27,Inputs!$B$4="Chapter Hunt"),CHOOSE(ArtifactsInput!$N$27+1,20,24,28,32,36,40),0)/100)))))/Skills!H8,1)))/Inputs!$B$43),G1970*Q1970)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1970*(1-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1970*(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1970*(1-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1970*(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70">
        <f>IF(C1970,(H1970*N1970*IF(AND(Inputs!$B$38&lt;&gt;"pvp",Inputs!$B$43&gt;0),((Skills!G8*((R1970-1)*IF(Skills!H8&gt;0,Skills!I8/Skills!H8,1)+IF(Skills!H8&gt;0,MIN(Skills!I8,MAX(0,MAX(0,Inputs!$B$43-B2000)-((R1970-1)*(IF(Inputs!$B$38="pvp",15,MAX(0.1,Skills!E8-IF(Skills!F8=TRUE,Inputs!$B$32,0)))*(1-IF(AND(ArtifactsInput!$M$27,Inputs!$B$4="Chapter Hunt"),CHOOSE(ArtifactsInput!$N$27+1,20,24,28,32,36,40),0)/100)))))/Skills!H8,1)))/Inputs!$B$43),G1970*Q1970)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1">
      <c r="A1971">
        <f>Skills!A9</f>
        <v/>
      </c>
      <c r="B1971">
        <f>Skills!B9</f>
        <v/>
      </c>
      <c r="C1971">
        <f>Inputs!$B$3&gt;=103</f>
        <v/>
      </c>
      <c r="D1971">
        <f>IF(Skills!C9=1,60+Inputs!$B$25+Inputs!$B$29,IF(Skills!C9=2,90+Inputs!$B$26+Inputs!$B$29,IF(Skills!C9=3,120+Inputs!$B$27+Inputs!$B$29,MAX(0,(Inputs!$B$3-100)*3)+Inputs!$B$28+Inputs!$B$29)))</f>
        <v/>
      </c>
      <c r="E1971">
        <f>INDEX(FactorTable!$B$2:$Y$301, MATCH(ROUND(MIN(300,MAX(1,D1971)),0), FactorTable!$A$2:$A$301,0), Skills!M9+1)</f>
        <v/>
      </c>
      <c r="F1971">
        <f>IF(Skills!N9=TRUE,(Skills!L9/10)*(E1971/1000),Skills!L9/10)+Skills!O9</f>
        <v/>
      </c>
      <c r="G1971">
        <f>Calc!G9</f>
        <v/>
      </c>
      <c r="H1971">
        <f>Calc!H9</f>
        <v/>
      </c>
      <c r="I1971">
        <f>IF(Skills!X9&lt;&gt;"",1+(Skills!X9/10)*(Z1965/1000)/100,1)</f>
        <v/>
      </c>
      <c r="J1971">
        <f>((Inputs!$B$6*(1+Inputs!$B$7/100))+(((Inputs!$B$12*(1+Inputs!$B$13/100))-(Inputs!$B$12*(1+Inputs!$B$13/100)))+0.25*(Inputs!$B$14-Inputs!$B$14))*(1+Inputs!$B$7/100))*(F1971/100)</f>
        <v/>
      </c>
      <c r="K1971">
        <f>J1971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1971)</f>
        <v/>
      </c>
      <c r="L1971">
        <f>K1971*(MIN(Inputs!$B$22+(F1984-Calc!F22),(Inputs!$B$23+(IF(ArtifactsInput!$M$15,CHOOSE(ArtifactsInput!$N$15+1,25,30,35,40,45,50)/100*(Inputs!$B$11-Inputs!$B$11),0))))/100+(Inputs!$B$23+(IF(ArtifactsInput!$M$15,CHOOSE(ArtifactsInput!$N$15+1,25,30,35,40,45,50)/100*(Inputs!$B$11-Inputs!$B$11),0)))/100)/2</f>
        <v/>
      </c>
      <c r="M1971">
        <f>L1971*(1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1">
        <f>L1971*(1-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1">
        <f>(1-Summary!$B$11)*S1971+Summary!$B$11*U1971</f>
        <v/>
      </c>
      <c r="P1971">
        <f>IF(B2003=0,0,O1971/B2003)</f>
        <v/>
      </c>
      <c r="Q1971">
        <f>IFERROR(1/(IF(Inputs!$B$38="pvp",15,MAX(0.1,Skills!E9-IF(Skills!F7=TRUE,Inputs!$B$32,0)))*(1-IF(AND(ArtifactsInput!$M$27,Inputs!$B$4="Chapter Hunt"),CHOOSE(ArtifactsInput!$N$27+1,20,24,28,32,36,40),0)/100)),0)</f>
        <v/>
      </c>
      <c r="R1971">
        <f>IF(AND(Inputs!$B$38&lt;&gt;"pvp",Inputs!$B$43&gt;0),IF(MAX(0,Inputs!$B$43-B2000)&lt;=0,0,(INT(MAX(0,Inputs!$B$43-B2000)/(IF(Inputs!$B$38="pvp",15,MAX(0.1,Skills!E9-IF(Skills!F7=TRUE,Inputs!$B$32,0)))*(1-IF(AND(ArtifactsInput!$M$27,Inputs!$B$4="Chapter Hunt"),CHOOSE(ArtifactsInput!$N$27+1,20,24,28,32,36,40),0)/100)))+1)),0)</f>
        <v/>
      </c>
      <c r="S1971">
        <f>IF(C1971,(H1971*N1971*IF(AND(Inputs!$B$38&lt;&gt;"pvp",Inputs!$B$43&gt;0),((Skills!G9*((R1971-1)*IF(Skills!H9&gt;0,Skills!I9/Skills!H9,1)+IF(Skills!H9&gt;0,MIN(Skills!I9,MAX(0,MAX(0,Inputs!$B$43-B2000)-((R1971-1)*(IF(Inputs!$B$38="pvp",15,MAX(0.1,Skills!E9-IF(Skills!F7=TRUE,Inputs!$B$32,0)))*(1-IF(AND(ArtifactsInput!$M$27,Inputs!$B$4="Chapter Hunt"),CHOOSE(ArtifactsInput!$N$27+1,20,24,28,32,36,40),0)/100)))))/Skills!H9,1)))/Inputs!$B$43),G1971*Q1971)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1971*(1-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1971*(1-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71">
        <f>IF(C1971,(H1971*N1971*IF(AND(Inputs!$B$38&lt;&gt;"pvp",Inputs!$B$43&gt;0),((Skills!G9*((R1971-1)*IF(Skills!H9&gt;0,Skills!I9/Skills!H9,1)+IF(Skills!H9&gt;0,MIN(Skills!I9,MAX(0,MAX(0,Inputs!$B$43-B2000)-((R1971-1)*(IF(Inputs!$B$38="pvp",15,MAX(0.1,Skills!E9-IF(Skills!F7=TRUE,Inputs!$B$32,0)))*(1-IF(AND(ArtifactsInput!$M$27,Inputs!$B$4="Chapter Hunt"),CHOOSE(ArtifactsInput!$N$27+1,20,24,28,32,36,40),0)/100)))))/Skills!H9,1)))/Inputs!$B$43),G1971*Q1971)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2">
      <c r="A1972">
        <f>Skills!A10</f>
        <v/>
      </c>
      <c r="B1972">
        <f>Skills!B10</f>
        <v/>
      </c>
      <c r="C1972">
        <f>TRUE</f>
        <v/>
      </c>
      <c r="D1972">
        <f>IF(Skills!C10=1,60+Inputs!$B$25+Inputs!$B$29,IF(Skills!C10=2,90+Inputs!$B$26+Inputs!$B$29,IF(Skills!C10=3,120+Inputs!$B$27+Inputs!$B$29,MAX(0,(Inputs!$B$3-100)*3)+Inputs!$B$28+Inputs!$B$29)))</f>
        <v/>
      </c>
      <c r="E1972">
        <f>INDEX(FactorTable!$B$2:$Y$301, MATCH(ROUND(MIN(300,MAX(1,D1972)),0), FactorTable!$A$2:$A$301,0), Skills!M10+1)</f>
        <v/>
      </c>
      <c r="F1972">
        <f>IF(Skills!N10=TRUE,(Skills!L10/10)*(E1972/1000),Skills!L10/10)+Skills!O10</f>
        <v/>
      </c>
      <c r="G1972">
        <f>Calc!G10</f>
        <v/>
      </c>
      <c r="H1972">
        <f>Calc!H10</f>
        <v/>
      </c>
      <c r="I1972">
        <f>IF(Skills!X10&lt;&gt;"",1+(Skills!X10/10)*(Z1965/1000)/100,1)</f>
        <v/>
      </c>
      <c r="J1972">
        <f>((Inputs!$B$6*(1+Inputs!$B$7/100))+(((Inputs!$B$12*(1+Inputs!$B$13/100))-(Inputs!$B$12*(1+Inputs!$B$13/100)))+0.25*(Inputs!$B$14-Inputs!$B$14))*(1+Inputs!$B$7/100))*(F1972/100)</f>
        <v/>
      </c>
      <c r="K1972">
        <f>J1972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1972)</f>
        <v/>
      </c>
      <c r="L1972">
        <f>K1972*(MIN(Inputs!$B$22+(F1984-Calc!F22),(Inputs!$B$23+(IF(ArtifactsInput!$M$15,CHOOSE(ArtifactsInput!$N$15+1,25,30,35,40,45,50)/100*(Inputs!$B$11-Inputs!$B$11),0))))/100+(Inputs!$B$23+(IF(ArtifactsInput!$M$15,CHOOSE(ArtifactsInput!$N$15+1,25,30,35,40,45,50)/100*(Inputs!$B$11-Inputs!$B$11),0)))/100)/2</f>
        <v/>
      </c>
      <c r="M1972">
        <f>L1972*(1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2">
        <f>L1972*(1-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1972*(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2">
        <f>(1-Summary!$B$11)*S1972+Summary!$B$11*U1972</f>
        <v/>
      </c>
      <c r="P1972">
        <f>IF(B2003=0,0,O1972/B2003)</f>
        <v/>
      </c>
      <c r="Q1972">
        <f>IFERROR(1/(IF(Inputs!$B$38="pvp",15,MAX(0.1,Skills!E10-IF(Skills!F10=TRUE,Inputs!$B$32,0)))*(1-IF(AND(ArtifactsInput!$M$27,Inputs!$B$4="Chapter Hunt"),CHOOSE(ArtifactsInput!$N$27+1,20,24,28,32,36,40),0)/100)),0)</f>
        <v/>
      </c>
      <c r="R1972">
        <f>IF(AND(Inputs!$B$38&lt;&gt;"pvp",Inputs!$B$43&gt;0),IF(MAX(0,Inputs!$B$43-B2000)&lt;=0,0,(INT(MAX(0,Inputs!$B$43-B2000)/(IF(Inputs!$B$38="pvp",15,MAX(0.1,Skills!E10-IF(Skills!F10=TRUE,Inputs!$B$32,0)))*(1-IF(AND(ArtifactsInput!$M$27,Inputs!$B$4="Chapter Hunt"),CHOOSE(ArtifactsInput!$N$27+1,20,24,28,32,36,40),0)/100)))+1)),0)</f>
        <v/>
      </c>
      <c r="S1972">
        <f>IF(C1972,(H1972*N1972*IF(AND(Inputs!$B$38&lt;&gt;"pvp",Inputs!$B$43&gt;0),((Skills!G10*((R1972-1)*IF(Skills!H10&gt;0,Skills!I10/Skills!H10,1)+IF(Skills!H10&gt;0,MIN(Skills!I10,MAX(0,MAX(0,Inputs!$B$43-B2000)-((R1972-1)*(IF(Inputs!$B$38="pvp",15,MAX(0.1,Skills!E10-IF(Skills!F10=TRUE,Inputs!$B$32,0)))*(1-IF(AND(ArtifactsInput!$M$27,Inputs!$B$4="Chapter Hunt"),CHOOSE(ArtifactsInput!$N$27+1,20,24,28,32,36,40),0)/100)))))/Skills!H10,1)))/Inputs!$B$43),G1972*Q1972)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1972*(1-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1972*(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1972*(1-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1972*(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72">
        <f>IF(C1972,(H1972*N1972*IF(AND(Inputs!$B$38&lt;&gt;"pvp",Inputs!$B$43&gt;0),((Skills!G10*((R1972-1)*IF(Skills!H10&gt;0,Skills!I10/Skills!H10,1)+IF(Skills!H10&gt;0,MIN(Skills!I10,MAX(0,MAX(0,Inputs!$B$43-B2000)-((R1972-1)*(IF(Inputs!$B$38="pvp",15,MAX(0.1,Skills!E10-IF(Skills!F10=TRUE,Inputs!$B$32,0)))*(1-IF(AND(ArtifactsInput!$M$27,Inputs!$B$4="Chapter Hunt"),CHOOSE(ArtifactsInput!$N$27+1,20,24,28,32,36,40),0)/100)))))/Skills!H10,1)))/Inputs!$B$43),G1972*Q1972)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3">
      <c r="A1973">
        <f>Skills!A11</f>
        <v/>
      </c>
      <c r="B1973">
        <f>Skills!B11</f>
        <v/>
      </c>
      <c r="C1973">
        <f>TRUE</f>
        <v/>
      </c>
      <c r="D1973">
        <f>IF(Skills!C11=1,60+Inputs!$B$25+Inputs!$B$29,IF(Skills!C11=2,90+Inputs!$B$26+Inputs!$B$29,IF(Skills!C11=3,120+Inputs!$B$27+Inputs!$B$29,MAX(0,(Inputs!$B$3-100)*3)+Inputs!$B$28+Inputs!$B$29)))</f>
        <v/>
      </c>
      <c r="E1973">
        <f>INDEX(FactorTable!$B$2:$Y$301, MATCH(ROUND(MIN(300,MAX(1,D1973)),0), FactorTable!$A$2:$A$301,0), Skills!M11+1)</f>
        <v/>
      </c>
      <c r="F1973">
        <f>IF(Skills!N11=TRUE,(Skills!L11/10)*(E1973/1000),Skills!L11/10)+Skills!O11</f>
        <v/>
      </c>
      <c r="G1973">
        <f>Calc!G11</f>
        <v/>
      </c>
      <c r="H1973">
        <f>Calc!H11</f>
        <v/>
      </c>
      <c r="I1973">
        <f>IF(Skills!X11&lt;&gt;"",1+(Skills!X11/10)*(Z1965/1000)/100,1)</f>
        <v/>
      </c>
      <c r="J1973" t="inlineStr"/>
      <c r="K1973" t="inlineStr"/>
      <c r="L1973" t="inlineStr"/>
      <c r="M1973" t="inlineStr"/>
      <c r="N1973" t="inlineStr"/>
      <c r="O1973">
        <f>(1-Summary!$B$11)*S1973+Summary!$B$11*U1973</f>
        <v/>
      </c>
      <c r="P1973">
        <f>IF(B2003=0,0,O1973/B2003)</f>
        <v/>
      </c>
      <c r="Q1973">
        <f>IFERROR(1/(IF(Inputs!$B$38="pvp",15,MAX(0.1,Skills!E11-IF(Skills!F11=TRUE,Inputs!$B$32,0)))*(1-IF(AND(ArtifactsInput!$M$27,Inputs!$B$4="Chapter Hunt"),CHOOSE(ArtifactsInput!$N$27+1,20,24,28,32,36,40),0)/100)),0)</f>
        <v/>
      </c>
      <c r="R1973" t="n">
        <v>0</v>
      </c>
      <c r="S1973" t="n">
        <v>0</v>
      </c>
      <c r="U1973" t="n">
        <v>0</v>
      </c>
    </row>
    <row r="1974">
      <c r="A1974">
        <f>Skills!A12</f>
        <v/>
      </c>
      <c r="B1974">
        <f>Skills!B12</f>
        <v/>
      </c>
      <c r="C1974">
        <f>TRUE</f>
        <v/>
      </c>
      <c r="D1974">
        <f>IF(Skills!C12=1,60+Inputs!$B$25+Inputs!$B$29,IF(Skills!C12=2,90+Inputs!$B$26+Inputs!$B$29,IF(Skills!C12=3,120+Inputs!$B$27+Inputs!$B$29,MAX(0,(Inputs!$B$3-100)*3)+Inputs!$B$28+Inputs!$B$29)))</f>
        <v/>
      </c>
      <c r="E1974">
        <f>INDEX(FactorTable!$B$2:$Y$301, MATCH(ROUND(MIN(300,MAX(1,D1974)),0), FactorTable!$A$2:$A$301,0), Skills!M12+1)</f>
        <v/>
      </c>
      <c r="F1974">
        <f>IF(Skills!N12=TRUE,(Skills!L12/10)*(E1974/1000),Skills!L12/10)+Skills!O12</f>
        <v/>
      </c>
      <c r="G1974">
        <f>Calc!G12</f>
        <v/>
      </c>
      <c r="H1974">
        <f>Calc!H12</f>
        <v/>
      </c>
      <c r="I1974">
        <f>IF(Skills!X12&lt;&gt;"",1+(Skills!X12/10)*(Z1965/1000)/100,1)</f>
        <v/>
      </c>
      <c r="J1974" t="inlineStr"/>
      <c r="K1974" t="inlineStr"/>
      <c r="L1974" t="inlineStr"/>
      <c r="M1974" t="inlineStr"/>
      <c r="N1974" t="inlineStr"/>
      <c r="O1974">
        <f>(1-Summary!$B$11)*S1974+Summary!$B$11*U1974</f>
        <v/>
      </c>
      <c r="P1974">
        <f>IF(B2003=0,0,O1974/B2003)</f>
        <v/>
      </c>
      <c r="Q1974">
        <f>IFERROR(1/(IF(Inputs!$B$38="pvp",15,MAX(0.1,Skills!E12-IF(Skills!F12=TRUE,Inputs!$B$32,0)))*(1-IF(AND(ArtifactsInput!$M$27,Inputs!$B$4="Chapter Hunt"),CHOOSE(ArtifactsInput!$N$27+1,20,24,28,32,36,40),0)/100)),0)</f>
        <v/>
      </c>
      <c r="R1974" t="n">
        <v>0</v>
      </c>
      <c r="S1974" t="n">
        <v>0</v>
      </c>
      <c r="U1974" t="n">
        <v>0</v>
      </c>
    </row>
    <row r="1975">
      <c r="A1975">
        <f>Skills!A13</f>
        <v/>
      </c>
      <c r="B1975">
        <f>Skills!B13</f>
        <v/>
      </c>
      <c r="C1975">
        <f>Inputs!$B$3&gt;=105</f>
        <v/>
      </c>
      <c r="D1975">
        <f>IF(Skills!C13=1,60+Inputs!$B$25+Inputs!$B$29,IF(Skills!C13=2,90+Inputs!$B$26+Inputs!$B$29,IF(Skills!C13=3,120+Inputs!$B$27+Inputs!$B$29,MAX(0,(Inputs!$B$3-100)*3)+Inputs!$B$28+Inputs!$B$29)))</f>
        <v/>
      </c>
      <c r="E1975">
        <f>INDEX(FactorTable!$B$2:$Y$301, MATCH(ROUND(MIN(300,MAX(1,D1975)),0), FactorTable!$A$2:$A$301,0), Skills!M13+1)</f>
        <v/>
      </c>
      <c r="F1975">
        <f>IF(Skills!N13=TRUE,(Skills!L13/10)*(E1975/1000),Skills!L13/10)+Skills!O13</f>
        <v/>
      </c>
      <c r="G1975">
        <f>Calc!G13</f>
        <v/>
      </c>
      <c r="H1975">
        <f>Calc!H13</f>
        <v/>
      </c>
      <c r="I1975">
        <f>IF(Skills!X13&lt;&gt;"",1+(Skills!X13/10)*(Z1965/1000)/100,1)</f>
        <v/>
      </c>
      <c r="J1975">
        <f>((Inputs!$B$6*(1+Inputs!$B$7/100))+(((Inputs!$B$12*(1+Inputs!$B$13/100))-(Inputs!$B$12*(1+Inputs!$B$13/100)))+0.25*(Inputs!$B$14-Inputs!$B$14))*(1+Inputs!$B$7/100))*(F1975/100)</f>
        <v/>
      </c>
      <c r="K1975">
        <f>J1975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1975)</f>
        <v/>
      </c>
      <c r="L1975">
        <f>K1975*(MIN(Inputs!$B$22+(F1984-Calc!F22),(Inputs!$B$23+(IF(ArtifactsInput!$M$15,CHOOSE(ArtifactsInput!$N$15+1,25,30,35,40,45,50)/100*(Inputs!$B$11-Inputs!$B$11),0))))/100+(Inputs!$B$23+(IF(ArtifactsInput!$M$15,CHOOSE(ArtifactsInput!$N$15+1,25,30,35,40,45,50)/100*(Inputs!$B$11-Inputs!$B$11),0)))/100)/2</f>
        <v/>
      </c>
      <c r="M1975">
        <f>L1975*(1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5">
        <f>L1975*(1-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1975*(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5">
        <f>(1-Summary!$B$11)*S1975+Summary!$B$11*U1975</f>
        <v/>
      </c>
      <c r="P1975">
        <f>IF(B2003=0,0,O1975/B2003)</f>
        <v/>
      </c>
      <c r="Q1975">
        <f>IFERROR(1/(IF(Inputs!$B$38="pvp",15,MAX(0.1,Skills!E13-IF(Skills!F13=TRUE,Inputs!$B$32,0)))*(1-IF(AND(ArtifactsInput!$M$27,Inputs!$B$4="Chapter Hunt"),CHOOSE(ArtifactsInput!$N$27+1,20,24,28,32,36,40),0)/100)),0)</f>
        <v/>
      </c>
      <c r="R1975">
        <f>IF(AND(Inputs!$B$38&lt;&gt;"pvp",Inputs!$B$43&gt;0),IF(MAX(0,Inputs!$B$43-B2000)&lt;=0,0,(INT(MAX(0,Inputs!$B$43-B2000)/(IF(Inputs!$B$38="pvp",15,MAX(0.1,Skills!E13-IF(Skills!F13=TRUE,Inputs!$B$32,0)))*(1-IF(AND(ArtifactsInput!$M$27,Inputs!$B$4="Chapter Hunt"),CHOOSE(ArtifactsInput!$N$27+1,20,24,28,32,36,40),0)/100)))+1)),0)</f>
        <v/>
      </c>
      <c r="S1975">
        <f>IF(C1975,(H1975*N1975*IF(AND(Inputs!$B$38&lt;&gt;"pvp",Inputs!$B$43&gt;0),((Skills!G13*((R1975-1)*IF(Skills!H13&gt;0,Skills!I13/Skills!H13,1)+IF(Skills!H13&gt;0,MIN(Skills!I13,MAX(0,MAX(0,Inputs!$B$43-B2000)-((R1975-1)*(IF(Inputs!$B$38="pvp",15,MAX(0.1,Skills!E13-IF(Skills!F13=TRUE,Inputs!$B$32,0)))*(1-IF(AND(ArtifactsInput!$M$27,Inputs!$B$4="Chapter Hunt"),CHOOSE(ArtifactsInput!$N$27+1,20,24,28,32,36,40),0)/100)))))/Skills!H13,1)))/Inputs!$B$43),G1975*Q1975)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1975*(1-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1975*(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1975*(1-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1975*(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75">
        <f>IF(C1975,(H1975*N1975*IF(AND(Inputs!$B$38&lt;&gt;"pvp",Inputs!$B$43&gt;0),((Skills!G13*((R1975-1)*IF(Skills!H13&gt;0,Skills!I13/Skills!H13,1)+IF(Skills!H13&gt;0,MIN(Skills!I13,MAX(0,MAX(0,Inputs!$B$43-B2000)-((R1975-1)*(IF(Inputs!$B$38="pvp",15,MAX(0.1,Skills!E13-IF(Skills!F13=TRUE,Inputs!$B$32,0)))*(1-IF(AND(ArtifactsInput!$M$27,Inputs!$B$4="Chapter Hunt"),CHOOSE(ArtifactsInput!$N$27+1,20,24,28,32,36,40),0)/100)))))/Skills!H13,1)))/Inputs!$B$43),G1975*Q1975)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6">
      <c r="A1976">
        <f>Skills!A14</f>
        <v/>
      </c>
      <c r="B1976">
        <f>Skills!B14</f>
        <v/>
      </c>
      <c r="C1976">
        <f>Inputs!$B$3&gt;=113</f>
        <v/>
      </c>
      <c r="D1976">
        <f>IF(Skills!C14=1,60+Inputs!$B$25+Inputs!$B$29,IF(Skills!C14=2,90+Inputs!$B$26+Inputs!$B$29,IF(Skills!C14=3,120+Inputs!$B$27+Inputs!$B$29,MAX(0,(Inputs!$B$3-100)*3)+Inputs!$B$28+Inputs!$B$29)))</f>
        <v/>
      </c>
      <c r="E1976">
        <f>INDEX(FactorTable!$B$2:$Y$301, MATCH(ROUND(MIN(300,MAX(1,D1976)),0), FactorTable!$A$2:$A$301,0), Skills!M14+1)</f>
        <v/>
      </c>
      <c r="F1976">
        <f>IF(Skills!N14=TRUE,(Skills!L14/10)*(E1976/1000),Skills!L14/10)+Skills!O14</f>
        <v/>
      </c>
      <c r="G1976">
        <f>Calc!G14</f>
        <v/>
      </c>
      <c r="H1976">
        <f>Calc!H14</f>
        <v/>
      </c>
      <c r="I1976">
        <f>IF(Skills!X14&lt;&gt;"",1+(Skills!X14/10)*(Z1965/1000)/100,1)</f>
        <v/>
      </c>
      <c r="J1976">
        <f>((Inputs!$B$6*(1+Inputs!$B$7/100))+(((Inputs!$B$12*(1+Inputs!$B$13/100))-(Inputs!$B$12*(1+Inputs!$B$13/100)))+0.25*(Inputs!$B$14-Inputs!$B$14))*(1+Inputs!$B$7/100))*(F1976/100)</f>
        <v/>
      </c>
      <c r="K1976">
        <f>J1976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1976)</f>
        <v/>
      </c>
      <c r="L1976">
        <f>K1976*(MIN(Inputs!$B$22+(F1984-Calc!F22),(Inputs!$B$23+(IF(ArtifactsInput!$M$15,CHOOSE(ArtifactsInput!$N$15+1,25,30,35,40,45,50)/100*(Inputs!$B$11-Inputs!$B$11),0))))/100+(Inputs!$B$23+(IF(ArtifactsInput!$M$15,CHOOSE(ArtifactsInput!$N$15+1,25,30,35,40,45,50)/100*(Inputs!$B$11-Inputs!$B$11),0)))/100)/2</f>
        <v/>
      </c>
      <c r="M1976">
        <f>L1976*(1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6">
        <f>L1976*(1-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1976*(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6">
        <f>(1-Summary!$B$11)*S1976+Summary!$B$11*U1976</f>
        <v/>
      </c>
      <c r="P1976">
        <f>IF(B2003=0,0,O1976/B2003)</f>
        <v/>
      </c>
      <c r="Q1976">
        <f>IFERROR(1/(IF(Inputs!$B$38="pvp",15,MAX(0.1,Skills!E14-IF(Skills!F14=TRUE,Inputs!$B$32,0)))*(1-IF(AND(ArtifactsInput!$M$27,Inputs!$B$4="Chapter Hunt"),CHOOSE(ArtifactsInput!$N$27+1,20,24,28,32,36,40),0)/100)),0)</f>
        <v/>
      </c>
      <c r="R1976" t="n">
        <v>0</v>
      </c>
      <c r="S1976">
        <f>IF(C1976,((H1976*B1999)/(1+Skills!H14*H1976*B1999)*N1976)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1976*(1-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1976*(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1976*(1-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1976*(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76">
        <f>IF(C1976,((H1976*B1999)/(1+Skills!H14*H1976*B1999)*N1976)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7">
      <c r="A1977">
        <f>Skills!A15</f>
        <v/>
      </c>
      <c r="B1977">
        <f>Skills!B15</f>
        <v/>
      </c>
      <c r="C1977">
        <f>Inputs!$B$3&gt;=107</f>
        <v/>
      </c>
      <c r="D1977">
        <f>IF(Skills!C15=1,60+Inputs!$B$25+Inputs!$B$29,IF(Skills!C15=2,90+Inputs!$B$26+Inputs!$B$29,IF(Skills!C15=3,120+Inputs!$B$27+Inputs!$B$29,MAX(0,(Inputs!$B$3-100)*3)+Inputs!$B$28+Inputs!$B$29)))</f>
        <v/>
      </c>
      <c r="E1977">
        <f>INDEX(FactorTable!$B$2:$Y$301, MATCH(ROUND(MIN(300,MAX(1,D1977)),0), FactorTable!$A$2:$A$301,0), Skills!M15+1)</f>
        <v/>
      </c>
      <c r="F1977">
        <f>IF(Skills!N15=TRUE,(Skills!L15/10)*(E1977/1000),Skills!L15/10)+Skills!O15</f>
        <v/>
      </c>
      <c r="G1977">
        <f>Calc!G15</f>
        <v/>
      </c>
      <c r="H1977">
        <f>Calc!H15</f>
        <v/>
      </c>
      <c r="I1977">
        <f>IF(Skills!X15&lt;&gt;"",1+(Skills!X15/10)*(Z1965/1000)/100,1)</f>
        <v/>
      </c>
      <c r="J1977">
        <f>((Inputs!$B$6*(1+Inputs!$B$7/100))+(((Inputs!$B$12*(1+Inputs!$B$13/100))-(Inputs!$B$12*(1+Inputs!$B$13/100)))+0.25*(Inputs!$B$14-Inputs!$B$14))*(1+Inputs!$B$7/100))*(F1977/100)</f>
        <v/>
      </c>
      <c r="K1977">
        <f>J1977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1977)</f>
        <v/>
      </c>
      <c r="L1977">
        <f>K1977*(MIN(Inputs!$B$22+(F1984-Calc!F22),(Inputs!$B$23+(IF(ArtifactsInput!$M$15,CHOOSE(ArtifactsInput!$N$15+1,25,30,35,40,45,50)/100*(Inputs!$B$11-Inputs!$B$11),0))))/100+(Inputs!$B$23+(IF(ArtifactsInput!$M$15,CHOOSE(ArtifactsInput!$N$15+1,25,30,35,40,45,50)/100*(Inputs!$B$11-Inputs!$B$11),0)))/100)/2</f>
        <v/>
      </c>
      <c r="M1977">
        <f>L1977*(1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7">
        <f>L1977*(1-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1977*(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7">
        <f>(1-Summary!$B$11)*S1977+Summary!$B$11*U1977</f>
        <v/>
      </c>
      <c r="P1977">
        <f>IF(B2003=0,0,O1977/B2003)</f>
        <v/>
      </c>
      <c r="Q1977">
        <f>IFERROR(1/(IF(Inputs!$B$38="pvp",15,MAX(0.1,Skills!E15-IF(Skills!F15=TRUE,Inputs!$B$32,0)))*(1-IF(AND(ArtifactsInput!$M$27,Inputs!$B$4="Chapter Hunt"),CHOOSE(ArtifactsInput!$N$27+1,20,24,28,32,36,40),0)/100)),0)</f>
        <v/>
      </c>
      <c r="R1977">
        <f>IF(AND(Inputs!$B$38&lt;&gt;"pvp",Inputs!$B$43&gt;0),IF(MAX(0,Inputs!$B$43-B2000)&lt;=0,0,(INT(MAX(0,Inputs!$B$43-B2000)/(IF(Inputs!$B$38="pvp",15,MAX(0.1,Skills!E15-IF(Skills!F15=TRUE,Inputs!$B$32,0)))*(1-IF(AND(ArtifactsInput!$M$27,Inputs!$B$4="Chapter Hunt"),CHOOSE(ArtifactsInput!$N$27+1,20,24,28,32,36,40),0)/100)))+1)),0)</f>
        <v/>
      </c>
      <c r="S1977">
        <f>IF(C1977,(H1977*N1977*IF(AND(Inputs!$B$38&lt;&gt;"pvp",Inputs!$B$43&gt;0),((Skills!G15*((R1977-1)*IF(Skills!H15&gt;0,Skills!I15/Skills!H15,1)+IF(Skills!H15&gt;0,MIN(Skills!I15,MAX(0,MAX(0,Inputs!$B$43-B2000)-((R1977-1)*(IF(Inputs!$B$38="pvp",15,MAX(0.1,Skills!E15-IF(Skills!F15=TRUE,Inputs!$B$32,0)))*(1-IF(AND(ArtifactsInput!$M$27,Inputs!$B$4="Chapter Hunt"),CHOOSE(ArtifactsInput!$N$27+1,20,24,28,32,36,40),0)/100)))))/Skills!H15,1)))/Inputs!$B$43),G1977*Q1977)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1977*(1-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1977*(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1977*(1-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1977*(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77">
        <f>IF(C1977,(H1977*N1977*IF(AND(Inputs!$B$38&lt;&gt;"pvp",Inputs!$B$43&gt;0),((Skills!G15*((R1977-1)*IF(Skills!H15&gt;0,Skills!I15/Skills!H15,1)+IF(Skills!H15&gt;0,MIN(Skills!I15,MAX(0,MAX(0,Inputs!$B$43-B2000)-((R1977-1)*(IF(Inputs!$B$38="pvp",15,MAX(0.1,Skills!E15-IF(Skills!F15=TRUE,Inputs!$B$32,0)))*(1-IF(AND(ArtifactsInput!$M$27,Inputs!$B$4="Chapter Hunt"),CHOOSE(ArtifactsInput!$N$27+1,20,24,28,32,36,40),0)/100)))))/Skills!H15,1)))/Inputs!$B$43),G1977*Q1977)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8">
      <c r="A1978">
        <f>Skills!A16</f>
        <v/>
      </c>
      <c r="B1978">
        <f>Skills!B16</f>
        <v/>
      </c>
      <c r="C1978">
        <f>Inputs!$B$3&gt;=107</f>
        <v/>
      </c>
      <c r="D1978">
        <f>IF(Skills!C16=1,60+Inputs!$B$25+Inputs!$B$29,IF(Skills!C16=2,90+Inputs!$B$26+Inputs!$B$29,IF(Skills!C16=3,120+Inputs!$B$27+Inputs!$B$29,MAX(0,(Inputs!$B$3-100)*3)+Inputs!$B$28+Inputs!$B$29)))</f>
        <v/>
      </c>
      <c r="E1978">
        <f>INDEX(FactorTable!$B$2:$Y$301, MATCH(ROUND(MIN(300,MAX(1,D1978)),0), FactorTable!$A$2:$A$301,0), Skills!M16+1)</f>
        <v/>
      </c>
      <c r="F1978">
        <f>IF(Skills!N16=TRUE,(Skills!L16/10)*(E1978/1000),Skills!L16/10)+Skills!O16</f>
        <v/>
      </c>
      <c r="G1978">
        <f>Calc!G16</f>
        <v/>
      </c>
      <c r="H1978">
        <f>Calc!H16</f>
        <v/>
      </c>
      <c r="I1978">
        <f>IF(Skills!X16&lt;&gt;"",1+(Skills!X16/10)*(Z1965/1000)/100,1)</f>
        <v/>
      </c>
      <c r="J1978">
        <f>((Inputs!$B$6*(1+Inputs!$B$7/100))+(((Inputs!$B$12*(1+Inputs!$B$13/100))-(Inputs!$B$12*(1+Inputs!$B$13/100)))+0.25*(Inputs!$B$14-Inputs!$B$14))*(1+Inputs!$B$7/100))*(F1978/100)</f>
        <v/>
      </c>
      <c r="K1978">
        <f>J1978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1978)</f>
        <v/>
      </c>
      <c r="L1978">
        <f>K1978*(MIN(Inputs!$B$22+(F1984-Calc!F22),(Inputs!$B$23+(IF(ArtifactsInput!$M$15,CHOOSE(ArtifactsInput!$N$15+1,25,30,35,40,45,50)/100*(Inputs!$B$11-Inputs!$B$11),0))))/100+(Inputs!$B$23+(IF(ArtifactsInput!$M$15,CHOOSE(ArtifactsInput!$N$15+1,25,30,35,40,45,50)/100*(Inputs!$B$11-Inputs!$B$11),0)))/100)/2</f>
        <v/>
      </c>
      <c r="M1978">
        <f>L1978*(1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8">
        <f>L1978*(1-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1978*(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8">
        <f>(1-Summary!$B$11)*S1978+Summary!$B$11*U1978</f>
        <v/>
      </c>
      <c r="P1978">
        <f>IF(B2003=0,0,O1978/B2003)</f>
        <v/>
      </c>
      <c r="Q1978">
        <f>IFERROR(1/(IF(Inputs!$B$38="pvp",15,MAX(0.1,Skills!E16-IF(Skills!F16=TRUE,Inputs!$B$32,0)))*(1-IF(AND(ArtifactsInput!$M$27,Inputs!$B$4="Chapter Hunt"),CHOOSE(ArtifactsInput!$N$27+1,20,24,28,32,36,40),0)/100)),0)</f>
        <v/>
      </c>
      <c r="R1978">
        <f>IF(AND(Inputs!$B$38&lt;&gt;"pvp",Inputs!$B$43&gt;0),IF(MAX(0,Inputs!$B$43-B2000)&lt;=0,0,(INT(MAX(0,Inputs!$B$43-B2000)/(IF(Inputs!$B$38="pvp",15,MAX(0.1,Skills!E16-IF(Skills!F16=TRUE,Inputs!$B$32,0)))*(1-IF(AND(ArtifactsInput!$M$27,Inputs!$B$4="Chapter Hunt"),CHOOSE(ArtifactsInput!$N$27+1,20,24,28,32,36,40),0)/100)))+1)),0)</f>
        <v/>
      </c>
      <c r="S1978">
        <f>IF(C1978,(H1978*N1978*IF(AND(Inputs!$B$38&lt;&gt;"pvp",Inputs!$B$43&gt;0),((Skills!G16*((R1978-1)*IF(Skills!H16&gt;0,Skills!I16/Skills!H16,1)+IF(Skills!H16&gt;0,MIN(Skills!I16,MAX(0,MAX(0,Inputs!$B$43-B2000)-((R1978-1)*(IF(Inputs!$B$38="pvp",15,MAX(0.1,Skills!E16-IF(Skills!F16=TRUE,Inputs!$B$32,0)))*(1-IF(AND(ArtifactsInput!$M$27,Inputs!$B$4="Chapter Hunt"),CHOOSE(ArtifactsInput!$N$27+1,20,24,28,32,36,40),0)/100)))))/Skills!H16,1)))/Inputs!$B$43),G1978*Q1978)*(1+IF(Inputs!$B$3&gt;=126,0.05*(B1998+Q1975+(H1976*B1999)/(1+Skills!H14*H1976*B1999)+Q1986)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1978*(1-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1978*(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1978*(1-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1978*(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78">
        <f>IF(C1978,(H1978*N1978*IF(AND(Inputs!$B$38&lt;&gt;"pvp",Inputs!$B$43&gt;0),((Skills!G16*((R1978-1)*IF(Skills!H16&gt;0,Skills!I16/Skills!H16,1)+IF(Skills!H16&gt;0,MIN(Skills!I16,MAX(0,MAX(0,Inputs!$B$43-B2000)-((R1978-1)*(IF(Inputs!$B$38="pvp",15,MAX(0.1,Skills!E16-IF(Skills!F16=TRUE,Inputs!$B$32,0)))*(1-IF(AND(ArtifactsInput!$M$27,Inputs!$B$4="Chapter Hunt"),CHOOSE(ArtifactsInput!$N$27+1,20,24,28,32,36,40),0)/100)))))/Skills!H16,1)))/Inputs!$B$43),G1978*Q1978)*(1+IF(Inputs!$B$3&gt;=126,0.05*(B1998+Q1975+(H1976*B1999)/(1+Skills!H14*H1976*B1999)+Q1986)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9">
      <c r="A1979">
        <f>Skills!A17</f>
        <v/>
      </c>
      <c r="B1979">
        <f>Skills!B17</f>
        <v/>
      </c>
      <c r="C1979">
        <f>TRUE</f>
        <v/>
      </c>
      <c r="D1979">
        <f>IF(Skills!C17=1,60+Inputs!$B$25+Inputs!$B$29,IF(Skills!C17=2,90+Inputs!$B$26+Inputs!$B$29,IF(Skills!C17=3,120+Inputs!$B$27+Inputs!$B$29,MAX(0,(Inputs!$B$3-100)*3)+Inputs!$B$28+Inputs!$B$29)))</f>
        <v/>
      </c>
      <c r="E1979">
        <f>INDEX(FactorTable!$B$2:$Y$301, MATCH(ROUND(MIN(300,MAX(1,D1979)),0), FactorTable!$A$2:$A$301,0), Skills!M17+1)</f>
        <v/>
      </c>
      <c r="F1979">
        <f>IF(Skills!N17=TRUE,(Skills!L17/10)*(E1979/1000),Skills!L17/10)+Skills!O17</f>
        <v/>
      </c>
      <c r="G1979">
        <f>Calc!G17</f>
        <v/>
      </c>
      <c r="H1979">
        <f>Calc!H17</f>
        <v/>
      </c>
      <c r="I1979">
        <f>IF(Skills!X17&lt;&gt;"",1+(Skills!X17/10)*(Z1965/1000)/100,1)</f>
        <v/>
      </c>
      <c r="J1979" t="inlineStr"/>
      <c r="K1979" t="inlineStr"/>
      <c r="L1979" t="inlineStr"/>
      <c r="M1979" t="inlineStr"/>
      <c r="N1979" t="inlineStr"/>
      <c r="O1979">
        <f>(1-Summary!$B$11)*S1979+Summary!$B$11*U1979</f>
        <v/>
      </c>
      <c r="P1979">
        <f>IF(B2003=0,0,O1979/B2003)</f>
        <v/>
      </c>
      <c r="Q1979">
        <f>IFERROR(1/(IF(Inputs!$B$38="pvp",15,MAX(0.1,Skills!E17-IF(Skills!F17=TRUE,Inputs!$B$32,0)))*(1-IF(AND(ArtifactsInput!$M$27,Inputs!$B$4="Chapter Hunt"),CHOOSE(ArtifactsInput!$N$27+1,20,24,28,32,36,40),0)/100)),0)</f>
        <v/>
      </c>
      <c r="R1979">
        <f>IF(AND(Inputs!$B$38&lt;&gt;"pvp",Inputs!$B$43&gt;0),IF(Inputs!$B$43&lt;=0,0,(INT(Inputs!$B$43/(IF(Inputs!$B$38="pvp",15,MAX(0.1,Skills!E17-IF(Skills!F17=TRUE,Inputs!$B$32,0)))*(1-IF(AND(ArtifactsInput!$M$27,Inputs!$B$4="Chapter Hunt"),CHOOSE(ArtifactsInput!$N$27+1,20,24,28,32,36,40),0)/100)))+1)),0)</f>
        <v/>
      </c>
      <c r="S1979" t="n">
        <v>0</v>
      </c>
      <c r="U1979" t="n">
        <v>0</v>
      </c>
    </row>
    <row r="1980">
      <c r="A1980">
        <f>Skills!A18</f>
        <v/>
      </c>
      <c r="B1980">
        <f>Skills!B18</f>
        <v/>
      </c>
      <c r="C1980">
        <f>TRUE</f>
        <v/>
      </c>
      <c r="D1980">
        <f>IF(Skills!C18=1,60+Inputs!$B$25+Inputs!$B$29,IF(Skills!C18=2,90+Inputs!$B$26+Inputs!$B$29,IF(Skills!C18=3,120+Inputs!$B$27+Inputs!$B$29,MAX(0,(Inputs!$B$3-100)*3)+Inputs!$B$28+Inputs!$B$29)))</f>
        <v/>
      </c>
      <c r="E1980">
        <f>INDEX(FactorTable!$B$2:$Y$301, MATCH(ROUND(MIN(300,MAX(1,D1980)),0), FactorTable!$A$2:$A$301,0), Skills!M18+1)</f>
        <v/>
      </c>
      <c r="F1980">
        <f>IF(Skills!N18=TRUE,(Skills!L18/10)*(E1980/1000),Skills!L18/10)+Skills!O18</f>
        <v/>
      </c>
      <c r="G1980">
        <f>Calc!G18</f>
        <v/>
      </c>
      <c r="H1980">
        <f>Calc!H18</f>
        <v/>
      </c>
      <c r="I1980">
        <f>IF(Skills!X18&lt;&gt;"",1+(Skills!X18/10)*(Z1965/1000)/100,1)</f>
        <v/>
      </c>
      <c r="J1980" t="inlineStr"/>
      <c r="K1980" t="inlineStr"/>
      <c r="L1980" t="inlineStr"/>
      <c r="M1980" t="inlineStr"/>
      <c r="N1980" t="inlineStr"/>
      <c r="O1980">
        <f>(1-Summary!$B$11)*S1980+Summary!$B$11*U1980</f>
        <v/>
      </c>
      <c r="P1980">
        <f>IF(B2003=0,0,O1980/B2003)</f>
        <v/>
      </c>
      <c r="Q1980">
        <f>IFERROR(1/(IF(Inputs!$B$38="pvp",15,MAX(0.1,Skills!E18-IF(Skills!F18=TRUE,Inputs!$B$32,0)))*(1-IF(AND(ArtifactsInput!$M$27,Inputs!$B$4="Chapter Hunt"),CHOOSE(ArtifactsInput!$N$27+1,20,24,28,32,36,40),0)/100)),0)</f>
        <v/>
      </c>
      <c r="R1980">
        <f>IF(AND(Inputs!$B$38&lt;&gt;"pvp",Inputs!$B$43&gt;0),IF(Inputs!$B$43&lt;=0,0,(INT(Inputs!$B$43/(IF(Inputs!$B$38="pvp",15,MAX(0.1,Skills!E18-IF(Skills!F18=TRUE,Inputs!$B$32,0)))*(1-IF(AND(ArtifactsInput!$M$27,Inputs!$B$4="Chapter Hunt"),CHOOSE(ArtifactsInput!$N$27+1,20,24,28,32,36,40),0)/100)))+1)),0)</f>
        <v/>
      </c>
      <c r="S1980" t="n">
        <v>0</v>
      </c>
      <c r="U1980" t="n">
        <v>0</v>
      </c>
    </row>
    <row r="1981">
      <c r="A1981">
        <f>Skills!A19</f>
        <v/>
      </c>
      <c r="B1981">
        <f>Skills!B19</f>
        <v/>
      </c>
      <c r="C1981">
        <f>Inputs!$B$3&gt;=110</f>
        <v/>
      </c>
      <c r="D1981">
        <f>IF(Skills!C19=1,60+Inputs!$B$25+Inputs!$B$29,IF(Skills!C19=2,90+Inputs!$B$26+Inputs!$B$29,IF(Skills!C19=3,120+Inputs!$B$27+Inputs!$B$29,MAX(0,(Inputs!$B$3-100)*3)+Inputs!$B$28+Inputs!$B$29)))</f>
        <v/>
      </c>
      <c r="E1981">
        <f>INDEX(FactorTable!$B$2:$Y$301, MATCH(ROUND(MIN(300,MAX(1,D1981)),0), FactorTable!$A$2:$A$301,0), Skills!M19+1)</f>
        <v/>
      </c>
      <c r="F1981">
        <f>IF(Skills!N19=TRUE,(Skills!L19/10)*(E1981/1000),Skills!L19/10)+Skills!O19</f>
        <v/>
      </c>
      <c r="G1981">
        <f>Calc!G19</f>
        <v/>
      </c>
      <c r="H1981">
        <f>Calc!H19</f>
        <v/>
      </c>
      <c r="I1981">
        <f>IF(Skills!X19&lt;&gt;"",1+(Skills!X19/10)*(Z1965/1000)/100,1)</f>
        <v/>
      </c>
      <c r="J1981" t="inlineStr"/>
      <c r="K1981" t="inlineStr"/>
      <c r="L1981" t="inlineStr"/>
      <c r="M1981" t="inlineStr"/>
      <c r="N1981" t="inlineStr"/>
      <c r="O1981">
        <f>(1-Summary!$B$11)*S1981+Summary!$B$11*U1981</f>
        <v/>
      </c>
      <c r="P1981">
        <f>IF(B2003=0,0,O1981/B2003)</f>
        <v/>
      </c>
      <c r="Q1981">
        <f>IFERROR(1/(IF(Inputs!$B$38="pvp",15,MAX(0.1,Skills!E19-IF(Skills!F19=TRUE,Inputs!$B$32,0)))*(1-IF(AND(ArtifactsInput!$M$27,Inputs!$B$4="Chapter Hunt"),CHOOSE(ArtifactsInput!$N$27+1,20,24,28,32,36,40),0)/100)),0)</f>
        <v/>
      </c>
      <c r="R1981">
        <f>IF(AND(Inputs!$B$38&lt;&gt;"pvp",Inputs!$B$43&gt;0),IF(Inputs!$B$43&lt;=0,0,(INT(Inputs!$B$43/(IF(Inputs!$B$38="pvp",15,MAX(0.1,Skills!E19-IF(Skills!F19=TRUE,Inputs!$B$32,0)))*(1-IF(AND(ArtifactsInput!$M$27,Inputs!$B$4="Chapter Hunt"),CHOOSE(ArtifactsInput!$N$27+1,20,24,28,32,36,40),0)/100)))+1)),0)</f>
        <v/>
      </c>
      <c r="S1981" t="n">
        <v>0</v>
      </c>
      <c r="U1981" t="n">
        <v>0</v>
      </c>
    </row>
    <row r="1982">
      <c r="A1982">
        <f>Skills!A20</f>
        <v/>
      </c>
      <c r="B1982">
        <f>Skills!B20</f>
        <v/>
      </c>
      <c r="C1982">
        <f>TRUE</f>
        <v/>
      </c>
      <c r="D1982">
        <f>IF(Skills!C20=1,60+Inputs!$B$25+Inputs!$B$29,IF(Skills!C20=2,90+Inputs!$B$26+Inputs!$B$29,IF(Skills!C20=3,120+Inputs!$B$27+Inputs!$B$29,MAX(0,(Inputs!$B$3-100)*3)+Inputs!$B$28+Inputs!$B$29)))</f>
        <v/>
      </c>
      <c r="E1982">
        <f>INDEX(FactorTable!$B$2:$Y$301, MATCH(ROUND(MIN(300,MAX(1,D1982)),0), FactorTable!$A$2:$A$301,0), Skills!M20+1)</f>
        <v/>
      </c>
      <c r="F1982">
        <f>IF(Skills!N20=TRUE,(Skills!L20/10)*(E1982/1000),Skills!L20/10)+Skills!O20</f>
        <v/>
      </c>
      <c r="G1982">
        <f>Calc!G20</f>
        <v/>
      </c>
      <c r="H1982">
        <f>Calc!H20</f>
        <v/>
      </c>
      <c r="I1982">
        <f>IF(Skills!X20&lt;&gt;"",1+(Skills!X20/10)*(Z1965/1000)/100,1)</f>
        <v/>
      </c>
      <c r="J1982" t="inlineStr"/>
      <c r="K1982" t="inlineStr"/>
      <c r="L1982" t="inlineStr"/>
      <c r="M1982" t="inlineStr"/>
      <c r="N1982" t="inlineStr"/>
      <c r="O1982">
        <f>(1-Summary!$B$11)*S1982+Summary!$B$11*U1982</f>
        <v/>
      </c>
      <c r="P1982">
        <f>IF(B2003=0,0,O1982/B2003)</f>
        <v/>
      </c>
      <c r="Q1982">
        <f>IFERROR(1/(IF(Inputs!$B$38="pvp",15,MAX(0.1,Skills!E20-IF(Skills!F20=TRUE,Inputs!$B$32,0)))*(1-IF(AND(ArtifactsInput!$M$27,Inputs!$B$4="Chapter Hunt"),CHOOSE(ArtifactsInput!$N$27+1,20,24,28,32,36,40),0)/100)),0)</f>
        <v/>
      </c>
      <c r="R1982" t="n">
        <v>0</v>
      </c>
      <c r="S1982" t="n">
        <v>0</v>
      </c>
      <c r="U1982" t="n">
        <v>0</v>
      </c>
    </row>
    <row r="1983">
      <c r="A1983">
        <f>Skills!A21</f>
        <v/>
      </c>
      <c r="B1983">
        <f>Skills!B21</f>
        <v/>
      </c>
      <c r="C1983">
        <f>TRUE</f>
        <v/>
      </c>
      <c r="D1983">
        <f>IF(Skills!C21=1,60+Inputs!$B$25+Inputs!$B$29,IF(Skills!C21=2,90+Inputs!$B$26+Inputs!$B$29,IF(Skills!C21=3,120+Inputs!$B$27+Inputs!$B$29,MAX(0,(Inputs!$B$3-100)*3)+Inputs!$B$28+Inputs!$B$29)))</f>
        <v/>
      </c>
      <c r="E1983">
        <f>INDEX(FactorTable!$B$2:$Y$301, MATCH(ROUND(MIN(300,MAX(1,D1983)),0), FactorTable!$A$2:$A$301,0), Skills!M21+1)</f>
        <v/>
      </c>
      <c r="F1983">
        <f>IF(Skills!N21=TRUE,(Skills!L21/10)*(E1983/1000),Skills!L21/10)+Skills!O21</f>
        <v/>
      </c>
      <c r="G1983">
        <f>Calc!G21</f>
        <v/>
      </c>
      <c r="H1983">
        <f>Calc!H21</f>
        <v/>
      </c>
      <c r="I1983">
        <f>IF(Skills!X21&lt;&gt;"",1+(Skills!X21/10)*(Z1965/1000)/100,1)</f>
        <v/>
      </c>
      <c r="J1983" t="inlineStr"/>
      <c r="K1983" t="inlineStr"/>
      <c r="L1983" t="inlineStr"/>
      <c r="M1983" t="inlineStr"/>
      <c r="N1983" t="inlineStr"/>
      <c r="O1983">
        <f>(1-Summary!$B$11)*S1983+Summary!$B$11*U1983</f>
        <v/>
      </c>
      <c r="P1983">
        <f>IF(B2003=0,0,O1983/B2003)</f>
        <v/>
      </c>
      <c r="Q1983">
        <f>IFERROR(1/(IF(Inputs!$B$38="pvp",15,MAX(0.1,Skills!E21-IF(Skills!F21=TRUE,Inputs!$B$32,0)))*(1-IF(AND(ArtifactsInput!$M$27,Inputs!$B$4="Chapter Hunt"),CHOOSE(ArtifactsInput!$N$27+1,20,24,28,32,36,40),0)/100)),0)</f>
        <v/>
      </c>
      <c r="R1983" t="n">
        <v>0</v>
      </c>
      <c r="S1983" t="n">
        <v>0</v>
      </c>
      <c r="U1983" t="n">
        <v>0</v>
      </c>
    </row>
    <row r="1984">
      <c r="A1984">
        <f>Skills!A22</f>
        <v/>
      </c>
      <c r="B1984">
        <f>Skills!B22</f>
        <v/>
      </c>
      <c r="C1984">
        <f>TRUE</f>
        <v/>
      </c>
      <c r="D1984">
        <f>IF(Skills!C22=1,60+Inputs!$B$25+Inputs!$B$29,IF(Skills!C22=2,90+Inputs!$B$26+Inputs!$B$29,IF(Skills!C22=3,120+Inputs!$B$27+Inputs!$B$29,MAX(0,(Inputs!$B$3-100)*3)+Inputs!$B$28+Inputs!$B$29)))</f>
        <v/>
      </c>
      <c r="E1984">
        <f>INDEX(FactorTable!$B$2:$Y$301, MATCH(ROUND(MIN(300,MAX(1,D1984)),0), FactorTable!$A$2:$A$301,0), Skills!M22+1)</f>
        <v/>
      </c>
      <c r="F1984">
        <f>IF(Skills!N22=TRUE,(Skills!L22/10)*(E1984/1000),Skills!L22/10)+Skills!O22</f>
        <v/>
      </c>
      <c r="G1984">
        <f>Calc!G22</f>
        <v/>
      </c>
      <c r="H1984">
        <f>Calc!H22</f>
        <v/>
      </c>
      <c r="I1984">
        <f>IF(Skills!X22&lt;&gt;"",1+(Skills!X22/10)*(Z1965/1000)/100,1)</f>
        <v/>
      </c>
      <c r="J1984" t="inlineStr"/>
      <c r="K1984" t="inlineStr"/>
      <c r="L1984" t="inlineStr"/>
      <c r="M1984" t="inlineStr"/>
      <c r="N1984" t="inlineStr"/>
      <c r="O1984">
        <f>(1-Summary!$B$11)*S1984+Summary!$B$11*U1984</f>
        <v/>
      </c>
      <c r="P1984">
        <f>IF(B2003=0,0,O1984/B2003)</f>
        <v/>
      </c>
      <c r="Q1984">
        <f>IFERROR(1/(IF(Inputs!$B$38="pvp",15,MAX(0.1,Skills!E22-IF(Skills!F22=TRUE,Inputs!$B$32,0)))*(1-IF(AND(ArtifactsInput!$M$27,Inputs!$B$4="Chapter Hunt"),CHOOSE(ArtifactsInput!$N$27+1,20,24,28,32,36,40),0)/100)),0)</f>
        <v/>
      </c>
      <c r="R1984" t="n">
        <v>0</v>
      </c>
      <c r="S1984" t="n">
        <v>0</v>
      </c>
      <c r="U1984" t="n">
        <v>0</v>
      </c>
    </row>
    <row r="1985">
      <c r="A1985">
        <f>Skills!A23</f>
        <v/>
      </c>
      <c r="B1985">
        <f>Skills!B23</f>
        <v/>
      </c>
      <c r="C1985">
        <f>TRUE</f>
        <v/>
      </c>
      <c r="D1985">
        <f>IF(Skills!C23=1,60+Inputs!$B$25+Inputs!$B$29,IF(Skills!C23=2,90+Inputs!$B$26+Inputs!$B$29,IF(Skills!C23=3,120+Inputs!$B$27+Inputs!$B$29,MAX(0,(Inputs!$B$3-100)*3)+Inputs!$B$28+Inputs!$B$29)))</f>
        <v/>
      </c>
      <c r="E1985">
        <f>INDEX(FactorTable!$B$2:$Y$301, MATCH(ROUND(MIN(300,MAX(1,D1985)),0), FactorTable!$A$2:$A$301,0), Skills!M23+1)</f>
        <v/>
      </c>
      <c r="F1985">
        <f>IF(Skills!N23=TRUE,(Skills!L23/10)*(E1985/1000),Skills!L23/10)+Skills!O23</f>
        <v/>
      </c>
      <c r="G1985">
        <f>Calc!G23</f>
        <v/>
      </c>
      <c r="H1985">
        <f>Calc!H23</f>
        <v/>
      </c>
      <c r="I1985">
        <f>IF(Skills!X23&lt;&gt;"",1+(Skills!X23/10)*(Z1965/1000)/100,1)</f>
        <v/>
      </c>
      <c r="J1985" t="inlineStr"/>
      <c r="K1985" t="inlineStr"/>
      <c r="L1985" t="inlineStr"/>
      <c r="M1985" t="inlineStr"/>
      <c r="N1985" t="inlineStr"/>
      <c r="O1985">
        <f>(1-Summary!$B$11)*S1985+Summary!$B$11*U1985</f>
        <v/>
      </c>
      <c r="P1985">
        <f>IF(B2003=0,0,O1985/B2003)</f>
        <v/>
      </c>
      <c r="Q1985">
        <f>IFERROR(1/(IF(Inputs!$B$38="pvp",15,MAX(0.1,Skills!E23-IF(Skills!F23=TRUE,Inputs!$B$32,0)))*(1-IF(AND(ArtifactsInput!$M$27,Inputs!$B$4="Chapter Hunt"),CHOOSE(ArtifactsInput!$N$27+1,20,24,28,32,36,40),0)/100)),0)</f>
        <v/>
      </c>
      <c r="R1985" t="n">
        <v>0</v>
      </c>
      <c r="S1985" t="n">
        <v>0</v>
      </c>
      <c r="U1985" t="n">
        <v>0</v>
      </c>
    </row>
    <row r="1986">
      <c r="A1986">
        <f>Skills!A24</f>
        <v/>
      </c>
      <c r="B1986">
        <f>Skills!B24</f>
        <v/>
      </c>
      <c r="C1986">
        <f>Inputs!$B$3&gt;=115</f>
        <v/>
      </c>
      <c r="D1986">
        <f>IF(Skills!C24=1,60+Inputs!$B$25+Inputs!$B$29,IF(Skills!C24=2,90+Inputs!$B$26+Inputs!$B$29,IF(Skills!C24=3,120+Inputs!$B$27+Inputs!$B$29,MAX(0,(Inputs!$B$3-100)*3)+Inputs!$B$28+Inputs!$B$29)))</f>
        <v/>
      </c>
      <c r="E1986">
        <f>INDEX(FactorTable!$B$2:$Y$301, MATCH(ROUND(MIN(300,MAX(1,D1986)),0), FactorTable!$A$2:$A$301,0), Skills!M24+1)</f>
        <v/>
      </c>
      <c r="F1986">
        <f>IF(Skills!N24=TRUE,(Skills!L24/10)*(E1986/1000),Skills!L24/10)+Skills!O24</f>
        <v/>
      </c>
      <c r="G1986">
        <f>Calc!G24</f>
        <v/>
      </c>
      <c r="H1986">
        <f>Calc!H24</f>
        <v/>
      </c>
      <c r="I1986">
        <f>IF(Skills!X24&lt;&gt;"",1+(Skills!X24/10)*(Z1965/1000)/100,1)</f>
        <v/>
      </c>
      <c r="J1986">
        <f>((Inputs!$B$6*(1+Inputs!$B$7/100))+(((Inputs!$B$12*(1+Inputs!$B$13/100))-(Inputs!$B$12*(1+Inputs!$B$13/100)))+0.25*(Inputs!$B$14-Inputs!$B$14))*(1+Inputs!$B$7/100))*(F1986/100)</f>
        <v/>
      </c>
      <c r="K1986">
        <f>J1986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1986)</f>
        <v/>
      </c>
      <c r="L1986">
        <f>K1986*(MIN(Inputs!$B$22+(F1984-Calc!F22),(Inputs!$B$23+(IF(ArtifactsInput!$M$15,CHOOSE(ArtifactsInput!$N$15+1,25,30,35,40,45,50)/100*(Inputs!$B$11-Inputs!$B$11),0))))/100+(Inputs!$B$23+(IF(ArtifactsInput!$M$15,CHOOSE(ArtifactsInput!$N$15+1,25,30,35,40,45,50)/100*(Inputs!$B$11-Inputs!$B$11),0)))/100)/2</f>
        <v/>
      </c>
      <c r="M1986">
        <f>L1986*(1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86">
        <f>L1986*(1-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1986*(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86">
        <f>(1-Summary!$B$11)*S1986+Summary!$B$11*U1986</f>
        <v/>
      </c>
      <c r="P1986">
        <f>IF(B2003=0,0,O1986/B2003)</f>
        <v/>
      </c>
      <c r="Q1986">
        <f>IFERROR(1/(IF(Inputs!$B$38="pvp",15,MAX(0.1,Skills!E24-IF(Skills!F24=TRUE,Inputs!$B$32,0)))*(1-IF(AND(ArtifactsInput!$M$27,Inputs!$B$4="Chapter Hunt"),CHOOSE(ArtifactsInput!$N$27+1,20,24,28,32,36,40),0)/100)),0)</f>
        <v/>
      </c>
      <c r="R1986">
        <f>IF(AND(Inputs!$B$38&lt;&gt;"pvp",Inputs!$B$43&gt;0),IF(MAX(0,Inputs!$B$43-B2000)&lt;=0,0,(INT(MAX(0,Inputs!$B$43-B2000)/(IF(Inputs!$B$38="pvp",15,MAX(0.1,Skills!E24-IF(Skills!F24=TRUE,Inputs!$B$32,0)))*(1-IF(AND(ArtifactsInput!$M$27,Inputs!$B$4="Chapter Hunt"),CHOOSE(ArtifactsInput!$N$27+1,20,24,28,32,36,40),0)/100)))+1)),0)</f>
        <v/>
      </c>
      <c r="S1986">
        <f>IF(C1986,(H1986*N1986*IF(AND(Inputs!$B$38&lt;&gt;"pvp",Inputs!$B$43&gt;0),((Skills!G24*((R1986-1)*IF(Skills!H24&gt;0,Skills!I24/Skills!H24,1)+IF(Skills!H24&gt;0,MIN(Skills!I24,MAX(0,MAX(0,Inputs!$B$43-B2000)-((R1986-1)*(IF(Inputs!$B$38="pvp",15,MAX(0.1,Skills!E24-IF(Skills!F24=TRUE,Inputs!$B$32,0)))*(1-IF(AND(ArtifactsInput!$M$27,Inputs!$B$4="Chapter Hunt"),CHOOSE(ArtifactsInput!$N$27+1,20,24,28,32,36,40),0)/100)))))/Skills!H24,1)))/Inputs!$B$43),G1986*Q1986)*(1+IF(Inputs!$B$3&gt;=130,0.2*(Skills!I16/Skills!E15+IF(Inputs!$B$3&gt;=126,0.05*(B1998+Q1975+(H1976*B1999)/(1+Skills!H14*H1976*B1999)+Q1986)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1986*(1-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1986*(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1986*(1-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1986*(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86">
        <f>IF(C1986,(H1986*N1986*IF(AND(Inputs!$B$38&lt;&gt;"pvp",Inputs!$B$43&gt;0),((Skills!G24*((R1986-1)*IF(Skills!H24&gt;0,Skills!I24/Skills!H24,1)+IF(Skills!H24&gt;0,MIN(Skills!I24,MAX(0,MAX(0,Inputs!$B$43-B2000)-((R1986-1)*(IF(Inputs!$B$38="pvp",15,MAX(0.1,Skills!E24-IF(Skills!F24=TRUE,Inputs!$B$32,0)))*(1-IF(AND(ArtifactsInput!$M$27,Inputs!$B$4="Chapter Hunt"),CHOOSE(ArtifactsInput!$N$27+1,20,24,28,32,36,40),0)/100)))))/Skills!H24,1)))/Inputs!$B$43),G1986*Q1986)*(1+IF(Inputs!$B$3&gt;=130,0.2*(Skills!I16/Skills!E15+IF(Inputs!$B$3&gt;=126,0.05*(B1998+Q1975+(H1976*B1999)/(1+Skills!H14*H1976*B1999)+Q1986)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87">
      <c r="A1987">
        <f>Skills!A25</f>
        <v/>
      </c>
      <c r="B1987">
        <f>Skills!B25</f>
        <v/>
      </c>
      <c r="C1987">
        <f>Inputs!$B$3&gt;=117</f>
        <v/>
      </c>
      <c r="D1987">
        <f>IF(Skills!C25=1,60+Inputs!$B$25+Inputs!$B$29,IF(Skills!C25=2,90+Inputs!$B$26+Inputs!$B$29,IF(Skills!C25=3,120+Inputs!$B$27+Inputs!$B$29,MAX(0,(Inputs!$B$3-100)*3)+Inputs!$B$28+Inputs!$B$29)))</f>
        <v/>
      </c>
      <c r="E1987">
        <f>INDEX(FactorTable!$B$2:$Y$301, MATCH(ROUND(MIN(300,MAX(1,D1987)),0), FactorTable!$A$2:$A$301,0), Skills!M25+1)</f>
        <v/>
      </c>
      <c r="F1987">
        <f>IF(Skills!N25=TRUE,(Skills!L25/10)*(E1987/1000),Skills!L25/10)+Skills!O25</f>
        <v/>
      </c>
      <c r="G1987">
        <f>Calc!G25</f>
        <v/>
      </c>
      <c r="H1987">
        <f>Calc!H25</f>
        <v/>
      </c>
      <c r="I1987">
        <f>IF(Skills!X25&lt;&gt;"",1+(Skills!X25/10)*(Z1965/1000)/100,1)</f>
        <v/>
      </c>
      <c r="J1987" t="inlineStr"/>
      <c r="K1987" t="inlineStr"/>
      <c r="L1987" t="inlineStr"/>
      <c r="M1987" t="inlineStr"/>
      <c r="N1987" t="inlineStr"/>
      <c r="O1987">
        <f>(1-Summary!$B$11)*S1987+Summary!$B$11*U1987</f>
        <v/>
      </c>
      <c r="P1987">
        <f>IF(B2003=0,0,O1987/B2003)</f>
        <v/>
      </c>
      <c r="Q1987">
        <f>IFERROR(1/(IF(Inputs!$B$38="pvp",15,MAX(0.1,Skills!E25-IF(Skills!F25=TRUE,Inputs!$B$32,0)))*(1-IF(AND(ArtifactsInput!$M$27,Inputs!$B$4="Chapter Hunt"),CHOOSE(ArtifactsInput!$N$27+1,20,24,28,32,36,40),0)/100)),0)</f>
        <v/>
      </c>
      <c r="R1987" t="n">
        <v>0</v>
      </c>
      <c r="S1987" t="n">
        <v>0</v>
      </c>
      <c r="U1987" t="n">
        <v>0</v>
      </c>
    </row>
    <row r="1988">
      <c r="A1988">
        <f>Skills!A26</f>
        <v/>
      </c>
      <c r="B1988">
        <f>Skills!B26</f>
        <v/>
      </c>
      <c r="C1988">
        <f>Inputs!$B$3&gt;=120</f>
        <v/>
      </c>
      <c r="D1988">
        <f>IF(Skills!C26=1,60+Inputs!$B$25+Inputs!$B$29,IF(Skills!C26=2,90+Inputs!$B$26+Inputs!$B$29,IF(Skills!C26=3,120+Inputs!$B$27+Inputs!$B$29,MAX(0,(Inputs!$B$3-100)*3)+Inputs!$B$28+Inputs!$B$29)))</f>
        <v/>
      </c>
      <c r="E1988">
        <f>INDEX(FactorTable!$B$2:$Y$301, MATCH(ROUND(MIN(300,MAX(1,D1988)),0), FactorTable!$A$2:$A$301,0), Skills!M26+1)</f>
        <v/>
      </c>
      <c r="F1988">
        <f>IF(Skills!N26=TRUE,(Skills!L26/10)*(E1988/1000),Skills!L26/10)+Skills!O26</f>
        <v/>
      </c>
      <c r="G1988">
        <f>Calc!G26</f>
        <v/>
      </c>
      <c r="H1988">
        <f>Calc!H26</f>
        <v/>
      </c>
      <c r="I1988">
        <f>IF(Skills!X26&lt;&gt;"",1+(Skills!X26/10)*(Z1965/1000)/100,1)</f>
        <v/>
      </c>
      <c r="J1988" t="inlineStr"/>
      <c r="K1988" t="inlineStr"/>
      <c r="L1988" t="inlineStr"/>
      <c r="M1988" t="inlineStr"/>
      <c r="N1988" t="inlineStr"/>
      <c r="O1988">
        <f>(1-Summary!$B$11)*S1988+Summary!$B$11*U1988</f>
        <v/>
      </c>
      <c r="P1988">
        <f>IF(B2003=0,0,O1988/B2003)</f>
        <v/>
      </c>
      <c r="Q1988">
        <f>IFERROR(1/(IF(Inputs!$B$38="pvp",15,MAX(0.1,Skills!E26-IF(Skills!F26=TRUE,Inputs!$B$32,0)))*(1-IF(AND(ArtifactsInput!$M$27,Inputs!$B$4="Chapter Hunt"),CHOOSE(ArtifactsInput!$N$27+1,20,24,28,32,36,40),0)/100)),0)</f>
        <v/>
      </c>
      <c r="R1988" t="n">
        <v>0</v>
      </c>
      <c r="S1988" t="n">
        <v>0</v>
      </c>
      <c r="U1988" t="n">
        <v>0</v>
      </c>
    </row>
    <row r="1989">
      <c r="A1989">
        <f>Skills!A27</f>
        <v/>
      </c>
      <c r="B1989">
        <f>Skills!B27</f>
        <v/>
      </c>
      <c r="C1989">
        <f>Inputs!$B$3&gt;=125</f>
        <v/>
      </c>
      <c r="D1989">
        <f>IF(Skills!C27=1,60+Inputs!$B$25+Inputs!$B$29,IF(Skills!C27=2,90+Inputs!$B$26+Inputs!$B$29,IF(Skills!C27=3,120+Inputs!$B$27+Inputs!$B$29,MAX(0,(Inputs!$B$3-100)*3)+Inputs!$B$28+Inputs!$B$29)))</f>
        <v/>
      </c>
      <c r="E1989">
        <f>INDEX(FactorTable!$B$2:$Y$301, MATCH(ROUND(MIN(300,MAX(1,D1989)),0), FactorTable!$A$2:$A$301,0), Skills!M27+1)</f>
        <v/>
      </c>
      <c r="F1989">
        <f>IF(Skills!N27=TRUE,(Skills!L27/10)*(E1989/1000),Skills!L27/10)+Skills!O27</f>
        <v/>
      </c>
      <c r="G1989">
        <f>Calc!G27</f>
        <v/>
      </c>
      <c r="H1989">
        <f>Calc!H27</f>
        <v/>
      </c>
      <c r="I1989">
        <f>IF(Skills!X27&lt;&gt;"",1+(Skills!X27/10)*(Z1965/1000)/100,1)</f>
        <v/>
      </c>
      <c r="J1989" t="inlineStr"/>
      <c r="K1989" t="inlineStr"/>
      <c r="L1989" t="inlineStr"/>
      <c r="M1989" t="inlineStr"/>
      <c r="N1989" t="inlineStr"/>
      <c r="O1989">
        <f>(1-Summary!$B$11)*S1989+Summary!$B$11*U1989</f>
        <v/>
      </c>
      <c r="P1989">
        <f>IF(B2003=0,0,O1989/B2003)</f>
        <v/>
      </c>
      <c r="Q1989">
        <f>IFERROR(1/(IF(Inputs!$B$38="pvp",15,MAX(0.1,Skills!E27-IF(Skills!F27=TRUE,Inputs!$B$32,0)))*(1-IF(AND(ArtifactsInput!$M$27,Inputs!$B$4="Chapter Hunt"),CHOOSE(ArtifactsInput!$N$27+1,20,24,28,32,36,40),0)/100)),0)</f>
        <v/>
      </c>
      <c r="R1989" t="n">
        <v>0</v>
      </c>
      <c r="S1989" t="n">
        <v>0</v>
      </c>
      <c r="U1989" t="n">
        <v>0</v>
      </c>
    </row>
    <row r="1990">
      <c r="A1990">
        <f>Skills!A28</f>
        <v/>
      </c>
      <c r="B1990">
        <f>Skills!B28</f>
        <v/>
      </c>
      <c r="C1990">
        <f>Inputs!$B$3&gt;=118</f>
        <v/>
      </c>
      <c r="D1990">
        <f>IF(Skills!C28=1,60+Inputs!$B$25+Inputs!$B$29,IF(Skills!C28=2,90+Inputs!$B$26+Inputs!$B$29,IF(Skills!C28=3,120+Inputs!$B$27+Inputs!$B$29,MAX(0,(Inputs!$B$3-100)*3)+Inputs!$B$28+Inputs!$B$29)))</f>
        <v/>
      </c>
      <c r="E1990">
        <f>INDEX(FactorTable!$B$2:$Y$301, MATCH(ROUND(MIN(300,MAX(1,D1990)),0), FactorTable!$A$2:$A$301,0), Skills!M28+1)</f>
        <v/>
      </c>
      <c r="F1990">
        <f>IF(Skills!N28=TRUE,(Skills!L28/10)*(E1990/1000),Skills!L28/10)+Skills!O28</f>
        <v/>
      </c>
      <c r="G1990">
        <f>Calc!G28</f>
        <v/>
      </c>
      <c r="H1990">
        <f>Calc!H28</f>
        <v/>
      </c>
      <c r="I1990">
        <f>IF(Skills!X28&lt;&gt;"",1+(Skills!X28/10)*(Z1965/1000)/100,1)</f>
        <v/>
      </c>
      <c r="J1990">
        <f>((Inputs!$B$6*(1+Inputs!$B$7/100))+(((Inputs!$B$12*(1+Inputs!$B$13/100))-(Inputs!$B$12*(1+Inputs!$B$13/100)))+0.25*(Inputs!$B$14-Inputs!$B$14))*(1+Inputs!$B$7/100))*(F1990/100)</f>
        <v/>
      </c>
      <c r="K1990">
        <f>J1990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1985/100)*(1+IF(Inputs!$B$3&gt;=120,F1988,0)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1989*5,0)))/100)*(B1992*B1993*B1994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1990)</f>
        <v/>
      </c>
      <c r="L1990">
        <f>K1990*(MIN(Inputs!$B$22+(F1984-Calc!F22),(Inputs!$B$23+(IF(ArtifactsInput!$M$15,CHOOSE(ArtifactsInput!$N$15+1,25,30,35,40,45,50)/100*(Inputs!$B$11-Inputs!$B$11),0))))/100+(Inputs!$B$23+(IF(ArtifactsInput!$M$15,CHOOSE(ArtifactsInput!$N$15+1,25,30,35,40,45,50)/100*(Inputs!$B$11-Inputs!$B$11),0)))/100)/2</f>
        <v/>
      </c>
      <c r="M1990">
        <f>L1990*(1+(Inputs!$B$10+(F1983-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0">
        <f>L1990*(1-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1990*(MIN((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0">
        <f>(1-Summary!$B$11)*S1990+Summary!$B$11*U1990</f>
        <v/>
      </c>
      <c r="P1990">
        <f>IF(B2003=0,0,O1990/B2003)</f>
        <v/>
      </c>
      <c r="Q1990">
        <f>IFERROR(1/(IF(Inputs!$B$38="pvp",15,MAX(0.1,Skills!E28-IF(Skills!F28=TRUE,Inputs!$B$32,0)))*(1-IF(AND(ArtifactsInput!$M$27,Inputs!$B$4="Chapter Hunt"),CHOOSE(ArtifactsInput!$N$27+1,20,24,28,32,36,40),0)/100)),0)</f>
        <v/>
      </c>
      <c r="R1990">
        <f>IF(AND(Inputs!$B$38&lt;&gt;"pvp",Inputs!$B$43&gt;0),IF(MAX(0,Inputs!$B$43-B2000)&lt;=0,0,(INT(MAX(0,Inputs!$B$43-B2000)/(IF(Inputs!$B$38="pvp",15,MAX(0.1,Skills!E28-IF(Skills!F28=TRUE,Inputs!$B$32,0)))*(1-IF(AND(ArtifactsInput!$M$27,Inputs!$B$4="Chapter Hunt"),CHOOSE(ArtifactsInput!$N$27+1,20,24,28,32,36,40),0)/100)))+1)),0)</f>
        <v/>
      </c>
      <c r="S1990">
        <f>IF(C1990,(H1990*N1990*IF(AND(Inputs!$B$38&lt;&gt;"pvp",Inputs!$B$43&gt;0),((Skills!G28*((R1990-1)*IF(Skills!H28&gt;0,Skills!I28/Skills!H28,1)+IF(Skills!H28&gt;0,MIN(Skills!I28,MAX(0,MAX(0,Inputs!$B$43-B2000)-((R1990-1)*(IF(Inputs!$B$38="pvp",15,MAX(0.1,Skills!E28-IF(Skills!F28=TRUE,Inputs!$B$32,0)))*(1-IF(AND(ArtifactsInput!$M$27,Inputs!$B$4="Chapter Hunt"),CHOOSE(ArtifactsInput!$N$27+1,20,24,28,32,36,40),0)/100)))))/Skills!H28,1)))/Inputs!$B$43),G1990*Q1990)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1990*(1-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1990*(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1990*(1-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1990*(MIN(100,(Inputs!$B$9+(F1982-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90">
        <f>IF(C1990,(H1990*N1990*IF(AND(Inputs!$B$38&lt;&gt;"pvp",Inputs!$B$43&gt;0),((Skills!G28*((R1990-1)*IF(Skills!H28&gt;0,Skills!I28/Skills!H28,1)+IF(Skills!H28&gt;0,MIN(Skills!I28,MAX(0,MAX(0,Inputs!$B$43-B2000)-((R1990-1)*(IF(Inputs!$B$38="pvp",15,MAX(0.1,Skills!E28-IF(Skills!F28=TRUE,Inputs!$B$32,0)))*(1-IF(AND(ArtifactsInput!$M$27,Inputs!$B$4="Chapter Hunt"),CHOOSE(ArtifactsInput!$N$27+1,20,24,28,32,36,40),0)/100)))))/Skills!H28,1)))/Inputs!$B$43),G1990*Q1990)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2">
      <c r="A1992" t="inlineStr">
        <is>
          <t>Burning Magic Multiplier</t>
        </is>
      </c>
      <c r="B1992">
        <f>1+(F1973*Skills!Z11)/100</f>
        <v/>
      </c>
    </row>
    <row r="1993">
      <c r="A1993" t="inlineStr">
        <is>
          <t>Elemental Decrease Multiplier (always-on)</t>
        </is>
      </c>
      <c r="B1993">
        <f>1+(F1974+(IF(AND(ArtifactsInput!$M$35,Inputs!$B$4&lt;&gt;"Chapter Hunt"),CHOOSE(ArtifactsInput!$N$35+1,15,18,21,24,27,30)*(1-EXP(-(0.2*B1996)*5)),0)+IF(AND(ArtifactsInput!$M$22,Inputs!$B$4&lt;&gt;"Chapter Hunt"),CHOOSE(ArtifactsInput!$N$22+1,10,12,14,16,18,20)*((0*(((0.15*B1996*5))^0/1)+1*(((0.15*B1996*5))^1/1)+2*(((0.15*B1996*5))^2/2)+3*(((0.15*B1996*5))^3/6)+4*(((0.15*B1996*5))^4/24)+5*(((0.15*B1996*5))^5/120))/((((0.15*B1996*5))^0/1)+(((0.15*B1996*5))^1/1)+(((0.15*B1996*5))^2/2)+(((0.15*B1996*5))^3/6)+(((0.15*B1996*5))^4/24)+(((0.15*B1996*5))^5/120))),0)))/100</f>
        <v/>
      </c>
    </row>
    <row r="1994">
      <c r="A1994" t="inlineStr">
        <is>
          <t>Average Buff Multiplier (Magic Guard + Meditation + Artifact Attack%, summed; then Infinity)</t>
        </is>
      </c>
      <c r="B1994">
        <f>(1+(F1968*IF(AND(Inputs!$B$38&lt;&gt;"pvp",Inputs!$B$43&gt;0),(((R1968-1)*(Skills!T6*(1+((Inputs!$B$34+(ArtifactsInput!$M$7-ArtifactsInput!$M$7)*CHOOSE(ArtifactsInput!$N$7+1,6,7.2,8.4,9.6,10.8,12)))/100))+MIN((Skills!T6*(1+((Inputs!$B$34+(ArtifactsInput!$M$7-ArtifactsInput!$M$7)*CHOOSE(ArtifactsInput!$N$7+1,6,7.2,8.4,9.6,10.8,12)))/100)),MAX(0,Inputs!$B$43-((R1968-1)*Skills!E6))))/Inputs!$B$43),IF(Inputs!$B$38="pvp",MIN((Skills!T6*(1+((Inputs!$B$34+(ArtifactsInput!$M$7-ArtifactsInput!$M$7)*CHOOSE(ArtifactsInput!$N$7+1,6,7.2,8.4,9.6,10.8,12)))/100)),15)/15,(Skills!T6*(1+((Inputs!$B$34+(ArtifactsInput!$M$7-ArtifactsInput!$M$7)*CHOOSE(ArtifactsInput!$N$7+1,6,7.2,8.4,9.6,10.8,12)))/100))/Skills!E6))+F1979*IF(AND(Inputs!$B$38&lt;&gt;"pvp",Inputs!$B$43&gt;0),(((R1979-1)*(Skills!T17*(1+((Inputs!$B$34+(ArtifactsInput!$M$7-ArtifactsInput!$M$7)*CHOOSE(ArtifactsInput!$N$7+1,6,7.2,8.4,9.6,10.8,12)))/100))+MIN((Skills!T17*(1+((Inputs!$B$34+(ArtifactsInput!$M$7-ArtifactsInput!$M$7)*CHOOSE(ArtifactsInput!$N$7+1,6,7.2,8.4,9.6,10.8,12)))/100)),MAX(0,Inputs!$B$43-((R1979-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1981=TRUE,(1+F1981*IF(AND(Inputs!$B$38&lt;&gt;"pvp",Inputs!$B$43&gt;0),(((R1981-1)*(Skills!T19*(1+((Inputs!$B$34+(ArtifactsInput!$M$7-ArtifactsInput!$M$7)*CHOOSE(ArtifactsInput!$N$7+1,6,7.2,8.4,9.6,10.8,12)))/100))+MIN((Skills!T19*(1+((Inputs!$B$34+(ArtifactsInput!$M$7-ArtifactsInput!$M$7)*CHOOSE(ArtifactsInput!$N$7+1,6,7.2,8.4,9.6,10.8,12)))/100)),MAX(0,Inputs!$B$43-((R1981-1)*Skills!E19))))/Inputs!$B$43),IF(Inputs!$B$38="pvp",MIN((Skills!T19*(1+((Inputs!$B$34+(ArtifactsInput!$M$7-ArtifactsInput!$M$7)*CHOOSE(ArtifactsInput!$N$7+1,6,7.2,8.4,9.6,10.8,12)))/100)),15)/15,(Skills!T19*(1+((Inputs!$B$34+(ArtifactsInput!$M$7-ArtifactsInput!$M$7)*CHOOSE(ArtifactsInput!$N$7+1,6,7.2,8.4,9.6,10.8,12)))/100))/Skills!E19))/100),1)</f>
        <v/>
      </c>
    </row>
    <row r="1995">
      <c r="A1995" t="inlineStr">
        <is>
          <t>Attack Speed Buff Bonus % (Nimble Feet, averaged)</t>
        </is>
      </c>
      <c r="B1995">
        <f>F1980*IF(AND(Inputs!$B$38&lt;&gt;"pvp",Inputs!$B$43&gt;0),(((R1980-1)*(Skills!T18*(1+((Inputs!$B$34+(ArtifactsInput!$M$7-ArtifactsInput!$M$7)*CHOOSE(ArtifactsInput!$N$7+1,6,7.2,8.4,9.6,10.8,12)))/100))+MIN((Skills!T18*(1+((Inputs!$B$34+(ArtifactsInput!$M$7-ArtifactsInput!$M$7)*CHOOSE(ArtifactsInput!$N$7+1,6,7.2,8.4,9.6,10.8,12)))/100)),MAX(0,Inputs!$B$43-((R1980-1)*Skills!E18))))/Inputs!$B$43),IF(Inputs!$B$38="pvp",MIN((Skills!T18*(1+((Inputs!$B$34+(ArtifactsInput!$M$7-ArtifactsInput!$M$7)*CHOOSE(ArtifactsInput!$N$7+1,6,7.2,8.4,9.6,10.8,12)))/100)),15)/15,(Skills!T18*(1+((Inputs!$B$34+(ArtifactsInput!$M$7-ArtifactsInput!$M$7)*CHOOSE(ArtifactsInput!$N$7+1,6,7.2,8.4,9.6,10.8,12)))/100))/Skills!E18))</f>
        <v/>
      </c>
    </row>
    <row r="1996">
      <c r="A1996" t="inlineStr">
        <is>
          <t>Actions Per Second</t>
        </is>
      </c>
      <c r="B1996">
        <f>1+MIN(150,150*(1-(1-(Inputs!$B$11+(ArtifactsInput!$M$15-ArtifactsInput!$M$15)*CHOOSE(ArtifactsInput!$N$15+1,8,9.6,11.2,12.8,14.4,16))/150)*(1-B1995/150)))/100</f>
        <v/>
      </c>
    </row>
    <row r="1997">
      <c r="A1997" t="inlineStr">
        <is>
          <t>Skill + Buff Cast Rate</t>
        </is>
      </c>
      <c r="B1997">
        <f>IF(AND(Inputs!$B$38&lt;&gt;"pvp",Inputs!$B$43&gt;0),SUMPRODUCT((Skills!F2:F28=TRUE)*(C1964:C1990=TRUE)*R1964:R1990)/Inputs!$B$43,SUMPRODUCT((Skills!F2:F28=TRUE)*(C1964:C1990=TRUE)*Q1964:Q1990))</f>
        <v/>
      </c>
    </row>
    <row r="1998">
      <c r="A1998" t="inlineStr">
        <is>
          <t>Basic Attacks Per Second</t>
        </is>
      </c>
      <c r="B1998">
        <f>MAX(0,B1996-B1997)</f>
        <v/>
      </c>
    </row>
    <row r="1999">
      <c r="A1999" t="inlineStr">
        <is>
          <t>Meteor Proc — combined trigger cast rate</t>
        </is>
      </c>
      <c r="B1999">
        <f>IF(AND(Inputs!$B$38&lt;&gt;"pvp",Inputs!$B$43&gt;0),SUMPRODUCT((Skills!V2:V28=TRUE)*(C1964:C1990=TRUE)*R1964:R1990*Skills!W2:W28)/Inputs!$B$43,SUMPRODUCT((Skills!V2:V28=TRUE)*(C1964:C1990=TRUE)*Q1964:Q1990*Skills!W2:W28))+B1998</f>
        <v/>
      </c>
    </row>
    <row r="2000">
      <c r="A2000" t="inlineStr">
        <is>
          <t>Buff-Casting Startup Delay (s, fixed-duration only)</t>
        </is>
      </c>
      <c r="B2000">
        <f>IF(AND(Inputs!$B$38&lt;&gt;"pvp",Inputs!$B$43&gt;0),SUMPRODUCT((Skills!T2:T28&gt;0)*(Skills!F2:F28=TRUE)*(C1964:C1990=TRUE))/B1996,0)</f>
        <v/>
      </c>
    </row>
    <row r="2001">
      <c r="A2001" t="inlineStr">
        <is>
          <t>Boss-Only Total DPS (this block's swept value)</t>
        </is>
      </c>
      <c r="B2001">
        <f>SUM(S1964:S1990)</f>
        <v/>
      </c>
    </row>
    <row r="2002">
      <c r="A2002" t="inlineStr">
        <is>
          <t>Normal-Only Total DPS (this block's swept value)</t>
        </is>
      </c>
      <c r="B2002">
        <f>SUM(U1964:U1990)</f>
        <v/>
      </c>
    </row>
    <row r="2003">
      <c r="A2003" s="6" t="inlineStr">
        <is>
          <t>TOTAL DPS</t>
        </is>
      </c>
      <c r="B2003" s="6">
        <f>SUM(O1964:O1990)</f>
        <v/>
      </c>
    </row>
    <row r="2006">
      <c r="A2006" s="6" t="inlineStr">
        <is>
          <t>Stat: Fire Flower (Equip)</t>
        </is>
      </c>
    </row>
    <row r="2007">
      <c r="A2007" s="5" t="inlineStr">
        <is>
          <t>Key</t>
        </is>
      </c>
      <c r="B2007" s="5" t="inlineStr">
        <is>
          <t>Name</t>
        </is>
      </c>
      <c r="C2007" s="5" t="inlineStr">
        <is>
          <t>Unlocked</t>
        </is>
      </c>
      <c r="D2007" s="5" t="inlineStr">
        <is>
          <t>InputLevel</t>
        </is>
      </c>
      <c r="E2007" s="5" t="inlineStr">
        <is>
          <t>Factor</t>
        </is>
      </c>
      <c r="F2007" s="5" t="inlineStr">
        <is>
          <t>CoefficientPercent</t>
        </is>
      </c>
      <c r="G2007" s="5" t="inlineStr">
        <is>
          <t>EffectiveHits</t>
        </is>
      </c>
      <c r="H2007" s="5" t="inlineStr">
        <is>
          <t>ProcProbability</t>
        </is>
      </c>
      <c r="I2007" s="5" t="inlineStr">
        <is>
          <t>MapleHeroMultiplier</t>
        </is>
      </c>
      <c r="J2007" s="5" t="inlineStr">
        <is>
          <t>BaseDamage</t>
        </is>
      </c>
      <c r="K2007" s="5" t="inlineStr">
        <is>
          <t>BaseHitDamage</t>
        </is>
      </c>
      <c r="L2007" s="5" t="inlineStr">
        <is>
          <t>NonCritAvg</t>
        </is>
      </c>
      <c r="M2007" s="5" t="inlineStr">
        <is>
          <t>CritAvg</t>
        </is>
      </c>
      <c r="N2007" s="5" t="inlineStr">
        <is>
          <t>ExpectedDamage(perHit)</t>
        </is>
      </c>
      <c r="O2007" s="5" t="inlineStr">
        <is>
          <t>DPS</t>
        </is>
      </c>
      <c r="P2007" s="5" t="inlineStr">
        <is>
          <t>% of Total</t>
        </is>
      </c>
      <c r="R2007" t="inlineStr">
        <is>
          <t>helpers</t>
        </is>
      </c>
    </row>
    <row r="2008">
      <c r="A2008">
        <f>Skills!A2</f>
        <v/>
      </c>
      <c r="B2008">
        <f>Skills!B2</f>
        <v/>
      </c>
      <c r="C2008">
        <f>TRUE</f>
        <v/>
      </c>
      <c r="D2008" t="inlineStr"/>
      <c r="E2008" t="inlineStr"/>
      <c r="F2008">
        <f>T2010+Skills!O2</f>
        <v/>
      </c>
      <c r="G2008">
        <f>Calc!G2</f>
        <v/>
      </c>
      <c r="H2008">
        <f>Calc!H2</f>
        <v/>
      </c>
      <c r="I2008">
        <f>IF(Skills!X2&lt;&gt;"",1+(Skills!X2/10)*(Z2009/1000)/100,1)</f>
        <v/>
      </c>
      <c r="J2008">
        <f>((Inputs!$B$6*(1+Inputs!$B$7/100))+(((Inputs!$B$12*(1+Inputs!$B$13/100))-(Inputs!$B$12*(1+Inputs!$B$13/100)))+0.25*(Inputs!$B$14-Inputs!$B$14))*(1+Inputs!$B$7/100))*(F2008/100)</f>
        <v/>
      </c>
      <c r="K2008">
        <f>J2008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2008)</f>
        <v/>
      </c>
      <c r="L2008">
        <f>K2008*(MIN(Inputs!$B$22+(F2028-Calc!F22),(Inputs!$B$23+(IF(ArtifactsInput!$M$15,CHOOSE(ArtifactsInput!$N$15+1,25,30,35,40,45,50)/100*(Inputs!$B$11-Inputs!$B$11),0))))/100+(Inputs!$B$23+(IF(ArtifactsInput!$M$15,CHOOSE(ArtifactsInput!$N$15+1,25,30,35,40,45,50)/100*(Inputs!$B$11-Inputs!$B$11),0)))/100)/2</f>
        <v/>
      </c>
      <c r="M2008">
        <f>L2008*(1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8">
        <f>L2008*(1-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2008*(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8">
        <f>(1-Summary!$B$11)*S2008+Summary!$B$11*U2008</f>
        <v/>
      </c>
      <c r="P2008">
        <f>IF(B2047=0,0,O2008/B2047)</f>
        <v/>
      </c>
      <c r="Q2008">
        <f>IFERROR(1/(IF(Inputs!$B$38="pvp",15,MAX(0.1,Skills!E2-IF(Skills!F2=TRUE,Inputs!$B$32,0)))*(1-IF(AND(ArtifactsInput!$M$27,Inputs!$B$4="Chapter Hunt"),CHOOSE(ArtifactsInput!$N$27+1,20,24,28,32,36,40),0)/100)),0)</f>
        <v/>
      </c>
      <c r="R2008" t="n">
        <v>0</v>
      </c>
      <c r="S2008">
        <f>(Skills!G2*N2008*B2042)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2008*(1-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2008*(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2008*(1-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2008*(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008">
        <f>MAX(0,(Inputs!$B$3-100)*3)+Inputs!$B$28+Inputs!$B$29</f>
        <v/>
      </c>
      <c r="U2008">
        <f>(Skills!G2*N2008*B2042)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008">
        <f>MAX(0,(Inputs!$B$3-100)*3)+Inputs!$B$28+Inputs!$B$29</f>
        <v/>
      </c>
    </row>
    <row r="2009">
      <c r="A2009">
        <f>Skills!A3</f>
        <v/>
      </c>
      <c r="B2009">
        <f>Skills!B3</f>
        <v/>
      </c>
      <c r="C2009">
        <f>TRUE</f>
        <v/>
      </c>
      <c r="D2009">
        <f>IF(Skills!C3=1,60+Inputs!$B$25+Inputs!$B$29,IF(Skills!C3=2,90+Inputs!$B$26+Inputs!$B$29,IF(Skills!C3=3,120+Inputs!$B$27+Inputs!$B$29,MAX(0,(Inputs!$B$3-100)*3)+Inputs!$B$28+Inputs!$B$29)))</f>
        <v/>
      </c>
      <c r="E2009">
        <f>INDEX(FactorTable!$B$2:$Y$301, MATCH(ROUND(MIN(300,MAX(1,D2009)),0), FactorTable!$A$2:$A$301,0), Skills!M3+1)</f>
        <v/>
      </c>
      <c r="F2009">
        <f>IF(Skills!N3=TRUE,(Skills!L3/10)*(E2009/1000),Skills!L3/10)+Skills!O3</f>
        <v/>
      </c>
      <c r="G2009">
        <f>Calc!G3</f>
        <v/>
      </c>
      <c r="H2009">
        <f>Calc!H3</f>
        <v/>
      </c>
      <c r="I2009">
        <f>IF(Skills!X3&lt;&gt;"",1+(Skills!X3/10)*(Z2009/1000)/100,1)</f>
        <v/>
      </c>
      <c r="J2009">
        <f>((Inputs!$B$6*(1+Inputs!$B$7/100))+(((Inputs!$B$12*(1+Inputs!$B$13/100))-(Inputs!$B$12*(1+Inputs!$B$13/100)))+0.25*(Inputs!$B$14-Inputs!$B$14))*(1+Inputs!$B$7/100))*(F2009/100)</f>
        <v/>
      </c>
      <c r="K2009">
        <f>J2009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2009)</f>
        <v/>
      </c>
      <c r="L2009">
        <f>K2009*(MIN(Inputs!$B$22+(F2028-Calc!F22),(Inputs!$B$23+(IF(ArtifactsInput!$M$15,CHOOSE(ArtifactsInput!$N$15+1,25,30,35,40,45,50)/100*(Inputs!$B$11-Inputs!$B$11),0))))/100+(Inputs!$B$23+(IF(ArtifactsInput!$M$15,CHOOSE(ArtifactsInput!$N$15+1,25,30,35,40,45,50)/100*(Inputs!$B$11-Inputs!$B$11),0)))/100)/2</f>
        <v/>
      </c>
      <c r="M2009">
        <f>L2009*(1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9">
        <f>L2009*(1-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2009*(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9">
        <f>(1-Summary!$B$11)*S2009+Summary!$B$11*U2009</f>
        <v/>
      </c>
      <c r="P2009">
        <f>IF(B2047=0,0,O2009/B2047)</f>
        <v/>
      </c>
      <c r="Q2009">
        <f>IFERROR(1/(IF(Inputs!$B$38="pvp",15,MAX(0.1,Skills!E3-IF(Skills!F3=TRUE,Inputs!$B$32,0)))*(1-IF(AND(ArtifactsInput!$M$27,Inputs!$B$4="Chapter Hunt"),CHOOSE(ArtifactsInput!$N$27+1,20,24,28,32,36,40),0)/100)),0)</f>
        <v/>
      </c>
      <c r="R2009">
        <f>IF(AND(Inputs!$B$38&lt;&gt;"pvp",Inputs!$B$43&gt;0),IF(MAX(0,Inputs!$B$43-B2044)&lt;=0,0,(INT(MAX(0,Inputs!$B$43-B2044)/(IF(Inputs!$B$38="pvp",15,MAX(0.1,Skills!E3-IF(Skills!F3=TRUE,Inputs!$B$32,0)))*(1-IF(AND(ArtifactsInput!$M$27,Inputs!$B$4="Chapter Hunt"),CHOOSE(ArtifactsInput!$N$27+1,20,24,28,32,36,40),0)/100)))+1)),0)</f>
        <v/>
      </c>
      <c r="S2009">
        <f>IF(C2009,(H2009*N2009*IF(AND(Inputs!$B$38&lt;&gt;"pvp",Inputs!$B$43&gt;0),((Skills!G3*((R2009-1)*IF(Skills!H3&gt;0,Skills!I3/Skills!H3,1)+IF(Skills!H3&gt;0,MIN(Skills!I3,MAX(0,MAX(0,Inputs!$B$43-B2044)-((R2009-1)*(IF(Inputs!$B$38="pvp",15,MAX(0.1,Skills!E3-IF(Skills!F3=TRUE,Inputs!$B$32,0)))*(1-IF(AND(ArtifactsInput!$M$27,Inputs!$B$4="Chapter Hunt"),CHOOSE(ArtifactsInput!$N$27+1,20,24,28,32,36,40),0)/100)))))/Skills!H3,1)))/Inputs!$B$43),G2009*Q2009)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2009*(1-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2009*(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2009*(1-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2009*(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09">
        <f>INDEX(FactorTable!$B$2:$Y$301, MATCH(ROUND(MIN(300,MAX(1,T2008)),0), FactorTable!$A$2:$A$301,0), 22)</f>
        <v/>
      </c>
      <c r="U2009">
        <f>IF(C2009,(H2009*N2009*IF(AND(Inputs!$B$38&lt;&gt;"pvp",Inputs!$B$43&gt;0),((Skills!G3*((R2009-1)*IF(Skills!H3&gt;0,Skills!I3/Skills!H3,1)+IF(Skills!H3&gt;0,MIN(Skills!I3,MAX(0,MAX(0,Inputs!$B$43-B2044)-((R2009-1)*(IF(Inputs!$B$38="pvp",15,MAX(0.1,Skills!E3-IF(Skills!F3=TRUE,Inputs!$B$32,0)))*(1-IF(AND(ArtifactsInput!$M$27,Inputs!$B$4="Chapter Hunt"),CHOOSE(ArtifactsInput!$N$27+1,20,24,28,32,36,40),0)/100)))))/Skills!H3,1)))/Inputs!$B$43),G2009*Q2009)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009">
        <f>INDEX(FactorTable!$B$2:$Y$301, MATCH(ROUND(MIN(300,MAX(1,Z2008)),0), FactorTable!$A$2:$A$301,0), 24)</f>
        <v/>
      </c>
    </row>
    <row r="2010">
      <c r="A2010">
        <f>Skills!A4</f>
        <v/>
      </c>
      <c r="B2010">
        <f>Skills!B4</f>
        <v/>
      </c>
      <c r="C2010">
        <f>TRUE</f>
        <v/>
      </c>
      <c r="D2010">
        <f>IF(Skills!C4=1,60+Inputs!$B$25+Inputs!$B$29,IF(Skills!C4=2,90+Inputs!$B$26+Inputs!$B$29,IF(Skills!C4=3,120+Inputs!$B$27+Inputs!$B$29,MAX(0,(Inputs!$B$3-100)*3)+Inputs!$B$28+Inputs!$B$29)))</f>
        <v/>
      </c>
      <c r="E2010">
        <f>INDEX(FactorTable!$B$2:$Y$301, MATCH(ROUND(MIN(300,MAX(1,D2010)),0), FactorTable!$A$2:$A$301,0), Skills!M4+1)</f>
        <v/>
      </c>
      <c r="F2010">
        <f>IF(Skills!N4=TRUE,(Skills!L4/10)*(E2010/1000),Skills!L4/10)+Skills!O4</f>
        <v/>
      </c>
      <c r="G2010">
        <f>Calc!G4</f>
        <v/>
      </c>
      <c r="H2010">
        <f>Calc!H4</f>
        <v/>
      </c>
      <c r="I2010">
        <f>IF(Skills!X4&lt;&gt;"",1+(Skills!X4/10)*(Z2009/1000)/100,1)</f>
        <v/>
      </c>
      <c r="J2010">
        <f>((Inputs!$B$6*(1+Inputs!$B$7/100))+(((Inputs!$B$12*(1+Inputs!$B$13/100))-(Inputs!$B$12*(1+Inputs!$B$13/100)))+0.25*(Inputs!$B$14-Inputs!$B$14))*(1+Inputs!$B$7/100))*(F2010/100)</f>
        <v/>
      </c>
      <c r="K2010">
        <f>J2010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2010)</f>
        <v/>
      </c>
      <c r="L2010">
        <f>K2010*(MIN(Inputs!$B$22+(F2028-Calc!F22),(Inputs!$B$23+(IF(ArtifactsInput!$M$15,CHOOSE(ArtifactsInput!$N$15+1,25,30,35,40,45,50)/100*(Inputs!$B$11-Inputs!$B$11),0))))/100+(Inputs!$B$23+(IF(ArtifactsInput!$M$15,CHOOSE(ArtifactsInput!$N$15+1,25,30,35,40,45,50)/100*(Inputs!$B$11-Inputs!$B$11),0)))/100)/2</f>
        <v/>
      </c>
      <c r="M2010">
        <f>L2010*(1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0">
        <f>L2010*(1-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2010*(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0">
        <f>(1-Summary!$B$11)*S2010+Summary!$B$11*U2010</f>
        <v/>
      </c>
      <c r="P2010">
        <f>IF(B2047=0,0,O2010/B2047)</f>
        <v/>
      </c>
      <c r="Q2010">
        <f>IFERROR(1/(IF(Inputs!$B$38="pvp",15,MAX(0.1,Skills!E4-IF(Skills!F4=TRUE,Inputs!$B$32,0)))*(1-IF(AND(ArtifactsInput!$M$27,Inputs!$B$4="Chapter Hunt"),CHOOSE(ArtifactsInput!$N$27+1,20,24,28,32,36,40),0)/100)),0)</f>
        <v/>
      </c>
      <c r="R2010">
        <f>IF(AND(Inputs!$B$38&lt;&gt;"pvp",Inputs!$B$43&gt;0),IF(MAX(0,Inputs!$B$43-B2044)&lt;=0,0,(INT(MAX(0,Inputs!$B$43-B2044)/(IF(Inputs!$B$38="pvp",15,MAX(0.1,Skills!E4-IF(Skills!F4=TRUE,Inputs!$B$32,0)))*(1-IF(AND(ArtifactsInput!$M$27,Inputs!$B$4="Chapter Hunt"),CHOOSE(ArtifactsInput!$N$27+1,20,24,28,32,36,40),0)/100)))+1)),0)</f>
        <v/>
      </c>
      <c r="S2010">
        <f>IF(C2010,(H2010*N2010*IF(AND(Inputs!$B$38&lt;&gt;"pvp",Inputs!$B$43&gt;0),((Skills!G4*((R2010-1)*IF(Skills!H4&gt;0,Skills!I4/Skills!H4,1)+IF(Skills!H4&gt;0,MIN(Skills!I4,MAX(0,MAX(0,Inputs!$B$43-B2044)-((R2010-1)*(IF(Inputs!$B$38="pvp",15,MAX(0.1,Skills!E4-IF(Skills!F4=TRUE,Inputs!$B$32,0)))*(1-IF(AND(ArtifactsInput!$M$27,Inputs!$B$4="Chapter Hunt"),CHOOSE(ArtifactsInput!$N$27+1,20,24,28,32,36,40),0)/100)))))/Skills!H4,1)))/Inputs!$B$43),G2010*Q2010)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2010*(1-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2010*(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2010*(1-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2010*(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10">
        <f>290*T2009/1000</f>
        <v/>
      </c>
      <c r="U2010">
        <f>IF(C2010,(H2010*N2010*IF(AND(Inputs!$B$38&lt;&gt;"pvp",Inputs!$B$43&gt;0),((Skills!G4*((R2010-1)*IF(Skills!H4&gt;0,Skills!I4/Skills!H4,1)+IF(Skills!H4&gt;0,MIN(Skills!I4,MAX(0,MAX(0,Inputs!$B$43-B2044)-((R2010-1)*(IF(Inputs!$B$38="pvp",15,MAX(0.1,Skills!E4-IF(Skills!F4=TRUE,Inputs!$B$32,0)))*(1-IF(AND(ArtifactsInput!$M$27,Inputs!$B$4="Chapter Hunt"),CHOOSE(ArtifactsInput!$N$27+1,20,24,28,32,36,40),0)/100)))))/Skills!H4,1)))/Inputs!$B$43),G2010*Q2010)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1">
      <c r="A2011">
        <f>Skills!A5</f>
        <v/>
      </c>
      <c r="B2011">
        <f>Skills!B5</f>
        <v/>
      </c>
      <c r="C2011">
        <f>TRUE</f>
        <v/>
      </c>
      <c r="D2011">
        <f>IF(Skills!C5=1,60+Inputs!$B$25+Inputs!$B$29,IF(Skills!C5=2,90+Inputs!$B$26+Inputs!$B$29,IF(Skills!C5=3,120+Inputs!$B$27+Inputs!$B$29,MAX(0,(Inputs!$B$3-100)*3)+Inputs!$B$28+Inputs!$B$29)))</f>
        <v/>
      </c>
      <c r="E2011">
        <f>INDEX(FactorTable!$B$2:$Y$301, MATCH(ROUND(MIN(300,MAX(1,D2011)),0), FactorTable!$A$2:$A$301,0), Skills!M5+1)</f>
        <v/>
      </c>
      <c r="F2011">
        <f>IF(Skills!N5=TRUE,(Skills!L5/10)*(E2011/1000),Skills!L5/10)+Skills!O5</f>
        <v/>
      </c>
      <c r="G2011">
        <f>Calc!G5</f>
        <v/>
      </c>
      <c r="H2011">
        <f>Calc!H5</f>
        <v/>
      </c>
      <c r="I2011">
        <f>IF(Skills!X5&lt;&gt;"",1+(Skills!X5/10)*(Z2009/1000)/100,1)</f>
        <v/>
      </c>
      <c r="J2011">
        <f>((Inputs!$B$6*(1+Inputs!$B$7/100))+(((Inputs!$B$12*(1+Inputs!$B$13/100))-(Inputs!$B$12*(1+Inputs!$B$13/100)))+0.25*(Inputs!$B$14-Inputs!$B$14))*(1+Inputs!$B$7/100))*(F2011/100)</f>
        <v/>
      </c>
      <c r="K2011">
        <f>J2011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2011)</f>
        <v/>
      </c>
      <c r="L2011">
        <f>K2011*(MIN(Inputs!$B$22+(F2028-Calc!F22),(Inputs!$B$23+(IF(ArtifactsInput!$M$15,CHOOSE(ArtifactsInput!$N$15+1,25,30,35,40,45,50)/100*(Inputs!$B$11-Inputs!$B$11),0))))/100+(Inputs!$B$23+(IF(ArtifactsInput!$M$15,CHOOSE(ArtifactsInput!$N$15+1,25,30,35,40,45,50)/100*(Inputs!$B$11-Inputs!$B$11),0)))/100)/2</f>
        <v/>
      </c>
      <c r="M2011">
        <f>L2011*(1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1">
        <f>L2011*(1-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1">
        <f>(1-Summary!$B$11)*S2011+Summary!$B$11*U2011</f>
        <v/>
      </c>
      <c r="P2011">
        <f>IF(B2047=0,0,O2011/B2047)</f>
        <v/>
      </c>
      <c r="Q2011">
        <f>IFERROR(1/(IF(Inputs!$B$38="pvp",15,MAX(0.1,Skills!E5-IF(Skills!F5=TRUE,Inputs!$B$32,0)))*(1-IF(AND(ArtifactsInput!$M$27,Inputs!$B$4="Chapter Hunt"),CHOOSE(ArtifactsInput!$N$27+1,20,24,28,32,36,40),0)/100)),0)</f>
        <v/>
      </c>
      <c r="R2011">
        <f>IF(AND(Inputs!$B$38&lt;&gt;"pvp",Inputs!$B$43&gt;0),IF(MAX(0,Inputs!$B$43-B2044)&lt;=0,0,(INT(MAX(0,Inputs!$B$43-B2044)/(IF(Inputs!$B$38="pvp",15,MAX(0.1,Skills!E5-IF(Skills!F5=TRUE,Inputs!$B$32,0)))*(1-IF(AND(ArtifactsInput!$M$27,Inputs!$B$4="Chapter Hunt"),CHOOSE(ArtifactsInput!$N$27+1,20,24,28,32,36,40),0)/100)))+1)),0)</f>
        <v/>
      </c>
      <c r="S2011">
        <f>IF(C2011,(H2011*N2011*IF(AND(Inputs!$B$38&lt;&gt;"pvp",Inputs!$B$43&gt;0),((Skills!G5*((R2011-1)*IF(Skills!H5&gt;0,Skills!I5/Skills!H5,1)+IF(Skills!H5&gt;0,MIN(Skills!I5,MAX(0,MAX(0,Inputs!$B$43-B2044)-((R2011-1)*(IF(Inputs!$B$38="pvp",15,MAX(0.1,Skills!E5-IF(Skills!F5=TRUE,Inputs!$B$32,0)))*(1-IF(AND(ArtifactsInput!$M$27,Inputs!$B$4="Chapter Hunt"),CHOOSE(ArtifactsInput!$N$27+1,20,24,28,32,36,40),0)/100)))))/Skills!H5,1)))/Inputs!$B$43),G2011*Q2011)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2011*(1-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2011*(1-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1">
        <f>IF(C2011,(H2011*N2011*IF(AND(Inputs!$B$38&lt;&gt;"pvp",Inputs!$B$43&gt;0),((Skills!G5*((R2011-1)*IF(Skills!H5&gt;0,Skills!I5/Skills!H5,1)+IF(Skills!H5&gt;0,MIN(Skills!I5,MAX(0,MAX(0,Inputs!$B$43-B2044)-((R2011-1)*(IF(Inputs!$B$38="pvp",15,MAX(0.1,Skills!E5-IF(Skills!F5=TRUE,Inputs!$B$32,0)))*(1-IF(AND(ArtifactsInput!$M$27,Inputs!$B$4="Chapter Hunt"),CHOOSE(ArtifactsInput!$N$27+1,20,24,28,32,36,40),0)/100)))))/Skills!H5,1)))/Inputs!$B$43),G2011*Q2011)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2">
      <c r="A2012">
        <f>Skills!A6</f>
        <v/>
      </c>
      <c r="B2012">
        <f>Skills!B6</f>
        <v/>
      </c>
      <c r="C2012">
        <f>TRUE</f>
        <v/>
      </c>
      <c r="D2012">
        <f>IF(Skills!C6=1,60+Inputs!$B$25+Inputs!$B$29,IF(Skills!C6=2,90+Inputs!$B$26+Inputs!$B$29,IF(Skills!C6=3,120+Inputs!$B$27+Inputs!$B$29,MAX(0,(Inputs!$B$3-100)*3)+Inputs!$B$28+Inputs!$B$29)))</f>
        <v/>
      </c>
      <c r="E2012">
        <f>INDEX(FactorTable!$B$2:$Y$301, MATCH(ROUND(MIN(300,MAX(1,D2012)),0), FactorTable!$A$2:$A$301,0), Skills!M6+1)</f>
        <v/>
      </c>
      <c r="F2012">
        <f>IF(Skills!N6=TRUE,(Skills!L6/10)*(E2012/1000),Skills!L6/10)+Skills!O6</f>
        <v/>
      </c>
      <c r="G2012">
        <f>Calc!G6</f>
        <v/>
      </c>
      <c r="H2012">
        <f>Calc!H6</f>
        <v/>
      </c>
      <c r="I2012">
        <f>IF(Skills!X6&lt;&gt;"",1+(Skills!X6/10)*(Z2009/1000)/100,1)</f>
        <v/>
      </c>
      <c r="J2012" t="inlineStr"/>
      <c r="K2012" t="inlineStr"/>
      <c r="L2012" t="inlineStr"/>
      <c r="M2012" t="inlineStr"/>
      <c r="N2012" t="inlineStr"/>
      <c r="O2012">
        <f>(1-Summary!$B$11)*S2012+Summary!$B$11*U2012</f>
        <v/>
      </c>
      <c r="P2012">
        <f>IF(B2047=0,0,O2012/B2047)</f>
        <v/>
      </c>
      <c r="Q2012">
        <f>IFERROR(1/(IF(Inputs!$B$38="pvp",15,MAX(0.1,Skills!E6-IF(Skills!F6=TRUE,Inputs!$B$32,0)))*(1-IF(AND(ArtifactsInput!$M$27,Inputs!$B$4="Chapter Hunt"),CHOOSE(ArtifactsInput!$N$27+1,20,24,28,32,36,40),0)/100)),0)</f>
        <v/>
      </c>
      <c r="R2012">
        <f>IF(AND(Inputs!$B$38&lt;&gt;"pvp",Inputs!$B$43&gt;0),IF(Inputs!$B$43&lt;=0,0,(INT(Inputs!$B$43/(IF(Inputs!$B$38="pvp",15,MAX(0.1,Skills!E6-IF(Skills!F6=TRUE,Inputs!$B$32,0)))*(1-IF(AND(ArtifactsInput!$M$27,Inputs!$B$4="Chapter Hunt"),CHOOSE(ArtifactsInput!$N$27+1,20,24,28,32,36,40),0)/100)))+1)),0)</f>
        <v/>
      </c>
      <c r="S2012" t="n">
        <v>0</v>
      </c>
      <c r="U2012" t="n">
        <v>0</v>
      </c>
    </row>
    <row r="2013">
      <c r="A2013">
        <f>Skills!A7</f>
        <v/>
      </c>
      <c r="B2013">
        <f>Skills!B7</f>
        <v/>
      </c>
      <c r="C2013">
        <f>TRUE</f>
        <v/>
      </c>
      <c r="D2013">
        <f>IF(Skills!C7=1,60+Inputs!$B$25+Inputs!$B$29,IF(Skills!C7=2,90+Inputs!$B$26+Inputs!$B$29,IF(Skills!C7=3,120+Inputs!$B$27+Inputs!$B$29,MAX(0,(Inputs!$B$3-100)*3)+Inputs!$B$28+Inputs!$B$29)))</f>
        <v/>
      </c>
      <c r="E2013">
        <f>INDEX(FactorTable!$B$2:$Y$301, MATCH(ROUND(MIN(300,MAX(1,D2013)),0), FactorTable!$A$2:$A$301,0), Skills!M7+1)</f>
        <v/>
      </c>
      <c r="F2013">
        <f>IF(Skills!N7=TRUE,(Skills!L7/10)*(E2013/1000),Skills!L7/10)+Skills!O7</f>
        <v/>
      </c>
      <c r="G2013">
        <f>Calc!G7</f>
        <v/>
      </c>
      <c r="H2013">
        <f>Calc!H7</f>
        <v/>
      </c>
      <c r="I2013">
        <f>IF(Skills!X7&lt;&gt;"",1+(Skills!X7/10)*(Z2009/1000)/100,1)</f>
        <v/>
      </c>
      <c r="J2013">
        <f>((Inputs!$B$6*(1+Inputs!$B$7/100))+(((Inputs!$B$12*(1+Inputs!$B$13/100))-(Inputs!$B$12*(1+Inputs!$B$13/100)))+0.25*(Inputs!$B$14-Inputs!$B$14))*(1+Inputs!$B$7/100))*(F2013/100)</f>
        <v/>
      </c>
      <c r="K2013">
        <f>J2013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2013)</f>
        <v/>
      </c>
      <c r="L2013">
        <f>K2013*(MIN(Inputs!$B$22+(F2028-Calc!F22),(Inputs!$B$23+(IF(ArtifactsInput!$M$15,CHOOSE(ArtifactsInput!$N$15+1,25,30,35,40,45,50)/100*(Inputs!$B$11-Inputs!$B$11),0))))/100+(Inputs!$B$23+(IF(ArtifactsInput!$M$15,CHOOSE(ArtifactsInput!$N$15+1,25,30,35,40,45,50)/100*(Inputs!$B$11-Inputs!$B$11),0)))/100)/2</f>
        <v/>
      </c>
      <c r="M2013">
        <f>L2013*(1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3">
        <f>L2013*(1-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2013*(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3">
        <f>(1-Summary!$B$11)*S2013+Summary!$B$11*U2013</f>
        <v/>
      </c>
      <c r="P2013">
        <f>IF(B2047=0,0,O2013/B2047)</f>
        <v/>
      </c>
      <c r="Q2013">
        <f>IFERROR(1/(IF(Inputs!$B$38="pvp",15,MAX(0.1,Skills!E7-IF(Skills!F7=TRUE,Inputs!$B$32,0)))*(1-IF(AND(ArtifactsInput!$M$27,Inputs!$B$4="Chapter Hunt"),CHOOSE(ArtifactsInput!$N$27+1,20,24,28,32,36,40),0)/100)),0)</f>
        <v/>
      </c>
      <c r="R2013">
        <f>IF(AND(Inputs!$B$38&lt;&gt;"pvp",Inputs!$B$43&gt;0),IF(MAX(0,Inputs!$B$43-B2044)&lt;=0,0,(INT(MAX(0,Inputs!$B$43-B2044)/(IF(Inputs!$B$38="pvp",15,MAX(0.1,Skills!E7-IF(Skills!F7=TRUE,Inputs!$B$32,0)))*(1-IF(AND(ArtifactsInput!$M$27,Inputs!$B$4="Chapter Hunt"),CHOOSE(ArtifactsInput!$N$27+1,20,24,28,32,36,40),0)/100)))+1)),0)</f>
        <v/>
      </c>
      <c r="S2013">
        <f>IF(C2013,(H2013*N2013*IF(AND(Inputs!$B$38&lt;&gt;"pvp",Inputs!$B$43&gt;0),((Skills!G7*((R2013-1)*IF(Skills!H7&gt;0,Skills!I7/Skills!H7,1)+IF(Skills!H7&gt;0,MIN(Skills!I7,MAX(0,MAX(0,Inputs!$B$43-B2044)-((R2013-1)*(IF(Inputs!$B$38="pvp",15,MAX(0.1,Skills!E7-IF(Skills!F7=TRUE,Inputs!$B$32,0)))*(1-IF(AND(ArtifactsInput!$M$27,Inputs!$B$4="Chapter Hunt"),CHOOSE(ArtifactsInput!$N$27+1,20,24,28,32,36,40),0)/100)))))/Skills!H7,1)))/Inputs!$B$43),G2013*Q2013)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2013*(1-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2013*(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2013*(1-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2013*(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3">
        <f>IF(C2013,(H2013*N2013*IF(AND(Inputs!$B$38&lt;&gt;"pvp",Inputs!$B$43&gt;0),((Skills!G7*((R2013-1)*IF(Skills!H7&gt;0,Skills!I7/Skills!H7,1)+IF(Skills!H7&gt;0,MIN(Skills!I7,MAX(0,MAX(0,Inputs!$B$43-B2044)-((R2013-1)*(IF(Inputs!$B$38="pvp",15,MAX(0.1,Skills!E7-IF(Skills!F7=TRUE,Inputs!$B$32,0)))*(1-IF(AND(ArtifactsInput!$M$27,Inputs!$B$4="Chapter Hunt"),CHOOSE(ArtifactsInput!$N$27+1,20,24,28,32,36,40),0)/100)))))/Skills!H7,1)))/Inputs!$B$43),G2013*Q2013)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4">
      <c r="A2014">
        <f>Skills!A8</f>
        <v/>
      </c>
      <c r="B2014">
        <f>Skills!B8</f>
        <v/>
      </c>
      <c r="C2014">
        <f>TRUE</f>
        <v/>
      </c>
      <c r="D2014">
        <f>IF(Skills!C8=1,60+Inputs!$B$25+Inputs!$B$29,IF(Skills!C8=2,90+Inputs!$B$26+Inputs!$B$29,IF(Skills!C8=3,120+Inputs!$B$27+Inputs!$B$29,MAX(0,(Inputs!$B$3-100)*3)+Inputs!$B$28+Inputs!$B$29)))</f>
        <v/>
      </c>
      <c r="E2014">
        <f>INDEX(FactorTable!$B$2:$Y$301, MATCH(ROUND(MIN(300,MAX(1,D2014)),0), FactorTable!$A$2:$A$301,0), Skills!M8+1)</f>
        <v/>
      </c>
      <c r="F2014">
        <f>IF(Skills!N8=TRUE,(Skills!L8/10)*(E2014/1000),Skills!L8/10)+Skills!O8</f>
        <v/>
      </c>
      <c r="G2014">
        <f>Calc!G8</f>
        <v/>
      </c>
      <c r="H2014">
        <f>Calc!H8</f>
        <v/>
      </c>
      <c r="I2014">
        <f>IF(Skills!X8&lt;&gt;"",1+(Skills!X8/10)*(Z2009/1000)/100,1)</f>
        <v/>
      </c>
      <c r="J2014">
        <f>((Inputs!$B$6*(1+Inputs!$B$7/100))+(((Inputs!$B$12*(1+Inputs!$B$13/100))-(Inputs!$B$12*(1+Inputs!$B$13/100)))+0.25*(Inputs!$B$14-Inputs!$B$14))*(1+Inputs!$B$7/100))*(F2014/100)</f>
        <v/>
      </c>
      <c r="K2014">
        <f>J2014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2014)</f>
        <v/>
      </c>
      <c r="L2014">
        <f>K2014*(MIN(Inputs!$B$22+(F2028-Calc!F22),(Inputs!$B$23+(IF(ArtifactsInput!$M$15,CHOOSE(ArtifactsInput!$N$15+1,25,30,35,40,45,50)/100*(Inputs!$B$11-Inputs!$B$11),0))))/100+(Inputs!$B$23+(IF(ArtifactsInput!$M$15,CHOOSE(ArtifactsInput!$N$15+1,25,30,35,40,45,50)/100*(Inputs!$B$11-Inputs!$B$11),0)))/100)/2</f>
        <v/>
      </c>
      <c r="M2014">
        <f>L2014*(1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4">
        <f>L2014*(1-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2014*(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4">
        <f>(1-Summary!$B$11)*S2014+Summary!$B$11*U2014</f>
        <v/>
      </c>
      <c r="P2014">
        <f>IF(B2047=0,0,O2014/B2047)</f>
        <v/>
      </c>
      <c r="Q2014">
        <f>IFERROR(1/(IF(Inputs!$B$38="pvp",15,MAX(0.1,Skills!E8-IF(Skills!F8=TRUE,Inputs!$B$32,0)))*(1-IF(AND(ArtifactsInput!$M$27,Inputs!$B$4="Chapter Hunt"),CHOOSE(ArtifactsInput!$N$27+1,20,24,28,32,36,40),0)/100)),0)</f>
        <v/>
      </c>
      <c r="R2014">
        <f>IF(AND(Inputs!$B$38&lt;&gt;"pvp",Inputs!$B$43&gt;0),IF(MAX(0,Inputs!$B$43-B2044)&lt;=0,0,(INT(MAX(0,Inputs!$B$43-B2044)/(IF(Inputs!$B$38="pvp",15,MAX(0.1,Skills!E8-IF(Skills!F8=TRUE,Inputs!$B$32,0)))*(1-IF(AND(ArtifactsInput!$M$27,Inputs!$B$4="Chapter Hunt"),CHOOSE(ArtifactsInput!$N$27+1,20,24,28,32,36,40),0)/100)))+1)),0)</f>
        <v/>
      </c>
      <c r="S2014">
        <f>IF(C2014,(H2014*N2014*IF(AND(Inputs!$B$38&lt;&gt;"pvp",Inputs!$B$43&gt;0),((Skills!G8*((R2014-1)*IF(Skills!H8&gt;0,Skills!I8/Skills!H8,1)+IF(Skills!H8&gt;0,MIN(Skills!I8,MAX(0,MAX(0,Inputs!$B$43-B2044)-((R2014-1)*(IF(Inputs!$B$38="pvp",15,MAX(0.1,Skills!E8-IF(Skills!F8=TRUE,Inputs!$B$32,0)))*(1-IF(AND(ArtifactsInput!$M$27,Inputs!$B$4="Chapter Hunt"),CHOOSE(ArtifactsInput!$N$27+1,20,24,28,32,36,40),0)/100)))))/Skills!H8,1)))/Inputs!$B$43),G2014*Q2014)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2014*(1-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2014*(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2014*(1-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2014*(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4">
        <f>IF(C2014,(H2014*N2014*IF(AND(Inputs!$B$38&lt;&gt;"pvp",Inputs!$B$43&gt;0),((Skills!G8*((R2014-1)*IF(Skills!H8&gt;0,Skills!I8/Skills!H8,1)+IF(Skills!H8&gt;0,MIN(Skills!I8,MAX(0,MAX(0,Inputs!$B$43-B2044)-((R2014-1)*(IF(Inputs!$B$38="pvp",15,MAX(0.1,Skills!E8-IF(Skills!F8=TRUE,Inputs!$B$32,0)))*(1-IF(AND(ArtifactsInput!$M$27,Inputs!$B$4="Chapter Hunt"),CHOOSE(ArtifactsInput!$N$27+1,20,24,28,32,36,40),0)/100)))))/Skills!H8,1)))/Inputs!$B$43),G2014*Q2014)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5">
      <c r="A2015">
        <f>Skills!A9</f>
        <v/>
      </c>
      <c r="B2015">
        <f>Skills!B9</f>
        <v/>
      </c>
      <c r="C2015">
        <f>Inputs!$B$3&gt;=103</f>
        <v/>
      </c>
      <c r="D2015">
        <f>IF(Skills!C9=1,60+Inputs!$B$25+Inputs!$B$29,IF(Skills!C9=2,90+Inputs!$B$26+Inputs!$B$29,IF(Skills!C9=3,120+Inputs!$B$27+Inputs!$B$29,MAX(0,(Inputs!$B$3-100)*3)+Inputs!$B$28+Inputs!$B$29)))</f>
        <v/>
      </c>
      <c r="E2015">
        <f>INDEX(FactorTable!$B$2:$Y$301, MATCH(ROUND(MIN(300,MAX(1,D2015)),0), FactorTable!$A$2:$A$301,0), Skills!M9+1)</f>
        <v/>
      </c>
      <c r="F2015">
        <f>IF(Skills!N9=TRUE,(Skills!L9/10)*(E2015/1000),Skills!L9/10)+Skills!O9</f>
        <v/>
      </c>
      <c r="G2015">
        <f>Calc!G9</f>
        <v/>
      </c>
      <c r="H2015">
        <f>Calc!H9</f>
        <v/>
      </c>
      <c r="I2015">
        <f>IF(Skills!X9&lt;&gt;"",1+(Skills!X9/10)*(Z2009/1000)/100,1)</f>
        <v/>
      </c>
      <c r="J2015">
        <f>((Inputs!$B$6*(1+Inputs!$B$7/100))+(((Inputs!$B$12*(1+Inputs!$B$13/100))-(Inputs!$B$12*(1+Inputs!$B$13/100)))+0.25*(Inputs!$B$14-Inputs!$B$14))*(1+Inputs!$B$7/100))*(F2015/100)</f>
        <v/>
      </c>
      <c r="K2015">
        <f>J2015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2015)</f>
        <v/>
      </c>
      <c r="L2015">
        <f>K2015*(MIN(Inputs!$B$22+(F2028-Calc!F22),(Inputs!$B$23+(IF(ArtifactsInput!$M$15,CHOOSE(ArtifactsInput!$N$15+1,25,30,35,40,45,50)/100*(Inputs!$B$11-Inputs!$B$11),0))))/100+(Inputs!$B$23+(IF(ArtifactsInput!$M$15,CHOOSE(ArtifactsInput!$N$15+1,25,30,35,40,45,50)/100*(Inputs!$B$11-Inputs!$B$11),0)))/100)/2</f>
        <v/>
      </c>
      <c r="M2015">
        <f>L2015*(1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5">
        <f>L2015*(1-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2015*(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5">
        <f>(1-Summary!$B$11)*S2015+Summary!$B$11*U2015</f>
        <v/>
      </c>
      <c r="P2015">
        <f>IF(B2047=0,0,O2015/B2047)</f>
        <v/>
      </c>
      <c r="Q2015">
        <f>IFERROR(1/(IF(Inputs!$B$38="pvp",15,MAX(0.1,Skills!E9-IF(Skills!F7=TRUE,Inputs!$B$32,0)))*(1-IF(AND(ArtifactsInput!$M$27,Inputs!$B$4="Chapter Hunt"),CHOOSE(ArtifactsInput!$N$27+1,20,24,28,32,36,40),0)/100)),0)</f>
        <v/>
      </c>
      <c r="R2015">
        <f>IF(AND(Inputs!$B$38&lt;&gt;"pvp",Inputs!$B$43&gt;0),IF(MAX(0,Inputs!$B$43-B2044)&lt;=0,0,(INT(MAX(0,Inputs!$B$43-B2044)/(IF(Inputs!$B$38="pvp",15,MAX(0.1,Skills!E9-IF(Skills!F7=TRUE,Inputs!$B$32,0)))*(1-IF(AND(ArtifactsInput!$M$27,Inputs!$B$4="Chapter Hunt"),CHOOSE(ArtifactsInput!$N$27+1,20,24,28,32,36,40),0)/100)))+1)),0)</f>
        <v/>
      </c>
      <c r="S2015">
        <f>IF(C2015,(H2015*N2015*IF(AND(Inputs!$B$38&lt;&gt;"pvp",Inputs!$B$43&gt;0),((Skills!G9*((R2015-1)*IF(Skills!H9&gt;0,Skills!I9/Skills!H9,1)+IF(Skills!H9&gt;0,MIN(Skills!I9,MAX(0,MAX(0,Inputs!$B$43-B2044)-((R2015-1)*(IF(Inputs!$B$38="pvp",15,MAX(0.1,Skills!E9-IF(Skills!F7=TRUE,Inputs!$B$32,0)))*(1-IF(AND(ArtifactsInput!$M$27,Inputs!$B$4="Chapter Hunt"),CHOOSE(ArtifactsInput!$N$27+1,20,24,28,32,36,40),0)/100)))))/Skills!H9,1)))/Inputs!$B$43),G2015*Q2015)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2015*(1-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2015*(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2015*(1-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2015*(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5">
        <f>IF(C2015,(H2015*N2015*IF(AND(Inputs!$B$38&lt;&gt;"pvp",Inputs!$B$43&gt;0),((Skills!G9*((R2015-1)*IF(Skills!H9&gt;0,Skills!I9/Skills!H9,1)+IF(Skills!H9&gt;0,MIN(Skills!I9,MAX(0,MAX(0,Inputs!$B$43-B2044)-((R2015-1)*(IF(Inputs!$B$38="pvp",15,MAX(0.1,Skills!E9-IF(Skills!F7=TRUE,Inputs!$B$32,0)))*(1-IF(AND(ArtifactsInput!$M$27,Inputs!$B$4="Chapter Hunt"),CHOOSE(ArtifactsInput!$N$27+1,20,24,28,32,36,40),0)/100)))))/Skills!H9,1)))/Inputs!$B$43),G2015*Q2015)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6">
      <c r="A2016">
        <f>Skills!A10</f>
        <v/>
      </c>
      <c r="B2016">
        <f>Skills!B10</f>
        <v/>
      </c>
      <c r="C2016">
        <f>TRUE</f>
        <v/>
      </c>
      <c r="D2016">
        <f>IF(Skills!C10=1,60+Inputs!$B$25+Inputs!$B$29,IF(Skills!C10=2,90+Inputs!$B$26+Inputs!$B$29,IF(Skills!C10=3,120+Inputs!$B$27+Inputs!$B$29,MAX(0,(Inputs!$B$3-100)*3)+Inputs!$B$28+Inputs!$B$29)))</f>
        <v/>
      </c>
      <c r="E2016">
        <f>INDEX(FactorTable!$B$2:$Y$301, MATCH(ROUND(MIN(300,MAX(1,D2016)),0), FactorTable!$A$2:$A$301,0), Skills!M10+1)</f>
        <v/>
      </c>
      <c r="F2016">
        <f>IF(Skills!N10=TRUE,(Skills!L10/10)*(E2016/1000),Skills!L10/10)+Skills!O10</f>
        <v/>
      </c>
      <c r="G2016">
        <f>Calc!G10</f>
        <v/>
      </c>
      <c r="H2016">
        <f>Calc!H10</f>
        <v/>
      </c>
      <c r="I2016">
        <f>IF(Skills!X10&lt;&gt;"",1+(Skills!X10/10)*(Z2009/1000)/100,1)</f>
        <v/>
      </c>
      <c r="J2016">
        <f>((Inputs!$B$6*(1+Inputs!$B$7/100))+(((Inputs!$B$12*(1+Inputs!$B$13/100))-(Inputs!$B$12*(1+Inputs!$B$13/100)))+0.25*(Inputs!$B$14-Inputs!$B$14))*(1+Inputs!$B$7/100))*(F2016/100)</f>
        <v/>
      </c>
      <c r="K2016">
        <f>J2016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2016)</f>
        <v/>
      </c>
      <c r="L2016">
        <f>K2016*(MIN(Inputs!$B$22+(F2028-Calc!F22),(Inputs!$B$23+(IF(ArtifactsInput!$M$15,CHOOSE(ArtifactsInput!$N$15+1,25,30,35,40,45,50)/100*(Inputs!$B$11-Inputs!$B$11),0))))/100+(Inputs!$B$23+(IF(ArtifactsInput!$M$15,CHOOSE(ArtifactsInput!$N$15+1,25,30,35,40,45,50)/100*(Inputs!$B$11-Inputs!$B$11),0)))/100)/2</f>
        <v/>
      </c>
      <c r="M2016">
        <f>L2016*(1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6">
        <f>L2016*(1-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2016*(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6">
        <f>(1-Summary!$B$11)*S2016+Summary!$B$11*U2016</f>
        <v/>
      </c>
      <c r="P2016">
        <f>IF(B2047=0,0,O2016/B2047)</f>
        <v/>
      </c>
      <c r="Q2016">
        <f>IFERROR(1/(IF(Inputs!$B$38="pvp",15,MAX(0.1,Skills!E10-IF(Skills!F10=TRUE,Inputs!$B$32,0)))*(1-IF(AND(ArtifactsInput!$M$27,Inputs!$B$4="Chapter Hunt"),CHOOSE(ArtifactsInput!$N$27+1,20,24,28,32,36,40),0)/100)),0)</f>
        <v/>
      </c>
      <c r="R2016">
        <f>IF(AND(Inputs!$B$38&lt;&gt;"pvp",Inputs!$B$43&gt;0),IF(MAX(0,Inputs!$B$43-B2044)&lt;=0,0,(INT(MAX(0,Inputs!$B$43-B2044)/(IF(Inputs!$B$38="pvp",15,MAX(0.1,Skills!E10-IF(Skills!F10=TRUE,Inputs!$B$32,0)))*(1-IF(AND(ArtifactsInput!$M$27,Inputs!$B$4="Chapter Hunt"),CHOOSE(ArtifactsInput!$N$27+1,20,24,28,32,36,40),0)/100)))+1)),0)</f>
        <v/>
      </c>
      <c r="S2016">
        <f>IF(C2016,(H2016*N2016*IF(AND(Inputs!$B$38&lt;&gt;"pvp",Inputs!$B$43&gt;0),((Skills!G10*((R2016-1)*IF(Skills!H10&gt;0,Skills!I10/Skills!H10,1)+IF(Skills!H10&gt;0,MIN(Skills!I10,MAX(0,MAX(0,Inputs!$B$43-B2044)-((R2016-1)*(IF(Inputs!$B$38="pvp",15,MAX(0.1,Skills!E10-IF(Skills!F10=TRUE,Inputs!$B$32,0)))*(1-IF(AND(ArtifactsInput!$M$27,Inputs!$B$4="Chapter Hunt"),CHOOSE(ArtifactsInput!$N$27+1,20,24,28,32,36,40),0)/100)))))/Skills!H10,1)))/Inputs!$B$43),G2016*Q2016)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2016*(1-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2016*(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2016*(1-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2016*(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6">
        <f>IF(C2016,(H2016*N2016*IF(AND(Inputs!$B$38&lt;&gt;"pvp",Inputs!$B$43&gt;0),((Skills!G10*((R2016-1)*IF(Skills!H10&gt;0,Skills!I10/Skills!H10,1)+IF(Skills!H10&gt;0,MIN(Skills!I10,MAX(0,MAX(0,Inputs!$B$43-B2044)-((R2016-1)*(IF(Inputs!$B$38="pvp",15,MAX(0.1,Skills!E10-IF(Skills!F10=TRUE,Inputs!$B$32,0)))*(1-IF(AND(ArtifactsInput!$M$27,Inputs!$B$4="Chapter Hunt"),CHOOSE(ArtifactsInput!$N$27+1,20,24,28,32,36,40),0)/100)))))/Skills!H10,1)))/Inputs!$B$43),G2016*Q2016)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7">
      <c r="A2017">
        <f>Skills!A11</f>
        <v/>
      </c>
      <c r="B2017">
        <f>Skills!B11</f>
        <v/>
      </c>
      <c r="C2017">
        <f>TRUE</f>
        <v/>
      </c>
      <c r="D2017">
        <f>IF(Skills!C11=1,60+Inputs!$B$25+Inputs!$B$29,IF(Skills!C11=2,90+Inputs!$B$26+Inputs!$B$29,IF(Skills!C11=3,120+Inputs!$B$27+Inputs!$B$29,MAX(0,(Inputs!$B$3-100)*3)+Inputs!$B$28+Inputs!$B$29)))</f>
        <v/>
      </c>
      <c r="E2017">
        <f>INDEX(FactorTable!$B$2:$Y$301, MATCH(ROUND(MIN(300,MAX(1,D2017)),0), FactorTable!$A$2:$A$301,0), Skills!M11+1)</f>
        <v/>
      </c>
      <c r="F2017">
        <f>IF(Skills!N11=TRUE,(Skills!L11/10)*(E2017/1000),Skills!L11/10)+Skills!O11</f>
        <v/>
      </c>
      <c r="G2017">
        <f>Calc!G11</f>
        <v/>
      </c>
      <c r="H2017">
        <f>Calc!H11</f>
        <v/>
      </c>
      <c r="I2017">
        <f>IF(Skills!X11&lt;&gt;"",1+(Skills!X11/10)*(Z2009/1000)/100,1)</f>
        <v/>
      </c>
      <c r="J2017" t="inlineStr"/>
      <c r="K2017" t="inlineStr"/>
      <c r="L2017" t="inlineStr"/>
      <c r="M2017" t="inlineStr"/>
      <c r="N2017" t="inlineStr"/>
      <c r="O2017">
        <f>(1-Summary!$B$11)*S2017+Summary!$B$11*U2017</f>
        <v/>
      </c>
      <c r="P2017">
        <f>IF(B2047=0,0,O2017/B2047)</f>
        <v/>
      </c>
      <c r="Q2017">
        <f>IFERROR(1/(IF(Inputs!$B$38="pvp",15,MAX(0.1,Skills!E11-IF(Skills!F11=TRUE,Inputs!$B$32,0)))*(1-IF(AND(ArtifactsInput!$M$27,Inputs!$B$4="Chapter Hunt"),CHOOSE(ArtifactsInput!$N$27+1,20,24,28,32,36,40),0)/100)),0)</f>
        <v/>
      </c>
      <c r="R2017" t="n">
        <v>0</v>
      </c>
      <c r="S2017" t="n">
        <v>0</v>
      </c>
      <c r="U2017" t="n">
        <v>0</v>
      </c>
    </row>
    <row r="2018">
      <c r="A2018">
        <f>Skills!A12</f>
        <v/>
      </c>
      <c r="B2018">
        <f>Skills!B12</f>
        <v/>
      </c>
      <c r="C2018">
        <f>TRUE</f>
        <v/>
      </c>
      <c r="D2018">
        <f>IF(Skills!C12=1,60+Inputs!$B$25+Inputs!$B$29,IF(Skills!C12=2,90+Inputs!$B$26+Inputs!$B$29,IF(Skills!C12=3,120+Inputs!$B$27+Inputs!$B$29,MAX(0,(Inputs!$B$3-100)*3)+Inputs!$B$28+Inputs!$B$29)))</f>
        <v/>
      </c>
      <c r="E2018">
        <f>INDEX(FactorTable!$B$2:$Y$301, MATCH(ROUND(MIN(300,MAX(1,D2018)),0), FactorTable!$A$2:$A$301,0), Skills!M12+1)</f>
        <v/>
      </c>
      <c r="F2018">
        <f>IF(Skills!N12=TRUE,(Skills!L12/10)*(E2018/1000),Skills!L12/10)+Skills!O12</f>
        <v/>
      </c>
      <c r="G2018">
        <f>Calc!G12</f>
        <v/>
      </c>
      <c r="H2018">
        <f>Calc!H12</f>
        <v/>
      </c>
      <c r="I2018">
        <f>IF(Skills!X12&lt;&gt;"",1+(Skills!X12/10)*(Z2009/1000)/100,1)</f>
        <v/>
      </c>
      <c r="J2018" t="inlineStr"/>
      <c r="K2018" t="inlineStr"/>
      <c r="L2018" t="inlineStr"/>
      <c r="M2018" t="inlineStr"/>
      <c r="N2018" t="inlineStr"/>
      <c r="O2018">
        <f>(1-Summary!$B$11)*S2018+Summary!$B$11*U2018</f>
        <v/>
      </c>
      <c r="P2018">
        <f>IF(B2047=0,0,O2018/B2047)</f>
        <v/>
      </c>
      <c r="Q2018">
        <f>IFERROR(1/(IF(Inputs!$B$38="pvp",15,MAX(0.1,Skills!E12-IF(Skills!F12=TRUE,Inputs!$B$32,0)))*(1-IF(AND(ArtifactsInput!$M$27,Inputs!$B$4="Chapter Hunt"),CHOOSE(ArtifactsInput!$N$27+1,20,24,28,32,36,40),0)/100)),0)</f>
        <v/>
      </c>
      <c r="R2018" t="n">
        <v>0</v>
      </c>
      <c r="S2018" t="n">
        <v>0</v>
      </c>
      <c r="U2018" t="n">
        <v>0</v>
      </c>
    </row>
    <row r="2019">
      <c r="A2019">
        <f>Skills!A13</f>
        <v/>
      </c>
      <c r="B2019">
        <f>Skills!B13</f>
        <v/>
      </c>
      <c r="C2019">
        <f>Inputs!$B$3&gt;=105</f>
        <v/>
      </c>
      <c r="D2019">
        <f>IF(Skills!C13=1,60+Inputs!$B$25+Inputs!$B$29,IF(Skills!C13=2,90+Inputs!$B$26+Inputs!$B$29,IF(Skills!C13=3,120+Inputs!$B$27+Inputs!$B$29,MAX(0,(Inputs!$B$3-100)*3)+Inputs!$B$28+Inputs!$B$29)))</f>
        <v/>
      </c>
      <c r="E2019">
        <f>INDEX(FactorTable!$B$2:$Y$301, MATCH(ROUND(MIN(300,MAX(1,D2019)),0), FactorTable!$A$2:$A$301,0), Skills!M13+1)</f>
        <v/>
      </c>
      <c r="F2019">
        <f>IF(Skills!N13=TRUE,(Skills!L13/10)*(E2019/1000),Skills!L13/10)+Skills!O13</f>
        <v/>
      </c>
      <c r="G2019">
        <f>Calc!G13</f>
        <v/>
      </c>
      <c r="H2019">
        <f>Calc!H13</f>
        <v/>
      </c>
      <c r="I2019">
        <f>IF(Skills!X13&lt;&gt;"",1+(Skills!X13/10)*(Z2009/1000)/100,1)</f>
        <v/>
      </c>
      <c r="J2019">
        <f>((Inputs!$B$6*(1+Inputs!$B$7/100))+(((Inputs!$B$12*(1+Inputs!$B$13/100))-(Inputs!$B$12*(1+Inputs!$B$13/100)))+0.25*(Inputs!$B$14-Inputs!$B$14))*(1+Inputs!$B$7/100))*(F2019/100)</f>
        <v/>
      </c>
      <c r="K2019">
        <f>J2019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2019)</f>
        <v/>
      </c>
      <c r="L2019">
        <f>K2019*(MIN(Inputs!$B$22+(F2028-Calc!F22),(Inputs!$B$23+(IF(ArtifactsInput!$M$15,CHOOSE(ArtifactsInput!$N$15+1,25,30,35,40,45,50)/100*(Inputs!$B$11-Inputs!$B$11),0))))/100+(Inputs!$B$23+(IF(ArtifactsInput!$M$15,CHOOSE(ArtifactsInput!$N$15+1,25,30,35,40,45,50)/100*(Inputs!$B$11-Inputs!$B$11),0)))/100)/2</f>
        <v/>
      </c>
      <c r="M2019">
        <f>L2019*(1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9">
        <f>L2019*(1-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2019*(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9">
        <f>(1-Summary!$B$11)*S2019+Summary!$B$11*U2019</f>
        <v/>
      </c>
      <c r="P2019">
        <f>IF(B2047=0,0,O2019/B2047)</f>
        <v/>
      </c>
      <c r="Q2019">
        <f>IFERROR(1/(IF(Inputs!$B$38="pvp",15,MAX(0.1,Skills!E13-IF(Skills!F13=TRUE,Inputs!$B$32,0)))*(1-IF(AND(ArtifactsInput!$M$27,Inputs!$B$4="Chapter Hunt"),CHOOSE(ArtifactsInput!$N$27+1,20,24,28,32,36,40),0)/100)),0)</f>
        <v/>
      </c>
      <c r="R2019">
        <f>IF(AND(Inputs!$B$38&lt;&gt;"pvp",Inputs!$B$43&gt;0),IF(MAX(0,Inputs!$B$43-B2044)&lt;=0,0,(INT(MAX(0,Inputs!$B$43-B2044)/(IF(Inputs!$B$38="pvp",15,MAX(0.1,Skills!E13-IF(Skills!F13=TRUE,Inputs!$B$32,0)))*(1-IF(AND(ArtifactsInput!$M$27,Inputs!$B$4="Chapter Hunt"),CHOOSE(ArtifactsInput!$N$27+1,20,24,28,32,36,40),0)/100)))+1)),0)</f>
        <v/>
      </c>
      <c r="S2019">
        <f>IF(C2019,(H2019*N2019*IF(AND(Inputs!$B$38&lt;&gt;"pvp",Inputs!$B$43&gt;0),((Skills!G13*((R2019-1)*IF(Skills!H13&gt;0,Skills!I13/Skills!H13,1)+IF(Skills!H13&gt;0,MIN(Skills!I13,MAX(0,MAX(0,Inputs!$B$43-B2044)-((R2019-1)*(IF(Inputs!$B$38="pvp",15,MAX(0.1,Skills!E13-IF(Skills!F13=TRUE,Inputs!$B$32,0)))*(1-IF(AND(ArtifactsInput!$M$27,Inputs!$B$4="Chapter Hunt"),CHOOSE(ArtifactsInput!$N$27+1,20,24,28,32,36,40),0)/100)))))/Skills!H13,1)))/Inputs!$B$43),G2019*Q2019)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2019*(1-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2019*(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2019*(1-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2019*(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9">
        <f>IF(C2019,(H2019*N2019*IF(AND(Inputs!$B$38&lt;&gt;"pvp",Inputs!$B$43&gt;0),((Skills!G13*((R2019-1)*IF(Skills!H13&gt;0,Skills!I13/Skills!H13,1)+IF(Skills!H13&gt;0,MIN(Skills!I13,MAX(0,MAX(0,Inputs!$B$43-B2044)-((R2019-1)*(IF(Inputs!$B$38="pvp",15,MAX(0.1,Skills!E13-IF(Skills!F13=TRUE,Inputs!$B$32,0)))*(1-IF(AND(ArtifactsInput!$M$27,Inputs!$B$4="Chapter Hunt"),CHOOSE(ArtifactsInput!$N$27+1,20,24,28,32,36,40),0)/100)))))/Skills!H13,1)))/Inputs!$B$43),G2019*Q2019)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20">
      <c r="A2020">
        <f>Skills!A14</f>
        <v/>
      </c>
      <c r="B2020">
        <f>Skills!B14</f>
        <v/>
      </c>
      <c r="C2020">
        <f>Inputs!$B$3&gt;=113</f>
        <v/>
      </c>
      <c r="D2020">
        <f>IF(Skills!C14=1,60+Inputs!$B$25+Inputs!$B$29,IF(Skills!C14=2,90+Inputs!$B$26+Inputs!$B$29,IF(Skills!C14=3,120+Inputs!$B$27+Inputs!$B$29,MAX(0,(Inputs!$B$3-100)*3)+Inputs!$B$28+Inputs!$B$29)))</f>
        <v/>
      </c>
      <c r="E2020">
        <f>INDEX(FactorTable!$B$2:$Y$301, MATCH(ROUND(MIN(300,MAX(1,D2020)),0), FactorTable!$A$2:$A$301,0), Skills!M14+1)</f>
        <v/>
      </c>
      <c r="F2020">
        <f>IF(Skills!N14=TRUE,(Skills!L14/10)*(E2020/1000),Skills!L14/10)+Skills!O14</f>
        <v/>
      </c>
      <c r="G2020">
        <f>Calc!G14</f>
        <v/>
      </c>
      <c r="H2020">
        <f>Calc!H14</f>
        <v/>
      </c>
      <c r="I2020">
        <f>IF(Skills!X14&lt;&gt;"",1+(Skills!X14/10)*(Z2009/1000)/100,1)</f>
        <v/>
      </c>
      <c r="J2020">
        <f>((Inputs!$B$6*(1+Inputs!$B$7/100))+(((Inputs!$B$12*(1+Inputs!$B$13/100))-(Inputs!$B$12*(1+Inputs!$B$13/100)))+0.25*(Inputs!$B$14-Inputs!$B$14))*(1+Inputs!$B$7/100))*(F2020/100)</f>
        <v/>
      </c>
      <c r="K2020">
        <f>J2020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2020)</f>
        <v/>
      </c>
      <c r="L2020">
        <f>K2020*(MIN(Inputs!$B$22+(F2028-Calc!F22),(Inputs!$B$23+(IF(ArtifactsInput!$M$15,CHOOSE(ArtifactsInput!$N$15+1,25,30,35,40,45,50)/100*(Inputs!$B$11-Inputs!$B$11),0))))/100+(Inputs!$B$23+(IF(ArtifactsInput!$M$15,CHOOSE(ArtifactsInput!$N$15+1,25,30,35,40,45,50)/100*(Inputs!$B$11-Inputs!$B$11),0)))/100)/2</f>
        <v/>
      </c>
      <c r="M2020">
        <f>L2020*(1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20">
        <f>L2020*(1-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2020*(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20">
        <f>(1-Summary!$B$11)*S2020+Summary!$B$11*U2020</f>
        <v/>
      </c>
      <c r="P2020">
        <f>IF(B2047=0,0,O2020/B2047)</f>
        <v/>
      </c>
      <c r="Q2020">
        <f>IFERROR(1/(IF(Inputs!$B$38="pvp",15,MAX(0.1,Skills!E14-IF(Skills!F14=TRUE,Inputs!$B$32,0)))*(1-IF(AND(ArtifactsInput!$M$27,Inputs!$B$4="Chapter Hunt"),CHOOSE(ArtifactsInput!$N$27+1,20,24,28,32,36,40),0)/100)),0)</f>
        <v/>
      </c>
      <c r="R2020" t="n">
        <v>0</v>
      </c>
      <c r="S2020">
        <f>IF(C2020,((H2020*B2043)/(1+Skills!H14*H2020*B2043)*N2020)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2020*(1-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2020*(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2020*(1-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2020*(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20">
        <f>IF(C2020,((H2020*B2043)/(1+Skills!H14*H2020*B2043)*N2020)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21">
      <c r="A2021">
        <f>Skills!A15</f>
        <v/>
      </c>
      <c r="B2021">
        <f>Skills!B15</f>
        <v/>
      </c>
      <c r="C2021">
        <f>Inputs!$B$3&gt;=107</f>
        <v/>
      </c>
      <c r="D2021">
        <f>IF(Skills!C15=1,60+Inputs!$B$25+Inputs!$B$29,IF(Skills!C15=2,90+Inputs!$B$26+Inputs!$B$29,IF(Skills!C15=3,120+Inputs!$B$27+Inputs!$B$29,MAX(0,(Inputs!$B$3-100)*3)+Inputs!$B$28+Inputs!$B$29)))</f>
        <v/>
      </c>
      <c r="E2021">
        <f>INDEX(FactorTable!$B$2:$Y$301, MATCH(ROUND(MIN(300,MAX(1,D2021)),0), FactorTable!$A$2:$A$301,0), Skills!M15+1)</f>
        <v/>
      </c>
      <c r="F2021">
        <f>IF(Skills!N15=TRUE,(Skills!L15/10)*(E2021/1000),Skills!L15/10)+Skills!O15</f>
        <v/>
      </c>
      <c r="G2021">
        <f>Calc!G15</f>
        <v/>
      </c>
      <c r="H2021">
        <f>Calc!H15</f>
        <v/>
      </c>
      <c r="I2021">
        <f>IF(Skills!X15&lt;&gt;"",1+(Skills!X15/10)*(Z2009/1000)/100,1)</f>
        <v/>
      </c>
      <c r="J2021">
        <f>((Inputs!$B$6*(1+Inputs!$B$7/100))+(((Inputs!$B$12*(1+Inputs!$B$13/100))-(Inputs!$B$12*(1+Inputs!$B$13/100)))+0.25*(Inputs!$B$14-Inputs!$B$14))*(1+Inputs!$B$7/100))*(F2021/100)</f>
        <v/>
      </c>
      <c r="K2021">
        <f>J2021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2021)</f>
        <v/>
      </c>
      <c r="L2021">
        <f>K2021*(MIN(Inputs!$B$22+(F2028-Calc!F22),(Inputs!$B$23+(IF(ArtifactsInput!$M$15,CHOOSE(ArtifactsInput!$N$15+1,25,30,35,40,45,50)/100*(Inputs!$B$11-Inputs!$B$11),0))))/100+(Inputs!$B$23+(IF(ArtifactsInput!$M$15,CHOOSE(ArtifactsInput!$N$15+1,25,30,35,40,45,50)/100*(Inputs!$B$11-Inputs!$B$11),0)))/100)/2</f>
        <v/>
      </c>
      <c r="M2021">
        <f>L2021*(1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21">
        <f>L2021*(1-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2021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21">
        <f>(1-Summary!$B$11)*S2021+Summary!$B$11*U2021</f>
        <v/>
      </c>
      <c r="P2021">
        <f>IF(B2047=0,0,O2021/B2047)</f>
        <v/>
      </c>
      <c r="Q2021">
        <f>IFERROR(1/(IF(Inputs!$B$38="pvp",15,MAX(0.1,Skills!E15-IF(Skills!F15=TRUE,Inputs!$B$32,0)))*(1-IF(AND(ArtifactsInput!$M$27,Inputs!$B$4="Chapter Hunt"),CHOOSE(ArtifactsInput!$N$27+1,20,24,28,32,36,40),0)/100)),0)</f>
        <v/>
      </c>
      <c r="R2021">
        <f>IF(AND(Inputs!$B$38&lt;&gt;"pvp",Inputs!$B$43&gt;0),IF(MAX(0,Inputs!$B$43-B2044)&lt;=0,0,(INT(MAX(0,Inputs!$B$43-B2044)/(IF(Inputs!$B$38="pvp",15,MAX(0.1,Skills!E15-IF(Skills!F15=TRUE,Inputs!$B$32,0)))*(1-IF(AND(ArtifactsInput!$M$27,Inputs!$B$4="Chapter Hunt"),CHOOSE(ArtifactsInput!$N$27+1,20,24,28,32,36,40),0)/100)))+1)),0)</f>
        <v/>
      </c>
      <c r="S2021">
        <f>IF(C2021,(H2021*N2021*IF(AND(Inputs!$B$38&lt;&gt;"pvp",Inputs!$B$43&gt;0),((Skills!G15*((R2021-1)*IF(Skills!H15&gt;0,Skills!I15/Skills!H15,1)+IF(Skills!H15&gt;0,MIN(Skills!I15,MAX(0,MAX(0,Inputs!$B$43-B2044)-((R2021-1)*(IF(Inputs!$B$38="pvp",15,MAX(0.1,Skills!E15-IF(Skills!F15=TRUE,Inputs!$B$32,0)))*(1-IF(AND(ArtifactsInput!$M$27,Inputs!$B$4="Chapter Hunt"),CHOOSE(ArtifactsInput!$N$27+1,20,24,28,32,36,40),0)/100)))))/Skills!H15,1)))/Inputs!$B$43),G2021*Q2021)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2021*(1-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2021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2021*(1-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2021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21">
        <f>IF(C2021,(H2021*N2021*IF(AND(Inputs!$B$38&lt;&gt;"pvp",Inputs!$B$43&gt;0),((Skills!G15*((R2021-1)*IF(Skills!H15&gt;0,Skills!I15/Skills!H15,1)+IF(Skills!H15&gt;0,MIN(Skills!I15,MAX(0,MAX(0,Inputs!$B$43-B2044)-((R2021-1)*(IF(Inputs!$B$38="pvp",15,MAX(0.1,Skills!E15-IF(Skills!F15=TRUE,Inputs!$B$32,0)))*(1-IF(AND(ArtifactsInput!$M$27,Inputs!$B$4="Chapter Hunt"),CHOOSE(ArtifactsInput!$N$27+1,20,24,28,32,36,40),0)/100)))))/Skills!H15,1)))/Inputs!$B$43),G2021*Q2021)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22">
      <c r="A2022">
        <f>Skills!A16</f>
        <v/>
      </c>
      <c r="B2022">
        <f>Skills!B16</f>
        <v/>
      </c>
      <c r="C2022">
        <f>Inputs!$B$3&gt;=107</f>
        <v/>
      </c>
      <c r="D2022">
        <f>IF(Skills!C16=1,60+Inputs!$B$25+Inputs!$B$29,IF(Skills!C16=2,90+Inputs!$B$26+Inputs!$B$29,IF(Skills!C16=3,120+Inputs!$B$27+Inputs!$B$29,MAX(0,(Inputs!$B$3-100)*3)+Inputs!$B$28+Inputs!$B$29)))</f>
        <v/>
      </c>
      <c r="E2022">
        <f>INDEX(FactorTable!$B$2:$Y$301, MATCH(ROUND(MIN(300,MAX(1,D2022)),0), FactorTable!$A$2:$A$301,0), Skills!M16+1)</f>
        <v/>
      </c>
      <c r="F2022">
        <f>IF(Skills!N16=TRUE,(Skills!L16/10)*(E2022/1000),Skills!L16/10)+Skills!O16</f>
        <v/>
      </c>
      <c r="G2022">
        <f>Calc!G16</f>
        <v/>
      </c>
      <c r="H2022">
        <f>Calc!H16</f>
        <v/>
      </c>
      <c r="I2022">
        <f>IF(Skills!X16&lt;&gt;"",1+(Skills!X16/10)*(Z2009/1000)/100,1)</f>
        <v/>
      </c>
      <c r="J2022">
        <f>((Inputs!$B$6*(1+Inputs!$B$7/100))+(((Inputs!$B$12*(1+Inputs!$B$13/100))-(Inputs!$B$12*(1+Inputs!$B$13/100)))+0.25*(Inputs!$B$14-Inputs!$B$14))*(1+Inputs!$B$7/100))*(F2022/100)</f>
        <v/>
      </c>
      <c r="K2022">
        <f>J2022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2022)</f>
        <v/>
      </c>
      <c r="L2022">
        <f>K2022*(MIN(Inputs!$B$22+(F2028-Calc!F22),(Inputs!$B$23+(IF(ArtifactsInput!$M$15,CHOOSE(ArtifactsInput!$N$15+1,25,30,35,40,45,50)/100*(Inputs!$B$11-Inputs!$B$11),0))))/100+(Inputs!$B$23+(IF(ArtifactsInput!$M$15,CHOOSE(ArtifactsInput!$N$15+1,25,30,35,40,45,50)/100*(Inputs!$B$11-Inputs!$B$11),0)))/100)/2</f>
        <v/>
      </c>
      <c r="M2022">
        <f>L2022*(1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22">
        <f>L2022*(1-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2022*(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22">
        <f>(1-Summary!$B$11)*S2022+Summary!$B$11*U2022</f>
        <v/>
      </c>
      <c r="P2022">
        <f>IF(B2047=0,0,O2022/B2047)</f>
        <v/>
      </c>
      <c r="Q2022">
        <f>IFERROR(1/(IF(Inputs!$B$38="pvp",15,MAX(0.1,Skills!E16-IF(Skills!F16=TRUE,Inputs!$B$32,0)))*(1-IF(AND(ArtifactsInput!$M$27,Inputs!$B$4="Chapter Hunt"),CHOOSE(ArtifactsInput!$N$27+1,20,24,28,32,36,40),0)/100)),0)</f>
        <v/>
      </c>
      <c r="R2022">
        <f>IF(AND(Inputs!$B$38&lt;&gt;"pvp",Inputs!$B$43&gt;0),IF(MAX(0,Inputs!$B$43-B2044)&lt;=0,0,(INT(MAX(0,Inputs!$B$43-B2044)/(IF(Inputs!$B$38="pvp",15,MAX(0.1,Skills!E16-IF(Skills!F16=TRUE,Inputs!$B$32,0)))*(1-IF(AND(ArtifactsInput!$M$27,Inputs!$B$4="Chapter Hunt"),CHOOSE(ArtifactsInput!$N$27+1,20,24,28,32,36,40),0)/100)))+1)),0)</f>
        <v/>
      </c>
      <c r="S2022">
        <f>IF(C2022,(H2022*N2022*IF(AND(Inputs!$B$38&lt;&gt;"pvp",Inputs!$B$43&gt;0),((Skills!G16*((R2022-1)*IF(Skills!H16&gt;0,Skills!I16/Skills!H16,1)+IF(Skills!H16&gt;0,MIN(Skills!I16,MAX(0,MAX(0,Inputs!$B$43-B2044)-((R2022-1)*(IF(Inputs!$B$38="pvp",15,MAX(0.1,Skills!E16-IF(Skills!F16=TRUE,Inputs!$B$32,0)))*(1-IF(AND(ArtifactsInput!$M$27,Inputs!$B$4="Chapter Hunt"),CHOOSE(ArtifactsInput!$N$27+1,20,24,28,32,36,40),0)/100)))))/Skills!H16,1)))/Inputs!$B$43),G2022*Q2022)*(1+IF(Inputs!$B$3&gt;=126,0.05*(B2042+Q2019+(H2020*B2043)/(1+Skills!H14*H2020*B2043)+Q2030)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2022*(1-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2022*(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2022*(1-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2022*(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22">
        <f>IF(C2022,(H2022*N2022*IF(AND(Inputs!$B$38&lt;&gt;"pvp",Inputs!$B$43&gt;0),((Skills!G16*((R2022-1)*IF(Skills!H16&gt;0,Skills!I16/Skills!H16,1)+IF(Skills!H16&gt;0,MIN(Skills!I16,MAX(0,MAX(0,Inputs!$B$43-B2044)-((R2022-1)*(IF(Inputs!$B$38="pvp",15,MAX(0.1,Skills!E16-IF(Skills!F16=TRUE,Inputs!$B$32,0)))*(1-IF(AND(ArtifactsInput!$M$27,Inputs!$B$4="Chapter Hunt"),CHOOSE(ArtifactsInput!$N$27+1,20,24,28,32,36,40),0)/100)))))/Skills!H16,1)))/Inputs!$B$43),G2022*Q2022)*(1+IF(Inputs!$B$3&gt;=126,0.05*(B2042+Q2019+(H2020*B2043)/(1+Skills!H14*H2020*B2043)+Q2030)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23">
      <c r="A2023">
        <f>Skills!A17</f>
        <v/>
      </c>
      <c r="B2023">
        <f>Skills!B17</f>
        <v/>
      </c>
      <c r="C2023">
        <f>TRUE</f>
        <v/>
      </c>
      <c r="D2023">
        <f>IF(Skills!C17=1,60+Inputs!$B$25+Inputs!$B$29,IF(Skills!C17=2,90+Inputs!$B$26+Inputs!$B$29,IF(Skills!C17=3,120+Inputs!$B$27+Inputs!$B$29,MAX(0,(Inputs!$B$3-100)*3)+Inputs!$B$28+Inputs!$B$29)))</f>
        <v/>
      </c>
      <c r="E2023">
        <f>INDEX(FactorTable!$B$2:$Y$301, MATCH(ROUND(MIN(300,MAX(1,D2023)),0), FactorTable!$A$2:$A$301,0), Skills!M17+1)</f>
        <v/>
      </c>
      <c r="F2023">
        <f>IF(Skills!N17=TRUE,(Skills!L17/10)*(E2023/1000),Skills!L17/10)+Skills!O17</f>
        <v/>
      </c>
      <c r="G2023">
        <f>Calc!G17</f>
        <v/>
      </c>
      <c r="H2023">
        <f>Calc!H17</f>
        <v/>
      </c>
      <c r="I2023">
        <f>IF(Skills!X17&lt;&gt;"",1+(Skills!X17/10)*(Z2009/1000)/100,1)</f>
        <v/>
      </c>
      <c r="J2023" t="inlineStr"/>
      <c r="K2023" t="inlineStr"/>
      <c r="L2023" t="inlineStr"/>
      <c r="M2023" t="inlineStr"/>
      <c r="N2023" t="inlineStr"/>
      <c r="O2023">
        <f>(1-Summary!$B$11)*S2023+Summary!$B$11*U2023</f>
        <v/>
      </c>
      <c r="P2023">
        <f>IF(B2047=0,0,O2023/B2047)</f>
        <v/>
      </c>
      <c r="Q2023">
        <f>IFERROR(1/(IF(Inputs!$B$38="pvp",15,MAX(0.1,Skills!E17-IF(Skills!F17=TRUE,Inputs!$B$32,0)))*(1-IF(AND(ArtifactsInput!$M$27,Inputs!$B$4="Chapter Hunt"),CHOOSE(ArtifactsInput!$N$27+1,20,24,28,32,36,40),0)/100)),0)</f>
        <v/>
      </c>
      <c r="R2023">
        <f>IF(AND(Inputs!$B$38&lt;&gt;"pvp",Inputs!$B$43&gt;0),IF(Inputs!$B$43&lt;=0,0,(INT(Inputs!$B$43/(IF(Inputs!$B$38="pvp",15,MAX(0.1,Skills!E17-IF(Skills!F17=TRUE,Inputs!$B$32,0)))*(1-IF(AND(ArtifactsInput!$M$27,Inputs!$B$4="Chapter Hunt"),CHOOSE(ArtifactsInput!$N$27+1,20,24,28,32,36,40),0)/100)))+1)),0)</f>
        <v/>
      </c>
      <c r="S2023" t="n">
        <v>0</v>
      </c>
      <c r="U2023" t="n">
        <v>0</v>
      </c>
    </row>
    <row r="2024">
      <c r="A2024">
        <f>Skills!A18</f>
        <v/>
      </c>
      <c r="B2024">
        <f>Skills!B18</f>
        <v/>
      </c>
      <c r="C2024">
        <f>TRUE</f>
        <v/>
      </c>
      <c r="D2024">
        <f>IF(Skills!C18=1,60+Inputs!$B$25+Inputs!$B$29,IF(Skills!C18=2,90+Inputs!$B$26+Inputs!$B$29,IF(Skills!C18=3,120+Inputs!$B$27+Inputs!$B$29,MAX(0,(Inputs!$B$3-100)*3)+Inputs!$B$28+Inputs!$B$29)))</f>
        <v/>
      </c>
      <c r="E2024">
        <f>INDEX(FactorTable!$B$2:$Y$301, MATCH(ROUND(MIN(300,MAX(1,D2024)),0), FactorTable!$A$2:$A$301,0), Skills!M18+1)</f>
        <v/>
      </c>
      <c r="F2024">
        <f>IF(Skills!N18=TRUE,(Skills!L18/10)*(E2024/1000),Skills!L18/10)+Skills!O18</f>
        <v/>
      </c>
      <c r="G2024">
        <f>Calc!G18</f>
        <v/>
      </c>
      <c r="H2024">
        <f>Calc!H18</f>
        <v/>
      </c>
      <c r="I2024">
        <f>IF(Skills!X18&lt;&gt;"",1+(Skills!X18/10)*(Z2009/1000)/100,1)</f>
        <v/>
      </c>
      <c r="J2024" t="inlineStr"/>
      <c r="K2024" t="inlineStr"/>
      <c r="L2024" t="inlineStr"/>
      <c r="M2024" t="inlineStr"/>
      <c r="N2024" t="inlineStr"/>
      <c r="O2024">
        <f>(1-Summary!$B$11)*S2024+Summary!$B$11*U2024</f>
        <v/>
      </c>
      <c r="P2024">
        <f>IF(B2047=0,0,O2024/B2047)</f>
        <v/>
      </c>
      <c r="Q2024">
        <f>IFERROR(1/(IF(Inputs!$B$38="pvp",15,MAX(0.1,Skills!E18-IF(Skills!F18=TRUE,Inputs!$B$32,0)))*(1-IF(AND(ArtifactsInput!$M$27,Inputs!$B$4="Chapter Hunt"),CHOOSE(ArtifactsInput!$N$27+1,20,24,28,32,36,40),0)/100)),0)</f>
        <v/>
      </c>
      <c r="R2024">
        <f>IF(AND(Inputs!$B$38&lt;&gt;"pvp",Inputs!$B$43&gt;0),IF(Inputs!$B$43&lt;=0,0,(INT(Inputs!$B$43/(IF(Inputs!$B$38="pvp",15,MAX(0.1,Skills!E18-IF(Skills!F18=TRUE,Inputs!$B$32,0)))*(1-IF(AND(ArtifactsInput!$M$27,Inputs!$B$4="Chapter Hunt"),CHOOSE(ArtifactsInput!$N$27+1,20,24,28,32,36,40),0)/100)))+1)),0)</f>
        <v/>
      </c>
      <c r="S2024" t="n">
        <v>0</v>
      </c>
      <c r="U2024" t="n">
        <v>0</v>
      </c>
    </row>
    <row r="2025">
      <c r="A2025">
        <f>Skills!A19</f>
        <v/>
      </c>
      <c r="B2025">
        <f>Skills!B19</f>
        <v/>
      </c>
      <c r="C2025">
        <f>Inputs!$B$3&gt;=110</f>
        <v/>
      </c>
      <c r="D2025">
        <f>IF(Skills!C19=1,60+Inputs!$B$25+Inputs!$B$29,IF(Skills!C19=2,90+Inputs!$B$26+Inputs!$B$29,IF(Skills!C19=3,120+Inputs!$B$27+Inputs!$B$29,MAX(0,(Inputs!$B$3-100)*3)+Inputs!$B$28+Inputs!$B$29)))</f>
        <v/>
      </c>
      <c r="E2025">
        <f>INDEX(FactorTable!$B$2:$Y$301, MATCH(ROUND(MIN(300,MAX(1,D2025)),0), FactorTable!$A$2:$A$301,0), Skills!M19+1)</f>
        <v/>
      </c>
      <c r="F2025">
        <f>IF(Skills!N19=TRUE,(Skills!L19/10)*(E2025/1000),Skills!L19/10)+Skills!O19</f>
        <v/>
      </c>
      <c r="G2025">
        <f>Calc!G19</f>
        <v/>
      </c>
      <c r="H2025">
        <f>Calc!H19</f>
        <v/>
      </c>
      <c r="I2025">
        <f>IF(Skills!X19&lt;&gt;"",1+(Skills!X19/10)*(Z2009/1000)/100,1)</f>
        <v/>
      </c>
      <c r="J2025" t="inlineStr"/>
      <c r="K2025" t="inlineStr"/>
      <c r="L2025" t="inlineStr"/>
      <c r="M2025" t="inlineStr"/>
      <c r="N2025" t="inlineStr"/>
      <c r="O2025">
        <f>(1-Summary!$B$11)*S2025+Summary!$B$11*U2025</f>
        <v/>
      </c>
      <c r="P2025">
        <f>IF(B2047=0,0,O2025/B2047)</f>
        <v/>
      </c>
      <c r="Q2025">
        <f>IFERROR(1/(IF(Inputs!$B$38="pvp",15,MAX(0.1,Skills!E19-IF(Skills!F19=TRUE,Inputs!$B$32,0)))*(1-IF(AND(ArtifactsInput!$M$27,Inputs!$B$4="Chapter Hunt"),CHOOSE(ArtifactsInput!$N$27+1,20,24,28,32,36,40),0)/100)),0)</f>
        <v/>
      </c>
      <c r="R2025">
        <f>IF(AND(Inputs!$B$38&lt;&gt;"pvp",Inputs!$B$43&gt;0),IF(Inputs!$B$43&lt;=0,0,(INT(Inputs!$B$43/(IF(Inputs!$B$38="pvp",15,MAX(0.1,Skills!E19-IF(Skills!F19=TRUE,Inputs!$B$32,0)))*(1-IF(AND(ArtifactsInput!$M$27,Inputs!$B$4="Chapter Hunt"),CHOOSE(ArtifactsInput!$N$27+1,20,24,28,32,36,40),0)/100)))+1)),0)</f>
        <v/>
      </c>
      <c r="S2025" t="n">
        <v>0</v>
      </c>
      <c r="U2025" t="n">
        <v>0</v>
      </c>
    </row>
    <row r="2026">
      <c r="A2026">
        <f>Skills!A20</f>
        <v/>
      </c>
      <c r="B2026">
        <f>Skills!B20</f>
        <v/>
      </c>
      <c r="C2026">
        <f>TRUE</f>
        <v/>
      </c>
      <c r="D2026">
        <f>IF(Skills!C20=1,60+Inputs!$B$25+Inputs!$B$29,IF(Skills!C20=2,90+Inputs!$B$26+Inputs!$B$29,IF(Skills!C20=3,120+Inputs!$B$27+Inputs!$B$29,MAX(0,(Inputs!$B$3-100)*3)+Inputs!$B$28+Inputs!$B$29)))</f>
        <v/>
      </c>
      <c r="E2026">
        <f>INDEX(FactorTable!$B$2:$Y$301, MATCH(ROUND(MIN(300,MAX(1,D2026)),0), FactorTable!$A$2:$A$301,0), Skills!M20+1)</f>
        <v/>
      </c>
      <c r="F2026">
        <f>IF(Skills!N20=TRUE,(Skills!L20/10)*(E2026/1000),Skills!L20/10)+Skills!O20</f>
        <v/>
      </c>
      <c r="G2026">
        <f>Calc!G20</f>
        <v/>
      </c>
      <c r="H2026">
        <f>Calc!H20</f>
        <v/>
      </c>
      <c r="I2026">
        <f>IF(Skills!X20&lt;&gt;"",1+(Skills!X20/10)*(Z2009/1000)/100,1)</f>
        <v/>
      </c>
      <c r="J2026" t="inlineStr"/>
      <c r="K2026" t="inlineStr"/>
      <c r="L2026" t="inlineStr"/>
      <c r="M2026" t="inlineStr"/>
      <c r="N2026" t="inlineStr"/>
      <c r="O2026">
        <f>(1-Summary!$B$11)*S2026+Summary!$B$11*U2026</f>
        <v/>
      </c>
      <c r="P2026">
        <f>IF(B2047=0,0,O2026/B2047)</f>
        <v/>
      </c>
      <c r="Q2026">
        <f>IFERROR(1/(IF(Inputs!$B$38="pvp",15,MAX(0.1,Skills!E20-IF(Skills!F20=TRUE,Inputs!$B$32,0)))*(1-IF(AND(ArtifactsInput!$M$27,Inputs!$B$4="Chapter Hunt"),CHOOSE(ArtifactsInput!$N$27+1,20,24,28,32,36,40),0)/100)),0)</f>
        <v/>
      </c>
      <c r="R2026" t="n">
        <v>0</v>
      </c>
      <c r="S2026" t="n">
        <v>0</v>
      </c>
      <c r="U2026" t="n">
        <v>0</v>
      </c>
    </row>
    <row r="2027">
      <c r="A2027">
        <f>Skills!A21</f>
        <v/>
      </c>
      <c r="B2027">
        <f>Skills!B21</f>
        <v/>
      </c>
      <c r="C2027">
        <f>TRUE</f>
        <v/>
      </c>
      <c r="D2027">
        <f>IF(Skills!C21=1,60+Inputs!$B$25+Inputs!$B$29,IF(Skills!C21=2,90+Inputs!$B$26+Inputs!$B$29,IF(Skills!C21=3,120+Inputs!$B$27+Inputs!$B$29,MAX(0,(Inputs!$B$3-100)*3)+Inputs!$B$28+Inputs!$B$29)))</f>
        <v/>
      </c>
      <c r="E2027">
        <f>INDEX(FactorTable!$B$2:$Y$301, MATCH(ROUND(MIN(300,MAX(1,D2027)),0), FactorTable!$A$2:$A$301,0), Skills!M21+1)</f>
        <v/>
      </c>
      <c r="F2027">
        <f>IF(Skills!N21=TRUE,(Skills!L21/10)*(E2027/1000),Skills!L21/10)+Skills!O21</f>
        <v/>
      </c>
      <c r="G2027">
        <f>Calc!G21</f>
        <v/>
      </c>
      <c r="H2027">
        <f>Calc!H21</f>
        <v/>
      </c>
      <c r="I2027">
        <f>IF(Skills!X21&lt;&gt;"",1+(Skills!X21/10)*(Z2009/1000)/100,1)</f>
        <v/>
      </c>
      <c r="J2027" t="inlineStr"/>
      <c r="K2027" t="inlineStr"/>
      <c r="L2027" t="inlineStr"/>
      <c r="M2027" t="inlineStr"/>
      <c r="N2027" t="inlineStr"/>
      <c r="O2027">
        <f>(1-Summary!$B$11)*S2027+Summary!$B$11*U2027</f>
        <v/>
      </c>
      <c r="P2027">
        <f>IF(B2047=0,0,O2027/B2047)</f>
        <v/>
      </c>
      <c r="Q2027">
        <f>IFERROR(1/(IF(Inputs!$B$38="pvp",15,MAX(0.1,Skills!E21-IF(Skills!F21=TRUE,Inputs!$B$32,0)))*(1-IF(AND(ArtifactsInput!$M$27,Inputs!$B$4="Chapter Hunt"),CHOOSE(ArtifactsInput!$N$27+1,20,24,28,32,36,40),0)/100)),0)</f>
        <v/>
      </c>
      <c r="R2027" t="n">
        <v>0</v>
      </c>
      <c r="S2027" t="n">
        <v>0</v>
      </c>
      <c r="U2027" t="n">
        <v>0</v>
      </c>
    </row>
    <row r="2028">
      <c r="A2028">
        <f>Skills!A22</f>
        <v/>
      </c>
      <c r="B2028">
        <f>Skills!B22</f>
        <v/>
      </c>
      <c r="C2028">
        <f>TRUE</f>
        <v/>
      </c>
      <c r="D2028">
        <f>IF(Skills!C22=1,60+Inputs!$B$25+Inputs!$B$29,IF(Skills!C22=2,90+Inputs!$B$26+Inputs!$B$29,IF(Skills!C22=3,120+Inputs!$B$27+Inputs!$B$29,MAX(0,(Inputs!$B$3-100)*3)+Inputs!$B$28+Inputs!$B$29)))</f>
        <v/>
      </c>
      <c r="E2028">
        <f>INDEX(FactorTable!$B$2:$Y$301, MATCH(ROUND(MIN(300,MAX(1,D2028)),0), FactorTable!$A$2:$A$301,0), Skills!M22+1)</f>
        <v/>
      </c>
      <c r="F2028">
        <f>IF(Skills!N22=TRUE,(Skills!L22/10)*(E2028/1000),Skills!L22/10)+Skills!O22</f>
        <v/>
      </c>
      <c r="G2028">
        <f>Calc!G22</f>
        <v/>
      </c>
      <c r="H2028">
        <f>Calc!H22</f>
        <v/>
      </c>
      <c r="I2028">
        <f>IF(Skills!X22&lt;&gt;"",1+(Skills!X22/10)*(Z2009/1000)/100,1)</f>
        <v/>
      </c>
      <c r="J2028" t="inlineStr"/>
      <c r="K2028" t="inlineStr"/>
      <c r="L2028" t="inlineStr"/>
      <c r="M2028" t="inlineStr"/>
      <c r="N2028" t="inlineStr"/>
      <c r="O2028">
        <f>(1-Summary!$B$11)*S2028+Summary!$B$11*U2028</f>
        <v/>
      </c>
      <c r="P2028">
        <f>IF(B2047=0,0,O2028/B2047)</f>
        <v/>
      </c>
      <c r="Q2028">
        <f>IFERROR(1/(IF(Inputs!$B$38="pvp",15,MAX(0.1,Skills!E22-IF(Skills!F22=TRUE,Inputs!$B$32,0)))*(1-IF(AND(ArtifactsInput!$M$27,Inputs!$B$4="Chapter Hunt"),CHOOSE(ArtifactsInput!$N$27+1,20,24,28,32,36,40),0)/100)),0)</f>
        <v/>
      </c>
      <c r="R2028" t="n">
        <v>0</v>
      </c>
      <c r="S2028" t="n">
        <v>0</v>
      </c>
      <c r="U2028" t="n">
        <v>0</v>
      </c>
    </row>
    <row r="2029">
      <c r="A2029">
        <f>Skills!A23</f>
        <v/>
      </c>
      <c r="B2029">
        <f>Skills!B23</f>
        <v/>
      </c>
      <c r="C2029">
        <f>TRUE</f>
        <v/>
      </c>
      <c r="D2029">
        <f>IF(Skills!C23=1,60+Inputs!$B$25+Inputs!$B$29,IF(Skills!C23=2,90+Inputs!$B$26+Inputs!$B$29,IF(Skills!C23=3,120+Inputs!$B$27+Inputs!$B$29,MAX(0,(Inputs!$B$3-100)*3)+Inputs!$B$28+Inputs!$B$29)))</f>
        <v/>
      </c>
      <c r="E2029">
        <f>INDEX(FactorTable!$B$2:$Y$301, MATCH(ROUND(MIN(300,MAX(1,D2029)),0), FactorTable!$A$2:$A$301,0), Skills!M23+1)</f>
        <v/>
      </c>
      <c r="F2029">
        <f>IF(Skills!N23=TRUE,(Skills!L23/10)*(E2029/1000),Skills!L23/10)+Skills!O23</f>
        <v/>
      </c>
      <c r="G2029">
        <f>Calc!G23</f>
        <v/>
      </c>
      <c r="H2029">
        <f>Calc!H23</f>
        <v/>
      </c>
      <c r="I2029">
        <f>IF(Skills!X23&lt;&gt;"",1+(Skills!X23/10)*(Z2009/1000)/100,1)</f>
        <v/>
      </c>
      <c r="J2029" t="inlineStr"/>
      <c r="K2029" t="inlineStr"/>
      <c r="L2029" t="inlineStr"/>
      <c r="M2029" t="inlineStr"/>
      <c r="N2029" t="inlineStr"/>
      <c r="O2029">
        <f>(1-Summary!$B$11)*S2029+Summary!$B$11*U2029</f>
        <v/>
      </c>
      <c r="P2029">
        <f>IF(B2047=0,0,O2029/B2047)</f>
        <v/>
      </c>
      <c r="Q2029">
        <f>IFERROR(1/(IF(Inputs!$B$38="pvp",15,MAX(0.1,Skills!E23-IF(Skills!F23=TRUE,Inputs!$B$32,0)))*(1-IF(AND(ArtifactsInput!$M$27,Inputs!$B$4="Chapter Hunt"),CHOOSE(ArtifactsInput!$N$27+1,20,24,28,32,36,40),0)/100)),0)</f>
        <v/>
      </c>
      <c r="R2029" t="n">
        <v>0</v>
      </c>
      <c r="S2029" t="n">
        <v>0</v>
      </c>
      <c r="U2029" t="n">
        <v>0</v>
      </c>
    </row>
    <row r="2030">
      <c r="A2030">
        <f>Skills!A24</f>
        <v/>
      </c>
      <c r="B2030">
        <f>Skills!B24</f>
        <v/>
      </c>
      <c r="C2030">
        <f>Inputs!$B$3&gt;=115</f>
        <v/>
      </c>
      <c r="D2030">
        <f>IF(Skills!C24=1,60+Inputs!$B$25+Inputs!$B$29,IF(Skills!C24=2,90+Inputs!$B$26+Inputs!$B$29,IF(Skills!C24=3,120+Inputs!$B$27+Inputs!$B$29,MAX(0,(Inputs!$B$3-100)*3)+Inputs!$B$28+Inputs!$B$29)))</f>
        <v/>
      </c>
      <c r="E2030">
        <f>INDEX(FactorTable!$B$2:$Y$301, MATCH(ROUND(MIN(300,MAX(1,D2030)),0), FactorTable!$A$2:$A$301,0), Skills!M24+1)</f>
        <v/>
      </c>
      <c r="F2030">
        <f>IF(Skills!N24=TRUE,(Skills!L24/10)*(E2030/1000),Skills!L24/10)+Skills!O24</f>
        <v/>
      </c>
      <c r="G2030">
        <f>Calc!G24</f>
        <v/>
      </c>
      <c r="H2030">
        <f>Calc!H24</f>
        <v/>
      </c>
      <c r="I2030">
        <f>IF(Skills!X24&lt;&gt;"",1+(Skills!X24/10)*(Z2009/1000)/100,1)</f>
        <v/>
      </c>
      <c r="J2030">
        <f>((Inputs!$B$6*(1+Inputs!$B$7/100))+(((Inputs!$B$12*(1+Inputs!$B$13/100))-(Inputs!$B$12*(1+Inputs!$B$13/100)))+0.25*(Inputs!$B$14-Inputs!$B$14))*(1+Inputs!$B$7/100))*(F2030/100)</f>
        <v/>
      </c>
      <c r="K2030">
        <f>J2030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2030)</f>
        <v/>
      </c>
      <c r="L2030">
        <f>K2030*(MIN(Inputs!$B$22+(F2028-Calc!F22),(Inputs!$B$23+(IF(ArtifactsInput!$M$15,CHOOSE(ArtifactsInput!$N$15+1,25,30,35,40,45,50)/100*(Inputs!$B$11-Inputs!$B$11),0))))/100+(Inputs!$B$23+(IF(ArtifactsInput!$M$15,CHOOSE(ArtifactsInput!$N$15+1,25,30,35,40,45,50)/100*(Inputs!$B$11-Inputs!$B$11),0)))/100)/2</f>
        <v/>
      </c>
      <c r="M2030">
        <f>L2030*(1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0">
        <f>L2030*(1-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2030*(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0">
        <f>(1-Summary!$B$11)*S2030+Summary!$B$11*U2030</f>
        <v/>
      </c>
      <c r="P2030">
        <f>IF(B2047=0,0,O2030/B2047)</f>
        <v/>
      </c>
      <c r="Q2030">
        <f>IFERROR(1/(IF(Inputs!$B$38="pvp",15,MAX(0.1,Skills!E24-IF(Skills!F24=TRUE,Inputs!$B$32,0)))*(1-IF(AND(ArtifactsInput!$M$27,Inputs!$B$4="Chapter Hunt"),CHOOSE(ArtifactsInput!$N$27+1,20,24,28,32,36,40),0)/100)),0)</f>
        <v/>
      </c>
      <c r="R2030">
        <f>IF(AND(Inputs!$B$38&lt;&gt;"pvp",Inputs!$B$43&gt;0),IF(MAX(0,Inputs!$B$43-B2044)&lt;=0,0,(INT(MAX(0,Inputs!$B$43-B2044)/(IF(Inputs!$B$38="pvp",15,MAX(0.1,Skills!E24-IF(Skills!F24=TRUE,Inputs!$B$32,0)))*(1-IF(AND(ArtifactsInput!$M$27,Inputs!$B$4="Chapter Hunt"),CHOOSE(ArtifactsInput!$N$27+1,20,24,28,32,36,40),0)/100)))+1)),0)</f>
        <v/>
      </c>
      <c r="S2030">
        <f>IF(C2030,(H2030*N2030*IF(AND(Inputs!$B$38&lt;&gt;"pvp",Inputs!$B$43&gt;0),((Skills!G24*((R2030-1)*IF(Skills!H24&gt;0,Skills!I24/Skills!H24,1)+IF(Skills!H24&gt;0,MIN(Skills!I24,MAX(0,MAX(0,Inputs!$B$43-B2044)-((R2030-1)*(IF(Inputs!$B$38="pvp",15,MAX(0.1,Skills!E24-IF(Skills!F24=TRUE,Inputs!$B$32,0)))*(1-IF(AND(ArtifactsInput!$M$27,Inputs!$B$4="Chapter Hunt"),CHOOSE(ArtifactsInput!$N$27+1,20,24,28,32,36,40),0)/100)))))/Skills!H24,1)))/Inputs!$B$43),G2030*Q2030)*(1+IF(Inputs!$B$3&gt;=130,0.2*(Skills!I16/Skills!E15+IF(Inputs!$B$3&gt;=126,0.05*(B2042+Q2019+(H2020*B2043)/(1+Skills!H14*H2020*B2043)+Q2030)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2030*(1-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2030*(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2030*(1-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2030*(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30">
        <f>IF(C2030,(H2030*N2030*IF(AND(Inputs!$B$38&lt;&gt;"pvp",Inputs!$B$43&gt;0),((Skills!G24*((R2030-1)*IF(Skills!H24&gt;0,Skills!I24/Skills!H24,1)+IF(Skills!H24&gt;0,MIN(Skills!I24,MAX(0,MAX(0,Inputs!$B$43-B2044)-((R2030-1)*(IF(Inputs!$B$38="pvp",15,MAX(0.1,Skills!E24-IF(Skills!F24=TRUE,Inputs!$B$32,0)))*(1-IF(AND(ArtifactsInput!$M$27,Inputs!$B$4="Chapter Hunt"),CHOOSE(ArtifactsInput!$N$27+1,20,24,28,32,36,40),0)/100)))))/Skills!H24,1)))/Inputs!$B$43),G2030*Q2030)*(1+IF(Inputs!$B$3&gt;=130,0.2*(Skills!I16/Skills!E15+IF(Inputs!$B$3&gt;=126,0.05*(B2042+Q2019+(H2020*B2043)/(1+Skills!H14*H2020*B2043)+Q2030)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1">
      <c r="A2031">
        <f>Skills!A25</f>
        <v/>
      </c>
      <c r="B2031">
        <f>Skills!B25</f>
        <v/>
      </c>
      <c r="C2031">
        <f>Inputs!$B$3&gt;=117</f>
        <v/>
      </c>
      <c r="D2031">
        <f>IF(Skills!C25=1,60+Inputs!$B$25+Inputs!$B$29,IF(Skills!C25=2,90+Inputs!$B$26+Inputs!$B$29,IF(Skills!C25=3,120+Inputs!$B$27+Inputs!$B$29,MAX(0,(Inputs!$B$3-100)*3)+Inputs!$B$28+Inputs!$B$29)))</f>
        <v/>
      </c>
      <c r="E2031">
        <f>INDEX(FactorTable!$B$2:$Y$301, MATCH(ROUND(MIN(300,MAX(1,D2031)),0), FactorTable!$A$2:$A$301,0), Skills!M25+1)</f>
        <v/>
      </c>
      <c r="F2031">
        <f>IF(Skills!N25=TRUE,(Skills!L25/10)*(E2031/1000),Skills!L25/10)+Skills!O25</f>
        <v/>
      </c>
      <c r="G2031">
        <f>Calc!G25</f>
        <v/>
      </c>
      <c r="H2031">
        <f>Calc!H25</f>
        <v/>
      </c>
      <c r="I2031">
        <f>IF(Skills!X25&lt;&gt;"",1+(Skills!X25/10)*(Z2009/1000)/100,1)</f>
        <v/>
      </c>
      <c r="J2031" t="inlineStr"/>
      <c r="K2031" t="inlineStr"/>
      <c r="L2031" t="inlineStr"/>
      <c r="M2031" t="inlineStr"/>
      <c r="N2031" t="inlineStr"/>
      <c r="O2031">
        <f>(1-Summary!$B$11)*S2031+Summary!$B$11*U2031</f>
        <v/>
      </c>
      <c r="P2031">
        <f>IF(B2047=0,0,O2031/B2047)</f>
        <v/>
      </c>
      <c r="Q2031">
        <f>IFERROR(1/(IF(Inputs!$B$38="pvp",15,MAX(0.1,Skills!E25-IF(Skills!F25=TRUE,Inputs!$B$32,0)))*(1-IF(AND(ArtifactsInput!$M$27,Inputs!$B$4="Chapter Hunt"),CHOOSE(ArtifactsInput!$N$27+1,20,24,28,32,36,40),0)/100)),0)</f>
        <v/>
      </c>
      <c r="R2031" t="n">
        <v>0</v>
      </c>
      <c r="S2031" t="n">
        <v>0</v>
      </c>
      <c r="U2031" t="n">
        <v>0</v>
      </c>
    </row>
    <row r="2032">
      <c r="A2032">
        <f>Skills!A26</f>
        <v/>
      </c>
      <c r="B2032">
        <f>Skills!B26</f>
        <v/>
      </c>
      <c r="C2032">
        <f>Inputs!$B$3&gt;=120</f>
        <v/>
      </c>
      <c r="D2032">
        <f>IF(Skills!C26=1,60+Inputs!$B$25+Inputs!$B$29,IF(Skills!C26=2,90+Inputs!$B$26+Inputs!$B$29,IF(Skills!C26=3,120+Inputs!$B$27+Inputs!$B$29,MAX(0,(Inputs!$B$3-100)*3)+Inputs!$B$28+Inputs!$B$29)))</f>
        <v/>
      </c>
      <c r="E2032">
        <f>INDEX(FactorTable!$B$2:$Y$301, MATCH(ROUND(MIN(300,MAX(1,D2032)),0), FactorTable!$A$2:$A$301,0), Skills!M26+1)</f>
        <v/>
      </c>
      <c r="F2032">
        <f>IF(Skills!N26=TRUE,(Skills!L26/10)*(E2032/1000),Skills!L26/10)+Skills!O26</f>
        <v/>
      </c>
      <c r="G2032">
        <f>Calc!G26</f>
        <v/>
      </c>
      <c r="H2032">
        <f>Calc!H26</f>
        <v/>
      </c>
      <c r="I2032">
        <f>IF(Skills!X26&lt;&gt;"",1+(Skills!X26/10)*(Z2009/1000)/100,1)</f>
        <v/>
      </c>
      <c r="J2032" t="inlineStr"/>
      <c r="K2032" t="inlineStr"/>
      <c r="L2032" t="inlineStr"/>
      <c r="M2032" t="inlineStr"/>
      <c r="N2032" t="inlineStr"/>
      <c r="O2032">
        <f>(1-Summary!$B$11)*S2032+Summary!$B$11*U2032</f>
        <v/>
      </c>
      <c r="P2032">
        <f>IF(B2047=0,0,O2032/B2047)</f>
        <v/>
      </c>
      <c r="Q2032">
        <f>IFERROR(1/(IF(Inputs!$B$38="pvp",15,MAX(0.1,Skills!E26-IF(Skills!F26=TRUE,Inputs!$B$32,0)))*(1-IF(AND(ArtifactsInput!$M$27,Inputs!$B$4="Chapter Hunt"),CHOOSE(ArtifactsInput!$N$27+1,20,24,28,32,36,40),0)/100)),0)</f>
        <v/>
      </c>
      <c r="R2032" t="n">
        <v>0</v>
      </c>
      <c r="S2032" t="n">
        <v>0</v>
      </c>
      <c r="U2032" t="n">
        <v>0</v>
      </c>
    </row>
    <row r="2033">
      <c r="A2033">
        <f>Skills!A27</f>
        <v/>
      </c>
      <c r="B2033">
        <f>Skills!B27</f>
        <v/>
      </c>
      <c r="C2033">
        <f>Inputs!$B$3&gt;=125</f>
        <v/>
      </c>
      <c r="D2033">
        <f>IF(Skills!C27=1,60+Inputs!$B$25+Inputs!$B$29,IF(Skills!C27=2,90+Inputs!$B$26+Inputs!$B$29,IF(Skills!C27=3,120+Inputs!$B$27+Inputs!$B$29,MAX(0,(Inputs!$B$3-100)*3)+Inputs!$B$28+Inputs!$B$29)))</f>
        <v/>
      </c>
      <c r="E2033">
        <f>INDEX(FactorTable!$B$2:$Y$301, MATCH(ROUND(MIN(300,MAX(1,D2033)),0), FactorTable!$A$2:$A$301,0), Skills!M27+1)</f>
        <v/>
      </c>
      <c r="F2033">
        <f>IF(Skills!N27=TRUE,(Skills!L27/10)*(E2033/1000),Skills!L27/10)+Skills!O27</f>
        <v/>
      </c>
      <c r="G2033">
        <f>Calc!G27</f>
        <v/>
      </c>
      <c r="H2033">
        <f>Calc!H27</f>
        <v/>
      </c>
      <c r="I2033">
        <f>IF(Skills!X27&lt;&gt;"",1+(Skills!X27/10)*(Z2009/1000)/100,1)</f>
        <v/>
      </c>
      <c r="J2033" t="inlineStr"/>
      <c r="K2033" t="inlineStr"/>
      <c r="L2033" t="inlineStr"/>
      <c r="M2033" t="inlineStr"/>
      <c r="N2033" t="inlineStr"/>
      <c r="O2033">
        <f>(1-Summary!$B$11)*S2033+Summary!$B$11*U2033</f>
        <v/>
      </c>
      <c r="P2033">
        <f>IF(B2047=0,0,O2033/B2047)</f>
        <v/>
      </c>
      <c r="Q2033">
        <f>IFERROR(1/(IF(Inputs!$B$38="pvp",15,MAX(0.1,Skills!E27-IF(Skills!F27=TRUE,Inputs!$B$32,0)))*(1-IF(AND(ArtifactsInput!$M$27,Inputs!$B$4="Chapter Hunt"),CHOOSE(ArtifactsInput!$N$27+1,20,24,28,32,36,40),0)/100)),0)</f>
        <v/>
      </c>
      <c r="R2033" t="n">
        <v>0</v>
      </c>
      <c r="S2033" t="n">
        <v>0</v>
      </c>
      <c r="U2033" t="n">
        <v>0</v>
      </c>
    </row>
    <row r="2034">
      <c r="A2034">
        <f>Skills!A28</f>
        <v/>
      </c>
      <c r="B2034">
        <f>Skills!B28</f>
        <v/>
      </c>
      <c r="C2034">
        <f>Inputs!$B$3&gt;=118</f>
        <v/>
      </c>
      <c r="D2034">
        <f>IF(Skills!C28=1,60+Inputs!$B$25+Inputs!$B$29,IF(Skills!C28=2,90+Inputs!$B$26+Inputs!$B$29,IF(Skills!C28=3,120+Inputs!$B$27+Inputs!$B$29,MAX(0,(Inputs!$B$3-100)*3)+Inputs!$B$28+Inputs!$B$29)))</f>
        <v/>
      </c>
      <c r="E2034">
        <f>INDEX(FactorTable!$B$2:$Y$301, MATCH(ROUND(MIN(300,MAX(1,D2034)),0), FactorTable!$A$2:$A$301,0), Skills!M28+1)</f>
        <v/>
      </c>
      <c r="F2034">
        <f>IF(Skills!N28=TRUE,(Skills!L28/10)*(E2034/1000),Skills!L28/10)+Skills!O28</f>
        <v/>
      </c>
      <c r="G2034">
        <f>Calc!G28</f>
        <v/>
      </c>
      <c r="H2034">
        <f>Calc!H28</f>
        <v/>
      </c>
      <c r="I2034">
        <f>IF(Skills!X28&lt;&gt;"",1+(Skills!X28/10)*(Z2009/1000)/100,1)</f>
        <v/>
      </c>
      <c r="J2034">
        <f>((Inputs!$B$6*(1+Inputs!$B$7/100))+(((Inputs!$B$12*(1+Inputs!$B$13/100))-(Inputs!$B$12*(1+Inputs!$B$13/100)))+0.25*(Inputs!$B$14-Inputs!$B$14))*(1+Inputs!$B$7/100))*(F2034/100)</f>
        <v/>
      </c>
      <c r="K2034">
        <f>J2034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2029/100)*(1+IF(Inputs!$B$3&gt;=120,F2032,0)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2033*5,0)))/100)*(B2036*B2037*B2038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2034)</f>
        <v/>
      </c>
      <c r="L2034">
        <f>K2034*(MIN(Inputs!$B$22+(F2028-Calc!F22),(Inputs!$B$23+(IF(ArtifactsInput!$M$15,CHOOSE(ArtifactsInput!$N$15+1,25,30,35,40,45,50)/100*(Inputs!$B$11-Inputs!$B$11),0))))/100+(Inputs!$B$23+(IF(ArtifactsInput!$M$15,CHOOSE(ArtifactsInput!$N$15+1,25,30,35,40,45,50)/100*(Inputs!$B$11-Inputs!$B$11),0)))/100)/2</f>
        <v/>
      </c>
      <c r="M2034">
        <f>L2034*(1+(Inputs!$B$10+(F2027-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4">
        <f>L2034*(1-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2034*(MIN((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4">
        <f>(1-Summary!$B$11)*S2034+Summary!$B$11*U2034</f>
        <v/>
      </c>
      <c r="P2034">
        <f>IF(B2047=0,0,O2034/B2047)</f>
        <v/>
      </c>
      <c r="Q2034">
        <f>IFERROR(1/(IF(Inputs!$B$38="pvp",15,MAX(0.1,Skills!E28-IF(Skills!F28=TRUE,Inputs!$B$32,0)))*(1-IF(AND(ArtifactsInput!$M$27,Inputs!$B$4="Chapter Hunt"),CHOOSE(ArtifactsInput!$N$27+1,20,24,28,32,36,40),0)/100)),0)</f>
        <v/>
      </c>
      <c r="R2034">
        <f>IF(AND(Inputs!$B$38&lt;&gt;"pvp",Inputs!$B$43&gt;0),IF(MAX(0,Inputs!$B$43-B2044)&lt;=0,0,(INT(MAX(0,Inputs!$B$43-B2044)/(IF(Inputs!$B$38="pvp",15,MAX(0.1,Skills!E28-IF(Skills!F28=TRUE,Inputs!$B$32,0)))*(1-IF(AND(ArtifactsInput!$M$27,Inputs!$B$4="Chapter Hunt"),CHOOSE(ArtifactsInput!$N$27+1,20,24,28,32,36,40),0)/100)))+1)),0)</f>
        <v/>
      </c>
      <c r="S2034">
        <f>IF(C2034,(H2034*N2034*IF(AND(Inputs!$B$38&lt;&gt;"pvp",Inputs!$B$43&gt;0),((Skills!G28*((R2034-1)*IF(Skills!H28&gt;0,Skills!I28/Skills!H28,1)+IF(Skills!H28&gt;0,MIN(Skills!I28,MAX(0,MAX(0,Inputs!$B$43-B2044)-((R2034-1)*(IF(Inputs!$B$38="pvp",15,MAX(0.1,Skills!E28-IF(Skills!F28=TRUE,Inputs!$B$32,0)))*(1-IF(AND(ArtifactsInput!$M$27,Inputs!$B$4="Chapter Hunt"),CHOOSE(ArtifactsInput!$N$27+1,20,24,28,32,36,40),0)/100)))))/Skills!H28,1)))/Inputs!$B$43),G2034*Q2034)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2034*(1-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2034*(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2034*(1-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2034*(MIN(100,(Inputs!$B$9+(F2026-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34">
        <f>IF(C2034,(H2034*N2034*IF(AND(Inputs!$B$38&lt;&gt;"pvp",Inputs!$B$43&gt;0),((Skills!G28*((R2034-1)*IF(Skills!H28&gt;0,Skills!I28/Skills!H28,1)+IF(Skills!H28&gt;0,MIN(Skills!I28,MAX(0,MAX(0,Inputs!$B$43-B2044)-((R2034-1)*(IF(Inputs!$B$38="pvp",15,MAX(0.1,Skills!E28-IF(Skills!F28=TRUE,Inputs!$B$32,0)))*(1-IF(AND(ArtifactsInput!$M$27,Inputs!$B$4="Chapter Hunt"),CHOOSE(ArtifactsInput!$N$27+1,20,24,28,32,36,40),0)/100)))))/Skills!H28,1)))/Inputs!$B$43),G2034*Q2034)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6">
      <c r="A2036" t="inlineStr">
        <is>
          <t>Burning Magic Multiplier</t>
        </is>
      </c>
      <c r="B2036">
        <f>1+(F2017*Skills!Z11)/100</f>
        <v/>
      </c>
    </row>
    <row r="2037">
      <c r="A2037" t="inlineStr">
        <is>
          <t>Elemental Decrease Multiplier (always-on)</t>
        </is>
      </c>
      <c r="B2037">
        <f>1+(F2018+(IF(AND(ArtifactsInput!$M$35,Inputs!$B$4&lt;&gt;"Chapter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f>
        <v/>
      </c>
    </row>
    <row r="2038">
      <c r="A2038" t="inlineStr">
        <is>
          <t>Average Buff Multiplier (Magic Guard + Meditation + Artifact Attack%, summed; then Infinity)</t>
        </is>
      </c>
      <c r="B2038">
        <f>(1+(F2012*IF(AND(Inputs!$B$38&lt;&gt;"pvp",Inputs!$B$43&gt;0),(((R2012-1)*(Skills!T6*(1+((Inputs!$B$34+(ArtifactsInput!$M$7-ArtifactsInput!$M$7)*CHOOSE(ArtifactsInput!$N$7+1,6,7.2,8.4,9.6,10.8,12)))/100))+MIN((Skills!T6*(1+((Inputs!$B$34+(ArtifactsInput!$M$7-ArtifactsInput!$M$7)*CHOOSE(ArtifactsInput!$N$7+1,6,7.2,8.4,9.6,10.8,12)))/100)),MAX(0,Inputs!$B$43-((R2012-1)*Skills!E6))))/Inputs!$B$43),IF(Inputs!$B$38="pvp",MIN((Skills!T6*(1+((Inputs!$B$34+(ArtifactsInput!$M$7-ArtifactsInput!$M$7)*CHOOSE(ArtifactsInput!$N$7+1,6,7.2,8.4,9.6,10.8,12)))/100)),15)/15,(Skills!T6*(1+((Inputs!$B$34+(ArtifactsInput!$M$7-ArtifactsInput!$M$7)*CHOOSE(ArtifactsInput!$N$7+1,6,7.2,8.4,9.6,10.8,12)))/100))/Skills!E6))+F2023*IF(AND(Inputs!$B$38&lt;&gt;"pvp",Inputs!$B$43&gt;0),(((R2023-1)*(Skills!T17*(1+((Inputs!$B$34+(ArtifactsInput!$M$7-ArtifactsInput!$M$7)*CHOOSE(ArtifactsInput!$N$7+1,6,7.2,8.4,9.6,10.8,12)))/100))+MIN((Skills!T17*(1+((Inputs!$B$34+(ArtifactsInput!$M$7-ArtifactsInput!$M$7)*CHOOSE(ArtifactsInput!$N$7+1,6,7.2,8.4,9.6,10.8,12)))/100)),MAX(0,Inputs!$B$43-((R2023-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2025=TRUE,(1+F2025*IF(AND(Inputs!$B$38&lt;&gt;"pvp",Inputs!$B$43&gt;0),(((R2025-1)*(Skills!T19*(1+((Inputs!$B$34+(ArtifactsInput!$M$7-ArtifactsInput!$M$7)*CHOOSE(ArtifactsInput!$N$7+1,6,7.2,8.4,9.6,10.8,12)))/100))+MIN((Skills!T19*(1+((Inputs!$B$34+(ArtifactsInput!$M$7-ArtifactsInput!$M$7)*CHOOSE(ArtifactsInput!$N$7+1,6,7.2,8.4,9.6,10.8,12)))/100)),MAX(0,Inputs!$B$43-((R2025-1)*Skills!E19))))/Inputs!$B$43),IF(Inputs!$B$38="pvp",MIN((Skills!T19*(1+((Inputs!$B$34+(ArtifactsInput!$M$7-ArtifactsInput!$M$7)*CHOOSE(ArtifactsInput!$N$7+1,6,7.2,8.4,9.6,10.8,12)))/100)),15)/15,(Skills!T19*(1+((Inputs!$B$34+(ArtifactsInput!$M$7-ArtifactsInput!$M$7)*CHOOSE(ArtifactsInput!$N$7+1,6,7.2,8.4,9.6,10.8,12)))/100))/Skills!E19))/100),1)</f>
        <v/>
      </c>
    </row>
    <row r="2039">
      <c r="A2039" t="inlineStr">
        <is>
          <t>Attack Speed Buff Bonus % (Nimble Feet, averaged)</t>
        </is>
      </c>
      <c r="B2039">
        <f>F2024*IF(AND(Inputs!$B$38&lt;&gt;"pvp",Inputs!$B$43&gt;0),(((R2024-1)*(Skills!T18*(1+((Inputs!$B$34+(ArtifactsInput!$M$7-ArtifactsInput!$M$7)*CHOOSE(ArtifactsInput!$N$7+1,6,7.2,8.4,9.6,10.8,12)))/100))+MIN((Skills!T18*(1+((Inputs!$B$34+(ArtifactsInput!$M$7-ArtifactsInput!$M$7)*CHOOSE(ArtifactsInput!$N$7+1,6,7.2,8.4,9.6,10.8,12)))/100)),MAX(0,Inputs!$B$43-((R2024-1)*Skills!E18))))/Inputs!$B$43),IF(Inputs!$B$38="pvp",MIN((Skills!T18*(1+((Inputs!$B$34+(ArtifactsInput!$M$7-ArtifactsInput!$M$7)*CHOOSE(ArtifactsInput!$N$7+1,6,7.2,8.4,9.6,10.8,12)))/100)),15)/15,(Skills!T18*(1+((Inputs!$B$34+(ArtifactsInput!$M$7-ArtifactsInput!$M$7)*CHOOSE(ArtifactsInput!$N$7+1,6,7.2,8.4,9.6,10.8,12)))/100))/Skills!E18))</f>
        <v/>
      </c>
    </row>
    <row r="2040">
      <c r="A2040" t="inlineStr">
        <is>
          <t>Actions Per Second</t>
        </is>
      </c>
      <c r="B2040">
        <f>1+MIN(150,150*(1-(1-(Inputs!$B$11+(ArtifactsInput!$M$15-ArtifactsInput!$M$15)*CHOOSE(ArtifactsInput!$N$15+1,8,9.6,11.2,12.8,14.4,16))/150)*(1-B2039/150)))/100</f>
        <v/>
      </c>
    </row>
    <row r="2041">
      <c r="A2041" t="inlineStr">
        <is>
          <t>Skill + Buff Cast Rate</t>
        </is>
      </c>
      <c r="B2041">
        <f>IF(AND(Inputs!$B$38&lt;&gt;"pvp",Inputs!$B$43&gt;0),SUMPRODUCT((Skills!F2:F28=TRUE)*(C2008:C2034=TRUE)*R2008:R2034)/Inputs!$B$43,SUMPRODUCT((Skills!F2:F28=TRUE)*(C2008:C2034=TRUE)*Q2008:Q2034))</f>
        <v/>
      </c>
    </row>
    <row r="2042">
      <c r="A2042" t="inlineStr">
        <is>
          <t>Basic Attacks Per Second</t>
        </is>
      </c>
      <c r="B2042">
        <f>MAX(0,B2040-B2041)</f>
        <v/>
      </c>
    </row>
    <row r="2043">
      <c r="A2043" t="inlineStr">
        <is>
          <t>Meteor Proc — combined trigger cast rate</t>
        </is>
      </c>
      <c r="B2043">
        <f>IF(AND(Inputs!$B$38&lt;&gt;"pvp",Inputs!$B$43&gt;0),SUMPRODUCT((Skills!V2:V28=TRUE)*(C2008:C2034=TRUE)*R2008:R2034*Skills!W2:W28)/Inputs!$B$43,SUMPRODUCT((Skills!V2:V28=TRUE)*(C2008:C2034=TRUE)*Q2008:Q2034*Skills!W2:W28))+B2042</f>
        <v/>
      </c>
    </row>
    <row r="2044">
      <c r="A2044" t="inlineStr">
        <is>
          <t>Buff-Casting Startup Delay (s, fixed-duration only)</t>
        </is>
      </c>
      <c r="B2044">
        <f>IF(AND(Inputs!$B$38&lt;&gt;"pvp",Inputs!$B$43&gt;0),SUMPRODUCT((Skills!T2:T28&gt;0)*(Skills!F2:F28=TRUE)*(C2008:C2034=TRUE))/B2040,0)</f>
        <v/>
      </c>
    </row>
    <row r="2045">
      <c r="A2045" t="inlineStr">
        <is>
          <t>Boss-Only Total DPS (this block's swept value)</t>
        </is>
      </c>
      <c r="B2045">
        <f>SUM(S2008:S2034)</f>
        <v/>
      </c>
    </row>
    <row r="2046">
      <c r="A2046" t="inlineStr">
        <is>
          <t>Normal-Only Total DPS (this block's swept value)</t>
        </is>
      </c>
      <c r="B2046">
        <f>SUM(U2008:U2034)</f>
        <v/>
      </c>
    </row>
    <row r="2047">
      <c r="A2047" s="6" t="inlineStr">
        <is>
          <t>TOTAL DPS</t>
        </is>
      </c>
      <c r="B2047" s="6">
        <f>SUM(O2008:O2034)</f>
        <v/>
      </c>
    </row>
    <row r="2050">
      <c r="A2050" s="6" t="inlineStr">
        <is>
          <t>Stat: Soul Contract (Equip)</t>
        </is>
      </c>
    </row>
    <row r="2051">
      <c r="A2051" s="5" t="inlineStr">
        <is>
          <t>Key</t>
        </is>
      </c>
      <c r="B2051" s="5" t="inlineStr">
        <is>
          <t>Name</t>
        </is>
      </c>
      <c r="C2051" s="5" t="inlineStr">
        <is>
          <t>Unlocked</t>
        </is>
      </c>
      <c r="D2051" s="5" t="inlineStr">
        <is>
          <t>InputLevel</t>
        </is>
      </c>
      <c r="E2051" s="5" t="inlineStr">
        <is>
          <t>Factor</t>
        </is>
      </c>
      <c r="F2051" s="5" t="inlineStr">
        <is>
          <t>CoefficientPercent</t>
        </is>
      </c>
      <c r="G2051" s="5" t="inlineStr">
        <is>
          <t>EffectiveHits</t>
        </is>
      </c>
      <c r="H2051" s="5" t="inlineStr">
        <is>
          <t>ProcProbability</t>
        </is>
      </c>
      <c r="I2051" s="5" t="inlineStr">
        <is>
          <t>MapleHeroMultiplier</t>
        </is>
      </c>
      <c r="J2051" s="5" t="inlineStr">
        <is>
          <t>BaseDamage</t>
        </is>
      </c>
      <c r="K2051" s="5" t="inlineStr">
        <is>
          <t>BaseHitDamage</t>
        </is>
      </c>
      <c r="L2051" s="5" t="inlineStr">
        <is>
          <t>NonCritAvg</t>
        </is>
      </c>
      <c r="M2051" s="5" t="inlineStr">
        <is>
          <t>CritAvg</t>
        </is>
      </c>
      <c r="N2051" s="5" t="inlineStr">
        <is>
          <t>ExpectedDamage(perHit)</t>
        </is>
      </c>
      <c r="O2051" s="5" t="inlineStr">
        <is>
          <t>DPS</t>
        </is>
      </c>
      <c r="P2051" s="5" t="inlineStr">
        <is>
          <t>% of Total</t>
        </is>
      </c>
      <c r="R2051" t="inlineStr">
        <is>
          <t>helpers</t>
        </is>
      </c>
    </row>
    <row r="2052">
      <c r="A2052">
        <f>Skills!A2</f>
        <v/>
      </c>
      <c r="B2052">
        <f>Skills!B2</f>
        <v/>
      </c>
      <c r="C2052">
        <f>TRUE</f>
        <v/>
      </c>
      <c r="D2052" t="inlineStr"/>
      <c r="E2052" t="inlineStr"/>
      <c r="F2052">
        <f>T2054+Skills!O2</f>
        <v/>
      </c>
      <c r="G2052">
        <f>Calc!G2</f>
        <v/>
      </c>
      <c r="H2052">
        <f>Calc!H2</f>
        <v/>
      </c>
      <c r="I2052">
        <f>IF(Skills!X2&lt;&gt;"",1+(Skills!X2/10)*(Z2053/1000)/100,1)</f>
        <v/>
      </c>
      <c r="J2052">
        <f>((Inputs!$B$6*(1+Inputs!$B$7/100))+(((Inputs!$B$12*(1+Inputs!$B$13/100))-(Inputs!$B$12*(1+Inputs!$B$13/100)))+0.25*(Inputs!$B$14-Inputs!$B$14))*(1+Inputs!$B$7/100))*(F2052/100)</f>
        <v/>
      </c>
      <c r="K2052">
        <f>J2052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2052)</f>
        <v/>
      </c>
      <c r="L2052">
        <f>K2052*(MIN(Inputs!$B$22+(F2072-Calc!F22),(Inputs!$B$23+(IF(ArtifactsInput!$M$15,CHOOSE(ArtifactsInput!$N$15+1,25,30,35,40,45,50)/100*(Inputs!$B$11-Inputs!$B$11),0))))/100+(Inputs!$B$23+(IF(ArtifactsInput!$M$15,CHOOSE(ArtifactsInput!$N$15+1,25,30,35,40,45,50)/100*(Inputs!$B$11-Inputs!$B$11),0)))/100)/2</f>
        <v/>
      </c>
      <c r="M2052">
        <f>L2052*(1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2">
        <f>L2052*(1-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2052*(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2">
        <f>(1-Summary!$B$11)*S2052+Summary!$B$11*U2052</f>
        <v/>
      </c>
      <c r="P2052">
        <f>IF(B2091=0,0,O2052/B2091)</f>
        <v/>
      </c>
      <c r="Q2052">
        <f>IFERROR(1/(IF(Inputs!$B$38="pvp",15,MAX(0.1,Skills!E2-IF(Skills!F2=TRUE,Inputs!$B$32,0)))*(1-IF(AND(IF(ArtifactsInput!$M$27,FALSE,TRUE),Inputs!$B$4="Chapter Hunt"),CHOOSE(ArtifactsInput!$N$27+1,20,24,28,32,36,40),0)/100)),0)</f>
        <v/>
      </c>
      <c r="R2052" t="n">
        <v>0</v>
      </c>
      <c r="S2052">
        <f>(Skills!G2*N2052*B2086)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2052*(1-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2052*(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2052*(1-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2052*(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052">
        <f>MAX(0,(Inputs!$B$3-100)*3)+Inputs!$B$28+Inputs!$B$29</f>
        <v/>
      </c>
      <c r="U2052">
        <f>(Skills!G2*N2052*B2086)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052">
        <f>MAX(0,(Inputs!$B$3-100)*3)+Inputs!$B$28+Inputs!$B$29</f>
        <v/>
      </c>
    </row>
    <row r="2053">
      <c r="A2053">
        <f>Skills!A3</f>
        <v/>
      </c>
      <c r="B2053">
        <f>Skills!B3</f>
        <v/>
      </c>
      <c r="C2053">
        <f>TRUE</f>
        <v/>
      </c>
      <c r="D2053">
        <f>IF(Skills!C3=1,60+Inputs!$B$25+Inputs!$B$29,IF(Skills!C3=2,90+Inputs!$B$26+Inputs!$B$29,IF(Skills!C3=3,120+Inputs!$B$27+Inputs!$B$29,MAX(0,(Inputs!$B$3-100)*3)+Inputs!$B$28+Inputs!$B$29)))</f>
        <v/>
      </c>
      <c r="E2053">
        <f>INDEX(FactorTable!$B$2:$Y$301, MATCH(ROUND(MIN(300,MAX(1,D2053)),0), FactorTable!$A$2:$A$301,0), Skills!M3+1)</f>
        <v/>
      </c>
      <c r="F2053">
        <f>IF(Skills!N3=TRUE,(Skills!L3/10)*(E2053/1000),Skills!L3/10)+Skills!O3</f>
        <v/>
      </c>
      <c r="G2053">
        <f>Calc!G3</f>
        <v/>
      </c>
      <c r="H2053">
        <f>Calc!H3</f>
        <v/>
      </c>
      <c r="I2053">
        <f>IF(Skills!X3&lt;&gt;"",1+(Skills!X3/10)*(Z2053/1000)/100,1)</f>
        <v/>
      </c>
      <c r="J2053">
        <f>((Inputs!$B$6*(1+Inputs!$B$7/100))+(((Inputs!$B$12*(1+Inputs!$B$13/100))-(Inputs!$B$12*(1+Inputs!$B$13/100)))+0.25*(Inputs!$B$14-Inputs!$B$14))*(1+Inputs!$B$7/100))*(F2053/100)</f>
        <v/>
      </c>
      <c r="K2053">
        <f>J2053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2053)</f>
        <v/>
      </c>
      <c r="L2053">
        <f>K2053*(MIN(Inputs!$B$22+(F2072-Calc!F22),(Inputs!$B$23+(IF(ArtifactsInput!$M$15,CHOOSE(ArtifactsInput!$N$15+1,25,30,35,40,45,50)/100*(Inputs!$B$11-Inputs!$B$11),0))))/100+(Inputs!$B$23+(IF(ArtifactsInput!$M$15,CHOOSE(ArtifactsInput!$N$15+1,25,30,35,40,45,50)/100*(Inputs!$B$11-Inputs!$B$11),0)))/100)/2</f>
        <v/>
      </c>
      <c r="M2053">
        <f>L2053*(1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3">
        <f>L2053*(1-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2053*(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3">
        <f>(1-Summary!$B$11)*S2053+Summary!$B$11*U2053</f>
        <v/>
      </c>
      <c r="P2053">
        <f>IF(B2091=0,0,O2053/B2091)</f>
        <v/>
      </c>
      <c r="Q2053">
        <f>IFERROR(1/(IF(Inputs!$B$38="pvp",15,MAX(0.1,Skills!E3-IF(Skills!F3=TRUE,Inputs!$B$32,0)))*(1-IF(AND(IF(ArtifactsInput!$M$27,FALSE,TRUE),Inputs!$B$4="Chapter Hunt"),CHOOSE(ArtifactsInput!$N$27+1,20,24,28,32,36,40),0)/100)),0)</f>
        <v/>
      </c>
      <c r="R2053">
        <f>IF(AND(Inputs!$B$38&lt;&gt;"pvp",Inputs!$B$43&gt;0),IF(MAX(0,Inputs!$B$43-B2088)&lt;=0,0,(INT(MAX(0,Inputs!$B$43-B2088)/(IF(Inputs!$B$38="pvp",15,MAX(0.1,Skills!E3-IF(Skills!F3=TRUE,Inputs!$B$32,0)))*(1-IF(AND(IF(ArtifactsInput!$M$27,FALSE,TRUE),Inputs!$B$4="Chapter Hunt"),CHOOSE(ArtifactsInput!$N$27+1,20,24,28,32,36,40),0)/100)))+1)),0)</f>
        <v/>
      </c>
      <c r="S2053">
        <f>IF(C2053,(H2053*N2053*IF(AND(Inputs!$B$38&lt;&gt;"pvp",Inputs!$B$43&gt;0),((Skills!G3*((R2053-1)*IF(Skills!H3&gt;0,Skills!I3/Skills!H3,1)+IF(Skills!H3&gt;0,MIN(Skills!I3,MAX(0,MAX(0,Inputs!$B$43-B2088)-((R2053-1)*(IF(Inputs!$B$38="pvp",15,MAX(0.1,Skills!E3-IF(Skills!F3=TRUE,Inputs!$B$32,0)))*(1-IF(AND(IF(ArtifactsInput!$M$27,FALSE,TRUE),Inputs!$B$4="Chapter Hunt"),CHOOSE(ArtifactsInput!$N$27+1,20,24,28,32,36,40),0)/100)))))/Skills!H3,1)))/Inputs!$B$43),G2053*Q2053)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2053*(1-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2053*(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2053*(1-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2053*(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53">
        <f>INDEX(FactorTable!$B$2:$Y$301, MATCH(ROUND(MIN(300,MAX(1,T2052)),0), FactorTable!$A$2:$A$301,0), 22)</f>
        <v/>
      </c>
      <c r="U2053">
        <f>IF(C2053,(H2053*N2053*IF(AND(Inputs!$B$38&lt;&gt;"pvp",Inputs!$B$43&gt;0),((Skills!G3*((R2053-1)*IF(Skills!H3&gt;0,Skills!I3/Skills!H3,1)+IF(Skills!H3&gt;0,MIN(Skills!I3,MAX(0,MAX(0,Inputs!$B$43-B2088)-((R2053-1)*(IF(Inputs!$B$38="pvp",15,MAX(0.1,Skills!E3-IF(Skills!F3=TRUE,Inputs!$B$32,0)))*(1-IF(AND(IF(ArtifactsInput!$M$27,FALSE,TRUE),Inputs!$B$4="Chapter Hunt"),CHOOSE(ArtifactsInput!$N$27+1,20,24,28,32,36,40),0)/100)))))/Skills!H3,1)))/Inputs!$B$43),G2053*Q2053)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053">
        <f>INDEX(FactorTable!$B$2:$Y$301, MATCH(ROUND(MIN(300,MAX(1,Z2052)),0), FactorTable!$A$2:$A$301,0), 24)</f>
        <v/>
      </c>
    </row>
    <row r="2054">
      <c r="A2054">
        <f>Skills!A4</f>
        <v/>
      </c>
      <c r="B2054">
        <f>Skills!B4</f>
        <v/>
      </c>
      <c r="C2054">
        <f>TRUE</f>
        <v/>
      </c>
      <c r="D2054">
        <f>IF(Skills!C4=1,60+Inputs!$B$25+Inputs!$B$29,IF(Skills!C4=2,90+Inputs!$B$26+Inputs!$B$29,IF(Skills!C4=3,120+Inputs!$B$27+Inputs!$B$29,MAX(0,(Inputs!$B$3-100)*3)+Inputs!$B$28+Inputs!$B$29)))</f>
        <v/>
      </c>
      <c r="E2054">
        <f>INDEX(FactorTable!$B$2:$Y$301, MATCH(ROUND(MIN(300,MAX(1,D2054)),0), FactorTable!$A$2:$A$301,0), Skills!M4+1)</f>
        <v/>
      </c>
      <c r="F2054">
        <f>IF(Skills!N4=TRUE,(Skills!L4/10)*(E2054/1000),Skills!L4/10)+Skills!O4</f>
        <v/>
      </c>
      <c r="G2054">
        <f>Calc!G4</f>
        <v/>
      </c>
      <c r="H2054">
        <f>Calc!H4</f>
        <v/>
      </c>
      <c r="I2054">
        <f>IF(Skills!X4&lt;&gt;"",1+(Skills!X4/10)*(Z2053/1000)/100,1)</f>
        <v/>
      </c>
      <c r="J2054">
        <f>((Inputs!$B$6*(1+Inputs!$B$7/100))+(((Inputs!$B$12*(1+Inputs!$B$13/100))-(Inputs!$B$12*(1+Inputs!$B$13/100)))+0.25*(Inputs!$B$14-Inputs!$B$14))*(1+Inputs!$B$7/100))*(F2054/100)</f>
        <v/>
      </c>
      <c r="K2054">
        <f>J2054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2054)</f>
        <v/>
      </c>
      <c r="L2054">
        <f>K2054*(MIN(Inputs!$B$22+(F2072-Calc!F22),(Inputs!$B$23+(IF(ArtifactsInput!$M$15,CHOOSE(ArtifactsInput!$N$15+1,25,30,35,40,45,50)/100*(Inputs!$B$11-Inputs!$B$11),0))))/100+(Inputs!$B$23+(IF(ArtifactsInput!$M$15,CHOOSE(ArtifactsInput!$N$15+1,25,30,35,40,45,50)/100*(Inputs!$B$11-Inputs!$B$11),0)))/100)/2</f>
        <v/>
      </c>
      <c r="M2054">
        <f>L2054*(1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4">
        <f>L2054*(1-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2054*(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4">
        <f>(1-Summary!$B$11)*S2054+Summary!$B$11*U2054</f>
        <v/>
      </c>
      <c r="P2054">
        <f>IF(B2091=0,0,O2054/B2091)</f>
        <v/>
      </c>
      <c r="Q2054">
        <f>IFERROR(1/(IF(Inputs!$B$38="pvp",15,MAX(0.1,Skills!E4-IF(Skills!F4=TRUE,Inputs!$B$32,0)))*(1-IF(AND(IF(ArtifactsInput!$M$27,FALSE,TRUE),Inputs!$B$4="Chapter Hunt"),CHOOSE(ArtifactsInput!$N$27+1,20,24,28,32,36,40),0)/100)),0)</f>
        <v/>
      </c>
      <c r="R2054">
        <f>IF(AND(Inputs!$B$38&lt;&gt;"pvp",Inputs!$B$43&gt;0),IF(MAX(0,Inputs!$B$43-B2088)&lt;=0,0,(INT(MAX(0,Inputs!$B$43-B2088)/(IF(Inputs!$B$38="pvp",15,MAX(0.1,Skills!E4-IF(Skills!F4=TRUE,Inputs!$B$32,0)))*(1-IF(AND(IF(ArtifactsInput!$M$27,FALSE,TRUE),Inputs!$B$4="Chapter Hunt"),CHOOSE(ArtifactsInput!$N$27+1,20,24,28,32,36,40),0)/100)))+1)),0)</f>
        <v/>
      </c>
      <c r="S2054">
        <f>IF(C2054,(H2054*N2054*IF(AND(Inputs!$B$38&lt;&gt;"pvp",Inputs!$B$43&gt;0),((Skills!G4*((R2054-1)*IF(Skills!H4&gt;0,Skills!I4/Skills!H4,1)+IF(Skills!H4&gt;0,MIN(Skills!I4,MAX(0,MAX(0,Inputs!$B$43-B2088)-((R2054-1)*(IF(Inputs!$B$38="pvp",15,MAX(0.1,Skills!E4-IF(Skills!F4=TRUE,Inputs!$B$32,0)))*(1-IF(AND(IF(ArtifactsInput!$M$27,FALSE,TRUE),Inputs!$B$4="Chapter Hunt"),CHOOSE(ArtifactsInput!$N$27+1,20,24,28,32,36,40),0)/100)))))/Skills!H4,1)))/Inputs!$B$43),G2054*Q2054)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2054*(1-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2054*(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2054*(1-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2054*(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54">
        <f>290*T2053/1000</f>
        <v/>
      </c>
      <c r="U2054">
        <f>IF(C2054,(H2054*N2054*IF(AND(Inputs!$B$38&lt;&gt;"pvp",Inputs!$B$43&gt;0),((Skills!G4*((R2054-1)*IF(Skills!H4&gt;0,Skills!I4/Skills!H4,1)+IF(Skills!H4&gt;0,MIN(Skills!I4,MAX(0,MAX(0,Inputs!$B$43-B2088)-((R2054-1)*(IF(Inputs!$B$38="pvp",15,MAX(0.1,Skills!E4-IF(Skills!F4=TRUE,Inputs!$B$32,0)))*(1-IF(AND(IF(ArtifactsInput!$M$27,FALSE,TRUE),Inputs!$B$4="Chapter Hunt"),CHOOSE(ArtifactsInput!$N$27+1,20,24,28,32,36,40),0)/100)))))/Skills!H4,1)))/Inputs!$B$43),G2054*Q2054)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5">
      <c r="A2055">
        <f>Skills!A5</f>
        <v/>
      </c>
      <c r="B2055">
        <f>Skills!B5</f>
        <v/>
      </c>
      <c r="C2055">
        <f>TRUE</f>
        <v/>
      </c>
      <c r="D2055">
        <f>IF(Skills!C5=1,60+Inputs!$B$25+Inputs!$B$29,IF(Skills!C5=2,90+Inputs!$B$26+Inputs!$B$29,IF(Skills!C5=3,120+Inputs!$B$27+Inputs!$B$29,MAX(0,(Inputs!$B$3-100)*3)+Inputs!$B$28+Inputs!$B$29)))</f>
        <v/>
      </c>
      <c r="E2055">
        <f>INDEX(FactorTable!$B$2:$Y$301, MATCH(ROUND(MIN(300,MAX(1,D2055)),0), FactorTable!$A$2:$A$301,0), Skills!M5+1)</f>
        <v/>
      </c>
      <c r="F2055">
        <f>IF(Skills!N5=TRUE,(Skills!L5/10)*(E2055/1000),Skills!L5/10)+Skills!O5</f>
        <v/>
      </c>
      <c r="G2055">
        <f>Calc!G5</f>
        <v/>
      </c>
      <c r="H2055">
        <f>Calc!H5</f>
        <v/>
      </c>
      <c r="I2055">
        <f>IF(Skills!X5&lt;&gt;"",1+(Skills!X5/10)*(Z2053/1000)/100,1)</f>
        <v/>
      </c>
      <c r="J2055">
        <f>((Inputs!$B$6*(1+Inputs!$B$7/100))+(((Inputs!$B$12*(1+Inputs!$B$13/100))-(Inputs!$B$12*(1+Inputs!$B$13/100)))+0.25*(Inputs!$B$14-Inputs!$B$14))*(1+Inputs!$B$7/100))*(F2055/100)</f>
        <v/>
      </c>
      <c r="K2055">
        <f>J2055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2055)</f>
        <v/>
      </c>
      <c r="L2055">
        <f>K2055*(MIN(Inputs!$B$22+(F2072-Calc!F22),(Inputs!$B$23+(IF(ArtifactsInput!$M$15,CHOOSE(ArtifactsInput!$N$15+1,25,30,35,40,45,50)/100*(Inputs!$B$11-Inputs!$B$11),0))))/100+(Inputs!$B$23+(IF(ArtifactsInput!$M$15,CHOOSE(ArtifactsInput!$N$15+1,25,30,35,40,45,50)/100*(Inputs!$B$11-Inputs!$B$11),0)))/100)/2</f>
        <v/>
      </c>
      <c r="M2055">
        <f>L2055*(1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5">
        <f>L2055*(1-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2055*(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5">
        <f>(1-Summary!$B$11)*S2055+Summary!$B$11*U2055</f>
        <v/>
      </c>
      <c r="P2055">
        <f>IF(B2091=0,0,O2055/B2091)</f>
        <v/>
      </c>
      <c r="Q2055">
        <f>IFERROR(1/(IF(Inputs!$B$38="pvp",15,MAX(0.1,Skills!E5-IF(Skills!F5=TRUE,Inputs!$B$32,0)))*(1-IF(AND(IF(ArtifactsInput!$M$27,FALSE,TRUE),Inputs!$B$4="Chapter Hunt"),CHOOSE(ArtifactsInput!$N$27+1,20,24,28,32,36,40),0)/100)),0)</f>
        <v/>
      </c>
      <c r="R2055">
        <f>IF(AND(Inputs!$B$38&lt;&gt;"pvp",Inputs!$B$43&gt;0),IF(MAX(0,Inputs!$B$43-B2088)&lt;=0,0,(INT(MAX(0,Inputs!$B$43-B2088)/(IF(Inputs!$B$38="pvp",15,MAX(0.1,Skills!E5-IF(Skills!F5=TRUE,Inputs!$B$32,0)))*(1-IF(AND(IF(ArtifactsInput!$M$27,FALSE,TRUE),Inputs!$B$4="Chapter Hunt"),CHOOSE(ArtifactsInput!$N$27+1,20,24,28,32,36,40),0)/100)))+1)),0)</f>
        <v/>
      </c>
      <c r="S2055">
        <f>IF(C2055,(H2055*N2055*IF(AND(Inputs!$B$38&lt;&gt;"pvp",Inputs!$B$43&gt;0),((Skills!G5*((R2055-1)*IF(Skills!H5&gt;0,Skills!I5/Skills!H5,1)+IF(Skills!H5&gt;0,MIN(Skills!I5,MAX(0,MAX(0,Inputs!$B$43-B2088)-((R2055-1)*(IF(Inputs!$B$38="pvp",15,MAX(0.1,Skills!E5-IF(Skills!F5=TRUE,Inputs!$B$32,0)))*(1-IF(AND(IF(ArtifactsInput!$M$27,FALSE,TRUE),Inputs!$B$4="Chapter Hunt"),CHOOSE(ArtifactsInput!$N$27+1,20,24,28,32,36,40),0)/100)))))/Skills!H5,1)))/Inputs!$B$43),G2055*Q2055)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2055*(1-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2055*(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2055*(1-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2055*(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5">
        <f>IF(C2055,(H2055*N2055*IF(AND(Inputs!$B$38&lt;&gt;"pvp",Inputs!$B$43&gt;0),((Skills!G5*((R2055-1)*IF(Skills!H5&gt;0,Skills!I5/Skills!H5,1)+IF(Skills!H5&gt;0,MIN(Skills!I5,MAX(0,MAX(0,Inputs!$B$43-B2088)-((R2055-1)*(IF(Inputs!$B$38="pvp",15,MAX(0.1,Skills!E5-IF(Skills!F5=TRUE,Inputs!$B$32,0)))*(1-IF(AND(IF(ArtifactsInput!$M$27,FALSE,TRUE),Inputs!$B$4="Chapter Hunt"),CHOOSE(ArtifactsInput!$N$27+1,20,24,28,32,36,40),0)/100)))))/Skills!H5,1)))/Inputs!$B$43),G2055*Q2055)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6">
      <c r="A2056">
        <f>Skills!A6</f>
        <v/>
      </c>
      <c r="B2056">
        <f>Skills!B6</f>
        <v/>
      </c>
      <c r="C2056">
        <f>TRUE</f>
        <v/>
      </c>
      <c r="D2056">
        <f>IF(Skills!C6=1,60+Inputs!$B$25+Inputs!$B$29,IF(Skills!C6=2,90+Inputs!$B$26+Inputs!$B$29,IF(Skills!C6=3,120+Inputs!$B$27+Inputs!$B$29,MAX(0,(Inputs!$B$3-100)*3)+Inputs!$B$28+Inputs!$B$29)))</f>
        <v/>
      </c>
      <c r="E2056">
        <f>INDEX(FactorTable!$B$2:$Y$301, MATCH(ROUND(MIN(300,MAX(1,D2056)),0), FactorTable!$A$2:$A$301,0), Skills!M6+1)</f>
        <v/>
      </c>
      <c r="F2056">
        <f>IF(Skills!N6=TRUE,(Skills!L6/10)*(E2056/1000),Skills!L6/10)+Skills!O6</f>
        <v/>
      </c>
      <c r="G2056">
        <f>Calc!G6</f>
        <v/>
      </c>
      <c r="H2056">
        <f>Calc!H6</f>
        <v/>
      </c>
      <c r="I2056">
        <f>IF(Skills!X6&lt;&gt;"",1+(Skills!X6/10)*(Z2053/1000)/100,1)</f>
        <v/>
      </c>
      <c r="J2056" t="inlineStr"/>
      <c r="K2056" t="inlineStr"/>
      <c r="L2056" t="inlineStr"/>
      <c r="M2056" t="inlineStr"/>
      <c r="N2056" t="inlineStr"/>
      <c r="O2056">
        <f>(1-Summary!$B$11)*S2056+Summary!$B$11*U2056</f>
        <v/>
      </c>
      <c r="P2056">
        <f>IF(B2091=0,0,O2056/B2091)</f>
        <v/>
      </c>
      <c r="Q2056">
        <f>IFERROR(1/(IF(Inputs!$B$38="pvp",15,MAX(0.1,Skills!E6-IF(Skills!F6=TRUE,Inputs!$B$32,0)))*(1-IF(AND(IF(ArtifactsInput!$M$27,FALSE,TRUE),Inputs!$B$4="Chapter Hunt"),CHOOSE(ArtifactsInput!$N$27+1,20,24,28,32,36,40),0)/100)),0)</f>
        <v/>
      </c>
      <c r="R2056">
        <f>IF(AND(Inputs!$B$38&lt;&gt;"pvp",Inputs!$B$43&gt;0),IF(Inputs!$B$43&lt;=0,0,(INT(Inputs!$B$43/(IF(Inputs!$B$38="pvp",15,MAX(0.1,Skills!E6-IF(Skills!F6=TRUE,Inputs!$B$32,0)))*(1-IF(AND(IF(ArtifactsInput!$M$27,FALSE,TRUE),Inputs!$B$4="Chapter Hunt"),CHOOSE(ArtifactsInput!$N$27+1,20,24,28,32,36,40),0)/100)))+1)),0)</f>
        <v/>
      </c>
      <c r="S2056" t="n">
        <v>0</v>
      </c>
      <c r="U2056" t="n">
        <v>0</v>
      </c>
    </row>
    <row r="2057">
      <c r="A2057">
        <f>Skills!A7</f>
        <v/>
      </c>
      <c r="B2057">
        <f>Skills!B7</f>
        <v/>
      </c>
      <c r="C2057">
        <f>TRUE</f>
        <v/>
      </c>
      <c r="D2057">
        <f>IF(Skills!C7=1,60+Inputs!$B$25+Inputs!$B$29,IF(Skills!C7=2,90+Inputs!$B$26+Inputs!$B$29,IF(Skills!C7=3,120+Inputs!$B$27+Inputs!$B$29,MAX(0,(Inputs!$B$3-100)*3)+Inputs!$B$28+Inputs!$B$29)))</f>
        <v/>
      </c>
      <c r="E2057">
        <f>INDEX(FactorTable!$B$2:$Y$301, MATCH(ROUND(MIN(300,MAX(1,D2057)),0), FactorTable!$A$2:$A$301,0), Skills!M7+1)</f>
        <v/>
      </c>
      <c r="F2057">
        <f>IF(Skills!N7=TRUE,(Skills!L7/10)*(E2057/1000),Skills!L7/10)+Skills!O7</f>
        <v/>
      </c>
      <c r="G2057">
        <f>Calc!G7</f>
        <v/>
      </c>
      <c r="H2057">
        <f>Calc!H7</f>
        <v/>
      </c>
      <c r="I2057">
        <f>IF(Skills!X7&lt;&gt;"",1+(Skills!X7/10)*(Z2053/1000)/100,1)</f>
        <v/>
      </c>
      <c r="J2057">
        <f>((Inputs!$B$6*(1+Inputs!$B$7/100))+(((Inputs!$B$12*(1+Inputs!$B$13/100))-(Inputs!$B$12*(1+Inputs!$B$13/100)))+0.25*(Inputs!$B$14-Inputs!$B$14))*(1+Inputs!$B$7/100))*(F2057/100)</f>
        <v/>
      </c>
      <c r="K2057">
        <f>J2057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2057)</f>
        <v/>
      </c>
      <c r="L2057">
        <f>K2057*(MIN(Inputs!$B$22+(F2072-Calc!F22),(Inputs!$B$23+(IF(ArtifactsInput!$M$15,CHOOSE(ArtifactsInput!$N$15+1,25,30,35,40,45,50)/100*(Inputs!$B$11-Inputs!$B$11),0))))/100+(Inputs!$B$23+(IF(ArtifactsInput!$M$15,CHOOSE(ArtifactsInput!$N$15+1,25,30,35,40,45,50)/100*(Inputs!$B$11-Inputs!$B$11),0)))/100)/2</f>
        <v/>
      </c>
      <c r="M2057">
        <f>L2057*(1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7">
        <f>L2057*(1-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2057*(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7">
        <f>(1-Summary!$B$11)*S2057+Summary!$B$11*U2057</f>
        <v/>
      </c>
      <c r="P2057">
        <f>IF(B2091=0,0,O2057/B2091)</f>
        <v/>
      </c>
      <c r="Q2057">
        <f>IFERROR(1/(IF(Inputs!$B$38="pvp",15,MAX(0.1,Skills!E7-IF(Skills!F7=TRUE,Inputs!$B$32,0)))*(1-IF(AND(IF(ArtifactsInput!$M$27,FALSE,TRUE),Inputs!$B$4="Chapter Hunt"),CHOOSE(ArtifactsInput!$N$27+1,20,24,28,32,36,40),0)/100)),0)</f>
        <v/>
      </c>
      <c r="R2057">
        <f>IF(AND(Inputs!$B$38&lt;&gt;"pvp",Inputs!$B$43&gt;0),IF(MAX(0,Inputs!$B$43-B2088)&lt;=0,0,(INT(MAX(0,Inputs!$B$43-B2088)/(IF(Inputs!$B$38="pvp",15,MAX(0.1,Skills!E7-IF(Skills!F7=TRUE,Inputs!$B$32,0)))*(1-IF(AND(IF(ArtifactsInput!$M$27,FALSE,TRUE),Inputs!$B$4="Chapter Hunt"),CHOOSE(ArtifactsInput!$N$27+1,20,24,28,32,36,40),0)/100)))+1)),0)</f>
        <v/>
      </c>
      <c r="S2057">
        <f>IF(C2057,(H2057*N2057*IF(AND(Inputs!$B$38&lt;&gt;"pvp",Inputs!$B$43&gt;0),((Skills!G7*((R2057-1)*IF(Skills!H7&gt;0,Skills!I7/Skills!H7,1)+IF(Skills!H7&gt;0,MIN(Skills!I7,MAX(0,MAX(0,Inputs!$B$43-B2088)-((R2057-1)*(IF(Inputs!$B$38="pvp",15,MAX(0.1,Skills!E7-IF(Skills!F7=TRUE,Inputs!$B$32,0)))*(1-IF(AND(IF(ArtifactsInput!$M$27,FALSE,TRUE),Inputs!$B$4="Chapter Hunt"),CHOOSE(ArtifactsInput!$N$27+1,20,24,28,32,36,40),0)/100)))))/Skills!H7,1)))/Inputs!$B$43),G2057*Q2057)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2057*(1-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2057*(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2057*(1-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2057*(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7">
        <f>IF(C2057,(H2057*N2057*IF(AND(Inputs!$B$38&lt;&gt;"pvp",Inputs!$B$43&gt;0),((Skills!G7*((R2057-1)*IF(Skills!H7&gt;0,Skills!I7/Skills!H7,1)+IF(Skills!H7&gt;0,MIN(Skills!I7,MAX(0,MAX(0,Inputs!$B$43-B2088)-((R2057-1)*(IF(Inputs!$B$38="pvp",15,MAX(0.1,Skills!E7-IF(Skills!F7=TRUE,Inputs!$B$32,0)))*(1-IF(AND(IF(ArtifactsInput!$M$27,FALSE,TRUE),Inputs!$B$4="Chapter Hunt"),CHOOSE(ArtifactsInput!$N$27+1,20,24,28,32,36,40),0)/100)))))/Skills!H7,1)))/Inputs!$B$43),G2057*Q2057)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8">
      <c r="A2058">
        <f>Skills!A8</f>
        <v/>
      </c>
      <c r="B2058">
        <f>Skills!B8</f>
        <v/>
      </c>
      <c r="C2058">
        <f>TRUE</f>
        <v/>
      </c>
      <c r="D2058">
        <f>IF(Skills!C8=1,60+Inputs!$B$25+Inputs!$B$29,IF(Skills!C8=2,90+Inputs!$B$26+Inputs!$B$29,IF(Skills!C8=3,120+Inputs!$B$27+Inputs!$B$29,MAX(0,(Inputs!$B$3-100)*3)+Inputs!$B$28+Inputs!$B$29)))</f>
        <v/>
      </c>
      <c r="E2058">
        <f>INDEX(FactorTable!$B$2:$Y$301, MATCH(ROUND(MIN(300,MAX(1,D2058)),0), FactorTable!$A$2:$A$301,0), Skills!M8+1)</f>
        <v/>
      </c>
      <c r="F2058">
        <f>IF(Skills!N8=TRUE,(Skills!L8/10)*(E2058/1000),Skills!L8/10)+Skills!O8</f>
        <v/>
      </c>
      <c r="G2058">
        <f>Calc!G8</f>
        <v/>
      </c>
      <c r="H2058">
        <f>Calc!H8</f>
        <v/>
      </c>
      <c r="I2058">
        <f>IF(Skills!X8&lt;&gt;"",1+(Skills!X8/10)*(Z2053/1000)/100,1)</f>
        <v/>
      </c>
      <c r="J2058">
        <f>((Inputs!$B$6*(1+Inputs!$B$7/100))+(((Inputs!$B$12*(1+Inputs!$B$13/100))-(Inputs!$B$12*(1+Inputs!$B$13/100)))+0.25*(Inputs!$B$14-Inputs!$B$14))*(1+Inputs!$B$7/100))*(F2058/100)</f>
        <v/>
      </c>
      <c r="K2058">
        <f>J2058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2058)</f>
        <v/>
      </c>
      <c r="L2058">
        <f>K2058*(MIN(Inputs!$B$22+(F2072-Calc!F22),(Inputs!$B$23+(IF(ArtifactsInput!$M$15,CHOOSE(ArtifactsInput!$N$15+1,25,30,35,40,45,50)/100*(Inputs!$B$11-Inputs!$B$11),0))))/100+(Inputs!$B$23+(IF(ArtifactsInput!$M$15,CHOOSE(ArtifactsInput!$N$15+1,25,30,35,40,45,50)/100*(Inputs!$B$11-Inputs!$B$11),0)))/100)/2</f>
        <v/>
      </c>
      <c r="M2058">
        <f>L2058*(1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8">
        <f>L2058*(1-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2058*(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8">
        <f>(1-Summary!$B$11)*S2058+Summary!$B$11*U2058</f>
        <v/>
      </c>
      <c r="P2058">
        <f>IF(B2091=0,0,O2058/B2091)</f>
        <v/>
      </c>
      <c r="Q2058">
        <f>IFERROR(1/(IF(Inputs!$B$38="pvp",15,MAX(0.1,Skills!E8-IF(Skills!F8=TRUE,Inputs!$B$32,0)))*(1-IF(AND(IF(ArtifactsInput!$M$27,FALSE,TRUE),Inputs!$B$4="Chapter Hunt"),CHOOSE(ArtifactsInput!$N$27+1,20,24,28,32,36,40),0)/100)),0)</f>
        <v/>
      </c>
      <c r="R2058">
        <f>IF(AND(Inputs!$B$38&lt;&gt;"pvp",Inputs!$B$43&gt;0),IF(MAX(0,Inputs!$B$43-B2088)&lt;=0,0,(INT(MAX(0,Inputs!$B$43-B2088)/(IF(Inputs!$B$38="pvp",15,MAX(0.1,Skills!E8-IF(Skills!F8=TRUE,Inputs!$B$32,0)))*(1-IF(AND(IF(ArtifactsInput!$M$27,FALSE,TRUE),Inputs!$B$4="Chapter Hunt"),CHOOSE(ArtifactsInput!$N$27+1,20,24,28,32,36,40),0)/100)))+1)),0)</f>
        <v/>
      </c>
      <c r="S2058">
        <f>IF(C2058,(H2058*N2058*IF(AND(Inputs!$B$38&lt;&gt;"pvp",Inputs!$B$43&gt;0),((Skills!G8*((R2058-1)*IF(Skills!H8&gt;0,Skills!I8/Skills!H8,1)+IF(Skills!H8&gt;0,MIN(Skills!I8,MAX(0,MAX(0,Inputs!$B$43-B2088)-((R2058-1)*(IF(Inputs!$B$38="pvp",15,MAX(0.1,Skills!E8-IF(Skills!F8=TRUE,Inputs!$B$32,0)))*(1-IF(AND(IF(ArtifactsInput!$M$27,FALSE,TRUE),Inputs!$B$4="Chapter Hunt"),CHOOSE(ArtifactsInput!$N$27+1,20,24,28,32,36,40),0)/100)))))/Skills!H8,1)))/Inputs!$B$43),G2058*Q2058)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2058*(1-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2058*(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2058*(1-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2058*(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8">
        <f>IF(C2058,(H2058*N2058*IF(AND(Inputs!$B$38&lt;&gt;"pvp",Inputs!$B$43&gt;0),((Skills!G8*((R2058-1)*IF(Skills!H8&gt;0,Skills!I8/Skills!H8,1)+IF(Skills!H8&gt;0,MIN(Skills!I8,MAX(0,MAX(0,Inputs!$B$43-B2088)-((R2058-1)*(IF(Inputs!$B$38="pvp",15,MAX(0.1,Skills!E8-IF(Skills!F8=TRUE,Inputs!$B$32,0)))*(1-IF(AND(IF(ArtifactsInput!$M$27,FALSE,TRUE),Inputs!$B$4="Chapter Hunt"),CHOOSE(ArtifactsInput!$N$27+1,20,24,28,32,36,40),0)/100)))))/Skills!H8,1)))/Inputs!$B$43),G2058*Q2058)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9">
      <c r="A2059">
        <f>Skills!A9</f>
        <v/>
      </c>
      <c r="B2059">
        <f>Skills!B9</f>
        <v/>
      </c>
      <c r="C2059">
        <f>Inputs!$B$3&gt;=103</f>
        <v/>
      </c>
      <c r="D2059">
        <f>IF(Skills!C9=1,60+Inputs!$B$25+Inputs!$B$29,IF(Skills!C9=2,90+Inputs!$B$26+Inputs!$B$29,IF(Skills!C9=3,120+Inputs!$B$27+Inputs!$B$29,MAX(0,(Inputs!$B$3-100)*3)+Inputs!$B$28+Inputs!$B$29)))</f>
        <v/>
      </c>
      <c r="E2059">
        <f>INDEX(FactorTable!$B$2:$Y$301, MATCH(ROUND(MIN(300,MAX(1,D2059)),0), FactorTable!$A$2:$A$301,0), Skills!M9+1)</f>
        <v/>
      </c>
      <c r="F2059">
        <f>IF(Skills!N9=TRUE,(Skills!L9/10)*(E2059/1000),Skills!L9/10)+Skills!O9</f>
        <v/>
      </c>
      <c r="G2059">
        <f>Calc!G9</f>
        <v/>
      </c>
      <c r="H2059">
        <f>Calc!H9</f>
        <v/>
      </c>
      <c r="I2059">
        <f>IF(Skills!X9&lt;&gt;"",1+(Skills!X9/10)*(Z2053/1000)/100,1)</f>
        <v/>
      </c>
      <c r="J2059">
        <f>((Inputs!$B$6*(1+Inputs!$B$7/100))+(((Inputs!$B$12*(1+Inputs!$B$13/100))-(Inputs!$B$12*(1+Inputs!$B$13/100)))+0.25*(Inputs!$B$14-Inputs!$B$14))*(1+Inputs!$B$7/100))*(F2059/100)</f>
        <v/>
      </c>
      <c r="K2059">
        <f>J2059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2059)</f>
        <v/>
      </c>
      <c r="L2059">
        <f>K2059*(MIN(Inputs!$B$22+(F2072-Calc!F22),(Inputs!$B$23+(IF(ArtifactsInput!$M$15,CHOOSE(ArtifactsInput!$N$15+1,25,30,35,40,45,50)/100*(Inputs!$B$11-Inputs!$B$11),0))))/100+(Inputs!$B$23+(IF(ArtifactsInput!$M$15,CHOOSE(ArtifactsInput!$N$15+1,25,30,35,40,45,50)/100*(Inputs!$B$11-Inputs!$B$11),0)))/100)/2</f>
        <v/>
      </c>
      <c r="M2059">
        <f>L2059*(1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9">
        <f>L2059*(1-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2059*(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9">
        <f>(1-Summary!$B$11)*S2059+Summary!$B$11*U2059</f>
        <v/>
      </c>
      <c r="P2059">
        <f>IF(B2091=0,0,O2059/B2091)</f>
        <v/>
      </c>
      <c r="Q2059">
        <f>IFERROR(1/(IF(Inputs!$B$38="pvp",15,MAX(0.1,Skills!E9-IF(Skills!F7=TRUE,Inputs!$B$32,0)))*(1-IF(AND(IF(ArtifactsInput!$M$27,FALSE,TRUE),Inputs!$B$4="Chapter Hunt"),CHOOSE(ArtifactsInput!$N$27+1,20,24,28,32,36,40),0)/100)),0)</f>
        <v/>
      </c>
      <c r="R2059">
        <f>IF(AND(Inputs!$B$38&lt;&gt;"pvp",Inputs!$B$43&gt;0),IF(MAX(0,Inputs!$B$43-B2088)&lt;=0,0,(INT(MAX(0,Inputs!$B$43-B2088)/(IF(Inputs!$B$38="pvp",15,MAX(0.1,Skills!E9-IF(Skills!F7=TRUE,Inputs!$B$32,0)))*(1-IF(AND(IF(ArtifactsInput!$M$27,FALSE,TRUE),Inputs!$B$4="Chapter Hunt"),CHOOSE(ArtifactsInput!$N$27+1,20,24,28,32,36,40),0)/100)))+1)),0)</f>
        <v/>
      </c>
      <c r="S2059">
        <f>IF(C2059,(H2059*N2059*IF(AND(Inputs!$B$38&lt;&gt;"pvp",Inputs!$B$43&gt;0),((Skills!G9*((R2059-1)*IF(Skills!H9&gt;0,Skills!I9/Skills!H9,1)+IF(Skills!H9&gt;0,MIN(Skills!I9,MAX(0,MAX(0,Inputs!$B$43-B2088)-((R2059-1)*(IF(Inputs!$B$38="pvp",15,MAX(0.1,Skills!E9-IF(Skills!F7=TRUE,Inputs!$B$32,0)))*(1-IF(AND(IF(ArtifactsInput!$M$27,FALSE,TRUE),Inputs!$B$4="Chapter Hunt"),CHOOSE(ArtifactsInput!$N$27+1,20,24,28,32,36,40),0)/100)))))/Skills!H9,1)))/Inputs!$B$43),G2059*Q2059)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2059*(1-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2059*(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2059*(1-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2059*(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9">
        <f>IF(C2059,(H2059*N2059*IF(AND(Inputs!$B$38&lt;&gt;"pvp",Inputs!$B$43&gt;0),((Skills!G9*((R2059-1)*IF(Skills!H9&gt;0,Skills!I9/Skills!H9,1)+IF(Skills!H9&gt;0,MIN(Skills!I9,MAX(0,MAX(0,Inputs!$B$43-B2088)-((R2059-1)*(IF(Inputs!$B$38="pvp",15,MAX(0.1,Skills!E9-IF(Skills!F7=TRUE,Inputs!$B$32,0)))*(1-IF(AND(IF(ArtifactsInput!$M$27,FALSE,TRUE),Inputs!$B$4="Chapter Hunt"),CHOOSE(ArtifactsInput!$N$27+1,20,24,28,32,36,40),0)/100)))))/Skills!H9,1)))/Inputs!$B$43),G2059*Q2059)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0">
      <c r="A2060">
        <f>Skills!A10</f>
        <v/>
      </c>
      <c r="B2060">
        <f>Skills!B10</f>
        <v/>
      </c>
      <c r="C2060">
        <f>TRUE</f>
        <v/>
      </c>
      <c r="D2060">
        <f>IF(Skills!C10=1,60+Inputs!$B$25+Inputs!$B$29,IF(Skills!C10=2,90+Inputs!$B$26+Inputs!$B$29,IF(Skills!C10=3,120+Inputs!$B$27+Inputs!$B$29,MAX(0,(Inputs!$B$3-100)*3)+Inputs!$B$28+Inputs!$B$29)))</f>
        <v/>
      </c>
      <c r="E2060">
        <f>INDEX(FactorTable!$B$2:$Y$301, MATCH(ROUND(MIN(300,MAX(1,D2060)),0), FactorTable!$A$2:$A$301,0), Skills!M10+1)</f>
        <v/>
      </c>
      <c r="F2060">
        <f>IF(Skills!N10=TRUE,(Skills!L10/10)*(E2060/1000),Skills!L10/10)+Skills!O10</f>
        <v/>
      </c>
      <c r="G2060">
        <f>Calc!G10</f>
        <v/>
      </c>
      <c r="H2060">
        <f>Calc!H10</f>
        <v/>
      </c>
      <c r="I2060">
        <f>IF(Skills!X10&lt;&gt;"",1+(Skills!X10/10)*(Z2053/1000)/100,1)</f>
        <v/>
      </c>
      <c r="J2060">
        <f>((Inputs!$B$6*(1+Inputs!$B$7/100))+(((Inputs!$B$12*(1+Inputs!$B$13/100))-(Inputs!$B$12*(1+Inputs!$B$13/100)))+0.25*(Inputs!$B$14-Inputs!$B$14))*(1+Inputs!$B$7/100))*(F2060/100)</f>
        <v/>
      </c>
      <c r="K2060">
        <f>J2060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2060)</f>
        <v/>
      </c>
      <c r="L2060">
        <f>K2060*(MIN(Inputs!$B$22+(F2072-Calc!F22),(Inputs!$B$23+(IF(ArtifactsInput!$M$15,CHOOSE(ArtifactsInput!$N$15+1,25,30,35,40,45,50)/100*(Inputs!$B$11-Inputs!$B$11),0))))/100+(Inputs!$B$23+(IF(ArtifactsInput!$M$15,CHOOSE(ArtifactsInput!$N$15+1,25,30,35,40,45,50)/100*(Inputs!$B$11-Inputs!$B$11),0)))/100)/2</f>
        <v/>
      </c>
      <c r="M2060">
        <f>L2060*(1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0">
        <f>L2060*(1-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2060*(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0">
        <f>(1-Summary!$B$11)*S2060+Summary!$B$11*U2060</f>
        <v/>
      </c>
      <c r="P2060">
        <f>IF(B2091=0,0,O2060/B2091)</f>
        <v/>
      </c>
      <c r="Q2060">
        <f>IFERROR(1/(IF(Inputs!$B$38="pvp",15,MAX(0.1,Skills!E10-IF(Skills!F10=TRUE,Inputs!$B$32,0)))*(1-IF(AND(IF(ArtifactsInput!$M$27,FALSE,TRUE),Inputs!$B$4="Chapter Hunt"),CHOOSE(ArtifactsInput!$N$27+1,20,24,28,32,36,40),0)/100)),0)</f>
        <v/>
      </c>
      <c r="R2060">
        <f>IF(AND(Inputs!$B$38&lt;&gt;"pvp",Inputs!$B$43&gt;0),IF(MAX(0,Inputs!$B$43-B2088)&lt;=0,0,(INT(MAX(0,Inputs!$B$43-B2088)/(IF(Inputs!$B$38="pvp",15,MAX(0.1,Skills!E10-IF(Skills!F10=TRUE,Inputs!$B$32,0)))*(1-IF(AND(IF(ArtifactsInput!$M$27,FALSE,TRUE),Inputs!$B$4="Chapter Hunt"),CHOOSE(ArtifactsInput!$N$27+1,20,24,28,32,36,40),0)/100)))+1)),0)</f>
        <v/>
      </c>
      <c r="S2060">
        <f>IF(C2060,(H2060*N2060*IF(AND(Inputs!$B$38&lt;&gt;"pvp",Inputs!$B$43&gt;0),((Skills!G10*((R2060-1)*IF(Skills!H10&gt;0,Skills!I10/Skills!H10,1)+IF(Skills!H10&gt;0,MIN(Skills!I10,MAX(0,MAX(0,Inputs!$B$43-B2088)-((R2060-1)*(IF(Inputs!$B$38="pvp",15,MAX(0.1,Skills!E10-IF(Skills!F10=TRUE,Inputs!$B$32,0)))*(1-IF(AND(IF(ArtifactsInput!$M$27,FALSE,TRUE),Inputs!$B$4="Chapter Hunt"),CHOOSE(ArtifactsInput!$N$27+1,20,24,28,32,36,40),0)/100)))))/Skills!H10,1)))/Inputs!$B$43),G2060*Q2060)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2060*(1-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2060*(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2060*(1-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2060*(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60">
        <f>IF(C2060,(H2060*N2060*IF(AND(Inputs!$B$38&lt;&gt;"pvp",Inputs!$B$43&gt;0),((Skills!G10*((R2060-1)*IF(Skills!H10&gt;0,Skills!I10/Skills!H10,1)+IF(Skills!H10&gt;0,MIN(Skills!I10,MAX(0,MAX(0,Inputs!$B$43-B2088)-((R2060-1)*(IF(Inputs!$B$38="pvp",15,MAX(0.1,Skills!E10-IF(Skills!F10=TRUE,Inputs!$B$32,0)))*(1-IF(AND(IF(ArtifactsInput!$M$27,FALSE,TRUE),Inputs!$B$4="Chapter Hunt"),CHOOSE(ArtifactsInput!$N$27+1,20,24,28,32,36,40),0)/100)))))/Skills!H10,1)))/Inputs!$B$43),G2060*Q2060)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1">
      <c r="A2061">
        <f>Skills!A11</f>
        <v/>
      </c>
      <c r="B2061">
        <f>Skills!B11</f>
        <v/>
      </c>
      <c r="C2061">
        <f>TRUE</f>
        <v/>
      </c>
      <c r="D2061">
        <f>IF(Skills!C11=1,60+Inputs!$B$25+Inputs!$B$29,IF(Skills!C11=2,90+Inputs!$B$26+Inputs!$B$29,IF(Skills!C11=3,120+Inputs!$B$27+Inputs!$B$29,MAX(0,(Inputs!$B$3-100)*3)+Inputs!$B$28+Inputs!$B$29)))</f>
        <v/>
      </c>
      <c r="E2061">
        <f>INDEX(FactorTable!$B$2:$Y$301, MATCH(ROUND(MIN(300,MAX(1,D2061)),0), FactorTable!$A$2:$A$301,0), Skills!M11+1)</f>
        <v/>
      </c>
      <c r="F2061">
        <f>IF(Skills!N11=TRUE,(Skills!L11/10)*(E2061/1000),Skills!L11/10)+Skills!O11</f>
        <v/>
      </c>
      <c r="G2061">
        <f>Calc!G11</f>
        <v/>
      </c>
      <c r="H2061">
        <f>Calc!H11</f>
        <v/>
      </c>
      <c r="I2061">
        <f>IF(Skills!X11&lt;&gt;"",1+(Skills!X11/10)*(Z2053/1000)/100,1)</f>
        <v/>
      </c>
      <c r="J2061" t="inlineStr"/>
      <c r="K2061" t="inlineStr"/>
      <c r="L2061" t="inlineStr"/>
      <c r="M2061" t="inlineStr"/>
      <c r="N2061" t="inlineStr"/>
      <c r="O2061">
        <f>(1-Summary!$B$11)*S2061+Summary!$B$11*U2061</f>
        <v/>
      </c>
      <c r="P2061">
        <f>IF(B2091=0,0,O2061/B2091)</f>
        <v/>
      </c>
      <c r="Q2061">
        <f>IFERROR(1/(IF(Inputs!$B$38="pvp",15,MAX(0.1,Skills!E11-IF(Skills!F11=TRUE,Inputs!$B$32,0)))*(1-IF(AND(IF(ArtifactsInput!$M$27,FALSE,TRUE),Inputs!$B$4="Chapter Hunt"),CHOOSE(ArtifactsInput!$N$27+1,20,24,28,32,36,40),0)/100)),0)</f>
        <v/>
      </c>
      <c r="R2061" t="n">
        <v>0</v>
      </c>
      <c r="S2061" t="n">
        <v>0</v>
      </c>
      <c r="U2061" t="n">
        <v>0</v>
      </c>
    </row>
    <row r="2062">
      <c r="A2062">
        <f>Skills!A12</f>
        <v/>
      </c>
      <c r="B2062">
        <f>Skills!B12</f>
        <v/>
      </c>
      <c r="C2062">
        <f>TRUE</f>
        <v/>
      </c>
      <c r="D2062">
        <f>IF(Skills!C12=1,60+Inputs!$B$25+Inputs!$B$29,IF(Skills!C12=2,90+Inputs!$B$26+Inputs!$B$29,IF(Skills!C12=3,120+Inputs!$B$27+Inputs!$B$29,MAX(0,(Inputs!$B$3-100)*3)+Inputs!$B$28+Inputs!$B$29)))</f>
        <v/>
      </c>
      <c r="E2062">
        <f>INDEX(FactorTable!$B$2:$Y$301, MATCH(ROUND(MIN(300,MAX(1,D2062)),0), FactorTable!$A$2:$A$301,0), Skills!M12+1)</f>
        <v/>
      </c>
      <c r="F2062">
        <f>IF(Skills!N12=TRUE,(Skills!L12/10)*(E2062/1000),Skills!L12/10)+Skills!O12</f>
        <v/>
      </c>
      <c r="G2062">
        <f>Calc!G12</f>
        <v/>
      </c>
      <c r="H2062">
        <f>Calc!H12</f>
        <v/>
      </c>
      <c r="I2062">
        <f>IF(Skills!X12&lt;&gt;"",1+(Skills!X12/10)*(Z2053/1000)/100,1)</f>
        <v/>
      </c>
      <c r="J2062" t="inlineStr"/>
      <c r="K2062" t="inlineStr"/>
      <c r="L2062" t="inlineStr"/>
      <c r="M2062" t="inlineStr"/>
      <c r="N2062" t="inlineStr"/>
      <c r="O2062">
        <f>(1-Summary!$B$11)*S2062+Summary!$B$11*U2062</f>
        <v/>
      </c>
      <c r="P2062">
        <f>IF(B2091=0,0,O2062/B2091)</f>
        <v/>
      </c>
      <c r="Q2062">
        <f>IFERROR(1/(IF(Inputs!$B$38="pvp",15,MAX(0.1,Skills!E12-IF(Skills!F12=TRUE,Inputs!$B$32,0)))*(1-IF(AND(IF(ArtifactsInput!$M$27,FALSE,TRUE),Inputs!$B$4="Chapter Hunt"),CHOOSE(ArtifactsInput!$N$27+1,20,24,28,32,36,40),0)/100)),0)</f>
        <v/>
      </c>
      <c r="R2062" t="n">
        <v>0</v>
      </c>
      <c r="S2062" t="n">
        <v>0</v>
      </c>
      <c r="U2062" t="n">
        <v>0</v>
      </c>
    </row>
    <row r="2063">
      <c r="A2063">
        <f>Skills!A13</f>
        <v/>
      </c>
      <c r="B2063">
        <f>Skills!B13</f>
        <v/>
      </c>
      <c r="C2063">
        <f>Inputs!$B$3&gt;=105</f>
        <v/>
      </c>
      <c r="D2063">
        <f>IF(Skills!C13=1,60+Inputs!$B$25+Inputs!$B$29,IF(Skills!C13=2,90+Inputs!$B$26+Inputs!$B$29,IF(Skills!C13=3,120+Inputs!$B$27+Inputs!$B$29,MAX(0,(Inputs!$B$3-100)*3)+Inputs!$B$28+Inputs!$B$29)))</f>
        <v/>
      </c>
      <c r="E2063">
        <f>INDEX(FactorTable!$B$2:$Y$301, MATCH(ROUND(MIN(300,MAX(1,D2063)),0), FactorTable!$A$2:$A$301,0), Skills!M13+1)</f>
        <v/>
      </c>
      <c r="F2063">
        <f>IF(Skills!N13=TRUE,(Skills!L13/10)*(E2063/1000),Skills!L13/10)+Skills!O13</f>
        <v/>
      </c>
      <c r="G2063">
        <f>Calc!G13</f>
        <v/>
      </c>
      <c r="H2063">
        <f>Calc!H13</f>
        <v/>
      </c>
      <c r="I2063">
        <f>IF(Skills!X13&lt;&gt;"",1+(Skills!X13/10)*(Z2053/1000)/100,1)</f>
        <v/>
      </c>
      <c r="J2063">
        <f>((Inputs!$B$6*(1+Inputs!$B$7/100))+(((Inputs!$B$12*(1+Inputs!$B$13/100))-(Inputs!$B$12*(1+Inputs!$B$13/100)))+0.25*(Inputs!$B$14-Inputs!$B$14))*(1+Inputs!$B$7/100))*(F2063/100)</f>
        <v/>
      </c>
      <c r="K2063">
        <f>J2063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2063)</f>
        <v/>
      </c>
      <c r="L2063">
        <f>K2063*(MIN(Inputs!$B$22+(F2072-Calc!F22),(Inputs!$B$23+(IF(ArtifactsInput!$M$15,CHOOSE(ArtifactsInput!$N$15+1,25,30,35,40,45,50)/100*(Inputs!$B$11-Inputs!$B$11),0))))/100+(Inputs!$B$23+(IF(ArtifactsInput!$M$15,CHOOSE(ArtifactsInput!$N$15+1,25,30,35,40,45,50)/100*(Inputs!$B$11-Inputs!$B$11),0)))/100)/2</f>
        <v/>
      </c>
      <c r="M2063">
        <f>L2063*(1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3">
        <f>L2063*(1-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2063*(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3">
        <f>(1-Summary!$B$11)*S2063+Summary!$B$11*U2063</f>
        <v/>
      </c>
      <c r="P2063">
        <f>IF(B2091=0,0,O2063/B2091)</f>
        <v/>
      </c>
      <c r="Q2063">
        <f>IFERROR(1/(IF(Inputs!$B$38="pvp",15,MAX(0.1,Skills!E13-IF(Skills!F13=TRUE,Inputs!$B$32,0)))*(1-IF(AND(IF(ArtifactsInput!$M$27,FALSE,TRUE),Inputs!$B$4="Chapter Hunt"),CHOOSE(ArtifactsInput!$N$27+1,20,24,28,32,36,40),0)/100)),0)</f>
        <v/>
      </c>
      <c r="R2063">
        <f>IF(AND(Inputs!$B$38&lt;&gt;"pvp",Inputs!$B$43&gt;0),IF(MAX(0,Inputs!$B$43-B2088)&lt;=0,0,(INT(MAX(0,Inputs!$B$43-B2088)/(IF(Inputs!$B$38="pvp",15,MAX(0.1,Skills!E13-IF(Skills!F13=TRUE,Inputs!$B$32,0)))*(1-IF(AND(IF(ArtifactsInput!$M$27,FALSE,TRUE),Inputs!$B$4="Chapter Hunt"),CHOOSE(ArtifactsInput!$N$27+1,20,24,28,32,36,40),0)/100)))+1)),0)</f>
        <v/>
      </c>
      <c r="S2063">
        <f>IF(C2063,(H2063*N2063*IF(AND(Inputs!$B$38&lt;&gt;"pvp",Inputs!$B$43&gt;0),((Skills!G13*((R2063-1)*IF(Skills!H13&gt;0,Skills!I13/Skills!H13,1)+IF(Skills!H13&gt;0,MIN(Skills!I13,MAX(0,MAX(0,Inputs!$B$43-B2088)-((R2063-1)*(IF(Inputs!$B$38="pvp",15,MAX(0.1,Skills!E13-IF(Skills!F13=TRUE,Inputs!$B$32,0)))*(1-IF(AND(IF(ArtifactsInput!$M$27,FALSE,TRUE),Inputs!$B$4="Chapter Hunt"),CHOOSE(ArtifactsInput!$N$27+1,20,24,28,32,36,40),0)/100)))))/Skills!H13,1)))/Inputs!$B$43),G2063*Q2063)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2063*(1-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2063*(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2063*(1-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2063*(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63">
        <f>IF(C2063,(H2063*N2063*IF(AND(Inputs!$B$38&lt;&gt;"pvp",Inputs!$B$43&gt;0),((Skills!G13*((R2063-1)*IF(Skills!H13&gt;0,Skills!I13/Skills!H13,1)+IF(Skills!H13&gt;0,MIN(Skills!I13,MAX(0,MAX(0,Inputs!$B$43-B2088)-((R2063-1)*(IF(Inputs!$B$38="pvp",15,MAX(0.1,Skills!E13-IF(Skills!F13=TRUE,Inputs!$B$32,0)))*(1-IF(AND(IF(ArtifactsInput!$M$27,FALSE,TRUE),Inputs!$B$4="Chapter Hunt"),CHOOSE(ArtifactsInput!$N$27+1,20,24,28,32,36,40),0)/100)))))/Skills!H13,1)))/Inputs!$B$43),G2063*Q2063)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4">
      <c r="A2064">
        <f>Skills!A14</f>
        <v/>
      </c>
      <c r="B2064">
        <f>Skills!B14</f>
        <v/>
      </c>
      <c r="C2064">
        <f>Inputs!$B$3&gt;=113</f>
        <v/>
      </c>
      <c r="D2064">
        <f>IF(Skills!C14=1,60+Inputs!$B$25+Inputs!$B$29,IF(Skills!C14=2,90+Inputs!$B$26+Inputs!$B$29,IF(Skills!C14=3,120+Inputs!$B$27+Inputs!$B$29,MAX(0,(Inputs!$B$3-100)*3)+Inputs!$B$28+Inputs!$B$29)))</f>
        <v/>
      </c>
      <c r="E2064">
        <f>INDEX(FactorTable!$B$2:$Y$301, MATCH(ROUND(MIN(300,MAX(1,D2064)),0), FactorTable!$A$2:$A$301,0), Skills!M14+1)</f>
        <v/>
      </c>
      <c r="F2064">
        <f>IF(Skills!N14=TRUE,(Skills!L14/10)*(E2064/1000),Skills!L14/10)+Skills!O14</f>
        <v/>
      </c>
      <c r="G2064">
        <f>Calc!G14</f>
        <v/>
      </c>
      <c r="H2064">
        <f>Calc!H14</f>
        <v/>
      </c>
      <c r="I2064">
        <f>IF(Skills!X14&lt;&gt;"",1+(Skills!X14/10)*(Z2053/1000)/100,1)</f>
        <v/>
      </c>
      <c r="J2064">
        <f>((Inputs!$B$6*(1+Inputs!$B$7/100))+(((Inputs!$B$12*(1+Inputs!$B$13/100))-(Inputs!$B$12*(1+Inputs!$B$13/100)))+0.25*(Inputs!$B$14-Inputs!$B$14))*(1+Inputs!$B$7/100))*(F2064/100)</f>
        <v/>
      </c>
      <c r="K2064">
        <f>J2064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2064)</f>
        <v/>
      </c>
      <c r="L2064">
        <f>K2064*(MIN(Inputs!$B$22+(F2072-Calc!F22),(Inputs!$B$23+(IF(ArtifactsInput!$M$15,CHOOSE(ArtifactsInput!$N$15+1,25,30,35,40,45,50)/100*(Inputs!$B$11-Inputs!$B$11),0))))/100+(Inputs!$B$23+(IF(ArtifactsInput!$M$15,CHOOSE(ArtifactsInput!$N$15+1,25,30,35,40,45,50)/100*(Inputs!$B$11-Inputs!$B$11),0)))/100)/2</f>
        <v/>
      </c>
      <c r="M2064">
        <f>L2064*(1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4">
        <f>L2064*(1-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2064*(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4">
        <f>(1-Summary!$B$11)*S2064+Summary!$B$11*U2064</f>
        <v/>
      </c>
      <c r="P2064">
        <f>IF(B2091=0,0,O2064/B2091)</f>
        <v/>
      </c>
      <c r="Q2064">
        <f>IFERROR(1/(IF(Inputs!$B$38="pvp",15,MAX(0.1,Skills!E14-IF(Skills!F14=TRUE,Inputs!$B$32,0)))*(1-IF(AND(IF(ArtifactsInput!$M$27,FALSE,TRUE),Inputs!$B$4="Chapter Hunt"),CHOOSE(ArtifactsInput!$N$27+1,20,24,28,32,36,40),0)/100)),0)</f>
        <v/>
      </c>
      <c r="R2064" t="n">
        <v>0</v>
      </c>
      <c r="S2064">
        <f>IF(C2064,((H2064*B2087)/(1+Skills!H14*H2064*B2087)*N2064)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2064*(1-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2064*(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2064*(1-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2064*(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64">
        <f>IF(C2064,((H2064*B2087)/(1+Skills!H14*H2064*B2087)*N2064)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5">
      <c r="A2065">
        <f>Skills!A15</f>
        <v/>
      </c>
      <c r="B2065">
        <f>Skills!B15</f>
        <v/>
      </c>
      <c r="C2065">
        <f>Inputs!$B$3&gt;=107</f>
        <v/>
      </c>
      <c r="D2065">
        <f>IF(Skills!C15=1,60+Inputs!$B$25+Inputs!$B$29,IF(Skills!C15=2,90+Inputs!$B$26+Inputs!$B$29,IF(Skills!C15=3,120+Inputs!$B$27+Inputs!$B$29,MAX(0,(Inputs!$B$3-100)*3)+Inputs!$B$28+Inputs!$B$29)))</f>
        <v/>
      </c>
      <c r="E2065">
        <f>INDEX(FactorTable!$B$2:$Y$301, MATCH(ROUND(MIN(300,MAX(1,D2065)),0), FactorTable!$A$2:$A$301,0), Skills!M15+1)</f>
        <v/>
      </c>
      <c r="F2065">
        <f>IF(Skills!N15=TRUE,(Skills!L15/10)*(E2065/1000),Skills!L15/10)+Skills!O15</f>
        <v/>
      </c>
      <c r="G2065">
        <f>Calc!G15</f>
        <v/>
      </c>
      <c r="H2065">
        <f>Calc!H15</f>
        <v/>
      </c>
      <c r="I2065">
        <f>IF(Skills!X15&lt;&gt;"",1+(Skills!X15/10)*(Z2053/1000)/100,1)</f>
        <v/>
      </c>
      <c r="J2065">
        <f>((Inputs!$B$6*(1+Inputs!$B$7/100))+(((Inputs!$B$12*(1+Inputs!$B$13/100))-(Inputs!$B$12*(1+Inputs!$B$13/100)))+0.25*(Inputs!$B$14-Inputs!$B$14))*(1+Inputs!$B$7/100))*(F2065/100)</f>
        <v/>
      </c>
      <c r="K2065">
        <f>J2065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2065)</f>
        <v/>
      </c>
      <c r="L2065">
        <f>K2065*(MIN(Inputs!$B$22+(F2072-Calc!F22),(Inputs!$B$23+(IF(ArtifactsInput!$M$15,CHOOSE(ArtifactsInput!$N$15+1,25,30,35,40,45,50)/100*(Inputs!$B$11-Inputs!$B$11),0))))/100+(Inputs!$B$23+(IF(ArtifactsInput!$M$15,CHOOSE(ArtifactsInput!$N$15+1,25,30,35,40,45,50)/100*(Inputs!$B$11-Inputs!$B$11),0)))/100)/2</f>
        <v/>
      </c>
      <c r="M2065">
        <f>L2065*(1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5">
        <f>L2065*(1-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2065*(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5">
        <f>(1-Summary!$B$11)*S2065+Summary!$B$11*U2065</f>
        <v/>
      </c>
      <c r="P2065">
        <f>IF(B2091=0,0,O2065/B2091)</f>
        <v/>
      </c>
      <c r="Q2065">
        <f>IFERROR(1/(IF(Inputs!$B$38="pvp",15,MAX(0.1,Skills!E15-IF(Skills!F15=TRUE,Inputs!$B$32,0)))*(1-IF(AND(IF(ArtifactsInput!$M$27,FALSE,TRUE),Inputs!$B$4="Chapter Hunt"),CHOOSE(ArtifactsInput!$N$27+1,20,24,28,32,36,40),0)/100)),0)</f>
        <v/>
      </c>
      <c r="R2065">
        <f>IF(AND(Inputs!$B$38&lt;&gt;"pvp",Inputs!$B$43&gt;0),IF(MAX(0,Inputs!$B$43-B2088)&lt;=0,0,(INT(MAX(0,Inputs!$B$43-B2088)/(IF(Inputs!$B$38="pvp",15,MAX(0.1,Skills!E15-IF(Skills!F15=TRUE,Inputs!$B$32,0)))*(1-IF(AND(IF(ArtifactsInput!$M$27,FALSE,TRUE),Inputs!$B$4="Chapter Hunt"),CHOOSE(ArtifactsInput!$N$27+1,20,24,28,32,36,40),0)/100)))+1)),0)</f>
        <v/>
      </c>
      <c r="S2065">
        <f>IF(C2065,(H2065*N2065*IF(AND(Inputs!$B$38&lt;&gt;"pvp",Inputs!$B$43&gt;0),((Skills!G15*((R2065-1)*IF(Skills!H15&gt;0,Skills!I15/Skills!H15,1)+IF(Skills!H15&gt;0,MIN(Skills!I15,MAX(0,MAX(0,Inputs!$B$43-B2088)-((R2065-1)*(IF(Inputs!$B$38="pvp",15,MAX(0.1,Skills!E15-IF(Skills!F15=TRUE,Inputs!$B$32,0)))*(1-IF(AND(IF(ArtifactsInput!$M$27,FALSE,TRUE),Inputs!$B$4="Chapter Hunt"),CHOOSE(ArtifactsInput!$N$27+1,20,24,28,32,36,40),0)/100)))))/Skills!H15,1)))/Inputs!$B$43),G2065*Q2065)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2065*(1-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2065*(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2065*(1-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2065*(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65">
        <f>IF(C2065,(H2065*N2065*IF(AND(Inputs!$B$38&lt;&gt;"pvp",Inputs!$B$43&gt;0),((Skills!G15*((R2065-1)*IF(Skills!H15&gt;0,Skills!I15/Skills!H15,1)+IF(Skills!H15&gt;0,MIN(Skills!I15,MAX(0,MAX(0,Inputs!$B$43-B2088)-((R2065-1)*(IF(Inputs!$B$38="pvp",15,MAX(0.1,Skills!E15-IF(Skills!F15=TRUE,Inputs!$B$32,0)))*(1-IF(AND(IF(ArtifactsInput!$M$27,FALSE,TRUE),Inputs!$B$4="Chapter Hunt"),CHOOSE(ArtifactsInput!$N$27+1,20,24,28,32,36,40),0)/100)))))/Skills!H15,1)))/Inputs!$B$43),G2065*Q2065)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6">
      <c r="A2066">
        <f>Skills!A16</f>
        <v/>
      </c>
      <c r="B2066">
        <f>Skills!B16</f>
        <v/>
      </c>
      <c r="C2066">
        <f>Inputs!$B$3&gt;=107</f>
        <v/>
      </c>
      <c r="D2066">
        <f>IF(Skills!C16=1,60+Inputs!$B$25+Inputs!$B$29,IF(Skills!C16=2,90+Inputs!$B$26+Inputs!$B$29,IF(Skills!C16=3,120+Inputs!$B$27+Inputs!$B$29,MAX(0,(Inputs!$B$3-100)*3)+Inputs!$B$28+Inputs!$B$29)))</f>
        <v/>
      </c>
      <c r="E2066">
        <f>INDEX(FactorTable!$B$2:$Y$301, MATCH(ROUND(MIN(300,MAX(1,D2066)),0), FactorTable!$A$2:$A$301,0), Skills!M16+1)</f>
        <v/>
      </c>
      <c r="F2066">
        <f>IF(Skills!N16=TRUE,(Skills!L16/10)*(E2066/1000),Skills!L16/10)+Skills!O16</f>
        <v/>
      </c>
      <c r="G2066">
        <f>Calc!G16</f>
        <v/>
      </c>
      <c r="H2066">
        <f>Calc!H16</f>
        <v/>
      </c>
      <c r="I2066">
        <f>IF(Skills!X16&lt;&gt;"",1+(Skills!X16/10)*(Z2053/1000)/100,1)</f>
        <v/>
      </c>
      <c r="J2066">
        <f>((Inputs!$B$6*(1+Inputs!$B$7/100))+(((Inputs!$B$12*(1+Inputs!$B$13/100))-(Inputs!$B$12*(1+Inputs!$B$13/100)))+0.25*(Inputs!$B$14-Inputs!$B$14))*(1+Inputs!$B$7/100))*(F2066/100)</f>
        <v/>
      </c>
      <c r="K2066">
        <f>J2066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2066)</f>
        <v/>
      </c>
      <c r="L2066">
        <f>K2066*(MIN(Inputs!$B$22+(F2072-Calc!F22),(Inputs!$B$23+(IF(ArtifactsInput!$M$15,CHOOSE(ArtifactsInput!$N$15+1,25,30,35,40,45,50)/100*(Inputs!$B$11-Inputs!$B$11),0))))/100+(Inputs!$B$23+(IF(ArtifactsInput!$M$15,CHOOSE(ArtifactsInput!$N$15+1,25,30,35,40,45,50)/100*(Inputs!$B$11-Inputs!$B$11),0)))/100)/2</f>
        <v/>
      </c>
      <c r="M2066">
        <f>L2066*(1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6">
        <f>L2066*(1-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2066*(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6">
        <f>(1-Summary!$B$11)*S2066+Summary!$B$11*U2066</f>
        <v/>
      </c>
      <c r="P2066">
        <f>IF(B2091=0,0,O2066/B2091)</f>
        <v/>
      </c>
      <c r="Q2066">
        <f>IFERROR(1/(IF(Inputs!$B$38="pvp",15,MAX(0.1,Skills!E16-IF(Skills!F16=TRUE,Inputs!$B$32,0)))*(1-IF(AND(IF(ArtifactsInput!$M$27,FALSE,TRUE),Inputs!$B$4="Chapter Hunt"),CHOOSE(ArtifactsInput!$N$27+1,20,24,28,32,36,40),0)/100)),0)</f>
        <v/>
      </c>
      <c r="R2066">
        <f>IF(AND(Inputs!$B$38&lt;&gt;"pvp",Inputs!$B$43&gt;0),IF(MAX(0,Inputs!$B$43-B2088)&lt;=0,0,(INT(MAX(0,Inputs!$B$43-B2088)/(IF(Inputs!$B$38="pvp",15,MAX(0.1,Skills!E16-IF(Skills!F16=TRUE,Inputs!$B$32,0)))*(1-IF(AND(IF(ArtifactsInput!$M$27,FALSE,TRUE),Inputs!$B$4="Chapter Hunt"),CHOOSE(ArtifactsInput!$N$27+1,20,24,28,32,36,40),0)/100)))+1)),0)</f>
        <v/>
      </c>
      <c r="S2066">
        <f>IF(C2066,(H2066*N2066*IF(AND(Inputs!$B$38&lt;&gt;"pvp",Inputs!$B$43&gt;0),((Skills!G16*((R2066-1)*IF(Skills!H16&gt;0,Skills!I16/Skills!H16,1)+IF(Skills!H16&gt;0,MIN(Skills!I16,MAX(0,MAX(0,Inputs!$B$43-B2088)-((R2066-1)*(IF(Inputs!$B$38="pvp",15,MAX(0.1,Skills!E16-IF(Skills!F16=TRUE,Inputs!$B$32,0)))*(1-IF(AND(IF(ArtifactsInput!$M$27,FALSE,TRUE),Inputs!$B$4="Chapter Hunt"),CHOOSE(ArtifactsInput!$N$27+1,20,24,28,32,36,40),0)/100)))))/Skills!H16,1)))/Inputs!$B$43),G2066*Q2066)*(1+IF(Inputs!$B$3&gt;=126,0.05*(B2086+Q2063+(H2064*B2087)/(1+Skills!H14*H2064*B2087)+Q2074)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2066*(1-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2066*(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2066*(1-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2066*(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66">
        <f>IF(C2066,(H2066*N2066*IF(AND(Inputs!$B$38&lt;&gt;"pvp",Inputs!$B$43&gt;0),((Skills!G16*((R2066-1)*IF(Skills!H16&gt;0,Skills!I16/Skills!H16,1)+IF(Skills!H16&gt;0,MIN(Skills!I16,MAX(0,MAX(0,Inputs!$B$43-B2088)-((R2066-1)*(IF(Inputs!$B$38="pvp",15,MAX(0.1,Skills!E16-IF(Skills!F16=TRUE,Inputs!$B$32,0)))*(1-IF(AND(IF(ArtifactsInput!$M$27,FALSE,TRUE),Inputs!$B$4="Chapter Hunt"),CHOOSE(ArtifactsInput!$N$27+1,20,24,28,32,36,40),0)/100)))))/Skills!H16,1)))/Inputs!$B$43),G2066*Q2066)*(1+IF(Inputs!$B$3&gt;=126,0.05*(B2086+Q2063+(H2064*B2087)/(1+Skills!H14*H2064*B2087)+Q2074)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7">
      <c r="A2067">
        <f>Skills!A17</f>
        <v/>
      </c>
      <c r="B2067">
        <f>Skills!B17</f>
        <v/>
      </c>
      <c r="C2067">
        <f>TRUE</f>
        <v/>
      </c>
      <c r="D2067">
        <f>IF(Skills!C17=1,60+Inputs!$B$25+Inputs!$B$29,IF(Skills!C17=2,90+Inputs!$B$26+Inputs!$B$29,IF(Skills!C17=3,120+Inputs!$B$27+Inputs!$B$29,MAX(0,(Inputs!$B$3-100)*3)+Inputs!$B$28+Inputs!$B$29)))</f>
        <v/>
      </c>
      <c r="E2067">
        <f>INDEX(FactorTable!$B$2:$Y$301, MATCH(ROUND(MIN(300,MAX(1,D2067)),0), FactorTable!$A$2:$A$301,0), Skills!M17+1)</f>
        <v/>
      </c>
      <c r="F2067">
        <f>IF(Skills!N17=TRUE,(Skills!L17/10)*(E2067/1000),Skills!L17/10)+Skills!O17</f>
        <v/>
      </c>
      <c r="G2067">
        <f>Calc!G17</f>
        <v/>
      </c>
      <c r="H2067">
        <f>Calc!H17</f>
        <v/>
      </c>
      <c r="I2067">
        <f>IF(Skills!X17&lt;&gt;"",1+(Skills!X17/10)*(Z2053/1000)/100,1)</f>
        <v/>
      </c>
      <c r="J2067" t="inlineStr"/>
      <c r="K2067" t="inlineStr"/>
      <c r="L2067" t="inlineStr"/>
      <c r="M2067" t="inlineStr"/>
      <c r="N2067" t="inlineStr"/>
      <c r="O2067">
        <f>(1-Summary!$B$11)*S2067+Summary!$B$11*U2067</f>
        <v/>
      </c>
      <c r="P2067">
        <f>IF(B2091=0,0,O2067/B2091)</f>
        <v/>
      </c>
      <c r="Q2067">
        <f>IFERROR(1/(IF(Inputs!$B$38="pvp",15,MAX(0.1,Skills!E17-IF(Skills!F17=TRUE,Inputs!$B$32,0)))*(1-IF(AND(IF(ArtifactsInput!$M$27,FALSE,TRUE),Inputs!$B$4="Chapter Hunt"),CHOOSE(ArtifactsInput!$N$27+1,20,24,28,32,36,40),0)/100)),0)</f>
        <v/>
      </c>
      <c r="R2067">
        <f>IF(AND(Inputs!$B$38&lt;&gt;"pvp",Inputs!$B$43&gt;0),IF(Inputs!$B$43&lt;=0,0,(INT(Inputs!$B$43/(IF(Inputs!$B$38="pvp",15,MAX(0.1,Skills!E17-IF(Skills!F17=TRUE,Inputs!$B$32,0)))*(1-IF(AND(IF(ArtifactsInput!$M$27,FALSE,TRUE),Inputs!$B$4="Chapter Hunt"),CHOOSE(ArtifactsInput!$N$27+1,20,24,28,32,36,40),0)/100)))+1)),0)</f>
        <v/>
      </c>
      <c r="S2067" t="n">
        <v>0</v>
      </c>
      <c r="U2067" t="n">
        <v>0</v>
      </c>
    </row>
    <row r="2068">
      <c r="A2068">
        <f>Skills!A18</f>
        <v/>
      </c>
      <c r="B2068">
        <f>Skills!B18</f>
        <v/>
      </c>
      <c r="C2068">
        <f>TRUE</f>
        <v/>
      </c>
      <c r="D2068">
        <f>IF(Skills!C18=1,60+Inputs!$B$25+Inputs!$B$29,IF(Skills!C18=2,90+Inputs!$B$26+Inputs!$B$29,IF(Skills!C18=3,120+Inputs!$B$27+Inputs!$B$29,MAX(0,(Inputs!$B$3-100)*3)+Inputs!$B$28+Inputs!$B$29)))</f>
        <v/>
      </c>
      <c r="E2068">
        <f>INDEX(FactorTable!$B$2:$Y$301, MATCH(ROUND(MIN(300,MAX(1,D2068)),0), FactorTable!$A$2:$A$301,0), Skills!M18+1)</f>
        <v/>
      </c>
      <c r="F2068">
        <f>IF(Skills!N18=TRUE,(Skills!L18/10)*(E2068/1000),Skills!L18/10)+Skills!O18</f>
        <v/>
      </c>
      <c r="G2068">
        <f>Calc!G18</f>
        <v/>
      </c>
      <c r="H2068">
        <f>Calc!H18</f>
        <v/>
      </c>
      <c r="I2068">
        <f>IF(Skills!X18&lt;&gt;"",1+(Skills!X18/10)*(Z2053/1000)/100,1)</f>
        <v/>
      </c>
      <c r="J2068" t="inlineStr"/>
      <c r="K2068" t="inlineStr"/>
      <c r="L2068" t="inlineStr"/>
      <c r="M2068" t="inlineStr"/>
      <c r="N2068" t="inlineStr"/>
      <c r="O2068">
        <f>(1-Summary!$B$11)*S2068+Summary!$B$11*U2068</f>
        <v/>
      </c>
      <c r="P2068">
        <f>IF(B2091=0,0,O2068/B2091)</f>
        <v/>
      </c>
      <c r="Q2068">
        <f>IFERROR(1/(IF(Inputs!$B$38="pvp",15,MAX(0.1,Skills!E18-IF(Skills!F18=TRUE,Inputs!$B$32,0)))*(1-IF(AND(IF(ArtifactsInput!$M$27,FALSE,TRUE),Inputs!$B$4="Chapter Hunt"),CHOOSE(ArtifactsInput!$N$27+1,20,24,28,32,36,40),0)/100)),0)</f>
        <v/>
      </c>
      <c r="R2068">
        <f>IF(AND(Inputs!$B$38&lt;&gt;"pvp",Inputs!$B$43&gt;0),IF(Inputs!$B$43&lt;=0,0,(INT(Inputs!$B$43/(IF(Inputs!$B$38="pvp",15,MAX(0.1,Skills!E18-IF(Skills!F18=TRUE,Inputs!$B$32,0)))*(1-IF(AND(IF(ArtifactsInput!$M$27,FALSE,TRUE),Inputs!$B$4="Chapter Hunt"),CHOOSE(ArtifactsInput!$N$27+1,20,24,28,32,36,40),0)/100)))+1)),0)</f>
        <v/>
      </c>
      <c r="S2068" t="n">
        <v>0</v>
      </c>
      <c r="U2068" t="n">
        <v>0</v>
      </c>
    </row>
    <row r="2069">
      <c r="A2069">
        <f>Skills!A19</f>
        <v/>
      </c>
      <c r="B2069">
        <f>Skills!B19</f>
        <v/>
      </c>
      <c r="C2069">
        <f>Inputs!$B$3&gt;=110</f>
        <v/>
      </c>
      <c r="D2069">
        <f>IF(Skills!C19=1,60+Inputs!$B$25+Inputs!$B$29,IF(Skills!C19=2,90+Inputs!$B$26+Inputs!$B$29,IF(Skills!C19=3,120+Inputs!$B$27+Inputs!$B$29,MAX(0,(Inputs!$B$3-100)*3)+Inputs!$B$28+Inputs!$B$29)))</f>
        <v/>
      </c>
      <c r="E2069">
        <f>INDEX(FactorTable!$B$2:$Y$301, MATCH(ROUND(MIN(300,MAX(1,D2069)),0), FactorTable!$A$2:$A$301,0), Skills!M19+1)</f>
        <v/>
      </c>
      <c r="F2069">
        <f>IF(Skills!N19=TRUE,(Skills!L19/10)*(E2069/1000),Skills!L19/10)+Skills!O19</f>
        <v/>
      </c>
      <c r="G2069">
        <f>Calc!G19</f>
        <v/>
      </c>
      <c r="H2069">
        <f>Calc!H19</f>
        <v/>
      </c>
      <c r="I2069">
        <f>IF(Skills!X19&lt;&gt;"",1+(Skills!X19/10)*(Z2053/1000)/100,1)</f>
        <v/>
      </c>
      <c r="J2069" t="inlineStr"/>
      <c r="K2069" t="inlineStr"/>
      <c r="L2069" t="inlineStr"/>
      <c r="M2069" t="inlineStr"/>
      <c r="N2069" t="inlineStr"/>
      <c r="O2069">
        <f>(1-Summary!$B$11)*S2069+Summary!$B$11*U2069</f>
        <v/>
      </c>
      <c r="P2069">
        <f>IF(B2091=0,0,O2069/B2091)</f>
        <v/>
      </c>
      <c r="Q2069">
        <f>IFERROR(1/(IF(Inputs!$B$38="pvp",15,MAX(0.1,Skills!E19-IF(Skills!F19=TRUE,Inputs!$B$32,0)))*(1-IF(AND(IF(ArtifactsInput!$M$27,FALSE,TRUE),Inputs!$B$4="Chapter Hunt"),CHOOSE(ArtifactsInput!$N$27+1,20,24,28,32,36,40),0)/100)),0)</f>
        <v/>
      </c>
      <c r="R2069">
        <f>IF(AND(Inputs!$B$38&lt;&gt;"pvp",Inputs!$B$43&gt;0),IF(Inputs!$B$43&lt;=0,0,(INT(Inputs!$B$43/(IF(Inputs!$B$38="pvp",15,MAX(0.1,Skills!E19-IF(Skills!F19=TRUE,Inputs!$B$32,0)))*(1-IF(AND(IF(ArtifactsInput!$M$27,FALSE,TRUE),Inputs!$B$4="Chapter Hunt"),CHOOSE(ArtifactsInput!$N$27+1,20,24,28,32,36,40),0)/100)))+1)),0)</f>
        <v/>
      </c>
      <c r="S2069" t="n">
        <v>0</v>
      </c>
      <c r="U2069" t="n">
        <v>0</v>
      </c>
    </row>
    <row r="2070">
      <c r="A2070">
        <f>Skills!A20</f>
        <v/>
      </c>
      <c r="B2070">
        <f>Skills!B20</f>
        <v/>
      </c>
      <c r="C2070">
        <f>TRUE</f>
        <v/>
      </c>
      <c r="D2070">
        <f>IF(Skills!C20=1,60+Inputs!$B$25+Inputs!$B$29,IF(Skills!C20=2,90+Inputs!$B$26+Inputs!$B$29,IF(Skills!C20=3,120+Inputs!$B$27+Inputs!$B$29,MAX(0,(Inputs!$B$3-100)*3)+Inputs!$B$28+Inputs!$B$29)))</f>
        <v/>
      </c>
      <c r="E2070">
        <f>INDEX(FactorTable!$B$2:$Y$301, MATCH(ROUND(MIN(300,MAX(1,D2070)),0), FactorTable!$A$2:$A$301,0), Skills!M20+1)</f>
        <v/>
      </c>
      <c r="F2070">
        <f>IF(Skills!N20=TRUE,(Skills!L20/10)*(E2070/1000),Skills!L20/10)+Skills!O20</f>
        <v/>
      </c>
      <c r="G2070">
        <f>Calc!G20</f>
        <v/>
      </c>
      <c r="H2070">
        <f>Calc!H20</f>
        <v/>
      </c>
      <c r="I2070">
        <f>IF(Skills!X20&lt;&gt;"",1+(Skills!X20/10)*(Z2053/1000)/100,1)</f>
        <v/>
      </c>
      <c r="J2070" t="inlineStr"/>
      <c r="K2070" t="inlineStr"/>
      <c r="L2070" t="inlineStr"/>
      <c r="M2070" t="inlineStr"/>
      <c r="N2070" t="inlineStr"/>
      <c r="O2070">
        <f>(1-Summary!$B$11)*S2070+Summary!$B$11*U2070</f>
        <v/>
      </c>
      <c r="P2070">
        <f>IF(B2091=0,0,O2070/B2091)</f>
        <v/>
      </c>
      <c r="Q2070">
        <f>IFERROR(1/(IF(Inputs!$B$38="pvp",15,MAX(0.1,Skills!E20-IF(Skills!F20=TRUE,Inputs!$B$32,0)))*(1-IF(AND(IF(ArtifactsInput!$M$27,FALSE,TRUE),Inputs!$B$4="Chapter Hunt"),CHOOSE(ArtifactsInput!$N$27+1,20,24,28,32,36,40),0)/100)),0)</f>
        <v/>
      </c>
      <c r="R2070" t="n">
        <v>0</v>
      </c>
      <c r="S2070" t="n">
        <v>0</v>
      </c>
      <c r="U2070" t="n">
        <v>0</v>
      </c>
    </row>
    <row r="2071">
      <c r="A2071">
        <f>Skills!A21</f>
        <v/>
      </c>
      <c r="B2071">
        <f>Skills!B21</f>
        <v/>
      </c>
      <c r="C2071">
        <f>TRUE</f>
        <v/>
      </c>
      <c r="D2071">
        <f>IF(Skills!C21=1,60+Inputs!$B$25+Inputs!$B$29,IF(Skills!C21=2,90+Inputs!$B$26+Inputs!$B$29,IF(Skills!C21=3,120+Inputs!$B$27+Inputs!$B$29,MAX(0,(Inputs!$B$3-100)*3)+Inputs!$B$28+Inputs!$B$29)))</f>
        <v/>
      </c>
      <c r="E2071">
        <f>INDEX(FactorTable!$B$2:$Y$301, MATCH(ROUND(MIN(300,MAX(1,D2071)),0), FactorTable!$A$2:$A$301,0), Skills!M21+1)</f>
        <v/>
      </c>
      <c r="F2071">
        <f>IF(Skills!N21=TRUE,(Skills!L21/10)*(E2071/1000),Skills!L21/10)+Skills!O21</f>
        <v/>
      </c>
      <c r="G2071">
        <f>Calc!G21</f>
        <v/>
      </c>
      <c r="H2071">
        <f>Calc!H21</f>
        <v/>
      </c>
      <c r="I2071">
        <f>IF(Skills!X21&lt;&gt;"",1+(Skills!X21/10)*(Z2053/1000)/100,1)</f>
        <v/>
      </c>
      <c r="J2071" t="inlineStr"/>
      <c r="K2071" t="inlineStr"/>
      <c r="L2071" t="inlineStr"/>
      <c r="M2071" t="inlineStr"/>
      <c r="N2071" t="inlineStr"/>
      <c r="O2071">
        <f>(1-Summary!$B$11)*S2071+Summary!$B$11*U2071</f>
        <v/>
      </c>
      <c r="P2071">
        <f>IF(B2091=0,0,O2071/B2091)</f>
        <v/>
      </c>
      <c r="Q2071">
        <f>IFERROR(1/(IF(Inputs!$B$38="pvp",15,MAX(0.1,Skills!E21-IF(Skills!F21=TRUE,Inputs!$B$32,0)))*(1-IF(AND(IF(ArtifactsInput!$M$27,FALSE,TRUE),Inputs!$B$4="Chapter Hunt"),CHOOSE(ArtifactsInput!$N$27+1,20,24,28,32,36,40),0)/100)),0)</f>
        <v/>
      </c>
      <c r="R2071" t="n">
        <v>0</v>
      </c>
      <c r="S2071" t="n">
        <v>0</v>
      </c>
      <c r="U2071" t="n">
        <v>0</v>
      </c>
    </row>
    <row r="2072">
      <c r="A2072">
        <f>Skills!A22</f>
        <v/>
      </c>
      <c r="B2072">
        <f>Skills!B22</f>
        <v/>
      </c>
      <c r="C2072">
        <f>TRUE</f>
        <v/>
      </c>
      <c r="D2072">
        <f>IF(Skills!C22=1,60+Inputs!$B$25+Inputs!$B$29,IF(Skills!C22=2,90+Inputs!$B$26+Inputs!$B$29,IF(Skills!C22=3,120+Inputs!$B$27+Inputs!$B$29,MAX(0,(Inputs!$B$3-100)*3)+Inputs!$B$28+Inputs!$B$29)))</f>
        <v/>
      </c>
      <c r="E2072">
        <f>INDEX(FactorTable!$B$2:$Y$301, MATCH(ROUND(MIN(300,MAX(1,D2072)),0), FactorTable!$A$2:$A$301,0), Skills!M22+1)</f>
        <v/>
      </c>
      <c r="F2072">
        <f>IF(Skills!N22=TRUE,(Skills!L22/10)*(E2072/1000),Skills!L22/10)+Skills!O22</f>
        <v/>
      </c>
      <c r="G2072">
        <f>Calc!G22</f>
        <v/>
      </c>
      <c r="H2072">
        <f>Calc!H22</f>
        <v/>
      </c>
      <c r="I2072">
        <f>IF(Skills!X22&lt;&gt;"",1+(Skills!X22/10)*(Z2053/1000)/100,1)</f>
        <v/>
      </c>
      <c r="J2072" t="inlineStr"/>
      <c r="K2072" t="inlineStr"/>
      <c r="L2072" t="inlineStr"/>
      <c r="M2072" t="inlineStr"/>
      <c r="N2072" t="inlineStr"/>
      <c r="O2072">
        <f>(1-Summary!$B$11)*S2072+Summary!$B$11*U2072</f>
        <v/>
      </c>
      <c r="P2072">
        <f>IF(B2091=0,0,O2072/B2091)</f>
        <v/>
      </c>
      <c r="Q2072">
        <f>IFERROR(1/(IF(Inputs!$B$38="pvp",15,MAX(0.1,Skills!E22-IF(Skills!F22=TRUE,Inputs!$B$32,0)))*(1-IF(AND(IF(ArtifactsInput!$M$27,FALSE,TRUE),Inputs!$B$4="Chapter Hunt"),CHOOSE(ArtifactsInput!$N$27+1,20,24,28,32,36,40),0)/100)),0)</f>
        <v/>
      </c>
      <c r="R2072" t="n">
        <v>0</v>
      </c>
      <c r="S2072" t="n">
        <v>0</v>
      </c>
      <c r="U2072" t="n">
        <v>0</v>
      </c>
    </row>
    <row r="2073">
      <c r="A2073">
        <f>Skills!A23</f>
        <v/>
      </c>
      <c r="B2073">
        <f>Skills!B23</f>
        <v/>
      </c>
      <c r="C2073">
        <f>TRUE</f>
        <v/>
      </c>
      <c r="D2073">
        <f>IF(Skills!C23=1,60+Inputs!$B$25+Inputs!$B$29,IF(Skills!C23=2,90+Inputs!$B$26+Inputs!$B$29,IF(Skills!C23=3,120+Inputs!$B$27+Inputs!$B$29,MAX(0,(Inputs!$B$3-100)*3)+Inputs!$B$28+Inputs!$B$29)))</f>
        <v/>
      </c>
      <c r="E2073">
        <f>INDEX(FactorTable!$B$2:$Y$301, MATCH(ROUND(MIN(300,MAX(1,D2073)),0), FactorTable!$A$2:$A$301,0), Skills!M23+1)</f>
        <v/>
      </c>
      <c r="F2073">
        <f>IF(Skills!N23=TRUE,(Skills!L23/10)*(E2073/1000),Skills!L23/10)+Skills!O23</f>
        <v/>
      </c>
      <c r="G2073">
        <f>Calc!G23</f>
        <v/>
      </c>
      <c r="H2073">
        <f>Calc!H23</f>
        <v/>
      </c>
      <c r="I2073">
        <f>IF(Skills!X23&lt;&gt;"",1+(Skills!X23/10)*(Z2053/1000)/100,1)</f>
        <v/>
      </c>
      <c r="J2073" t="inlineStr"/>
      <c r="K2073" t="inlineStr"/>
      <c r="L2073" t="inlineStr"/>
      <c r="M2073" t="inlineStr"/>
      <c r="N2073" t="inlineStr"/>
      <c r="O2073">
        <f>(1-Summary!$B$11)*S2073+Summary!$B$11*U2073</f>
        <v/>
      </c>
      <c r="P2073">
        <f>IF(B2091=0,0,O2073/B2091)</f>
        <v/>
      </c>
      <c r="Q2073">
        <f>IFERROR(1/(IF(Inputs!$B$38="pvp",15,MAX(0.1,Skills!E23-IF(Skills!F23=TRUE,Inputs!$B$32,0)))*(1-IF(AND(IF(ArtifactsInput!$M$27,FALSE,TRUE),Inputs!$B$4="Chapter Hunt"),CHOOSE(ArtifactsInput!$N$27+1,20,24,28,32,36,40),0)/100)),0)</f>
        <v/>
      </c>
      <c r="R2073" t="n">
        <v>0</v>
      </c>
      <c r="S2073" t="n">
        <v>0</v>
      </c>
      <c r="U2073" t="n">
        <v>0</v>
      </c>
    </row>
    <row r="2074">
      <c r="A2074">
        <f>Skills!A24</f>
        <v/>
      </c>
      <c r="B2074">
        <f>Skills!B24</f>
        <v/>
      </c>
      <c r="C2074">
        <f>Inputs!$B$3&gt;=115</f>
        <v/>
      </c>
      <c r="D2074">
        <f>IF(Skills!C24=1,60+Inputs!$B$25+Inputs!$B$29,IF(Skills!C24=2,90+Inputs!$B$26+Inputs!$B$29,IF(Skills!C24=3,120+Inputs!$B$27+Inputs!$B$29,MAX(0,(Inputs!$B$3-100)*3)+Inputs!$B$28+Inputs!$B$29)))</f>
        <v/>
      </c>
      <c r="E2074">
        <f>INDEX(FactorTable!$B$2:$Y$301, MATCH(ROUND(MIN(300,MAX(1,D2074)),0), FactorTable!$A$2:$A$301,0), Skills!M24+1)</f>
        <v/>
      </c>
      <c r="F2074">
        <f>IF(Skills!N24=TRUE,(Skills!L24/10)*(E2074/1000),Skills!L24/10)+Skills!O24</f>
        <v/>
      </c>
      <c r="G2074">
        <f>Calc!G24</f>
        <v/>
      </c>
      <c r="H2074">
        <f>Calc!H24</f>
        <v/>
      </c>
      <c r="I2074">
        <f>IF(Skills!X24&lt;&gt;"",1+(Skills!X24/10)*(Z2053/1000)/100,1)</f>
        <v/>
      </c>
      <c r="J2074">
        <f>((Inputs!$B$6*(1+Inputs!$B$7/100))+(((Inputs!$B$12*(1+Inputs!$B$13/100))-(Inputs!$B$12*(1+Inputs!$B$13/100)))+0.25*(Inputs!$B$14-Inputs!$B$14))*(1+Inputs!$B$7/100))*(F2074/100)</f>
        <v/>
      </c>
      <c r="K2074">
        <f>J2074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2074)</f>
        <v/>
      </c>
      <c r="L2074">
        <f>K2074*(MIN(Inputs!$B$22+(F2072-Calc!F22),(Inputs!$B$23+(IF(ArtifactsInput!$M$15,CHOOSE(ArtifactsInput!$N$15+1,25,30,35,40,45,50)/100*(Inputs!$B$11-Inputs!$B$11),0))))/100+(Inputs!$B$23+(IF(ArtifactsInput!$M$15,CHOOSE(ArtifactsInput!$N$15+1,25,30,35,40,45,50)/100*(Inputs!$B$11-Inputs!$B$11),0)))/100)/2</f>
        <v/>
      </c>
      <c r="M2074">
        <f>L2074*(1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74">
        <f>L2074*(1-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2074*(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4">
        <f>(1-Summary!$B$11)*S2074+Summary!$B$11*U2074</f>
        <v/>
      </c>
      <c r="P2074">
        <f>IF(B2091=0,0,O2074/B2091)</f>
        <v/>
      </c>
      <c r="Q2074">
        <f>IFERROR(1/(IF(Inputs!$B$38="pvp",15,MAX(0.1,Skills!E24-IF(Skills!F24=TRUE,Inputs!$B$32,0)))*(1-IF(AND(IF(ArtifactsInput!$M$27,FALSE,TRUE),Inputs!$B$4="Chapter Hunt"),CHOOSE(ArtifactsInput!$N$27+1,20,24,28,32,36,40),0)/100)),0)</f>
        <v/>
      </c>
      <c r="R2074">
        <f>IF(AND(Inputs!$B$38&lt;&gt;"pvp",Inputs!$B$43&gt;0),IF(MAX(0,Inputs!$B$43-B2088)&lt;=0,0,(INT(MAX(0,Inputs!$B$43-B2088)/(IF(Inputs!$B$38="pvp",15,MAX(0.1,Skills!E24-IF(Skills!F24=TRUE,Inputs!$B$32,0)))*(1-IF(AND(IF(ArtifactsInput!$M$27,FALSE,TRUE),Inputs!$B$4="Chapter Hunt"),CHOOSE(ArtifactsInput!$N$27+1,20,24,28,32,36,40),0)/100)))+1)),0)</f>
        <v/>
      </c>
      <c r="S2074">
        <f>IF(C2074,(H2074*N2074*IF(AND(Inputs!$B$38&lt;&gt;"pvp",Inputs!$B$43&gt;0),((Skills!G24*((R2074-1)*IF(Skills!H24&gt;0,Skills!I24/Skills!H24,1)+IF(Skills!H24&gt;0,MIN(Skills!I24,MAX(0,MAX(0,Inputs!$B$43-B2088)-((R2074-1)*(IF(Inputs!$B$38="pvp",15,MAX(0.1,Skills!E24-IF(Skills!F24=TRUE,Inputs!$B$32,0)))*(1-IF(AND(IF(ArtifactsInput!$M$27,FALSE,TRUE),Inputs!$B$4="Chapter Hunt"),CHOOSE(ArtifactsInput!$N$27+1,20,24,28,32,36,40),0)/100)))))/Skills!H24,1)))/Inputs!$B$43),G2074*Q2074)*(1+IF(Inputs!$B$3&gt;=130,0.2*(Skills!I16/Skills!E15+IF(Inputs!$B$3&gt;=126,0.05*(B2086+Q2063+(H2064*B2087)/(1+Skills!H14*H2064*B2087)+Q2074)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2074*(1-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2074*(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2074*(1-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2074*(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74">
        <f>IF(C2074,(H2074*N2074*IF(AND(Inputs!$B$38&lt;&gt;"pvp",Inputs!$B$43&gt;0),((Skills!G24*((R2074-1)*IF(Skills!H24&gt;0,Skills!I24/Skills!H24,1)+IF(Skills!H24&gt;0,MIN(Skills!I24,MAX(0,MAX(0,Inputs!$B$43-B2088)-((R2074-1)*(IF(Inputs!$B$38="pvp",15,MAX(0.1,Skills!E24-IF(Skills!F24=TRUE,Inputs!$B$32,0)))*(1-IF(AND(IF(ArtifactsInput!$M$27,FALSE,TRUE),Inputs!$B$4="Chapter Hunt"),CHOOSE(ArtifactsInput!$N$27+1,20,24,28,32,36,40),0)/100)))))/Skills!H24,1)))/Inputs!$B$43),G2074*Q2074)*(1+IF(Inputs!$B$3&gt;=130,0.2*(Skills!I16/Skills!E15+IF(Inputs!$B$3&gt;=126,0.05*(B2086+Q2063+(H2064*B2087)/(1+Skills!H14*H2064*B2087)+Q2074)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5">
      <c r="A2075">
        <f>Skills!A25</f>
        <v/>
      </c>
      <c r="B2075">
        <f>Skills!B25</f>
        <v/>
      </c>
      <c r="C2075">
        <f>Inputs!$B$3&gt;=117</f>
        <v/>
      </c>
      <c r="D2075">
        <f>IF(Skills!C25=1,60+Inputs!$B$25+Inputs!$B$29,IF(Skills!C25=2,90+Inputs!$B$26+Inputs!$B$29,IF(Skills!C25=3,120+Inputs!$B$27+Inputs!$B$29,MAX(0,(Inputs!$B$3-100)*3)+Inputs!$B$28+Inputs!$B$29)))</f>
        <v/>
      </c>
      <c r="E2075">
        <f>INDEX(FactorTable!$B$2:$Y$301, MATCH(ROUND(MIN(300,MAX(1,D2075)),0), FactorTable!$A$2:$A$301,0), Skills!M25+1)</f>
        <v/>
      </c>
      <c r="F2075">
        <f>IF(Skills!N25=TRUE,(Skills!L25/10)*(E2075/1000),Skills!L25/10)+Skills!O25</f>
        <v/>
      </c>
      <c r="G2075">
        <f>Calc!G25</f>
        <v/>
      </c>
      <c r="H2075">
        <f>Calc!H25</f>
        <v/>
      </c>
      <c r="I2075">
        <f>IF(Skills!X25&lt;&gt;"",1+(Skills!X25/10)*(Z2053/1000)/100,1)</f>
        <v/>
      </c>
      <c r="J2075" t="inlineStr"/>
      <c r="K2075" t="inlineStr"/>
      <c r="L2075" t="inlineStr"/>
      <c r="M2075" t="inlineStr"/>
      <c r="N2075" t="inlineStr"/>
      <c r="O2075">
        <f>(1-Summary!$B$11)*S2075+Summary!$B$11*U2075</f>
        <v/>
      </c>
      <c r="P2075">
        <f>IF(B2091=0,0,O2075/B2091)</f>
        <v/>
      </c>
      <c r="Q2075">
        <f>IFERROR(1/(IF(Inputs!$B$38="pvp",15,MAX(0.1,Skills!E25-IF(Skills!F25=TRUE,Inputs!$B$32,0)))*(1-IF(AND(IF(ArtifactsInput!$M$27,FALSE,TRUE),Inputs!$B$4="Chapter Hunt"),CHOOSE(ArtifactsInput!$N$27+1,20,24,28,32,36,40),0)/100)),0)</f>
        <v/>
      </c>
      <c r="R2075" t="n">
        <v>0</v>
      </c>
      <c r="S2075" t="n">
        <v>0</v>
      </c>
      <c r="U2075" t="n">
        <v>0</v>
      </c>
    </row>
    <row r="2076">
      <c r="A2076">
        <f>Skills!A26</f>
        <v/>
      </c>
      <c r="B2076">
        <f>Skills!B26</f>
        <v/>
      </c>
      <c r="C2076">
        <f>Inputs!$B$3&gt;=120</f>
        <v/>
      </c>
      <c r="D2076">
        <f>IF(Skills!C26=1,60+Inputs!$B$25+Inputs!$B$29,IF(Skills!C26=2,90+Inputs!$B$26+Inputs!$B$29,IF(Skills!C26=3,120+Inputs!$B$27+Inputs!$B$29,MAX(0,(Inputs!$B$3-100)*3)+Inputs!$B$28+Inputs!$B$29)))</f>
        <v/>
      </c>
      <c r="E2076">
        <f>INDEX(FactorTable!$B$2:$Y$301, MATCH(ROUND(MIN(300,MAX(1,D2076)),0), FactorTable!$A$2:$A$301,0), Skills!M26+1)</f>
        <v/>
      </c>
      <c r="F2076">
        <f>IF(Skills!N26=TRUE,(Skills!L26/10)*(E2076/1000),Skills!L26/10)+Skills!O26</f>
        <v/>
      </c>
      <c r="G2076">
        <f>Calc!G26</f>
        <v/>
      </c>
      <c r="H2076">
        <f>Calc!H26</f>
        <v/>
      </c>
      <c r="I2076">
        <f>IF(Skills!X26&lt;&gt;"",1+(Skills!X26/10)*(Z2053/1000)/100,1)</f>
        <v/>
      </c>
      <c r="J2076" t="inlineStr"/>
      <c r="K2076" t="inlineStr"/>
      <c r="L2076" t="inlineStr"/>
      <c r="M2076" t="inlineStr"/>
      <c r="N2076" t="inlineStr"/>
      <c r="O2076">
        <f>(1-Summary!$B$11)*S2076+Summary!$B$11*U2076</f>
        <v/>
      </c>
      <c r="P2076">
        <f>IF(B2091=0,0,O2076/B2091)</f>
        <v/>
      </c>
      <c r="Q2076">
        <f>IFERROR(1/(IF(Inputs!$B$38="pvp",15,MAX(0.1,Skills!E26-IF(Skills!F26=TRUE,Inputs!$B$32,0)))*(1-IF(AND(IF(ArtifactsInput!$M$27,FALSE,TRUE),Inputs!$B$4="Chapter Hunt"),CHOOSE(ArtifactsInput!$N$27+1,20,24,28,32,36,40),0)/100)),0)</f>
        <v/>
      </c>
      <c r="R2076" t="n">
        <v>0</v>
      </c>
      <c r="S2076" t="n">
        <v>0</v>
      </c>
      <c r="U2076" t="n">
        <v>0</v>
      </c>
    </row>
    <row r="2077">
      <c r="A2077">
        <f>Skills!A27</f>
        <v/>
      </c>
      <c r="B2077">
        <f>Skills!B27</f>
        <v/>
      </c>
      <c r="C2077">
        <f>Inputs!$B$3&gt;=125</f>
        <v/>
      </c>
      <c r="D2077">
        <f>IF(Skills!C27=1,60+Inputs!$B$25+Inputs!$B$29,IF(Skills!C27=2,90+Inputs!$B$26+Inputs!$B$29,IF(Skills!C27=3,120+Inputs!$B$27+Inputs!$B$29,MAX(0,(Inputs!$B$3-100)*3)+Inputs!$B$28+Inputs!$B$29)))</f>
        <v/>
      </c>
      <c r="E2077">
        <f>INDEX(FactorTable!$B$2:$Y$301, MATCH(ROUND(MIN(300,MAX(1,D2077)),0), FactorTable!$A$2:$A$301,0), Skills!M27+1)</f>
        <v/>
      </c>
      <c r="F2077">
        <f>IF(Skills!N27=TRUE,(Skills!L27/10)*(E2077/1000),Skills!L27/10)+Skills!O27</f>
        <v/>
      </c>
      <c r="G2077">
        <f>Calc!G27</f>
        <v/>
      </c>
      <c r="H2077">
        <f>Calc!H27</f>
        <v/>
      </c>
      <c r="I2077">
        <f>IF(Skills!X27&lt;&gt;"",1+(Skills!X27/10)*(Z2053/1000)/100,1)</f>
        <v/>
      </c>
      <c r="J2077" t="inlineStr"/>
      <c r="K2077" t="inlineStr"/>
      <c r="L2077" t="inlineStr"/>
      <c r="M2077" t="inlineStr"/>
      <c r="N2077" t="inlineStr"/>
      <c r="O2077">
        <f>(1-Summary!$B$11)*S2077+Summary!$B$11*U2077</f>
        <v/>
      </c>
      <c r="P2077">
        <f>IF(B2091=0,0,O2077/B2091)</f>
        <v/>
      </c>
      <c r="Q2077">
        <f>IFERROR(1/(IF(Inputs!$B$38="pvp",15,MAX(0.1,Skills!E27-IF(Skills!F27=TRUE,Inputs!$B$32,0)))*(1-IF(AND(IF(ArtifactsInput!$M$27,FALSE,TRUE),Inputs!$B$4="Chapter Hunt"),CHOOSE(ArtifactsInput!$N$27+1,20,24,28,32,36,40),0)/100)),0)</f>
        <v/>
      </c>
      <c r="R2077" t="n">
        <v>0</v>
      </c>
      <c r="S2077" t="n">
        <v>0</v>
      </c>
      <c r="U2077" t="n">
        <v>0</v>
      </c>
    </row>
    <row r="2078">
      <c r="A2078">
        <f>Skills!A28</f>
        <v/>
      </c>
      <c r="B2078">
        <f>Skills!B28</f>
        <v/>
      </c>
      <c r="C2078">
        <f>Inputs!$B$3&gt;=118</f>
        <v/>
      </c>
      <c r="D2078">
        <f>IF(Skills!C28=1,60+Inputs!$B$25+Inputs!$B$29,IF(Skills!C28=2,90+Inputs!$B$26+Inputs!$B$29,IF(Skills!C28=3,120+Inputs!$B$27+Inputs!$B$29,MAX(0,(Inputs!$B$3-100)*3)+Inputs!$B$28+Inputs!$B$29)))</f>
        <v/>
      </c>
      <c r="E2078">
        <f>INDEX(FactorTable!$B$2:$Y$301, MATCH(ROUND(MIN(300,MAX(1,D2078)),0), FactorTable!$A$2:$A$301,0), Skills!M28+1)</f>
        <v/>
      </c>
      <c r="F2078">
        <f>IF(Skills!N28=TRUE,(Skills!L28/10)*(E2078/1000),Skills!L28/10)+Skills!O28</f>
        <v/>
      </c>
      <c r="G2078">
        <f>Calc!G28</f>
        <v/>
      </c>
      <c r="H2078">
        <f>Calc!H28</f>
        <v/>
      </c>
      <c r="I2078">
        <f>IF(Skills!X28&lt;&gt;"",1+(Skills!X28/10)*(Z2053/1000)/100,1)</f>
        <v/>
      </c>
      <c r="J2078">
        <f>((Inputs!$B$6*(1+Inputs!$B$7/100))+(((Inputs!$B$12*(1+Inputs!$B$13/100))-(Inputs!$B$12*(1+Inputs!$B$13/100)))+0.25*(Inputs!$B$14-Inputs!$B$14))*(1+Inputs!$B$7/100))*(F2078/100)</f>
        <v/>
      </c>
      <c r="K2078">
        <f>J2078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2073/100)*(1+IF(Inputs!$B$3&gt;=120,F2076,0)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2077*5,0)))/100)*(B2080*B2081*B2082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2078)</f>
        <v/>
      </c>
      <c r="L2078">
        <f>K2078*(MIN(Inputs!$B$22+(F2072-Calc!F22),(Inputs!$B$23+(IF(ArtifactsInput!$M$15,CHOOSE(ArtifactsInput!$N$15+1,25,30,35,40,45,50)/100*(Inputs!$B$11-Inputs!$B$11),0))))/100+(Inputs!$B$23+(IF(ArtifactsInput!$M$15,CHOOSE(ArtifactsInput!$N$15+1,25,30,35,40,45,50)/100*(Inputs!$B$11-Inputs!$B$11),0)))/100)/2</f>
        <v/>
      </c>
      <c r="M2078">
        <f>L2078*(1+(Inputs!$B$10+(F2071-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78">
        <f>L2078*(1-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2078*(MIN((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8">
        <f>(1-Summary!$B$11)*S2078+Summary!$B$11*U2078</f>
        <v/>
      </c>
      <c r="P2078">
        <f>IF(B2091=0,0,O2078/B2091)</f>
        <v/>
      </c>
      <c r="Q2078">
        <f>IFERROR(1/(IF(Inputs!$B$38="pvp",15,MAX(0.1,Skills!E28-IF(Skills!F28=TRUE,Inputs!$B$32,0)))*(1-IF(AND(IF(ArtifactsInput!$M$27,FALSE,TRUE),Inputs!$B$4="Chapter Hunt"),CHOOSE(ArtifactsInput!$N$27+1,20,24,28,32,36,40),0)/100)),0)</f>
        <v/>
      </c>
      <c r="R2078">
        <f>IF(AND(Inputs!$B$38&lt;&gt;"pvp",Inputs!$B$43&gt;0),IF(MAX(0,Inputs!$B$43-B2088)&lt;=0,0,(INT(MAX(0,Inputs!$B$43-B2088)/(IF(Inputs!$B$38="pvp",15,MAX(0.1,Skills!E28-IF(Skills!F28=TRUE,Inputs!$B$32,0)))*(1-IF(AND(IF(ArtifactsInput!$M$27,FALSE,TRUE),Inputs!$B$4="Chapter Hunt"),CHOOSE(ArtifactsInput!$N$27+1,20,24,28,32,36,40),0)/100)))+1)),0)</f>
        <v/>
      </c>
      <c r="S2078">
        <f>IF(C2078,(H2078*N2078*IF(AND(Inputs!$B$38&lt;&gt;"pvp",Inputs!$B$43&gt;0),((Skills!G28*((R2078-1)*IF(Skills!H28&gt;0,Skills!I28/Skills!H28,1)+IF(Skills!H28&gt;0,MIN(Skills!I28,MAX(0,MAX(0,Inputs!$B$43-B2088)-((R2078-1)*(IF(Inputs!$B$38="pvp",15,MAX(0.1,Skills!E28-IF(Skills!F28=TRUE,Inputs!$B$32,0)))*(1-IF(AND(IF(ArtifactsInput!$M$27,FALSE,TRUE),Inputs!$B$4="Chapter Hunt"),CHOOSE(ArtifactsInput!$N$27+1,20,24,28,32,36,40),0)/100)))))/Skills!H28,1)))/Inputs!$B$43),G2078*Q2078)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2078*(1-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2078*(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2078*(1-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2078*(MIN(100,(Inputs!$B$9+(F2070-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78">
        <f>IF(C2078,(H2078*N2078*IF(AND(Inputs!$B$38&lt;&gt;"pvp",Inputs!$B$43&gt;0),((Skills!G28*((R2078-1)*IF(Skills!H28&gt;0,Skills!I28/Skills!H28,1)+IF(Skills!H28&gt;0,MIN(Skills!I28,MAX(0,MAX(0,Inputs!$B$43-B2088)-((R2078-1)*(IF(Inputs!$B$38="pvp",15,MAX(0.1,Skills!E28-IF(Skills!F28=TRUE,Inputs!$B$32,0)))*(1-IF(AND(IF(ArtifactsInput!$M$27,FALSE,TRUE),Inputs!$B$4="Chapter Hunt"),CHOOSE(ArtifactsInput!$N$27+1,20,24,28,32,36,40),0)/100)))))/Skills!H28,1)))/Inputs!$B$43),G2078*Q2078)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0">
      <c r="A2080" t="inlineStr">
        <is>
          <t>Burning Magic Multiplier</t>
        </is>
      </c>
      <c r="B2080">
        <f>1+(F2061*Skills!Z11)/100</f>
        <v/>
      </c>
    </row>
    <row r="2081">
      <c r="A2081" t="inlineStr">
        <is>
          <t>Elemental Decrease Multiplier (always-on)</t>
        </is>
      </c>
      <c r="B2081">
        <f>1+(F2062+(IF(AND(ArtifactsInput!$M$35,Inputs!$B$4&lt;&gt;"Chapter Hunt"),CHOOSE(ArtifactsInput!$N$35+1,15,18,21,24,27,30)*(1-EXP(-(0.2*B2084)*5)),0)+IF(AND(ArtifactsInput!$M$22,Inputs!$B$4&lt;&gt;"Chapter Hunt"),CHOOSE(ArtifactsInput!$N$22+1,10,12,14,16,18,20)*((0*(((0.15*B2084*5))^0/1)+1*(((0.15*B2084*5))^1/1)+2*(((0.15*B2084*5))^2/2)+3*(((0.15*B2084*5))^3/6)+4*(((0.15*B2084*5))^4/24)+5*(((0.15*B2084*5))^5/120))/((((0.15*B2084*5))^0/1)+(((0.15*B2084*5))^1/1)+(((0.15*B2084*5))^2/2)+(((0.15*B2084*5))^3/6)+(((0.15*B2084*5))^4/24)+(((0.15*B2084*5))^5/120))),0)))/100</f>
        <v/>
      </c>
    </row>
    <row r="2082">
      <c r="A2082" t="inlineStr">
        <is>
          <t>Average Buff Multiplier (Magic Guard + Meditation + Artifact Attack%, summed; then Infinity)</t>
        </is>
      </c>
      <c r="B2082">
        <f>(1+(F2056*IF(AND(Inputs!$B$38&lt;&gt;"pvp",Inputs!$B$43&gt;0),(((R2056-1)*(Skills!T6*(1+((Inputs!$B$34+(ArtifactsInput!$M$7-ArtifactsInput!$M$7)*CHOOSE(ArtifactsInput!$N$7+1,6,7.2,8.4,9.6,10.8,12)))/100))+MIN((Skills!T6*(1+((Inputs!$B$34+(ArtifactsInput!$M$7-ArtifactsInput!$M$7)*CHOOSE(ArtifactsInput!$N$7+1,6,7.2,8.4,9.6,10.8,12)))/100)),MAX(0,Inputs!$B$43-((R2056-1)*Skills!E6))))/Inputs!$B$43),IF(Inputs!$B$38="pvp",MIN((Skills!T6*(1+((Inputs!$B$34+(ArtifactsInput!$M$7-ArtifactsInput!$M$7)*CHOOSE(ArtifactsInput!$N$7+1,6,7.2,8.4,9.6,10.8,12)))/100)),15)/15,(Skills!T6*(1+((Inputs!$B$34+(ArtifactsInput!$M$7-ArtifactsInput!$M$7)*CHOOSE(ArtifactsInput!$N$7+1,6,7.2,8.4,9.6,10.8,12)))/100))/Skills!E6))+F2067*IF(AND(Inputs!$B$38&lt;&gt;"pvp",Inputs!$B$43&gt;0),(((R2067-1)*(Skills!T17*(1+((Inputs!$B$34+(ArtifactsInput!$M$7-ArtifactsInput!$M$7)*CHOOSE(ArtifactsInput!$N$7+1,6,7.2,8.4,9.6,10.8,12)))/100))+MIN((Skills!T17*(1+((Inputs!$B$34+(ArtifactsInput!$M$7-ArtifactsInput!$M$7)*CHOOSE(ArtifactsInput!$N$7+1,6,7.2,8.4,9.6,10.8,12)))/100)),MAX(0,Inputs!$B$43-((R2067-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2069=TRUE,(1+F2069*IF(AND(Inputs!$B$38&lt;&gt;"pvp",Inputs!$B$43&gt;0),(((R2069-1)*(Skills!T19*(1+((Inputs!$B$34+(ArtifactsInput!$M$7-ArtifactsInput!$M$7)*CHOOSE(ArtifactsInput!$N$7+1,6,7.2,8.4,9.6,10.8,12)))/100))+MIN((Skills!T19*(1+((Inputs!$B$34+(ArtifactsInput!$M$7-ArtifactsInput!$M$7)*CHOOSE(ArtifactsInput!$N$7+1,6,7.2,8.4,9.6,10.8,12)))/100)),MAX(0,Inputs!$B$43-((R2069-1)*Skills!E19))))/Inputs!$B$43),IF(Inputs!$B$38="pvp",MIN((Skills!T19*(1+((Inputs!$B$34+(ArtifactsInput!$M$7-ArtifactsInput!$M$7)*CHOOSE(ArtifactsInput!$N$7+1,6,7.2,8.4,9.6,10.8,12)))/100)),15)/15,(Skills!T19*(1+((Inputs!$B$34+(ArtifactsInput!$M$7-ArtifactsInput!$M$7)*CHOOSE(ArtifactsInput!$N$7+1,6,7.2,8.4,9.6,10.8,12)))/100))/Skills!E19))/100),1)</f>
        <v/>
      </c>
    </row>
    <row r="2083">
      <c r="A2083" t="inlineStr">
        <is>
          <t>Attack Speed Buff Bonus % (Nimble Feet, averaged)</t>
        </is>
      </c>
      <c r="B2083">
        <f>F2068*IF(AND(Inputs!$B$38&lt;&gt;"pvp",Inputs!$B$43&gt;0),(((R2068-1)*(Skills!T18*(1+((Inputs!$B$34+(ArtifactsInput!$M$7-ArtifactsInput!$M$7)*CHOOSE(ArtifactsInput!$N$7+1,6,7.2,8.4,9.6,10.8,12)))/100))+MIN((Skills!T18*(1+((Inputs!$B$34+(ArtifactsInput!$M$7-ArtifactsInput!$M$7)*CHOOSE(ArtifactsInput!$N$7+1,6,7.2,8.4,9.6,10.8,12)))/100)),MAX(0,Inputs!$B$43-((R2068-1)*Skills!E18))))/Inputs!$B$43),IF(Inputs!$B$38="pvp",MIN((Skills!T18*(1+((Inputs!$B$34+(ArtifactsInput!$M$7-ArtifactsInput!$M$7)*CHOOSE(ArtifactsInput!$N$7+1,6,7.2,8.4,9.6,10.8,12)))/100)),15)/15,(Skills!T18*(1+((Inputs!$B$34+(ArtifactsInput!$M$7-ArtifactsInput!$M$7)*CHOOSE(ArtifactsInput!$N$7+1,6,7.2,8.4,9.6,10.8,12)))/100))/Skills!E18))</f>
        <v/>
      </c>
    </row>
    <row r="2084">
      <c r="A2084" t="inlineStr">
        <is>
          <t>Actions Per Second</t>
        </is>
      </c>
      <c r="B2084">
        <f>1+MIN(150,150*(1-(1-(Inputs!$B$11+(ArtifactsInput!$M$15-ArtifactsInput!$M$15)*CHOOSE(ArtifactsInput!$N$15+1,8,9.6,11.2,12.8,14.4,16))/150)*(1-B2083/150)))/100</f>
        <v/>
      </c>
    </row>
    <row r="2085">
      <c r="A2085" t="inlineStr">
        <is>
          <t>Skill + Buff Cast Rate</t>
        </is>
      </c>
      <c r="B2085">
        <f>IF(AND(Inputs!$B$38&lt;&gt;"pvp",Inputs!$B$43&gt;0),SUMPRODUCT((Skills!F2:F28=TRUE)*(C2052:C2078=TRUE)*R2052:R2078)/Inputs!$B$43,SUMPRODUCT((Skills!F2:F28=TRUE)*(C2052:C2078=TRUE)*Q2052:Q2078))</f>
        <v/>
      </c>
    </row>
    <row r="2086">
      <c r="A2086" t="inlineStr">
        <is>
          <t>Basic Attacks Per Second</t>
        </is>
      </c>
      <c r="B2086">
        <f>MAX(0,B2084-B2085)</f>
        <v/>
      </c>
    </row>
    <row r="2087">
      <c r="A2087" t="inlineStr">
        <is>
          <t>Meteor Proc — combined trigger cast rate</t>
        </is>
      </c>
      <c r="B2087">
        <f>IF(AND(Inputs!$B$38&lt;&gt;"pvp",Inputs!$B$43&gt;0),SUMPRODUCT((Skills!V2:V28=TRUE)*(C2052:C2078=TRUE)*R2052:R2078*Skills!W2:W28)/Inputs!$B$43,SUMPRODUCT((Skills!V2:V28=TRUE)*(C2052:C2078=TRUE)*Q2052:Q2078*Skills!W2:W28))+B2086</f>
        <v/>
      </c>
    </row>
    <row r="2088">
      <c r="A2088" t="inlineStr">
        <is>
          <t>Buff-Casting Startup Delay (s, fixed-duration only)</t>
        </is>
      </c>
      <c r="B2088">
        <f>IF(AND(Inputs!$B$38&lt;&gt;"pvp",Inputs!$B$43&gt;0),SUMPRODUCT((Skills!T2:T28&gt;0)*(Skills!F2:F28=TRUE)*(C2052:C2078=TRUE))/B2084,0)</f>
        <v/>
      </c>
    </row>
    <row r="2089">
      <c r="A2089" t="inlineStr">
        <is>
          <t>Boss-Only Total DPS (this block's swept value)</t>
        </is>
      </c>
      <c r="B2089">
        <f>SUM(S2052:S2078)</f>
        <v/>
      </c>
    </row>
    <row r="2090">
      <c r="A2090" t="inlineStr">
        <is>
          <t>Normal-Only Total DPS (this block's swept value)</t>
        </is>
      </c>
      <c r="B2090">
        <f>SUM(U2052:U2078)</f>
        <v/>
      </c>
    </row>
    <row r="2091">
      <c r="A2091" s="6" t="inlineStr">
        <is>
          <t>TOTAL DPS</t>
        </is>
      </c>
      <c r="B2091" s="6">
        <f>SUM(O2052:O2078)</f>
        <v/>
      </c>
    </row>
    <row r="2094">
      <c r="A2094" s="6" t="inlineStr">
        <is>
          <t>Stat: Lit Lamp (Equip)</t>
        </is>
      </c>
    </row>
    <row r="2095">
      <c r="A2095" s="5" t="inlineStr">
        <is>
          <t>Key</t>
        </is>
      </c>
      <c r="B2095" s="5" t="inlineStr">
        <is>
          <t>Name</t>
        </is>
      </c>
      <c r="C2095" s="5" t="inlineStr">
        <is>
          <t>Unlocked</t>
        </is>
      </c>
      <c r="D2095" s="5" t="inlineStr">
        <is>
          <t>InputLevel</t>
        </is>
      </c>
      <c r="E2095" s="5" t="inlineStr">
        <is>
          <t>Factor</t>
        </is>
      </c>
      <c r="F2095" s="5" t="inlineStr">
        <is>
          <t>CoefficientPercent</t>
        </is>
      </c>
      <c r="G2095" s="5" t="inlineStr">
        <is>
          <t>EffectiveHits</t>
        </is>
      </c>
      <c r="H2095" s="5" t="inlineStr">
        <is>
          <t>ProcProbability</t>
        </is>
      </c>
      <c r="I2095" s="5" t="inlineStr">
        <is>
          <t>MapleHeroMultiplier</t>
        </is>
      </c>
      <c r="J2095" s="5" t="inlineStr">
        <is>
          <t>BaseDamage</t>
        </is>
      </c>
      <c r="K2095" s="5" t="inlineStr">
        <is>
          <t>BaseHitDamage</t>
        </is>
      </c>
      <c r="L2095" s="5" t="inlineStr">
        <is>
          <t>NonCritAvg</t>
        </is>
      </c>
      <c r="M2095" s="5" t="inlineStr">
        <is>
          <t>CritAvg</t>
        </is>
      </c>
      <c r="N2095" s="5" t="inlineStr">
        <is>
          <t>ExpectedDamage(perHit)</t>
        </is>
      </c>
      <c r="O2095" s="5" t="inlineStr">
        <is>
          <t>DPS</t>
        </is>
      </c>
      <c r="P2095" s="5" t="inlineStr">
        <is>
          <t>% of Total</t>
        </is>
      </c>
      <c r="R2095" t="inlineStr">
        <is>
          <t>helpers</t>
        </is>
      </c>
    </row>
    <row r="2096">
      <c r="A2096">
        <f>Skills!A2</f>
        <v/>
      </c>
      <c r="B2096">
        <f>Skills!B2</f>
        <v/>
      </c>
      <c r="C2096">
        <f>TRUE</f>
        <v/>
      </c>
      <c r="D2096" t="inlineStr"/>
      <c r="E2096" t="inlineStr"/>
      <c r="F2096">
        <f>T2098+Skills!O2</f>
        <v/>
      </c>
      <c r="G2096">
        <f>Calc!G2</f>
        <v/>
      </c>
      <c r="H2096">
        <f>Calc!H2</f>
        <v/>
      </c>
      <c r="I2096">
        <f>IF(Skills!X2&lt;&gt;"",1+(Skills!X2/10)*(Z2097/1000)/100,1)</f>
        <v/>
      </c>
      <c r="J2096">
        <f>((Inputs!$B$6*(1+Inputs!$B$7/100))+(((Inputs!$B$12*(1+Inputs!$B$13/100))-(Inputs!$B$12*(1+Inputs!$B$13/100)))+0.25*(Inputs!$B$14-Inputs!$B$14))*(1+Inputs!$B$7/100))*(F2096/100)</f>
        <v/>
      </c>
      <c r="K2096">
        <f>J2096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2096)</f>
        <v/>
      </c>
      <c r="L2096">
        <f>K2096*(MIN(Inputs!$B$22+(F2116-Calc!F22),(Inputs!$B$23+(IF(ArtifactsInput!$M$15,CHOOSE(ArtifactsInput!$N$15+1,25,30,35,40,45,50)/100*(Inputs!$B$11-Inputs!$B$11),0))))/100+(Inputs!$B$23+(IF(ArtifactsInput!$M$15,CHOOSE(ArtifactsInput!$N$15+1,25,30,35,40,45,50)/100*(Inputs!$B$11-Inputs!$B$11),0)))/100)/2</f>
        <v/>
      </c>
      <c r="M2096">
        <f>L2096*(1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6">
        <f>L2096*(1-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2096*(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6">
        <f>(1-Summary!$B$11)*S2096+Summary!$B$11*U2096</f>
        <v/>
      </c>
      <c r="P2096">
        <f>IF(B2135=0,0,O2096/B2135)</f>
        <v/>
      </c>
      <c r="Q2096">
        <f>IFERROR(1/(IF(Inputs!$B$38="pvp",15,MAX(0.1,Skills!E2-IF(Skills!F2=TRUE,Inputs!$B$32,0)))*(1-IF(AND(ArtifactsInput!$M$27,Inputs!$B$4="Chapter Hunt"),CHOOSE(ArtifactsInput!$N$27+1,20,24,28,32,36,40),0)/100)),0)</f>
        <v/>
      </c>
      <c r="R2096" t="n">
        <v>0</v>
      </c>
      <c r="S2096">
        <f>(Skills!G2*N2096*B2130)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2096*(1-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2096*(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2096*(1-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2096*(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096">
        <f>MAX(0,(Inputs!$B$3-100)*3)+Inputs!$B$28+Inputs!$B$29</f>
        <v/>
      </c>
      <c r="U2096">
        <f>(Skills!G2*N2096*B2130)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096">
        <f>MAX(0,(Inputs!$B$3-100)*3)+Inputs!$B$28+Inputs!$B$29</f>
        <v/>
      </c>
    </row>
    <row r="2097">
      <c r="A2097">
        <f>Skills!A3</f>
        <v/>
      </c>
      <c r="B2097">
        <f>Skills!B3</f>
        <v/>
      </c>
      <c r="C2097">
        <f>TRUE</f>
        <v/>
      </c>
      <c r="D2097">
        <f>IF(Skills!C3=1,60+Inputs!$B$25+Inputs!$B$29,IF(Skills!C3=2,90+Inputs!$B$26+Inputs!$B$29,IF(Skills!C3=3,120+Inputs!$B$27+Inputs!$B$29,MAX(0,(Inputs!$B$3-100)*3)+Inputs!$B$28+Inputs!$B$29)))</f>
        <v/>
      </c>
      <c r="E2097">
        <f>INDEX(FactorTable!$B$2:$Y$301, MATCH(ROUND(MIN(300,MAX(1,D2097)),0), FactorTable!$A$2:$A$301,0), Skills!M3+1)</f>
        <v/>
      </c>
      <c r="F2097">
        <f>IF(Skills!N3=TRUE,(Skills!L3/10)*(E2097/1000),Skills!L3/10)+Skills!O3</f>
        <v/>
      </c>
      <c r="G2097">
        <f>Calc!G3</f>
        <v/>
      </c>
      <c r="H2097">
        <f>Calc!H3</f>
        <v/>
      </c>
      <c r="I2097">
        <f>IF(Skills!X3&lt;&gt;"",1+(Skills!X3/10)*(Z2097/1000)/100,1)</f>
        <v/>
      </c>
      <c r="J2097">
        <f>((Inputs!$B$6*(1+Inputs!$B$7/100))+(((Inputs!$B$12*(1+Inputs!$B$13/100))-(Inputs!$B$12*(1+Inputs!$B$13/100)))+0.25*(Inputs!$B$14-Inputs!$B$14))*(1+Inputs!$B$7/100))*(F2097/100)</f>
        <v/>
      </c>
      <c r="K2097">
        <f>J2097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2097)</f>
        <v/>
      </c>
      <c r="L2097">
        <f>K2097*(MIN(Inputs!$B$22+(F2116-Calc!F22),(Inputs!$B$23+(IF(ArtifactsInput!$M$15,CHOOSE(ArtifactsInput!$N$15+1,25,30,35,40,45,50)/100*(Inputs!$B$11-Inputs!$B$11),0))))/100+(Inputs!$B$23+(IF(ArtifactsInput!$M$15,CHOOSE(ArtifactsInput!$N$15+1,25,30,35,40,45,50)/100*(Inputs!$B$11-Inputs!$B$11),0)))/100)/2</f>
        <v/>
      </c>
      <c r="M2097">
        <f>L2097*(1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7">
        <f>L2097*(1-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2097*(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7">
        <f>(1-Summary!$B$11)*S2097+Summary!$B$11*U2097</f>
        <v/>
      </c>
      <c r="P2097">
        <f>IF(B2135=0,0,O2097/B2135)</f>
        <v/>
      </c>
      <c r="Q2097">
        <f>IFERROR(1/(IF(Inputs!$B$38="pvp",15,MAX(0.1,Skills!E3-IF(Skills!F3=TRUE,Inputs!$B$32,0)))*(1-IF(AND(ArtifactsInput!$M$27,Inputs!$B$4="Chapter Hunt"),CHOOSE(ArtifactsInput!$N$27+1,20,24,28,32,36,40),0)/100)),0)</f>
        <v/>
      </c>
      <c r="R2097">
        <f>IF(AND(Inputs!$B$38&lt;&gt;"pvp",Inputs!$B$43&gt;0),IF(MAX(0,Inputs!$B$43-B2132)&lt;=0,0,(INT(MAX(0,Inputs!$B$43-B2132)/(IF(Inputs!$B$38="pvp",15,MAX(0.1,Skills!E3-IF(Skills!F3=TRUE,Inputs!$B$32,0)))*(1-IF(AND(ArtifactsInput!$M$27,Inputs!$B$4="Chapter Hunt"),CHOOSE(ArtifactsInput!$N$27+1,20,24,28,32,36,40),0)/100)))+1)),0)</f>
        <v/>
      </c>
      <c r="S2097">
        <f>IF(C2097,(H2097*N2097*IF(AND(Inputs!$B$38&lt;&gt;"pvp",Inputs!$B$43&gt;0),((Skills!G3*((R2097-1)*IF(Skills!H3&gt;0,Skills!I3/Skills!H3,1)+IF(Skills!H3&gt;0,MIN(Skills!I3,MAX(0,MAX(0,Inputs!$B$43-B2132)-((R2097-1)*(IF(Inputs!$B$38="pvp",15,MAX(0.1,Skills!E3-IF(Skills!F3=TRUE,Inputs!$B$32,0)))*(1-IF(AND(ArtifactsInput!$M$27,Inputs!$B$4="Chapter Hunt"),CHOOSE(ArtifactsInput!$N$27+1,20,24,28,32,36,40),0)/100)))))/Skills!H3,1)))/Inputs!$B$43),G2097*Q2097)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2097*(1-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2097*(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2097*(1-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2097*(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97">
        <f>INDEX(FactorTable!$B$2:$Y$301, MATCH(ROUND(MIN(300,MAX(1,T2096)),0), FactorTable!$A$2:$A$301,0), 22)</f>
        <v/>
      </c>
      <c r="U2097">
        <f>IF(C2097,(H2097*N2097*IF(AND(Inputs!$B$38&lt;&gt;"pvp",Inputs!$B$43&gt;0),((Skills!G3*((R2097-1)*IF(Skills!H3&gt;0,Skills!I3/Skills!H3,1)+IF(Skills!H3&gt;0,MIN(Skills!I3,MAX(0,MAX(0,Inputs!$B$43-B2132)-((R2097-1)*(IF(Inputs!$B$38="pvp",15,MAX(0.1,Skills!E3-IF(Skills!F3=TRUE,Inputs!$B$32,0)))*(1-IF(AND(ArtifactsInput!$M$27,Inputs!$B$4="Chapter Hunt"),CHOOSE(ArtifactsInput!$N$27+1,20,24,28,32,36,40),0)/100)))))/Skills!H3,1)))/Inputs!$B$43),G2097*Q2097)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097">
        <f>INDEX(FactorTable!$B$2:$Y$301, MATCH(ROUND(MIN(300,MAX(1,Z2096)),0), FactorTable!$A$2:$A$301,0), 24)</f>
        <v/>
      </c>
    </row>
    <row r="2098">
      <c r="A2098">
        <f>Skills!A4</f>
        <v/>
      </c>
      <c r="B2098">
        <f>Skills!B4</f>
        <v/>
      </c>
      <c r="C2098">
        <f>TRUE</f>
        <v/>
      </c>
      <c r="D2098">
        <f>IF(Skills!C4=1,60+Inputs!$B$25+Inputs!$B$29,IF(Skills!C4=2,90+Inputs!$B$26+Inputs!$B$29,IF(Skills!C4=3,120+Inputs!$B$27+Inputs!$B$29,MAX(0,(Inputs!$B$3-100)*3)+Inputs!$B$28+Inputs!$B$29)))</f>
        <v/>
      </c>
      <c r="E2098">
        <f>INDEX(FactorTable!$B$2:$Y$301, MATCH(ROUND(MIN(300,MAX(1,D2098)),0), FactorTable!$A$2:$A$301,0), Skills!M4+1)</f>
        <v/>
      </c>
      <c r="F2098">
        <f>IF(Skills!N4=TRUE,(Skills!L4/10)*(E2098/1000),Skills!L4/10)+Skills!O4</f>
        <v/>
      </c>
      <c r="G2098">
        <f>Calc!G4</f>
        <v/>
      </c>
      <c r="H2098">
        <f>Calc!H4</f>
        <v/>
      </c>
      <c r="I2098">
        <f>IF(Skills!X4&lt;&gt;"",1+(Skills!X4/10)*(Z2097/1000)/100,1)</f>
        <v/>
      </c>
      <c r="J2098">
        <f>((Inputs!$B$6*(1+Inputs!$B$7/100))+(((Inputs!$B$12*(1+Inputs!$B$13/100))-(Inputs!$B$12*(1+Inputs!$B$13/100)))+0.25*(Inputs!$B$14-Inputs!$B$14))*(1+Inputs!$B$7/100))*(F2098/100)</f>
        <v/>
      </c>
      <c r="K2098">
        <f>J2098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2098)</f>
        <v/>
      </c>
      <c r="L2098">
        <f>K2098*(MIN(Inputs!$B$22+(F2116-Calc!F22),(Inputs!$B$23+(IF(ArtifactsInput!$M$15,CHOOSE(ArtifactsInput!$N$15+1,25,30,35,40,45,50)/100*(Inputs!$B$11-Inputs!$B$11),0))))/100+(Inputs!$B$23+(IF(ArtifactsInput!$M$15,CHOOSE(ArtifactsInput!$N$15+1,25,30,35,40,45,50)/100*(Inputs!$B$11-Inputs!$B$11),0)))/100)/2</f>
        <v/>
      </c>
      <c r="M2098">
        <f>L2098*(1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8">
        <f>L2098*(1-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2098*(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8">
        <f>(1-Summary!$B$11)*S2098+Summary!$B$11*U2098</f>
        <v/>
      </c>
      <c r="P2098">
        <f>IF(B2135=0,0,O2098/B2135)</f>
        <v/>
      </c>
      <c r="Q2098">
        <f>IFERROR(1/(IF(Inputs!$B$38="pvp",15,MAX(0.1,Skills!E4-IF(Skills!F4=TRUE,Inputs!$B$32,0)))*(1-IF(AND(ArtifactsInput!$M$27,Inputs!$B$4="Chapter Hunt"),CHOOSE(ArtifactsInput!$N$27+1,20,24,28,32,36,40),0)/100)),0)</f>
        <v/>
      </c>
      <c r="R2098">
        <f>IF(AND(Inputs!$B$38&lt;&gt;"pvp",Inputs!$B$43&gt;0),IF(MAX(0,Inputs!$B$43-B2132)&lt;=0,0,(INT(MAX(0,Inputs!$B$43-B2132)/(IF(Inputs!$B$38="pvp",15,MAX(0.1,Skills!E4-IF(Skills!F4=TRUE,Inputs!$B$32,0)))*(1-IF(AND(ArtifactsInput!$M$27,Inputs!$B$4="Chapter Hunt"),CHOOSE(ArtifactsInput!$N$27+1,20,24,28,32,36,40),0)/100)))+1)),0)</f>
        <v/>
      </c>
      <c r="S2098">
        <f>IF(C2098,(H2098*N2098*IF(AND(Inputs!$B$38&lt;&gt;"pvp",Inputs!$B$43&gt;0),((Skills!G4*((R2098-1)*IF(Skills!H4&gt;0,Skills!I4/Skills!H4,1)+IF(Skills!H4&gt;0,MIN(Skills!I4,MAX(0,MAX(0,Inputs!$B$43-B2132)-((R2098-1)*(IF(Inputs!$B$38="pvp",15,MAX(0.1,Skills!E4-IF(Skills!F4=TRUE,Inputs!$B$32,0)))*(1-IF(AND(ArtifactsInput!$M$27,Inputs!$B$4="Chapter Hunt"),CHOOSE(ArtifactsInput!$N$27+1,20,24,28,32,36,40),0)/100)))))/Skills!H4,1)))/Inputs!$B$43),G2098*Q2098)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2098*(1-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2098*(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2098*(1-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2098*(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98">
        <f>290*T2097/1000</f>
        <v/>
      </c>
      <c r="U2098">
        <f>IF(C2098,(H2098*N2098*IF(AND(Inputs!$B$38&lt;&gt;"pvp",Inputs!$B$43&gt;0),((Skills!G4*((R2098-1)*IF(Skills!H4&gt;0,Skills!I4/Skills!H4,1)+IF(Skills!H4&gt;0,MIN(Skills!I4,MAX(0,MAX(0,Inputs!$B$43-B2132)-((R2098-1)*(IF(Inputs!$B$38="pvp",15,MAX(0.1,Skills!E4-IF(Skills!F4=TRUE,Inputs!$B$32,0)))*(1-IF(AND(ArtifactsInput!$M$27,Inputs!$B$4="Chapter Hunt"),CHOOSE(ArtifactsInput!$N$27+1,20,24,28,32,36,40),0)/100)))))/Skills!H4,1)))/Inputs!$B$43),G2098*Q2098)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9">
      <c r="A2099">
        <f>Skills!A5</f>
        <v/>
      </c>
      <c r="B2099">
        <f>Skills!B5</f>
        <v/>
      </c>
      <c r="C2099">
        <f>TRUE</f>
        <v/>
      </c>
      <c r="D2099">
        <f>IF(Skills!C5=1,60+Inputs!$B$25+Inputs!$B$29,IF(Skills!C5=2,90+Inputs!$B$26+Inputs!$B$29,IF(Skills!C5=3,120+Inputs!$B$27+Inputs!$B$29,MAX(0,(Inputs!$B$3-100)*3)+Inputs!$B$28+Inputs!$B$29)))</f>
        <v/>
      </c>
      <c r="E2099">
        <f>INDEX(FactorTable!$B$2:$Y$301, MATCH(ROUND(MIN(300,MAX(1,D2099)),0), FactorTable!$A$2:$A$301,0), Skills!M5+1)</f>
        <v/>
      </c>
      <c r="F2099">
        <f>IF(Skills!N5=TRUE,(Skills!L5/10)*(E2099/1000),Skills!L5/10)+Skills!O5</f>
        <v/>
      </c>
      <c r="G2099">
        <f>Calc!G5</f>
        <v/>
      </c>
      <c r="H2099">
        <f>Calc!H5</f>
        <v/>
      </c>
      <c r="I2099">
        <f>IF(Skills!X5&lt;&gt;"",1+(Skills!X5/10)*(Z2097/1000)/100,1)</f>
        <v/>
      </c>
      <c r="J2099">
        <f>((Inputs!$B$6*(1+Inputs!$B$7/100))+(((Inputs!$B$12*(1+Inputs!$B$13/100))-(Inputs!$B$12*(1+Inputs!$B$13/100)))+0.25*(Inputs!$B$14-Inputs!$B$14))*(1+Inputs!$B$7/100))*(F2099/100)</f>
        <v/>
      </c>
      <c r="K2099">
        <f>J2099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2099)</f>
        <v/>
      </c>
      <c r="L2099">
        <f>K2099*(MIN(Inputs!$B$22+(F2116-Calc!F22),(Inputs!$B$23+(IF(ArtifactsInput!$M$15,CHOOSE(ArtifactsInput!$N$15+1,25,30,35,40,45,50)/100*(Inputs!$B$11-Inputs!$B$11),0))))/100+(Inputs!$B$23+(IF(ArtifactsInput!$M$15,CHOOSE(ArtifactsInput!$N$15+1,25,30,35,40,45,50)/100*(Inputs!$B$11-Inputs!$B$11),0)))/100)/2</f>
        <v/>
      </c>
      <c r="M2099">
        <f>L2099*(1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9">
        <f>L2099*(1-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2099*(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9">
        <f>(1-Summary!$B$11)*S2099+Summary!$B$11*U2099</f>
        <v/>
      </c>
      <c r="P2099">
        <f>IF(B2135=0,0,O2099/B2135)</f>
        <v/>
      </c>
      <c r="Q2099">
        <f>IFERROR(1/(IF(Inputs!$B$38="pvp",15,MAX(0.1,Skills!E5-IF(Skills!F5=TRUE,Inputs!$B$32,0)))*(1-IF(AND(ArtifactsInput!$M$27,Inputs!$B$4="Chapter Hunt"),CHOOSE(ArtifactsInput!$N$27+1,20,24,28,32,36,40),0)/100)),0)</f>
        <v/>
      </c>
      <c r="R2099">
        <f>IF(AND(Inputs!$B$38&lt;&gt;"pvp",Inputs!$B$43&gt;0),IF(MAX(0,Inputs!$B$43-B2132)&lt;=0,0,(INT(MAX(0,Inputs!$B$43-B2132)/(IF(Inputs!$B$38="pvp",15,MAX(0.1,Skills!E5-IF(Skills!F5=TRUE,Inputs!$B$32,0)))*(1-IF(AND(ArtifactsInput!$M$27,Inputs!$B$4="Chapter Hunt"),CHOOSE(ArtifactsInput!$N$27+1,20,24,28,32,36,40),0)/100)))+1)),0)</f>
        <v/>
      </c>
      <c r="S2099">
        <f>IF(C2099,(H2099*N2099*IF(AND(Inputs!$B$38&lt;&gt;"pvp",Inputs!$B$43&gt;0),((Skills!G5*((R2099-1)*IF(Skills!H5&gt;0,Skills!I5/Skills!H5,1)+IF(Skills!H5&gt;0,MIN(Skills!I5,MAX(0,MAX(0,Inputs!$B$43-B2132)-((R2099-1)*(IF(Inputs!$B$38="pvp",15,MAX(0.1,Skills!E5-IF(Skills!F5=TRUE,Inputs!$B$32,0)))*(1-IF(AND(ArtifactsInput!$M$27,Inputs!$B$4="Chapter Hunt"),CHOOSE(ArtifactsInput!$N$27+1,20,24,28,32,36,40),0)/100)))))/Skills!H5,1)))/Inputs!$B$43),G2099*Q2099)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2099*(1-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2099*(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2099*(1-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2099*(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9">
        <f>IF(C2099,(H2099*N2099*IF(AND(Inputs!$B$38&lt;&gt;"pvp",Inputs!$B$43&gt;0),((Skills!G5*((R2099-1)*IF(Skills!H5&gt;0,Skills!I5/Skills!H5,1)+IF(Skills!H5&gt;0,MIN(Skills!I5,MAX(0,MAX(0,Inputs!$B$43-B2132)-((R2099-1)*(IF(Inputs!$B$38="pvp",15,MAX(0.1,Skills!E5-IF(Skills!F5=TRUE,Inputs!$B$32,0)))*(1-IF(AND(ArtifactsInput!$M$27,Inputs!$B$4="Chapter Hunt"),CHOOSE(ArtifactsInput!$N$27+1,20,24,28,32,36,40),0)/100)))))/Skills!H5,1)))/Inputs!$B$43),G2099*Q2099)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0">
      <c r="A2100">
        <f>Skills!A6</f>
        <v/>
      </c>
      <c r="B2100">
        <f>Skills!B6</f>
        <v/>
      </c>
      <c r="C2100">
        <f>TRUE</f>
        <v/>
      </c>
      <c r="D2100">
        <f>IF(Skills!C6=1,60+Inputs!$B$25+Inputs!$B$29,IF(Skills!C6=2,90+Inputs!$B$26+Inputs!$B$29,IF(Skills!C6=3,120+Inputs!$B$27+Inputs!$B$29,MAX(0,(Inputs!$B$3-100)*3)+Inputs!$B$28+Inputs!$B$29)))</f>
        <v/>
      </c>
      <c r="E2100">
        <f>INDEX(FactorTable!$B$2:$Y$301, MATCH(ROUND(MIN(300,MAX(1,D2100)),0), FactorTable!$A$2:$A$301,0), Skills!M6+1)</f>
        <v/>
      </c>
      <c r="F2100">
        <f>IF(Skills!N6=TRUE,(Skills!L6/10)*(E2100/1000),Skills!L6/10)+Skills!O6</f>
        <v/>
      </c>
      <c r="G2100">
        <f>Calc!G6</f>
        <v/>
      </c>
      <c r="H2100">
        <f>Calc!H6</f>
        <v/>
      </c>
      <c r="I2100">
        <f>IF(Skills!X6&lt;&gt;"",1+(Skills!X6/10)*(Z2097/1000)/100,1)</f>
        <v/>
      </c>
      <c r="J2100" t="inlineStr"/>
      <c r="K2100" t="inlineStr"/>
      <c r="L2100" t="inlineStr"/>
      <c r="M2100" t="inlineStr"/>
      <c r="N2100" t="inlineStr"/>
      <c r="O2100">
        <f>(1-Summary!$B$11)*S2100+Summary!$B$11*U2100</f>
        <v/>
      </c>
      <c r="P2100">
        <f>IF(B2135=0,0,O2100/B2135)</f>
        <v/>
      </c>
      <c r="Q2100">
        <f>IFERROR(1/(IF(Inputs!$B$38="pvp",15,MAX(0.1,Skills!E6-IF(Skills!F6=TRUE,Inputs!$B$32,0)))*(1-IF(AND(ArtifactsInput!$M$27,Inputs!$B$4="Chapter Hunt"),CHOOSE(ArtifactsInput!$N$27+1,20,24,28,32,36,40),0)/100)),0)</f>
        <v/>
      </c>
      <c r="R2100">
        <f>IF(AND(Inputs!$B$38&lt;&gt;"pvp",Inputs!$B$43&gt;0),IF(Inputs!$B$43&lt;=0,0,(INT(Inputs!$B$43/(IF(Inputs!$B$38="pvp",15,MAX(0.1,Skills!E6-IF(Skills!F6=TRUE,Inputs!$B$32,0)))*(1-IF(AND(ArtifactsInput!$M$27,Inputs!$B$4="Chapter Hunt"),CHOOSE(ArtifactsInput!$N$27+1,20,24,28,32,36,40),0)/100)))+1)),0)</f>
        <v/>
      </c>
      <c r="S2100" t="n">
        <v>0</v>
      </c>
      <c r="U2100" t="n">
        <v>0</v>
      </c>
    </row>
    <row r="2101">
      <c r="A2101">
        <f>Skills!A7</f>
        <v/>
      </c>
      <c r="B2101">
        <f>Skills!B7</f>
        <v/>
      </c>
      <c r="C2101">
        <f>TRUE</f>
        <v/>
      </c>
      <c r="D2101">
        <f>IF(Skills!C7=1,60+Inputs!$B$25+Inputs!$B$29,IF(Skills!C7=2,90+Inputs!$B$26+Inputs!$B$29,IF(Skills!C7=3,120+Inputs!$B$27+Inputs!$B$29,MAX(0,(Inputs!$B$3-100)*3)+Inputs!$B$28+Inputs!$B$29)))</f>
        <v/>
      </c>
      <c r="E2101">
        <f>INDEX(FactorTable!$B$2:$Y$301, MATCH(ROUND(MIN(300,MAX(1,D2101)),0), FactorTable!$A$2:$A$301,0), Skills!M7+1)</f>
        <v/>
      </c>
      <c r="F2101">
        <f>IF(Skills!N7=TRUE,(Skills!L7/10)*(E2101/1000),Skills!L7/10)+Skills!O7</f>
        <v/>
      </c>
      <c r="G2101">
        <f>Calc!G7</f>
        <v/>
      </c>
      <c r="H2101">
        <f>Calc!H7</f>
        <v/>
      </c>
      <c r="I2101">
        <f>IF(Skills!X7&lt;&gt;"",1+(Skills!X7/10)*(Z2097/1000)/100,1)</f>
        <v/>
      </c>
      <c r="J2101">
        <f>((Inputs!$B$6*(1+Inputs!$B$7/100))+(((Inputs!$B$12*(1+Inputs!$B$13/100))-(Inputs!$B$12*(1+Inputs!$B$13/100)))+0.25*(Inputs!$B$14-Inputs!$B$14))*(1+Inputs!$B$7/100))*(F2101/100)</f>
        <v/>
      </c>
      <c r="K2101">
        <f>J2101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2101)</f>
        <v/>
      </c>
      <c r="L2101">
        <f>K2101*(MIN(Inputs!$B$22+(F2116-Calc!F22),(Inputs!$B$23+(IF(ArtifactsInput!$M$15,CHOOSE(ArtifactsInput!$N$15+1,25,30,35,40,45,50)/100*(Inputs!$B$11-Inputs!$B$11),0))))/100+(Inputs!$B$23+(IF(ArtifactsInput!$M$15,CHOOSE(ArtifactsInput!$N$15+1,25,30,35,40,45,50)/100*(Inputs!$B$11-Inputs!$B$11),0)))/100)/2</f>
        <v/>
      </c>
      <c r="M2101">
        <f>L2101*(1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1">
        <f>L2101*(1-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1">
        <f>(1-Summary!$B$11)*S2101+Summary!$B$11*U2101</f>
        <v/>
      </c>
      <c r="P2101">
        <f>IF(B2135=0,0,O2101/B2135)</f>
        <v/>
      </c>
      <c r="Q2101">
        <f>IFERROR(1/(IF(Inputs!$B$38="pvp",15,MAX(0.1,Skills!E7-IF(Skills!F7=TRUE,Inputs!$B$32,0)))*(1-IF(AND(ArtifactsInput!$M$27,Inputs!$B$4="Chapter Hunt"),CHOOSE(ArtifactsInput!$N$27+1,20,24,28,32,36,40),0)/100)),0)</f>
        <v/>
      </c>
      <c r="R2101">
        <f>IF(AND(Inputs!$B$38&lt;&gt;"pvp",Inputs!$B$43&gt;0),IF(MAX(0,Inputs!$B$43-B2132)&lt;=0,0,(INT(MAX(0,Inputs!$B$43-B2132)/(IF(Inputs!$B$38="pvp",15,MAX(0.1,Skills!E7-IF(Skills!F7=TRUE,Inputs!$B$32,0)))*(1-IF(AND(ArtifactsInput!$M$27,Inputs!$B$4="Chapter Hunt"),CHOOSE(ArtifactsInput!$N$27+1,20,24,28,32,36,40),0)/100)))+1)),0)</f>
        <v/>
      </c>
      <c r="S2101">
        <f>IF(C2101,(H2101*N2101*IF(AND(Inputs!$B$38&lt;&gt;"pvp",Inputs!$B$43&gt;0),((Skills!G7*((R2101-1)*IF(Skills!H7&gt;0,Skills!I7/Skills!H7,1)+IF(Skills!H7&gt;0,MIN(Skills!I7,MAX(0,MAX(0,Inputs!$B$43-B2132)-((R2101-1)*(IF(Inputs!$B$38="pvp",15,MAX(0.1,Skills!E7-IF(Skills!F7=TRUE,Inputs!$B$32,0)))*(1-IF(AND(ArtifactsInput!$M$27,Inputs!$B$4="Chapter Hunt"),CHOOSE(ArtifactsInput!$N$27+1,20,24,28,32,36,40),0)/100)))))/Skills!H7,1)))/Inputs!$B$43),G2101*Q2101)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2101*(1-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2101*(1-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1">
        <f>IF(C2101,(H2101*N2101*IF(AND(Inputs!$B$38&lt;&gt;"pvp",Inputs!$B$43&gt;0),((Skills!G7*((R2101-1)*IF(Skills!H7&gt;0,Skills!I7/Skills!H7,1)+IF(Skills!H7&gt;0,MIN(Skills!I7,MAX(0,MAX(0,Inputs!$B$43-B2132)-((R2101-1)*(IF(Inputs!$B$38="pvp",15,MAX(0.1,Skills!E7-IF(Skills!F7=TRUE,Inputs!$B$32,0)))*(1-IF(AND(ArtifactsInput!$M$27,Inputs!$B$4="Chapter Hunt"),CHOOSE(ArtifactsInput!$N$27+1,20,24,28,32,36,40),0)/100)))))/Skills!H7,1)))/Inputs!$B$43),G2101*Q2101)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2">
      <c r="A2102">
        <f>Skills!A8</f>
        <v/>
      </c>
      <c r="B2102">
        <f>Skills!B8</f>
        <v/>
      </c>
      <c r="C2102">
        <f>TRUE</f>
        <v/>
      </c>
      <c r="D2102">
        <f>IF(Skills!C8=1,60+Inputs!$B$25+Inputs!$B$29,IF(Skills!C8=2,90+Inputs!$B$26+Inputs!$B$29,IF(Skills!C8=3,120+Inputs!$B$27+Inputs!$B$29,MAX(0,(Inputs!$B$3-100)*3)+Inputs!$B$28+Inputs!$B$29)))</f>
        <v/>
      </c>
      <c r="E2102">
        <f>INDEX(FactorTable!$B$2:$Y$301, MATCH(ROUND(MIN(300,MAX(1,D2102)),0), FactorTable!$A$2:$A$301,0), Skills!M8+1)</f>
        <v/>
      </c>
      <c r="F2102">
        <f>IF(Skills!N8=TRUE,(Skills!L8/10)*(E2102/1000),Skills!L8/10)+Skills!O8</f>
        <v/>
      </c>
      <c r="G2102">
        <f>Calc!G8</f>
        <v/>
      </c>
      <c r="H2102">
        <f>Calc!H8</f>
        <v/>
      </c>
      <c r="I2102">
        <f>IF(Skills!X8&lt;&gt;"",1+(Skills!X8/10)*(Z2097/1000)/100,1)</f>
        <v/>
      </c>
      <c r="J2102">
        <f>((Inputs!$B$6*(1+Inputs!$B$7/100))+(((Inputs!$B$12*(1+Inputs!$B$13/100))-(Inputs!$B$12*(1+Inputs!$B$13/100)))+0.25*(Inputs!$B$14-Inputs!$B$14))*(1+Inputs!$B$7/100))*(F2102/100)</f>
        <v/>
      </c>
      <c r="K2102">
        <f>J2102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2102)</f>
        <v/>
      </c>
      <c r="L2102">
        <f>K2102*(MIN(Inputs!$B$22+(F2116-Calc!F22),(Inputs!$B$23+(IF(ArtifactsInput!$M$15,CHOOSE(ArtifactsInput!$N$15+1,25,30,35,40,45,50)/100*(Inputs!$B$11-Inputs!$B$11),0))))/100+(Inputs!$B$23+(IF(ArtifactsInput!$M$15,CHOOSE(ArtifactsInput!$N$15+1,25,30,35,40,45,50)/100*(Inputs!$B$11-Inputs!$B$11),0)))/100)/2</f>
        <v/>
      </c>
      <c r="M2102">
        <f>L2102*(1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2">
        <f>L2102*(1-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2102*(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2">
        <f>(1-Summary!$B$11)*S2102+Summary!$B$11*U2102</f>
        <v/>
      </c>
      <c r="P2102">
        <f>IF(B2135=0,0,O2102/B2135)</f>
        <v/>
      </c>
      <c r="Q2102">
        <f>IFERROR(1/(IF(Inputs!$B$38="pvp",15,MAX(0.1,Skills!E8-IF(Skills!F8=TRUE,Inputs!$B$32,0)))*(1-IF(AND(ArtifactsInput!$M$27,Inputs!$B$4="Chapter Hunt"),CHOOSE(ArtifactsInput!$N$27+1,20,24,28,32,36,40),0)/100)),0)</f>
        <v/>
      </c>
      <c r="R2102">
        <f>IF(AND(Inputs!$B$38&lt;&gt;"pvp",Inputs!$B$43&gt;0),IF(MAX(0,Inputs!$B$43-B2132)&lt;=0,0,(INT(MAX(0,Inputs!$B$43-B2132)/(IF(Inputs!$B$38="pvp",15,MAX(0.1,Skills!E8-IF(Skills!F8=TRUE,Inputs!$B$32,0)))*(1-IF(AND(ArtifactsInput!$M$27,Inputs!$B$4="Chapter Hunt"),CHOOSE(ArtifactsInput!$N$27+1,20,24,28,32,36,40),0)/100)))+1)),0)</f>
        <v/>
      </c>
      <c r="S2102">
        <f>IF(C2102,(H2102*N2102*IF(AND(Inputs!$B$38&lt;&gt;"pvp",Inputs!$B$43&gt;0),((Skills!G8*((R2102-1)*IF(Skills!H8&gt;0,Skills!I8/Skills!H8,1)+IF(Skills!H8&gt;0,MIN(Skills!I8,MAX(0,MAX(0,Inputs!$B$43-B2132)-((R2102-1)*(IF(Inputs!$B$38="pvp",15,MAX(0.1,Skills!E8-IF(Skills!F8=TRUE,Inputs!$B$32,0)))*(1-IF(AND(ArtifactsInput!$M$27,Inputs!$B$4="Chapter Hunt"),CHOOSE(ArtifactsInput!$N$27+1,20,24,28,32,36,40),0)/100)))))/Skills!H8,1)))/Inputs!$B$43),G2102*Q2102)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2102*(1-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2102*(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2102*(1-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2102*(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2">
        <f>IF(C2102,(H2102*N2102*IF(AND(Inputs!$B$38&lt;&gt;"pvp",Inputs!$B$43&gt;0),((Skills!G8*((R2102-1)*IF(Skills!H8&gt;0,Skills!I8/Skills!H8,1)+IF(Skills!H8&gt;0,MIN(Skills!I8,MAX(0,MAX(0,Inputs!$B$43-B2132)-((R2102-1)*(IF(Inputs!$B$38="pvp",15,MAX(0.1,Skills!E8-IF(Skills!F8=TRUE,Inputs!$B$32,0)))*(1-IF(AND(ArtifactsInput!$M$27,Inputs!$B$4="Chapter Hunt"),CHOOSE(ArtifactsInput!$N$27+1,20,24,28,32,36,40),0)/100)))))/Skills!H8,1)))/Inputs!$B$43),G2102*Q2102)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3">
      <c r="A2103">
        <f>Skills!A9</f>
        <v/>
      </c>
      <c r="B2103">
        <f>Skills!B9</f>
        <v/>
      </c>
      <c r="C2103">
        <f>Inputs!$B$3&gt;=103</f>
        <v/>
      </c>
      <c r="D2103">
        <f>IF(Skills!C9=1,60+Inputs!$B$25+Inputs!$B$29,IF(Skills!C9=2,90+Inputs!$B$26+Inputs!$B$29,IF(Skills!C9=3,120+Inputs!$B$27+Inputs!$B$29,MAX(0,(Inputs!$B$3-100)*3)+Inputs!$B$28+Inputs!$B$29)))</f>
        <v/>
      </c>
      <c r="E2103">
        <f>INDEX(FactorTable!$B$2:$Y$301, MATCH(ROUND(MIN(300,MAX(1,D2103)),0), FactorTable!$A$2:$A$301,0), Skills!M9+1)</f>
        <v/>
      </c>
      <c r="F2103">
        <f>IF(Skills!N9=TRUE,(Skills!L9/10)*(E2103/1000),Skills!L9/10)+Skills!O9</f>
        <v/>
      </c>
      <c r="G2103">
        <f>Calc!G9</f>
        <v/>
      </c>
      <c r="H2103">
        <f>Calc!H9</f>
        <v/>
      </c>
      <c r="I2103">
        <f>IF(Skills!X9&lt;&gt;"",1+(Skills!X9/10)*(Z2097/1000)/100,1)</f>
        <v/>
      </c>
      <c r="J2103">
        <f>((Inputs!$B$6*(1+Inputs!$B$7/100))+(((Inputs!$B$12*(1+Inputs!$B$13/100))-(Inputs!$B$12*(1+Inputs!$B$13/100)))+0.25*(Inputs!$B$14-Inputs!$B$14))*(1+Inputs!$B$7/100))*(F2103/100)</f>
        <v/>
      </c>
      <c r="K2103">
        <f>J2103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2103)</f>
        <v/>
      </c>
      <c r="L2103">
        <f>K2103*(MIN(Inputs!$B$22+(F2116-Calc!F22),(Inputs!$B$23+(IF(ArtifactsInput!$M$15,CHOOSE(ArtifactsInput!$N$15+1,25,30,35,40,45,50)/100*(Inputs!$B$11-Inputs!$B$11),0))))/100+(Inputs!$B$23+(IF(ArtifactsInput!$M$15,CHOOSE(ArtifactsInput!$N$15+1,25,30,35,40,45,50)/100*(Inputs!$B$11-Inputs!$B$11),0)))/100)/2</f>
        <v/>
      </c>
      <c r="M2103">
        <f>L2103*(1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3">
        <f>L2103*(1-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2103*(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3">
        <f>(1-Summary!$B$11)*S2103+Summary!$B$11*U2103</f>
        <v/>
      </c>
      <c r="P2103">
        <f>IF(B2135=0,0,O2103/B2135)</f>
        <v/>
      </c>
      <c r="Q2103">
        <f>IFERROR(1/(IF(Inputs!$B$38="pvp",15,MAX(0.1,Skills!E9-IF(Skills!F7=TRUE,Inputs!$B$32,0)))*(1-IF(AND(ArtifactsInput!$M$27,Inputs!$B$4="Chapter Hunt"),CHOOSE(ArtifactsInput!$N$27+1,20,24,28,32,36,40),0)/100)),0)</f>
        <v/>
      </c>
      <c r="R2103">
        <f>IF(AND(Inputs!$B$38&lt;&gt;"pvp",Inputs!$B$43&gt;0),IF(MAX(0,Inputs!$B$43-B2132)&lt;=0,0,(INT(MAX(0,Inputs!$B$43-B2132)/(IF(Inputs!$B$38="pvp",15,MAX(0.1,Skills!E9-IF(Skills!F7=TRUE,Inputs!$B$32,0)))*(1-IF(AND(ArtifactsInput!$M$27,Inputs!$B$4="Chapter Hunt"),CHOOSE(ArtifactsInput!$N$27+1,20,24,28,32,36,40),0)/100)))+1)),0)</f>
        <v/>
      </c>
      <c r="S2103">
        <f>IF(C2103,(H2103*N2103*IF(AND(Inputs!$B$38&lt;&gt;"pvp",Inputs!$B$43&gt;0),((Skills!G9*((R2103-1)*IF(Skills!H9&gt;0,Skills!I9/Skills!H9,1)+IF(Skills!H9&gt;0,MIN(Skills!I9,MAX(0,MAX(0,Inputs!$B$43-B2132)-((R2103-1)*(IF(Inputs!$B$38="pvp",15,MAX(0.1,Skills!E9-IF(Skills!F7=TRUE,Inputs!$B$32,0)))*(1-IF(AND(ArtifactsInput!$M$27,Inputs!$B$4="Chapter Hunt"),CHOOSE(ArtifactsInput!$N$27+1,20,24,28,32,36,40),0)/100)))))/Skills!H9,1)))/Inputs!$B$43),G2103*Q2103)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2103*(1-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2103*(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2103*(1-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2103*(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3">
        <f>IF(C2103,(H2103*N2103*IF(AND(Inputs!$B$38&lt;&gt;"pvp",Inputs!$B$43&gt;0),((Skills!G9*((R2103-1)*IF(Skills!H9&gt;0,Skills!I9/Skills!H9,1)+IF(Skills!H9&gt;0,MIN(Skills!I9,MAX(0,MAX(0,Inputs!$B$43-B2132)-((R2103-1)*(IF(Inputs!$B$38="pvp",15,MAX(0.1,Skills!E9-IF(Skills!F7=TRUE,Inputs!$B$32,0)))*(1-IF(AND(ArtifactsInput!$M$27,Inputs!$B$4="Chapter Hunt"),CHOOSE(ArtifactsInput!$N$27+1,20,24,28,32,36,40),0)/100)))))/Skills!H9,1)))/Inputs!$B$43),G2103*Q2103)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4">
      <c r="A2104">
        <f>Skills!A10</f>
        <v/>
      </c>
      <c r="B2104">
        <f>Skills!B10</f>
        <v/>
      </c>
      <c r="C2104">
        <f>TRUE</f>
        <v/>
      </c>
      <c r="D2104">
        <f>IF(Skills!C10=1,60+Inputs!$B$25+Inputs!$B$29,IF(Skills!C10=2,90+Inputs!$B$26+Inputs!$B$29,IF(Skills!C10=3,120+Inputs!$B$27+Inputs!$B$29,MAX(0,(Inputs!$B$3-100)*3)+Inputs!$B$28+Inputs!$B$29)))</f>
        <v/>
      </c>
      <c r="E2104">
        <f>INDEX(FactorTable!$B$2:$Y$301, MATCH(ROUND(MIN(300,MAX(1,D2104)),0), FactorTable!$A$2:$A$301,0), Skills!M10+1)</f>
        <v/>
      </c>
      <c r="F2104">
        <f>IF(Skills!N10=TRUE,(Skills!L10/10)*(E2104/1000),Skills!L10/10)+Skills!O10</f>
        <v/>
      </c>
      <c r="G2104">
        <f>Calc!G10</f>
        <v/>
      </c>
      <c r="H2104">
        <f>Calc!H10</f>
        <v/>
      </c>
      <c r="I2104">
        <f>IF(Skills!X10&lt;&gt;"",1+(Skills!X10/10)*(Z2097/1000)/100,1)</f>
        <v/>
      </c>
      <c r="J2104">
        <f>((Inputs!$B$6*(1+Inputs!$B$7/100))+(((Inputs!$B$12*(1+Inputs!$B$13/100))-(Inputs!$B$12*(1+Inputs!$B$13/100)))+0.25*(Inputs!$B$14-Inputs!$B$14))*(1+Inputs!$B$7/100))*(F2104/100)</f>
        <v/>
      </c>
      <c r="K2104">
        <f>J2104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2104)</f>
        <v/>
      </c>
      <c r="L2104">
        <f>K2104*(MIN(Inputs!$B$22+(F2116-Calc!F22),(Inputs!$B$23+(IF(ArtifactsInput!$M$15,CHOOSE(ArtifactsInput!$N$15+1,25,30,35,40,45,50)/100*(Inputs!$B$11-Inputs!$B$11),0))))/100+(Inputs!$B$23+(IF(ArtifactsInput!$M$15,CHOOSE(ArtifactsInput!$N$15+1,25,30,35,40,45,50)/100*(Inputs!$B$11-Inputs!$B$11),0)))/100)/2</f>
        <v/>
      </c>
      <c r="M2104">
        <f>L2104*(1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4">
        <f>L2104*(1-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2104*(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4">
        <f>(1-Summary!$B$11)*S2104+Summary!$B$11*U2104</f>
        <v/>
      </c>
      <c r="P2104">
        <f>IF(B2135=0,0,O2104/B2135)</f>
        <v/>
      </c>
      <c r="Q2104">
        <f>IFERROR(1/(IF(Inputs!$B$38="pvp",15,MAX(0.1,Skills!E10-IF(Skills!F10=TRUE,Inputs!$B$32,0)))*(1-IF(AND(ArtifactsInput!$M$27,Inputs!$B$4="Chapter Hunt"),CHOOSE(ArtifactsInput!$N$27+1,20,24,28,32,36,40),0)/100)),0)</f>
        <v/>
      </c>
      <c r="R2104">
        <f>IF(AND(Inputs!$B$38&lt;&gt;"pvp",Inputs!$B$43&gt;0),IF(MAX(0,Inputs!$B$43-B2132)&lt;=0,0,(INT(MAX(0,Inputs!$B$43-B2132)/(IF(Inputs!$B$38="pvp",15,MAX(0.1,Skills!E10-IF(Skills!F10=TRUE,Inputs!$B$32,0)))*(1-IF(AND(ArtifactsInput!$M$27,Inputs!$B$4="Chapter Hunt"),CHOOSE(ArtifactsInput!$N$27+1,20,24,28,32,36,40),0)/100)))+1)),0)</f>
        <v/>
      </c>
      <c r="S2104">
        <f>IF(C2104,(H2104*N2104*IF(AND(Inputs!$B$38&lt;&gt;"pvp",Inputs!$B$43&gt;0),((Skills!G10*((R2104-1)*IF(Skills!H10&gt;0,Skills!I10/Skills!H10,1)+IF(Skills!H10&gt;0,MIN(Skills!I10,MAX(0,MAX(0,Inputs!$B$43-B2132)-((R2104-1)*(IF(Inputs!$B$38="pvp",15,MAX(0.1,Skills!E10-IF(Skills!F10=TRUE,Inputs!$B$32,0)))*(1-IF(AND(ArtifactsInput!$M$27,Inputs!$B$4="Chapter Hunt"),CHOOSE(ArtifactsInput!$N$27+1,20,24,28,32,36,40),0)/100)))))/Skills!H10,1)))/Inputs!$B$43),G2104*Q2104)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2104*(1-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2104*(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2104*(1-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2104*(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4">
        <f>IF(C2104,(H2104*N2104*IF(AND(Inputs!$B$38&lt;&gt;"pvp",Inputs!$B$43&gt;0),((Skills!G10*((R2104-1)*IF(Skills!H10&gt;0,Skills!I10/Skills!H10,1)+IF(Skills!H10&gt;0,MIN(Skills!I10,MAX(0,MAX(0,Inputs!$B$43-B2132)-((R2104-1)*(IF(Inputs!$B$38="pvp",15,MAX(0.1,Skills!E10-IF(Skills!F10=TRUE,Inputs!$B$32,0)))*(1-IF(AND(ArtifactsInput!$M$27,Inputs!$B$4="Chapter Hunt"),CHOOSE(ArtifactsInput!$N$27+1,20,24,28,32,36,40),0)/100)))))/Skills!H10,1)))/Inputs!$B$43),G2104*Q2104)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5">
      <c r="A2105">
        <f>Skills!A11</f>
        <v/>
      </c>
      <c r="B2105">
        <f>Skills!B11</f>
        <v/>
      </c>
      <c r="C2105">
        <f>TRUE</f>
        <v/>
      </c>
      <c r="D2105">
        <f>IF(Skills!C11=1,60+Inputs!$B$25+Inputs!$B$29,IF(Skills!C11=2,90+Inputs!$B$26+Inputs!$B$29,IF(Skills!C11=3,120+Inputs!$B$27+Inputs!$B$29,MAX(0,(Inputs!$B$3-100)*3)+Inputs!$B$28+Inputs!$B$29)))</f>
        <v/>
      </c>
      <c r="E2105">
        <f>INDEX(FactorTable!$B$2:$Y$301, MATCH(ROUND(MIN(300,MAX(1,D2105)),0), FactorTable!$A$2:$A$301,0), Skills!M11+1)</f>
        <v/>
      </c>
      <c r="F2105">
        <f>IF(Skills!N11=TRUE,(Skills!L11/10)*(E2105/1000),Skills!L11/10)+Skills!O11</f>
        <v/>
      </c>
      <c r="G2105">
        <f>Calc!G11</f>
        <v/>
      </c>
      <c r="H2105">
        <f>Calc!H11</f>
        <v/>
      </c>
      <c r="I2105">
        <f>IF(Skills!X11&lt;&gt;"",1+(Skills!X11/10)*(Z2097/1000)/100,1)</f>
        <v/>
      </c>
      <c r="J2105" t="inlineStr"/>
      <c r="K2105" t="inlineStr"/>
      <c r="L2105" t="inlineStr"/>
      <c r="M2105" t="inlineStr"/>
      <c r="N2105" t="inlineStr"/>
      <c r="O2105">
        <f>(1-Summary!$B$11)*S2105+Summary!$B$11*U2105</f>
        <v/>
      </c>
      <c r="P2105">
        <f>IF(B2135=0,0,O2105/B2135)</f>
        <v/>
      </c>
      <c r="Q2105">
        <f>IFERROR(1/(IF(Inputs!$B$38="pvp",15,MAX(0.1,Skills!E11-IF(Skills!F11=TRUE,Inputs!$B$32,0)))*(1-IF(AND(ArtifactsInput!$M$27,Inputs!$B$4="Chapter Hunt"),CHOOSE(ArtifactsInput!$N$27+1,20,24,28,32,36,40),0)/100)),0)</f>
        <v/>
      </c>
      <c r="R2105" t="n">
        <v>0</v>
      </c>
      <c r="S2105" t="n">
        <v>0</v>
      </c>
      <c r="U2105" t="n">
        <v>0</v>
      </c>
    </row>
    <row r="2106">
      <c r="A2106">
        <f>Skills!A12</f>
        <v/>
      </c>
      <c r="B2106">
        <f>Skills!B12</f>
        <v/>
      </c>
      <c r="C2106">
        <f>TRUE</f>
        <v/>
      </c>
      <c r="D2106">
        <f>IF(Skills!C12=1,60+Inputs!$B$25+Inputs!$B$29,IF(Skills!C12=2,90+Inputs!$B$26+Inputs!$B$29,IF(Skills!C12=3,120+Inputs!$B$27+Inputs!$B$29,MAX(0,(Inputs!$B$3-100)*3)+Inputs!$B$28+Inputs!$B$29)))</f>
        <v/>
      </c>
      <c r="E2106">
        <f>INDEX(FactorTable!$B$2:$Y$301, MATCH(ROUND(MIN(300,MAX(1,D2106)),0), FactorTable!$A$2:$A$301,0), Skills!M12+1)</f>
        <v/>
      </c>
      <c r="F2106">
        <f>IF(Skills!N12=TRUE,(Skills!L12/10)*(E2106/1000),Skills!L12/10)+Skills!O12</f>
        <v/>
      </c>
      <c r="G2106">
        <f>Calc!G12</f>
        <v/>
      </c>
      <c r="H2106">
        <f>Calc!H12</f>
        <v/>
      </c>
      <c r="I2106">
        <f>IF(Skills!X12&lt;&gt;"",1+(Skills!X12/10)*(Z2097/1000)/100,1)</f>
        <v/>
      </c>
      <c r="J2106" t="inlineStr"/>
      <c r="K2106" t="inlineStr"/>
      <c r="L2106" t="inlineStr"/>
      <c r="M2106" t="inlineStr"/>
      <c r="N2106" t="inlineStr"/>
      <c r="O2106">
        <f>(1-Summary!$B$11)*S2106+Summary!$B$11*U2106</f>
        <v/>
      </c>
      <c r="P2106">
        <f>IF(B2135=0,0,O2106/B2135)</f>
        <v/>
      </c>
      <c r="Q2106">
        <f>IFERROR(1/(IF(Inputs!$B$38="pvp",15,MAX(0.1,Skills!E12-IF(Skills!F12=TRUE,Inputs!$B$32,0)))*(1-IF(AND(ArtifactsInput!$M$27,Inputs!$B$4="Chapter Hunt"),CHOOSE(ArtifactsInput!$N$27+1,20,24,28,32,36,40),0)/100)),0)</f>
        <v/>
      </c>
      <c r="R2106" t="n">
        <v>0</v>
      </c>
      <c r="S2106" t="n">
        <v>0</v>
      </c>
      <c r="U2106" t="n">
        <v>0</v>
      </c>
    </row>
    <row r="2107">
      <c r="A2107">
        <f>Skills!A13</f>
        <v/>
      </c>
      <c r="B2107">
        <f>Skills!B13</f>
        <v/>
      </c>
      <c r="C2107">
        <f>Inputs!$B$3&gt;=105</f>
        <v/>
      </c>
      <c r="D2107">
        <f>IF(Skills!C13=1,60+Inputs!$B$25+Inputs!$B$29,IF(Skills!C13=2,90+Inputs!$B$26+Inputs!$B$29,IF(Skills!C13=3,120+Inputs!$B$27+Inputs!$B$29,MAX(0,(Inputs!$B$3-100)*3)+Inputs!$B$28+Inputs!$B$29)))</f>
        <v/>
      </c>
      <c r="E2107">
        <f>INDEX(FactorTable!$B$2:$Y$301, MATCH(ROUND(MIN(300,MAX(1,D2107)),0), FactorTable!$A$2:$A$301,0), Skills!M13+1)</f>
        <v/>
      </c>
      <c r="F2107">
        <f>IF(Skills!N13=TRUE,(Skills!L13/10)*(E2107/1000),Skills!L13/10)+Skills!O13</f>
        <v/>
      </c>
      <c r="G2107">
        <f>Calc!G13</f>
        <v/>
      </c>
      <c r="H2107">
        <f>Calc!H13</f>
        <v/>
      </c>
      <c r="I2107">
        <f>IF(Skills!X13&lt;&gt;"",1+(Skills!X13/10)*(Z2097/1000)/100,1)</f>
        <v/>
      </c>
      <c r="J2107">
        <f>((Inputs!$B$6*(1+Inputs!$B$7/100))+(((Inputs!$B$12*(1+Inputs!$B$13/100))-(Inputs!$B$12*(1+Inputs!$B$13/100)))+0.25*(Inputs!$B$14-Inputs!$B$14))*(1+Inputs!$B$7/100))*(F2107/100)</f>
        <v/>
      </c>
      <c r="K2107">
        <f>J2107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2107)</f>
        <v/>
      </c>
      <c r="L2107">
        <f>K2107*(MIN(Inputs!$B$22+(F2116-Calc!F22),(Inputs!$B$23+(IF(ArtifactsInput!$M$15,CHOOSE(ArtifactsInput!$N$15+1,25,30,35,40,45,50)/100*(Inputs!$B$11-Inputs!$B$11),0))))/100+(Inputs!$B$23+(IF(ArtifactsInput!$M$15,CHOOSE(ArtifactsInput!$N$15+1,25,30,35,40,45,50)/100*(Inputs!$B$11-Inputs!$B$11),0)))/100)/2</f>
        <v/>
      </c>
      <c r="M2107">
        <f>L2107*(1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7">
        <f>L2107*(1-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2107*(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7">
        <f>(1-Summary!$B$11)*S2107+Summary!$B$11*U2107</f>
        <v/>
      </c>
      <c r="P2107">
        <f>IF(B2135=0,0,O2107/B2135)</f>
        <v/>
      </c>
      <c r="Q2107">
        <f>IFERROR(1/(IF(Inputs!$B$38="pvp",15,MAX(0.1,Skills!E13-IF(Skills!F13=TRUE,Inputs!$B$32,0)))*(1-IF(AND(ArtifactsInput!$M$27,Inputs!$B$4="Chapter Hunt"),CHOOSE(ArtifactsInput!$N$27+1,20,24,28,32,36,40),0)/100)),0)</f>
        <v/>
      </c>
      <c r="R2107">
        <f>IF(AND(Inputs!$B$38&lt;&gt;"pvp",Inputs!$B$43&gt;0),IF(MAX(0,Inputs!$B$43-B2132)&lt;=0,0,(INT(MAX(0,Inputs!$B$43-B2132)/(IF(Inputs!$B$38="pvp",15,MAX(0.1,Skills!E13-IF(Skills!F13=TRUE,Inputs!$B$32,0)))*(1-IF(AND(ArtifactsInput!$M$27,Inputs!$B$4="Chapter Hunt"),CHOOSE(ArtifactsInput!$N$27+1,20,24,28,32,36,40),0)/100)))+1)),0)</f>
        <v/>
      </c>
      <c r="S2107">
        <f>IF(C2107,(H2107*N2107*IF(AND(Inputs!$B$38&lt;&gt;"pvp",Inputs!$B$43&gt;0),((Skills!G13*((R2107-1)*IF(Skills!H13&gt;0,Skills!I13/Skills!H13,1)+IF(Skills!H13&gt;0,MIN(Skills!I13,MAX(0,MAX(0,Inputs!$B$43-B2132)-((R2107-1)*(IF(Inputs!$B$38="pvp",15,MAX(0.1,Skills!E13-IF(Skills!F13=TRUE,Inputs!$B$32,0)))*(1-IF(AND(ArtifactsInput!$M$27,Inputs!$B$4="Chapter Hunt"),CHOOSE(ArtifactsInput!$N$27+1,20,24,28,32,36,40),0)/100)))))/Skills!H13,1)))/Inputs!$B$43),G2107*Q2107)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2107*(1-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2107*(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2107*(1-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2107*(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7">
        <f>IF(C2107,(H2107*N2107*IF(AND(Inputs!$B$38&lt;&gt;"pvp",Inputs!$B$43&gt;0),((Skills!G13*((R2107-1)*IF(Skills!H13&gt;0,Skills!I13/Skills!H13,1)+IF(Skills!H13&gt;0,MIN(Skills!I13,MAX(0,MAX(0,Inputs!$B$43-B2132)-((R2107-1)*(IF(Inputs!$B$38="pvp",15,MAX(0.1,Skills!E13-IF(Skills!F13=TRUE,Inputs!$B$32,0)))*(1-IF(AND(ArtifactsInput!$M$27,Inputs!$B$4="Chapter Hunt"),CHOOSE(ArtifactsInput!$N$27+1,20,24,28,32,36,40),0)/100)))))/Skills!H13,1)))/Inputs!$B$43),G2107*Q2107)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8">
      <c r="A2108">
        <f>Skills!A14</f>
        <v/>
      </c>
      <c r="B2108">
        <f>Skills!B14</f>
        <v/>
      </c>
      <c r="C2108">
        <f>Inputs!$B$3&gt;=113</f>
        <v/>
      </c>
      <c r="D2108">
        <f>IF(Skills!C14=1,60+Inputs!$B$25+Inputs!$B$29,IF(Skills!C14=2,90+Inputs!$B$26+Inputs!$B$29,IF(Skills!C14=3,120+Inputs!$B$27+Inputs!$B$29,MAX(0,(Inputs!$B$3-100)*3)+Inputs!$B$28+Inputs!$B$29)))</f>
        <v/>
      </c>
      <c r="E2108">
        <f>INDEX(FactorTable!$B$2:$Y$301, MATCH(ROUND(MIN(300,MAX(1,D2108)),0), FactorTable!$A$2:$A$301,0), Skills!M14+1)</f>
        <v/>
      </c>
      <c r="F2108">
        <f>IF(Skills!N14=TRUE,(Skills!L14/10)*(E2108/1000),Skills!L14/10)+Skills!O14</f>
        <v/>
      </c>
      <c r="G2108">
        <f>Calc!G14</f>
        <v/>
      </c>
      <c r="H2108">
        <f>Calc!H14</f>
        <v/>
      </c>
      <c r="I2108">
        <f>IF(Skills!X14&lt;&gt;"",1+(Skills!X14/10)*(Z2097/1000)/100,1)</f>
        <v/>
      </c>
      <c r="J2108">
        <f>((Inputs!$B$6*(1+Inputs!$B$7/100))+(((Inputs!$B$12*(1+Inputs!$B$13/100))-(Inputs!$B$12*(1+Inputs!$B$13/100)))+0.25*(Inputs!$B$14-Inputs!$B$14))*(1+Inputs!$B$7/100))*(F2108/100)</f>
        <v/>
      </c>
      <c r="K2108">
        <f>J2108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2108)</f>
        <v/>
      </c>
      <c r="L2108">
        <f>K2108*(MIN(Inputs!$B$22+(F2116-Calc!F22),(Inputs!$B$23+(IF(ArtifactsInput!$M$15,CHOOSE(ArtifactsInput!$N$15+1,25,30,35,40,45,50)/100*(Inputs!$B$11-Inputs!$B$11),0))))/100+(Inputs!$B$23+(IF(ArtifactsInput!$M$15,CHOOSE(ArtifactsInput!$N$15+1,25,30,35,40,45,50)/100*(Inputs!$B$11-Inputs!$B$11),0)))/100)/2</f>
        <v/>
      </c>
      <c r="M2108">
        <f>L2108*(1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8">
        <f>L2108*(1-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2108*(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8">
        <f>(1-Summary!$B$11)*S2108+Summary!$B$11*U2108</f>
        <v/>
      </c>
      <c r="P2108">
        <f>IF(B2135=0,0,O2108/B2135)</f>
        <v/>
      </c>
      <c r="Q2108">
        <f>IFERROR(1/(IF(Inputs!$B$38="pvp",15,MAX(0.1,Skills!E14-IF(Skills!F14=TRUE,Inputs!$B$32,0)))*(1-IF(AND(ArtifactsInput!$M$27,Inputs!$B$4="Chapter Hunt"),CHOOSE(ArtifactsInput!$N$27+1,20,24,28,32,36,40),0)/100)),0)</f>
        <v/>
      </c>
      <c r="R2108" t="n">
        <v>0</v>
      </c>
      <c r="S2108">
        <f>IF(C2108,((H2108*B2131)/(1+Skills!H14*H2108*B2131)*N2108)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2108*(1-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2108*(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2108*(1-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2108*(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8">
        <f>IF(C2108,((H2108*B2131)/(1+Skills!H14*H2108*B2131)*N2108)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9">
      <c r="A2109">
        <f>Skills!A15</f>
        <v/>
      </c>
      <c r="B2109">
        <f>Skills!B15</f>
        <v/>
      </c>
      <c r="C2109">
        <f>Inputs!$B$3&gt;=107</f>
        <v/>
      </c>
      <c r="D2109">
        <f>IF(Skills!C15=1,60+Inputs!$B$25+Inputs!$B$29,IF(Skills!C15=2,90+Inputs!$B$26+Inputs!$B$29,IF(Skills!C15=3,120+Inputs!$B$27+Inputs!$B$29,MAX(0,(Inputs!$B$3-100)*3)+Inputs!$B$28+Inputs!$B$29)))</f>
        <v/>
      </c>
      <c r="E2109">
        <f>INDEX(FactorTable!$B$2:$Y$301, MATCH(ROUND(MIN(300,MAX(1,D2109)),0), FactorTable!$A$2:$A$301,0), Skills!M15+1)</f>
        <v/>
      </c>
      <c r="F2109">
        <f>IF(Skills!N15=TRUE,(Skills!L15/10)*(E2109/1000),Skills!L15/10)+Skills!O15</f>
        <v/>
      </c>
      <c r="G2109">
        <f>Calc!G15</f>
        <v/>
      </c>
      <c r="H2109">
        <f>Calc!H15</f>
        <v/>
      </c>
      <c r="I2109">
        <f>IF(Skills!X15&lt;&gt;"",1+(Skills!X15/10)*(Z2097/1000)/100,1)</f>
        <v/>
      </c>
      <c r="J2109">
        <f>((Inputs!$B$6*(1+Inputs!$B$7/100))+(((Inputs!$B$12*(1+Inputs!$B$13/100))-(Inputs!$B$12*(1+Inputs!$B$13/100)))+0.25*(Inputs!$B$14-Inputs!$B$14))*(1+Inputs!$B$7/100))*(F2109/100)</f>
        <v/>
      </c>
      <c r="K2109">
        <f>J2109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2109)</f>
        <v/>
      </c>
      <c r="L2109">
        <f>K2109*(MIN(Inputs!$B$22+(F2116-Calc!F22),(Inputs!$B$23+(IF(ArtifactsInput!$M$15,CHOOSE(ArtifactsInput!$N$15+1,25,30,35,40,45,50)/100*(Inputs!$B$11-Inputs!$B$11),0))))/100+(Inputs!$B$23+(IF(ArtifactsInput!$M$15,CHOOSE(ArtifactsInput!$N$15+1,25,30,35,40,45,50)/100*(Inputs!$B$11-Inputs!$B$11),0)))/100)/2</f>
        <v/>
      </c>
      <c r="M2109">
        <f>L2109*(1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9">
        <f>L2109*(1-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2109*(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9">
        <f>(1-Summary!$B$11)*S2109+Summary!$B$11*U2109</f>
        <v/>
      </c>
      <c r="P2109">
        <f>IF(B2135=0,0,O2109/B2135)</f>
        <v/>
      </c>
      <c r="Q2109">
        <f>IFERROR(1/(IF(Inputs!$B$38="pvp",15,MAX(0.1,Skills!E15-IF(Skills!F15=TRUE,Inputs!$B$32,0)))*(1-IF(AND(ArtifactsInput!$M$27,Inputs!$B$4="Chapter Hunt"),CHOOSE(ArtifactsInput!$N$27+1,20,24,28,32,36,40),0)/100)),0)</f>
        <v/>
      </c>
      <c r="R2109">
        <f>IF(AND(Inputs!$B$38&lt;&gt;"pvp",Inputs!$B$43&gt;0),IF(MAX(0,Inputs!$B$43-B2132)&lt;=0,0,(INT(MAX(0,Inputs!$B$43-B2132)/(IF(Inputs!$B$38="pvp",15,MAX(0.1,Skills!E15-IF(Skills!F15=TRUE,Inputs!$B$32,0)))*(1-IF(AND(ArtifactsInput!$M$27,Inputs!$B$4="Chapter Hunt"),CHOOSE(ArtifactsInput!$N$27+1,20,24,28,32,36,40),0)/100)))+1)),0)</f>
        <v/>
      </c>
      <c r="S2109">
        <f>IF(C2109,(H2109*N2109*IF(AND(Inputs!$B$38&lt;&gt;"pvp",Inputs!$B$43&gt;0),((Skills!G15*((R2109-1)*IF(Skills!H15&gt;0,Skills!I15/Skills!H15,1)+IF(Skills!H15&gt;0,MIN(Skills!I15,MAX(0,MAX(0,Inputs!$B$43-B2132)-((R2109-1)*(IF(Inputs!$B$38="pvp",15,MAX(0.1,Skills!E15-IF(Skills!F15=TRUE,Inputs!$B$32,0)))*(1-IF(AND(ArtifactsInput!$M$27,Inputs!$B$4="Chapter Hunt"),CHOOSE(ArtifactsInput!$N$27+1,20,24,28,32,36,40),0)/100)))))/Skills!H15,1)))/Inputs!$B$43),G2109*Q2109)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2109*(1-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2109*(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2109*(1-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2109*(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09">
        <f>IF(C2109,(H2109*N2109*IF(AND(Inputs!$B$38&lt;&gt;"pvp",Inputs!$B$43&gt;0),((Skills!G15*((R2109-1)*IF(Skills!H15&gt;0,Skills!I15/Skills!H15,1)+IF(Skills!H15&gt;0,MIN(Skills!I15,MAX(0,MAX(0,Inputs!$B$43-B2132)-((R2109-1)*(IF(Inputs!$B$38="pvp",15,MAX(0.1,Skills!E15-IF(Skills!F15=TRUE,Inputs!$B$32,0)))*(1-IF(AND(ArtifactsInput!$M$27,Inputs!$B$4="Chapter Hunt"),CHOOSE(ArtifactsInput!$N$27+1,20,24,28,32,36,40),0)/100)))))/Skills!H15,1)))/Inputs!$B$43),G2109*Q2109)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0">
      <c r="A2110">
        <f>Skills!A16</f>
        <v/>
      </c>
      <c r="B2110">
        <f>Skills!B16</f>
        <v/>
      </c>
      <c r="C2110">
        <f>Inputs!$B$3&gt;=107</f>
        <v/>
      </c>
      <c r="D2110">
        <f>IF(Skills!C16=1,60+Inputs!$B$25+Inputs!$B$29,IF(Skills!C16=2,90+Inputs!$B$26+Inputs!$B$29,IF(Skills!C16=3,120+Inputs!$B$27+Inputs!$B$29,MAX(0,(Inputs!$B$3-100)*3)+Inputs!$B$28+Inputs!$B$29)))</f>
        <v/>
      </c>
      <c r="E2110">
        <f>INDEX(FactorTable!$B$2:$Y$301, MATCH(ROUND(MIN(300,MAX(1,D2110)),0), FactorTable!$A$2:$A$301,0), Skills!M16+1)</f>
        <v/>
      </c>
      <c r="F2110">
        <f>IF(Skills!N16=TRUE,(Skills!L16/10)*(E2110/1000),Skills!L16/10)+Skills!O16</f>
        <v/>
      </c>
      <c r="G2110">
        <f>Calc!G16</f>
        <v/>
      </c>
      <c r="H2110">
        <f>Calc!H16</f>
        <v/>
      </c>
      <c r="I2110">
        <f>IF(Skills!X16&lt;&gt;"",1+(Skills!X16/10)*(Z2097/1000)/100,1)</f>
        <v/>
      </c>
      <c r="J2110">
        <f>((Inputs!$B$6*(1+Inputs!$B$7/100))+(((Inputs!$B$12*(1+Inputs!$B$13/100))-(Inputs!$B$12*(1+Inputs!$B$13/100)))+0.25*(Inputs!$B$14-Inputs!$B$14))*(1+Inputs!$B$7/100))*(F2110/100)</f>
        <v/>
      </c>
      <c r="K2110">
        <f>J2110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2110)</f>
        <v/>
      </c>
      <c r="L2110">
        <f>K2110*(MIN(Inputs!$B$22+(F2116-Calc!F22),(Inputs!$B$23+(IF(ArtifactsInput!$M$15,CHOOSE(ArtifactsInput!$N$15+1,25,30,35,40,45,50)/100*(Inputs!$B$11-Inputs!$B$11),0))))/100+(Inputs!$B$23+(IF(ArtifactsInput!$M$15,CHOOSE(ArtifactsInput!$N$15+1,25,30,35,40,45,50)/100*(Inputs!$B$11-Inputs!$B$11),0)))/100)/2</f>
        <v/>
      </c>
      <c r="M2110">
        <f>L2110*(1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0">
        <f>L2110*(1-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2110*(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0">
        <f>(1-Summary!$B$11)*S2110+Summary!$B$11*U2110</f>
        <v/>
      </c>
      <c r="P2110">
        <f>IF(B2135=0,0,O2110/B2135)</f>
        <v/>
      </c>
      <c r="Q2110">
        <f>IFERROR(1/(IF(Inputs!$B$38="pvp",15,MAX(0.1,Skills!E16-IF(Skills!F16=TRUE,Inputs!$B$32,0)))*(1-IF(AND(ArtifactsInput!$M$27,Inputs!$B$4="Chapter Hunt"),CHOOSE(ArtifactsInput!$N$27+1,20,24,28,32,36,40),0)/100)),0)</f>
        <v/>
      </c>
      <c r="R2110">
        <f>IF(AND(Inputs!$B$38&lt;&gt;"pvp",Inputs!$B$43&gt;0),IF(MAX(0,Inputs!$B$43-B2132)&lt;=0,0,(INT(MAX(0,Inputs!$B$43-B2132)/(IF(Inputs!$B$38="pvp",15,MAX(0.1,Skills!E16-IF(Skills!F16=TRUE,Inputs!$B$32,0)))*(1-IF(AND(ArtifactsInput!$M$27,Inputs!$B$4="Chapter Hunt"),CHOOSE(ArtifactsInput!$N$27+1,20,24,28,32,36,40),0)/100)))+1)),0)</f>
        <v/>
      </c>
      <c r="S2110">
        <f>IF(C2110,(H2110*N2110*IF(AND(Inputs!$B$38&lt;&gt;"pvp",Inputs!$B$43&gt;0),((Skills!G16*((R2110-1)*IF(Skills!H16&gt;0,Skills!I16/Skills!H16,1)+IF(Skills!H16&gt;0,MIN(Skills!I16,MAX(0,MAX(0,Inputs!$B$43-B2132)-((R2110-1)*(IF(Inputs!$B$38="pvp",15,MAX(0.1,Skills!E16-IF(Skills!F16=TRUE,Inputs!$B$32,0)))*(1-IF(AND(ArtifactsInput!$M$27,Inputs!$B$4="Chapter Hunt"),CHOOSE(ArtifactsInput!$N$27+1,20,24,28,32,36,40),0)/100)))))/Skills!H16,1)))/Inputs!$B$43),G2110*Q2110)*(1+IF(Inputs!$B$3&gt;=126,0.05*(B2130+Q2107+(H2108*B2131)/(1+Skills!H14*H2108*B2131)+Q2118)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2110*(1-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2110*(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2110*(1-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2110*(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10">
        <f>IF(C2110,(H2110*N2110*IF(AND(Inputs!$B$38&lt;&gt;"pvp",Inputs!$B$43&gt;0),((Skills!G16*((R2110-1)*IF(Skills!H16&gt;0,Skills!I16/Skills!H16,1)+IF(Skills!H16&gt;0,MIN(Skills!I16,MAX(0,MAX(0,Inputs!$B$43-B2132)-((R2110-1)*(IF(Inputs!$B$38="pvp",15,MAX(0.1,Skills!E16-IF(Skills!F16=TRUE,Inputs!$B$32,0)))*(1-IF(AND(ArtifactsInput!$M$27,Inputs!$B$4="Chapter Hunt"),CHOOSE(ArtifactsInput!$N$27+1,20,24,28,32,36,40),0)/100)))))/Skills!H16,1)))/Inputs!$B$43),G2110*Q2110)*(1+IF(Inputs!$B$3&gt;=126,0.05*(B2130+Q2107+(H2108*B2131)/(1+Skills!H14*H2108*B2131)+Q2118)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1">
      <c r="A2111">
        <f>Skills!A17</f>
        <v/>
      </c>
      <c r="B2111">
        <f>Skills!B17</f>
        <v/>
      </c>
      <c r="C2111">
        <f>TRUE</f>
        <v/>
      </c>
      <c r="D2111">
        <f>IF(Skills!C17=1,60+Inputs!$B$25+Inputs!$B$29,IF(Skills!C17=2,90+Inputs!$B$26+Inputs!$B$29,IF(Skills!C17=3,120+Inputs!$B$27+Inputs!$B$29,MAX(0,(Inputs!$B$3-100)*3)+Inputs!$B$28+Inputs!$B$29)))</f>
        <v/>
      </c>
      <c r="E2111">
        <f>INDEX(FactorTable!$B$2:$Y$301, MATCH(ROUND(MIN(300,MAX(1,D2111)),0), FactorTable!$A$2:$A$301,0), Skills!M17+1)</f>
        <v/>
      </c>
      <c r="F2111">
        <f>IF(Skills!N17=TRUE,(Skills!L17/10)*(E2111/1000),Skills!L17/10)+Skills!O17</f>
        <v/>
      </c>
      <c r="G2111">
        <f>Calc!G17</f>
        <v/>
      </c>
      <c r="H2111">
        <f>Calc!H17</f>
        <v/>
      </c>
      <c r="I2111">
        <f>IF(Skills!X17&lt;&gt;"",1+(Skills!X17/10)*(Z2097/1000)/100,1)</f>
        <v/>
      </c>
      <c r="J2111" t="inlineStr"/>
      <c r="K2111" t="inlineStr"/>
      <c r="L2111" t="inlineStr"/>
      <c r="M2111" t="inlineStr"/>
      <c r="N2111" t="inlineStr"/>
      <c r="O2111">
        <f>(1-Summary!$B$11)*S2111+Summary!$B$11*U2111</f>
        <v/>
      </c>
      <c r="P2111">
        <f>IF(B2135=0,0,O2111/B2135)</f>
        <v/>
      </c>
      <c r="Q2111">
        <f>IFERROR(1/(IF(Inputs!$B$38="pvp",15,MAX(0.1,Skills!E17-IF(Skills!F17=TRUE,Inputs!$B$32,0)))*(1-IF(AND(ArtifactsInput!$M$27,Inputs!$B$4="Chapter Hunt"),CHOOSE(ArtifactsInput!$N$27+1,20,24,28,32,36,40),0)/100)),0)</f>
        <v/>
      </c>
      <c r="R2111">
        <f>IF(AND(Inputs!$B$38&lt;&gt;"pvp",Inputs!$B$43&gt;0),IF(Inputs!$B$43&lt;=0,0,(INT(Inputs!$B$43/(IF(Inputs!$B$38="pvp",15,MAX(0.1,Skills!E17-IF(Skills!F17=TRUE,Inputs!$B$32,0)))*(1-IF(AND(ArtifactsInput!$M$27,Inputs!$B$4="Chapter Hunt"),CHOOSE(ArtifactsInput!$N$27+1,20,24,28,32,36,40),0)/100)))+1)),0)</f>
        <v/>
      </c>
      <c r="S2111" t="n">
        <v>0</v>
      </c>
      <c r="U2111" t="n">
        <v>0</v>
      </c>
    </row>
    <row r="2112">
      <c r="A2112">
        <f>Skills!A18</f>
        <v/>
      </c>
      <c r="B2112">
        <f>Skills!B18</f>
        <v/>
      </c>
      <c r="C2112">
        <f>TRUE</f>
        <v/>
      </c>
      <c r="D2112">
        <f>IF(Skills!C18=1,60+Inputs!$B$25+Inputs!$B$29,IF(Skills!C18=2,90+Inputs!$B$26+Inputs!$B$29,IF(Skills!C18=3,120+Inputs!$B$27+Inputs!$B$29,MAX(0,(Inputs!$B$3-100)*3)+Inputs!$B$28+Inputs!$B$29)))</f>
        <v/>
      </c>
      <c r="E2112">
        <f>INDEX(FactorTable!$B$2:$Y$301, MATCH(ROUND(MIN(300,MAX(1,D2112)),0), FactorTable!$A$2:$A$301,0), Skills!M18+1)</f>
        <v/>
      </c>
      <c r="F2112">
        <f>IF(Skills!N18=TRUE,(Skills!L18/10)*(E2112/1000),Skills!L18/10)+Skills!O18</f>
        <v/>
      </c>
      <c r="G2112">
        <f>Calc!G18</f>
        <v/>
      </c>
      <c r="H2112">
        <f>Calc!H18</f>
        <v/>
      </c>
      <c r="I2112">
        <f>IF(Skills!X18&lt;&gt;"",1+(Skills!X18/10)*(Z2097/1000)/100,1)</f>
        <v/>
      </c>
      <c r="J2112" t="inlineStr"/>
      <c r="K2112" t="inlineStr"/>
      <c r="L2112" t="inlineStr"/>
      <c r="M2112" t="inlineStr"/>
      <c r="N2112" t="inlineStr"/>
      <c r="O2112">
        <f>(1-Summary!$B$11)*S2112+Summary!$B$11*U2112</f>
        <v/>
      </c>
      <c r="P2112">
        <f>IF(B2135=0,0,O2112/B2135)</f>
        <v/>
      </c>
      <c r="Q2112">
        <f>IFERROR(1/(IF(Inputs!$B$38="pvp",15,MAX(0.1,Skills!E18-IF(Skills!F18=TRUE,Inputs!$B$32,0)))*(1-IF(AND(ArtifactsInput!$M$27,Inputs!$B$4="Chapter Hunt"),CHOOSE(ArtifactsInput!$N$27+1,20,24,28,32,36,40),0)/100)),0)</f>
        <v/>
      </c>
      <c r="R2112">
        <f>IF(AND(Inputs!$B$38&lt;&gt;"pvp",Inputs!$B$43&gt;0),IF(Inputs!$B$43&lt;=0,0,(INT(Inputs!$B$43/(IF(Inputs!$B$38="pvp",15,MAX(0.1,Skills!E18-IF(Skills!F18=TRUE,Inputs!$B$32,0)))*(1-IF(AND(ArtifactsInput!$M$27,Inputs!$B$4="Chapter Hunt"),CHOOSE(ArtifactsInput!$N$27+1,20,24,28,32,36,40),0)/100)))+1)),0)</f>
        <v/>
      </c>
      <c r="S2112" t="n">
        <v>0</v>
      </c>
      <c r="U2112" t="n">
        <v>0</v>
      </c>
    </row>
    <row r="2113">
      <c r="A2113">
        <f>Skills!A19</f>
        <v/>
      </c>
      <c r="B2113">
        <f>Skills!B19</f>
        <v/>
      </c>
      <c r="C2113">
        <f>Inputs!$B$3&gt;=110</f>
        <v/>
      </c>
      <c r="D2113">
        <f>IF(Skills!C19=1,60+Inputs!$B$25+Inputs!$B$29,IF(Skills!C19=2,90+Inputs!$B$26+Inputs!$B$29,IF(Skills!C19=3,120+Inputs!$B$27+Inputs!$B$29,MAX(0,(Inputs!$B$3-100)*3)+Inputs!$B$28+Inputs!$B$29)))</f>
        <v/>
      </c>
      <c r="E2113">
        <f>INDEX(FactorTable!$B$2:$Y$301, MATCH(ROUND(MIN(300,MAX(1,D2113)),0), FactorTable!$A$2:$A$301,0), Skills!M19+1)</f>
        <v/>
      </c>
      <c r="F2113">
        <f>IF(Skills!N19=TRUE,(Skills!L19/10)*(E2113/1000),Skills!L19/10)+Skills!O19</f>
        <v/>
      </c>
      <c r="G2113">
        <f>Calc!G19</f>
        <v/>
      </c>
      <c r="H2113">
        <f>Calc!H19</f>
        <v/>
      </c>
      <c r="I2113">
        <f>IF(Skills!X19&lt;&gt;"",1+(Skills!X19/10)*(Z2097/1000)/100,1)</f>
        <v/>
      </c>
      <c r="J2113" t="inlineStr"/>
      <c r="K2113" t="inlineStr"/>
      <c r="L2113" t="inlineStr"/>
      <c r="M2113" t="inlineStr"/>
      <c r="N2113" t="inlineStr"/>
      <c r="O2113">
        <f>(1-Summary!$B$11)*S2113+Summary!$B$11*U2113</f>
        <v/>
      </c>
      <c r="P2113">
        <f>IF(B2135=0,0,O2113/B2135)</f>
        <v/>
      </c>
      <c r="Q2113">
        <f>IFERROR(1/(IF(Inputs!$B$38="pvp",15,MAX(0.1,Skills!E19-IF(Skills!F19=TRUE,Inputs!$B$32,0)))*(1-IF(AND(ArtifactsInput!$M$27,Inputs!$B$4="Chapter Hunt"),CHOOSE(ArtifactsInput!$N$27+1,20,24,28,32,36,40),0)/100)),0)</f>
        <v/>
      </c>
      <c r="R2113">
        <f>IF(AND(Inputs!$B$38&lt;&gt;"pvp",Inputs!$B$43&gt;0),IF(Inputs!$B$43&lt;=0,0,(INT(Inputs!$B$43/(IF(Inputs!$B$38="pvp",15,MAX(0.1,Skills!E19-IF(Skills!F19=TRUE,Inputs!$B$32,0)))*(1-IF(AND(ArtifactsInput!$M$27,Inputs!$B$4="Chapter Hunt"),CHOOSE(ArtifactsInput!$N$27+1,20,24,28,32,36,40),0)/100)))+1)),0)</f>
        <v/>
      </c>
      <c r="S2113" t="n">
        <v>0</v>
      </c>
      <c r="U2113" t="n">
        <v>0</v>
      </c>
    </row>
    <row r="2114">
      <c r="A2114">
        <f>Skills!A20</f>
        <v/>
      </c>
      <c r="B2114">
        <f>Skills!B20</f>
        <v/>
      </c>
      <c r="C2114">
        <f>TRUE</f>
        <v/>
      </c>
      <c r="D2114">
        <f>IF(Skills!C20=1,60+Inputs!$B$25+Inputs!$B$29,IF(Skills!C20=2,90+Inputs!$B$26+Inputs!$B$29,IF(Skills!C20=3,120+Inputs!$B$27+Inputs!$B$29,MAX(0,(Inputs!$B$3-100)*3)+Inputs!$B$28+Inputs!$B$29)))</f>
        <v/>
      </c>
      <c r="E2114">
        <f>INDEX(FactorTable!$B$2:$Y$301, MATCH(ROUND(MIN(300,MAX(1,D2114)),0), FactorTable!$A$2:$A$301,0), Skills!M20+1)</f>
        <v/>
      </c>
      <c r="F2114">
        <f>IF(Skills!N20=TRUE,(Skills!L20/10)*(E2114/1000),Skills!L20/10)+Skills!O20</f>
        <v/>
      </c>
      <c r="G2114">
        <f>Calc!G20</f>
        <v/>
      </c>
      <c r="H2114">
        <f>Calc!H20</f>
        <v/>
      </c>
      <c r="I2114">
        <f>IF(Skills!X20&lt;&gt;"",1+(Skills!X20/10)*(Z2097/1000)/100,1)</f>
        <v/>
      </c>
      <c r="J2114" t="inlineStr"/>
      <c r="K2114" t="inlineStr"/>
      <c r="L2114" t="inlineStr"/>
      <c r="M2114" t="inlineStr"/>
      <c r="N2114" t="inlineStr"/>
      <c r="O2114">
        <f>(1-Summary!$B$11)*S2114+Summary!$B$11*U2114</f>
        <v/>
      </c>
      <c r="P2114">
        <f>IF(B2135=0,0,O2114/B2135)</f>
        <v/>
      </c>
      <c r="Q2114">
        <f>IFERROR(1/(IF(Inputs!$B$38="pvp",15,MAX(0.1,Skills!E20-IF(Skills!F20=TRUE,Inputs!$B$32,0)))*(1-IF(AND(ArtifactsInput!$M$27,Inputs!$B$4="Chapter Hunt"),CHOOSE(ArtifactsInput!$N$27+1,20,24,28,32,36,40),0)/100)),0)</f>
        <v/>
      </c>
      <c r="R2114" t="n">
        <v>0</v>
      </c>
      <c r="S2114" t="n">
        <v>0</v>
      </c>
      <c r="U2114" t="n">
        <v>0</v>
      </c>
    </row>
    <row r="2115">
      <c r="A2115">
        <f>Skills!A21</f>
        <v/>
      </c>
      <c r="B2115">
        <f>Skills!B21</f>
        <v/>
      </c>
      <c r="C2115">
        <f>TRUE</f>
        <v/>
      </c>
      <c r="D2115">
        <f>IF(Skills!C21=1,60+Inputs!$B$25+Inputs!$B$29,IF(Skills!C21=2,90+Inputs!$B$26+Inputs!$B$29,IF(Skills!C21=3,120+Inputs!$B$27+Inputs!$B$29,MAX(0,(Inputs!$B$3-100)*3)+Inputs!$B$28+Inputs!$B$29)))</f>
        <v/>
      </c>
      <c r="E2115">
        <f>INDEX(FactorTable!$B$2:$Y$301, MATCH(ROUND(MIN(300,MAX(1,D2115)),0), FactorTable!$A$2:$A$301,0), Skills!M21+1)</f>
        <v/>
      </c>
      <c r="F2115">
        <f>IF(Skills!N21=TRUE,(Skills!L21/10)*(E2115/1000),Skills!L21/10)+Skills!O21</f>
        <v/>
      </c>
      <c r="G2115">
        <f>Calc!G21</f>
        <v/>
      </c>
      <c r="H2115">
        <f>Calc!H21</f>
        <v/>
      </c>
      <c r="I2115">
        <f>IF(Skills!X21&lt;&gt;"",1+(Skills!X21/10)*(Z2097/1000)/100,1)</f>
        <v/>
      </c>
      <c r="J2115" t="inlineStr"/>
      <c r="K2115" t="inlineStr"/>
      <c r="L2115" t="inlineStr"/>
      <c r="M2115" t="inlineStr"/>
      <c r="N2115" t="inlineStr"/>
      <c r="O2115">
        <f>(1-Summary!$B$11)*S2115+Summary!$B$11*U2115</f>
        <v/>
      </c>
      <c r="P2115">
        <f>IF(B2135=0,0,O2115/B2135)</f>
        <v/>
      </c>
      <c r="Q2115">
        <f>IFERROR(1/(IF(Inputs!$B$38="pvp",15,MAX(0.1,Skills!E21-IF(Skills!F21=TRUE,Inputs!$B$32,0)))*(1-IF(AND(ArtifactsInput!$M$27,Inputs!$B$4="Chapter Hunt"),CHOOSE(ArtifactsInput!$N$27+1,20,24,28,32,36,40),0)/100)),0)</f>
        <v/>
      </c>
      <c r="R2115" t="n">
        <v>0</v>
      </c>
      <c r="S2115" t="n">
        <v>0</v>
      </c>
      <c r="U2115" t="n">
        <v>0</v>
      </c>
    </row>
    <row r="2116">
      <c r="A2116">
        <f>Skills!A22</f>
        <v/>
      </c>
      <c r="B2116">
        <f>Skills!B22</f>
        <v/>
      </c>
      <c r="C2116">
        <f>TRUE</f>
        <v/>
      </c>
      <c r="D2116">
        <f>IF(Skills!C22=1,60+Inputs!$B$25+Inputs!$B$29,IF(Skills!C22=2,90+Inputs!$B$26+Inputs!$B$29,IF(Skills!C22=3,120+Inputs!$B$27+Inputs!$B$29,MAX(0,(Inputs!$B$3-100)*3)+Inputs!$B$28+Inputs!$B$29)))</f>
        <v/>
      </c>
      <c r="E2116">
        <f>INDEX(FactorTable!$B$2:$Y$301, MATCH(ROUND(MIN(300,MAX(1,D2116)),0), FactorTable!$A$2:$A$301,0), Skills!M22+1)</f>
        <v/>
      </c>
      <c r="F2116">
        <f>IF(Skills!N22=TRUE,(Skills!L22/10)*(E2116/1000),Skills!L22/10)+Skills!O22</f>
        <v/>
      </c>
      <c r="G2116">
        <f>Calc!G22</f>
        <v/>
      </c>
      <c r="H2116">
        <f>Calc!H22</f>
        <v/>
      </c>
      <c r="I2116">
        <f>IF(Skills!X22&lt;&gt;"",1+(Skills!X22/10)*(Z2097/1000)/100,1)</f>
        <v/>
      </c>
      <c r="J2116" t="inlineStr"/>
      <c r="K2116" t="inlineStr"/>
      <c r="L2116" t="inlineStr"/>
      <c r="M2116" t="inlineStr"/>
      <c r="N2116" t="inlineStr"/>
      <c r="O2116">
        <f>(1-Summary!$B$11)*S2116+Summary!$B$11*U2116</f>
        <v/>
      </c>
      <c r="P2116">
        <f>IF(B2135=0,0,O2116/B2135)</f>
        <v/>
      </c>
      <c r="Q2116">
        <f>IFERROR(1/(IF(Inputs!$B$38="pvp",15,MAX(0.1,Skills!E22-IF(Skills!F22=TRUE,Inputs!$B$32,0)))*(1-IF(AND(ArtifactsInput!$M$27,Inputs!$B$4="Chapter Hunt"),CHOOSE(ArtifactsInput!$N$27+1,20,24,28,32,36,40),0)/100)),0)</f>
        <v/>
      </c>
      <c r="R2116" t="n">
        <v>0</v>
      </c>
      <c r="S2116" t="n">
        <v>0</v>
      </c>
      <c r="U2116" t="n">
        <v>0</v>
      </c>
    </row>
    <row r="2117">
      <c r="A2117">
        <f>Skills!A23</f>
        <v/>
      </c>
      <c r="B2117">
        <f>Skills!B23</f>
        <v/>
      </c>
      <c r="C2117">
        <f>TRUE</f>
        <v/>
      </c>
      <c r="D2117">
        <f>IF(Skills!C23=1,60+Inputs!$B$25+Inputs!$B$29,IF(Skills!C23=2,90+Inputs!$B$26+Inputs!$B$29,IF(Skills!C23=3,120+Inputs!$B$27+Inputs!$B$29,MAX(0,(Inputs!$B$3-100)*3)+Inputs!$B$28+Inputs!$B$29)))</f>
        <v/>
      </c>
      <c r="E2117">
        <f>INDEX(FactorTable!$B$2:$Y$301, MATCH(ROUND(MIN(300,MAX(1,D2117)),0), FactorTable!$A$2:$A$301,0), Skills!M23+1)</f>
        <v/>
      </c>
      <c r="F2117">
        <f>IF(Skills!N23=TRUE,(Skills!L23/10)*(E2117/1000),Skills!L23/10)+Skills!O23</f>
        <v/>
      </c>
      <c r="G2117">
        <f>Calc!G23</f>
        <v/>
      </c>
      <c r="H2117">
        <f>Calc!H23</f>
        <v/>
      </c>
      <c r="I2117">
        <f>IF(Skills!X23&lt;&gt;"",1+(Skills!X23/10)*(Z2097/1000)/100,1)</f>
        <v/>
      </c>
      <c r="J2117" t="inlineStr"/>
      <c r="K2117" t="inlineStr"/>
      <c r="L2117" t="inlineStr"/>
      <c r="M2117" t="inlineStr"/>
      <c r="N2117" t="inlineStr"/>
      <c r="O2117">
        <f>(1-Summary!$B$11)*S2117+Summary!$B$11*U2117</f>
        <v/>
      </c>
      <c r="P2117">
        <f>IF(B2135=0,0,O2117/B2135)</f>
        <v/>
      </c>
      <c r="Q2117">
        <f>IFERROR(1/(IF(Inputs!$B$38="pvp",15,MAX(0.1,Skills!E23-IF(Skills!F23=TRUE,Inputs!$B$32,0)))*(1-IF(AND(ArtifactsInput!$M$27,Inputs!$B$4="Chapter Hunt"),CHOOSE(ArtifactsInput!$N$27+1,20,24,28,32,36,40),0)/100)),0)</f>
        <v/>
      </c>
      <c r="R2117" t="n">
        <v>0</v>
      </c>
      <c r="S2117" t="n">
        <v>0</v>
      </c>
      <c r="U2117" t="n">
        <v>0</v>
      </c>
    </row>
    <row r="2118">
      <c r="A2118">
        <f>Skills!A24</f>
        <v/>
      </c>
      <c r="B2118">
        <f>Skills!B24</f>
        <v/>
      </c>
      <c r="C2118">
        <f>Inputs!$B$3&gt;=115</f>
        <v/>
      </c>
      <c r="D2118">
        <f>IF(Skills!C24=1,60+Inputs!$B$25+Inputs!$B$29,IF(Skills!C24=2,90+Inputs!$B$26+Inputs!$B$29,IF(Skills!C24=3,120+Inputs!$B$27+Inputs!$B$29,MAX(0,(Inputs!$B$3-100)*3)+Inputs!$B$28+Inputs!$B$29)))</f>
        <v/>
      </c>
      <c r="E2118">
        <f>INDEX(FactorTable!$B$2:$Y$301, MATCH(ROUND(MIN(300,MAX(1,D2118)),0), FactorTable!$A$2:$A$301,0), Skills!M24+1)</f>
        <v/>
      </c>
      <c r="F2118">
        <f>IF(Skills!N24=TRUE,(Skills!L24/10)*(E2118/1000),Skills!L24/10)+Skills!O24</f>
        <v/>
      </c>
      <c r="G2118">
        <f>Calc!G24</f>
        <v/>
      </c>
      <c r="H2118">
        <f>Calc!H24</f>
        <v/>
      </c>
      <c r="I2118">
        <f>IF(Skills!X24&lt;&gt;"",1+(Skills!X24/10)*(Z2097/1000)/100,1)</f>
        <v/>
      </c>
      <c r="J2118">
        <f>((Inputs!$B$6*(1+Inputs!$B$7/100))+(((Inputs!$B$12*(1+Inputs!$B$13/100))-(Inputs!$B$12*(1+Inputs!$B$13/100)))+0.25*(Inputs!$B$14-Inputs!$B$14))*(1+Inputs!$B$7/100))*(F2118/100)</f>
        <v/>
      </c>
      <c r="K2118">
        <f>J2118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2118)</f>
        <v/>
      </c>
      <c r="L2118">
        <f>K2118*(MIN(Inputs!$B$22+(F2116-Calc!F22),(Inputs!$B$23+(IF(ArtifactsInput!$M$15,CHOOSE(ArtifactsInput!$N$15+1,25,30,35,40,45,50)/100*(Inputs!$B$11-Inputs!$B$11),0))))/100+(Inputs!$B$23+(IF(ArtifactsInput!$M$15,CHOOSE(ArtifactsInput!$N$15+1,25,30,35,40,45,50)/100*(Inputs!$B$11-Inputs!$B$11),0)))/100)/2</f>
        <v/>
      </c>
      <c r="M2118">
        <f>L2118*(1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8">
        <f>L2118*(1-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2118*(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8">
        <f>(1-Summary!$B$11)*S2118+Summary!$B$11*U2118</f>
        <v/>
      </c>
      <c r="P2118">
        <f>IF(B2135=0,0,O2118/B2135)</f>
        <v/>
      </c>
      <c r="Q2118">
        <f>IFERROR(1/(IF(Inputs!$B$38="pvp",15,MAX(0.1,Skills!E24-IF(Skills!F24=TRUE,Inputs!$B$32,0)))*(1-IF(AND(ArtifactsInput!$M$27,Inputs!$B$4="Chapter Hunt"),CHOOSE(ArtifactsInput!$N$27+1,20,24,28,32,36,40),0)/100)),0)</f>
        <v/>
      </c>
      <c r="R2118">
        <f>IF(AND(Inputs!$B$38&lt;&gt;"pvp",Inputs!$B$43&gt;0),IF(MAX(0,Inputs!$B$43-B2132)&lt;=0,0,(INT(MAX(0,Inputs!$B$43-B2132)/(IF(Inputs!$B$38="pvp",15,MAX(0.1,Skills!E24-IF(Skills!F24=TRUE,Inputs!$B$32,0)))*(1-IF(AND(ArtifactsInput!$M$27,Inputs!$B$4="Chapter Hunt"),CHOOSE(ArtifactsInput!$N$27+1,20,24,28,32,36,40),0)/100)))+1)),0)</f>
        <v/>
      </c>
      <c r="S2118">
        <f>IF(C2118,(H2118*N2118*IF(AND(Inputs!$B$38&lt;&gt;"pvp",Inputs!$B$43&gt;0),((Skills!G24*((R2118-1)*IF(Skills!H24&gt;0,Skills!I24/Skills!H24,1)+IF(Skills!H24&gt;0,MIN(Skills!I24,MAX(0,MAX(0,Inputs!$B$43-B2132)-((R2118-1)*(IF(Inputs!$B$38="pvp",15,MAX(0.1,Skills!E24-IF(Skills!F24=TRUE,Inputs!$B$32,0)))*(1-IF(AND(ArtifactsInput!$M$27,Inputs!$B$4="Chapter Hunt"),CHOOSE(ArtifactsInput!$N$27+1,20,24,28,32,36,40),0)/100)))))/Skills!H24,1)))/Inputs!$B$43),G2118*Q2118)*(1+IF(Inputs!$B$3&gt;=130,0.2*(Skills!I16/Skills!E15+IF(Inputs!$B$3&gt;=126,0.05*(B2130+Q2107+(H2108*B2131)/(1+Skills!H14*H2108*B2131)+Q2118)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2118*(1-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2118*(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2118*(1-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2118*(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18">
        <f>IF(C2118,(H2118*N2118*IF(AND(Inputs!$B$38&lt;&gt;"pvp",Inputs!$B$43&gt;0),((Skills!G24*((R2118-1)*IF(Skills!H24&gt;0,Skills!I24/Skills!H24,1)+IF(Skills!H24&gt;0,MIN(Skills!I24,MAX(0,MAX(0,Inputs!$B$43-B2132)-((R2118-1)*(IF(Inputs!$B$38="pvp",15,MAX(0.1,Skills!E24-IF(Skills!F24=TRUE,Inputs!$B$32,0)))*(1-IF(AND(ArtifactsInput!$M$27,Inputs!$B$4="Chapter Hunt"),CHOOSE(ArtifactsInput!$N$27+1,20,24,28,32,36,40),0)/100)))))/Skills!H24,1)))/Inputs!$B$43),G2118*Q2118)*(1+IF(Inputs!$B$3&gt;=130,0.2*(Skills!I16/Skills!E15+IF(Inputs!$B$3&gt;=126,0.05*(B2130+Q2107+(H2108*B2131)/(1+Skills!H14*H2108*B2131)+Q2118)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9">
      <c r="A2119">
        <f>Skills!A25</f>
        <v/>
      </c>
      <c r="B2119">
        <f>Skills!B25</f>
        <v/>
      </c>
      <c r="C2119">
        <f>Inputs!$B$3&gt;=117</f>
        <v/>
      </c>
      <c r="D2119">
        <f>IF(Skills!C25=1,60+Inputs!$B$25+Inputs!$B$29,IF(Skills!C25=2,90+Inputs!$B$26+Inputs!$B$29,IF(Skills!C25=3,120+Inputs!$B$27+Inputs!$B$29,MAX(0,(Inputs!$B$3-100)*3)+Inputs!$B$28+Inputs!$B$29)))</f>
        <v/>
      </c>
      <c r="E2119">
        <f>INDEX(FactorTable!$B$2:$Y$301, MATCH(ROUND(MIN(300,MAX(1,D2119)),0), FactorTable!$A$2:$A$301,0), Skills!M25+1)</f>
        <v/>
      </c>
      <c r="F2119">
        <f>IF(Skills!N25=TRUE,(Skills!L25/10)*(E2119/1000),Skills!L25/10)+Skills!O25</f>
        <v/>
      </c>
      <c r="G2119">
        <f>Calc!G25</f>
        <v/>
      </c>
      <c r="H2119">
        <f>Calc!H25</f>
        <v/>
      </c>
      <c r="I2119">
        <f>IF(Skills!X25&lt;&gt;"",1+(Skills!X25/10)*(Z2097/1000)/100,1)</f>
        <v/>
      </c>
      <c r="J2119" t="inlineStr"/>
      <c r="K2119" t="inlineStr"/>
      <c r="L2119" t="inlineStr"/>
      <c r="M2119" t="inlineStr"/>
      <c r="N2119" t="inlineStr"/>
      <c r="O2119">
        <f>(1-Summary!$B$11)*S2119+Summary!$B$11*U2119</f>
        <v/>
      </c>
      <c r="P2119">
        <f>IF(B2135=0,0,O2119/B2135)</f>
        <v/>
      </c>
      <c r="Q2119">
        <f>IFERROR(1/(IF(Inputs!$B$38="pvp",15,MAX(0.1,Skills!E25-IF(Skills!F25=TRUE,Inputs!$B$32,0)))*(1-IF(AND(ArtifactsInput!$M$27,Inputs!$B$4="Chapter Hunt"),CHOOSE(ArtifactsInput!$N$27+1,20,24,28,32,36,40),0)/100)),0)</f>
        <v/>
      </c>
      <c r="R2119" t="n">
        <v>0</v>
      </c>
      <c r="S2119" t="n">
        <v>0</v>
      </c>
      <c r="U2119" t="n">
        <v>0</v>
      </c>
    </row>
    <row r="2120">
      <c r="A2120">
        <f>Skills!A26</f>
        <v/>
      </c>
      <c r="B2120">
        <f>Skills!B26</f>
        <v/>
      </c>
      <c r="C2120">
        <f>Inputs!$B$3&gt;=120</f>
        <v/>
      </c>
      <c r="D2120">
        <f>IF(Skills!C26=1,60+Inputs!$B$25+Inputs!$B$29,IF(Skills!C26=2,90+Inputs!$B$26+Inputs!$B$29,IF(Skills!C26=3,120+Inputs!$B$27+Inputs!$B$29,MAX(0,(Inputs!$B$3-100)*3)+Inputs!$B$28+Inputs!$B$29)))</f>
        <v/>
      </c>
      <c r="E2120">
        <f>INDEX(FactorTable!$B$2:$Y$301, MATCH(ROUND(MIN(300,MAX(1,D2120)),0), FactorTable!$A$2:$A$301,0), Skills!M26+1)</f>
        <v/>
      </c>
      <c r="F2120">
        <f>IF(Skills!N26=TRUE,(Skills!L26/10)*(E2120/1000),Skills!L26/10)+Skills!O26</f>
        <v/>
      </c>
      <c r="G2120">
        <f>Calc!G26</f>
        <v/>
      </c>
      <c r="H2120">
        <f>Calc!H26</f>
        <v/>
      </c>
      <c r="I2120">
        <f>IF(Skills!X26&lt;&gt;"",1+(Skills!X26/10)*(Z2097/1000)/100,1)</f>
        <v/>
      </c>
      <c r="J2120" t="inlineStr"/>
      <c r="K2120" t="inlineStr"/>
      <c r="L2120" t="inlineStr"/>
      <c r="M2120" t="inlineStr"/>
      <c r="N2120" t="inlineStr"/>
      <c r="O2120">
        <f>(1-Summary!$B$11)*S2120+Summary!$B$11*U2120</f>
        <v/>
      </c>
      <c r="P2120">
        <f>IF(B2135=0,0,O2120/B2135)</f>
        <v/>
      </c>
      <c r="Q2120">
        <f>IFERROR(1/(IF(Inputs!$B$38="pvp",15,MAX(0.1,Skills!E26-IF(Skills!F26=TRUE,Inputs!$B$32,0)))*(1-IF(AND(ArtifactsInput!$M$27,Inputs!$B$4="Chapter Hunt"),CHOOSE(ArtifactsInput!$N$27+1,20,24,28,32,36,40),0)/100)),0)</f>
        <v/>
      </c>
      <c r="R2120" t="n">
        <v>0</v>
      </c>
      <c r="S2120" t="n">
        <v>0</v>
      </c>
      <c r="U2120" t="n">
        <v>0</v>
      </c>
    </row>
    <row r="2121">
      <c r="A2121">
        <f>Skills!A27</f>
        <v/>
      </c>
      <c r="B2121">
        <f>Skills!B27</f>
        <v/>
      </c>
      <c r="C2121">
        <f>Inputs!$B$3&gt;=125</f>
        <v/>
      </c>
      <c r="D2121">
        <f>IF(Skills!C27=1,60+Inputs!$B$25+Inputs!$B$29,IF(Skills!C27=2,90+Inputs!$B$26+Inputs!$B$29,IF(Skills!C27=3,120+Inputs!$B$27+Inputs!$B$29,MAX(0,(Inputs!$B$3-100)*3)+Inputs!$B$28+Inputs!$B$29)))</f>
        <v/>
      </c>
      <c r="E2121">
        <f>INDEX(FactorTable!$B$2:$Y$301, MATCH(ROUND(MIN(300,MAX(1,D2121)),0), FactorTable!$A$2:$A$301,0), Skills!M27+1)</f>
        <v/>
      </c>
      <c r="F2121">
        <f>IF(Skills!N27=TRUE,(Skills!L27/10)*(E2121/1000),Skills!L27/10)+Skills!O27</f>
        <v/>
      </c>
      <c r="G2121">
        <f>Calc!G27</f>
        <v/>
      </c>
      <c r="H2121">
        <f>Calc!H27</f>
        <v/>
      </c>
      <c r="I2121">
        <f>IF(Skills!X27&lt;&gt;"",1+(Skills!X27/10)*(Z2097/1000)/100,1)</f>
        <v/>
      </c>
      <c r="J2121" t="inlineStr"/>
      <c r="K2121" t="inlineStr"/>
      <c r="L2121" t="inlineStr"/>
      <c r="M2121" t="inlineStr"/>
      <c r="N2121" t="inlineStr"/>
      <c r="O2121">
        <f>(1-Summary!$B$11)*S2121+Summary!$B$11*U2121</f>
        <v/>
      </c>
      <c r="P2121">
        <f>IF(B2135=0,0,O2121/B2135)</f>
        <v/>
      </c>
      <c r="Q2121">
        <f>IFERROR(1/(IF(Inputs!$B$38="pvp",15,MAX(0.1,Skills!E27-IF(Skills!F27=TRUE,Inputs!$B$32,0)))*(1-IF(AND(ArtifactsInput!$M$27,Inputs!$B$4="Chapter Hunt"),CHOOSE(ArtifactsInput!$N$27+1,20,24,28,32,36,40),0)/100)),0)</f>
        <v/>
      </c>
      <c r="R2121" t="n">
        <v>0</v>
      </c>
      <c r="S2121" t="n">
        <v>0</v>
      </c>
      <c r="U2121" t="n">
        <v>0</v>
      </c>
    </row>
    <row r="2122">
      <c r="A2122">
        <f>Skills!A28</f>
        <v/>
      </c>
      <c r="B2122">
        <f>Skills!B28</f>
        <v/>
      </c>
      <c r="C2122">
        <f>Inputs!$B$3&gt;=118</f>
        <v/>
      </c>
      <c r="D2122">
        <f>IF(Skills!C28=1,60+Inputs!$B$25+Inputs!$B$29,IF(Skills!C28=2,90+Inputs!$B$26+Inputs!$B$29,IF(Skills!C28=3,120+Inputs!$B$27+Inputs!$B$29,MAX(0,(Inputs!$B$3-100)*3)+Inputs!$B$28+Inputs!$B$29)))</f>
        <v/>
      </c>
      <c r="E2122">
        <f>INDEX(FactorTable!$B$2:$Y$301, MATCH(ROUND(MIN(300,MAX(1,D2122)),0), FactorTable!$A$2:$A$301,0), Skills!M28+1)</f>
        <v/>
      </c>
      <c r="F2122">
        <f>IF(Skills!N28=TRUE,(Skills!L28/10)*(E2122/1000),Skills!L28/10)+Skills!O28</f>
        <v/>
      </c>
      <c r="G2122">
        <f>Calc!G28</f>
        <v/>
      </c>
      <c r="H2122">
        <f>Calc!H28</f>
        <v/>
      </c>
      <c r="I2122">
        <f>IF(Skills!X28&lt;&gt;"",1+(Skills!X28/10)*(Z2097/1000)/100,1)</f>
        <v/>
      </c>
      <c r="J2122">
        <f>((Inputs!$B$6*(1+Inputs!$B$7/100))+(((Inputs!$B$12*(1+Inputs!$B$13/100))-(Inputs!$B$12*(1+Inputs!$B$13/100)))+0.25*(Inputs!$B$14-Inputs!$B$14))*(1+Inputs!$B$7/100))*(F2122/100)</f>
        <v/>
      </c>
      <c r="K2122">
        <f>J2122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2117/100)*(1+IF(Inputs!$B$3&gt;=120,F2120,0)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2121*5,0)))/100)*(B2124*B2125*B2126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2122)</f>
        <v/>
      </c>
      <c r="L2122">
        <f>K2122*(MIN(Inputs!$B$22+(F2116-Calc!F22),(Inputs!$B$23+(IF(ArtifactsInput!$M$15,CHOOSE(ArtifactsInput!$N$15+1,25,30,35,40,45,50)/100*(Inputs!$B$11-Inputs!$B$11),0))))/100+(Inputs!$B$23+(IF(ArtifactsInput!$M$15,CHOOSE(ArtifactsInput!$N$15+1,25,30,35,40,45,50)/100*(Inputs!$B$11-Inputs!$B$11),0)))/100)/2</f>
        <v/>
      </c>
      <c r="M2122">
        <f>L2122*(1+(Inputs!$B$10+(F2115-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2">
        <f>L2122*(1-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2122*(MIN((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2">
        <f>(1-Summary!$B$11)*S2122+Summary!$B$11*U2122</f>
        <v/>
      </c>
      <c r="P2122">
        <f>IF(B2135=0,0,O2122/B2135)</f>
        <v/>
      </c>
      <c r="Q2122">
        <f>IFERROR(1/(IF(Inputs!$B$38="pvp",15,MAX(0.1,Skills!E28-IF(Skills!F28=TRUE,Inputs!$B$32,0)))*(1-IF(AND(ArtifactsInput!$M$27,Inputs!$B$4="Chapter Hunt"),CHOOSE(ArtifactsInput!$N$27+1,20,24,28,32,36,40),0)/100)),0)</f>
        <v/>
      </c>
      <c r="R2122">
        <f>IF(AND(Inputs!$B$38&lt;&gt;"pvp",Inputs!$B$43&gt;0),IF(MAX(0,Inputs!$B$43-B2132)&lt;=0,0,(INT(MAX(0,Inputs!$B$43-B2132)/(IF(Inputs!$B$38="pvp",15,MAX(0.1,Skills!E28-IF(Skills!F28=TRUE,Inputs!$B$32,0)))*(1-IF(AND(ArtifactsInput!$M$27,Inputs!$B$4="Chapter Hunt"),CHOOSE(ArtifactsInput!$N$27+1,20,24,28,32,36,40),0)/100)))+1)),0)</f>
        <v/>
      </c>
      <c r="S2122">
        <f>IF(C2122,(H2122*N2122*IF(AND(Inputs!$B$38&lt;&gt;"pvp",Inputs!$B$43&gt;0),((Skills!G28*((R2122-1)*IF(Skills!H28&gt;0,Skills!I28/Skills!H28,1)+IF(Skills!H28&gt;0,MIN(Skills!I28,MAX(0,MAX(0,Inputs!$B$43-B2132)-((R2122-1)*(IF(Inputs!$B$38="pvp",15,MAX(0.1,Skills!E28-IF(Skills!F28=TRUE,Inputs!$B$32,0)))*(1-IF(AND(ArtifactsInput!$M$27,Inputs!$B$4="Chapter Hunt"),CHOOSE(ArtifactsInput!$N$27+1,20,24,28,32,36,40),0)/100)))))/Skills!H28,1)))/Inputs!$B$43),G2122*Q2122)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2122*(1-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2122*(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2122*(1-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2122*(MIN(100,(Inputs!$B$9+(F2114-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2">
        <f>IF(C2122,(H2122*N2122*IF(AND(Inputs!$B$38&lt;&gt;"pvp",Inputs!$B$43&gt;0),((Skills!G28*((R2122-1)*IF(Skills!H28&gt;0,Skills!I28/Skills!H28,1)+IF(Skills!H28&gt;0,MIN(Skills!I28,MAX(0,MAX(0,Inputs!$B$43-B2132)-((R2122-1)*(IF(Inputs!$B$38="pvp",15,MAX(0.1,Skills!E28-IF(Skills!F28=TRUE,Inputs!$B$32,0)))*(1-IF(AND(ArtifactsInput!$M$27,Inputs!$B$4="Chapter Hunt"),CHOOSE(ArtifactsInput!$N$27+1,20,24,28,32,36,40),0)/100)))))/Skills!H28,1)))/Inputs!$B$43),G2122*Q2122)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4">
      <c r="A2124" t="inlineStr">
        <is>
          <t>Burning Magic Multiplier</t>
        </is>
      </c>
      <c r="B2124">
        <f>1+(F2105*Skills!Z11)/100</f>
        <v/>
      </c>
    </row>
    <row r="2125">
      <c r="A2125" t="inlineStr">
        <is>
          <t>Elemental Decrease Multiplier (always-on)</t>
        </is>
      </c>
      <c r="B2125">
        <f>1+(F2106+(IF(AND(ArtifactsInput!$M$35,Inputs!$B$4&lt;&gt;"Chapter Hunt"),CHOOSE(ArtifactsInput!$N$35+1,15,18,21,24,27,30)*(1-EXP(-(0.2*B2128)*5)),0)+IF(AND(ArtifactsInput!$M$22,Inputs!$B$4&lt;&gt;"Chapter Hunt"),CHOOSE(ArtifactsInput!$N$22+1,10,12,14,16,18,20)*((0*(((0.15*B2128*5))^0/1)+1*(((0.15*B2128*5))^1/1)+2*(((0.15*B2128*5))^2/2)+3*(((0.15*B2128*5))^3/6)+4*(((0.15*B2128*5))^4/24)+5*(((0.15*B2128*5))^5/120))/((((0.15*B2128*5))^0/1)+(((0.15*B2128*5))^1/1)+(((0.15*B2128*5))^2/2)+(((0.15*B2128*5))^3/6)+(((0.15*B2128*5))^4/24)+(((0.15*B2128*5))^5/120))),0)))/100</f>
        <v/>
      </c>
    </row>
    <row r="2126">
      <c r="A2126" t="inlineStr">
        <is>
          <t>Average Buff Multiplier (Magic Guard + Meditation + Artifact Attack%, summed; then Infinity)</t>
        </is>
      </c>
      <c r="B2126">
        <f>(1+(F2100*IF(AND(Inputs!$B$38&lt;&gt;"pvp",Inputs!$B$43&gt;0),(((R2100-1)*(Skills!T6*(1+((Inputs!$B$34+(ArtifactsInput!$M$7-ArtifactsInput!$M$7)*CHOOSE(ArtifactsInput!$N$7+1,6,7.2,8.4,9.6,10.8,12)))/100))+MIN((Skills!T6*(1+((Inputs!$B$34+(ArtifactsInput!$M$7-ArtifactsInput!$M$7)*CHOOSE(ArtifactsInput!$N$7+1,6,7.2,8.4,9.6,10.8,12)))/100)),MAX(0,Inputs!$B$43-((R2100-1)*Skills!E6))))/Inputs!$B$43),IF(Inputs!$B$38="pvp",MIN((Skills!T6*(1+((Inputs!$B$34+(ArtifactsInput!$M$7-ArtifactsInput!$M$7)*CHOOSE(ArtifactsInput!$N$7+1,6,7.2,8.4,9.6,10.8,12)))/100)),15)/15,(Skills!T6*(1+((Inputs!$B$34+(ArtifactsInput!$M$7-ArtifactsInput!$M$7)*CHOOSE(ArtifactsInput!$N$7+1,6,7.2,8.4,9.6,10.8,12)))/100))/Skills!E6))+F2111*IF(AND(Inputs!$B$38&lt;&gt;"pvp",Inputs!$B$43&gt;0),(((R2111-1)*(Skills!T17*(1+((Inputs!$B$34+(ArtifactsInput!$M$7-ArtifactsInput!$M$7)*CHOOSE(ArtifactsInput!$N$7+1,6,7.2,8.4,9.6,10.8,12)))/100))+MIN((Skills!T17*(1+((Inputs!$B$34+(ArtifactsInput!$M$7-ArtifactsInput!$M$7)*CHOOSE(ArtifactsInput!$N$7+1,6,7.2,8.4,9.6,10.8,12)))/100)),MAX(0,Inputs!$B$43-((R2111-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2113=TRUE,(1+F2113*IF(AND(Inputs!$B$38&lt;&gt;"pvp",Inputs!$B$43&gt;0),(((R2113-1)*(Skills!T19*(1+((Inputs!$B$34+(ArtifactsInput!$M$7-ArtifactsInput!$M$7)*CHOOSE(ArtifactsInput!$N$7+1,6,7.2,8.4,9.6,10.8,12)))/100))+MIN((Skills!T19*(1+((Inputs!$B$34+(ArtifactsInput!$M$7-ArtifactsInput!$M$7)*CHOOSE(ArtifactsInput!$N$7+1,6,7.2,8.4,9.6,10.8,12)))/100)),MAX(0,Inputs!$B$43-((R2113-1)*Skills!E19))))/Inputs!$B$43),IF(Inputs!$B$38="pvp",MIN((Skills!T19*(1+((Inputs!$B$34+(ArtifactsInput!$M$7-ArtifactsInput!$M$7)*CHOOSE(ArtifactsInput!$N$7+1,6,7.2,8.4,9.6,10.8,12)))/100)),15)/15,(Skills!T19*(1+((Inputs!$B$34+(ArtifactsInput!$M$7-ArtifactsInput!$M$7)*CHOOSE(ArtifactsInput!$N$7+1,6,7.2,8.4,9.6,10.8,12)))/100))/Skills!E19))/100),1)</f>
        <v/>
      </c>
    </row>
    <row r="2127">
      <c r="A2127" t="inlineStr">
        <is>
          <t>Attack Speed Buff Bonus % (Nimble Feet, averaged)</t>
        </is>
      </c>
      <c r="B2127">
        <f>F2112*IF(AND(Inputs!$B$38&lt;&gt;"pvp",Inputs!$B$43&gt;0),(((R2112-1)*(Skills!T18*(1+((Inputs!$B$34+(ArtifactsInput!$M$7-ArtifactsInput!$M$7)*CHOOSE(ArtifactsInput!$N$7+1,6,7.2,8.4,9.6,10.8,12)))/100))+MIN((Skills!T18*(1+((Inputs!$B$34+(ArtifactsInput!$M$7-ArtifactsInput!$M$7)*CHOOSE(ArtifactsInput!$N$7+1,6,7.2,8.4,9.6,10.8,12)))/100)),MAX(0,Inputs!$B$43-((R2112-1)*Skills!E18))))/Inputs!$B$43),IF(Inputs!$B$38="pvp",MIN((Skills!T18*(1+((Inputs!$B$34+(ArtifactsInput!$M$7-ArtifactsInput!$M$7)*CHOOSE(ArtifactsInput!$N$7+1,6,7.2,8.4,9.6,10.8,12)))/100)),15)/15,(Skills!T18*(1+((Inputs!$B$34+(ArtifactsInput!$M$7-ArtifactsInput!$M$7)*CHOOSE(ArtifactsInput!$N$7+1,6,7.2,8.4,9.6,10.8,12)))/100))/Skills!E18))</f>
        <v/>
      </c>
    </row>
    <row r="2128">
      <c r="A2128" t="inlineStr">
        <is>
          <t>Actions Per Second</t>
        </is>
      </c>
      <c r="B2128">
        <f>1+MIN(150,150*(1-(1-(Inputs!$B$11+(ArtifactsInput!$M$15-ArtifactsInput!$M$15)*CHOOSE(ArtifactsInput!$N$15+1,8,9.6,11.2,12.8,14.4,16))/150)*(1-B2127/150)))/100</f>
        <v/>
      </c>
    </row>
    <row r="2129">
      <c r="A2129" t="inlineStr">
        <is>
          <t>Skill + Buff Cast Rate</t>
        </is>
      </c>
      <c r="B2129">
        <f>IF(AND(Inputs!$B$38&lt;&gt;"pvp",Inputs!$B$43&gt;0),SUMPRODUCT((Skills!F2:F28=TRUE)*(C2096:C2122=TRUE)*R2096:R2122)/Inputs!$B$43,SUMPRODUCT((Skills!F2:F28=TRUE)*(C2096:C2122=TRUE)*Q2096:Q2122))</f>
        <v/>
      </c>
    </row>
    <row r="2130">
      <c r="A2130" t="inlineStr">
        <is>
          <t>Basic Attacks Per Second</t>
        </is>
      </c>
      <c r="B2130">
        <f>MAX(0,B2128-B2129)</f>
        <v/>
      </c>
    </row>
    <row r="2131">
      <c r="A2131" t="inlineStr">
        <is>
          <t>Meteor Proc — combined trigger cast rate</t>
        </is>
      </c>
      <c r="B2131">
        <f>IF(AND(Inputs!$B$38&lt;&gt;"pvp",Inputs!$B$43&gt;0),SUMPRODUCT((Skills!V2:V28=TRUE)*(C2096:C2122=TRUE)*R2096:R2122*Skills!W2:W28)/Inputs!$B$43,SUMPRODUCT((Skills!V2:V28=TRUE)*(C2096:C2122=TRUE)*Q2096:Q2122*Skills!W2:W28))+B2130</f>
        <v/>
      </c>
    </row>
    <row r="2132">
      <c r="A2132" t="inlineStr">
        <is>
          <t>Buff-Casting Startup Delay (s, fixed-duration only)</t>
        </is>
      </c>
      <c r="B2132">
        <f>IF(AND(Inputs!$B$38&lt;&gt;"pvp",Inputs!$B$43&gt;0),SUMPRODUCT((Skills!T2:T28&gt;0)*(Skills!F2:F28=TRUE)*(C2096:C2122=TRUE))/B2128,0)</f>
        <v/>
      </c>
    </row>
    <row r="2133">
      <c r="A2133" t="inlineStr">
        <is>
          <t>Boss-Only Total DPS (this block's swept value)</t>
        </is>
      </c>
      <c r="B2133">
        <f>SUM(S2096:S2122)</f>
        <v/>
      </c>
    </row>
    <row r="2134">
      <c r="A2134" t="inlineStr">
        <is>
          <t>Normal-Only Total DPS (this block's swept value)</t>
        </is>
      </c>
      <c r="B2134">
        <f>SUM(U2096:U2122)</f>
        <v/>
      </c>
    </row>
    <row r="2135">
      <c r="A2135" s="6" t="inlineStr">
        <is>
          <t>TOTAL DPS</t>
        </is>
      </c>
      <c r="B2135" s="6">
        <f>SUM(O2096:O2122)</f>
        <v/>
      </c>
    </row>
    <row r="2138">
      <c r="A2138" s="6" t="inlineStr">
        <is>
          <t>Stat: Soul Pouch (Equip)</t>
        </is>
      </c>
    </row>
    <row r="2139">
      <c r="A2139" s="5" t="inlineStr">
        <is>
          <t>Key</t>
        </is>
      </c>
      <c r="B2139" s="5" t="inlineStr">
        <is>
          <t>Name</t>
        </is>
      </c>
      <c r="C2139" s="5" t="inlineStr">
        <is>
          <t>Unlocked</t>
        </is>
      </c>
      <c r="D2139" s="5" t="inlineStr">
        <is>
          <t>InputLevel</t>
        </is>
      </c>
      <c r="E2139" s="5" t="inlineStr">
        <is>
          <t>Factor</t>
        </is>
      </c>
      <c r="F2139" s="5" t="inlineStr">
        <is>
          <t>CoefficientPercent</t>
        </is>
      </c>
      <c r="G2139" s="5" t="inlineStr">
        <is>
          <t>EffectiveHits</t>
        </is>
      </c>
      <c r="H2139" s="5" t="inlineStr">
        <is>
          <t>ProcProbability</t>
        </is>
      </c>
      <c r="I2139" s="5" t="inlineStr">
        <is>
          <t>MapleHeroMultiplier</t>
        </is>
      </c>
      <c r="J2139" s="5" t="inlineStr">
        <is>
          <t>BaseDamage</t>
        </is>
      </c>
      <c r="K2139" s="5" t="inlineStr">
        <is>
          <t>BaseHitDamage</t>
        </is>
      </c>
      <c r="L2139" s="5" t="inlineStr">
        <is>
          <t>NonCritAvg</t>
        </is>
      </c>
      <c r="M2139" s="5" t="inlineStr">
        <is>
          <t>CritAvg</t>
        </is>
      </c>
      <c r="N2139" s="5" t="inlineStr">
        <is>
          <t>ExpectedDamage(perHit)</t>
        </is>
      </c>
      <c r="O2139" s="5" t="inlineStr">
        <is>
          <t>DPS</t>
        </is>
      </c>
      <c r="P2139" s="5" t="inlineStr">
        <is>
          <t>% of Total</t>
        </is>
      </c>
      <c r="R2139" t="inlineStr">
        <is>
          <t>helpers</t>
        </is>
      </c>
    </row>
    <row r="2140">
      <c r="A2140">
        <f>Skills!A2</f>
        <v/>
      </c>
      <c r="B2140">
        <f>Skills!B2</f>
        <v/>
      </c>
      <c r="C2140">
        <f>TRUE</f>
        <v/>
      </c>
      <c r="D2140" t="inlineStr"/>
      <c r="E2140" t="inlineStr"/>
      <c r="F2140">
        <f>T2142+Skills!O2</f>
        <v/>
      </c>
      <c r="G2140">
        <f>Calc!G2</f>
        <v/>
      </c>
      <c r="H2140">
        <f>Calc!H2</f>
        <v/>
      </c>
      <c r="I2140">
        <f>IF(Skills!X2&lt;&gt;"",1+(Skills!X2/10)*(Z2141/1000)/100,1)</f>
        <v/>
      </c>
      <c r="J2140">
        <f>((Inputs!$B$6*(1+Inputs!$B$7/100))+(((Inputs!$B$12*(1+Inputs!$B$13/100))-(Inputs!$B$12*(1+Inputs!$B$13/100)))+0.25*(Inputs!$B$14-Inputs!$B$14))*(1+Inputs!$B$7/100))*(F2140/100)</f>
        <v/>
      </c>
      <c r="K2140">
        <f>J2140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2140)</f>
        <v/>
      </c>
      <c r="L2140">
        <f>K2140*(MIN(Inputs!$B$22+(F2160-Calc!F22),(Inputs!$B$23+(IF(ArtifactsInput!$M$15,CHOOSE(ArtifactsInput!$N$15+1,25,30,35,40,45,50)/100*(Inputs!$B$11-Inputs!$B$11),0))))/100+(Inputs!$B$23+(IF(ArtifactsInput!$M$15,CHOOSE(ArtifactsInput!$N$15+1,25,30,35,40,45,50)/100*(Inputs!$B$11-Inputs!$B$11),0)))/100)/2</f>
        <v/>
      </c>
      <c r="M2140">
        <f>L2140*(1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0">
        <f>L2140*(1-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2140*(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0">
        <f>(1-Summary!$B$11)*S2140+Summary!$B$11*U2140</f>
        <v/>
      </c>
      <c r="P2140">
        <f>IF(B2179=0,0,O2140/B2179)</f>
        <v/>
      </c>
      <c r="Q2140">
        <f>IFERROR(1/(IF(Inputs!$B$38="pvp",15,MAX(0.1,Skills!E2-IF(Skills!F2=TRUE,Inputs!$B$32,0)))*(1-IF(AND(ArtifactsInput!$M$27,Inputs!$B$4="Chapter Hunt"),CHOOSE(ArtifactsInput!$N$27+1,20,24,28,32,36,40),0)/100)),0)</f>
        <v/>
      </c>
      <c r="R2140" t="n">
        <v>0</v>
      </c>
      <c r="S2140">
        <f>(Skills!G2*N2140*B2174)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2140*(1-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2140*(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2140*(1-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2140*(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140">
        <f>MAX(0,(Inputs!$B$3-100)*3)+Inputs!$B$28+Inputs!$B$29</f>
        <v/>
      </c>
      <c r="U2140">
        <f>(Skills!G2*N2140*B2174)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140">
        <f>MAX(0,(Inputs!$B$3-100)*3)+Inputs!$B$28+Inputs!$B$29</f>
        <v/>
      </c>
    </row>
    <row r="2141">
      <c r="A2141">
        <f>Skills!A3</f>
        <v/>
      </c>
      <c r="B2141">
        <f>Skills!B3</f>
        <v/>
      </c>
      <c r="C2141">
        <f>TRUE</f>
        <v/>
      </c>
      <c r="D2141">
        <f>IF(Skills!C3=1,60+Inputs!$B$25+Inputs!$B$29,IF(Skills!C3=2,90+Inputs!$B$26+Inputs!$B$29,IF(Skills!C3=3,120+Inputs!$B$27+Inputs!$B$29,MAX(0,(Inputs!$B$3-100)*3)+Inputs!$B$28+Inputs!$B$29)))</f>
        <v/>
      </c>
      <c r="E2141">
        <f>INDEX(FactorTable!$B$2:$Y$301, MATCH(ROUND(MIN(300,MAX(1,D2141)),0), FactorTable!$A$2:$A$301,0), Skills!M3+1)</f>
        <v/>
      </c>
      <c r="F2141">
        <f>IF(Skills!N3=TRUE,(Skills!L3/10)*(E2141/1000),Skills!L3/10)+Skills!O3</f>
        <v/>
      </c>
      <c r="G2141">
        <f>Calc!G3</f>
        <v/>
      </c>
      <c r="H2141">
        <f>Calc!H3</f>
        <v/>
      </c>
      <c r="I2141">
        <f>IF(Skills!X3&lt;&gt;"",1+(Skills!X3/10)*(Z2141/1000)/100,1)</f>
        <v/>
      </c>
      <c r="J2141">
        <f>((Inputs!$B$6*(1+Inputs!$B$7/100))+(((Inputs!$B$12*(1+Inputs!$B$13/100))-(Inputs!$B$12*(1+Inputs!$B$13/100)))+0.25*(Inputs!$B$14-Inputs!$B$14))*(1+Inputs!$B$7/100))*(F2141/100)</f>
        <v/>
      </c>
      <c r="K2141">
        <f>J2141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2141)</f>
        <v/>
      </c>
      <c r="L2141">
        <f>K2141*(MIN(Inputs!$B$22+(F2160-Calc!F22),(Inputs!$B$23+(IF(ArtifactsInput!$M$15,CHOOSE(ArtifactsInput!$N$15+1,25,30,35,40,45,50)/100*(Inputs!$B$11-Inputs!$B$11),0))))/100+(Inputs!$B$23+(IF(ArtifactsInput!$M$15,CHOOSE(ArtifactsInput!$N$15+1,25,30,35,40,45,50)/100*(Inputs!$B$11-Inputs!$B$11),0)))/100)/2</f>
        <v/>
      </c>
      <c r="M2141">
        <f>L2141*(1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1">
        <f>L2141*(1-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1">
        <f>(1-Summary!$B$11)*S2141+Summary!$B$11*U2141</f>
        <v/>
      </c>
      <c r="P2141">
        <f>IF(B2179=0,0,O2141/B2179)</f>
        <v/>
      </c>
      <c r="Q2141">
        <f>IFERROR(1/(IF(Inputs!$B$38="pvp",15,MAX(0.1,Skills!E3-IF(Skills!F3=TRUE,Inputs!$B$32,0)))*(1-IF(AND(ArtifactsInput!$M$27,Inputs!$B$4="Chapter Hunt"),CHOOSE(ArtifactsInput!$N$27+1,20,24,28,32,36,40),0)/100)),0)</f>
        <v/>
      </c>
      <c r="R2141">
        <f>IF(AND(Inputs!$B$38&lt;&gt;"pvp",Inputs!$B$43&gt;0),IF(MAX(0,Inputs!$B$43-B2176)&lt;=0,0,(INT(MAX(0,Inputs!$B$43-B2176)/(IF(Inputs!$B$38="pvp",15,MAX(0.1,Skills!E3-IF(Skills!F3=TRUE,Inputs!$B$32,0)))*(1-IF(AND(ArtifactsInput!$M$27,Inputs!$B$4="Chapter Hunt"),CHOOSE(ArtifactsInput!$N$27+1,20,24,28,32,36,40),0)/100)))+1)),0)</f>
        <v/>
      </c>
      <c r="S2141">
        <f>IF(C2141,(H2141*N2141*IF(AND(Inputs!$B$38&lt;&gt;"pvp",Inputs!$B$43&gt;0),((Skills!G3*((R2141-1)*IF(Skills!H3&gt;0,Skills!I3/Skills!H3,1)+IF(Skills!H3&gt;0,MIN(Skills!I3,MAX(0,MAX(0,Inputs!$B$43-B2176)-((R2141-1)*(IF(Inputs!$B$38="pvp",15,MAX(0.1,Skills!E3-IF(Skills!F3=TRUE,Inputs!$B$32,0)))*(1-IF(AND(ArtifactsInput!$M$27,Inputs!$B$4="Chapter Hunt"),CHOOSE(ArtifactsInput!$N$27+1,20,24,28,32,36,40),0)/100)))))/Skills!H3,1)))/Inputs!$B$43),G2141*Q2141)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2141*(1-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2141*(1-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141">
        <f>INDEX(FactorTable!$B$2:$Y$301, MATCH(ROUND(MIN(300,MAX(1,T2140)),0), FactorTable!$A$2:$A$301,0), 22)</f>
        <v/>
      </c>
      <c r="U2141">
        <f>IF(C2141,(H2141*N2141*IF(AND(Inputs!$B$38&lt;&gt;"pvp",Inputs!$B$43&gt;0),((Skills!G3*((R2141-1)*IF(Skills!H3&gt;0,Skills!I3/Skills!H3,1)+IF(Skills!H3&gt;0,MIN(Skills!I3,MAX(0,MAX(0,Inputs!$B$43-B2176)-((R2141-1)*(IF(Inputs!$B$38="pvp",15,MAX(0.1,Skills!E3-IF(Skills!F3=TRUE,Inputs!$B$32,0)))*(1-IF(AND(ArtifactsInput!$M$27,Inputs!$B$4="Chapter Hunt"),CHOOSE(ArtifactsInput!$N$27+1,20,24,28,32,36,40),0)/100)))))/Skills!H3,1)))/Inputs!$B$43),G2141*Q2141)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141">
        <f>INDEX(FactorTable!$B$2:$Y$301, MATCH(ROUND(MIN(300,MAX(1,Z2140)),0), FactorTable!$A$2:$A$301,0), 24)</f>
        <v/>
      </c>
    </row>
    <row r="2142">
      <c r="A2142">
        <f>Skills!A4</f>
        <v/>
      </c>
      <c r="B2142">
        <f>Skills!B4</f>
        <v/>
      </c>
      <c r="C2142">
        <f>TRUE</f>
        <v/>
      </c>
      <c r="D2142">
        <f>IF(Skills!C4=1,60+Inputs!$B$25+Inputs!$B$29,IF(Skills!C4=2,90+Inputs!$B$26+Inputs!$B$29,IF(Skills!C4=3,120+Inputs!$B$27+Inputs!$B$29,MAX(0,(Inputs!$B$3-100)*3)+Inputs!$B$28+Inputs!$B$29)))</f>
        <v/>
      </c>
      <c r="E2142">
        <f>INDEX(FactorTable!$B$2:$Y$301, MATCH(ROUND(MIN(300,MAX(1,D2142)),0), FactorTable!$A$2:$A$301,0), Skills!M4+1)</f>
        <v/>
      </c>
      <c r="F2142">
        <f>IF(Skills!N4=TRUE,(Skills!L4/10)*(E2142/1000),Skills!L4/10)+Skills!O4</f>
        <v/>
      </c>
      <c r="G2142">
        <f>Calc!G4</f>
        <v/>
      </c>
      <c r="H2142">
        <f>Calc!H4</f>
        <v/>
      </c>
      <c r="I2142">
        <f>IF(Skills!X4&lt;&gt;"",1+(Skills!X4/10)*(Z2141/1000)/100,1)</f>
        <v/>
      </c>
      <c r="J2142">
        <f>((Inputs!$B$6*(1+Inputs!$B$7/100))+(((Inputs!$B$12*(1+Inputs!$B$13/100))-(Inputs!$B$12*(1+Inputs!$B$13/100)))+0.25*(Inputs!$B$14-Inputs!$B$14))*(1+Inputs!$B$7/100))*(F2142/100)</f>
        <v/>
      </c>
      <c r="K2142">
        <f>J2142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2142)</f>
        <v/>
      </c>
      <c r="L2142">
        <f>K2142*(MIN(Inputs!$B$22+(F2160-Calc!F22),(Inputs!$B$23+(IF(ArtifactsInput!$M$15,CHOOSE(ArtifactsInput!$N$15+1,25,30,35,40,45,50)/100*(Inputs!$B$11-Inputs!$B$11),0))))/100+(Inputs!$B$23+(IF(ArtifactsInput!$M$15,CHOOSE(ArtifactsInput!$N$15+1,25,30,35,40,45,50)/100*(Inputs!$B$11-Inputs!$B$11),0)))/100)/2</f>
        <v/>
      </c>
      <c r="M2142">
        <f>L2142*(1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2">
        <f>L2142*(1-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2142*(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2">
        <f>(1-Summary!$B$11)*S2142+Summary!$B$11*U2142</f>
        <v/>
      </c>
      <c r="P2142">
        <f>IF(B2179=0,0,O2142/B2179)</f>
        <v/>
      </c>
      <c r="Q2142">
        <f>IFERROR(1/(IF(Inputs!$B$38="pvp",15,MAX(0.1,Skills!E4-IF(Skills!F4=TRUE,Inputs!$B$32,0)))*(1-IF(AND(ArtifactsInput!$M$27,Inputs!$B$4="Chapter Hunt"),CHOOSE(ArtifactsInput!$N$27+1,20,24,28,32,36,40),0)/100)),0)</f>
        <v/>
      </c>
      <c r="R2142">
        <f>IF(AND(Inputs!$B$38&lt;&gt;"pvp",Inputs!$B$43&gt;0),IF(MAX(0,Inputs!$B$43-B2176)&lt;=0,0,(INT(MAX(0,Inputs!$B$43-B2176)/(IF(Inputs!$B$38="pvp",15,MAX(0.1,Skills!E4-IF(Skills!F4=TRUE,Inputs!$B$32,0)))*(1-IF(AND(ArtifactsInput!$M$27,Inputs!$B$4="Chapter Hunt"),CHOOSE(ArtifactsInput!$N$27+1,20,24,28,32,36,40),0)/100)))+1)),0)</f>
        <v/>
      </c>
      <c r="S2142">
        <f>IF(C2142,(H2142*N2142*IF(AND(Inputs!$B$38&lt;&gt;"pvp",Inputs!$B$43&gt;0),((Skills!G4*((R2142-1)*IF(Skills!H4&gt;0,Skills!I4/Skills!H4,1)+IF(Skills!H4&gt;0,MIN(Skills!I4,MAX(0,MAX(0,Inputs!$B$43-B2176)-((R2142-1)*(IF(Inputs!$B$38="pvp",15,MAX(0.1,Skills!E4-IF(Skills!F4=TRUE,Inputs!$B$32,0)))*(1-IF(AND(ArtifactsInput!$M$27,Inputs!$B$4="Chapter Hunt"),CHOOSE(ArtifactsInput!$N$27+1,20,24,28,32,36,40),0)/100)))))/Skills!H4,1)))/Inputs!$B$43),G2142*Q2142)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2142*(1-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2142*(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2142*(1-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2142*(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142">
        <f>290*T2141/1000</f>
        <v/>
      </c>
      <c r="U2142">
        <f>IF(C2142,(H2142*N2142*IF(AND(Inputs!$B$38&lt;&gt;"pvp",Inputs!$B$43&gt;0),((Skills!G4*((R2142-1)*IF(Skills!H4&gt;0,Skills!I4/Skills!H4,1)+IF(Skills!H4&gt;0,MIN(Skills!I4,MAX(0,MAX(0,Inputs!$B$43-B2176)-((R2142-1)*(IF(Inputs!$B$38="pvp",15,MAX(0.1,Skills!E4-IF(Skills!F4=TRUE,Inputs!$B$32,0)))*(1-IF(AND(ArtifactsInput!$M$27,Inputs!$B$4="Chapter Hunt"),CHOOSE(ArtifactsInput!$N$27+1,20,24,28,32,36,40),0)/100)))))/Skills!H4,1)))/Inputs!$B$43),G2142*Q2142)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3">
      <c r="A2143">
        <f>Skills!A5</f>
        <v/>
      </c>
      <c r="B2143">
        <f>Skills!B5</f>
        <v/>
      </c>
      <c r="C2143">
        <f>TRUE</f>
        <v/>
      </c>
      <c r="D2143">
        <f>IF(Skills!C5=1,60+Inputs!$B$25+Inputs!$B$29,IF(Skills!C5=2,90+Inputs!$B$26+Inputs!$B$29,IF(Skills!C5=3,120+Inputs!$B$27+Inputs!$B$29,MAX(0,(Inputs!$B$3-100)*3)+Inputs!$B$28+Inputs!$B$29)))</f>
        <v/>
      </c>
      <c r="E2143">
        <f>INDEX(FactorTable!$B$2:$Y$301, MATCH(ROUND(MIN(300,MAX(1,D2143)),0), FactorTable!$A$2:$A$301,0), Skills!M5+1)</f>
        <v/>
      </c>
      <c r="F2143">
        <f>IF(Skills!N5=TRUE,(Skills!L5/10)*(E2143/1000),Skills!L5/10)+Skills!O5</f>
        <v/>
      </c>
      <c r="G2143">
        <f>Calc!G5</f>
        <v/>
      </c>
      <c r="H2143">
        <f>Calc!H5</f>
        <v/>
      </c>
      <c r="I2143">
        <f>IF(Skills!X5&lt;&gt;"",1+(Skills!X5/10)*(Z2141/1000)/100,1)</f>
        <v/>
      </c>
      <c r="J2143">
        <f>((Inputs!$B$6*(1+Inputs!$B$7/100))+(((Inputs!$B$12*(1+Inputs!$B$13/100))-(Inputs!$B$12*(1+Inputs!$B$13/100)))+0.25*(Inputs!$B$14-Inputs!$B$14))*(1+Inputs!$B$7/100))*(F2143/100)</f>
        <v/>
      </c>
      <c r="K2143">
        <f>J2143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2143)</f>
        <v/>
      </c>
      <c r="L2143">
        <f>K2143*(MIN(Inputs!$B$22+(F2160-Calc!F22),(Inputs!$B$23+(IF(ArtifactsInput!$M$15,CHOOSE(ArtifactsInput!$N$15+1,25,30,35,40,45,50)/100*(Inputs!$B$11-Inputs!$B$11),0))))/100+(Inputs!$B$23+(IF(ArtifactsInput!$M$15,CHOOSE(ArtifactsInput!$N$15+1,25,30,35,40,45,50)/100*(Inputs!$B$11-Inputs!$B$11),0)))/100)/2</f>
        <v/>
      </c>
      <c r="M2143">
        <f>L2143*(1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3">
        <f>L2143*(1-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2143*(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3">
        <f>(1-Summary!$B$11)*S2143+Summary!$B$11*U2143</f>
        <v/>
      </c>
      <c r="P2143">
        <f>IF(B2179=0,0,O2143/B2179)</f>
        <v/>
      </c>
      <c r="Q2143">
        <f>IFERROR(1/(IF(Inputs!$B$38="pvp",15,MAX(0.1,Skills!E5-IF(Skills!F5=TRUE,Inputs!$B$32,0)))*(1-IF(AND(ArtifactsInput!$M$27,Inputs!$B$4="Chapter Hunt"),CHOOSE(ArtifactsInput!$N$27+1,20,24,28,32,36,40),0)/100)),0)</f>
        <v/>
      </c>
      <c r="R2143">
        <f>IF(AND(Inputs!$B$38&lt;&gt;"pvp",Inputs!$B$43&gt;0),IF(MAX(0,Inputs!$B$43-B2176)&lt;=0,0,(INT(MAX(0,Inputs!$B$43-B2176)/(IF(Inputs!$B$38="pvp",15,MAX(0.1,Skills!E5-IF(Skills!F5=TRUE,Inputs!$B$32,0)))*(1-IF(AND(ArtifactsInput!$M$27,Inputs!$B$4="Chapter Hunt"),CHOOSE(ArtifactsInput!$N$27+1,20,24,28,32,36,40),0)/100)))+1)),0)</f>
        <v/>
      </c>
      <c r="S2143">
        <f>IF(C2143,(H2143*N2143*IF(AND(Inputs!$B$38&lt;&gt;"pvp",Inputs!$B$43&gt;0),((Skills!G5*((R2143-1)*IF(Skills!H5&gt;0,Skills!I5/Skills!H5,1)+IF(Skills!H5&gt;0,MIN(Skills!I5,MAX(0,MAX(0,Inputs!$B$43-B2176)-((R2143-1)*(IF(Inputs!$B$38="pvp",15,MAX(0.1,Skills!E5-IF(Skills!F5=TRUE,Inputs!$B$32,0)))*(1-IF(AND(ArtifactsInput!$M$27,Inputs!$B$4="Chapter Hunt"),CHOOSE(ArtifactsInput!$N$27+1,20,24,28,32,36,40),0)/100)))))/Skills!H5,1)))/Inputs!$B$43),G2143*Q2143)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2143*(1-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2143*(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2143*(1-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2143*(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3">
        <f>IF(C2143,(H2143*N2143*IF(AND(Inputs!$B$38&lt;&gt;"pvp",Inputs!$B$43&gt;0),((Skills!G5*((R2143-1)*IF(Skills!H5&gt;0,Skills!I5/Skills!H5,1)+IF(Skills!H5&gt;0,MIN(Skills!I5,MAX(0,MAX(0,Inputs!$B$43-B2176)-((R2143-1)*(IF(Inputs!$B$38="pvp",15,MAX(0.1,Skills!E5-IF(Skills!F5=TRUE,Inputs!$B$32,0)))*(1-IF(AND(ArtifactsInput!$M$27,Inputs!$B$4="Chapter Hunt"),CHOOSE(ArtifactsInput!$N$27+1,20,24,28,32,36,40),0)/100)))))/Skills!H5,1)))/Inputs!$B$43),G2143*Q2143)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4">
      <c r="A2144">
        <f>Skills!A6</f>
        <v/>
      </c>
      <c r="B2144">
        <f>Skills!B6</f>
        <v/>
      </c>
      <c r="C2144">
        <f>TRUE</f>
        <v/>
      </c>
      <c r="D2144">
        <f>IF(Skills!C6=1,60+Inputs!$B$25+Inputs!$B$29,IF(Skills!C6=2,90+Inputs!$B$26+Inputs!$B$29,IF(Skills!C6=3,120+Inputs!$B$27+Inputs!$B$29,MAX(0,(Inputs!$B$3-100)*3)+Inputs!$B$28+Inputs!$B$29)))</f>
        <v/>
      </c>
      <c r="E2144">
        <f>INDEX(FactorTable!$B$2:$Y$301, MATCH(ROUND(MIN(300,MAX(1,D2144)),0), FactorTable!$A$2:$A$301,0), Skills!M6+1)</f>
        <v/>
      </c>
      <c r="F2144">
        <f>IF(Skills!N6=TRUE,(Skills!L6/10)*(E2144/1000),Skills!L6/10)+Skills!O6</f>
        <v/>
      </c>
      <c r="G2144">
        <f>Calc!G6</f>
        <v/>
      </c>
      <c r="H2144">
        <f>Calc!H6</f>
        <v/>
      </c>
      <c r="I2144">
        <f>IF(Skills!X6&lt;&gt;"",1+(Skills!X6/10)*(Z2141/1000)/100,1)</f>
        <v/>
      </c>
      <c r="J2144" t="inlineStr"/>
      <c r="K2144" t="inlineStr"/>
      <c r="L2144" t="inlineStr"/>
      <c r="M2144" t="inlineStr"/>
      <c r="N2144" t="inlineStr"/>
      <c r="O2144">
        <f>(1-Summary!$B$11)*S2144+Summary!$B$11*U2144</f>
        <v/>
      </c>
      <c r="P2144">
        <f>IF(B2179=0,0,O2144/B2179)</f>
        <v/>
      </c>
      <c r="Q2144">
        <f>IFERROR(1/(IF(Inputs!$B$38="pvp",15,MAX(0.1,Skills!E6-IF(Skills!F6=TRUE,Inputs!$B$32,0)))*(1-IF(AND(ArtifactsInput!$M$27,Inputs!$B$4="Chapter Hunt"),CHOOSE(ArtifactsInput!$N$27+1,20,24,28,32,36,40),0)/100)),0)</f>
        <v/>
      </c>
      <c r="R2144">
        <f>IF(AND(Inputs!$B$38&lt;&gt;"pvp",Inputs!$B$43&gt;0),IF(Inputs!$B$43&lt;=0,0,(INT(Inputs!$B$43/(IF(Inputs!$B$38="pvp",15,MAX(0.1,Skills!E6-IF(Skills!F6=TRUE,Inputs!$B$32,0)))*(1-IF(AND(ArtifactsInput!$M$27,Inputs!$B$4="Chapter Hunt"),CHOOSE(ArtifactsInput!$N$27+1,20,24,28,32,36,40),0)/100)))+1)),0)</f>
        <v/>
      </c>
      <c r="S2144" t="n">
        <v>0</v>
      </c>
      <c r="U2144" t="n">
        <v>0</v>
      </c>
    </row>
    <row r="2145">
      <c r="A2145">
        <f>Skills!A7</f>
        <v/>
      </c>
      <c r="B2145">
        <f>Skills!B7</f>
        <v/>
      </c>
      <c r="C2145">
        <f>TRUE</f>
        <v/>
      </c>
      <c r="D2145">
        <f>IF(Skills!C7=1,60+Inputs!$B$25+Inputs!$B$29,IF(Skills!C7=2,90+Inputs!$B$26+Inputs!$B$29,IF(Skills!C7=3,120+Inputs!$B$27+Inputs!$B$29,MAX(0,(Inputs!$B$3-100)*3)+Inputs!$B$28+Inputs!$B$29)))</f>
        <v/>
      </c>
      <c r="E2145">
        <f>INDEX(FactorTable!$B$2:$Y$301, MATCH(ROUND(MIN(300,MAX(1,D2145)),0), FactorTable!$A$2:$A$301,0), Skills!M7+1)</f>
        <v/>
      </c>
      <c r="F2145">
        <f>IF(Skills!N7=TRUE,(Skills!L7/10)*(E2145/1000),Skills!L7/10)+Skills!O7</f>
        <v/>
      </c>
      <c r="G2145">
        <f>Calc!G7</f>
        <v/>
      </c>
      <c r="H2145">
        <f>Calc!H7</f>
        <v/>
      </c>
      <c r="I2145">
        <f>IF(Skills!X7&lt;&gt;"",1+(Skills!X7/10)*(Z2141/1000)/100,1)</f>
        <v/>
      </c>
      <c r="J2145">
        <f>((Inputs!$B$6*(1+Inputs!$B$7/100))+(((Inputs!$B$12*(1+Inputs!$B$13/100))-(Inputs!$B$12*(1+Inputs!$B$13/100)))+0.25*(Inputs!$B$14-Inputs!$B$14))*(1+Inputs!$B$7/100))*(F2145/100)</f>
        <v/>
      </c>
      <c r="K2145">
        <f>J2145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2145)</f>
        <v/>
      </c>
      <c r="L2145">
        <f>K2145*(MIN(Inputs!$B$22+(F2160-Calc!F22),(Inputs!$B$23+(IF(ArtifactsInput!$M$15,CHOOSE(ArtifactsInput!$N$15+1,25,30,35,40,45,50)/100*(Inputs!$B$11-Inputs!$B$11),0))))/100+(Inputs!$B$23+(IF(ArtifactsInput!$M$15,CHOOSE(ArtifactsInput!$N$15+1,25,30,35,40,45,50)/100*(Inputs!$B$11-Inputs!$B$11),0)))/100)/2</f>
        <v/>
      </c>
      <c r="M2145">
        <f>L2145*(1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5">
        <f>L2145*(1-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2145*(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5">
        <f>(1-Summary!$B$11)*S2145+Summary!$B$11*U2145</f>
        <v/>
      </c>
      <c r="P2145">
        <f>IF(B2179=0,0,O2145/B2179)</f>
        <v/>
      </c>
      <c r="Q2145">
        <f>IFERROR(1/(IF(Inputs!$B$38="pvp",15,MAX(0.1,Skills!E7-IF(Skills!F7=TRUE,Inputs!$B$32,0)))*(1-IF(AND(ArtifactsInput!$M$27,Inputs!$B$4="Chapter Hunt"),CHOOSE(ArtifactsInput!$N$27+1,20,24,28,32,36,40),0)/100)),0)</f>
        <v/>
      </c>
      <c r="R2145">
        <f>IF(AND(Inputs!$B$38&lt;&gt;"pvp",Inputs!$B$43&gt;0),IF(MAX(0,Inputs!$B$43-B2176)&lt;=0,0,(INT(MAX(0,Inputs!$B$43-B2176)/(IF(Inputs!$B$38="pvp",15,MAX(0.1,Skills!E7-IF(Skills!F7=TRUE,Inputs!$B$32,0)))*(1-IF(AND(ArtifactsInput!$M$27,Inputs!$B$4="Chapter Hunt"),CHOOSE(ArtifactsInput!$N$27+1,20,24,28,32,36,40),0)/100)))+1)),0)</f>
        <v/>
      </c>
      <c r="S2145">
        <f>IF(C2145,(H2145*N2145*IF(AND(Inputs!$B$38&lt;&gt;"pvp",Inputs!$B$43&gt;0),((Skills!G7*((R2145-1)*IF(Skills!H7&gt;0,Skills!I7/Skills!H7,1)+IF(Skills!H7&gt;0,MIN(Skills!I7,MAX(0,MAX(0,Inputs!$B$43-B2176)-((R2145-1)*(IF(Inputs!$B$38="pvp",15,MAX(0.1,Skills!E7-IF(Skills!F7=TRUE,Inputs!$B$32,0)))*(1-IF(AND(ArtifactsInput!$M$27,Inputs!$B$4="Chapter Hunt"),CHOOSE(ArtifactsInput!$N$27+1,20,24,28,32,36,40),0)/100)))))/Skills!H7,1)))/Inputs!$B$43),G2145*Q2145)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2145*(1-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2145*(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2145*(1-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2145*(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5">
        <f>IF(C2145,(H2145*N2145*IF(AND(Inputs!$B$38&lt;&gt;"pvp",Inputs!$B$43&gt;0),((Skills!G7*((R2145-1)*IF(Skills!H7&gt;0,Skills!I7/Skills!H7,1)+IF(Skills!H7&gt;0,MIN(Skills!I7,MAX(0,MAX(0,Inputs!$B$43-B2176)-((R2145-1)*(IF(Inputs!$B$38="pvp",15,MAX(0.1,Skills!E7-IF(Skills!F7=TRUE,Inputs!$B$32,0)))*(1-IF(AND(ArtifactsInput!$M$27,Inputs!$B$4="Chapter Hunt"),CHOOSE(ArtifactsInput!$N$27+1,20,24,28,32,36,40),0)/100)))))/Skills!H7,1)))/Inputs!$B$43),G2145*Q2145)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6">
      <c r="A2146">
        <f>Skills!A8</f>
        <v/>
      </c>
      <c r="B2146">
        <f>Skills!B8</f>
        <v/>
      </c>
      <c r="C2146">
        <f>TRUE</f>
        <v/>
      </c>
      <c r="D2146">
        <f>IF(Skills!C8=1,60+Inputs!$B$25+Inputs!$B$29,IF(Skills!C8=2,90+Inputs!$B$26+Inputs!$B$29,IF(Skills!C8=3,120+Inputs!$B$27+Inputs!$B$29,MAX(0,(Inputs!$B$3-100)*3)+Inputs!$B$28+Inputs!$B$29)))</f>
        <v/>
      </c>
      <c r="E2146">
        <f>INDEX(FactorTable!$B$2:$Y$301, MATCH(ROUND(MIN(300,MAX(1,D2146)),0), FactorTable!$A$2:$A$301,0), Skills!M8+1)</f>
        <v/>
      </c>
      <c r="F2146">
        <f>IF(Skills!N8=TRUE,(Skills!L8/10)*(E2146/1000),Skills!L8/10)+Skills!O8</f>
        <v/>
      </c>
      <c r="G2146">
        <f>Calc!G8</f>
        <v/>
      </c>
      <c r="H2146">
        <f>Calc!H8</f>
        <v/>
      </c>
      <c r="I2146">
        <f>IF(Skills!X8&lt;&gt;"",1+(Skills!X8/10)*(Z2141/1000)/100,1)</f>
        <v/>
      </c>
      <c r="J2146">
        <f>((Inputs!$B$6*(1+Inputs!$B$7/100))+(((Inputs!$B$12*(1+Inputs!$B$13/100))-(Inputs!$B$12*(1+Inputs!$B$13/100)))+0.25*(Inputs!$B$14-Inputs!$B$14))*(1+Inputs!$B$7/100))*(F2146/100)</f>
        <v/>
      </c>
      <c r="K2146">
        <f>J2146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2146)</f>
        <v/>
      </c>
      <c r="L2146">
        <f>K2146*(MIN(Inputs!$B$22+(F2160-Calc!F22),(Inputs!$B$23+(IF(ArtifactsInput!$M$15,CHOOSE(ArtifactsInput!$N$15+1,25,30,35,40,45,50)/100*(Inputs!$B$11-Inputs!$B$11),0))))/100+(Inputs!$B$23+(IF(ArtifactsInput!$M$15,CHOOSE(ArtifactsInput!$N$15+1,25,30,35,40,45,50)/100*(Inputs!$B$11-Inputs!$B$11),0)))/100)/2</f>
        <v/>
      </c>
      <c r="M2146">
        <f>L2146*(1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6">
        <f>L2146*(1-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2146*(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6">
        <f>(1-Summary!$B$11)*S2146+Summary!$B$11*U2146</f>
        <v/>
      </c>
      <c r="P2146">
        <f>IF(B2179=0,0,O2146/B2179)</f>
        <v/>
      </c>
      <c r="Q2146">
        <f>IFERROR(1/(IF(Inputs!$B$38="pvp",15,MAX(0.1,Skills!E8-IF(Skills!F8=TRUE,Inputs!$B$32,0)))*(1-IF(AND(ArtifactsInput!$M$27,Inputs!$B$4="Chapter Hunt"),CHOOSE(ArtifactsInput!$N$27+1,20,24,28,32,36,40),0)/100)),0)</f>
        <v/>
      </c>
      <c r="R2146">
        <f>IF(AND(Inputs!$B$38&lt;&gt;"pvp",Inputs!$B$43&gt;0),IF(MAX(0,Inputs!$B$43-B2176)&lt;=0,0,(INT(MAX(0,Inputs!$B$43-B2176)/(IF(Inputs!$B$38="pvp",15,MAX(0.1,Skills!E8-IF(Skills!F8=TRUE,Inputs!$B$32,0)))*(1-IF(AND(ArtifactsInput!$M$27,Inputs!$B$4="Chapter Hunt"),CHOOSE(ArtifactsInput!$N$27+1,20,24,28,32,36,40),0)/100)))+1)),0)</f>
        <v/>
      </c>
      <c r="S2146">
        <f>IF(C2146,(H2146*N2146*IF(AND(Inputs!$B$38&lt;&gt;"pvp",Inputs!$B$43&gt;0),((Skills!G8*((R2146-1)*IF(Skills!H8&gt;0,Skills!I8/Skills!H8,1)+IF(Skills!H8&gt;0,MIN(Skills!I8,MAX(0,MAX(0,Inputs!$B$43-B2176)-((R2146-1)*(IF(Inputs!$B$38="pvp",15,MAX(0.1,Skills!E8-IF(Skills!F8=TRUE,Inputs!$B$32,0)))*(1-IF(AND(ArtifactsInput!$M$27,Inputs!$B$4="Chapter Hunt"),CHOOSE(ArtifactsInput!$N$27+1,20,24,28,32,36,40),0)/100)))))/Skills!H8,1)))/Inputs!$B$43),G2146*Q2146)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2146*(1-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2146*(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2146*(1-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2146*(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6">
        <f>IF(C2146,(H2146*N2146*IF(AND(Inputs!$B$38&lt;&gt;"pvp",Inputs!$B$43&gt;0),((Skills!G8*((R2146-1)*IF(Skills!H8&gt;0,Skills!I8/Skills!H8,1)+IF(Skills!H8&gt;0,MIN(Skills!I8,MAX(0,MAX(0,Inputs!$B$43-B2176)-((R2146-1)*(IF(Inputs!$B$38="pvp",15,MAX(0.1,Skills!E8-IF(Skills!F8=TRUE,Inputs!$B$32,0)))*(1-IF(AND(ArtifactsInput!$M$27,Inputs!$B$4="Chapter Hunt"),CHOOSE(ArtifactsInput!$N$27+1,20,24,28,32,36,40),0)/100)))))/Skills!H8,1)))/Inputs!$B$43),G2146*Q2146)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7">
      <c r="A2147">
        <f>Skills!A9</f>
        <v/>
      </c>
      <c r="B2147">
        <f>Skills!B9</f>
        <v/>
      </c>
      <c r="C2147">
        <f>Inputs!$B$3&gt;=103</f>
        <v/>
      </c>
      <c r="D2147">
        <f>IF(Skills!C9=1,60+Inputs!$B$25+Inputs!$B$29,IF(Skills!C9=2,90+Inputs!$B$26+Inputs!$B$29,IF(Skills!C9=3,120+Inputs!$B$27+Inputs!$B$29,MAX(0,(Inputs!$B$3-100)*3)+Inputs!$B$28+Inputs!$B$29)))</f>
        <v/>
      </c>
      <c r="E2147">
        <f>INDEX(FactorTable!$B$2:$Y$301, MATCH(ROUND(MIN(300,MAX(1,D2147)),0), FactorTable!$A$2:$A$301,0), Skills!M9+1)</f>
        <v/>
      </c>
      <c r="F2147">
        <f>IF(Skills!N9=TRUE,(Skills!L9/10)*(E2147/1000),Skills!L9/10)+Skills!O9</f>
        <v/>
      </c>
      <c r="G2147">
        <f>Calc!G9</f>
        <v/>
      </c>
      <c r="H2147">
        <f>Calc!H9</f>
        <v/>
      </c>
      <c r="I2147">
        <f>IF(Skills!X9&lt;&gt;"",1+(Skills!X9/10)*(Z2141/1000)/100,1)</f>
        <v/>
      </c>
      <c r="J2147">
        <f>((Inputs!$B$6*(1+Inputs!$B$7/100))+(((Inputs!$B$12*(1+Inputs!$B$13/100))-(Inputs!$B$12*(1+Inputs!$B$13/100)))+0.25*(Inputs!$B$14-Inputs!$B$14))*(1+Inputs!$B$7/100))*(F2147/100)</f>
        <v/>
      </c>
      <c r="K2147">
        <f>J2147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2147)</f>
        <v/>
      </c>
      <c r="L2147">
        <f>K2147*(MIN(Inputs!$B$22+(F2160-Calc!F22),(Inputs!$B$23+(IF(ArtifactsInput!$M$15,CHOOSE(ArtifactsInput!$N$15+1,25,30,35,40,45,50)/100*(Inputs!$B$11-Inputs!$B$11),0))))/100+(Inputs!$B$23+(IF(ArtifactsInput!$M$15,CHOOSE(ArtifactsInput!$N$15+1,25,30,35,40,45,50)/100*(Inputs!$B$11-Inputs!$B$11),0)))/100)/2</f>
        <v/>
      </c>
      <c r="M2147">
        <f>L2147*(1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7">
        <f>L2147*(1-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2147*(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7">
        <f>(1-Summary!$B$11)*S2147+Summary!$B$11*U2147</f>
        <v/>
      </c>
      <c r="P2147">
        <f>IF(B2179=0,0,O2147/B2179)</f>
        <v/>
      </c>
      <c r="Q2147">
        <f>IFERROR(1/(IF(Inputs!$B$38="pvp",15,MAX(0.1,Skills!E9-IF(Skills!F7=TRUE,Inputs!$B$32,0)))*(1-IF(AND(ArtifactsInput!$M$27,Inputs!$B$4="Chapter Hunt"),CHOOSE(ArtifactsInput!$N$27+1,20,24,28,32,36,40),0)/100)),0)</f>
        <v/>
      </c>
      <c r="R2147">
        <f>IF(AND(Inputs!$B$38&lt;&gt;"pvp",Inputs!$B$43&gt;0),IF(MAX(0,Inputs!$B$43-B2176)&lt;=0,0,(INT(MAX(0,Inputs!$B$43-B2176)/(IF(Inputs!$B$38="pvp",15,MAX(0.1,Skills!E9-IF(Skills!F7=TRUE,Inputs!$B$32,0)))*(1-IF(AND(ArtifactsInput!$M$27,Inputs!$B$4="Chapter Hunt"),CHOOSE(ArtifactsInput!$N$27+1,20,24,28,32,36,40),0)/100)))+1)),0)</f>
        <v/>
      </c>
      <c r="S2147">
        <f>IF(C2147,(H2147*N2147*IF(AND(Inputs!$B$38&lt;&gt;"pvp",Inputs!$B$43&gt;0),((Skills!G9*((R2147-1)*IF(Skills!H9&gt;0,Skills!I9/Skills!H9,1)+IF(Skills!H9&gt;0,MIN(Skills!I9,MAX(0,MAX(0,Inputs!$B$43-B2176)-((R2147-1)*(IF(Inputs!$B$38="pvp",15,MAX(0.1,Skills!E9-IF(Skills!F7=TRUE,Inputs!$B$32,0)))*(1-IF(AND(ArtifactsInput!$M$27,Inputs!$B$4="Chapter Hunt"),CHOOSE(ArtifactsInput!$N$27+1,20,24,28,32,36,40),0)/100)))))/Skills!H9,1)))/Inputs!$B$43),G2147*Q2147)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2147*(1-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2147*(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2147*(1-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2147*(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7">
        <f>IF(C2147,(H2147*N2147*IF(AND(Inputs!$B$38&lt;&gt;"pvp",Inputs!$B$43&gt;0),((Skills!G9*((R2147-1)*IF(Skills!H9&gt;0,Skills!I9/Skills!H9,1)+IF(Skills!H9&gt;0,MIN(Skills!I9,MAX(0,MAX(0,Inputs!$B$43-B2176)-((R2147-1)*(IF(Inputs!$B$38="pvp",15,MAX(0.1,Skills!E9-IF(Skills!F7=TRUE,Inputs!$B$32,0)))*(1-IF(AND(ArtifactsInput!$M$27,Inputs!$B$4="Chapter Hunt"),CHOOSE(ArtifactsInput!$N$27+1,20,24,28,32,36,40),0)/100)))))/Skills!H9,1)))/Inputs!$B$43),G2147*Q2147)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8">
      <c r="A2148">
        <f>Skills!A10</f>
        <v/>
      </c>
      <c r="B2148">
        <f>Skills!B10</f>
        <v/>
      </c>
      <c r="C2148">
        <f>TRUE</f>
        <v/>
      </c>
      <c r="D2148">
        <f>IF(Skills!C10=1,60+Inputs!$B$25+Inputs!$B$29,IF(Skills!C10=2,90+Inputs!$B$26+Inputs!$B$29,IF(Skills!C10=3,120+Inputs!$B$27+Inputs!$B$29,MAX(0,(Inputs!$B$3-100)*3)+Inputs!$B$28+Inputs!$B$29)))</f>
        <v/>
      </c>
      <c r="E2148">
        <f>INDEX(FactorTable!$B$2:$Y$301, MATCH(ROUND(MIN(300,MAX(1,D2148)),0), FactorTable!$A$2:$A$301,0), Skills!M10+1)</f>
        <v/>
      </c>
      <c r="F2148">
        <f>IF(Skills!N10=TRUE,(Skills!L10/10)*(E2148/1000),Skills!L10/10)+Skills!O10</f>
        <v/>
      </c>
      <c r="G2148">
        <f>Calc!G10</f>
        <v/>
      </c>
      <c r="H2148">
        <f>Calc!H10</f>
        <v/>
      </c>
      <c r="I2148">
        <f>IF(Skills!X10&lt;&gt;"",1+(Skills!X10/10)*(Z2141/1000)/100,1)</f>
        <v/>
      </c>
      <c r="J2148">
        <f>((Inputs!$B$6*(1+Inputs!$B$7/100))+(((Inputs!$B$12*(1+Inputs!$B$13/100))-(Inputs!$B$12*(1+Inputs!$B$13/100)))+0.25*(Inputs!$B$14-Inputs!$B$14))*(1+Inputs!$B$7/100))*(F2148/100)</f>
        <v/>
      </c>
      <c r="K2148">
        <f>J2148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2148)</f>
        <v/>
      </c>
      <c r="L2148">
        <f>K2148*(MIN(Inputs!$B$22+(F2160-Calc!F22),(Inputs!$B$23+(IF(ArtifactsInput!$M$15,CHOOSE(ArtifactsInput!$N$15+1,25,30,35,40,45,50)/100*(Inputs!$B$11-Inputs!$B$11),0))))/100+(Inputs!$B$23+(IF(ArtifactsInput!$M$15,CHOOSE(ArtifactsInput!$N$15+1,25,30,35,40,45,50)/100*(Inputs!$B$11-Inputs!$B$11),0)))/100)/2</f>
        <v/>
      </c>
      <c r="M2148">
        <f>L2148*(1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8">
        <f>L2148*(1-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2148*(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8">
        <f>(1-Summary!$B$11)*S2148+Summary!$B$11*U2148</f>
        <v/>
      </c>
      <c r="P2148">
        <f>IF(B2179=0,0,O2148/B2179)</f>
        <v/>
      </c>
      <c r="Q2148">
        <f>IFERROR(1/(IF(Inputs!$B$38="pvp",15,MAX(0.1,Skills!E10-IF(Skills!F10=TRUE,Inputs!$B$32,0)))*(1-IF(AND(ArtifactsInput!$M$27,Inputs!$B$4="Chapter Hunt"),CHOOSE(ArtifactsInput!$N$27+1,20,24,28,32,36,40),0)/100)),0)</f>
        <v/>
      </c>
      <c r="R2148">
        <f>IF(AND(Inputs!$B$38&lt;&gt;"pvp",Inputs!$B$43&gt;0),IF(MAX(0,Inputs!$B$43-B2176)&lt;=0,0,(INT(MAX(0,Inputs!$B$43-B2176)/(IF(Inputs!$B$38="pvp",15,MAX(0.1,Skills!E10-IF(Skills!F10=TRUE,Inputs!$B$32,0)))*(1-IF(AND(ArtifactsInput!$M$27,Inputs!$B$4="Chapter Hunt"),CHOOSE(ArtifactsInput!$N$27+1,20,24,28,32,36,40),0)/100)))+1)),0)</f>
        <v/>
      </c>
      <c r="S2148">
        <f>IF(C2148,(H2148*N2148*IF(AND(Inputs!$B$38&lt;&gt;"pvp",Inputs!$B$43&gt;0),((Skills!G10*((R2148-1)*IF(Skills!H10&gt;0,Skills!I10/Skills!H10,1)+IF(Skills!H10&gt;0,MIN(Skills!I10,MAX(0,MAX(0,Inputs!$B$43-B2176)-((R2148-1)*(IF(Inputs!$B$38="pvp",15,MAX(0.1,Skills!E10-IF(Skills!F10=TRUE,Inputs!$B$32,0)))*(1-IF(AND(ArtifactsInput!$M$27,Inputs!$B$4="Chapter Hunt"),CHOOSE(ArtifactsInput!$N$27+1,20,24,28,32,36,40),0)/100)))))/Skills!H10,1)))/Inputs!$B$43),G2148*Q2148)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2148*(1-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2148*(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2148*(1-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2148*(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8">
        <f>IF(C2148,(H2148*N2148*IF(AND(Inputs!$B$38&lt;&gt;"pvp",Inputs!$B$43&gt;0),((Skills!G10*((R2148-1)*IF(Skills!H10&gt;0,Skills!I10/Skills!H10,1)+IF(Skills!H10&gt;0,MIN(Skills!I10,MAX(0,MAX(0,Inputs!$B$43-B2176)-((R2148-1)*(IF(Inputs!$B$38="pvp",15,MAX(0.1,Skills!E10-IF(Skills!F10=TRUE,Inputs!$B$32,0)))*(1-IF(AND(ArtifactsInput!$M$27,Inputs!$B$4="Chapter Hunt"),CHOOSE(ArtifactsInput!$N$27+1,20,24,28,32,36,40),0)/100)))))/Skills!H10,1)))/Inputs!$B$43),G2148*Q2148)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9">
      <c r="A2149">
        <f>Skills!A11</f>
        <v/>
      </c>
      <c r="B2149">
        <f>Skills!B11</f>
        <v/>
      </c>
      <c r="C2149">
        <f>TRUE</f>
        <v/>
      </c>
      <c r="D2149">
        <f>IF(Skills!C11=1,60+Inputs!$B$25+Inputs!$B$29,IF(Skills!C11=2,90+Inputs!$B$26+Inputs!$B$29,IF(Skills!C11=3,120+Inputs!$B$27+Inputs!$B$29,MAX(0,(Inputs!$B$3-100)*3)+Inputs!$B$28+Inputs!$B$29)))</f>
        <v/>
      </c>
      <c r="E2149">
        <f>INDEX(FactorTable!$B$2:$Y$301, MATCH(ROUND(MIN(300,MAX(1,D2149)),0), FactorTable!$A$2:$A$301,0), Skills!M11+1)</f>
        <v/>
      </c>
      <c r="F2149">
        <f>IF(Skills!N11=TRUE,(Skills!L11/10)*(E2149/1000),Skills!L11/10)+Skills!O11</f>
        <v/>
      </c>
      <c r="G2149">
        <f>Calc!G11</f>
        <v/>
      </c>
      <c r="H2149">
        <f>Calc!H11</f>
        <v/>
      </c>
      <c r="I2149">
        <f>IF(Skills!X11&lt;&gt;"",1+(Skills!X11/10)*(Z2141/1000)/100,1)</f>
        <v/>
      </c>
      <c r="J2149" t="inlineStr"/>
      <c r="K2149" t="inlineStr"/>
      <c r="L2149" t="inlineStr"/>
      <c r="M2149" t="inlineStr"/>
      <c r="N2149" t="inlineStr"/>
      <c r="O2149">
        <f>(1-Summary!$B$11)*S2149+Summary!$B$11*U2149</f>
        <v/>
      </c>
      <c r="P2149">
        <f>IF(B2179=0,0,O2149/B2179)</f>
        <v/>
      </c>
      <c r="Q2149">
        <f>IFERROR(1/(IF(Inputs!$B$38="pvp",15,MAX(0.1,Skills!E11-IF(Skills!F11=TRUE,Inputs!$B$32,0)))*(1-IF(AND(ArtifactsInput!$M$27,Inputs!$B$4="Chapter Hunt"),CHOOSE(ArtifactsInput!$N$27+1,20,24,28,32,36,40),0)/100)),0)</f>
        <v/>
      </c>
      <c r="R2149" t="n">
        <v>0</v>
      </c>
      <c r="S2149" t="n">
        <v>0</v>
      </c>
      <c r="U2149" t="n">
        <v>0</v>
      </c>
    </row>
    <row r="2150">
      <c r="A2150">
        <f>Skills!A12</f>
        <v/>
      </c>
      <c r="B2150">
        <f>Skills!B12</f>
        <v/>
      </c>
      <c r="C2150">
        <f>TRUE</f>
        <v/>
      </c>
      <c r="D2150">
        <f>IF(Skills!C12=1,60+Inputs!$B$25+Inputs!$B$29,IF(Skills!C12=2,90+Inputs!$B$26+Inputs!$B$29,IF(Skills!C12=3,120+Inputs!$B$27+Inputs!$B$29,MAX(0,(Inputs!$B$3-100)*3)+Inputs!$B$28+Inputs!$B$29)))</f>
        <v/>
      </c>
      <c r="E2150">
        <f>INDEX(FactorTable!$B$2:$Y$301, MATCH(ROUND(MIN(300,MAX(1,D2150)),0), FactorTable!$A$2:$A$301,0), Skills!M12+1)</f>
        <v/>
      </c>
      <c r="F2150">
        <f>IF(Skills!N12=TRUE,(Skills!L12/10)*(E2150/1000),Skills!L12/10)+Skills!O12</f>
        <v/>
      </c>
      <c r="G2150">
        <f>Calc!G12</f>
        <v/>
      </c>
      <c r="H2150">
        <f>Calc!H12</f>
        <v/>
      </c>
      <c r="I2150">
        <f>IF(Skills!X12&lt;&gt;"",1+(Skills!X12/10)*(Z2141/1000)/100,1)</f>
        <v/>
      </c>
      <c r="J2150" t="inlineStr"/>
      <c r="K2150" t="inlineStr"/>
      <c r="L2150" t="inlineStr"/>
      <c r="M2150" t="inlineStr"/>
      <c r="N2150" t="inlineStr"/>
      <c r="O2150">
        <f>(1-Summary!$B$11)*S2150+Summary!$B$11*U2150</f>
        <v/>
      </c>
      <c r="P2150">
        <f>IF(B2179=0,0,O2150/B2179)</f>
        <v/>
      </c>
      <c r="Q2150">
        <f>IFERROR(1/(IF(Inputs!$B$38="pvp",15,MAX(0.1,Skills!E12-IF(Skills!F12=TRUE,Inputs!$B$32,0)))*(1-IF(AND(ArtifactsInput!$M$27,Inputs!$B$4="Chapter Hunt"),CHOOSE(ArtifactsInput!$N$27+1,20,24,28,32,36,40),0)/100)),0)</f>
        <v/>
      </c>
      <c r="R2150" t="n">
        <v>0</v>
      </c>
      <c r="S2150" t="n">
        <v>0</v>
      </c>
      <c r="U2150" t="n">
        <v>0</v>
      </c>
    </row>
    <row r="2151">
      <c r="A2151">
        <f>Skills!A13</f>
        <v/>
      </c>
      <c r="B2151">
        <f>Skills!B13</f>
        <v/>
      </c>
      <c r="C2151">
        <f>Inputs!$B$3&gt;=105</f>
        <v/>
      </c>
      <c r="D2151">
        <f>IF(Skills!C13=1,60+Inputs!$B$25+Inputs!$B$29,IF(Skills!C13=2,90+Inputs!$B$26+Inputs!$B$29,IF(Skills!C13=3,120+Inputs!$B$27+Inputs!$B$29,MAX(0,(Inputs!$B$3-100)*3)+Inputs!$B$28+Inputs!$B$29)))</f>
        <v/>
      </c>
      <c r="E2151">
        <f>INDEX(FactorTable!$B$2:$Y$301, MATCH(ROUND(MIN(300,MAX(1,D2151)),0), FactorTable!$A$2:$A$301,0), Skills!M13+1)</f>
        <v/>
      </c>
      <c r="F2151">
        <f>IF(Skills!N13=TRUE,(Skills!L13/10)*(E2151/1000),Skills!L13/10)+Skills!O13</f>
        <v/>
      </c>
      <c r="G2151">
        <f>Calc!G13</f>
        <v/>
      </c>
      <c r="H2151">
        <f>Calc!H13</f>
        <v/>
      </c>
      <c r="I2151">
        <f>IF(Skills!X13&lt;&gt;"",1+(Skills!X13/10)*(Z2141/1000)/100,1)</f>
        <v/>
      </c>
      <c r="J2151">
        <f>((Inputs!$B$6*(1+Inputs!$B$7/100))+(((Inputs!$B$12*(1+Inputs!$B$13/100))-(Inputs!$B$12*(1+Inputs!$B$13/100)))+0.25*(Inputs!$B$14-Inputs!$B$14))*(1+Inputs!$B$7/100))*(F2151/100)</f>
        <v/>
      </c>
      <c r="K2151">
        <f>J2151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2151)</f>
        <v/>
      </c>
      <c r="L2151">
        <f>K2151*(MIN(Inputs!$B$22+(F2160-Calc!F22),(Inputs!$B$23+(IF(ArtifactsInput!$M$15,CHOOSE(ArtifactsInput!$N$15+1,25,30,35,40,45,50)/100*(Inputs!$B$11-Inputs!$B$11),0))))/100+(Inputs!$B$23+(IF(ArtifactsInput!$M$15,CHOOSE(ArtifactsInput!$N$15+1,25,30,35,40,45,50)/100*(Inputs!$B$11-Inputs!$B$11),0)))/100)/2</f>
        <v/>
      </c>
      <c r="M2151">
        <f>L2151*(1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1">
        <f>L2151*(1-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1">
        <f>(1-Summary!$B$11)*S2151+Summary!$B$11*U2151</f>
        <v/>
      </c>
      <c r="P2151">
        <f>IF(B2179=0,0,O2151/B2179)</f>
        <v/>
      </c>
      <c r="Q2151">
        <f>IFERROR(1/(IF(Inputs!$B$38="pvp",15,MAX(0.1,Skills!E13-IF(Skills!F13=TRUE,Inputs!$B$32,0)))*(1-IF(AND(ArtifactsInput!$M$27,Inputs!$B$4="Chapter Hunt"),CHOOSE(ArtifactsInput!$N$27+1,20,24,28,32,36,40),0)/100)),0)</f>
        <v/>
      </c>
      <c r="R2151">
        <f>IF(AND(Inputs!$B$38&lt;&gt;"pvp",Inputs!$B$43&gt;0),IF(MAX(0,Inputs!$B$43-B2176)&lt;=0,0,(INT(MAX(0,Inputs!$B$43-B2176)/(IF(Inputs!$B$38="pvp",15,MAX(0.1,Skills!E13-IF(Skills!F13=TRUE,Inputs!$B$32,0)))*(1-IF(AND(ArtifactsInput!$M$27,Inputs!$B$4="Chapter Hunt"),CHOOSE(ArtifactsInput!$N$27+1,20,24,28,32,36,40),0)/100)))+1)),0)</f>
        <v/>
      </c>
      <c r="S2151">
        <f>IF(C2151,(H2151*N2151*IF(AND(Inputs!$B$38&lt;&gt;"pvp",Inputs!$B$43&gt;0),((Skills!G13*((R2151-1)*IF(Skills!H13&gt;0,Skills!I13/Skills!H13,1)+IF(Skills!H13&gt;0,MIN(Skills!I13,MAX(0,MAX(0,Inputs!$B$43-B2176)-((R2151-1)*(IF(Inputs!$B$38="pvp",15,MAX(0.1,Skills!E13-IF(Skills!F13=TRUE,Inputs!$B$32,0)))*(1-IF(AND(ArtifactsInput!$M$27,Inputs!$B$4="Chapter Hunt"),CHOOSE(ArtifactsInput!$N$27+1,20,24,28,32,36,40),0)/100)))))/Skills!H13,1)))/Inputs!$B$43),G2151*Q2151)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2151*(1-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1">
        <f>IF(C2151,(H2151*N2151*IF(AND(Inputs!$B$38&lt;&gt;"pvp",Inputs!$B$43&gt;0),((Skills!G13*((R2151-1)*IF(Skills!H13&gt;0,Skills!I13/Skills!H13,1)+IF(Skills!H13&gt;0,MIN(Skills!I13,MAX(0,MAX(0,Inputs!$B$43-B2176)-((R2151-1)*(IF(Inputs!$B$38="pvp",15,MAX(0.1,Skills!E13-IF(Skills!F13=TRUE,Inputs!$B$32,0)))*(1-IF(AND(ArtifactsInput!$M$27,Inputs!$B$4="Chapter Hunt"),CHOOSE(ArtifactsInput!$N$27+1,20,24,28,32,36,40),0)/100)))))/Skills!H13,1)))/Inputs!$B$43),G2151*Q2151)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2">
      <c r="A2152">
        <f>Skills!A14</f>
        <v/>
      </c>
      <c r="B2152">
        <f>Skills!B14</f>
        <v/>
      </c>
      <c r="C2152">
        <f>Inputs!$B$3&gt;=113</f>
        <v/>
      </c>
      <c r="D2152">
        <f>IF(Skills!C14=1,60+Inputs!$B$25+Inputs!$B$29,IF(Skills!C14=2,90+Inputs!$B$26+Inputs!$B$29,IF(Skills!C14=3,120+Inputs!$B$27+Inputs!$B$29,MAX(0,(Inputs!$B$3-100)*3)+Inputs!$B$28+Inputs!$B$29)))</f>
        <v/>
      </c>
      <c r="E2152">
        <f>INDEX(FactorTable!$B$2:$Y$301, MATCH(ROUND(MIN(300,MAX(1,D2152)),0), FactorTable!$A$2:$A$301,0), Skills!M14+1)</f>
        <v/>
      </c>
      <c r="F2152">
        <f>IF(Skills!N14=TRUE,(Skills!L14/10)*(E2152/1000),Skills!L14/10)+Skills!O14</f>
        <v/>
      </c>
      <c r="G2152">
        <f>Calc!G14</f>
        <v/>
      </c>
      <c r="H2152">
        <f>Calc!H14</f>
        <v/>
      </c>
      <c r="I2152">
        <f>IF(Skills!X14&lt;&gt;"",1+(Skills!X14/10)*(Z2141/1000)/100,1)</f>
        <v/>
      </c>
      <c r="J2152">
        <f>((Inputs!$B$6*(1+Inputs!$B$7/100))+(((Inputs!$B$12*(1+Inputs!$B$13/100))-(Inputs!$B$12*(1+Inputs!$B$13/100)))+0.25*(Inputs!$B$14-Inputs!$B$14))*(1+Inputs!$B$7/100))*(F2152/100)</f>
        <v/>
      </c>
      <c r="K2152">
        <f>J2152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2152)</f>
        <v/>
      </c>
      <c r="L2152">
        <f>K2152*(MIN(Inputs!$B$22+(F2160-Calc!F22),(Inputs!$B$23+(IF(ArtifactsInput!$M$15,CHOOSE(ArtifactsInput!$N$15+1,25,30,35,40,45,50)/100*(Inputs!$B$11-Inputs!$B$11),0))))/100+(Inputs!$B$23+(IF(ArtifactsInput!$M$15,CHOOSE(ArtifactsInput!$N$15+1,25,30,35,40,45,50)/100*(Inputs!$B$11-Inputs!$B$11),0)))/100)/2</f>
        <v/>
      </c>
      <c r="M2152">
        <f>L2152*(1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2">
        <f>L2152*(1-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2152*(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2">
        <f>(1-Summary!$B$11)*S2152+Summary!$B$11*U2152</f>
        <v/>
      </c>
      <c r="P2152">
        <f>IF(B2179=0,0,O2152/B2179)</f>
        <v/>
      </c>
      <c r="Q2152">
        <f>IFERROR(1/(IF(Inputs!$B$38="pvp",15,MAX(0.1,Skills!E14-IF(Skills!F14=TRUE,Inputs!$B$32,0)))*(1-IF(AND(ArtifactsInput!$M$27,Inputs!$B$4="Chapter Hunt"),CHOOSE(ArtifactsInput!$N$27+1,20,24,28,32,36,40),0)/100)),0)</f>
        <v/>
      </c>
      <c r="R2152" t="n">
        <v>0</v>
      </c>
      <c r="S2152">
        <f>IF(C2152,((H2152*B2175)/(1+Skills!H14*H2152*B2175)*N2152)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2152*(1-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2152*(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2152*(1-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2152*(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2">
        <f>IF(C2152,((H2152*B2175)/(1+Skills!H14*H2152*B2175)*N2152)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3">
      <c r="A2153">
        <f>Skills!A15</f>
        <v/>
      </c>
      <c r="B2153">
        <f>Skills!B15</f>
        <v/>
      </c>
      <c r="C2153">
        <f>Inputs!$B$3&gt;=107</f>
        <v/>
      </c>
      <c r="D2153">
        <f>IF(Skills!C15=1,60+Inputs!$B$25+Inputs!$B$29,IF(Skills!C15=2,90+Inputs!$B$26+Inputs!$B$29,IF(Skills!C15=3,120+Inputs!$B$27+Inputs!$B$29,MAX(0,(Inputs!$B$3-100)*3)+Inputs!$B$28+Inputs!$B$29)))</f>
        <v/>
      </c>
      <c r="E2153">
        <f>INDEX(FactorTable!$B$2:$Y$301, MATCH(ROUND(MIN(300,MAX(1,D2153)),0), FactorTable!$A$2:$A$301,0), Skills!M15+1)</f>
        <v/>
      </c>
      <c r="F2153">
        <f>IF(Skills!N15=TRUE,(Skills!L15/10)*(E2153/1000),Skills!L15/10)+Skills!O15</f>
        <v/>
      </c>
      <c r="G2153">
        <f>Calc!G15</f>
        <v/>
      </c>
      <c r="H2153">
        <f>Calc!H15</f>
        <v/>
      </c>
      <c r="I2153">
        <f>IF(Skills!X15&lt;&gt;"",1+(Skills!X15/10)*(Z2141/1000)/100,1)</f>
        <v/>
      </c>
      <c r="J2153">
        <f>((Inputs!$B$6*(1+Inputs!$B$7/100))+(((Inputs!$B$12*(1+Inputs!$B$13/100))-(Inputs!$B$12*(1+Inputs!$B$13/100)))+0.25*(Inputs!$B$14-Inputs!$B$14))*(1+Inputs!$B$7/100))*(F2153/100)</f>
        <v/>
      </c>
      <c r="K2153">
        <f>J2153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2153)</f>
        <v/>
      </c>
      <c r="L2153">
        <f>K2153*(MIN(Inputs!$B$22+(F2160-Calc!F22),(Inputs!$B$23+(IF(ArtifactsInput!$M$15,CHOOSE(ArtifactsInput!$N$15+1,25,30,35,40,45,50)/100*(Inputs!$B$11-Inputs!$B$11),0))))/100+(Inputs!$B$23+(IF(ArtifactsInput!$M$15,CHOOSE(ArtifactsInput!$N$15+1,25,30,35,40,45,50)/100*(Inputs!$B$11-Inputs!$B$11),0)))/100)/2</f>
        <v/>
      </c>
      <c r="M2153">
        <f>L2153*(1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3">
        <f>L2153*(1-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2153*(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3">
        <f>(1-Summary!$B$11)*S2153+Summary!$B$11*U2153</f>
        <v/>
      </c>
      <c r="P2153">
        <f>IF(B2179=0,0,O2153/B2179)</f>
        <v/>
      </c>
      <c r="Q2153">
        <f>IFERROR(1/(IF(Inputs!$B$38="pvp",15,MAX(0.1,Skills!E15-IF(Skills!F15=TRUE,Inputs!$B$32,0)))*(1-IF(AND(ArtifactsInput!$M$27,Inputs!$B$4="Chapter Hunt"),CHOOSE(ArtifactsInput!$N$27+1,20,24,28,32,36,40),0)/100)),0)</f>
        <v/>
      </c>
      <c r="R2153">
        <f>IF(AND(Inputs!$B$38&lt;&gt;"pvp",Inputs!$B$43&gt;0),IF(MAX(0,Inputs!$B$43-B2176)&lt;=0,0,(INT(MAX(0,Inputs!$B$43-B2176)/(IF(Inputs!$B$38="pvp",15,MAX(0.1,Skills!E15-IF(Skills!F15=TRUE,Inputs!$B$32,0)))*(1-IF(AND(ArtifactsInput!$M$27,Inputs!$B$4="Chapter Hunt"),CHOOSE(ArtifactsInput!$N$27+1,20,24,28,32,36,40),0)/100)))+1)),0)</f>
        <v/>
      </c>
      <c r="S2153">
        <f>IF(C2153,(H2153*N2153*IF(AND(Inputs!$B$38&lt;&gt;"pvp",Inputs!$B$43&gt;0),((Skills!G15*((R2153-1)*IF(Skills!H15&gt;0,Skills!I15/Skills!H15,1)+IF(Skills!H15&gt;0,MIN(Skills!I15,MAX(0,MAX(0,Inputs!$B$43-B2176)-((R2153-1)*(IF(Inputs!$B$38="pvp",15,MAX(0.1,Skills!E15-IF(Skills!F15=TRUE,Inputs!$B$32,0)))*(1-IF(AND(ArtifactsInput!$M$27,Inputs!$B$4="Chapter Hunt"),CHOOSE(ArtifactsInput!$N$27+1,20,24,28,32,36,40),0)/100)))))/Skills!H15,1)))/Inputs!$B$43),G2153*Q2153)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2153*(1-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2153*(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2153*(1-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2153*(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3">
        <f>IF(C2153,(H2153*N2153*IF(AND(Inputs!$B$38&lt;&gt;"pvp",Inputs!$B$43&gt;0),((Skills!G15*((R2153-1)*IF(Skills!H15&gt;0,Skills!I15/Skills!H15,1)+IF(Skills!H15&gt;0,MIN(Skills!I15,MAX(0,MAX(0,Inputs!$B$43-B2176)-((R2153-1)*(IF(Inputs!$B$38="pvp",15,MAX(0.1,Skills!E15-IF(Skills!F15=TRUE,Inputs!$B$32,0)))*(1-IF(AND(ArtifactsInput!$M$27,Inputs!$B$4="Chapter Hunt"),CHOOSE(ArtifactsInput!$N$27+1,20,24,28,32,36,40),0)/100)))))/Skills!H15,1)))/Inputs!$B$43),G2153*Q2153)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4">
      <c r="A2154">
        <f>Skills!A16</f>
        <v/>
      </c>
      <c r="B2154">
        <f>Skills!B16</f>
        <v/>
      </c>
      <c r="C2154">
        <f>Inputs!$B$3&gt;=107</f>
        <v/>
      </c>
      <c r="D2154">
        <f>IF(Skills!C16=1,60+Inputs!$B$25+Inputs!$B$29,IF(Skills!C16=2,90+Inputs!$B$26+Inputs!$B$29,IF(Skills!C16=3,120+Inputs!$B$27+Inputs!$B$29,MAX(0,(Inputs!$B$3-100)*3)+Inputs!$B$28+Inputs!$B$29)))</f>
        <v/>
      </c>
      <c r="E2154">
        <f>INDEX(FactorTable!$B$2:$Y$301, MATCH(ROUND(MIN(300,MAX(1,D2154)),0), FactorTable!$A$2:$A$301,0), Skills!M16+1)</f>
        <v/>
      </c>
      <c r="F2154">
        <f>IF(Skills!N16=TRUE,(Skills!L16/10)*(E2154/1000),Skills!L16/10)+Skills!O16</f>
        <v/>
      </c>
      <c r="G2154">
        <f>Calc!G16</f>
        <v/>
      </c>
      <c r="H2154">
        <f>Calc!H16</f>
        <v/>
      </c>
      <c r="I2154">
        <f>IF(Skills!X16&lt;&gt;"",1+(Skills!X16/10)*(Z2141/1000)/100,1)</f>
        <v/>
      </c>
      <c r="J2154">
        <f>((Inputs!$B$6*(1+Inputs!$B$7/100))+(((Inputs!$B$12*(1+Inputs!$B$13/100))-(Inputs!$B$12*(1+Inputs!$B$13/100)))+0.25*(Inputs!$B$14-Inputs!$B$14))*(1+Inputs!$B$7/100))*(F2154/100)</f>
        <v/>
      </c>
      <c r="K2154">
        <f>J2154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2154)</f>
        <v/>
      </c>
      <c r="L2154">
        <f>K2154*(MIN(Inputs!$B$22+(F2160-Calc!F22),(Inputs!$B$23+(IF(ArtifactsInput!$M$15,CHOOSE(ArtifactsInput!$N$15+1,25,30,35,40,45,50)/100*(Inputs!$B$11-Inputs!$B$11),0))))/100+(Inputs!$B$23+(IF(ArtifactsInput!$M$15,CHOOSE(ArtifactsInput!$N$15+1,25,30,35,40,45,50)/100*(Inputs!$B$11-Inputs!$B$11),0)))/100)/2</f>
        <v/>
      </c>
      <c r="M2154">
        <f>L2154*(1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4">
        <f>L2154*(1-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2154*(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4">
        <f>(1-Summary!$B$11)*S2154+Summary!$B$11*U2154</f>
        <v/>
      </c>
      <c r="P2154">
        <f>IF(B2179=0,0,O2154/B2179)</f>
        <v/>
      </c>
      <c r="Q2154">
        <f>IFERROR(1/(IF(Inputs!$B$38="pvp",15,MAX(0.1,Skills!E16-IF(Skills!F16=TRUE,Inputs!$B$32,0)))*(1-IF(AND(ArtifactsInput!$M$27,Inputs!$B$4="Chapter Hunt"),CHOOSE(ArtifactsInput!$N$27+1,20,24,28,32,36,40),0)/100)),0)</f>
        <v/>
      </c>
      <c r="R2154">
        <f>IF(AND(Inputs!$B$38&lt;&gt;"pvp",Inputs!$B$43&gt;0),IF(MAX(0,Inputs!$B$43-B2176)&lt;=0,0,(INT(MAX(0,Inputs!$B$43-B2176)/(IF(Inputs!$B$38="pvp",15,MAX(0.1,Skills!E16-IF(Skills!F16=TRUE,Inputs!$B$32,0)))*(1-IF(AND(ArtifactsInput!$M$27,Inputs!$B$4="Chapter Hunt"),CHOOSE(ArtifactsInput!$N$27+1,20,24,28,32,36,40),0)/100)))+1)),0)</f>
        <v/>
      </c>
      <c r="S2154">
        <f>IF(C2154,(H2154*N2154*IF(AND(Inputs!$B$38&lt;&gt;"pvp",Inputs!$B$43&gt;0),((Skills!G16*((R2154-1)*IF(Skills!H16&gt;0,Skills!I16/Skills!H16,1)+IF(Skills!H16&gt;0,MIN(Skills!I16,MAX(0,MAX(0,Inputs!$B$43-B2176)-((R2154-1)*(IF(Inputs!$B$38="pvp",15,MAX(0.1,Skills!E16-IF(Skills!F16=TRUE,Inputs!$B$32,0)))*(1-IF(AND(ArtifactsInput!$M$27,Inputs!$B$4="Chapter Hunt"),CHOOSE(ArtifactsInput!$N$27+1,20,24,28,32,36,40),0)/100)))))/Skills!H16,1)))/Inputs!$B$43),G2154*Q2154)*(1+IF(Inputs!$B$3&gt;=126,0.05*(B2174+Q2151+(H2152*B2175)/(1+Skills!H14*H2152*B2175)+Q2162)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2154*(1-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2154*(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2154*(1-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2154*(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4">
        <f>IF(C2154,(H2154*N2154*IF(AND(Inputs!$B$38&lt;&gt;"pvp",Inputs!$B$43&gt;0),((Skills!G16*((R2154-1)*IF(Skills!H16&gt;0,Skills!I16/Skills!H16,1)+IF(Skills!H16&gt;0,MIN(Skills!I16,MAX(0,MAX(0,Inputs!$B$43-B2176)-((R2154-1)*(IF(Inputs!$B$38="pvp",15,MAX(0.1,Skills!E16-IF(Skills!F16=TRUE,Inputs!$B$32,0)))*(1-IF(AND(ArtifactsInput!$M$27,Inputs!$B$4="Chapter Hunt"),CHOOSE(ArtifactsInput!$N$27+1,20,24,28,32,36,40),0)/100)))))/Skills!H16,1)))/Inputs!$B$43),G2154*Q2154)*(1+IF(Inputs!$B$3&gt;=126,0.05*(B2174+Q2151+(H2152*B2175)/(1+Skills!H14*H2152*B2175)+Q2162)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5">
      <c r="A2155">
        <f>Skills!A17</f>
        <v/>
      </c>
      <c r="B2155">
        <f>Skills!B17</f>
        <v/>
      </c>
      <c r="C2155">
        <f>TRUE</f>
        <v/>
      </c>
      <c r="D2155">
        <f>IF(Skills!C17=1,60+Inputs!$B$25+Inputs!$B$29,IF(Skills!C17=2,90+Inputs!$B$26+Inputs!$B$29,IF(Skills!C17=3,120+Inputs!$B$27+Inputs!$B$29,MAX(0,(Inputs!$B$3-100)*3)+Inputs!$B$28+Inputs!$B$29)))</f>
        <v/>
      </c>
      <c r="E2155">
        <f>INDEX(FactorTable!$B$2:$Y$301, MATCH(ROUND(MIN(300,MAX(1,D2155)),0), FactorTable!$A$2:$A$301,0), Skills!M17+1)</f>
        <v/>
      </c>
      <c r="F2155">
        <f>IF(Skills!N17=TRUE,(Skills!L17/10)*(E2155/1000),Skills!L17/10)+Skills!O17</f>
        <v/>
      </c>
      <c r="G2155">
        <f>Calc!G17</f>
        <v/>
      </c>
      <c r="H2155">
        <f>Calc!H17</f>
        <v/>
      </c>
      <c r="I2155">
        <f>IF(Skills!X17&lt;&gt;"",1+(Skills!X17/10)*(Z2141/1000)/100,1)</f>
        <v/>
      </c>
      <c r="J2155" t="inlineStr"/>
      <c r="K2155" t="inlineStr"/>
      <c r="L2155" t="inlineStr"/>
      <c r="M2155" t="inlineStr"/>
      <c r="N2155" t="inlineStr"/>
      <c r="O2155">
        <f>(1-Summary!$B$11)*S2155+Summary!$B$11*U2155</f>
        <v/>
      </c>
      <c r="P2155">
        <f>IF(B2179=0,0,O2155/B2179)</f>
        <v/>
      </c>
      <c r="Q2155">
        <f>IFERROR(1/(IF(Inputs!$B$38="pvp",15,MAX(0.1,Skills!E17-IF(Skills!F17=TRUE,Inputs!$B$32,0)))*(1-IF(AND(ArtifactsInput!$M$27,Inputs!$B$4="Chapter Hunt"),CHOOSE(ArtifactsInput!$N$27+1,20,24,28,32,36,40),0)/100)),0)</f>
        <v/>
      </c>
      <c r="R2155">
        <f>IF(AND(Inputs!$B$38&lt;&gt;"pvp",Inputs!$B$43&gt;0),IF(Inputs!$B$43&lt;=0,0,(INT(Inputs!$B$43/(IF(Inputs!$B$38="pvp",15,MAX(0.1,Skills!E17-IF(Skills!F17=TRUE,Inputs!$B$32,0)))*(1-IF(AND(ArtifactsInput!$M$27,Inputs!$B$4="Chapter Hunt"),CHOOSE(ArtifactsInput!$N$27+1,20,24,28,32,36,40),0)/100)))+1)),0)</f>
        <v/>
      </c>
      <c r="S2155" t="n">
        <v>0</v>
      </c>
      <c r="U2155" t="n">
        <v>0</v>
      </c>
    </row>
    <row r="2156">
      <c r="A2156">
        <f>Skills!A18</f>
        <v/>
      </c>
      <c r="B2156">
        <f>Skills!B18</f>
        <v/>
      </c>
      <c r="C2156">
        <f>TRUE</f>
        <v/>
      </c>
      <c r="D2156">
        <f>IF(Skills!C18=1,60+Inputs!$B$25+Inputs!$B$29,IF(Skills!C18=2,90+Inputs!$B$26+Inputs!$B$29,IF(Skills!C18=3,120+Inputs!$B$27+Inputs!$B$29,MAX(0,(Inputs!$B$3-100)*3)+Inputs!$B$28+Inputs!$B$29)))</f>
        <v/>
      </c>
      <c r="E2156">
        <f>INDEX(FactorTable!$B$2:$Y$301, MATCH(ROUND(MIN(300,MAX(1,D2156)),0), FactorTable!$A$2:$A$301,0), Skills!M18+1)</f>
        <v/>
      </c>
      <c r="F2156">
        <f>IF(Skills!N18=TRUE,(Skills!L18/10)*(E2156/1000),Skills!L18/10)+Skills!O18</f>
        <v/>
      </c>
      <c r="G2156">
        <f>Calc!G18</f>
        <v/>
      </c>
      <c r="H2156">
        <f>Calc!H18</f>
        <v/>
      </c>
      <c r="I2156">
        <f>IF(Skills!X18&lt;&gt;"",1+(Skills!X18/10)*(Z2141/1000)/100,1)</f>
        <v/>
      </c>
      <c r="J2156" t="inlineStr"/>
      <c r="K2156" t="inlineStr"/>
      <c r="L2156" t="inlineStr"/>
      <c r="M2156" t="inlineStr"/>
      <c r="N2156" t="inlineStr"/>
      <c r="O2156">
        <f>(1-Summary!$B$11)*S2156+Summary!$B$11*U2156</f>
        <v/>
      </c>
      <c r="P2156">
        <f>IF(B2179=0,0,O2156/B2179)</f>
        <v/>
      </c>
      <c r="Q2156">
        <f>IFERROR(1/(IF(Inputs!$B$38="pvp",15,MAX(0.1,Skills!E18-IF(Skills!F18=TRUE,Inputs!$B$32,0)))*(1-IF(AND(ArtifactsInput!$M$27,Inputs!$B$4="Chapter Hunt"),CHOOSE(ArtifactsInput!$N$27+1,20,24,28,32,36,40),0)/100)),0)</f>
        <v/>
      </c>
      <c r="R2156">
        <f>IF(AND(Inputs!$B$38&lt;&gt;"pvp",Inputs!$B$43&gt;0),IF(Inputs!$B$43&lt;=0,0,(INT(Inputs!$B$43/(IF(Inputs!$B$38="pvp",15,MAX(0.1,Skills!E18-IF(Skills!F18=TRUE,Inputs!$B$32,0)))*(1-IF(AND(ArtifactsInput!$M$27,Inputs!$B$4="Chapter Hunt"),CHOOSE(ArtifactsInput!$N$27+1,20,24,28,32,36,40),0)/100)))+1)),0)</f>
        <v/>
      </c>
      <c r="S2156" t="n">
        <v>0</v>
      </c>
      <c r="U2156" t="n">
        <v>0</v>
      </c>
    </row>
    <row r="2157">
      <c r="A2157">
        <f>Skills!A19</f>
        <v/>
      </c>
      <c r="B2157">
        <f>Skills!B19</f>
        <v/>
      </c>
      <c r="C2157">
        <f>Inputs!$B$3&gt;=110</f>
        <v/>
      </c>
      <c r="D2157">
        <f>IF(Skills!C19=1,60+Inputs!$B$25+Inputs!$B$29,IF(Skills!C19=2,90+Inputs!$B$26+Inputs!$B$29,IF(Skills!C19=3,120+Inputs!$B$27+Inputs!$B$29,MAX(0,(Inputs!$B$3-100)*3)+Inputs!$B$28+Inputs!$B$29)))</f>
        <v/>
      </c>
      <c r="E2157">
        <f>INDEX(FactorTable!$B$2:$Y$301, MATCH(ROUND(MIN(300,MAX(1,D2157)),0), FactorTable!$A$2:$A$301,0), Skills!M19+1)</f>
        <v/>
      </c>
      <c r="F2157">
        <f>IF(Skills!N19=TRUE,(Skills!L19/10)*(E2157/1000),Skills!L19/10)+Skills!O19</f>
        <v/>
      </c>
      <c r="G2157">
        <f>Calc!G19</f>
        <v/>
      </c>
      <c r="H2157">
        <f>Calc!H19</f>
        <v/>
      </c>
      <c r="I2157">
        <f>IF(Skills!X19&lt;&gt;"",1+(Skills!X19/10)*(Z2141/1000)/100,1)</f>
        <v/>
      </c>
      <c r="J2157" t="inlineStr"/>
      <c r="K2157" t="inlineStr"/>
      <c r="L2157" t="inlineStr"/>
      <c r="M2157" t="inlineStr"/>
      <c r="N2157" t="inlineStr"/>
      <c r="O2157">
        <f>(1-Summary!$B$11)*S2157+Summary!$B$11*U2157</f>
        <v/>
      </c>
      <c r="P2157">
        <f>IF(B2179=0,0,O2157/B2179)</f>
        <v/>
      </c>
      <c r="Q2157">
        <f>IFERROR(1/(IF(Inputs!$B$38="pvp",15,MAX(0.1,Skills!E19-IF(Skills!F19=TRUE,Inputs!$B$32,0)))*(1-IF(AND(ArtifactsInput!$M$27,Inputs!$B$4="Chapter Hunt"),CHOOSE(ArtifactsInput!$N$27+1,20,24,28,32,36,40),0)/100)),0)</f>
        <v/>
      </c>
      <c r="R2157">
        <f>IF(AND(Inputs!$B$38&lt;&gt;"pvp",Inputs!$B$43&gt;0),IF(Inputs!$B$43&lt;=0,0,(INT(Inputs!$B$43/(IF(Inputs!$B$38="pvp",15,MAX(0.1,Skills!E19-IF(Skills!F19=TRUE,Inputs!$B$32,0)))*(1-IF(AND(ArtifactsInput!$M$27,Inputs!$B$4="Chapter Hunt"),CHOOSE(ArtifactsInput!$N$27+1,20,24,28,32,36,40),0)/100)))+1)),0)</f>
        <v/>
      </c>
      <c r="S2157" t="n">
        <v>0</v>
      </c>
      <c r="U2157" t="n">
        <v>0</v>
      </c>
    </row>
    <row r="2158">
      <c r="A2158">
        <f>Skills!A20</f>
        <v/>
      </c>
      <c r="B2158">
        <f>Skills!B20</f>
        <v/>
      </c>
      <c r="C2158">
        <f>TRUE</f>
        <v/>
      </c>
      <c r="D2158">
        <f>IF(Skills!C20=1,60+Inputs!$B$25+Inputs!$B$29,IF(Skills!C20=2,90+Inputs!$B$26+Inputs!$B$29,IF(Skills!C20=3,120+Inputs!$B$27+Inputs!$B$29,MAX(0,(Inputs!$B$3-100)*3)+Inputs!$B$28+Inputs!$B$29)))</f>
        <v/>
      </c>
      <c r="E2158">
        <f>INDEX(FactorTable!$B$2:$Y$301, MATCH(ROUND(MIN(300,MAX(1,D2158)),0), FactorTable!$A$2:$A$301,0), Skills!M20+1)</f>
        <v/>
      </c>
      <c r="F2158">
        <f>IF(Skills!N20=TRUE,(Skills!L20/10)*(E2158/1000),Skills!L20/10)+Skills!O20</f>
        <v/>
      </c>
      <c r="G2158">
        <f>Calc!G20</f>
        <v/>
      </c>
      <c r="H2158">
        <f>Calc!H20</f>
        <v/>
      </c>
      <c r="I2158">
        <f>IF(Skills!X20&lt;&gt;"",1+(Skills!X20/10)*(Z2141/1000)/100,1)</f>
        <v/>
      </c>
      <c r="J2158" t="inlineStr"/>
      <c r="K2158" t="inlineStr"/>
      <c r="L2158" t="inlineStr"/>
      <c r="M2158" t="inlineStr"/>
      <c r="N2158" t="inlineStr"/>
      <c r="O2158">
        <f>(1-Summary!$B$11)*S2158+Summary!$B$11*U2158</f>
        <v/>
      </c>
      <c r="P2158">
        <f>IF(B2179=0,0,O2158/B2179)</f>
        <v/>
      </c>
      <c r="Q2158">
        <f>IFERROR(1/(IF(Inputs!$B$38="pvp",15,MAX(0.1,Skills!E20-IF(Skills!F20=TRUE,Inputs!$B$32,0)))*(1-IF(AND(ArtifactsInput!$M$27,Inputs!$B$4="Chapter Hunt"),CHOOSE(ArtifactsInput!$N$27+1,20,24,28,32,36,40),0)/100)),0)</f>
        <v/>
      </c>
      <c r="R2158" t="n">
        <v>0</v>
      </c>
      <c r="S2158" t="n">
        <v>0</v>
      </c>
      <c r="U2158" t="n">
        <v>0</v>
      </c>
    </row>
    <row r="2159">
      <c r="A2159">
        <f>Skills!A21</f>
        <v/>
      </c>
      <c r="B2159">
        <f>Skills!B21</f>
        <v/>
      </c>
      <c r="C2159">
        <f>TRUE</f>
        <v/>
      </c>
      <c r="D2159">
        <f>IF(Skills!C21=1,60+Inputs!$B$25+Inputs!$B$29,IF(Skills!C21=2,90+Inputs!$B$26+Inputs!$B$29,IF(Skills!C21=3,120+Inputs!$B$27+Inputs!$B$29,MAX(0,(Inputs!$B$3-100)*3)+Inputs!$B$28+Inputs!$B$29)))</f>
        <v/>
      </c>
      <c r="E2159">
        <f>INDEX(FactorTable!$B$2:$Y$301, MATCH(ROUND(MIN(300,MAX(1,D2159)),0), FactorTable!$A$2:$A$301,0), Skills!M21+1)</f>
        <v/>
      </c>
      <c r="F2159">
        <f>IF(Skills!N21=TRUE,(Skills!L21/10)*(E2159/1000),Skills!L21/10)+Skills!O21</f>
        <v/>
      </c>
      <c r="G2159">
        <f>Calc!G21</f>
        <v/>
      </c>
      <c r="H2159">
        <f>Calc!H21</f>
        <v/>
      </c>
      <c r="I2159">
        <f>IF(Skills!X21&lt;&gt;"",1+(Skills!X21/10)*(Z2141/1000)/100,1)</f>
        <v/>
      </c>
      <c r="J2159" t="inlineStr"/>
      <c r="K2159" t="inlineStr"/>
      <c r="L2159" t="inlineStr"/>
      <c r="M2159" t="inlineStr"/>
      <c r="N2159" t="inlineStr"/>
      <c r="O2159">
        <f>(1-Summary!$B$11)*S2159+Summary!$B$11*U2159</f>
        <v/>
      </c>
      <c r="P2159">
        <f>IF(B2179=0,0,O2159/B2179)</f>
        <v/>
      </c>
      <c r="Q2159">
        <f>IFERROR(1/(IF(Inputs!$B$38="pvp",15,MAX(0.1,Skills!E21-IF(Skills!F21=TRUE,Inputs!$B$32,0)))*(1-IF(AND(ArtifactsInput!$M$27,Inputs!$B$4="Chapter Hunt"),CHOOSE(ArtifactsInput!$N$27+1,20,24,28,32,36,40),0)/100)),0)</f>
        <v/>
      </c>
      <c r="R2159" t="n">
        <v>0</v>
      </c>
      <c r="S2159" t="n">
        <v>0</v>
      </c>
      <c r="U2159" t="n">
        <v>0</v>
      </c>
    </row>
    <row r="2160">
      <c r="A2160">
        <f>Skills!A22</f>
        <v/>
      </c>
      <c r="B2160">
        <f>Skills!B22</f>
        <v/>
      </c>
      <c r="C2160">
        <f>TRUE</f>
        <v/>
      </c>
      <c r="D2160">
        <f>IF(Skills!C22=1,60+Inputs!$B$25+Inputs!$B$29,IF(Skills!C22=2,90+Inputs!$B$26+Inputs!$B$29,IF(Skills!C22=3,120+Inputs!$B$27+Inputs!$B$29,MAX(0,(Inputs!$B$3-100)*3)+Inputs!$B$28+Inputs!$B$29)))</f>
        <v/>
      </c>
      <c r="E2160">
        <f>INDEX(FactorTable!$B$2:$Y$301, MATCH(ROUND(MIN(300,MAX(1,D2160)),0), FactorTable!$A$2:$A$301,0), Skills!M22+1)</f>
        <v/>
      </c>
      <c r="F2160">
        <f>IF(Skills!N22=TRUE,(Skills!L22/10)*(E2160/1000),Skills!L22/10)+Skills!O22</f>
        <v/>
      </c>
      <c r="G2160">
        <f>Calc!G22</f>
        <v/>
      </c>
      <c r="H2160">
        <f>Calc!H22</f>
        <v/>
      </c>
      <c r="I2160">
        <f>IF(Skills!X22&lt;&gt;"",1+(Skills!X22/10)*(Z2141/1000)/100,1)</f>
        <v/>
      </c>
      <c r="J2160" t="inlineStr"/>
      <c r="K2160" t="inlineStr"/>
      <c r="L2160" t="inlineStr"/>
      <c r="M2160" t="inlineStr"/>
      <c r="N2160" t="inlineStr"/>
      <c r="O2160">
        <f>(1-Summary!$B$11)*S2160+Summary!$B$11*U2160</f>
        <v/>
      </c>
      <c r="P2160">
        <f>IF(B2179=0,0,O2160/B2179)</f>
        <v/>
      </c>
      <c r="Q2160">
        <f>IFERROR(1/(IF(Inputs!$B$38="pvp",15,MAX(0.1,Skills!E22-IF(Skills!F22=TRUE,Inputs!$B$32,0)))*(1-IF(AND(ArtifactsInput!$M$27,Inputs!$B$4="Chapter Hunt"),CHOOSE(ArtifactsInput!$N$27+1,20,24,28,32,36,40),0)/100)),0)</f>
        <v/>
      </c>
      <c r="R2160" t="n">
        <v>0</v>
      </c>
      <c r="S2160" t="n">
        <v>0</v>
      </c>
      <c r="U2160" t="n">
        <v>0</v>
      </c>
    </row>
    <row r="2161">
      <c r="A2161">
        <f>Skills!A23</f>
        <v/>
      </c>
      <c r="B2161">
        <f>Skills!B23</f>
        <v/>
      </c>
      <c r="C2161">
        <f>TRUE</f>
        <v/>
      </c>
      <c r="D2161">
        <f>IF(Skills!C23=1,60+Inputs!$B$25+Inputs!$B$29,IF(Skills!C23=2,90+Inputs!$B$26+Inputs!$B$29,IF(Skills!C23=3,120+Inputs!$B$27+Inputs!$B$29,MAX(0,(Inputs!$B$3-100)*3)+Inputs!$B$28+Inputs!$B$29)))</f>
        <v/>
      </c>
      <c r="E2161">
        <f>INDEX(FactorTable!$B$2:$Y$301, MATCH(ROUND(MIN(300,MAX(1,D2161)),0), FactorTable!$A$2:$A$301,0), Skills!M23+1)</f>
        <v/>
      </c>
      <c r="F2161">
        <f>IF(Skills!N23=TRUE,(Skills!L23/10)*(E2161/1000),Skills!L23/10)+Skills!O23</f>
        <v/>
      </c>
      <c r="G2161">
        <f>Calc!G23</f>
        <v/>
      </c>
      <c r="H2161">
        <f>Calc!H23</f>
        <v/>
      </c>
      <c r="I2161">
        <f>IF(Skills!X23&lt;&gt;"",1+(Skills!X23/10)*(Z2141/1000)/100,1)</f>
        <v/>
      </c>
      <c r="J2161" t="inlineStr"/>
      <c r="K2161" t="inlineStr"/>
      <c r="L2161" t="inlineStr"/>
      <c r="M2161" t="inlineStr"/>
      <c r="N2161" t="inlineStr"/>
      <c r="O2161">
        <f>(1-Summary!$B$11)*S2161+Summary!$B$11*U2161</f>
        <v/>
      </c>
      <c r="P2161">
        <f>IF(B2179=0,0,O2161/B2179)</f>
        <v/>
      </c>
      <c r="Q2161">
        <f>IFERROR(1/(IF(Inputs!$B$38="pvp",15,MAX(0.1,Skills!E23-IF(Skills!F23=TRUE,Inputs!$B$32,0)))*(1-IF(AND(ArtifactsInput!$M$27,Inputs!$B$4="Chapter Hunt"),CHOOSE(ArtifactsInput!$N$27+1,20,24,28,32,36,40),0)/100)),0)</f>
        <v/>
      </c>
      <c r="R2161" t="n">
        <v>0</v>
      </c>
      <c r="S2161" t="n">
        <v>0</v>
      </c>
      <c r="U2161" t="n">
        <v>0</v>
      </c>
    </row>
    <row r="2162">
      <c r="A2162">
        <f>Skills!A24</f>
        <v/>
      </c>
      <c r="B2162">
        <f>Skills!B24</f>
        <v/>
      </c>
      <c r="C2162">
        <f>Inputs!$B$3&gt;=115</f>
        <v/>
      </c>
      <c r="D2162">
        <f>IF(Skills!C24=1,60+Inputs!$B$25+Inputs!$B$29,IF(Skills!C24=2,90+Inputs!$B$26+Inputs!$B$29,IF(Skills!C24=3,120+Inputs!$B$27+Inputs!$B$29,MAX(0,(Inputs!$B$3-100)*3)+Inputs!$B$28+Inputs!$B$29)))</f>
        <v/>
      </c>
      <c r="E2162">
        <f>INDEX(FactorTable!$B$2:$Y$301, MATCH(ROUND(MIN(300,MAX(1,D2162)),0), FactorTable!$A$2:$A$301,0), Skills!M24+1)</f>
        <v/>
      </c>
      <c r="F2162">
        <f>IF(Skills!N24=TRUE,(Skills!L24/10)*(E2162/1000),Skills!L24/10)+Skills!O24</f>
        <v/>
      </c>
      <c r="G2162">
        <f>Calc!G24</f>
        <v/>
      </c>
      <c r="H2162">
        <f>Calc!H24</f>
        <v/>
      </c>
      <c r="I2162">
        <f>IF(Skills!X24&lt;&gt;"",1+(Skills!X24/10)*(Z2141/1000)/100,1)</f>
        <v/>
      </c>
      <c r="J2162">
        <f>((Inputs!$B$6*(1+Inputs!$B$7/100))+(((Inputs!$B$12*(1+Inputs!$B$13/100))-(Inputs!$B$12*(1+Inputs!$B$13/100)))+0.25*(Inputs!$B$14-Inputs!$B$14))*(1+Inputs!$B$7/100))*(F2162/100)</f>
        <v/>
      </c>
      <c r="K2162">
        <f>J2162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2162)</f>
        <v/>
      </c>
      <c r="L2162">
        <f>K2162*(MIN(Inputs!$B$22+(F2160-Calc!F22),(Inputs!$B$23+(IF(ArtifactsInput!$M$15,CHOOSE(ArtifactsInput!$N$15+1,25,30,35,40,45,50)/100*(Inputs!$B$11-Inputs!$B$11),0))))/100+(Inputs!$B$23+(IF(ArtifactsInput!$M$15,CHOOSE(ArtifactsInput!$N$15+1,25,30,35,40,45,50)/100*(Inputs!$B$11-Inputs!$B$11),0)))/100)/2</f>
        <v/>
      </c>
      <c r="M2162">
        <f>L2162*(1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2">
        <f>L2162*(1-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2162*(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2">
        <f>(1-Summary!$B$11)*S2162+Summary!$B$11*U2162</f>
        <v/>
      </c>
      <c r="P2162">
        <f>IF(B2179=0,0,O2162/B2179)</f>
        <v/>
      </c>
      <c r="Q2162">
        <f>IFERROR(1/(IF(Inputs!$B$38="pvp",15,MAX(0.1,Skills!E24-IF(Skills!F24=TRUE,Inputs!$B$32,0)))*(1-IF(AND(ArtifactsInput!$M$27,Inputs!$B$4="Chapter Hunt"),CHOOSE(ArtifactsInput!$N$27+1,20,24,28,32,36,40),0)/100)),0)</f>
        <v/>
      </c>
      <c r="R2162">
        <f>IF(AND(Inputs!$B$38&lt;&gt;"pvp",Inputs!$B$43&gt;0),IF(MAX(0,Inputs!$B$43-B2176)&lt;=0,0,(INT(MAX(0,Inputs!$B$43-B2176)/(IF(Inputs!$B$38="pvp",15,MAX(0.1,Skills!E24-IF(Skills!F24=TRUE,Inputs!$B$32,0)))*(1-IF(AND(ArtifactsInput!$M$27,Inputs!$B$4="Chapter Hunt"),CHOOSE(ArtifactsInput!$N$27+1,20,24,28,32,36,40),0)/100)))+1)),0)</f>
        <v/>
      </c>
      <c r="S2162">
        <f>IF(C2162,(H2162*N2162*IF(AND(Inputs!$B$38&lt;&gt;"pvp",Inputs!$B$43&gt;0),((Skills!G24*((R2162-1)*IF(Skills!H24&gt;0,Skills!I24/Skills!H24,1)+IF(Skills!H24&gt;0,MIN(Skills!I24,MAX(0,MAX(0,Inputs!$B$43-B2176)-((R2162-1)*(IF(Inputs!$B$38="pvp",15,MAX(0.1,Skills!E24-IF(Skills!F24=TRUE,Inputs!$B$32,0)))*(1-IF(AND(ArtifactsInput!$M$27,Inputs!$B$4="Chapter Hunt"),CHOOSE(ArtifactsInput!$N$27+1,20,24,28,32,36,40),0)/100)))))/Skills!H24,1)))/Inputs!$B$43),G2162*Q2162)*(1+IF(Inputs!$B$3&gt;=130,0.2*(Skills!I16/Skills!E15+IF(Inputs!$B$3&gt;=126,0.05*(B2174+Q2151+(H2152*B2175)/(1+Skills!H14*H2152*B2175)+Q2162)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2162*(1-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2162*(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2162*(1-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2162*(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62">
        <f>IF(C2162,(H2162*N2162*IF(AND(Inputs!$B$38&lt;&gt;"pvp",Inputs!$B$43&gt;0),((Skills!G24*((R2162-1)*IF(Skills!H24&gt;0,Skills!I24/Skills!H24,1)+IF(Skills!H24&gt;0,MIN(Skills!I24,MAX(0,MAX(0,Inputs!$B$43-B2176)-((R2162-1)*(IF(Inputs!$B$38="pvp",15,MAX(0.1,Skills!E24-IF(Skills!F24=TRUE,Inputs!$B$32,0)))*(1-IF(AND(ArtifactsInput!$M$27,Inputs!$B$4="Chapter Hunt"),CHOOSE(ArtifactsInput!$N$27+1,20,24,28,32,36,40),0)/100)))))/Skills!H24,1)))/Inputs!$B$43),G2162*Q2162)*(1+IF(Inputs!$B$3&gt;=130,0.2*(Skills!I16/Skills!E15+IF(Inputs!$B$3&gt;=126,0.05*(B2174+Q2151+(H2152*B2175)/(1+Skills!H14*H2152*B2175)+Q2162)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3">
      <c r="A2163">
        <f>Skills!A25</f>
        <v/>
      </c>
      <c r="B2163">
        <f>Skills!B25</f>
        <v/>
      </c>
      <c r="C2163">
        <f>Inputs!$B$3&gt;=117</f>
        <v/>
      </c>
      <c r="D2163">
        <f>IF(Skills!C25=1,60+Inputs!$B$25+Inputs!$B$29,IF(Skills!C25=2,90+Inputs!$B$26+Inputs!$B$29,IF(Skills!C25=3,120+Inputs!$B$27+Inputs!$B$29,MAX(0,(Inputs!$B$3-100)*3)+Inputs!$B$28+Inputs!$B$29)))</f>
        <v/>
      </c>
      <c r="E2163">
        <f>INDEX(FactorTable!$B$2:$Y$301, MATCH(ROUND(MIN(300,MAX(1,D2163)),0), FactorTable!$A$2:$A$301,0), Skills!M25+1)</f>
        <v/>
      </c>
      <c r="F2163">
        <f>IF(Skills!N25=TRUE,(Skills!L25/10)*(E2163/1000),Skills!L25/10)+Skills!O25</f>
        <v/>
      </c>
      <c r="G2163">
        <f>Calc!G25</f>
        <v/>
      </c>
      <c r="H2163">
        <f>Calc!H25</f>
        <v/>
      </c>
      <c r="I2163">
        <f>IF(Skills!X25&lt;&gt;"",1+(Skills!X25/10)*(Z2141/1000)/100,1)</f>
        <v/>
      </c>
      <c r="J2163" t="inlineStr"/>
      <c r="K2163" t="inlineStr"/>
      <c r="L2163" t="inlineStr"/>
      <c r="M2163" t="inlineStr"/>
      <c r="N2163" t="inlineStr"/>
      <c r="O2163">
        <f>(1-Summary!$B$11)*S2163+Summary!$B$11*U2163</f>
        <v/>
      </c>
      <c r="P2163">
        <f>IF(B2179=0,0,O2163/B2179)</f>
        <v/>
      </c>
      <c r="Q2163">
        <f>IFERROR(1/(IF(Inputs!$B$38="pvp",15,MAX(0.1,Skills!E25-IF(Skills!F25=TRUE,Inputs!$B$32,0)))*(1-IF(AND(ArtifactsInput!$M$27,Inputs!$B$4="Chapter Hunt"),CHOOSE(ArtifactsInput!$N$27+1,20,24,28,32,36,40),0)/100)),0)</f>
        <v/>
      </c>
      <c r="R2163" t="n">
        <v>0</v>
      </c>
      <c r="S2163" t="n">
        <v>0</v>
      </c>
      <c r="U2163" t="n">
        <v>0</v>
      </c>
    </row>
    <row r="2164">
      <c r="A2164">
        <f>Skills!A26</f>
        <v/>
      </c>
      <c r="B2164">
        <f>Skills!B26</f>
        <v/>
      </c>
      <c r="C2164">
        <f>Inputs!$B$3&gt;=120</f>
        <v/>
      </c>
      <c r="D2164">
        <f>IF(Skills!C26=1,60+Inputs!$B$25+Inputs!$B$29,IF(Skills!C26=2,90+Inputs!$B$26+Inputs!$B$29,IF(Skills!C26=3,120+Inputs!$B$27+Inputs!$B$29,MAX(0,(Inputs!$B$3-100)*3)+Inputs!$B$28+Inputs!$B$29)))</f>
        <v/>
      </c>
      <c r="E2164">
        <f>INDEX(FactorTable!$B$2:$Y$301, MATCH(ROUND(MIN(300,MAX(1,D2164)),0), FactorTable!$A$2:$A$301,0), Skills!M26+1)</f>
        <v/>
      </c>
      <c r="F2164">
        <f>IF(Skills!N26=TRUE,(Skills!L26/10)*(E2164/1000),Skills!L26/10)+Skills!O26</f>
        <v/>
      </c>
      <c r="G2164">
        <f>Calc!G26</f>
        <v/>
      </c>
      <c r="H2164">
        <f>Calc!H26</f>
        <v/>
      </c>
      <c r="I2164">
        <f>IF(Skills!X26&lt;&gt;"",1+(Skills!X26/10)*(Z2141/1000)/100,1)</f>
        <v/>
      </c>
      <c r="J2164" t="inlineStr"/>
      <c r="K2164" t="inlineStr"/>
      <c r="L2164" t="inlineStr"/>
      <c r="M2164" t="inlineStr"/>
      <c r="N2164" t="inlineStr"/>
      <c r="O2164">
        <f>(1-Summary!$B$11)*S2164+Summary!$B$11*U2164</f>
        <v/>
      </c>
      <c r="P2164">
        <f>IF(B2179=0,0,O2164/B2179)</f>
        <v/>
      </c>
      <c r="Q2164">
        <f>IFERROR(1/(IF(Inputs!$B$38="pvp",15,MAX(0.1,Skills!E26-IF(Skills!F26=TRUE,Inputs!$B$32,0)))*(1-IF(AND(ArtifactsInput!$M$27,Inputs!$B$4="Chapter Hunt"),CHOOSE(ArtifactsInput!$N$27+1,20,24,28,32,36,40),0)/100)),0)</f>
        <v/>
      </c>
      <c r="R2164" t="n">
        <v>0</v>
      </c>
      <c r="S2164" t="n">
        <v>0</v>
      </c>
      <c r="U2164" t="n">
        <v>0</v>
      </c>
    </row>
    <row r="2165">
      <c r="A2165">
        <f>Skills!A27</f>
        <v/>
      </c>
      <c r="B2165">
        <f>Skills!B27</f>
        <v/>
      </c>
      <c r="C2165">
        <f>Inputs!$B$3&gt;=125</f>
        <v/>
      </c>
      <c r="D2165">
        <f>IF(Skills!C27=1,60+Inputs!$B$25+Inputs!$B$29,IF(Skills!C27=2,90+Inputs!$B$26+Inputs!$B$29,IF(Skills!C27=3,120+Inputs!$B$27+Inputs!$B$29,MAX(0,(Inputs!$B$3-100)*3)+Inputs!$B$28+Inputs!$B$29)))</f>
        <v/>
      </c>
      <c r="E2165">
        <f>INDEX(FactorTable!$B$2:$Y$301, MATCH(ROUND(MIN(300,MAX(1,D2165)),0), FactorTable!$A$2:$A$301,0), Skills!M27+1)</f>
        <v/>
      </c>
      <c r="F2165">
        <f>IF(Skills!N27=TRUE,(Skills!L27/10)*(E2165/1000),Skills!L27/10)+Skills!O27</f>
        <v/>
      </c>
      <c r="G2165">
        <f>Calc!G27</f>
        <v/>
      </c>
      <c r="H2165">
        <f>Calc!H27</f>
        <v/>
      </c>
      <c r="I2165">
        <f>IF(Skills!X27&lt;&gt;"",1+(Skills!X27/10)*(Z2141/1000)/100,1)</f>
        <v/>
      </c>
      <c r="J2165" t="inlineStr"/>
      <c r="K2165" t="inlineStr"/>
      <c r="L2165" t="inlineStr"/>
      <c r="M2165" t="inlineStr"/>
      <c r="N2165" t="inlineStr"/>
      <c r="O2165">
        <f>(1-Summary!$B$11)*S2165+Summary!$B$11*U2165</f>
        <v/>
      </c>
      <c r="P2165">
        <f>IF(B2179=0,0,O2165/B2179)</f>
        <v/>
      </c>
      <c r="Q2165">
        <f>IFERROR(1/(IF(Inputs!$B$38="pvp",15,MAX(0.1,Skills!E27-IF(Skills!F27=TRUE,Inputs!$B$32,0)))*(1-IF(AND(ArtifactsInput!$M$27,Inputs!$B$4="Chapter Hunt"),CHOOSE(ArtifactsInput!$N$27+1,20,24,28,32,36,40),0)/100)),0)</f>
        <v/>
      </c>
      <c r="R2165" t="n">
        <v>0</v>
      </c>
      <c r="S2165" t="n">
        <v>0</v>
      </c>
      <c r="U2165" t="n">
        <v>0</v>
      </c>
    </row>
    <row r="2166">
      <c r="A2166">
        <f>Skills!A28</f>
        <v/>
      </c>
      <c r="B2166">
        <f>Skills!B28</f>
        <v/>
      </c>
      <c r="C2166">
        <f>Inputs!$B$3&gt;=118</f>
        <v/>
      </c>
      <c r="D2166">
        <f>IF(Skills!C28=1,60+Inputs!$B$25+Inputs!$B$29,IF(Skills!C28=2,90+Inputs!$B$26+Inputs!$B$29,IF(Skills!C28=3,120+Inputs!$B$27+Inputs!$B$29,MAX(0,(Inputs!$B$3-100)*3)+Inputs!$B$28+Inputs!$B$29)))</f>
        <v/>
      </c>
      <c r="E2166">
        <f>INDEX(FactorTable!$B$2:$Y$301, MATCH(ROUND(MIN(300,MAX(1,D2166)),0), FactorTable!$A$2:$A$301,0), Skills!M28+1)</f>
        <v/>
      </c>
      <c r="F2166">
        <f>IF(Skills!N28=TRUE,(Skills!L28/10)*(E2166/1000),Skills!L28/10)+Skills!O28</f>
        <v/>
      </c>
      <c r="G2166">
        <f>Calc!G28</f>
        <v/>
      </c>
      <c r="H2166">
        <f>Calc!H28</f>
        <v/>
      </c>
      <c r="I2166">
        <f>IF(Skills!X28&lt;&gt;"",1+(Skills!X28/10)*(Z2141/1000)/100,1)</f>
        <v/>
      </c>
      <c r="J2166">
        <f>((Inputs!$B$6*(1+Inputs!$B$7/100))+(((Inputs!$B$12*(1+Inputs!$B$13/100))-(Inputs!$B$12*(1+Inputs!$B$13/100)))+0.25*(Inputs!$B$14-Inputs!$B$14))*(1+Inputs!$B$7/100))*(F2166/100)</f>
        <v/>
      </c>
      <c r="K2166">
        <f>J2166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2161/100)*(1+IF(Inputs!$B$3&gt;=120,F2164,0)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2165*5,0)))/100)*(B2168*B2169*B2170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2166)</f>
        <v/>
      </c>
      <c r="L2166">
        <f>K2166*(MIN(Inputs!$B$22+(F2160-Calc!F22),(Inputs!$B$23+(IF(ArtifactsInput!$M$15,CHOOSE(ArtifactsInput!$N$15+1,25,30,35,40,45,50)/100*(Inputs!$B$11-Inputs!$B$11),0))))/100+(Inputs!$B$23+(IF(ArtifactsInput!$M$15,CHOOSE(ArtifactsInput!$N$15+1,25,30,35,40,45,50)/100*(Inputs!$B$11-Inputs!$B$11),0)))/100)/2</f>
        <v/>
      </c>
      <c r="M2166">
        <f>L2166*(1+(Inputs!$B$10+(F2159-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6">
        <f>L2166*(1-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2166*(MIN((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6">
        <f>(1-Summary!$B$11)*S2166+Summary!$B$11*U2166</f>
        <v/>
      </c>
      <c r="P2166">
        <f>IF(B2179=0,0,O2166/B2179)</f>
        <v/>
      </c>
      <c r="Q2166">
        <f>IFERROR(1/(IF(Inputs!$B$38="pvp",15,MAX(0.1,Skills!E28-IF(Skills!F28=TRUE,Inputs!$B$32,0)))*(1-IF(AND(ArtifactsInput!$M$27,Inputs!$B$4="Chapter Hunt"),CHOOSE(ArtifactsInput!$N$27+1,20,24,28,32,36,40),0)/100)),0)</f>
        <v/>
      </c>
      <c r="R2166">
        <f>IF(AND(Inputs!$B$38&lt;&gt;"pvp",Inputs!$B$43&gt;0),IF(MAX(0,Inputs!$B$43-B2176)&lt;=0,0,(INT(MAX(0,Inputs!$B$43-B2176)/(IF(Inputs!$B$38="pvp",15,MAX(0.1,Skills!E28-IF(Skills!F28=TRUE,Inputs!$B$32,0)))*(1-IF(AND(ArtifactsInput!$M$27,Inputs!$B$4="Chapter Hunt"),CHOOSE(ArtifactsInput!$N$27+1,20,24,28,32,36,40),0)/100)))+1)),0)</f>
        <v/>
      </c>
      <c r="S2166">
        <f>IF(C2166,(H2166*N2166*IF(AND(Inputs!$B$38&lt;&gt;"pvp",Inputs!$B$43&gt;0),((Skills!G28*((R2166-1)*IF(Skills!H28&gt;0,Skills!I28/Skills!H28,1)+IF(Skills!H28&gt;0,MIN(Skills!I28,MAX(0,MAX(0,Inputs!$B$43-B2176)-((R2166-1)*(IF(Inputs!$B$38="pvp",15,MAX(0.1,Skills!E28-IF(Skills!F28=TRUE,Inputs!$B$32,0)))*(1-IF(AND(ArtifactsInput!$M$27,Inputs!$B$4="Chapter Hunt"),CHOOSE(ArtifactsInput!$N$27+1,20,24,28,32,36,40),0)/100)))))/Skills!H28,1)))/Inputs!$B$43),G2166*Q2166)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2166*(1-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2166*(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2166*(1-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2166*(MIN(100,(Inputs!$B$9+(F2158-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66">
        <f>IF(C2166,(H2166*N2166*IF(AND(Inputs!$B$38&lt;&gt;"pvp",Inputs!$B$43&gt;0),((Skills!G28*((R2166-1)*IF(Skills!H28&gt;0,Skills!I28/Skills!H28,1)+IF(Skills!H28&gt;0,MIN(Skills!I28,MAX(0,MAX(0,Inputs!$B$43-B2176)-((R2166-1)*(IF(Inputs!$B$38="pvp",15,MAX(0.1,Skills!E28-IF(Skills!F28=TRUE,Inputs!$B$32,0)))*(1-IF(AND(ArtifactsInput!$M$27,Inputs!$B$4="Chapter Hunt"),CHOOSE(ArtifactsInput!$N$27+1,20,24,28,32,36,40),0)/100)))))/Skills!H28,1)))/Inputs!$B$43),G2166*Q2166)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8">
      <c r="A2168" t="inlineStr">
        <is>
          <t>Burning Magic Multiplier</t>
        </is>
      </c>
      <c r="B2168">
        <f>1+(F2149*Skills!Z11)/100</f>
        <v/>
      </c>
    </row>
    <row r="2169">
      <c r="A2169" t="inlineStr">
        <is>
          <t>Elemental Decrease Multiplier (always-on)</t>
        </is>
      </c>
      <c r="B2169">
        <f>1+(F2150+(IF(AND(ArtifactsInput!$M$35,Inputs!$B$4&lt;&gt;"Chapter Hunt"),CHOOSE(ArtifactsInput!$N$35+1,15,18,21,24,27,30)*(1-EXP(-(0.2*B2172)*5)),0)+IF(AND(ArtifactsInput!$M$22,Inputs!$B$4&lt;&gt;"Chapter Hunt"),CHOOSE(ArtifactsInput!$N$22+1,10,12,14,16,18,20)*((0*(((0.15*B2172*5))^0/1)+1*(((0.15*B2172*5))^1/1)+2*(((0.15*B2172*5))^2/2)+3*(((0.15*B2172*5))^3/6)+4*(((0.15*B2172*5))^4/24)+5*(((0.15*B2172*5))^5/120))/((((0.15*B2172*5))^0/1)+(((0.15*B2172*5))^1/1)+(((0.15*B2172*5))^2/2)+(((0.15*B2172*5))^3/6)+(((0.15*B2172*5))^4/24)+(((0.15*B2172*5))^5/120))),0)))/100</f>
        <v/>
      </c>
    </row>
    <row r="2170">
      <c r="A2170" t="inlineStr">
        <is>
          <t>Average Buff Multiplier (Magic Guard + Meditation + Artifact Attack%, summed; then Infinity)</t>
        </is>
      </c>
      <c r="B2170">
        <f>(1+(F2144*IF(AND(Inputs!$B$38&lt;&gt;"pvp",Inputs!$B$43&gt;0),(((R2144-1)*(Skills!T6*(1+((Inputs!$B$34+(ArtifactsInput!$M$7-ArtifactsInput!$M$7)*CHOOSE(ArtifactsInput!$N$7+1,6,7.2,8.4,9.6,10.8,12)))/100))+MIN((Skills!T6*(1+((Inputs!$B$34+(ArtifactsInput!$M$7-ArtifactsInput!$M$7)*CHOOSE(ArtifactsInput!$N$7+1,6,7.2,8.4,9.6,10.8,12)))/100)),MAX(0,Inputs!$B$43-((R2144-1)*Skills!E6))))/Inputs!$B$43),IF(Inputs!$B$38="pvp",MIN((Skills!T6*(1+((Inputs!$B$34+(ArtifactsInput!$M$7-ArtifactsInput!$M$7)*CHOOSE(ArtifactsInput!$N$7+1,6,7.2,8.4,9.6,10.8,12)))/100)),15)/15,(Skills!T6*(1+((Inputs!$B$34+(ArtifactsInput!$M$7-ArtifactsInput!$M$7)*CHOOSE(ArtifactsInput!$N$7+1,6,7.2,8.4,9.6,10.8,12)))/100))/Skills!E6))+F2155*IF(AND(Inputs!$B$38&lt;&gt;"pvp",Inputs!$B$43&gt;0),(((R2155-1)*(Skills!T17*(1+((Inputs!$B$34+(ArtifactsInput!$M$7-ArtifactsInput!$M$7)*CHOOSE(ArtifactsInput!$N$7+1,6,7.2,8.4,9.6,10.8,12)))/100))+MIN((Skills!T17*(1+((Inputs!$B$34+(ArtifactsInput!$M$7-ArtifactsInput!$M$7)*CHOOSE(ArtifactsInput!$N$7+1,6,7.2,8.4,9.6,10.8,12)))/100)),MAX(0,Inputs!$B$43-((R2155-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2157=TRUE,(1+F2157*IF(AND(Inputs!$B$38&lt;&gt;"pvp",Inputs!$B$43&gt;0),(((R2157-1)*(Skills!T19*(1+((Inputs!$B$34+(ArtifactsInput!$M$7-ArtifactsInput!$M$7)*CHOOSE(ArtifactsInput!$N$7+1,6,7.2,8.4,9.6,10.8,12)))/100))+MIN((Skills!T19*(1+((Inputs!$B$34+(ArtifactsInput!$M$7-ArtifactsInput!$M$7)*CHOOSE(ArtifactsInput!$N$7+1,6,7.2,8.4,9.6,10.8,12)))/100)),MAX(0,Inputs!$B$43-((R2157-1)*Skills!E19))))/Inputs!$B$43),IF(Inputs!$B$38="pvp",MIN((Skills!T19*(1+((Inputs!$B$34+(ArtifactsInput!$M$7-ArtifactsInput!$M$7)*CHOOSE(ArtifactsInput!$N$7+1,6,7.2,8.4,9.6,10.8,12)))/100)),15)/15,(Skills!T19*(1+((Inputs!$B$34+(ArtifactsInput!$M$7-ArtifactsInput!$M$7)*CHOOSE(ArtifactsInput!$N$7+1,6,7.2,8.4,9.6,10.8,12)))/100))/Skills!E19))/100),1)</f>
        <v/>
      </c>
    </row>
    <row r="2171">
      <c r="A2171" t="inlineStr">
        <is>
          <t>Attack Speed Buff Bonus % (Nimble Feet, averaged)</t>
        </is>
      </c>
      <c r="B2171">
        <f>F2156*IF(AND(Inputs!$B$38&lt;&gt;"pvp",Inputs!$B$43&gt;0),(((R2156-1)*(Skills!T18*(1+((Inputs!$B$34+(ArtifactsInput!$M$7-ArtifactsInput!$M$7)*CHOOSE(ArtifactsInput!$N$7+1,6,7.2,8.4,9.6,10.8,12)))/100))+MIN((Skills!T18*(1+((Inputs!$B$34+(ArtifactsInput!$M$7-ArtifactsInput!$M$7)*CHOOSE(ArtifactsInput!$N$7+1,6,7.2,8.4,9.6,10.8,12)))/100)),MAX(0,Inputs!$B$43-((R2156-1)*Skills!E18))))/Inputs!$B$43),IF(Inputs!$B$38="pvp",MIN((Skills!T18*(1+((Inputs!$B$34+(ArtifactsInput!$M$7-ArtifactsInput!$M$7)*CHOOSE(ArtifactsInput!$N$7+1,6,7.2,8.4,9.6,10.8,12)))/100)),15)/15,(Skills!T18*(1+((Inputs!$B$34+(ArtifactsInput!$M$7-ArtifactsInput!$M$7)*CHOOSE(ArtifactsInput!$N$7+1,6,7.2,8.4,9.6,10.8,12)))/100))/Skills!E18))</f>
        <v/>
      </c>
    </row>
    <row r="2172">
      <c r="A2172" t="inlineStr">
        <is>
          <t>Actions Per Second</t>
        </is>
      </c>
      <c r="B2172">
        <f>1+MIN(150,150*(1-(1-(Inputs!$B$11+(ArtifactsInput!$M$15-ArtifactsInput!$M$15)*CHOOSE(ArtifactsInput!$N$15+1,8,9.6,11.2,12.8,14.4,16))/150)*(1-B2171/150)))/100</f>
        <v/>
      </c>
    </row>
    <row r="2173">
      <c r="A2173" t="inlineStr">
        <is>
          <t>Skill + Buff Cast Rate</t>
        </is>
      </c>
      <c r="B2173">
        <f>IF(AND(Inputs!$B$38&lt;&gt;"pvp",Inputs!$B$43&gt;0),SUMPRODUCT((Skills!F2:F28=TRUE)*(C2140:C2166=TRUE)*R2140:R2166)/Inputs!$B$43,SUMPRODUCT((Skills!F2:F28=TRUE)*(C2140:C2166=TRUE)*Q2140:Q2166))</f>
        <v/>
      </c>
    </row>
    <row r="2174">
      <c r="A2174" t="inlineStr">
        <is>
          <t>Basic Attacks Per Second</t>
        </is>
      </c>
      <c r="B2174">
        <f>MAX(0,B2172-B2173)</f>
        <v/>
      </c>
    </row>
    <row r="2175">
      <c r="A2175" t="inlineStr">
        <is>
          <t>Meteor Proc — combined trigger cast rate</t>
        </is>
      </c>
      <c r="B2175">
        <f>IF(AND(Inputs!$B$38&lt;&gt;"pvp",Inputs!$B$43&gt;0),SUMPRODUCT((Skills!V2:V28=TRUE)*(C2140:C2166=TRUE)*R2140:R2166*Skills!W2:W28)/Inputs!$B$43,SUMPRODUCT((Skills!V2:V28=TRUE)*(C2140:C2166=TRUE)*Q2140:Q2166*Skills!W2:W28))+B2174</f>
        <v/>
      </c>
    </row>
    <row r="2176">
      <c r="A2176" t="inlineStr">
        <is>
          <t>Buff-Casting Startup Delay (s, fixed-duration only)</t>
        </is>
      </c>
      <c r="B2176">
        <f>IF(AND(Inputs!$B$38&lt;&gt;"pvp",Inputs!$B$43&gt;0),SUMPRODUCT((Skills!T2:T28&gt;0)*(Skills!F2:F28=TRUE)*(C2140:C2166=TRUE))/B2172,0)</f>
        <v/>
      </c>
    </row>
    <row r="2177">
      <c r="A2177" t="inlineStr">
        <is>
          <t>Boss-Only Total DPS (this block's swept value)</t>
        </is>
      </c>
      <c r="B2177">
        <f>SUM(S2140:S2166)</f>
        <v/>
      </c>
    </row>
    <row r="2178">
      <c r="A2178" t="inlineStr">
        <is>
          <t>Normal-Only Total DPS (this block's swept value)</t>
        </is>
      </c>
      <c r="B2178">
        <f>SUM(U2140:U2166)</f>
        <v/>
      </c>
    </row>
    <row r="2179">
      <c r="A2179" s="6" t="inlineStr">
        <is>
          <t>TOTAL DPS</t>
        </is>
      </c>
      <c r="B2179" s="6">
        <f>SUM(O2140:O2166)</f>
        <v/>
      </c>
    </row>
    <row r="2182">
      <c r="A2182" s="6" t="inlineStr">
        <is>
          <t>Stat: Ancient Text Piece (Equip)</t>
        </is>
      </c>
    </row>
    <row r="2183">
      <c r="A2183" s="5" t="inlineStr">
        <is>
          <t>Key</t>
        </is>
      </c>
      <c r="B2183" s="5" t="inlineStr">
        <is>
          <t>Name</t>
        </is>
      </c>
      <c r="C2183" s="5" t="inlineStr">
        <is>
          <t>Unlocked</t>
        </is>
      </c>
      <c r="D2183" s="5" t="inlineStr">
        <is>
          <t>InputLevel</t>
        </is>
      </c>
      <c r="E2183" s="5" t="inlineStr">
        <is>
          <t>Factor</t>
        </is>
      </c>
      <c r="F2183" s="5" t="inlineStr">
        <is>
          <t>CoefficientPercent</t>
        </is>
      </c>
      <c r="G2183" s="5" t="inlineStr">
        <is>
          <t>EffectiveHits</t>
        </is>
      </c>
      <c r="H2183" s="5" t="inlineStr">
        <is>
          <t>ProcProbability</t>
        </is>
      </c>
      <c r="I2183" s="5" t="inlineStr">
        <is>
          <t>MapleHeroMultiplier</t>
        </is>
      </c>
      <c r="J2183" s="5" t="inlineStr">
        <is>
          <t>BaseDamage</t>
        </is>
      </c>
      <c r="K2183" s="5" t="inlineStr">
        <is>
          <t>BaseHitDamage</t>
        </is>
      </c>
      <c r="L2183" s="5" t="inlineStr">
        <is>
          <t>NonCritAvg</t>
        </is>
      </c>
      <c r="M2183" s="5" t="inlineStr">
        <is>
          <t>CritAvg</t>
        </is>
      </c>
      <c r="N2183" s="5" t="inlineStr">
        <is>
          <t>ExpectedDamage(perHit)</t>
        </is>
      </c>
      <c r="O2183" s="5" t="inlineStr">
        <is>
          <t>DPS</t>
        </is>
      </c>
      <c r="P2183" s="5" t="inlineStr">
        <is>
          <t>% of Total</t>
        </is>
      </c>
      <c r="R2183" t="inlineStr">
        <is>
          <t>helpers</t>
        </is>
      </c>
    </row>
    <row r="2184">
      <c r="A2184">
        <f>Skills!A2</f>
        <v/>
      </c>
      <c r="B2184">
        <f>Skills!B2</f>
        <v/>
      </c>
      <c r="C2184">
        <f>TRUE</f>
        <v/>
      </c>
      <c r="D2184" t="inlineStr"/>
      <c r="E2184" t="inlineStr"/>
      <c r="F2184">
        <f>T2186+Skills!O2</f>
        <v/>
      </c>
      <c r="G2184">
        <f>Calc!G2</f>
        <v/>
      </c>
      <c r="H2184">
        <f>Calc!H2</f>
        <v/>
      </c>
      <c r="I2184">
        <f>IF(Skills!X2&lt;&gt;"",1+(Skills!X2/10)*(Z2185/1000)/100,1)</f>
        <v/>
      </c>
      <c r="J2184">
        <f>((Inputs!$B$6*(1+Inputs!$B$7/100))+(((Inputs!$B$12*(1+Inputs!$B$13/100))-(Inputs!$B$12*(1+Inputs!$B$13/100)))+0.25*(Inputs!$B$14-Inputs!$B$14))*(1+Inputs!$B$7/100))*(F2184/100)</f>
        <v/>
      </c>
      <c r="K2184">
        <f>J2184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2184)</f>
        <v/>
      </c>
      <c r="L2184">
        <f>K2184*(MIN(Inputs!$B$22+(F2204-Calc!F22),(Inputs!$B$23+(IF(ArtifactsInput!$M$15,CHOOSE(ArtifactsInput!$N$15+1,25,30,35,40,45,50)/100*(Inputs!$B$11-Inputs!$B$11),0))))/100+(Inputs!$B$23+(IF(ArtifactsInput!$M$15,CHOOSE(ArtifactsInput!$N$15+1,25,30,35,40,45,50)/100*(Inputs!$B$11-Inputs!$B$11),0)))/100)/2</f>
        <v/>
      </c>
      <c r="M2184">
        <f>L2184*(1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4">
        <f>L2184*(1-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2184*(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4">
        <f>(1-Summary!$B$11)*S2184+Summary!$B$11*U2184</f>
        <v/>
      </c>
      <c r="P2184">
        <f>IF(B2223=0,0,O2184/B2223)</f>
        <v/>
      </c>
      <c r="Q2184">
        <f>IFERROR(1/(IF(Inputs!$B$38="pvp",15,MAX(0.1,Skills!E2-IF(Skills!F2=TRUE,Inputs!$B$32,0)))*(1-IF(AND(ArtifactsInput!$M$27,Inputs!$B$4="Chapter Hunt"),CHOOSE(ArtifactsInput!$N$27+1,20,24,28,32,36,40),0)/100)),0)</f>
        <v/>
      </c>
      <c r="R2184" t="n">
        <v>0</v>
      </c>
      <c r="S2184">
        <f>(Skills!G2*N2184*B2218)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2184*(1-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2184*(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2184*(1-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2184*(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184">
        <f>MAX(0,(Inputs!$B$3-100)*3)+Inputs!$B$28+Inputs!$B$29</f>
        <v/>
      </c>
      <c r="U2184">
        <f>(Skills!G2*N2184*B2218)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184">
        <f>MAX(0,(Inputs!$B$3-100)*3)+Inputs!$B$28+Inputs!$B$29</f>
        <v/>
      </c>
    </row>
    <row r="2185">
      <c r="A2185">
        <f>Skills!A3</f>
        <v/>
      </c>
      <c r="B2185">
        <f>Skills!B3</f>
        <v/>
      </c>
      <c r="C2185">
        <f>TRUE</f>
        <v/>
      </c>
      <c r="D2185">
        <f>IF(Skills!C3=1,60+Inputs!$B$25+Inputs!$B$29,IF(Skills!C3=2,90+Inputs!$B$26+Inputs!$B$29,IF(Skills!C3=3,120+Inputs!$B$27+Inputs!$B$29,MAX(0,(Inputs!$B$3-100)*3)+Inputs!$B$28+Inputs!$B$29)))</f>
        <v/>
      </c>
      <c r="E2185">
        <f>INDEX(FactorTable!$B$2:$Y$301, MATCH(ROUND(MIN(300,MAX(1,D2185)),0), FactorTable!$A$2:$A$301,0), Skills!M3+1)</f>
        <v/>
      </c>
      <c r="F2185">
        <f>IF(Skills!N3=TRUE,(Skills!L3/10)*(E2185/1000),Skills!L3/10)+Skills!O3</f>
        <v/>
      </c>
      <c r="G2185">
        <f>Calc!G3</f>
        <v/>
      </c>
      <c r="H2185">
        <f>Calc!H3</f>
        <v/>
      </c>
      <c r="I2185">
        <f>IF(Skills!X3&lt;&gt;"",1+(Skills!X3/10)*(Z2185/1000)/100,1)</f>
        <v/>
      </c>
      <c r="J2185">
        <f>((Inputs!$B$6*(1+Inputs!$B$7/100))+(((Inputs!$B$12*(1+Inputs!$B$13/100))-(Inputs!$B$12*(1+Inputs!$B$13/100)))+0.25*(Inputs!$B$14-Inputs!$B$14))*(1+Inputs!$B$7/100))*(F2185/100)</f>
        <v/>
      </c>
      <c r="K2185">
        <f>J2185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2185)</f>
        <v/>
      </c>
      <c r="L2185">
        <f>K2185*(MIN(Inputs!$B$22+(F2204-Calc!F22),(Inputs!$B$23+(IF(ArtifactsInput!$M$15,CHOOSE(ArtifactsInput!$N$15+1,25,30,35,40,45,50)/100*(Inputs!$B$11-Inputs!$B$11),0))))/100+(Inputs!$B$23+(IF(ArtifactsInput!$M$15,CHOOSE(ArtifactsInput!$N$15+1,25,30,35,40,45,50)/100*(Inputs!$B$11-Inputs!$B$11),0)))/100)/2</f>
        <v/>
      </c>
      <c r="M2185">
        <f>L2185*(1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5">
        <f>L2185*(1-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2185*(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5">
        <f>(1-Summary!$B$11)*S2185+Summary!$B$11*U2185</f>
        <v/>
      </c>
      <c r="P2185">
        <f>IF(B2223=0,0,O2185/B2223)</f>
        <v/>
      </c>
      <c r="Q2185">
        <f>IFERROR(1/(IF(Inputs!$B$38="pvp",15,MAX(0.1,Skills!E3-IF(Skills!F3=TRUE,Inputs!$B$32,0)))*(1-IF(AND(ArtifactsInput!$M$27,Inputs!$B$4="Chapter Hunt"),CHOOSE(ArtifactsInput!$N$27+1,20,24,28,32,36,40),0)/100)),0)</f>
        <v/>
      </c>
      <c r="R2185">
        <f>IF(AND(Inputs!$B$38&lt;&gt;"pvp",Inputs!$B$43&gt;0),IF(MAX(0,Inputs!$B$43-B2220)&lt;=0,0,(INT(MAX(0,Inputs!$B$43-B2220)/(IF(Inputs!$B$38="pvp",15,MAX(0.1,Skills!E3-IF(Skills!F3=TRUE,Inputs!$B$32,0)))*(1-IF(AND(ArtifactsInput!$M$27,Inputs!$B$4="Chapter Hunt"),CHOOSE(ArtifactsInput!$N$27+1,20,24,28,32,36,40),0)/100)))+1)),0)</f>
        <v/>
      </c>
      <c r="S2185">
        <f>IF(C2185,(H2185*N2185*IF(AND(Inputs!$B$38&lt;&gt;"pvp",Inputs!$B$43&gt;0),((Skills!G3*((R2185-1)*IF(Skills!H3&gt;0,Skills!I3/Skills!H3,1)+IF(Skills!H3&gt;0,MIN(Skills!I3,MAX(0,MAX(0,Inputs!$B$43-B2220)-((R2185-1)*(IF(Inputs!$B$38="pvp",15,MAX(0.1,Skills!E3-IF(Skills!F3=TRUE,Inputs!$B$32,0)))*(1-IF(AND(ArtifactsInput!$M$27,Inputs!$B$4="Chapter Hunt"),CHOOSE(ArtifactsInput!$N$27+1,20,24,28,32,36,40),0)/100)))))/Skills!H3,1)))/Inputs!$B$43),G2185*Q2185)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2185*(1-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2185*(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2185*(1-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2185*(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185">
        <f>INDEX(FactorTable!$B$2:$Y$301, MATCH(ROUND(MIN(300,MAX(1,T2184)),0), FactorTable!$A$2:$A$301,0), 22)</f>
        <v/>
      </c>
      <c r="U2185">
        <f>IF(C2185,(H2185*N2185*IF(AND(Inputs!$B$38&lt;&gt;"pvp",Inputs!$B$43&gt;0),((Skills!G3*((R2185-1)*IF(Skills!H3&gt;0,Skills!I3/Skills!H3,1)+IF(Skills!H3&gt;0,MIN(Skills!I3,MAX(0,MAX(0,Inputs!$B$43-B2220)-((R2185-1)*(IF(Inputs!$B$38="pvp",15,MAX(0.1,Skills!E3-IF(Skills!F3=TRUE,Inputs!$B$32,0)))*(1-IF(AND(ArtifactsInput!$M$27,Inputs!$B$4="Chapter Hunt"),CHOOSE(ArtifactsInput!$N$27+1,20,24,28,32,36,40),0)/100)))))/Skills!H3,1)))/Inputs!$B$43),G2185*Q2185)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185">
        <f>INDEX(FactorTable!$B$2:$Y$301, MATCH(ROUND(MIN(300,MAX(1,Z2184)),0), FactorTable!$A$2:$A$301,0), 24)</f>
        <v/>
      </c>
    </row>
    <row r="2186">
      <c r="A2186">
        <f>Skills!A4</f>
        <v/>
      </c>
      <c r="B2186">
        <f>Skills!B4</f>
        <v/>
      </c>
      <c r="C2186">
        <f>TRUE</f>
        <v/>
      </c>
      <c r="D2186">
        <f>IF(Skills!C4=1,60+Inputs!$B$25+Inputs!$B$29,IF(Skills!C4=2,90+Inputs!$B$26+Inputs!$B$29,IF(Skills!C4=3,120+Inputs!$B$27+Inputs!$B$29,MAX(0,(Inputs!$B$3-100)*3)+Inputs!$B$28+Inputs!$B$29)))</f>
        <v/>
      </c>
      <c r="E2186">
        <f>INDEX(FactorTable!$B$2:$Y$301, MATCH(ROUND(MIN(300,MAX(1,D2186)),0), FactorTable!$A$2:$A$301,0), Skills!M4+1)</f>
        <v/>
      </c>
      <c r="F2186">
        <f>IF(Skills!N4=TRUE,(Skills!L4/10)*(E2186/1000),Skills!L4/10)+Skills!O4</f>
        <v/>
      </c>
      <c r="G2186">
        <f>Calc!G4</f>
        <v/>
      </c>
      <c r="H2186">
        <f>Calc!H4</f>
        <v/>
      </c>
      <c r="I2186">
        <f>IF(Skills!X4&lt;&gt;"",1+(Skills!X4/10)*(Z2185/1000)/100,1)</f>
        <v/>
      </c>
      <c r="J2186">
        <f>((Inputs!$B$6*(1+Inputs!$B$7/100))+(((Inputs!$B$12*(1+Inputs!$B$13/100))-(Inputs!$B$12*(1+Inputs!$B$13/100)))+0.25*(Inputs!$B$14-Inputs!$B$14))*(1+Inputs!$B$7/100))*(F2186/100)</f>
        <v/>
      </c>
      <c r="K2186">
        <f>J2186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2186)</f>
        <v/>
      </c>
      <c r="L2186">
        <f>K2186*(MIN(Inputs!$B$22+(F2204-Calc!F22),(Inputs!$B$23+(IF(ArtifactsInput!$M$15,CHOOSE(ArtifactsInput!$N$15+1,25,30,35,40,45,50)/100*(Inputs!$B$11-Inputs!$B$11),0))))/100+(Inputs!$B$23+(IF(ArtifactsInput!$M$15,CHOOSE(ArtifactsInput!$N$15+1,25,30,35,40,45,50)/100*(Inputs!$B$11-Inputs!$B$11),0)))/100)/2</f>
        <v/>
      </c>
      <c r="M2186">
        <f>L2186*(1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6">
        <f>L2186*(1-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2186*(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6">
        <f>(1-Summary!$B$11)*S2186+Summary!$B$11*U2186</f>
        <v/>
      </c>
      <c r="P2186">
        <f>IF(B2223=0,0,O2186/B2223)</f>
        <v/>
      </c>
      <c r="Q2186">
        <f>IFERROR(1/(IF(Inputs!$B$38="pvp",15,MAX(0.1,Skills!E4-IF(Skills!F4=TRUE,Inputs!$B$32,0)))*(1-IF(AND(ArtifactsInput!$M$27,Inputs!$B$4="Chapter Hunt"),CHOOSE(ArtifactsInput!$N$27+1,20,24,28,32,36,40),0)/100)),0)</f>
        <v/>
      </c>
      <c r="R2186">
        <f>IF(AND(Inputs!$B$38&lt;&gt;"pvp",Inputs!$B$43&gt;0),IF(MAX(0,Inputs!$B$43-B2220)&lt;=0,0,(INT(MAX(0,Inputs!$B$43-B2220)/(IF(Inputs!$B$38="pvp",15,MAX(0.1,Skills!E4-IF(Skills!F4=TRUE,Inputs!$B$32,0)))*(1-IF(AND(ArtifactsInput!$M$27,Inputs!$B$4="Chapter Hunt"),CHOOSE(ArtifactsInput!$N$27+1,20,24,28,32,36,40),0)/100)))+1)),0)</f>
        <v/>
      </c>
      <c r="S2186">
        <f>IF(C2186,(H2186*N2186*IF(AND(Inputs!$B$38&lt;&gt;"pvp",Inputs!$B$43&gt;0),((Skills!G4*((R2186-1)*IF(Skills!H4&gt;0,Skills!I4/Skills!H4,1)+IF(Skills!H4&gt;0,MIN(Skills!I4,MAX(0,MAX(0,Inputs!$B$43-B2220)-((R2186-1)*(IF(Inputs!$B$38="pvp",15,MAX(0.1,Skills!E4-IF(Skills!F4=TRUE,Inputs!$B$32,0)))*(1-IF(AND(ArtifactsInput!$M$27,Inputs!$B$4="Chapter Hunt"),CHOOSE(ArtifactsInput!$N$27+1,20,24,28,32,36,40),0)/100)))))/Skills!H4,1)))/Inputs!$B$43),G2186*Q2186)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2186*(1-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2186*(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2186*(1-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2186*(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186">
        <f>290*T2185/1000</f>
        <v/>
      </c>
      <c r="U2186">
        <f>IF(C2186,(H2186*N2186*IF(AND(Inputs!$B$38&lt;&gt;"pvp",Inputs!$B$43&gt;0),((Skills!G4*((R2186-1)*IF(Skills!H4&gt;0,Skills!I4/Skills!H4,1)+IF(Skills!H4&gt;0,MIN(Skills!I4,MAX(0,MAX(0,Inputs!$B$43-B2220)-((R2186-1)*(IF(Inputs!$B$38="pvp",15,MAX(0.1,Skills!E4-IF(Skills!F4=TRUE,Inputs!$B$32,0)))*(1-IF(AND(ArtifactsInput!$M$27,Inputs!$B$4="Chapter Hunt"),CHOOSE(ArtifactsInput!$N$27+1,20,24,28,32,36,40),0)/100)))))/Skills!H4,1)))/Inputs!$B$43),G2186*Q2186)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7">
      <c r="A2187">
        <f>Skills!A5</f>
        <v/>
      </c>
      <c r="B2187">
        <f>Skills!B5</f>
        <v/>
      </c>
      <c r="C2187">
        <f>TRUE</f>
        <v/>
      </c>
      <c r="D2187">
        <f>IF(Skills!C5=1,60+Inputs!$B$25+Inputs!$B$29,IF(Skills!C5=2,90+Inputs!$B$26+Inputs!$B$29,IF(Skills!C5=3,120+Inputs!$B$27+Inputs!$B$29,MAX(0,(Inputs!$B$3-100)*3)+Inputs!$B$28+Inputs!$B$29)))</f>
        <v/>
      </c>
      <c r="E2187">
        <f>INDEX(FactorTable!$B$2:$Y$301, MATCH(ROUND(MIN(300,MAX(1,D2187)),0), FactorTable!$A$2:$A$301,0), Skills!M5+1)</f>
        <v/>
      </c>
      <c r="F2187">
        <f>IF(Skills!N5=TRUE,(Skills!L5/10)*(E2187/1000),Skills!L5/10)+Skills!O5</f>
        <v/>
      </c>
      <c r="G2187">
        <f>Calc!G5</f>
        <v/>
      </c>
      <c r="H2187">
        <f>Calc!H5</f>
        <v/>
      </c>
      <c r="I2187">
        <f>IF(Skills!X5&lt;&gt;"",1+(Skills!X5/10)*(Z2185/1000)/100,1)</f>
        <v/>
      </c>
      <c r="J2187">
        <f>((Inputs!$B$6*(1+Inputs!$B$7/100))+(((Inputs!$B$12*(1+Inputs!$B$13/100))-(Inputs!$B$12*(1+Inputs!$B$13/100)))+0.25*(Inputs!$B$14-Inputs!$B$14))*(1+Inputs!$B$7/100))*(F2187/100)</f>
        <v/>
      </c>
      <c r="K2187">
        <f>J2187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2187)</f>
        <v/>
      </c>
      <c r="L2187">
        <f>K2187*(MIN(Inputs!$B$22+(F2204-Calc!F22),(Inputs!$B$23+(IF(ArtifactsInput!$M$15,CHOOSE(ArtifactsInput!$N$15+1,25,30,35,40,45,50)/100*(Inputs!$B$11-Inputs!$B$11),0))))/100+(Inputs!$B$23+(IF(ArtifactsInput!$M$15,CHOOSE(ArtifactsInput!$N$15+1,25,30,35,40,45,50)/100*(Inputs!$B$11-Inputs!$B$11),0)))/100)/2</f>
        <v/>
      </c>
      <c r="M2187">
        <f>L2187*(1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7">
        <f>L2187*(1-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2187*(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7">
        <f>(1-Summary!$B$11)*S2187+Summary!$B$11*U2187</f>
        <v/>
      </c>
      <c r="P2187">
        <f>IF(B2223=0,0,O2187/B2223)</f>
        <v/>
      </c>
      <c r="Q2187">
        <f>IFERROR(1/(IF(Inputs!$B$38="pvp",15,MAX(0.1,Skills!E5-IF(Skills!F5=TRUE,Inputs!$B$32,0)))*(1-IF(AND(ArtifactsInput!$M$27,Inputs!$B$4="Chapter Hunt"),CHOOSE(ArtifactsInput!$N$27+1,20,24,28,32,36,40),0)/100)),0)</f>
        <v/>
      </c>
      <c r="R2187">
        <f>IF(AND(Inputs!$B$38&lt;&gt;"pvp",Inputs!$B$43&gt;0),IF(MAX(0,Inputs!$B$43-B2220)&lt;=0,0,(INT(MAX(0,Inputs!$B$43-B2220)/(IF(Inputs!$B$38="pvp",15,MAX(0.1,Skills!E5-IF(Skills!F5=TRUE,Inputs!$B$32,0)))*(1-IF(AND(ArtifactsInput!$M$27,Inputs!$B$4="Chapter Hunt"),CHOOSE(ArtifactsInput!$N$27+1,20,24,28,32,36,40),0)/100)))+1)),0)</f>
        <v/>
      </c>
      <c r="S2187">
        <f>IF(C2187,(H2187*N2187*IF(AND(Inputs!$B$38&lt;&gt;"pvp",Inputs!$B$43&gt;0),((Skills!G5*((R2187-1)*IF(Skills!H5&gt;0,Skills!I5/Skills!H5,1)+IF(Skills!H5&gt;0,MIN(Skills!I5,MAX(0,MAX(0,Inputs!$B$43-B2220)-((R2187-1)*(IF(Inputs!$B$38="pvp",15,MAX(0.1,Skills!E5-IF(Skills!F5=TRUE,Inputs!$B$32,0)))*(1-IF(AND(ArtifactsInput!$M$27,Inputs!$B$4="Chapter Hunt"),CHOOSE(ArtifactsInput!$N$27+1,20,24,28,32,36,40),0)/100)))))/Skills!H5,1)))/Inputs!$B$43),G2187*Q2187)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2187*(1-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2187*(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2187*(1-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2187*(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7">
        <f>IF(C2187,(H2187*N2187*IF(AND(Inputs!$B$38&lt;&gt;"pvp",Inputs!$B$43&gt;0),((Skills!G5*((R2187-1)*IF(Skills!H5&gt;0,Skills!I5/Skills!H5,1)+IF(Skills!H5&gt;0,MIN(Skills!I5,MAX(0,MAX(0,Inputs!$B$43-B2220)-((R2187-1)*(IF(Inputs!$B$38="pvp",15,MAX(0.1,Skills!E5-IF(Skills!F5=TRUE,Inputs!$B$32,0)))*(1-IF(AND(ArtifactsInput!$M$27,Inputs!$B$4="Chapter Hunt"),CHOOSE(ArtifactsInput!$N$27+1,20,24,28,32,36,40),0)/100)))))/Skills!H5,1)))/Inputs!$B$43),G2187*Q2187)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8">
      <c r="A2188">
        <f>Skills!A6</f>
        <v/>
      </c>
      <c r="B2188">
        <f>Skills!B6</f>
        <v/>
      </c>
      <c r="C2188">
        <f>TRUE</f>
        <v/>
      </c>
      <c r="D2188">
        <f>IF(Skills!C6=1,60+Inputs!$B$25+Inputs!$B$29,IF(Skills!C6=2,90+Inputs!$B$26+Inputs!$B$29,IF(Skills!C6=3,120+Inputs!$B$27+Inputs!$B$29,MAX(0,(Inputs!$B$3-100)*3)+Inputs!$B$28+Inputs!$B$29)))</f>
        <v/>
      </c>
      <c r="E2188">
        <f>INDEX(FactorTable!$B$2:$Y$301, MATCH(ROUND(MIN(300,MAX(1,D2188)),0), FactorTable!$A$2:$A$301,0), Skills!M6+1)</f>
        <v/>
      </c>
      <c r="F2188">
        <f>IF(Skills!N6=TRUE,(Skills!L6/10)*(E2188/1000),Skills!L6/10)+Skills!O6</f>
        <v/>
      </c>
      <c r="G2188">
        <f>Calc!G6</f>
        <v/>
      </c>
      <c r="H2188">
        <f>Calc!H6</f>
        <v/>
      </c>
      <c r="I2188">
        <f>IF(Skills!X6&lt;&gt;"",1+(Skills!X6/10)*(Z2185/1000)/100,1)</f>
        <v/>
      </c>
      <c r="J2188" t="inlineStr"/>
      <c r="K2188" t="inlineStr"/>
      <c r="L2188" t="inlineStr"/>
      <c r="M2188" t="inlineStr"/>
      <c r="N2188" t="inlineStr"/>
      <c r="O2188">
        <f>(1-Summary!$B$11)*S2188+Summary!$B$11*U2188</f>
        <v/>
      </c>
      <c r="P2188">
        <f>IF(B2223=0,0,O2188/B2223)</f>
        <v/>
      </c>
      <c r="Q2188">
        <f>IFERROR(1/(IF(Inputs!$B$38="pvp",15,MAX(0.1,Skills!E6-IF(Skills!F6=TRUE,Inputs!$B$32,0)))*(1-IF(AND(ArtifactsInput!$M$27,Inputs!$B$4="Chapter Hunt"),CHOOSE(ArtifactsInput!$N$27+1,20,24,28,32,36,40),0)/100)),0)</f>
        <v/>
      </c>
      <c r="R2188">
        <f>IF(AND(Inputs!$B$38&lt;&gt;"pvp",Inputs!$B$43&gt;0),IF(Inputs!$B$43&lt;=0,0,(INT(Inputs!$B$43/(IF(Inputs!$B$38="pvp",15,MAX(0.1,Skills!E6-IF(Skills!F6=TRUE,Inputs!$B$32,0)))*(1-IF(AND(ArtifactsInput!$M$27,Inputs!$B$4="Chapter Hunt"),CHOOSE(ArtifactsInput!$N$27+1,20,24,28,32,36,40),0)/100)))+1)),0)</f>
        <v/>
      </c>
      <c r="S2188" t="n">
        <v>0</v>
      </c>
      <c r="U2188" t="n">
        <v>0</v>
      </c>
    </row>
    <row r="2189">
      <c r="A2189">
        <f>Skills!A7</f>
        <v/>
      </c>
      <c r="B2189">
        <f>Skills!B7</f>
        <v/>
      </c>
      <c r="C2189">
        <f>TRUE</f>
        <v/>
      </c>
      <c r="D2189">
        <f>IF(Skills!C7=1,60+Inputs!$B$25+Inputs!$B$29,IF(Skills!C7=2,90+Inputs!$B$26+Inputs!$B$29,IF(Skills!C7=3,120+Inputs!$B$27+Inputs!$B$29,MAX(0,(Inputs!$B$3-100)*3)+Inputs!$B$28+Inputs!$B$29)))</f>
        <v/>
      </c>
      <c r="E2189">
        <f>INDEX(FactorTable!$B$2:$Y$301, MATCH(ROUND(MIN(300,MAX(1,D2189)),0), FactorTable!$A$2:$A$301,0), Skills!M7+1)</f>
        <v/>
      </c>
      <c r="F2189">
        <f>IF(Skills!N7=TRUE,(Skills!L7/10)*(E2189/1000),Skills!L7/10)+Skills!O7</f>
        <v/>
      </c>
      <c r="G2189">
        <f>Calc!G7</f>
        <v/>
      </c>
      <c r="H2189">
        <f>Calc!H7</f>
        <v/>
      </c>
      <c r="I2189">
        <f>IF(Skills!X7&lt;&gt;"",1+(Skills!X7/10)*(Z2185/1000)/100,1)</f>
        <v/>
      </c>
      <c r="J2189">
        <f>((Inputs!$B$6*(1+Inputs!$B$7/100))+(((Inputs!$B$12*(1+Inputs!$B$13/100))-(Inputs!$B$12*(1+Inputs!$B$13/100)))+0.25*(Inputs!$B$14-Inputs!$B$14))*(1+Inputs!$B$7/100))*(F2189/100)</f>
        <v/>
      </c>
      <c r="K2189">
        <f>J2189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2189)</f>
        <v/>
      </c>
      <c r="L2189">
        <f>K2189*(MIN(Inputs!$B$22+(F2204-Calc!F22),(Inputs!$B$23+(IF(ArtifactsInput!$M$15,CHOOSE(ArtifactsInput!$N$15+1,25,30,35,40,45,50)/100*(Inputs!$B$11-Inputs!$B$11),0))))/100+(Inputs!$B$23+(IF(ArtifactsInput!$M$15,CHOOSE(ArtifactsInput!$N$15+1,25,30,35,40,45,50)/100*(Inputs!$B$11-Inputs!$B$11),0)))/100)/2</f>
        <v/>
      </c>
      <c r="M2189">
        <f>L2189*(1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9">
        <f>L2189*(1-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2189*(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9">
        <f>(1-Summary!$B$11)*S2189+Summary!$B$11*U2189</f>
        <v/>
      </c>
      <c r="P2189">
        <f>IF(B2223=0,0,O2189/B2223)</f>
        <v/>
      </c>
      <c r="Q2189">
        <f>IFERROR(1/(IF(Inputs!$B$38="pvp",15,MAX(0.1,Skills!E7-IF(Skills!F7=TRUE,Inputs!$B$32,0)))*(1-IF(AND(ArtifactsInput!$M$27,Inputs!$B$4="Chapter Hunt"),CHOOSE(ArtifactsInput!$N$27+1,20,24,28,32,36,40),0)/100)),0)</f>
        <v/>
      </c>
      <c r="R2189">
        <f>IF(AND(Inputs!$B$38&lt;&gt;"pvp",Inputs!$B$43&gt;0),IF(MAX(0,Inputs!$B$43-B2220)&lt;=0,0,(INT(MAX(0,Inputs!$B$43-B2220)/(IF(Inputs!$B$38="pvp",15,MAX(0.1,Skills!E7-IF(Skills!F7=TRUE,Inputs!$B$32,0)))*(1-IF(AND(ArtifactsInput!$M$27,Inputs!$B$4="Chapter Hunt"),CHOOSE(ArtifactsInput!$N$27+1,20,24,28,32,36,40),0)/100)))+1)),0)</f>
        <v/>
      </c>
      <c r="S2189">
        <f>IF(C2189,(H2189*N2189*IF(AND(Inputs!$B$38&lt;&gt;"pvp",Inputs!$B$43&gt;0),((Skills!G7*((R2189-1)*IF(Skills!H7&gt;0,Skills!I7/Skills!H7,1)+IF(Skills!H7&gt;0,MIN(Skills!I7,MAX(0,MAX(0,Inputs!$B$43-B2220)-((R2189-1)*(IF(Inputs!$B$38="pvp",15,MAX(0.1,Skills!E7-IF(Skills!F7=TRUE,Inputs!$B$32,0)))*(1-IF(AND(ArtifactsInput!$M$27,Inputs!$B$4="Chapter Hunt"),CHOOSE(ArtifactsInput!$N$27+1,20,24,28,32,36,40),0)/100)))))/Skills!H7,1)))/Inputs!$B$43),G2189*Q2189)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2189*(1-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2189*(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2189*(1-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2189*(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9">
        <f>IF(C2189,(H2189*N2189*IF(AND(Inputs!$B$38&lt;&gt;"pvp",Inputs!$B$43&gt;0),((Skills!G7*((R2189-1)*IF(Skills!H7&gt;0,Skills!I7/Skills!H7,1)+IF(Skills!H7&gt;0,MIN(Skills!I7,MAX(0,MAX(0,Inputs!$B$43-B2220)-((R2189-1)*(IF(Inputs!$B$38="pvp",15,MAX(0.1,Skills!E7-IF(Skills!F7=TRUE,Inputs!$B$32,0)))*(1-IF(AND(ArtifactsInput!$M$27,Inputs!$B$4="Chapter Hunt"),CHOOSE(ArtifactsInput!$N$27+1,20,24,28,32,36,40),0)/100)))))/Skills!H7,1)))/Inputs!$B$43),G2189*Q2189)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0">
      <c r="A2190">
        <f>Skills!A8</f>
        <v/>
      </c>
      <c r="B2190">
        <f>Skills!B8</f>
        <v/>
      </c>
      <c r="C2190">
        <f>TRUE</f>
        <v/>
      </c>
      <c r="D2190">
        <f>IF(Skills!C8=1,60+Inputs!$B$25+Inputs!$B$29,IF(Skills!C8=2,90+Inputs!$B$26+Inputs!$B$29,IF(Skills!C8=3,120+Inputs!$B$27+Inputs!$B$29,MAX(0,(Inputs!$B$3-100)*3)+Inputs!$B$28+Inputs!$B$29)))</f>
        <v/>
      </c>
      <c r="E2190">
        <f>INDEX(FactorTable!$B$2:$Y$301, MATCH(ROUND(MIN(300,MAX(1,D2190)),0), FactorTable!$A$2:$A$301,0), Skills!M8+1)</f>
        <v/>
      </c>
      <c r="F2190">
        <f>IF(Skills!N8=TRUE,(Skills!L8/10)*(E2190/1000),Skills!L8/10)+Skills!O8</f>
        <v/>
      </c>
      <c r="G2190">
        <f>Calc!G8</f>
        <v/>
      </c>
      <c r="H2190">
        <f>Calc!H8</f>
        <v/>
      </c>
      <c r="I2190">
        <f>IF(Skills!X8&lt;&gt;"",1+(Skills!X8/10)*(Z2185/1000)/100,1)</f>
        <v/>
      </c>
      <c r="J2190">
        <f>((Inputs!$B$6*(1+Inputs!$B$7/100))+(((Inputs!$B$12*(1+Inputs!$B$13/100))-(Inputs!$B$12*(1+Inputs!$B$13/100)))+0.25*(Inputs!$B$14-Inputs!$B$14))*(1+Inputs!$B$7/100))*(F2190/100)</f>
        <v/>
      </c>
      <c r="K2190">
        <f>J2190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2190)</f>
        <v/>
      </c>
      <c r="L2190">
        <f>K2190*(MIN(Inputs!$B$22+(F2204-Calc!F22),(Inputs!$B$23+(IF(ArtifactsInput!$M$15,CHOOSE(ArtifactsInput!$N$15+1,25,30,35,40,45,50)/100*(Inputs!$B$11-Inputs!$B$11),0))))/100+(Inputs!$B$23+(IF(ArtifactsInput!$M$15,CHOOSE(ArtifactsInput!$N$15+1,25,30,35,40,45,50)/100*(Inputs!$B$11-Inputs!$B$11),0)))/100)/2</f>
        <v/>
      </c>
      <c r="M2190">
        <f>L2190*(1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0">
        <f>L2190*(1-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2190*(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0">
        <f>(1-Summary!$B$11)*S2190+Summary!$B$11*U2190</f>
        <v/>
      </c>
      <c r="P2190">
        <f>IF(B2223=0,0,O2190/B2223)</f>
        <v/>
      </c>
      <c r="Q2190">
        <f>IFERROR(1/(IF(Inputs!$B$38="pvp",15,MAX(0.1,Skills!E8-IF(Skills!F8=TRUE,Inputs!$B$32,0)))*(1-IF(AND(ArtifactsInput!$M$27,Inputs!$B$4="Chapter Hunt"),CHOOSE(ArtifactsInput!$N$27+1,20,24,28,32,36,40),0)/100)),0)</f>
        <v/>
      </c>
      <c r="R2190">
        <f>IF(AND(Inputs!$B$38&lt;&gt;"pvp",Inputs!$B$43&gt;0),IF(MAX(0,Inputs!$B$43-B2220)&lt;=0,0,(INT(MAX(0,Inputs!$B$43-B2220)/(IF(Inputs!$B$38="pvp",15,MAX(0.1,Skills!E8-IF(Skills!F8=TRUE,Inputs!$B$32,0)))*(1-IF(AND(ArtifactsInput!$M$27,Inputs!$B$4="Chapter Hunt"),CHOOSE(ArtifactsInput!$N$27+1,20,24,28,32,36,40),0)/100)))+1)),0)</f>
        <v/>
      </c>
      <c r="S2190">
        <f>IF(C2190,(H2190*N2190*IF(AND(Inputs!$B$38&lt;&gt;"pvp",Inputs!$B$43&gt;0),((Skills!G8*((R2190-1)*IF(Skills!H8&gt;0,Skills!I8/Skills!H8,1)+IF(Skills!H8&gt;0,MIN(Skills!I8,MAX(0,MAX(0,Inputs!$B$43-B2220)-((R2190-1)*(IF(Inputs!$B$38="pvp",15,MAX(0.1,Skills!E8-IF(Skills!F8=TRUE,Inputs!$B$32,0)))*(1-IF(AND(ArtifactsInput!$M$27,Inputs!$B$4="Chapter Hunt"),CHOOSE(ArtifactsInput!$N$27+1,20,24,28,32,36,40),0)/100)))))/Skills!H8,1)))/Inputs!$B$43),G2190*Q2190)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2190*(1-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2190*(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2190*(1-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2190*(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0">
        <f>IF(C2190,(H2190*N2190*IF(AND(Inputs!$B$38&lt;&gt;"pvp",Inputs!$B$43&gt;0),((Skills!G8*((R2190-1)*IF(Skills!H8&gt;0,Skills!I8/Skills!H8,1)+IF(Skills!H8&gt;0,MIN(Skills!I8,MAX(0,MAX(0,Inputs!$B$43-B2220)-((R2190-1)*(IF(Inputs!$B$38="pvp",15,MAX(0.1,Skills!E8-IF(Skills!F8=TRUE,Inputs!$B$32,0)))*(1-IF(AND(ArtifactsInput!$M$27,Inputs!$B$4="Chapter Hunt"),CHOOSE(ArtifactsInput!$N$27+1,20,24,28,32,36,40),0)/100)))))/Skills!H8,1)))/Inputs!$B$43),G2190*Q2190)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1">
      <c r="A2191">
        <f>Skills!A9</f>
        <v/>
      </c>
      <c r="B2191">
        <f>Skills!B9</f>
        <v/>
      </c>
      <c r="C2191">
        <f>Inputs!$B$3&gt;=103</f>
        <v/>
      </c>
      <c r="D2191">
        <f>IF(Skills!C9=1,60+Inputs!$B$25+Inputs!$B$29,IF(Skills!C9=2,90+Inputs!$B$26+Inputs!$B$29,IF(Skills!C9=3,120+Inputs!$B$27+Inputs!$B$29,MAX(0,(Inputs!$B$3-100)*3)+Inputs!$B$28+Inputs!$B$29)))</f>
        <v/>
      </c>
      <c r="E2191">
        <f>INDEX(FactorTable!$B$2:$Y$301, MATCH(ROUND(MIN(300,MAX(1,D2191)),0), FactorTable!$A$2:$A$301,0), Skills!M9+1)</f>
        <v/>
      </c>
      <c r="F2191">
        <f>IF(Skills!N9=TRUE,(Skills!L9/10)*(E2191/1000),Skills!L9/10)+Skills!O9</f>
        <v/>
      </c>
      <c r="G2191">
        <f>Calc!G9</f>
        <v/>
      </c>
      <c r="H2191">
        <f>Calc!H9</f>
        <v/>
      </c>
      <c r="I2191">
        <f>IF(Skills!X9&lt;&gt;"",1+(Skills!X9/10)*(Z2185/1000)/100,1)</f>
        <v/>
      </c>
      <c r="J2191">
        <f>((Inputs!$B$6*(1+Inputs!$B$7/100))+(((Inputs!$B$12*(1+Inputs!$B$13/100))-(Inputs!$B$12*(1+Inputs!$B$13/100)))+0.25*(Inputs!$B$14-Inputs!$B$14))*(1+Inputs!$B$7/100))*(F2191/100)</f>
        <v/>
      </c>
      <c r="K2191">
        <f>J2191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2191)</f>
        <v/>
      </c>
      <c r="L2191">
        <f>K2191*(MIN(Inputs!$B$22+(F2204-Calc!F22),(Inputs!$B$23+(IF(ArtifactsInput!$M$15,CHOOSE(ArtifactsInput!$N$15+1,25,30,35,40,45,50)/100*(Inputs!$B$11-Inputs!$B$11),0))))/100+(Inputs!$B$23+(IF(ArtifactsInput!$M$15,CHOOSE(ArtifactsInput!$N$15+1,25,30,35,40,45,50)/100*(Inputs!$B$11-Inputs!$B$11),0)))/100)/2</f>
        <v/>
      </c>
      <c r="M2191">
        <f>L2191*(1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1">
        <f>L2191*(1-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1">
        <f>(1-Summary!$B$11)*S2191+Summary!$B$11*U2191</f>
        <v/>
      </c>
      <c r="P2191">
        <f>IF(B2223=0,0,O2191/B2223)</f>
        <v/>
      </c>
      <c r="Q2191">
        <f>IFERROR(1/(IF(Inputs!$B$38="pvp",15,MAX(0.1,Skills!E9-IF(Skills!F7=TRUE,Inputs!$B$32,0)))*(1-IF(AND(ArtifactsInput!$M$27,Inputs!$B$4="Chapter Hunt"),CHOOSE(ArtifactsInput!$N$27+1,20,24,28,32,36,40),0)/100)),0)</f>
        <v/>
      </c>
      <c r="R2191">
        <f>IF(AND(Inputs!$B$38&lt;&gt;"pvp",Inputs!$B$43&gt;0),IF(MAX(0,Inputs!$B$43-B2220)&lt;=0,0,(INT(MAX(0,Inputs!$B$43-B2220)/(IF(Inputs!$B$38="pvp",15,MAX(0.1,Skills!E9-IF(Skills!F7=TRUE,Inputs!$B$32,0)))*(1-IF(AND(ArtifactsInput!$M$27,Inputs!$B$4="Chapter Hunt"),CHOOSE(ArtifactsInput!$N$27+1,20,24,28,32,36,40),0)/100)))+1)),0)</f>
        <v/>
      </c>
      <c r="S2191">
        <f>IF(C2191,(H2191*N2191*IF(AND(Inputs!$B$38&lt;&gt;"pvp",Inputs!$B$43&gt;0),((Skills!G9*((R2191-1)*IF(Skills!H9&gt;0,Skills!I9/Skills!H9,1)+IF(Skills!H9&gt;0,MIN(Skills!I9,MAX(0,MAX(0,Inputs!$B$43-B2220)-((R2191-1)*(IF(Inputs!$B$38="pvp",15,MAX(0.1,Skills!E9-IF(Skills!F7=TRUE,Inputs!$B$32,0)))*(1-IF(AND(ArtifactsInput!$M$27,Inputs!$B$4="Chapter Hunt"),CHOOSE(ArtifactsInput!$N$27+1,20,24,28,32,36,40),0)/100)))))/Skills!H9,1)))/Inputs!$B$43),G2191*Q2191)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2191*(1-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2191*(1-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1">
        <f>IF(C2191,(H2191*N2191*IF(AND(Inputs!$B$38&lt;&gt;"pvp",Inputs!$B$43&gt;0),((Skills!G9*((R2191-1)*IF(Skills!H9&gt;0,Skills!I9/Skills!H9,1)+IF(Skills!H9&gt;0,MIN(Skills!I9,MAX(0,MAX(0,Inputs!$B$43-B2220)-((R2191-1)*(IF(Inputs!$B$38="pvp",15,MAX(0.1,Skills!E9-IF(Skills!F7=TRUE,Inputs!$B$32,0)))*(1-IF(AND(ArtifactsInput!$M$27,Inputs!$B$4="Chapter Hunt"),CHOOSE(ArtifactsInput!$N$27+1,20,24,28,32,36,40),0)/100)))))/Skills!H9,1)))/Inputs!$B$43),G2191*Q2191)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2">
      <c r="A2192">
        <f>Skills!A10</f>
        <v/>
      </c>
      <c r="B2192">
        <f>Skills!B10</f>
        <v/>
      </c>
      <c r="C2192">
        <f>TRUE</f>
        <v/>
      </c>
      <c r="D2192">
        <f>IF(Skills!C10=1,60+Inputs!$B$25+Inputs!$B$29,IF(Skills!C10=2,90+Inputs!$B$26+Inputs!$B$29,IF(Skills!C10=3,120+Inputs!$B$27+Inputs!$B$29,MAX(0,(Inputs!$B$3-100)*3)+Inputs!$B$28+Inputs!$B$29)))</f>
        <v/>
      </c>
      <c r="E2192">
        <f>INDEX(FactorTable!$B$2:$Y$301, MATCH(ROUND(MIN(300,MAX(1,D2192)),0), FactorTable!$A$2:$A$301,0), Skills!M10+1)</f>
        <v/>
      </c>
      <c r="F2192">
        <f>IF(Skills!N10=TRUE,(Skills!L10/10)*(E2192/1000),Skills!L10/10)+Skills!O10</f>
        <v/>
      </c>
      <c r="G2192">
        <f>Calc!G10</f>
        <v/>
      </c>
      <c r="H2192">
        <f>Calc!H10</f>
        <v/>
      </c>
      <c r="I2192">
        <f>IF(Skills!X10&lt;&gt;"",1+(Skills!X10/10)*(Z2185/1000)/100,1)</f>
        <v/>
      </c>
      <c r="J2192">
        <f>((Inputs!$B$6*(1+Inputs!$B$7/100))+(((Inputs!$B$12*(1+Inputs!$B$13/100))-(Inputs!$B$12*(1+Inputs!$B$13/100)))+0.25*(Inputs!$B$14-Inputs!$B$14))*(1+Inputs!$B$7/100))*(F2192/100)</f>
        <v/>
      </c>
      <c r="K2192">
        <f>J2192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2192)</f>
        <v/>
      </c>
      <c r="L2192">
        <f>K2192*(MIN(Inputs!$B$22+(F2204-Calc!F22),(Inputs!$B$23+(IF(ArtifactsInput!$M$15,CHOOSE(ArtifactsInput!$N$15+1,25,30,35,40,45,50)/100*(Inputs!$B$11-Inputs!$B$11),0))))/100+(Inputs!$B$23+(IF(ArtifactsInput!$M$15,CHOOSE(ArtifactsInput!$N$15+1,25,30,35,40,45,50)/100*(Inputs!$B$11-Inputs!$B$11),0)))/100)/2</f>
        <v/>
      </c>
      <c r="M2192">
        <f>L2192*(1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2">
        <f>L2192*(1-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2192*(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2">
        <f>(1-Summary!$B$11)*S2192+Summary!$B$11*U2192</f>
        <v/>
      </c>
      <c r="P2192">
        <f>IF(B2223=0,0,O2192/B2223)</f>
        <v/>
      </c>
      <c r="Q2192">
        <f>IFERROR(1/(IF(Inputs!$B$38="pvp",15,MAX(0.1,Skills!E10-IF(Skills!F10=TRUE,Inputs!$B$32,0)))*(1-IF(AND(ArtifactsInput!$M$27,Inputs!$B$4="Chapter Hunt"),CHOOSE(ArtifactsInput!$N$27+1,20,24,28,32,36,40),0)/100)),0)</f>
        <v/>
      </c>
      <c r="R2192">
        <f>IF(AND(Inputs!$B$38&lt;&gt;"pvp",Inputs!$B$43&gt;0),IF(MAX(0,Inputs!$B$43-B2220)&lt;=0,0,(INT(MAX(0,Inputs!$B$43-B2220)/(IF(Inputs!$B$38="pvp",15,MAX(0.1,Skills!E10-IF(Skills!F10=TRUE,Inputs!$B$32,0)))*(1-IF(AND(ArtifactsInput!$M$27,Inputs!$B$4="Chapter Hunt"),CHOOSE(ArtifactsInput!$N$27+1,20,24,28,32,36,40),0)/100)))+1)),0)</f>
        <v/>
      </c>
      <c r="S2192">
        <f>IF(C2192,(H2192*N2192*IF(AND(Inputs!$B$38&lt;&gt;"pvp",Inputs!$B$43&gt;0),((Skills!G10*((R2192-1)*IF(Skills!H10&gt;0,Skills!I10/Skills!H10,1)+IF(Skills!H10&gt;0,MIN(Skills!I10,MAX(0,MAX(0,Inputs!$B$43-B2220)-((R2192-1)*(IF(Inputs!$B$38="pvp",15,MAX(0.1,Skills!E10-IF(Skills!F10=TRUE,Inputs!$B$32,0)))*(1-IF(AND(ArtifactsInput!$M$27,Inputs!$B$4="Chapter Hunt"),CHOOSE(ArtifactsInput!$N$27+1,20,24,28,32,36,40),0)/100)))))/Skills!H10,1)))/Inputs!$B$43),G2192*Q2192)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2192*(1-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2192*(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2192*(1-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2192*(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2">
        <f>IF(C2192,(H2192*N2192*IF(AND(Inputs!$B$38&lt;&gt;"pvp",Inputs!$B$43&gt;0),((Skills!G10*((R2192-1)*IF(Skills!H10&gt;0,Skills!I10/Skills!H10,1)+IF(Skills!H10&gt;0,MIN(Skills!I10,MAX(0,MAX(0,Inputs!$B$43-B2220)-((R2192-1)*(IF(Inputs!$B$38="pvp",15,MAX(0.1,Skills!E10-IF(Skills!F10=TRUE,Inputs!$B$32,0)))*(1-IF(AND(ArtifactsInput!$M$27,Inputs!$B$4="Chapter Hunt"),CHOOSE(ArtifactsInput!$N$27+1,20,24,28,32,36,40),0)/100)))))/Skills!H10,1)))/Inputs!$B$43),G2192*Q2192)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3">
      <c r="A2193">
        <f>Skills!A11</f>
        <v/>
      </c>
      <c r="B2193">
        <f>Skills!B11</f>
        <v/>
      </c>
      <c r="C2193">
        <f>TRUE</f>
        <v/>
      </c>
      <c r="D2193">
        <f>IF(Skills!C11=1,60+Inputs!$B$25+Inputs!$B$29,IF(Skills!C11=2,90+Inputs!$B$26+Inputs!$B$29,IF(Skills!C11=3,120+Inputs!$B$27+Inputs!$B$29,MAX(0,(Inputs!$B$3-100)*3)+Inputs!$B$28+Inputs!$B$29)))</f>
        <v/>
      </c>
      <c r="E2193">
        <f>INDEX(FactorTable!$B$2:$Y$301, MATCH(ROUND(MIN(300,MAX(1,D2193)),0), FactorTable!$A$2:$A$301,0), Skills!M11+1)</f>
        <v/>
      </c>
      <c r="F2193">
        <f>IF(Skills!N11=TRUE,(Skills!L11/10)*(E2193/1000),Skills!L11/10)+Skills!O11</f>
        <v/>
      </c>
      <c r="G2193">
        <f>Calc!G11</f>
        <v/>
      </c>
      <c r="H2193">
        <f>Calc!H11</f>
        <v/>
      </c>
      <c r="I2193">
        <f>IF(Skills!X11&lt;&gt;"",1+(Skills!X11/10)*(Z2185/1000)/100,1)</f>
        <v/>
      </c>
      <c r="J2193" t="inlineStr"/>
      <c r="K2193" t="inlineStr"/>
      <c r="L2193" t="inlineStr"/>
      <c r="M2193" t="inlineStr"/>
      <c r="N2193" t="inlineStr"/>
      <c r="O2193">
        <f>(1-Summary!$B$11)*S2193+Summary!$B$11*U2193</f>
        <v/>
      </c>
      <c r="P2193">
        <f>IF(B2223=0,0,O2193/B2223)</f>
        <v/>
      </c>
      <c r="Q2193">
        <f>IFERROR(1/(IF(Inputs!$B$38="pvp",15,MAX(0.1,Skills!E11-IF(Skills!F11=TRUE,Inputs!$B$32,0)))*(1-IF(AND(ArtifactsInput!$M$27,Inputs!$B$4="Chapter Hunt"),CHOOSE(ArtifactsInput!$N$27+1,20,24,28,32,36,40),0)/100)),0)</f>
        <v/>
      </c>
      <c r="R2193" t="n">
        <v>0</v>
      </c>
      <c r="S2193" t="n">
        <v>0</v>
      </c>
      <c r="U2193" t="n">
        <v>0</v>
      </c>
    </row>
    <row r="2194">
      <c r="A2194">
        <f>Skills!A12</f>
        <v/>
      </c>
      <c r="B2194">
        <f>Skills!B12</f>
        <v/>
      </c>
      <c r="C2194">
        <f>TRUE</f>
        <v/>
      </c>
      <c r="D2194">
        <f>IF(Skills!C12=1,60+Inputs!$B$25+Inputs!$B$29,IF(Skills!C12=2,90+Inputs!$B$26+Inputs!$B$29,IF(Skills!C12=3,120+Inputs!$B$27+Inputs!$B$29,MAX(0,(Inputs!$B$3-100)*3)+Inputs!$B$28+Inputs!$B$29)))</f>
        <v/>
      </c>
      <c r="E2194">
        <f>INDEX(FactorTable!$B$2:$Y$301, MATCH(ROUND(MIN(300,MAX(1,D2194)),0), FactorTable!$A$2:$A$301,0), Skills!M12+1)</f>
        <v/>
      </c>
      <c r="F2194">
        <f>IF(Skills!N12=TRUE,(Skills!L12/10)*(E2194/1000),Skills!L12/10)+Skills!O12</f>
        <v/>
      </c>
      <c r="G2194">
        <f>Calc!G12</f>
        <v/>
      </c>
      <c r="H2194">
        <f>Calc!H12</f>
        <v/>
      </c>
      <c r="I2194">
        <f>IF(Skills!X12&lt;&gt;"",1+(Skills!X12/10)*(Z2185/1000)/100,1)</f>
        <v/>
      </c>
      <c r="J2194" t="inlineStr"/>
      <c r="K2194" t="inlineStr"/>
      <c r="L2194" t="inlineStr"/>
      <c r="M2194" t="inlineStr"/>
      <c r="N2194" t="inlineStr"/>
      <c r="O2194">
        <f>(1-Summary!$B$11)*S2194+Summary!$B$11*U2194</f>
        <v/>
      </c>
      <c r="P2194">
        <f>IF(B2223=0,0,O2194/B2223)</f>
        <v/>
      </c>
      <c r="Q2194">
        <f>IFERROR(1/(IF(Inputs!$B$38="pvp",15,MAX(0.1,Skills!E12-IF(Skills!F12=TRUE,Inputs!$B$32,0)))*(1-IF(AND(ArtifactsInput!$M$27,Inputs!$B$4="Chapter Hunt"),CHOOSE(ArtifactsInput!$N$27+1,20,24,28,32,36,40),0)/100)),0)</f>
        <v/>
      </c>
      <c r="R2194" t="n">
        <v>0</v>
      </c>
      <c r="S2194" t="n">
        <v>0</v>
      </c>
      <c r="U2194" t="n">
        <v>0</v>
      </c>
    </row>
    <row r="2195">
      <c r="A2195">
        <f>Skills!A13</f>
        <v/>
      </c>
      <c r="B2195">
        <f>Skills!B13</f>
        <v/>
      </c>
      <c r="C2195">
        <f>Inputs!$B$3&gt;=105</f>
        <v/>
      </c>
      <c r="D2195">
        <f>IF(Skills!C13=1,60+Inputs!$B$25+Inputs!$B$29,IF(Skills!C13=2,90+Inputs!$B$26+Inputs!$B$29,IF(Skills!C13=3,120+Inputs!$B$27+Inputs!$B$29,MAX(0,(Inputs!$B$3-100)*3)+Inputs!$B$28+Inputs!$B$29)))</f>
        <v/>
      </c>
      <c r="E2195">
        <f>INDEX(FactorTable!$B$2:$Y$301, MATCH(ROUND(MIN(300,MAX(1,D2195)),0), FactorTable!$A$2:$A$301,0), Skills!M13+1)</f>
        <v/>
      </c>
      <c r="F2195">
        <f>IF(Skills!N13=TRUE,(Skills!L13/10)*(E2195/1000),Skills!L13/10)+Skills!O13</f>
        <v/>
      </c>
      <c r="G2195">
        <f>Calc!G13</f>
        <v/>
      </c>
      <c r="H2195">
        <f>Calc!H13</f>
        <v/>
      </c>
      <c r="I2195">
        <f>IF(Skills!X13&lt;&gt;"",1+(Skills!X13/10)*(Z2185/1000)/100,1)</f>
        <v/>
      </c>
      <c r="J2195">
        <f>((Inputs!$B$6*(1+Inputs!$B$7/100))+(((Inputs!$B$12*(1+Inputs!$B$13/100))-(Inputs!$B$12*(1+Inputs!$B$13/100)))+0.25*(Inputs!$B$14-Inputs!$B$14))*(1+Inputs!$B$7/100))*(F2195/100)</f>
        <v/>
      </c>
      <c r="K2195">
        <f>J2195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2195)</f>
        <v/>
      </c>
      <c r="L2195">
        <f>K2195*(MIN(Inputs!$B$22+(F2204-Calc!F22),(Inputs!$B$23+(IF(ArtifactsInput!$M$15,CHOOSE(ArtifactsInput!$N$15+1,25,30,35,40,45,50)/100*(Inputs!$B$11-Inputs!$B$11),0))))/100+(Inputs!$B$23+(IF(ArtifactsInput!$M$15,CHOOSE(ArtifactsInput!$N$15+1,25,30,35,40,45,50)/100*(Inputs!$B$11-Inputs!$B$11),0)))/100)/2</f>
        <v/>
      </c>
      <c r="M2195">
        <f>L2195*(1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5">
        <f>L2195*(1-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2195*(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5">
        <f>(1-Summary!$B$11)*S2195+Summary!$B$11*U2195</f>
        <v/>
      </c>
      <c r="P2195">
        <f>IF(B2223=0,0,O2195/B2223)</f>
        <v/>
      </c>
      <c r="Q2195">
        <f>IFERROR(1/(IF(Inputs!$B$38="pvp",15,MAX(0.1,Skills!E13-IF(Skills!F13=TRUE,Inputs!$B$32,0)))*(1-IF(AND(ArtifactsInput!$M$27,Inputs!$B$4="Chapter Hunt"),CHOOSE(ArtifactsInput!$N$27+1,20,24,28,32,36,40),0)/100)),0)</f>
        <v/>
      </c>
      <c r="R2195">
        <f>IF(AND(Inputs!$B$38&lt;&gt;"pvp",Inputs!$B$43&gt;0),IF(MAX(0,Inputs!$B$43-B2220)&lt;=0,0,(INT(MAX(0,Inputs!$B$43-B2220)/(IF(Inputs!$B$38="pvp",15,MAX(0.1,Skills!E13-IF(Skills!F13=TRUE,Inputs!$B$32,0)))*(1-IF(AND(ArtifactsInput!$M$27,Inputs!$B$4="Chapter Hunt"),CHOOSE(ArtifactsInput!$N$27+1,20,24,28,32,36,40),0)/100)))+1)),0)</f>
        <v/>
      </c>
      <c r="S2195">
        <f>IF(C2195,(H2195*N2195*IF(AND(Inputs!$B$38&lt;&gt;"pvp",Inputs!$B$43&gt;0),((Skills!G13*((R2195-1)*IF(Skills!H13&gt;0,Skills!I13/Skills!H13,1)+IF(Skills!H13&gt;0,MIN(Skills!I13,MAX(0,MAX(0,Inputs!$B$43-B2220)-((R2195-1)*(IF(Inputs!$B$38="pvp",15,MAX(0.1,Skills!E13-IF(Skills!F13=TRUE,Inputs!$B$32,0)))*(1-IF(AND(ArtifactsInput!$M$27,Inputs!$B$4="Chapter Hunt"),CHOOSE(ArtifactsInput!$N$27+1,20,24,28,32,36,40),0)/100)))))/Skills!H13,1)))/Inputs!$B$43),G2195*Q2195)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2195*(1-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2195*(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2195*(1-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2195*(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5">
        <f>IF(C2195,(H2195*N2195*IF(AND(Inputs!$B$38&lt;&gt;"pvp",Inputs!$B$43&gt;0),((Skills!G13*((R2195-1)*IF(Skills!H13&gt;0,Skills!I13/Skills!H13,1)+IF(Skills!H13&gt;0,MIN(Skills!I13,MAX(0,MAX(0,Inputs!$B$43-B2220)-((R2195-1)*(IF(Inputs!$B$38="pvp",15,MAX(0.1,Skills!E13-IF(Skills!F13=TRUE,Inputs!$B$32,0)))*(1-IF(AND(ArtifactsInput!$M$27,Inputs!$B$4="Chapter Hunt"),CHOOSE(ArtifactsInput!$N$27+1,20,24,28,32,36,40),0)/100)))))/Skills!H13,1)))/Inputs!$B$43),G2195*Q2195)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6">
      <c r="A2196">
        <f>Skills!A14</f>
        <v/>
      </c>
      <c r="B2196">
        <f>Skills!B14</f>
        <v/>
      </c>
      <c r="C2196">
        <f>Inputs!$B$3&gt;=113</f>
        <v/>
      </c>
      <c r="D2196">
        <f>IF(Skills!C14=1,60+Inputs!$B$25+Inputs!$B$29,IF(Skills!C14=2,90+Inputs!$B$26+Inputs!$B$29,IF(Skills!C14=3,120+Inputs!$B$27+Inputs!$B$29,MAX(0,(Inputs!$B$3-100)*3)+Inputs!$B$28+Inputs!$B$29)))</f>
        <v/>
      </c>
      <c r="E2196">
        <f>INDEX(FactorTable!$B$2:$Y$301, MATCH(ROUND(MIN(300,MAX(1,D2196)),0), FactorTable!$A$2:$A$301,0), Skills!M14+1)</f>
        <v/>
      </c>
      <c r="F2196">
        <f>IF(Skills!N14=TRUE,(Skills!L14/10)*(E2196/1000),Skills!L14/10)+Skills!O14</f>
        <v/>
      </c>
      <c r="G2196">
        <f>Calc!G14</f>
        <v/>
      </c>
      <c r="H2196">
        <f>Calc!H14</f>
        <v/>
      </c>
      <c r="I2196">
        <f>IF(Skills!X14&lt;&gt;"",1+(Skills!X14/10)*(Z2185/1000)/100,1)</f>
        <v/>
      </c>
      <c r="J2196">
        <f>((Inputs!$B$6*(1+Inputs!$B$7/100))+(((Inputs!$B$12*(1+Inputs!$B$13/100))-(Inputs!$B$12*(1+Inputs!$B$13/100)))+0.25*(Inputs!$B$14-Inputs!$B$14))*(1+Inputs!$B$7/100))*(F2196/100)</f>
        <v/>
      </c>
      <c r="K2196">
        <f>J2196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2196)</f>
        <v/>
      </c>
      <c r="L2196">
        <f>K2196*(MIN(Inputs!$B$22+(F2204-Calc!F22),(Inputs!$B$23+(IF(ArtifactsInput!$M$15,CHOOSE(ArtifactsInput!$N$15+1,25,30,35,40,45,50)/100*(Inputs!$B$11-Inputs!$B$11),0))))/100+(Inputs!$B$23+(IF(ArtifactsInput!$M$15,CHOOSE(ArtifactsInput!$N$15+1,25,30,35,40,45,50)/100*(Inputs!$B$11-Inputs!$B$11),0)))/100)/2</f>
        <v/>
      </c>
      <c r="M2196">
        <f>L2196*(1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6">
        <f>L2196*(1-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2196*(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6">
        <f>(1-Summary!$B$11)*S2196+Summary!$B$11*U2196</f>
        <v/>
      </c>
      <c r="P2196">
        <f>IF(B2223=0,0,O2196/B2223)</f>
        <v/>
      </c>
      <c r="Q2196">
        <f>IFERROR(1/(IF(Inputs!$B$38="pvp",15,MAX(0.1,Skills!E14-IF(Skills!F14=TRUE,Inputs!$B$32,0)))*(1-IF(AND(ArtifactsInput!$M$27,Inputs!$B$4="Chapter Hunt"),CHOOSE(ArtifactsInput!$N$27+1,20,24,28,32,36,40),0)/100)),0)</f>
        <v/>
      </c>
      <c r="R2196" t="n">
        <v>0</v>
      </c>
      <c r="S2196">
        <f>IF(C2196,((H2196*B2219)/(1+Skills!H14*H2196*B2219)*N2196)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2196*(1-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2196*(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2196*(1-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2196*(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6">
        <f>IF(C2196,((H2196*B2219)/(1+Skills!H14*H2196*B2219)*N2196)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7">
      <c r="A2197">
        <f>Skills!A15</f>
        <v/>
      </c>
      <c r="B2197">
        <f>Skills!B15</f>
        <v/>
      </c>
      <c r="C2197">
        <f>Inputs!$B$3&gt;=107</f>
        <v/>
      </c>
      <c r="D2197">
        <f>IF(Skills!C15=1,60+Inputs!$B$25+Inputs!$B$29,IF(Skills!C15=2,90+Inputs!$B$26+Inputs!$B$29,IF(Skills!C15=3,120+Inputs!$B$27+Inputs!$B$29,MAX(0,(Inputs!$B$3-100)*3)+Inputs!$B$28+Inputs!$B$29)))</f>
        <v/>
      </c>
      <c r="E2197">
        <f>INDEX(FactorTable!$B$2:$Y$301, MATCH(ROUND(MIN(300,MAX(1,D2197)),0), FactorTable!$A$2:$A$301,0), Skills!M15+1)</f>
        <v/>
      </c>
      <c r="F2197">
        <f>IF(Skills!N15=TRUE,(Skills!L15/10)*(E2197/1000),Skills!L15/10)+Skills!O15</f>
        <v/>
      </c>
      <c r="G2197">
        <f>Calc!G15</f>
        <v/>
      </c>
      <c r="H2197">
        <f>Calc!H15</f>
        <v/>
      </c>
      <c r="I2197">
        <f>IF(Skills!X15&lt;&gt;"",1+(Skills!X15/10)*(Z2185/1000)/100,1)</f>
        <v/>
      </c>
      <c r="J2197">
        <f>((Inputs!$B$6*(1+Inputs!$B$7/100))+(((Inputs!$B$12*(1+Inputs!$B$13/100))-(Inputs!$B$12*(1+Inputs!$B$13/100)))+0.25*(Inputs!$B$14-Inputs!$B$14))*(1+Inputs!$B$7/100))*(F2197/100)</f>
        <v/>
      </c>
      <c r="K2197">
        <f>J2197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2197)</f>
        <v/>
      </c>
      <c r="L2197">
        <f>K2197*(MIN(Inputs!$B$22+(F2204-Calc!F22),(Inputs!$B$23+(IF(ArtifactsInput!$M$15,CHOOSE(ArtifactsInput!$N$15+1,25,30,35,40,45,50)/100*(Inputs!$B$11-Inputs!$B$11),0))))/100+(Inputs!$B$23+(IF(ArtifactsInput!$M$15,CHOOSE(ArtifactsInput!$N$15+1,25,30,35,40,45,50)/100*(Inputs!$B$11-Inputs!$B$11),0)))/100)/2</f>
        <v/>
      </c>
      <c r="M2197">
        <f>L2197*(1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7">
        <f>L2197*(1-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2197*(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7">
        <f>(1-Summary!$B$11)*S2197+Summary!$B$11*U2197</f>
        <v/>
      </c>
      <c r="P2197">
        <f>IF(B2223=0,0,O2197/B2223)</f>
        <v/>
      </c>
      <c r="Q2197">
        <f>IFERROR(1/(IF(Inputs!$B$38="pvp",15,MAX(0.1,Skills!E15-IF(Skills!F15=TRUE,Inputs!$B$32,0)))*(1-IF(AND(ArtifactsInput!$M$27,Inputs!$B$4="Chapter Hunt"),CHOOSE(ArtifactsInput!$N$27+1,20,24,28,32,36,40),0)/100)),0)</f>
        <v/>
      </c>
      <c r="R2197">
        <f>IF(AND(Inputs!$B$38&lt;&gt;"pvp",Inputs!$B$43&gt;0),IF(MAX(0,Inputs!$B$43-B2220)&lt;=0,0,(INT(MAX(0,Inputs!$B$43-B2220)/(IF(Inputs!$B$38="pvp",15,MAX(0.1,Skills!E15-IF(Skills!F15=TRUE,Inputs!$B$32,0)))*(1-IF(AND(ArtifactsInput!$M$27,Inputs!$B$4="Chapter Hunt"),CHOOSE(ArtifactsInput!$N$27+1,20,24,28,32,36,40),0)/100)))+1)),0)</f>
        <v/>
      </c>
      <c r="S2197">
        <f>IF(C2197,(H2197*N2197*IF(AND(Inputs!$B$38&lt;&gt;"pvp",Inputs!$B$43&gt;0),((Skills!G15*((R2197-1)*IF(Skills!H15&gt;0,Skills!I15/Skills!H15,1)+IF(Skills!H15&gt;0,MIN(Skills!I15,MAX(0,MAX(0,Inputs!$B$43-B2220)-((R2197-1)*(IF(Inputs!$B$38="pvp",15,MAX(0.1,Skills!E15-IF(Skills!F15=TRUE,Inputs!$B$32,0)))*(1-IF(AND(ArtifactsInput!$M$27,Inputs!$B$4="Chapter Hunt"),CHOOSE(ArtifactsInput!$N$27+1,20,24,28,32,36,40),0)/100)))))/Skills!H15,1)))/Inputs!$B$43),G2197*Q2197)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2197*(1-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2197*(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2197*(1-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2197*(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7">
        <f>IF(C2197,(H2197*N2197*IF(AND(Inputs!$B$38&lt;&gt;"pvp",Inputs!$B$43&gt;0),((Skills!G15*((R2197-1)*IF(Skills!H15&gt;0,Skills!I15/Skills!H15,1)+IF(Skills!H15&gt;0,MIN(Skills!I15,MAX(0,MAX(0,Inputs!$B$43-B2220)-((R2197-1)*(IF(Inputs!$B$38="pvp",15,MAX(0.1,Skills!E15-IF(Skills!F15=TRUE,Inputs!$B$32,0)))*(1-IF(AND(ArtifactsInput!$M$27,Inputs!$B$4="Chapter Hunt"),CHOOSE(ArtifactsInput!$N$27+1,20,24,28,32,36,40),0)/100)))))/Skills!H15,1)))/Inputs!$B$43),G2197*Q2197)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8">
      <c r="A2198">
        <f>Skills!A16</f>
        <v/>
      </c>
      <c r="B2198">
        <f>Skills!B16</f>
        <v/>
      </c>
      <c r="C2198">
        <f>Inputs!$B$3&gt;=107</f>
        <v/>
      </c>
      <c r="D2198">
        <f>IF(Skills!C16=1,60+Inputs!$B$25+Inputs!$B$29,IF(Skills!C16=2,90+Inputs!$B$26+Inputs!$B$29,IF(Skills!C16=3,120+Inputs!$B$27+Inputs!$B$29,MAX(0,(Inputs!$B$3-100)*3)+Inputs!$B$28+Inputs!$B$29)))</f>
        <v/>
      </c>
      <c r="E2198">
        <f>INDEX(FactorTable!$B$2:$Y$301, MATCH(ROUND(MIN(300,MAX(1,D2198)),0), FactorTable!$A$2:$A$301,0), Skills!M16+1)</f>
        <v/>
      </c>
      <c r="F2198">
        <f>IF(Skills!N16=TRUE,(Skills!L16/10)*(E2198/1000),Skills!L16/10)+Skills!O16</f>
        <v/>
      </c>
      <c r="G2198">
        <f>Calc!G16</f>
        <v/>
      </c>
      <c r="H2198">
        <f>Calc!H16</f>
        <v/>
      </c>
      <c r="I2198">
        <f>IF(Skills!X16&lt;&gt;"",1+(Skills!X16/10)*(Z2185/1000)/100,1)</f>
        <v/>
      </c>
      <c r="J2198">
        <f>((Inputs!$B$6*(1+Inputs!$B$7/100))+(((Inputs!$B$12*(1+Inputs!$B$13/100))-(Inputs!$B$12*(1+Inputs!$B$13/100)))+0.25*(Inputs!$B$14-Inputs!$B$14))*(1+Inputs!$B$7/100))*(F2198/100)</f>
        <v/>
      </c>
      <c r="K2198">
        <f>J2198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2198)</f>
        <v/>
      </c>
      <c r="L2198">
        <f>K2198*(MIN(Inputs!$B$22+(F2204-Calc!F22),(Inputs!$B$23+(IF(ArtifactsInput!$M$15,CHOOSE(ArtifactsInput!$N$15+1,25,30,35,40,45,50)/100*(Inputs!$B$11-Inputs!$B$11),0))))/100+(Inputs!$B$23+(IF(ArtifactsInput!$M$15,CHOOSE(ArtifactsInput!$N$15+1,25,30,35,40,45,50)/100*(Inputs!$B$11-Inputs!$B$11),0)))/100)/2</f>
        <v/>
      </c>
      <c r="M2198">
        <f>L2198*(1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8">
        <f>L2198*(1-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2198*(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8">
        <f>(1-Summary!$B$11)*S2198+Summary!$B$11*U2198</f>
        <v/>
      </c>
      <c r="P2198">
        <f>IF(B2223=0,0,O2198/B2223)</f>
        <v/>
      </c>
      <c r="Q2198">
        <f>IFERROR(1/(IF(Inputs!$B$38="pvp",15,MAX(0.1,Skills!E16-IF(Skills!F16=TRUE,Inputs!$B$32,0)))*(1-IF(AND(ArtifactsInput!$M$27,Inputs!$B$4="Chapter Hunt"),CHOOSE(ArtifactsInput!$N$27+1,20,24,28,32,36,40),0)/100)),0)</f>
        <v/>
      </c>
      <c r="R2198">
        <f>IF(AND(Inputs!$B$38&lt;&gt;"pvp",Inputs!$B$43&gt;0),IF(MAX(0,Inputs!$B$43-B2220)&lt;=0,0,(INT(MAX(0,Inputs!$B$43-B2220)/(IF(Inputs!$B$38="pvp",15,MAX(0.1,Skills!E16-IF(Skills!F16=TRUE,Inputs!$B$32,0)))*(1-IF(AND(ArtifactsInput!$M$27,Inputs!$B$4="Chapter Hunt"),CHOOSE(ArtifactsInput!$N$27+1,20,24,28,32,36,40),0)/100)))+1)),0)</f>
        <v/>
      </c>
      <c r="S2198">
        <f>IF(C2198,(H2198*N2198*IF(AND(Inputs!$B$38&lt;&gt;"pvp",Inputs!$B$43&gt;0),((Skills!G16*((R2198-1)*IF(Skills!H16&gt;0,Skills!I16/Skills!H16,1)+IF(Skills!H16&gt;0,MIN(Skills!I16,MAX(0,MAX(0,Inputs!$B$43-B2220)-((R2198-1)*(IF(Inputs!$B$38="pvp",15,MAX(0.1,Skills!E16-IF(Skills!F16=TRUE,Inputs!$B$32,0)))*(1-IF(AND(ArtifactsInput!$M$27,Inputs!$B$4="Chapter Hunt"),CHOOSE(ArtifactsInput!$N$27+1,20,24,28,32,36,40),0)/100)))))/Skills!H16,1)))/Inputs!$B$43),G2198*Q2198)*(1+IF(Inputs!$B$3&gt;=126,0.05*(B2218+Q2195+(H2196*B2219)/(1+Skills!H14*H2196*B2219)+Q2206)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2198*(1-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2198*(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2198*(1-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2198*(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8">
        <f>IF(C2198,(H2198*N2198*IF(AND(Inputs!$B$38&lt;&gt;"pvp",Inputs!$B$43&gt;0),((Skills!G16*((R2198-1)*IF(Skills!H16&gt;0,Skills!I16/Skills!H16,1)+IF(Skills!H16&gt;0,MIN(Skills!I16,MAX(0,MAX(0,Inputs!$B$43-B2220)-((R2198-1)*(IF(Inputs!$B$38="pvp",15,MAX(0.1,Skills!E16-IF(Skills!F16=TRUE,Inputs!$B$32,0)))*(1-IF(AND(ArtifactsInput!$M$27,Inputs!$B$4="Chapter Hunt"),CHOOSE(ArtifactsInput!$N$27+1,20,24,28,32,36,40),0)/100)))))/Skills!H16,1)))/Inputs!$B$43),G2198*Q2198)*(1+IF(Inputs!$B$3&gt;=126,0.05*(B2218+Q2195+(H2196*B2219)/(1+Skills!H14*H2196*B2219)+Q2206)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9">
      <c r="A2199">
        <f>Skills!A17</f>
        <v/>
      </c>
      <c r="B2199">
        <f>Skills!B17</f>
        <v/>
      </c>
      <c r="C2199">
        <f>TRUE</f>
        <v/>
      </c>
      <c r="D2199">
        <f>IF(Skills!C17=1,60+Inputs!$B$25+Inputs!$B$29,IF(Skills!C17=2,90+Inputs!$B$26+Inputs!$B$29,IF(Skills!C17=3,120+Inputs!$B$27+Inputs!$B$29,MAX(0,(Inputs!$B$3-100)*3)+Inputs!$B$28+Inputs!$B$29)))</f>
        <v/>
      </c>
      <c r="E2199">
        <f>INDEX(FactorTable!$B$2:$Y$301, MATCH(ROUND(MIN(300,MAX(1,D2199)),0), FactorTable!$A$2:$A$301,0), Skills!M17+1)</f>
        <v/>
      </c>
      <c r="F2199">
        <f>IF(Skills!N17=TRUE,(Skills!L17/10)*(E2199/1000),Skills!L17/10)+Skills!O17</f>
        <v/>
      </c>
      <c r="G2199">
        <f>Calc!G17</f>
        <v/>
      </c>
      <c r="H2199">
        <f>Calc!H17</f>
        <v/>
      </c>
      <c r="I2199">
        <f>IF(Skills!X17&lt;&gt;"",1+(Skills!X17/10)*(Z2185/1000)/100,1)</f>
        <v/>
      </c>
      <c r="J2199" t="inlineStr"/>
      <c r="K2199" t="inlineStr"/>
      <c r="L2199" t="inlineStr"/>
      <c r="M2199" t="inlineStr"/>
      <c r="N2199" t="inlineStr"/>
      <c r="O2199">
        <f>(1-Summary!$B$11)*S2199+Summary!$B$11*U2199</f>
        <v/>
      </c>
      <c r="P2199">
        <f>IF(B2223=0,0,O2199/B2223)</f>
        <v/>
      </c>
      <c r="Q2199">
        <f>IFERROR(1/(IF(Inputs!$B$38="pvp",15,MAX(0.1,Skills!E17-IF(Skills!F17=TRUE,Inputs!$B$32,0)))*(1-IF(AND(ArtifactsInput!$M$27,Inputs!$B$4="Chapter Hunt"),CHOOSE(ArtifactsInput!$N$27+1,20,24,28,32,36,40),0)/100)),0)</f>
        <v/>
      </c>
      <c r="R2199">
        <f>IF(AND(Inputs!$B$38&lt;&gt;"pvp",Inputs!$B$43&gt;0),IF(Inputs!$B$43&lt;=0,0,(INT(Inputs!$B$43/(IF(Inputs!$B$38="pvp",15,MAX(0.1,Skills!E17-IF(Skills!F17=TRUE,Inputs!$B$32,0)))*(1-IF(AND(ArtifactsInput!$M$27,Inputs!$B$4="Chapter Hunt"),CHOOSE(ArtifactsInput!$N$27+1,20,24,28,32,36,40),0)/100)))+1)),0)</f>
        <v/>
      </c>
      <c r="S2199" t="n">
        <v>0</v>
      </c>
      <c r="U2199" t="n">
        <v>0</v>
      </c>
    </row>
    <row r="2200">
      <c r="A2200">
        <f>Skills!A18</f>
        <v/>
      </c>
      <c r="B2200">
        <f>Skills!B18</f>
        <v/>
      </c>
      <c r="C2200">
        <f>TRUE</f>
        <v/>
      </c>
      <c r="D2200">
        <f>IF(Skills!C18=1,60+Inputs!$B$25+Inputs!$B$29,IF(Skills!C18=2,90+Inputs!$B$26+Inputs!$B$29,IF(Skills!C18=3,120+Inputs!$B$27+Inputs!$B$29,MAX(0,(Inputs!$B$3-100)*3)+Inputs!$B$28+Inputs!$B$29)))</f>
        <v/>
      </c>
      <c r="E2200">
        <f>INDEX(FactorTable!$B$2:$Y$301, MATCH(ROUND(MIN(300,MAX(1,D2200)),0), FactorTable!$A$2:$A$301,0), Skills!M18+1)</f>
        <v/>
      </c>
      <c r="F2200">
        <f>IF(Skills!N18=TRUE,(Skills!L18/10)*(E2200/1000),Skills!L18/10)+Skills!O18</f>
        <v/>
      </c>
      <c r="G2200">
        <f>Calc!G18</f>
        <v/>
      </c>
      <c r="H2200">
        <f>Calc!H18</f>
        <v/>
      </c>
      <c r="I2200">
        <f>IF(Skills!X18&lt;&gt;"",1+(Skills!X18/10)*(Z2185/1000)/100,1)</f>
        <v/>
      </c>
      <c r="J2200" t="inlineStr"/>
      <c r="K2200" t="inlineStr"/>
      <c r="L2200" t="inlineStr"/>
      <c r="M2200" t="inlineStr"/>
      <c r="N2200" t="inlineStr"/>
      <c r="O2200">
        <f>(1-Summary!$B$11)*S2200+Summary!$B$11*U2200</f>
        <v/>
      </c>
      <c r="P2200">
        <f>IF(B2223=0,0,O2200/B2223)</f>
        <v/>
      </c>
      <c r="Q2200">
        <f>IFERROR(1/(IF(Inputs!$B$38="pvp",15,MAX(0.1,Skills!E18-IF(Skills!F18=TRUE,Inputs!$B$32,0)))*(1-IF(AND(ArtifactsInput!$M$27,Inputs!$B$4="Chapter Hunt"),CHOOSE(ArtifactsInput!$N$27+1,20,24,28,32,36,40),0)/100)),0)</f>
        <v/>
      </c>
      <c r="R2200">
        <f>IF(AND(Inputs!$B$38&lt;&gt;"pvp",Inputs!$B$43&gt;0),IF(Inputs!$B$43&lt;=0,0,(INT(Inputs!$B$43/(IF(Inputs!$B$38="pvp",15,MAX(0.1,Skills!E18-IF(Skills!F18=TRUE,Inputs!$B$32,0)))*(1-IF(AND(ArtifactsInput!$M$27,Inputs!$B$4="Chapter Hunt"),CHOOSE(ArtifactsInput!$N$27+1,20,24,28,32,36,40),0)/100)))+1)),0)</f>
        <v/>
      </c>
      <c r="S2200" t="n">
        <v>0</v>
      </c>
      <c r="U2200" t="n">
        <v>0</v>
      </c>
    </row>
    <row r="2201">
      <c r="A2201">
        <f>Skills!A19</f>
        <v/>
      </c>
      <c r="B2201">
        <f>Skills!B19</f>
        <v/>
      </c>
      <c r="C2201">
        <f>Inputs!$B$3&gt;=110</f>
        <v/>
      </c>
      <c r="D2201">
        <f>IF(Skills!C19=1,60+Inputs!$B$25+Inputs!$B$29,IF(Skills!C19=2,90+Inputs!$B$26+Inputs!$B$29,IF(Skills!C19=3,120+Inputs!$B$27+Inputs!$B$29,MAX(0,(Inputs!$B$3-100)*3)+Inputs!$B$28+Inputs!$B$29)))</f>
        <v/>
      </c>
      <c r="E2201">
        <f>INDEX(FactorTable!$B$2:$Y$301, MATCH(ROUND(MIN(300,MAX(1,D2201)),0), FactorTable!$A$2:$A$301,0), Skills!M19+1)</f>
        <v/>
      </c>
      <c r="F2201">
        <f>IF(Skills!N19=TRUE,(Skills!L19/10)*(E2201/1000),Skills!L19/10)+Skills!O19</f>
        <v/>
      </c>
      <c r="G2201">
        <f>Calc!G19</f>
        <v/>
      </c>
      <c r="H2201">
        <f>Calc!H19</f>
        <v/>
      </c>
      <c r="I2201">
        <f>IF(Skills!X19&lt;&gt;"",1+(Skills!X19/10)*(Z2185/1000)/100,1)</f>
        <v/>
      </c>
      <c r="J2201" t="inlineStr"/>
      <c r="K2201" t="inlineStr"/>
      <c r="L2201" t="inlineStr"/>
      <c r="M2201" t="inlineStr"/>
      <c r="N2201" t="inlineStr"/>
      <c r="O2201">
        <f>(1-Summary!$B$11)*S2201+Summary!$B$11*U2201</f>
        <v/>
      </c>
      <c r="P2201">
        <f>IF(B2223=0,0,O2201/B2223)</f>
        <v/>
      </c>
      <c r="Q2201">
        <f>IFERROR(1/(IF(Inputs!$B$38="pvp",15,MAX(0.1,Skills!E19-IF(Skills!F19=TRUE,Inputs!$B$32,0)))*(1-IF(AND(ArtifactsInput!$M$27,Inputs!$B$4="Chapter Hunt"),CHOOSE(ArtifactsInput!$N$27+1,20,24,28,32,36,40),0)/100)),0)</f>
        <v/>
      </c>
      <c r="R2201">
        <f>IF(AND(Inputs!$B$38&lt;&gt;"pvp",Inputs!$B$43&gt;0),IF(Inputs!$B$43&lt;=0,0,(INT(Inputs!$B$43/(IF(Inputs!$B$38="pvp",15,MAX(0.1,Skills!E19-IF(Skills!F19=TRUE,Inputs!$B$32,0)))*(1-IF(AND(ArtifactsInput!$M$27,Inputs!$B$4="Chapter Hunt"),CHOOSE(ArtifactsInput!$N$27+1,20,24,28,32,36,40),0)/100)))+1)),0)</f>
        <v/>
      </c>
      <c r="S2201" t="n">
        <v>0</v>
      </c>
      <c r="U2201" t="n">
        <v>0</v>
      </c>
    </row>
    <row r="2202">
      <c r="A2202">
        <f>Skills!A20</f>
        <v/>
      </c>
      <c r="B2202">
        <f>Skills!B20</f>
        <v/>
      </c>
      <c r="C2202">
        <f>TRUE</f>
        <v/>
      </c>
      <c r="D2202">
        <f>IF(Skills!C20=1,60+Inputs!$B$25+Inputs!$B$29,IF(Skills!C20=2,90+Inputs!$B$26+Inputs!$B$29,IF(Skills!C20=3,120+Inputs!$B$27+Inputs!$B$29,MAX(0,(Inputs!$B$3-100)*3)+Inputs!$B$28+Inputs!$B$29)))</f>
        <v/>
      </c>
      <c r="E2202">
        <f>INDEX(FactorTable!$B$2:$Y$301, MATCH(ROUND(MIN(300,MAX(1,D2202)),0), FactorTable!$A$2:$A$301,0), Skills!M20+1)</f>
        <v/>
      </c>
      <c r="F2202">
        <f>IF(Skills!N20=TRUE,(Skills!L20/10)*(E2202/1000),Skills!L20/10)+Skills!O20</f>
        <v/>
      </c>
      <c r="G2202">
        <f>Calc!G20</f>
        <v/>
      </c>
      <c r="H2202">
        <f>Calc!H20</f>
        <v/>
      </c>
      <c r="I2202">
        <f>IF(Skills!X20&lt;&gt;"",1+(Skills!X20/10)*(Z2185/1000)/100,1)</f>
        <v/>
      </c>
      <c r="J2202" t="inlineStr"/>
      <c r="K2202" t="inlineStr"/>
      <c r="L2202" t="inlineStr"/>
      <c r="M2202" t="inlineStr"/>
      <c r="N2202" t="inlineStr"/>
      <c r="O2202">
        <f>(1-Summary!$B$11)*S2202+Summary!$B$11*U2202</f>
        <v/>
      </c>
      <c r="P2202">
        <f>IF(B2223=0,0,O2202/B2223)</f>
        <v/>
      </c>
      <c r="Q2202">
        <f>IFERROR(1/(IF(Inputs!$B$38="pvp",15,MAX(0.1,Skills!E20-IF(Skills!F20=TRUE,Inputs!$B$32,0)))*(1-IF(AND(ArtifactsInput!$M$27,Inputs!$B$4="Chapter Hunt"),CHOOSE(ArtifactsInput!$N$27+1,20,24,28,32,36,40),0)/100)),0)</f>
        <v/>
      </c>
      <c r="R2202" t="n">
        <v>0</v>
      </c>
      <c r="S2202" t="n">
        <v>0</v>
      </c>
      <c r="U2202" t="n">
        <v>0</v>
      </c>
    </row>
    <row r="2203">
      <c r="A2203">
        <f>Skills!A21</f>
        <v/>
      </c>
      <c r="B2203">
        <f>Skills!B21</f>
        <v/>
      </c>
      <c r="C2203">
        <f>TRUE</f>
        <v/>
      </c>
      <c r="D2203">
        <f>IF(Skills!C21=1,60+Inputs!$B$25+Inputs!$B$29,IF(Skills!C21=2,90+Inputs!$B$26+Inputs!$B$29,IF(Skills!C21=3,120+Inputs!$B$27+Inputs!$B$29,MAX(0,(Inputs!$B$3-100)*3)+Inputs!$B$28+Inputs!$B$29)))</f>
        <v/>
      </c>
      <c r="E2203">
        <f>INDEX(FactorTable!$B$2:$Y$301, MATCH(ROUND(MIN(300,MAX(1,D2203)),0), FactorTable!$A$2:$A$301,0), Skills!M21+1)</f>
        <v/>
      </c>
      <c r="F2203">
        <f>IF(Skills!N21=TRUE,(Skills!L21/10)*(E2203/1000),Skills!L21/10)+Skills!O21</f>
        <v/>
      </c>
      <c r="G2203">
        <f>Calc!G21</f>
        <v/>
      </c>
      <c r="H2203">
        <f>Calc!H21</f>
        <v/>
      </c>
      <c r="I2203">
        <f>IF(Skills!X21&lt;&gt;"",1+(Skills!X21/10)*(Z2185/1000)/100,1)</f>
        <v/>
      </c>
      <c r="J2203" t="inlineStr"/>
      <c r="K2203" t="inlineStr"/>
      <c r="L2203" t="inlineStr"/>
      <c r="M2203" t="inlineStr"/>
      <c r="N2203" t="inlineStr"/>
      <c r="O2203">
        <f>(1-Summary!$B$11)*S2203+Summary!$B$11*U2203</f>
        <v/>
      </c>
      <c r="P2203">
        <f>IF(B2223=0,0,O2203/B2223)</f>
        <v/>
      </c>
      <c r="Q2203">
        <f>IFERROR(1/(IF(Inputs!$B$38="pvp",15,MAX(0.1,Skills!E21-IF(Skills!F21=TRUE,Inputs!$B$32,0)))*(1-IF(AND(ArtifactsInput!$M$27,Inputs!$B$4="Chapter Hunt"),CHOOSE(ArtifactsInput!$N$27+1,20,24,28,32,36,40),0)/100)),0)</f>
        <v/>
      </c>
      <c r="R2203" t="n">
        <v>0</v>
      </c>
      <c r="S2203" t="n">
        <v>0</v>
      </c>
      <c r="U2203" t="n">
        <v>0</v>
      </c>
    </row>
    <row r="2204">
      <c r="A2204">
        <f>Skills!A22</f>
        <v/>
      </c>
      <c r="B2204">
        <f>Skills!B22</f>
        <v/>
      </c>
      <c r="C2204">
        <f>TRUE</f>
        <v/>
      </c>
      <c r="D2204">
        <f>IF(Skills!C22=1,60+Inputs!$B$25+Inputs!$B$29,IF(Skills!C22=2,90+Inputs!$B$26+Inputs!$B$29,IF(Skills!C22=3,120+Inputs!$B$27+Inputs!$B$29,MAX(0,(Inputs!$B$3-100)*3)+Inputs!$B$28+Inputs!$B$29)))</f>
        <v/>
      </c>
      <c r="E2204">
        <f>INDEX(FactorTable!$B$2:$Y$301, MATCH(ROUND(MIN(300,MAX(1,D2204)),0), FactorTable!$A$2:$A$301,0), Skills!M22+1)</f>
        <v/>
      </c>
      <c r="F2204">
        <f>IF(Skills!N22=TRUE,(Skills!L22/10)*(E2204/1000),Skills!L22/10)+Skills!O22</f>
        <v/>
      </c>
      <c r="G2204">
        <f>Calc!G22</f>
        <v/>
      </c>
      <c r="H2204">
        <f>Calc!H22</f>
        <v/>
      </c>
      <c r="I2204">
        <f>IF(Skills!X22&lt;&gt;"",1+(Skills!X22/10)*(Z2185/1000)/100,1)</f>
        <v/>
      </c>
      <c r="J2204" t="inlineStr"/>
      <c r="K2204" t="inlineStr"/>
      <c r="L2204" t="inlineStr"/>
      <c r="M2204" t="inlineStr"/>
      <c r="N2204" t="inlineStr"/>
      <c r="O2204">
        <f>(1-Summary!$B$11)*S2204+Summary!$B$11*U2204</f>
        <v/>
      </c>
      <c r="P2204">
        <f>IF(B2223=0,0,O2204/B2223)</f>
        <v/>
      </c>
      <c r="Q2204">
        <f>IFERROR(1/(IF(Inputs!$B$38="pvp",15,MAX(0.1,Skills!E22-IF(Skills!F22=TRUE,Inputs!$B$32,0)))*(1-IF(AND(ArtifactsInput!$M$27,Inputs!$B$4="Chapter Hunt"),CHOOSE(ArtifactsInput!$N$27+1,20,24,28,32,36,40),0)/100)),0)</f>
        <v/>
      </c>
      <c r="R2204" t="n">
        <v>0</v>
      </c>
      <c r="S2204" t="n">
        <v>0</v>
      </c>
      <c r="U2204" t="n">
        <v>0</v>
      </c>
    </row>
    <row r="2205">
      <c r="A2205">
        <f>Skills!A23</f>
        <v/>
      </c>
      <c r="B2205">
        <f>Skills!B23</f>
        <v/>
      </c>
      <c r="C2205">
        <f>TRUE</f>
        <v/>
      </c>
      <c r="D2205">
        <f>IF(Skills!C23=1,60+Inputs!$B$25+Inputs!$B$29,IF(Skills!C23=2,90+Inputs!$B$26+Inputs!$B$29,IF(Skills!C23=3,120+Inputs!$B$27+Inputs!$B$29,MAX(0,(Inputs!$B$3-100)*3)+Inputs!$B$28+Inputs!$B$29)))</f>
        <v/>
      </c>
      <c r="E2205">
        <f>INDEX(FactorTable!$B$2:$Y$301, MATCH(ROUND(MIN(300,MAX(1,D2205)),0), FactorTable!$A$2:$A$301,0), Skills!M23+1)</f>
        <v/>
      </c>
      <c r="F2205">
        <f>IF(Skills!N23=TRUE,(Skills!L23/10)*(E2205/1000),Skills!L23/10)+Skills!O23</f>
        <v/>
      </c>
      <c r="G2205">
        <f>Calc!G23</f>
        <v/>
      </c>
      <c r="H2205">
        <f>Calc!H23</f>
        <v/>
      </c>
      <c r="I2205">
        <f>IF(Skills!X23&lt;&gt;"",1+(Skills!X23/10)*(Z2185/1000)/100,1)</f>
        <v/>
      </c>
      <c r="J2205" t="inlineStr"/>
      <c r="K2205" t="inlineStr"/>
      <c r="L2205" t="inlineStr"/>
      <c r="M2205" t="inlineStr"/>
      <c r="N2205" t="inlineStr"/>
      <c r="O2205">
        <f>(1-Summary!$B$11)*S2205+Summary!$B$11*U2205</f>
        <v/>
      </c>
      <c r="P2205">
        <f>IF(B2223=0,0,O2205/B2223)</f>
        <v/>
      </c>
      <c r="Q2205">
        <f>IFERROR(1/(IF(Inputs!$B$38="pvp",15,MAX(0.1,Skills!E23-IF(Skills!F23=TRUE,Inputs!$B$32,0)))*(1-IF(AND(ArtifactsInput!$M$27,Inputs!$B$4="Chapter Hunt"),CHOOSE(ArtifactsInput!$N$27+1,20,24,28,32,36,40),0)/100)),0)</f>
        <v/>
      </c>
      <c r="R2205" t="n">
        <v>0</v>
      </c>
      <c r="S2205" t="n">
        <v>0</v>
      </c>
      <c r="U2205" t="n">
        <v>0</v>
      </c>
    </row>
    <row r="2206">
      <c r="A2206">
        <f>Skills!A24</f>
        <v/>
      </c>
      <c r="B2206">
        <f>Skills!B24</f>
        <v/>
      </c>
      <c r="C2206">
        <f>Inputs!$B$3&gt;=115</f>
        <v/>
      </c>
      <c r="D2206">
        <f>IF(Skills!C24=1,60+Inputs!$B$25+Inputs!$B$29,IF(Skills!C24=2,90+Inputs!$B$26+Inputs!$B$29,IF(Skills!C24=3,120+Inputs!$B$27+Inputs!$B$29,MAX(0,(Inputs!$B$3-100)*3)+Inputs!$B$28+Inputs!$B$29)))</f>
        <v/>
      </c>
      <c r="E2206">
        <f>INDEX(FactorTable!$B$2:$Y$301, MATCH(ROUND(MIN(300,MAX(1,D2206)),0), FactorTable!$A$2:$A$301,0), Skills!M24+1)</f>
        <v/>
      </c>
      <c r="F2206">
        <f>IF(Skills!N24=TRUE,(Skills!L24/10)*(E2206/1000),Skills!L24/10)+Skills!O24</f>
        <v/>
      </c>
      <c r="G2206">
        <f>Calc!G24</f>
        <v/>
      </c>
      <c r="H2206">
        <f>Calc!H24</f>
        <v/>
      </c>
      <c r="I2206">
        <f>IF(Skills!X24&lt;&gt;"",1+(Skills!X24/10)*(Z2185/1000)/100,1)</f>
        <v/>
      </c>
      <c r="J2206">
        <f>((Inputs!$B$6*(1+Inputs!$B$7/100))+(((Inputs!$B$12*(1+Inputs!$B$13/100))-(Inputs!$B$12*(1+Inputs!$B$13/100)))+0.25*(Inputs!$B$14-Inputs!$B$14))*(1+Inputs!$B$7/100))*(F2206/100)</f>
        <v/>
      </c>
      <c r="K2206">
        <f>J2206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2206)</f>
        <v/>
      </c>
      <c r="L2206">
        <f>K2206*(MIN(Inputs!$B$22+(F2204-Calc!F22),(Inputs!$B$23+(IF(ArtifactsInput!$M$15,CHOOSE(ArtifactsInput!$N$15+1,25,30,35,40,45,50)/100*(Inputs!$B$11-Inputs!$B$11),0))))/100+(Inputs!$B$23+(IF(ArtifactsInput!$M$15,CHOOSE(ArtifactsInput!$N$15+1,25,30,35,40,45,50)/100*(Inputs!$B$11-Inputs!$B$11),0)))/100)/2</f>
        <v/>
      </c>
      <c r="M2206">
        <f>L2206*(1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6">
        <f>L2206*(1-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2206*(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6">
        <f>(1-Summary!$B$11)*S2206+Summary!$B$11*U2206</f>
        <v/>
      </c>
      <c r="P2206">
        <f>IF(B2223=0,0,O2206/B2223)</f>
        <v/>
      </c>
      <c r="Q2206">
        <f>IFERROR(1/(IF(Inputs!$B$38="pvp",15,MAX(0.1,Skills!E24-IF(Skills!F24=TRUE,Inputs!$B$32,0)))*(1-IF(AND(ArtifactsInput!$M$27,Inputs!$B$4="Chapter Hunt"),CHOOSE(ArtifactsInput!$N$27+1,20,24,28,32,36,40),0)/100)),0)</f>
        <v/>
      </c>
      <c r="R2206">
        <f>IF(AND(Inputs!$B$38&lt;&gt;"pvp",Inputs!$B$43&gt;0),IF(MAX(0,Inputs!$B$43-B2220)&lt;=0,0,(INT(MAX(0,Inputs!$B$43-B2220)/(IF(Inputs!$B$38="pvp",15,MAX(0.1,Skills!E24-IF(Skills!F24=TRUE,Inputs!$B$32,0)))*(1-IF(AND(ArtifactsInput!$M$27,Inputs!$B$4="Chapter Hunt"),CHOOSE(ArtifactsInput!$N$27+1,20,24,28,32,36,40),0)/100)))+1)),0)</f>
        <v/>
      </c>
      <c r="S2206">
        <f>IF(C2206,(H2206*N2206*IF(AND(Inputs!$B$38&lt;&gt;"pvp",Inputs!$B$43&gt;0),((Skills!G24*((R2206-1)*IF(Skills!H24&gt;0,Skills!I24/Skills!H24,1)+IF(Skills!H24&gt;0,MIN(Skills!I24,MAX(0,MAX(0,Inputs!$B$43-B2220)-((R2206-1)*(IF(Inputs!$B$38="pvp",15,MAX(0.1,Skills!E24-IF(Skills!F24=TRUE,Inputs!$B$32,0)))*(1-IF(AND(ArtifactsInput!$M$27,Inputs!$B$4="Chapter Hunt"),CHOOSE(ArtifactsInput!$N$27+1,20,24,28,32,36,40),0)/100)))))/Skills!H24,1)))/Inputs!$B$43),G2206*Q2206)*(1+IF(Inputs!$B$3&gt;=130,0.2*(Skills!I16/Skills!E15+IF(Inputs!$B$3&gt;=126,0.05*(B2218+Q2195+(H2196*B2219)/(1+Skills!H14*H2196*B2219)+Q2206)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2206*(1-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2206*(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2206*(1-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2206*(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06">
        <f>IF(C2206,(H2206*N2206*IF(AND(Inputs!$B$38&lt;&gt;"pvp",Inputs!$B$43&gt;0),((Skills!G24*((R2206-1)*IF(Skills!H24&gt;0,Skills!I24/Skills!H24,1)+IF(Skills!H24&gt;0,MIN(Skills!I24,MAX(0,MAX(0,Inputs!$B$43-B2220)-((R2206-1)*(IF(Inputs!$B$38="pvp",15,MAX(0.1,Skills!E24-IF(Skills!F24=TRUE,Inputs!$B$32,0)))*(1-IF(AND(ArtifactsInput!$M$27,Inputs!$B$4="Chapter Hunt"),CHOOSE(ArtifactsInput!$N$27+1,20,24,28,32,36,40),0)/100)))))/Skills!H24,1)))/Inputs!$B$43),G2206*Q2206)*(1+IF(Inputs!$B$3&gt;=130,0.2*(Skills!I16/Skills!E15+IF(Inputs!$B$3&gt;=126,0.05*(B2218+Q2195+(H2196*B2219)/(1+Skills!H14*H2196*B2219)+Q2206)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7">
      <c r="A2207">
        <f>Skills!A25</f>
        <v/>
      </c>
      <c r="B2207">
        <f>Skills!B25</f>
        <v/>
      </c>
      <c r="C2207">
        <f>Inputs!$B$3&gt;=117</f>
        <v/>
      </c>
      <c r="D2207">
        <f>IF(Skills!C25=1,60+Inputs!$B$25+Inputs!$B$29,IF(Skills!C25=2,90+Inputs!$B$26+Inputs!$B$29,IF(Skills!C25=3,120+Inputs!$B$27+Inputs!$B$29,MAX(0,(Inputs!$B$3-100)*3)+Inputs!$B$28+Inputs!$B$29)))</f>
        <v/>
      </c>
      <c r="E2207">
        <f>INDEX(FactorTable!$B$2:$Y$301, MATCH(ROUND(MIN(300,MAX(1,D2207)),0), FactorTable!$A$2:$A$301,0), Skills!M25+1)</f>
        <v/>
      </c>
      <c r="F2207">
        <f>IF(Skills!N25=TRUE,(Skills!L25/10)*(E2207/1000),Skills!L25/10)+Skills!O25</f>
        <v/>
      </c>
      <c r="G2207">
        <f>Calc!G25</f>
        <v/>
      </c>
      <c r="H2207">
        <f>Calc!H25</f>
        <v/>
      </c>
      <c r="I2207">
        <f>IF(Skills!X25&lt;&gt;"",1+(Skills!X25/10)*(Z2185/1000)/100,1)</f>
        <v/>
      </c>
      <c r="J2207" t="inlineStr"/>
      <c r="K2207" t="inlineStr"/>
      <c r="L2207" t="inlineStr"/>
      <c r="M2207" t="inlineStr"/>
      <c r="N2207" t="inlineStr"/>
      <c r="O2207">
        <f>(1-Summary!$B$11)*S2207+Summary!$B$11*U2207</f>
        <v/>
      </c>
      <c r="P2207">
        <f>IF(B2223=0,0,O2207/B2223)</f>
        <v/>
      </c>
      <c r="Q2207">
        <f>IFERROR(1/(IF(Inputs!$B$38="pvp",15,MAX(0.1,Skills!E25-IF(Skills!F25=TRUE,Inputs!$B$32,0)))*(1-IF(AND(ArtifactsInput!$M$27,Inputs!$B$4="Chapter Hunt"),CHOOSE(ArtifactsInput!$N$27+1,20,24,28,32,36,40),0)/100)),0)</f>
        <v/>
      </c>
      <c r="R2207" t="n">
        <v>0</v>
      </c>
      <c r="S2207" t="n">
        <v>0</v>
      </c>
      <c r="U2207" t="n">
        <v>0</v>
      </c>
    </row>
    <row r="2208">
      <c r="A2208">
        <f>Skills!A26</f>
        <v/>
      </c>
      <c r="B2208">
        <f>Skills!B26</f>
        <v/>
      </c>
      <c r="C2208">
        <f>Inputs!$B$3&gt;=120</f>
        <v/>
      </c>
      <c r="D2208">
        <f>IF(Skills!C26=1,60+Inputs!$B$25+Inputs!$B$29,IF(Skills!C26=2,90+Inputs!$B$26+Inputs!$B$29,IF(Skills!C26=3,120+Inputs!$B$27+Inputs!$B$29,MAX(0,(Inputs!$B$3-100)*3)+Inputs!$B$28+Inputs!$B$29)))</f>
        <v/>
      </c>
      <c r="E2208">
        <f>INDEX(FactorTable!$B$2:$Y$301, MATCH(ROUND(MIN(300,MAX(1,D2208)),0), FactorTable!$A$2:$A$301,0), Skills!M26+1)</f>
        <v/>
      </c>
      <c r="F2208">
        <f>IF(Skills!N26=TRUE,(Skills!L26/10)*(E2208/1000),Skills!L26/10)+Skills!O26</f>
        <v/>
      </c>
      <c r="G2208">
        <f>Calc!G26</f>
        <v/>
      </c>
      <c r="H2208">
        <f>Calc!H26</f>
        <v/>
      </c>
      <c r="I2208">
        <f>IF(Skills!X26&lt;&gt;"",1+(Skills!X26/10)*(Z2185/1000)/100,1)</f>
        <v/>
      </c>
      <c r="J2208" t="inlineStr"/>
      <c r="K2208" t="inlineStr"/>
      <c r="L2208" t="inlineStr"/>
      <c r="M2208" t="inlineStr"/>
      <c r="N2208" t="inlineStr"/>
      <c r="O2208">
        <f>(1-Summary!$B$11)*S2208+Summary!$B$11*U2208</f>
        <v/>
      </c>
      <c r="P2208">
        <f>IF(B2223=0,0,O2208/B2223)</f>
        <v/>
      </c>
      <c r="Q2208">
        <f>IFERROR(1/(IF(Inputs!$B$38="pvp",15,MAX(0.1,Skills!E26-IF(Skills!F26=TRUE,Inputs!$B$32,0)))*(1-IF(AND(ArtifactsInput!$M$27,Inputs!$B$4="Chapter Hunt"),CHOOSE(ArtifactsInput!$N$27+1,20,24,28,32,36,40),0)/100)),0)</f>
        <v/>
      </c>
      <c r="R2208" t="n">
        <v>0</v>
      </c>
      <c r="S2208" t="n">
        <v>0</v>
      </c>
      <c r="U2208" t="n">
        <v>0</v>
      </c>
    </row>
    <row r="2209">
      <c r="A2209">
        <f>Skills!A27</f>
        <v/>
      </c>
      <c r="B2209">
        <f>Skills!B27</f>
        <v/>
      </c>
      <c r="C2209">
        <f>Inputs!$B$3&gt;=125</f>
        <v/>
      </c>
      <c r="D2209">
        <f>IF(Skills!C27=1,60+Inputs!$B$25+Inputs!$B$29,IF(Skills!C27=2,90+Inputs!$B$26+Inputs!$B$29,IF(Skills!C27=3,120+Inputs!$B$27+Inputs!$B$29,MAX(0,(Inputs!$B$3-100)*3)+Inputs!$B$28+Inputs!$B$29)))</f>
        <v/>
      </c>
      <c r="E2209">
        <f>INDEX(FactorTable!$B$2:$Y$301, MATCH(ROUND(MIN(300,MAX(1,D2209)),0), FactorTable!$A$2:$A$301,0), Skills!M27+1)</f>
        <v/>
      </c>
      <c r="F2209">
        <f>IF(Skills!N27=TRUE,(Skills!L27/10)*(E2209/1000),Skills!L27/10)+Skills!O27</f>
        <v/>
      </c>
      <c r="G2209">
        <f>Calc!G27</f>
        <v/>
      </c>
      <c r="H2209">
        <f>Calc!H27</f>
        <v/>
      </c>
      <c r="I2209">
        <f>IF(Skills!X27&lt;&gt;"",1+(Skills!X27/10)*(Z2185/1000)/100,1)</f>
        <v/>
      </c>
      <c r="J2209" t="inlineStr"/>
      <c r="K2209" t="inlineStr"/>
      <c r="L2209" t="inlineStr"/>
      <c r="M2209" t="inlineStr"/>
      <c r="N2209" t="inlineStr"/>
      <c r="O2209">
        <f>(1-Summary!$B$11)*S2209+Summary!$B$11*U2209</f>
        <v/>
      </c>
      <c r="P2209">
        <f>IF(B2223=0,0,O2209/B2223)</f>
        <v/>
      </c>
      <c r="Q2209">
        <f>IFERROR(1/(IF(Inputs!$B$38="pvp",15,MAX(0.1,Skills!E27-IF(Skills!F27=TRUE,Inputs!$B$32,0)))*(1-IF(AND(ArtifactsInput!$M$27,Inputs!$B$4="Chapter Hunt"),CHOOSE(ArtifactsInput!$N$27+1,20,24,28,32,36,40),0)/100)),0)</f>
        <v/>
      </c>
      <c r="R2209" t="n">
        <v>0</v>
      </c>
      <c r="S2209" t="n">
        <v>0</v>
      </c>
      <c r="U2209" t="n">
        <v>0</v>
      </c>
    </row>
    <row r="2210">
      <c r="A2210">
        <f>Skills!A28</f>
        <v/>
      </c>
      <c r="B2210">
        <f>Skills!B28</f>
        <v/>
      </c>
      <c r="C2210">
        <f>Inputs!$B$3&gt;=118</f>
        <v/>
      </c>
      <c r="D2210">
        <f>IF(Skills!C28=1,60+Inputs!$B$25+Inputs!$B$29,IF(Skills!C28=2,90+Inputs!$B$26+Inputs!$B$29,IF(Skills!C28=3,120+Inputs!$B$27+Inputs!$B$29,MAX(0,(Inputs!$B$3-100)*3)+Inputs!$B$28+Inputs!$B$29)))</f>
        <v/>
      </c>
      <c r="E2210">
        <f>INDEX(FactorTable!$B$2:$Y$301, MATCH(ROUND(MIN(300,MAX(1,D2210)),0), FactorTable!$A$2:$A$301,0), Skills!M28+1)</f>
        <v/>
      </c>
      <c r="F2210">
        <f>IF(Skills!N28=TRUE,(Skills!L28/10)*(E2210/1000),Skills!L28/10)+Skills!O28</f>
        <v/>
      </c>
      <c r="G2210">
        <f>Calc!G28</f>
        <v/>
      </c>
      <c r="H2210">
        <f>Calc!H28</f>
        <v/>
      </c>
      <c r="I2210">
        <f>IF(Skills!X28&lt;&gt;"",1+(Skills!X28/10)*(Z2185/1000)/100,1)</f>
        <v/>
      </c>
      <c r="J2210">
        <f>((Inputs!$B$6*(1+Inputs!$B$7/100))+(((Inputs!$B$12*(1+Inputs!$B$13/100))-(Inputs!$B$12*(1+Inputs!$B$13/100)))+0.25*(Inputs!$B$14-Inputs!$B$14))*(1+Inputs!$B$7/100))*(F2210/100)</f>
        <v/>
      </c>
      <c r="K2210">
        <f>J2210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2205/100)*(1+IF(Inputs!$B$3&gt;=120,F2208,0)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2209*5,0)))/100)*(B2212*B2213*B2214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2210)</f>
        <v/>
      </c>
      <c r="L2210">
        <f>K2210*(MIN(Inputs!$B$22+(F2204-Calc!F22),(Inputs!$B$23+(IF(ArtifactsInput!$M$15,CHOOSE(ArtifactsInput!$N$15+1,25,30,35,40,45,50)/100*(Inputs!$B$11-Inputs!$B$11),0))))/100+(Inputs!$B$23+(IF(ArtifactsInput!$M$15,CHOOSE(ArtifactsInput!$N$15+1,25,30,35,40,45,50)/100*(Inputs!$B$11-Inputs!$B$11),0)))/100)/2</f>
        <v/>
      </c>
      <c r="M2210">
        <f>L2210*(1+(Inputs!$B$10+(F2203-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0">
        <f>L2210*(1-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2210*(MIN((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0">
        <f>(1-Summary!$B$11)*S2210+Summary!$B$11*U2210</f>
        <v/>
      </c>
      <c r="P2210">
        <f>IF(B2223=0,0,O2210/B2223)</f>
        <v/>
      </c>
      <c r="Q2210">
        <f>IFERROR(1/(IF(Inputs!$B$38="pvp",15,MAX(0.1,Skills!E28-IF(Skills!F28=TRUE,Inputs!$B$32,0)))*(1-IF(AND(ArtifactsInput!$M$27,Inputs!$B$4="Chapter Hunt"),CHOOSE(ArtifactsInput!$N$27+1,20,24,28,32,36,40),0)/100)),0)</f>
        <v/>
      </c>
      <c r="R2210">
        <f>IF(AND(Inputs!$B$38&lt;&gt;"pvp",Inputs!$B$43&gt;0),IF(MAX(0,Inputs!$B$43-B2220)&lt;=0,0,(INT(MAX(0,Inputs!$B$43-B2220)/(IF(Inputs!$B$38="pvp",15,MAX(0.1,Skills!E28-IF(Skills!F28=TRUE,Inputs!$B$32,0)))*(1-IF(AND(ArtifactsInput!$M$27,Inputs!$B$4="Chapter Hunt"),CHOOSE(ArtifactsInput!$N$27+1,20,24,28,32,36,40),0)/100)))+1)),0)</f>
        <v/>
      </c>
      <c r="S2210">
        <f>IF(C2210,(H2210*N2210*IF(AND(Inputs!$B$38&lt;&gt;"pvp",Inputs!$B$43&gt;0),((Skills!G28*((R2210-1)*IF(Skills!H28&gt;0,Skills!I28/Skills!H28,1)+IF(Skills!H28&gt;0,MIN(Skills!I28,MAX(0,MAX(0,Inputs!$B$43-B2220)-((R2210-1)*(IF(Inputs!$B$38="pvp",15,MAX(0.1,Skills!E28-IF(Skills!F28=TRUE,Inputs!$B$32,0)))*(1-IF(AND(ArtifactsInput!$M$27,Inputs!$B$4="Chapter Hunt"),CHOOSE(ArtifactsInput!$N$27+1,20,24,28,32,36,40),0)/100)))))/Skills!H28,1)))/Inputs!$B$43),G2210*Q2210)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2210*(1-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2210*(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2210*(1-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2210*(MIN(100,(Inputs!$B$9+(F2202-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10">
        <f>IF(C2210,(H2210*N2210*IF(AND(Inputs!$B$38&lt;&gt;"pvp",Inputs!$B$43&gt;0),((Skills!G28*((R2210-1)*IF(Skills!H28&gt;0,Skills!I28/Skills!H28,1)+IF(Skills!H28&gt;0,MIN(Skills!I28,MAX(0,MAX(0,Inputs!$B$43-B2220)-((R2210-1)*(IF(Inputs!$B$38="pvp",15,MAX(0.1,Skills!E28-IF(Skills!F28=TRUE,Inputs!$B$32,0)))*(1-IF(AND(ArtifactsInput!$M$27,Inputs!$B$4="Chapter Hunt"),CHOOSE(ArtifactsInput!$N$27+1,20,24,28,32,36,40),0)/100)))))/Skills!H28,1)))/Inputs!$B$43),G2210*Q2210)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2">
      <c r="A2212" t="inlineStr">
        <is>
          <t>Burning Magic Multiplier</t>
        </is>
      </c>
      <c r="B2212">
        <f>1+(F2193*Skills!Z11)/100</f>
        <v/>
      </c>
    </row>
    <row r="2213">
      <c r="A2213" t="inlineStr">
        <is>
          <t>Elemental Decrease Multiplier (always-on)</t>
        </is>
      </c>
      <c r="B2213">
        <f>1+(F2194+(IF(AND(ArtifactsInput!$M$35,Inputs!$B$4&lt;&gt;"Chapter Hunt"),CHOOSE(ArtifactsInput!$N$35+1,15,18,21,24,27,30)*(1-EXP(-(0.2*B2216)*5)),0)+IF(AND(ArtifactsInput!$M$22,Inputs!$B$4&lt;&gt;"Chapter Hunt"),CHOOSE(ArtifactsInput!$N$22+1,10,12,14,16,18,20)*((0*(((0.15*B2216*5))^0/1)+1*(((0.15*B2216*5))^1/1)+2*(((0.15*B2216*5))^2/2)+3*(((0.15*B2216*5))^3/6)+4*(((0.15*B2216*5))^4/24)+5*(((0.15*B2216*5))^5/120))/((((0.15*B2216*5))^0/1)+(((0.15*B2216*5))^1/1)+(((0.15*B2216*5))^2/2)+(((0.15*B2216*5))^3/6)+(((0.15*B2216*5))^4/24)+(((0.15*B2216*5))^5/120))),0)))/100</f>
        <v/>
      </c>
    </row>
    <row r="2214">
      <c r="A2214" t="inlineStr">
        <is>
          <t>Average Buff Multiplier (Magic Guard + Meditation + Artifact Attack%, summed; then Infinity)</t>
        </is>
      </c>
      <c r="B2214">
        <f>(1+(F2188*IF(AND(Inputs!$B$38&lt;&gt;"pvp",Inputs!$B$43&gt;0),(((R2188-1)*(Skills!T6*(1+((Inputs!$B$34+(ArtifactsInput!$M$7-ArtifactsInput!$M$7)*CHOOSE(ArtifactsInput!$N$7+1,6,7.2,8.4,9.6,10.8,12)))/100))+MIN((Skills!T6*(1+((Inputs!$B$34+(ArtifactsInput!$M$7-ArtifactsInput!$M$7)*CHOOSE(ArtifactsInput!$N$7+1,6,7.2,8.4,9.6,10.8,12)))/100)),MAX(0,Inputs!$B$43-((R2188-1)*Skills!E6))))/Inputs!$B$43),IF(Inputs!$B$38="pvp",MIN((Skills!T6*(1+((Inputs!$B$34+(ArtifactsInput!$M$7-ArtifactsInput!$M$7)*CHOOSE(ArtifactsInput!$N$7+1,6,7.2,8.4,9.6,10.8,12)))/100)),15)/15,(Skills!T6*(1+((Inputs!$B$34+(ArtifactsInput!$M$7-ArtifactsInput!$M$7)*CHOOSE(ArtifactsInput!$N$7+1,6,7.2,8.4,9.6,10.8,12)))/100))/Skills!E6))+F2199*IF(AND(Inputs!$B$38&lt;&gt;"pvp",Inputs!$B$43&gt;0),(((R2199-1)*(Skills!T17*(1+((Inputs!$B$34+(ArtifactsInput!$M$7-ArtifactsInput!$M$7)*CHOOSE(ArtifactsInput!$N$7+1,6,7.2,8.4,9.6,10.8,12)))/100))+MIN((Skills!T17*(1+((Inputs!$B$34+(ArtifactsInput!$M$7-ArtifactsInput!$M$7)*CHOOSE(ArtifactsInput!$N$7+1,6,7.2,8.4,9.6,10.8,12)))/100)),MAX(0,Inputs!$B$43-((R2199-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2201=TRUE,(1+F2201*IF(AND(Inputs!$B$38&lt;&gt;"pvp",Inputs!$B$43&gt;0),(((R2201-1)*(Skills!T19*(1+((Inputs!$B$34+(ArtifactsInput!$M$7-ArtifactsInput!$M$7)*CHOOSE(ArtifactsInput!$N$7+1,6,7.2,8.4,9.6,10.8,12)))/100))+MIN((Skills!T19*(1+((Inputs!$B$34+(ArtifactsInput!$M$7-ArtifactsInput!$M$7)*CHOOSE(ArtifactsInput!$N$7+1,6,7.2,8.4,9.6,10.8,12)))/100)),MAX(0,Inputs!$B$43-((R2201-1)*Skills!E19))))/Inputs!$B$43),IF(Inputs!$B$38="pvp",MIN((Skills!T19*(1+((Inputs!$B$34+(ArtifactsInput!$M$7-ArtifactsInput!$M$7)*CHOOSE(ArtifactsInput!$N$7+1,6,7.2,8.4,9.6,10.8,12)))/100)),15)/15,(Skills!T19*(1+((Inputs!$B$34+(ArtifactsInput!$M$7-ArtifactsInput!$M$7)*CHOOSE(ArtifactsInput!$N$7+1,6,7.2,8.4,9.6,10.8,12)))/100))/Skills!E19))/100),1)</f>
        <v/>
      </c>
    </row>
    <row r="2215">
      <c r="A2215" t="inlineStr">
        <is>
          <t>Attack Speed Buff Bonus % (Nimble Feet, averaged)</t>
        </is>
      </c>
      <c r="B2215">
        <f>F2200*IF(AND(Inputs!$B$38&lt;&gt;"pvp",Inputs!$B$43&gt;0),(((R2200-1)*(Skills!T18*(1+((Inputs!$B$34+(ArtifactsInput!$M$7-ArtifactsInput!$M$7)*CHOOSE(ArtifactsInput!$N$7+1,6,7.2,8.4,9.6,10.8,12)))/100))+MIN((Skills!T18*(1+((Inputs!$B$34+(ArtifactsInput!$M$7-ArtifactsInput!$M$7)*CHOOSE(ArtifactsInput!$N$7+1,6,7.2,8.4,9.6,10.8,12)))/100)),MAX(0,Inputs!$B$43-((R2200-1)*Skills!E18))))/Inputs!$B$43),IF(Inputs!$B$38="pvp",MIN((Skills!T18*(1+((Inputs!$B$34+(ArtifactsInput!$M$7-ArtifactsInput!$M$7)*CHOOSE(ArtifactsInput!$N$7+1,6,7.2,8.4,9.6,10.8,12)))/100)),15)/15,(Skills!T18*(1+((Inputs!$B$34+(ArtifactsInput!$M$7-ArtifactsInput!$M$7)*CHOOSE(ArtifactsInput!$N$7+1,6,7.2,8.4,9.6,10.8,12)))/100))/Skills!E18))</f>
        <v/>
      </c>
    </row>
    <row r="2216">
      <c r="A2216" t="inlineStr">
        <is>
          <t>Actions Per Second</t>
        </is>
      </c>
      <c r="B2216">
        <f>1+MIN(150,150*(1-(1-(Inputs!$B$11+(ArtifactsInput!$M$15-ArtifactsInput!$M$15)*CHOOSE(ArtifactsInput!$N$15+1,8,9.6,11.2,12.8,14.4,16))/150)*(1-B2215/150)))/100</f>
        <v/>
      </c>
    </row>
    <row r="2217">
      <c r="A2217" t="inlineStr">
        <is>
          <t>Skill + Buff Cast Rate</t>
        </is>
      </c>
      <c r="B2217">
        <f>IF(AND(Inputs!$B$38&lt;&gt;"pvp",Inputs!$B$43&gt;0),SUMPRODUCT((Skills!F2:F28=TRUE)*(C2184:C2210=TRUE)*R2184:R2210)/Inputs!$B$43,SUMPRODUCT((Skills!F2:F28=TRUE)*(C2184:C2210=TRUE)*Q2184:Q2210))</f>
        <v/>
      </c>
    </row>
    <row r="2218">
      <c r="A2218" t="inlineStr">
        <is>
          <t>Basic Attacks Per Second</t>
        </is>
      </c>
      <c r="B2218">
        <f>MAX(0,B2216-B2217)</f>
        <v/>
      </c>
    </row>
    <row r="2219">
      <c r="A2219" t="inlineStr">
        <is>
          <t>Meteor Proc — combined trigger cast rate</t>
        </is>
      </c>
      <c r="B2219">
        <f>IF(AND(Inputs!$B$38&lt;&gt;"pvp",Inputs!$B$43&gt;0),SUMPRODUCT((Skills!V2:V28=TRUE)*(C2184:C2210=TRUE)*R2184:R2210*Skills!W2:W28)/Inputs!$B$43,SUMPRODUCT((Skills!V2:V28=TRUE)*(C2184:C2210=TRUE)*Q2184:Q2210*Skills!W2:W28))+B2218</f>
        <v/>
      </c>
    </row>
    <row r="2220">
      <c r="A2220" t="inlineStr">
        <is>
          <t>Buff-Casting Startup Delay (s, fixed-duration only)</t>
        </is>
      </c>
      <c r="B2220">
        <f>IF(AND(Inputs!$B$38&lt;&gt;"pvp",Inputs!$B$43&gt;0),SUMPRODUCT((Skills!T2:T28&gt;0)*(Skills!F2:F28=TRUE)*(C2184:C2210=TRUE))/B2216,0)</f>
        <v/>
      </c>
    </row>
    <row r="2221">
      <c r="A2221" t="inlineStr">
        <is>
          <t>Boss-Only Total DPS (this block's swept value)</t>
        </is>
      </c>
      <c r="B2221">
        <f>SUM(S2184:S2210)</f>
        <v/>
      </c>
    </row>
    <row r="2222">
      <c r="A2222" t="inlineStr">
        <is>
          <t>Normal-Only Total DPS (this block's swept value)</t>
        </is>
      </c>
      <c r="B2222">
        <f>SUM(U2184:U2210)</f>
        <v/>
      </c>
    </row>
    <row r="2223">
      <c r="A2223" s="6" t="inlineStr">
        <is>
          <t>TOTAL DPS</t>
        </is>
      </c>
      <c r="B2223" s="6">
        <f>SUM(O2184:O2210)</f>
        <v/>
      </c>
    </row>
    <row r="2226">
      <c r="A2226" s="6" t="inlineStr">
        <is>
          <t>Stat: Icy Soul Rock (Equip)</t>
        </is>
      </c>
    </row>
    <row r="2227">
      <c r="A2227" s="5" t="inlineStr">
        <is>
          <t>Key</t>
        </is>
      </c>
      <c r="B2227" s="5" t="inlineStr">
        <is>
          <t>Name</t>
        </is>
      </c>
      <c r="C2227" s="5" t="inlineStr">
        <is>
          <t>Unlocked</t>
        </is>
      </c>
      <c r="D2227" s="5" t="inlineStr">
        <is>
          <t>InputLevel</t>
        </is>
      </c>
      <c r="E2227" s="5" t="inlineStr">
        <is>
          <t>Factor</t>
        </is>
      </c>
      <c r="F2227" s="5" t="inlineStr">
        <is>
          <t>CoefficientPercent</t>
        </is>
      </c>
      <c r="G2227" s="5" t="inlineStr">
        <is>
          <t>EffectiveHits</t>
        </is>
      </c>
      <c r="H2227" s="5" t="inlineStr">
        <is>
          <t>ProcProbability</t>
        </is>
      </c>
      <c r="I2227" s="5" t="inlineStr">
        <is>
          <t>MapleHeroMultiplier</t>
        </is>
      </c>
      <c r="J2227" s="5" t="inlineStr">
        <is>
          <t>BaseDamage</t>
        </is>
      </c>
      <c r="K2227" s="5" t="inlineStr">
        <is>
          <t>BaseHitDamage</t>
        </is>
      </c>
      <c r="L2227" s="5" t="inlineStr">
        <is>
          <t>NonCritAvg</t>
        </is>
      </c>
      <c r="M2227" s="5" t="inlineStr">
        <is>
          <t>CritAvg</t>
        </is>
      </c>
      <c r="N2227" s="5" t="inlineStr">
        <is>
          <t>ExpectedDamage(perHit)</t>
        </is>
      </c>
      <c r="O2227" s="5" t="inlineStr">
        <is>
          <t>DPS</t>
        </is>
      </c>
      <c r="P2227" s="5" t="inlineStr">
        <is>
          <t>% of Total</t>
        </is>
      </c>
      <c r="R2227" t="inlineStr">
        <is>
          <t>helpers</t>
        </is>
      </c>
    </row>
    <row r="2228">
      <c r="A2228">
        <f>Skills!A2</f>
        <v/>
      </c>
      <c r="B2228">
        <f>Skills!B2</f>
        <v/>
      </c>
      <c r="C2228">
        <f>TRUE</f>
        <v/>
      </c>
      <c r="D2228" t="inlineStr"/>
      <c r="E2228" t="inlineStr"/>
      <c r="F2228">
        <f>T2230+Skills!O2</f>
        <v/>
      </c>
      <c r="G2228">
        <f>Calc!G2</f>
        <v/>
      </c>
      <c r="H2228">
        <f>Calc!H2</f>
        <v/>
      </c>
      <c r="I2228">
        <f>IF(Skills!X2&lt;&gt;"",1+(Skills!X2/10)*(Z2229/1000)/100,1)</f>
        <v/>
      </c>
      <c r="J2228">
        <f>((Inputs!$B$6*(1+Inputs!$B$7/100))+(((Inputs!$B$12*(1+Inputs!$B$13/100))-(Inputs!$B$12*(1+Inputs!$B$13/100)))+0.25*(Inputs!$B$14-Inputs!$B$14))*(1+Inputs!$B$7/100))*(F2228/100)</f>
        <v/>
      </c>
      <c r="K2228">
        <f>J2228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2228)</f>
        <v/>
      </c>
      <c r="L2228">
        <f>K2228*(MIN(Inputs!$B$22+(F2248-Calc!F22),(Inputs!$B$23+(IF(ArtifactsInput!$M$15,CHOOSE(ArtifactsInput!$N$15+1,25,30,35,40,45,50)/100*(Inputs!$B$11-Inputs!$B$11),0))))/100+(Inputs!$B$23+(IF(ArtifactsInput!$M$15,CHOOSE(ArtifactsInput!$N$15+1,25,30,35,40,45,50)/100*(Inputs!$B$11-Inputs!$B$11),0)))/100)/2</f>
        <v/>
      </c>
      <c r="M2228">
        <f>L2228*(1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28">
        <f>L2228*(1-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2228*(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8">
        <f>(1-Summary!$B$11)*S2228+Summary!$B$11*U2228</f>
        <v/>
      </c>
      <c r="P2228">
        <f>IF(B2267=0,0,O2228/B2267)</f>
        <v/>
      </c>
      <c r="Q2228">
        <f>IFERROR(1/(IF(Inputs!$B$38="pvp",15,MAX(0.1,Skills!E2-IF(Skills!F2=TRUE,Inputs!$B$32,0)))*(1-IF(AND(ArtifactsInput!$M$27,Inputs!$B$4="Chapter Hunt"),CHOOSE(ArtifactsInput!$N$27+1,20,24,28,32,36,40),0)/100)),0)</f>
        <v/>
      </c>
      <c r="R2228" t="n">
        <v>0</v>
      </c>
      <c r="S2228">
        <f>(Skills!G2*N2228*B2262)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2228*(1-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2228*(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2228*(1-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2228*(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228">
        <f>MAX(0,(Inputs!$B$3-100)*3)+Inputs!$B$28+Inputs!$B$29</f>
        <v/>
      </c>
      <c r="U2228">
        <f>(Skills!G2*N2228*B2262)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228">
        <f>MAX(0,(Inputs!$B$3-100)*3)+Inputs!$B$28+Inputs!$B$29</f>
        <v/>
      </c>
    </row>
    <row r="2229">
      <c r="A2229">
        <f>Skills!A3</f>
        <v/>
      </c>
      <c r="B2229">
        <f>Skills!B3</f>
        <v/>
      </c>
      <c r="C2229">
        <f>TRUE</f>
        <v/>
      </c>
      <c r="D2229">
        <f>IF(Skills!C3=1,60+Inputs!$B$25+Inputs!$B$29,IF(Skills!C3=2,90+Inputs!$B$26+Inputs!$B$29,IF(Skills!C3=3,120+Inputs!$B$27+Inputs!$B$29,MAX(0,(Inputs!$B$3-100)*3)+Inputs!$B$28+Inputs!$B$29)))</f>
        <v/>
      </c>
      <c r="E2229">
        <f>INDEX(FactorTable!$B$2:$Y$301, MATCH(ROUND(MIN(300,MAX(1,D2229)),0), FactorTable!$A$2:$A$301,0), Skills!M3+1)</f>
        <v/>
      </c>
      <c r="F2229">
        <f>IF(Skills!N3=TRUE,(Skills!L3/10)*(E2229/1000),Skills!L3/10)+Skills!O3</f>
        <v/>
      </c>
      <c r="G2229">
        <f>Calc!G3</f>
        <v/>
      </c>
      <c r="H2229">
        <f>Calc!H3</f>
        <v/>
      </c>
      <c r="I2229">
        <f>IF(Skills!X3&lt;&gt;"",1+(Skills!X3/10)*(Z2229/1000)/100,1)</f>
        <v/>
      </c>
      <c r="J2229">
        <f>((Inputs!$B$6*(1+Inputs!$B$7/100))+(((Inputs!$B$12*(1+Inputs!$B$13/100))-(Inputs!$B$12*(1+Inputs!$B$13/100)))+0.25*(Inputs!$B$14-Inputs!$B$14))*(1+Inputs!$B$7/100))*(F2229/100)</f>
        <v/>
      </c>
      <c r="K2229">
        <f>J2229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2229)</f>
        <v/>
      </c>
      <c r="L2229">
        <f>K2229*(MIN(Inputs!$B$22+(F2248-Calc!F22),(Inputs!$B$23+(IF(ArtifactsInput!$M$15,CHOOSE(ArtifactsInput!$N$15+1,25,30,35,40,45,50)/100*(Inputs!$B$11-Inputs!$B$11),0))))/100+(Inputs!$B$23+(IF(ArtifactsInput!$M$15,CHOOSE(ArtifactsInput!$N$15+1,25,30,35,40,45,50)/100*(Inputs!$B$11-Inputs!$B$11),0)))/100)/2</f>
        <v/>
      </c>
      <c r="M2229">
        <f>L2229*(1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29">
        <f>L2229*(1-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2229*(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29">
        <f>(1-Summary!$B$11)*S2229+Summary!$B$11*U2229</f>
        <v/>
      </c>
      <c r="P2229">
        <f>IF(B2267=0,0,O2229/B2267)</f>
        <v/>
      </c>
      <c r="Q2229">
        <f>IFERROR(1/(IF(Inputs!$B$38="pvp",15,MAX(0.1,Skills!E3-IF(Skills!F3=TRUE,Inputs!$B$32,0)))*(1-IF(AND(ArtifactsInput!$M$27,Inputs!$B$4="Chapter Hunt"),CHOOSE(ArtifactsInput!$N$27+1,20,24,28,32,36,40),0)/100)),0)</f>
        <v/>
      </c>
      <c r="R2229">
        <f>IF(AND(Inputs!$B$38&lt;&gt;"pvp",Inputs!$B$43&gt;0),IF(MAX(0,Inputs!$B$43-B2264)&lt;=0,0,(INT(MAX(0,Inputs!$B$43-B2264)/(IF(Inputs!$B$38="pvp",15,MAX(0.1,Skills!E3-IF(Skills!F3=TRUE,Inputs!$B$32,0)))*(1-IF(AND(ArtifactsInput!$M$27,Inputs!$B$4="Chapter Hunt"),CHOOSE(ArtifactsInput!$N$27+1,20,24,28,32,36,40),0)/100)))+1)),0)</f>
        <v/>
      </c>
      <c r="S2229">
        <f>IF(C2229,(H2229*N2229*IF(AND(Inputs!$B$38&lt;&gt;"pvp",Inputs!$B$43&gt;0),((Skills!G3*((R2229-1)*IF(Skills!H3&gt;0,Skills!I3/Skills!H3,1)+IF(Skills!H3&gt;0,MIN(Skills!I3,MAX(0,MAX(0,Inputs!$B$43-B2264)-((R2229-1)*(IF(Inputs!$B$38="pvp",15,MAX(0.1,Skills!E3-IF(Skills!F3=TRUE,Inputs!$B$32,0)))*(1-IF(AND(ArtifactsInput!$M$27,Inputs!$B$4="Chapter Hunt"),CHOOSE(ArtifactsInput!$N$27+1,20,24,28,32,36,40),0)/100)))))/Skills!H3,1)))/Inputs!$B$43),G2229*Q2229)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2229*(1-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2229*(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2229*(1-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2229*(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229">
        <f>INDEX(FactorTable!$B$2:$Y$301, MATCH(ROUND(MIN(300,MAX(1,T2228)),0), FactorTable!$A$2:$A$301,0), 22)</f>
        <v/>
      </c>
      <c r="U2229">
        <f>IF(C2229,(H2229*N2229*IF(AND(Inputs!$B$38&lt;&gt;"pvp",Inputs!$B$43&gt;0),((Skills!G3*((R2229-1)*IF(Skills!H3&gt;0,Skills!I3/Skills!H3,1)+IF(Skills!H3&gt;0,MIN(Skills!I3,MAX(0,MAX(0,Inputs!$B$43-B2264)-((R2229-1)*(IF(Inputs!$B$38="pvp",15,MAX(0.1,Skills!E3-IF(Skills!F3=TRUE,Inputs!$B$32,0)))*(1-IF(AND(ArtifactsInput!$M$27,Inputs!$B$4="Chapter Hunt"),CHOOSE(ArtifactsInput!$N$27+1,20,24,28,32,36,40),0)/100)))))/Skills!H3,1)))/Inputs!$B$43),G2229*Q2229)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229">
        <f>INDEX(FactorTable!$B$2:$Y$301, MATCH(ROUND(MIN(300,MAX(1,Z2228)),0), FactorTable!$A$2:$A$301,0), 24)</f>
        <v/>
      </c>
    </row>
    <row r="2230">
      <c r="A2230">
        <f>Skills!A4</f>
        <v/>
      </c>
      <c r="B2230">
        <f>Skills!B4</f>
        <v/>
      </c>
      <c r="C2230">
        <f>TRUE</f>
        <v/>
      </c>
      <c r="D2230">
        <f>IF(Skills!C4=1,60+Inputs!$B$25+Inputs!$B$29,IF(Skills!C4=2,90+Inputs!$B$26+Inputs!$B$29,IF(Skills!C4=3,120+Inputs!$B$27+Inputs!$B$29,MAX(0,(Inputs!$B$3-100)*3)+Inputs!$B$28+Inputs!$B$29)))</f>
        <v/>
      </c>
      <c r="E2230">
        <f>INDEX(FactorTable!$B$2:$Y$301, MATCH(ROUND(MIN(300,MAX(1,D2230)),0), FactorTable!$A$2:$A$301,0), Skills!M4+1)</f>
        <v/>
      </c>
      <c r="F2230">
        <f>IF(Skills!N4=TRUE,(Skills!L4/10)*(E2230/1000),Skills!L4/10)+Skills!O4</f>
        <v/>
      </c>
      <c r="G2230">
        <f>Calc!G4</f>
        <v/>
      </c>
      <c r="H2230">
        <f>Calc!H4</f>
        <v/>
      </c>
      <c r="I2230">
        <f>IF(Skills!X4&lt;&gt;"",1+(Skills!X4/10)*(Z2229/1000)/100,1)</f>
        <v/>
      </c>
      <c r="J2230">
        <f>((Inputs!$B$6*(1+Inputs!$B$7/100))+(((Inputs!$B$12*(1+Inputs!$B$13/100))-(Inputs!$B$12*(1+Inputs!$B$13/100)))+0.25*(Inputs!$B$14-Inputs!$B$14))*(1+Inputs!$B$7/100))*(F2230/100)</f>
        <v/>
      </c>
      <c r="K2230">
        <f>J2230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2230)</f>
        <v/>
      </c>
      <c r="L2230">
        <f>K2230*(MIN(Inputs!$B$22+(F2248-Calc!F22),(Inputs!$B$23+(IF(ArtifactsInput!$M$15,CHOOSE(ArtifactsInput!$N$15+1,25,30,35,40,45,50)/100*(Inputs!$B$11-Inputs!$B$11),0))))/100+(Inputs!$B$23+(IF(ArtifactsInput!$M$15,CHOOSE(ArtifactsInput!$N$15+1,25,30,35,40,45,50)/100*(Inputs!$B$11-Inputs!$B$11),0)))/100)/2</f>
        <v/>
      </c>
      <c r="M2230">
        <f>L2230*(1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30">
        <f>L2230*(1-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2230*(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0">
        <f>(1-Summary!$B$11)*S2230+Summary!$B$11*U2230</f>
        <v/>
      </c>
      <c r="P2230">
        <f>IF(B2267=0,0,O2230/B2267)</f>
        <v/>
      </c>
      <c r="Q2230">
        <f>IFERROR(1/(IF(Inputs!$B$38="pvp",15,MAX(0.1,Skills!E4-IF(Skills!F4=TRUE,Inputs!$B$32,0)))*(1-IF(AND(ArtifactsInput!$M$27,Inputs!$B$4="Chapter Hunt"),CHOOSE(ArtifactsInput!$N$27+1,20,24,28,32,36,40),0)/100)),0)</f>
        <v/>
      </c>
      <c r="R2230">
        <f>IF(AND(Inputs!$B$38&lt;&gt;"pvp",Inputs!$B$43&gt;0),IF(MAX(0,Inputs!$B$43-B2264)&lt;=0,0,(INT(MAX(0,Inputs!$B$43-B2264)/(IF(Inputs!$B$38="pvp",15,MAX(0.1,Skills!E4-IF(Skills!F4=TRUE,Inputs!$B$32,0)))*(1-IF(AND(ArtifactsInput!$M$27,Inputs!$B$4="Chapter Hunt"),CHOOSE(ArtifactsInput!$N$27+1,20,24,28,32,36,40),0)/100)))+1)),0)</f>
        <v/>
      </c>
      <c r="S2230">
        <f>IF(C2230,(H2230*N2230*IF(AND(Inputs!$B$38&lt;&gt;"pvp",Inputs!$B$43&gt;0),((Skills!G4*((R2230-1)*IF(Skills!H4&gt;0,Skills!I4/Skills!H4,1)+IF(Skills!H4&gt;0,MIN(Skills!I4,MAX(0,MAX(0,Inputs!$B$43-B2264)-((R2230-1)*(IF(Inputs!$B$38="pvp",15,MAX(0.1,Skills!E4-IF(Skills!F4=TRUE,Inputs!$B$32,0)))*(1-IF(AND(ArtifactsInput!$M$27,Inputs!$B$4="Chapter Hunt"),CHOOSE(ArtifactsInput!$N$27+1,20,24,28,32,36,40),0)/100)))))/Skills!H4,1)))/Inputs!$B$43),G2230*Q2230)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2230*(1-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2230*(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2230*(1-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2230*(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230">
        <f>290*T2229/1000</f>
        <v/>
      </c>
      <c r="U2230">
        <f>IF(C2230,(H2230*N2230*IF(AND(Inputs!$B$38&lt;&gt;"pvp",Inputs!$B$43&gt;0),((Skills!G4*((R2230-1)*IF(Skills!H4&gt;0,Skills!I4/Skills!H4,1)+IF(Skills!H4&gt;0,MIN(Skills!I4,MAX(0,MAX(0,Inputs!$B$43-B2264)-((R2230-1)*(IF(Inputs!$B$38="pvp",15,MAX(0.1,Skills!E4-IF(Skills!F4=TRUE,Inputs!$B$32,0)))*(1-IF(AND(ArtifactsInput!$M$27,Inputs!$B$4="Chapter Hunt"),CHOOSE(ArtifactsInput!$N$27+1,20,24,28,32,36,40),0)/100)))))/Skills!H4,1)))/Inputs!$B$43),G2230*Q2230)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1">
      <c r="A2231">
        <f>Skills!A5</f>
        <v/>
      </c>
      <c r="B2231">
        <f>Skills!B5</f>
        <v/>
      </c>
      <c r="C2231">
        <f>TRUE</f>
        <v/>
      </c>
      <c r="D2231">
        <f>IF(Skills!C5=1,60+Inputs!$B$25+Inputs!$B$29,IF(Skills!C5=2,90+Inputs!$B$26+Inputs!$B$29,IF(Skills!C5=3,120+Inputs!$B$27+Inputs!$B$29,MAX(0,(Inputs!$B$3-100)*3)+Inputs!$B$28+Inputs!$B$29)))</f>
        <v/>
      </c>
      <c r="E2231">
        <f>INDEX(FactorTable!$B$2:$Y$301, MATCH(ROUND(MIN(300,MAX(1,D2231)),0), FactorTable!$A$2:$A$301,0), Skills!M5+1)</f>
        <v/>
      </c>
      <c r="F2231">
        <f>IF(Skills!N5=TRUE,(Skills!L5/10)*(E2231/1000),Skills!L5/10)+Skills!O5</f>
        <v/>
      </c>
      <c r="G2231">
        <f>Calc!G5</f>
        <v/>
      </c>
      <c r="H2231">
        <f>Calc!H5</f>
        <v/>
      </c>
      <c r="I2231">
        <f>IF(Skills!X5&lt;&gt;"",1+(Skills!X5/10)*(Z2229/1000)/100,1)</f>
        <v/>
      </c>
      <c r="J2231">
        <f>((Inputs!$B$6*(1+Inputs!$B$7/100))+(((Inputs!$B$12*(1+Inputs!$B$13/100))-(Inputs!$B$12*(1+Inputs!$B$13/100)))+0.25*(Inputs!$B$14-Inputs!$B$14))*(1+Inputs!$B$7/100))*(F2231/100)</f>
        <v/>
      </c>
      <c r="K2231">
        <f>J2231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2231)</f>
        <v/>
      </c>
      <c r="L2231">
        <f>K2231*(MIN(Inputs!$B$22+(F2248-Calc!F22),(Inputs!$B$23+(IF(ArtifactsInput!$M$15,CHOOSE(ArtifactsInput!$N$15+1,25,30,35,40,45,50)/100*(Inputs!$B$11-Inputs!$B$11),0))))/100+(Inputs!$B$23+(IF(ArtifactsInput!$M$15,CHOOSE(ArtifactsInput!$N$15+1,25,30,35,40,45,50)/100*(Inputs!$B$11-Inputs!$B$11),0)))/100)/2</f>
        <v/>
      </c>
      <c r="M2231">
        <f>L2231*(1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31">
        <f>L2231*(1-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1">
        <f>(1-Summary!$B$11)*S2231+Summary!$B$11*U2231</f>
        <v/>
      </c>
      <c r="P2231">
        <f>IF(B2267=0,0,O2231/B2267)</f>
        <v/>
      </c>
      <c r="Q2231">
        <f>IFERROR(1/(IF(Inputs!$B$38="pvp",15,MAX(0.1,Skills!E5-IF(Skills!F5=TRUE,Inputs!$B$32,0)))*(1-IF(AND(ArtifactsInput!$M$27,Inputs!$B$4="Chapter Hunt"),CHOOSE(ArtifactsInput!$N$27+1,20,24,28,32,36,40),0)/100)),0)</f>
        <v/>
      </c>
      <c r="R2231">
        <f>IF(AND(Inputs!$B$38&lt;&gt;"pvp",Inputs!$B$43&gt;0),IF(MAX(0,Inputs!$B$43-B2264)&lt;=0,0,(INT(MAX(0,Inputs!$B$43-B2264)/(IF(Inputs!$B$38="pvp",15,MAX(0.1,Skills!E5-IF(Skills!F5=TRUE,Inputs!$B$32,0)))*(1-IF(AND(ArtifactsInput!$M$27,Inputs!$B$4="Chapter Hunt"),CHOOSE(ArtifactsInput!$N$27+1,20,24,28,32,36,40),0)/100)))+1)),0)</f>
        <v/>
      </c>
      <c r="S2231">
        <f>IF(C2231,(H2231*N2231*IF(AND(Inputs!$B$38&lt;&gt;"pvp",Inputs!$B$43&gt;0),((Skills!G5*((R2231-1)*IF(Skills!H5&gt;0,Skills!I5/Skills!H5,1)+IF(Skills!H5&gt;0,MIN(Skills!I5,MAX(0,MAX(0,Inputs!$B$43-B2264)-((R2231-1)*(IF(Inputs!$B$38="pvp",15,MAX(0.1,Skills!E5-IF(Skills!F5=TRUE,Inputs!$B$32,0)))*(1-IF(AND(ArtifactsInput!$M$27,Inputs!$B$4="Chapter Hunt"),CHOOSE(ArtifactsInput!$N$27+1,20,24,28,32,36,40),0)/100)))))/Skills!H5,1)))/Inputs!$B$43),G2231*Q2231)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2231*(1-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2231*(1-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1">
        <f>IF(C2231,(H2231*N2231*IF(AND(Inputs!$B$38&lt;&gt;"pvp",Inputs!$B$43&gt;0),((Skills!G5*((R2231-1)*IF(Skills!H5&gt;0,Skills!I5/Skills!H5,1)+IF(Skills!H5&gt;0,MIN(Skills!I5,MAX(0,MAX(0,Inputs!$B$43-B2264)-((R2231-1)*(IF(Inputs!$B$38="pvp",15,MAX(0.1,Skills!E5-IF(Skills!F5=TRUE,Inputs!$B$32,0)))*(1-IF(AND(ArtifactsInput!$M$27,Inputs!$B$4="Chapter Hunt"),CHOOSE(ArtifactsInput!$N$27+1,20,24,28,32,36,40),0)/100)))))/Skills!H5,1)))/Inputs!$B$43),G2231*Q2231)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2">
      <c r="A2232">
        <f>Skills!A6</f>
        <v/>
      </c>
      <c r="B2232">
        <f>Skills!B6</f>
        <v/>
      </c>
      <c r="C2232">
        <f>TRUE</f>
        <v/>
      </c>
      <c r="D2232">
        <f>IF(Skills!C6=1,60+Inputs!$B$25+Inputs!$B$29,IF(Skills!C6=2,90+Inputs!$B$26+Inputs!$B$29,IF(Skills!C6=3,120+Inputs!$B$27+Inputs!$B$29,MAX(0,(Inputs!$B$3-100)*3)+Inputs!$B$28+Inputs!$B$29)))</f>
        <v/>
      </c>
      <c r="E2232">
        <f>INDEX(FactorTable!$B$2:$Y$301, MATCH(ROUND(MIN(300,MAX(1,D2232)),0), FactorTable!$A$2:$A$301,0), Skills!M6+1)</f>
        <v/>
      </c>
      <c r="F2232">
        <f>IF(Skills!N6=TRUE,(Skills!L6/10)*(E2232/1000),Skills!L6/10)+Skills!O6</f>
        <v/>
      </c>
      <c r="G2232">
        <f>Calc!G6</f>
        <v/>
      </c>
      <c r="H2232">
        <f>Calc!H6</f>
        <v/>
      </c>
      <c r="I2232">
        <f>IF(Skills!X6&lt;&gt;"",1+(Skills!X6/10)*(Z2229/1000)/100,1)</f>
        <v/>
      </c>
      <c r="J2232" t="inlineStr"/>
      <c r="K2232" t="inlineStr"/>
      <c r="L2232" t="inlineStr"/>
      <c r="M2232" t="inlineStr"/>
      <c r="N2232" t="inlineStr"/>
      <c r="O2232">
        <f>(1-Summary!$B$11)*S2232+Summary!$B$11*U2232</f>
        <v/>
      </c>
      <c r="P2232">
        <f>IF(B2267=0,0,O2232/B2267)</f>
        <v/>
      </c>
      <c r="Q2232">
        <f>IFERROR(1/(IF(Inputs!$B$38="pvp",15,MAX(0.1,Skills!E6-IF(Skills!F6=TRUE,Inputs!$B$32,0)))*(1-IF(AND(ArtifactsInput!$M$27,Inputs!$B$4="Chapter Hunt"),CHOOSE(ArtifactsInput!$N$27+1,20,24,28,32,36,40),0)/100)),0)</f>
        <v/>
      </c>
      <c r="R2232">
        <f>IF(AND(Inputs!$B$38&lt;&gt;"pvp",Inputs!$B$43&gt;0),IF(Inputs!$B$43&lt;=0,0,(INT(Inputs!$B$43/(IF(Inputs!$B$38="pvp",15,MAX(0.1,Skills!E6-IF(Skills!F6=TRUE,Inputs!$B$32,0)))*(1-IF(AND(ArtifactsInput!$M$27,Inputs!$B$4="Chapter Hunt"),CHOOSE(ArtifactsInput!$N$27+1,20,24,28,32,36,40),0)/100)))+1)),0)</f>
        <v/>
      </c>
      <c r="S2232" t="n">
        <v>0</v>
      </c>
      <c r="U2232" t="n">
        <v>0</v>
      </c>
    </row>
    <row r="2233">
      <c r="A2233">
        <f>Skills!A7</f>
        <v/>
      </c>
      <c r="B2233">
        <f>Skills!B7</f>
        <v/>
      </c>
      <c r="C2233">
        <f>TRUE</f>
        <v/>
      </c>
      <c r="D2233">
        <f>IF(Skills!C7=1,60+Inputs!$B$25+Inputs!$B$29,IF(Skills!C7=2,90+Inputs!$B$26+Inputs!$B$29,IF(Skills!C7=3,120+Inputs!$B$27+Inputs!$B$29,MAX(0,(Inputs!$B$3-100)*3)+Inputs!$B$28+Inputs!$B$29)))</f>
        <v/>
      </c>
      <c r="E2233">
        <f>INDEX(FactorTable!$B$2:$Y$301, MATCH(ROUND(MIN(300,MAX(1,D2233)),0), FactorTable!$A$2:$A$301,0), Skills!M7+1)</f>
        <v/>
      </c>
      <c r="F2233">
        <f>IF(Skills!N7=TRUE,(Skills!L7/10)*(E2233/1000),Skills!L7/10)+Skills!O7</f>
        <v/>
      </c>
      <c r="G2233">
        <f>Calc!G7</f>
        <v/>
      </c>
      <c r="H2233">
        <f>Calc!H7</f>
        <v/>
      </c>
      <c r="I2233">
        <f>IF(Skills!X7&lt;&gt;"",1+(Skills!X7/10)*(Z2229/1000)/100,1)</f>
        <v/>
      </c>
      <c r="J2233">
        <f>((Inputs!$B$6*(1+Inputs!$B$7/100))+(((Inputs!$B$12*(1+Inputs!$B$13/100))-(Inputs!$B$12*(1+Inputs!$B$13/100)))+0.25*(Inputs!$B$14-Inputs!$B$14))*(1+Inputs!$B$7/100))*(F2233/100)</f>
        <v/>
      </c>
      <c r="K2233">
        <f>J2233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2233)</f>
        <v/>
      </c>
      <c r="L2233">
        <f>K2233*(MIN(Inputs!$B$22+(F2248-Calc!F22),(Inputs!$B$23+(IF(ArtifactsInput!$M$15,CHOOSE(ArtifactsInput!$N$15+1,25,30,35,40,45,50)/100*(Inputs!$B$11-Inputs!$B$11),0))))/100+(Inputs!$B$23+(IF(ArtifactsInput!$M$15,CHOOSE(ArtifactsInput!$N$15+1,25,30,35,40,45,50)/100*(Inputs!$B$11-Inputs!$B$11),0)))/100)/2</f>
        <v/>
      </c>
      <c r="M2233">
        <f>L2233*(1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33">
        <f>L2233*(1-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2233*(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3">
        <f>(1-Summary!$B$11)*S2233+Summary!$B$11*U2233</f>
        <v/>
      </c>
      <c r="P2233">
        <f>IF(B2267=0,0,O2233/B2267)</f>
        <v/>
      </c>
      <c r="Q2233">
        <f>IFERROR(1/(IF(Inputs!$B$38="pvp",15,MAX(0.1,Skills!E7-IF(Skills!F7=TRUE,Inputs!$B$32,0)))*(1-IF(AND(ArtifactsInput!$M$27,Inputs!$B$4="Chapter Hunt"),CHOOSE(ArtifactsInput!$N$27+1,20,24,28,32,36,40),0)/100)),0)</f>
        <v/>
      </c>
      <c r="R2233">
        <f>IF(AND(Inputs!$B$38&lt;&gt;"pvp",Inputs!$B$43&gt;0),IF(MAX(0,Inputs!$B$43-B2264)&lt;=0,0,(INT(MAX(0,Inputs!$B$43-B2264)/(IF(Inputs!$B$38="pvp",15,MAX(0.1,Skills!E7-IF(Skills!F7=TRUE,Inputs!$B$32,0)))*(1-IF(AND(ArtifactsInput!$M$27,Inputs!$B$4="Chapter Hunt"),CHOOSE(ArtifactsInput!$N$27+1,20,24,28,32,36,40),0)/100)))+1)),0)</f>
        <v/>
      </c>
      <c r="S2233">
        <f>IF(C2233,(H2233*N2233*IF(AND(Inputs!$B$38&lt;&gt;"pvp",Inputs!$B$43&gt;0),((Skills!G7*((R2233-1)*IF(Skills!H7&gt;0,Skills!I7/Skills!H7,1)+IF(Skills!H7&gt;0,MIN(Skills!I7,MAX(0,MAX(0,Inputs!$B$43-B2264)-((R2233-1)*(IF(Inputs!$B$38="pvp",15,MAX(0.1,Skills!E7-IF(Skills!F7=TRUE,Inputs!$B$32,0)))*(1-IF(AND(ArtifactsInput!$M$27,Inputs!$B$4="Chapter Hunt"),CHOOSE(ArtifactsInput!$N$27+1,20,24,28,32,36,40),0)/100)))))/Skills!H7,1)))/Inputs!$B$43),G2233*Q2233)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2233*(1-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2233*(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2233*(1-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2233*(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3">
        <f>IF(C2233,(H2233*N2233*IF(AND(Inputs!$B$38&lt;&gt;"pvp",Inputs!$B$43&gt;0),((Skills!G7*((R2233-1)*IF(Skills!H7&gt;0,Skills!I7/Skills!H7,1)+IF(Skills!H7&gt;0,MIN(Skills!I7,MAX(0,MAX(0,Inputs!$B$43-B2264)-((R2233-1)*(IF(Inputs!$B$38="pvp",15,MAX(0.1,Skills!E7-IF(Skills!F7=TRUE,Inputs!$B$32,0)))*(1-IF(AND(ArtifactsInput!$M$27,Inputs!$B$4="Chapter Hunt"),CHOOSE(ArtifactsInput!$N$27+1,20,24,28,32,36,40),0)/100)))))/Skills!H7,1)))/Inputs!$B$43),G2233*Q2233)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4">
      <c r="A2234">
        <f>Skills!A8</f>
        <v/>
      </c>
      <c r="B2234">
        <f>Skills!B8</f>
        <v/>
      </c>
      <c r="C2234">
        <f>TRUE</f>
        <v/>
      </c>
      <c r="D2234">
        <f>IF(Skills!C8=1,60+Inputs!$B$25+Inputs!$B$29,IF(Skills!C8=2,90+Inputs!$B$26+Inputs!$B$29,IF(Skills!C8=3,120+Inputs!$B$27+Inputs!$B$29,MAX(0,(Inputs!$B$3-100)*3)+Inputs!$B$28+Inputs!$B$29)))</f>
        <v/>
      </c>
      <c r="E2234">
        <f>INDEX(FactorTable!$B$2:$Y$301, MATCH(ROUND(MIN(300,MAX(1,D2234)),0), FactorTable!$A$2:$A$301,0), Skills!M8+1)</f>
        <v/>
      </c>
      <c r="F2234">
        <f>IF(Skills!N8=TRUE,(Skills!L8/10)*(E2234/1000),Skills!L8/10)+Skills!O8</f>
        <v/>
      </c>
      <c r="G2234">
        <f>Calc!G8</f>
        <v/>
      </c>
      <c r="H2234">
        <f>Calc!H8</f>
        <v/>
      </c>
      <c r="I2234">
        <f>IF(Skills!X8&lt;&gt;"",1+(Skills!X8/10)*(Z2229/1000)/100,1)</f>
        <v/>
      </c>
      <c r="J2234">
        <f>((Inputs!$B$6*(1+Inputs!$B$7/100))+(((Inputs!$B$12*(1+Inputs!$B$13/100))-(Inputs!$B$12*(1+Inputs!$B$13/100)))+0.25*(Inputs!$B$14-Inputs!$B$14))*(1+Inputs!$B$7/100))*(F2234/100)</f>
        <v/>
      </c>
      <c r="K2234">
        <f>J2234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2234)</f>
        <v/>
      </c>
      <c r="L2234">
        <f>K2234*(MIN(Inputs!$B$22+(F2248-Calc!F22),(Inputs!$B$23+(IF(ArtifactsInput!$M$15,CHOOSE(ArtifactsInput!$N$15+1,25,30,35,40,45,50)/100*(Inputs!$B$11-Inputs!$B$11),0))))/100+(Inputs!$B$23+(IF(ArtifactsInput!$M$15,CHOOSE(ArtifactsInput!$N$15+1,25,30,35,40,45,50)/100*(Inputs!$B$11-Inputs!$B$11),0)))/100)/2</f>
        <v/>
      </c>
      <c r="M2234">
        <f>L2234*(1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34">
        <f>L2234*(1-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2234*(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4">
        <f>(1-Summary!$B$11)*S2234+Summary!$B$11*U2234</f>
        <v/>
      </c>
      <c r="P2234">
        <f>IF(B2267=0,0,O2234/B2267)</f>
        <v/>
      </c>
      <c r="Q2234">
        <f>IFERROR(1/(IF(Inputs!$B$38="pvp",15,MAX(0.1,Skills!E8-IF(Skills!F8=TRUE,Inputs!$B$32,0)))*(1-IF(AND(ArtifactsInput!$M$27,Inputs!$B$4="Chapter Hunt"),CHOOSE(ArtifactsInput!$N$27+1,20,24,28,32,36,40),0)/100)),0)</f>
        <v/>
      </c>
      <c r="R2234">
        <f>IF(AND(Inputs!$B$38&lt;&gt;"pvp",Inputs!$B$43&gt;0),IF(MAX(0,Inputs!$B$43-B2264)&lt;=0,0,(INT(MAX(0,Inputs!$B$43-B2264)/(IF(Inputs!$B$38="pvp",15,MAX(0.1,Skills!E8-IF(Skills!F8=TRUE,Inputs!$B$32,0)))*(1-IF(AND(ArtifactsInput!$M$27,Inputs!$B$4="Chapter Hunt"),CHOOSE(ArtifactsInput!$N$27+1,20,24,28,32,36,40),0)/100)))+1)),0)</f>
        <v/>
      </c>
      <c r="S2234">
        <f>IF(C2234,(H2234*N2234*IF(AND(Inputs!$B$38&lt;&gt;"pvp",Inputs!$B$43&gt;0),((Skills!G8*((R2234-1)*IF(Skills!H8&gt;0,Skills!I8/Skills!H8,1)+IF(Skills!H8&gt;0,MIN(Skills!I8,MAX(0,MAX(0,Inputs!$B$43-B2264)-((R2234-1)*(IF(Inputs!$B$38="pvp",15,MAX(0.1,Skills!E8-IF(Skills!F8=TRUE,Inputs!$B$32,0)))*(1-IF(AND(ArtifactsInput!$M$27,Inputs!$B$4="Chapter Hunt"),CHOOSE(ArtifactsInput!$N$27+1,20,24,28,32,36,40),0)/100)))))/Skills!H8,1)))/Inputs!$B$43),G2234*Q2234)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2234*(1-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2234*(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2234*(1-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2234*(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4">
        <f>IF(C2234,(H2234*N2234*IF(AND(Inputs!$B$38&lt;&gt;"pvp",Inputs!$B$43&gt;0),((Skills!G8*((R2234-1)*IF(Skills!H8&gt;0,Skills!I8/Skills!H8,1)+IF(Skills!H8&gt;0,MIN(Skills!I8,MAX(0,MAX(0,Inputs!$B$43-B2264)-((R2234-1)*(IF(Inputs!$B$38="pvp",15,MAX(0.1,Skills!E8-IF(Skills!F8=TRUE,Inputs!$B$32,0)))*(1-IF(AND(ArtifactsInput!$M$27,Inputs!$B$4="Chapter Hunt"),CHOOSE(ArtifactsInput!$N$27+1,20,24,28,32,36,40),0)/100)))))/Skills!H8,1)))/Inputs!$B$43),G2234*Q2234)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5">
      <c r="A2235">
        <f>Skills!A9</f>
        <v/>
      </c>
      <c r="B2235">
        <f>Skills!B9</f>
        <v/>
      </c>
      <c r="C2235">
        <f>Inputs!$B$3&gt;=103</f>
        <v/>
      </c>
      <c r="D2235">
        <f>IF(Skills!C9=1,60+Inputs!$B$25+Inputs!$B$29,IF(Skills!C9=2,90+Inputs!$B$26+Inputs!$B$29,IF(Skills!C9=3,120+Inputs!$B$27+Inputs!$B$29,MAX(0,(Inputs!$B$3-100)*3)+Inputs!$B$28+Inputs!$B$29)))</f>
        <v/>
      </c>
      <c r="E2235">
        <f>INDEX(FactorTable!$B$2:$Y$301, MATCH(ROUND(MIN(300,MAX(1,D2235)),0), FactorTable!$A$2:$A$301,0), Skills!M9+1)</f>
        <v/>
      </c>
      <c r="F2235">
        <f>IF(Skills!N9=TRUE,(Skills!L9/10)*(E2235/1000),Skills!L9/10)+Skills!O9</f>
        <v/>
      </c>
      <c r="G2235">
        <f>Calc!G9</f>
        <v/>
      </c>
      <c r="H2235">
        <f>Calc!H9</f>
        <v/>
      </c>
      <c r="I2235">
        <f>IF(Skills!X9&lt;&gt;"",1+(Skills!X9/10)*(Z2229/1000)/100,1)</f>
        <v/>
      </c>
      <c r="J2235">
        <f>((Inputs!$B$6*(1+Inputs!$B$7/100))+(((Inputs!$B$12*(1+Inputs!$B$13/100))-(Inputs!$B$12*(1+Inputs!$B$13/100)))+0.25*(Inputs!$B$14-Inputs!$B$14))*(1+Inputs!$B$7/100))*(F2235/100)</f>
        <v/>
      </c>
      <c r="K2235">
        <f>J2235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2235)</f>
        <v/>
      </c>
      <c r="L2235">
        <f>K2235*(MIN(Inputs!$B$22+(F2248-Calc!F22),(Inputs!$B$23+(IF(ArtifactsInput!$M$15,CHOOSE(ArtifactsInput!$N$15+1,25,30,35,40,45,50)/100*(Inputs!$B$11-Inputs!$B$11),0))))/100+(Inputs!$B$23+(IF(ArtifactsInput!$M$15,CHOOSE(ArtifactsInput!$N$15+1,25,30,35,40,45,50)/100*(Inputs!$B$11-Inputs!$B$11),0)))/100)/2</f>
        <v/>
      </c>
      <c r="M2235">
        <f>L2235*(1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35">
        <f>L2235*(1-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2235*(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5">
        <f>(1-Summary!$B$11)*S2235+Summary!$B$11*U2235</f>
        <v/>
      </c>
      <c r="P2235">
        <f>IF(B2267=0,0,O2235/B2267)</f>
        <v/>
      </c>
      <c r="Q2235">
        <f>IFERROR(1/(IF(Inputs!$B$38="pvp",15,MAX(0.1,Skills!E9-IF(Skills!F7=TRUE,Inputs!$B$32,0)))*(1-IF(AND(ArtifactsInput!$M$27,Inputs!$B$4="Chapter Hunt"),CHOOSE(ArtifactsInput!$N$27+1,20,24,28,32,36,40),0)/100)),0)</f>
        <v/>
      </c>
      <c r="R2235">
        <f>IF(AND(Inputs!$B$38&lt;&gt;"pvp",Inputs!$B$43&gt;0),IF(MAX(0,Inputs!$B$43-B2264)&lt;=0,0,(INT(MAX(0,Inputs!$B$43-B2264)/(IF(Inputs!$B$38="pvp",15,MAX(0.1,Skills!E9-IF(Skills!F7=TRUE,Inputs!$B$32,0)))*(1-IF(AND(ArtifactsInput!$M$27,Inputs!$B$4="Chapter Hunt"),CHOOSE(ArtifactsInput!$N$27+1,20,24,28,32,36,40),0)/100)))+1)),0)</f>
        <v/>
      </c>
      <c r="S2235">
        <f>IF(C2235,(H2235*N2235*IF(AND(Inputs!$B$38&lt;&gt;"pvp",Inputs!$B$43&gt;0),((Skills!G9*((R2235-1)*IF(Skills!H9&gt;0,Skills!I9/Skills!H9,1)+IF(Skills!H9&gt;0,MIN(Skills!I9,MAX(0,MAX(0,Inputs!$B$43-B2264)-((R2235-1)*(IF(Inputs!$B$38="pvp",15,MAX(0.1,Skills!E9-IF(Skills!F7=TRUE,Inputs!$B$32,0)))*(1-IF(AND(ArtifactsInput!$M$27,Inputs!$B$4="Chapter Hunt"),CHOOSE(ArtifactsInput!$N$27+1,20,24,28,32,36,40),0)/100)))))/Skills!H9,1)))/Inputs!$B$43),G2235*Q2235)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2235*(1-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2235*(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2235*(1-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2235*(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5">
        <f>IF(C2235,(H2235*N2235*IF(AND(Inputs!$B$38&lt;&gt;"pvp",Inputs!$B$43&gt;0),((Skills!G9*((R2235-1)*IF(Skills!H9&gt;0,Skills!I9/Skills!H9,1)+IF(Skills!H9&gt;0,MIN(Skills!I9,MAX(0,MAX(0,Inputs!$B$43-B2264)-((R2235-1)*(IF(Inputs!$B$38="pvp",15,MAX(0.1,Skills!E9-IF(Skills!F7=TRUE,Inputs!$B$32,0)))*(1-IF(AND(ArtifactsInput!$M$27,Inputs!$B$4="Chapter Hunt"),CHOOSE(ArtifactsInput!$N$27+1,20,24,28,32,36,40),0)/100)))))/Skills!H9,1)))/Inputs!$B$43),G2235*Q2235)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6">
      <c r="A2236">
        <f>Skills!A10</f>
        <v/>
      </c>
      <c r="B2236">
        <f>Skills!B10</f>
        <v/>
      </c>
      <c r="C2236">
        <f>TRUE</f>
        <v/>
      </c>
      <c r="D2236">
        <f>IF(Skills!C10=1,60+Inputs!$B$25+Inputs!$B$29,IF(Skills!C10=2,90+Inputs!$B$26+Inputs!$B$29,IF(Skills!C10=3,120+Inputs!$B$27+Inputs!$B$29,MAX(0,(Inputs!$B$3-100)*3)+Inputs!$B$28+Inputs!$B$29)))</f>
        <v/>
      </c>
      <c r="E2236">
        <f>INDEX(FactorTable!$B$2:$Y$301, MATCH(ROUND(MIN(300,MAX(1,D2236)),0), FactorTable!$A$2:$A$301,0), Skills!M10+1)</f>
        <v/>
      </c>
      <c r="F2236">
        <f>IF(Skills!N10=TRUE,(Skills!L10/10)*(E2236/1000),Skills!L10/10)+Skills!O10</f>
        <v/>
      </c>
      <c r="G2236">
        <f>Calc!G10</f>
        <v/>
      </c>
      <c r="H2236">
        <f>Calc!H10</f>
        <v/>
      </c>
      <c r="I2236">
        <f>IF(Skills!X10&lt;&gt;"",1+(Skills!X10/10)*(Z2229/1000)/100,1)</f>
        <v/>
      </c>
      <c r="J2236">
        <f>((Inputs!$B$6*(1+Inputs!$B$7/100))+(((Inputs!$B$12*(1+Inputs!$B$13/100))-(Inputs!$B$12*(1+Inputs!$B$13/100)))+0.25*(Inputs!$B$14-Inputs!$B$14))*(1+Inputs!$B$7/100))*(F2236/100)</f>
        <v/>
      </c>
      <c r="K2236">
        <f>J2236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2236)</f>
        <v/>
      </c>
      <c r="L2236">
        <f>K2236*(MIN(Inputs!$B$22+(F2248-Calc!F22),(Inputs!$B$23+(IF(ArtifactsInput!$M$15,CHOOSE(ArtifactsInput!$N$15+1,25,30,35,40,45,50)/100*(Inputs!$B$11-Inputs!$B$11),0))))/100+(Inputs!$B$23+(IF(ArtifactsInput!$M$15,CHOOSE(ArtifactsInput!$N$15+1,25,30,35,40,45,50)/100*(Inputs!$B$11-Inputs!$B$11),0)))/100)/2</f>
        <v/>
      </c>
      <c r="M2236">
        <f>L2236*(1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36">
        <f>L2236*(1-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2236*(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6">
        <f>(1-Summary!$B$11)*S2236+Summary!$B$11*U2236</f>
        <v/>
      </c>
      <c r="P2236">
        <f>IF(B2267=0,0,O2236/B2267)</f>
        <v/>
      </c>
      <c r="Q2236">
        <f>IFERROR(1/(IF(Inputs!$B$38="pvp",15,MAX(0.1,Skills!E10-IF(Skills!F10=TRUE,Inputs!$B$32,0)))*(1-IF(AND(ArtifactsInput!$M$27,Inputs!$B$4="Chapter Hunt"),CHOOSE(ArtifactsInput!$N$27+1,20,24,28,32,36,40),0)/100)),0)</f>
        <v/>
      </c>
      <c r="R2236">
        <f>IF(AND(Inputs!$B$38&lt;&gt;"pvp",Inputs!$B$43&gt;0),IF(MAX(0,Inputs!$B$43-B2264)&lt;=0,0,(INT(MAX(0,Inputs!$B$43-B2264)/(IF(Inputs!$B$38="pvp",15,MAX(0.1,Skills!E10-IF(Skills!F10=TRUE,Inputs!$B$32,0)))*(1-IF(AND(ArtifactsInput!$M$27,Inputs!$B$4="Chapter Hunt"),CHOOSE(ArtifactsInput!$N$27+1,20,24,28,32,36,40),0)/100)))+1)),0)</f>
        <v/>
      </c>
      <c r="S2236">
        <f>IF(C2236,(H2236*N2236*IF(AND(Inputs!$B$38&lt;&gt;"pvp",Inputs!$B$43&gt;0),((Skills!G10*((R2236-1)*IF(Skills!H10&gt;0,Skills!I10/Skills!H10,1)+IF(Skills!H10&gt;0,MIN(Skills!I10,MAX(0,MAX(0,Inputs!$B$43-B2264)-((R2236-1)*(IF(Inputs!$B$38="pvp",15,MAX(0.1,Skills!E10-IF(Skills!F10=TRUE,Inputs!$B$32,0)))*(1-IF(AND(ArtifactsInput!$M$27,Inputs!$B$4="Chapter Hunt"),CHOOSE(ArtifactsInput!$N$27+1,20,24,28,32,36,40),0)/100)))))/Skills!H10,1)))/Inputs!$B$43),G2236*Q2236)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2236*(1-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2236*(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2236*(1-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2236*(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6">
        <f>IF(C2236,(H2236*N2236*IF(AND(Inputs!$B$38&lt;&gt;"pvp",Inputs!$B$43&gt;0),((Skills!G10*((R2236-1)*IF(Skills!H10&gt;0,Skills!I10/Skills!H10,1)+IF(Skills!H10&gt;0,MIN(Skills!I10,MAX(0,MAX(0,Inputs!$B$43-B2264)-((R2236-1)*(IF(Inputs!$B$38="pvp",15,MAX(0.1,Skills!E10-IF(Skills!F10=TRUE,Inputs!$B$32,0)))*(1-IF(AND(ArtifactsInput!$M$27,Inputs!$B$4="Chapter Hunt"),CHOOSE(ArtifactsInput!$N$27+1,20,24,28,32,36,40),0)/100)))))/Skills!H10,1)))/Inputs!$B$43),G2236*Q2236)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7">
      <c r="A2237">
        <f>Skills!A11</f>
        <v/>
      </c>
      <c r="B2237">
        <f>Skills!B11</f>
        <v/>
      </c>
      <c r="C2237">
        <f>TRUE</f>
        <v/>
      </c>
      <c r="D2237">
        <f>IF(Skills!C11=1,60+Inputs!$B$25+Inputs!$B$29,IF(Skills!C11=2,90+Inputs!$B$26+Inputs!$B$29,IF(Skills!C11=3,120+Inputs!$B$27+Inputs!$B$29,MAX(0,(Inputs!$B$3-100)*3)+Inputs!$B$28+Inputs!$B$29)))</f>
        <v/>
      </c>
      <c r="E2237">
        <f>INDEX(FactorTable!$B$2:$Y$301, MATCH(ROUND(MIN(300,MAX(1,D2237)),0), FactorTable!$A$2:$A$301,0), Skills!M11+1)</f>
        <v/>
      </c>
      <c r="F2237">
        <f>IF(Skills!N11=TRUE,(Skills!L11/10)*(E2237/1000),Skills!L11/10)+Skills!O11</f>
        <v/>
      </c>
      <c r="G2237">
        <f>Calc!G11</f>
        <v/>
      </c>
      <c r="H2237">
        <f>Calc!H11</f>
        <v/>
      </c>
      <c r="I2237">
        <f>IF(Skills!X11&lt;&gt;"",1+(Skills!X11/10)*(Z2229/1000)/100,1)</f>
        <v/>
      </c>
      <c r="J2237" t="inlineStr"/>
      <c r="K2237" t="inlineStr"/>
      <c r="L2237" t="inlineStr"/>
      <c r="M2237" t="inlineStr"/>
      <c r="N2237" t="inlineStr"/>
      <c r="O2237">
        <f>(1-Summary!$B$11)*S2237+Summary!$B$11*U2237</f>
        <v/>
      </c>
      <c r="P2237">
        <f>IF(B2267=0,0,O2237/B2267)</f>
        <v/>
      </c>
      <c r="Q2237">
        <f>IFERROR(1/(IF(Inputs!$B$38="pvp",15,MAX(0.1,Skills!E11-IF(Skills!F11=TRUE,Inputs!$B$32,0)))*(1-IF(AND(ArtifactsInput!$M$27,Inputs!$B$4="Chapter Hunt"),CHOOSE(ArtifactsInput!$N$27+1,20,24,28,32,36,40),0)/100)),0)</f>
        <v/>
      </c>
      <c r="R2237" t="n">
        <v>0</v>
      </c>
      <c r="S2237" t="n">
        <v>0</v>
      </c>
      <c r="U2237" t="n">
        <v>0</v>
      </c>
    </row>
    <row r="2238">
      <c r="A2238">
        <f>Skills!A12</f>
        <v/>
      </c>
      <c r="B2238">
        <f>Skills!B12</f>
        <v/>
      </c>
      <c r="C2238">
        <f>TRUE</f>
        <v/>
      </c>
      <c r="D2238">
        <f>IF(Skills!C12=1,60+Inputs!$B$25+Inputs!$B$29,IF(Skills!C12=2,90+Inputs!$B$26+Inputs!$B$29,IF(Skills!C12=3,120+Inputs!$B$27+Inputs!$B$29,MAX(0,(Inputs!$B$3-100)*3)+Inputs!$B$28+Inputs!$B$29)))</f>
        <v/>
      </c>
      <c r="E2238">
        <f>INDEX(FactorTable!$B$2:$Y$301, MATCH(ROUND(MIN(300,MAX(1,D2238)),0), FactorTable!$A$2:$A$301,0), Skills!M12+1)</f>
        <v/>
      </c>
      <c r="F2238">
        <f>IF(Skills!N12=TRUE,(Skills!L12/10)*(E2238/1000),Skills!L12/10)+Skills!O12</f>
        <v/>
      </c>
      <c r="G2238">
        <f>Calc!G12</f>
        <v/>
      </c>
      <c r="H2238">
        <f>Calc!H12</f>
        <v/>
      </c>
      <c r="I2238">
        <f>IF(Skills!X12&lt;&gt;"",1+(Skills!X12/10)*(Z2229/1000)/100,1)</f>
        <v/>
      </c>
      <c r="J2238" t="inlineStr"/>
      <c r="K2238" t="inlineStr"/>
      <c r="L2238" t="inlineStr"/>
      <c r="M2238" t="inlineStr"/>
      <c r="N2238" t="inlineStr"/>
      <c r="O2238">
        <f>(1-Summary!$B$11)*S2238+Summary!$B$11*U2238</f>
        <v/>
      </c>
      <c r="P2238">
        <f>IF(B2267=0,0,O2238/B2267)</f>
        <v/>
      </c>
      <c r="Q2238">
        <f>IFERROR(1/(IF(Inputs!$B$38="pvp",15,MAX(0.1,Skills!E12-IF(Skills!F12=TRUE,Inputs!$B$32,0)))*(1-IF(AND(ArtifactsInput!$M$27,Inputs!$B$4="Chapter Hunt"),CHOOSE(ArtifactsInput!$N$27+1,20,24,28,32,36,40),0)/100)),0)</f>
        <v/>
      </c>
      <c r="R2238" t="n">
        <v>0</v>
      </c>
      <c r="S2238" t="n">
        <v>0</v>
      </c>
      <c r="U2238" t="n">
        <v>0</v>
      </c>
    </row>
    <row r="2239">
      <c r="A2239">
        <f>Skills!A13</f>
        <v/>
      </c>
      <c r="B2239">
        <f>Skills!B13</f>
        <v/>
      </c>
      <c r="C2239">
        <f>Inputs!$B$3&gt;=105</f>
        <v/>
      </c>
      <c r="D2239">
        <f>IF(Skills!C13=1,60+Inputs!$B$25+Inputs!$B$29,IF(Skills!C13=2,90+Inputs!$B$26+Inputs!$B$29,IF(Skills!C13=3,120+Inputs!$B$27+Inputs!$B$29,MAX(0,(Inputs!$B$3-100)*3)+Inputs!$B$28+Inputs!$B$29)))</f>
        <v/>
      </c>
      <c r="E2239">
        <f>INDEX(FactorTable!$B$2:$Y$301, MATCH(ROUND(MIN(300,MAX(1,D2239)),0), FactorTable!$A$2:$A$301,0), Skills!M13+1)</f>
        <v/>
      </c>
      <c r="F2239">
        <f>IF(Skills!N13=TRUE,(Skills!L13/10)*(E2239/1000),Skills!L13/10)+Skills!O13</f>
        <v/>
      </c>
      <c r="G2239">
        <f>Calc!G13</f>
        <v/>
      </c>
      <c r="H2239">
        <f>Calc!H13</f>
        <v/>
      </c>
      <c r="I2239">
        <f>IF(Skills!X13&lt;&gt;"",1+(Skills!X13/10)*(Z2229/1000)/100,1)</f>
        <v/>
      </c>
      <c r="J2239">
        <f>((Inputs!$B$6*(1+Inputs!$B$7/100))+(((Inputs!$B$12*(1+Inputs!$B$13/100))-(Inputs!$B$12*(1+Inputs!$B$13/100)))+0.25*(Inputs!$B$14-Inputs!$B$14))*(1+Inputs!$B$7/100))*(F2239/100)</f>
        <v/>
      </c>
      <c r="K2239">
        <f>J2239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2239)</f>
        <v/>
      </c>
      <c r="L2239">
        <f>K2239*(MIN(Inputs!$B$22+(F2248-Calc!F22),(Inputs!$B$23+(IF(ArtifactsInput!$M$15,CHOOSE(ArtifactsInput!$N$15+1,25,30,35,40,45,50)/100*(Inputs!$B$11-Inputs!$B$11),0))))/100+(Inputs!$B$23+(IF(ArtifactsInput!$M$15,CHOOSE(ArtifactsInput!$N$15+1,25,30,35,40,45,50)/100*(Inputs!$B$11-Inputs!$B$11),0)))/100)/2</f>
        <v/>
      </c>
      <c r="M2239">
        <f>L2239*(1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39">
        <f>L2239*(1-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2239*(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9">
        <f>(1-Summary!$B$11)*S2239+Summary!$B$11*U2239</f>
        <v/>
      </c>
      <c r="P2239">
        <f>IF(B2267=0,0,O2239/B2267)</f>
        <v/>
      </c>
      <c r="Q2239">
        <f>IFERROR(1/(IF(Inputs!$B$38="pvp",15,MAX(0.1,Skills!E13-IF(Skills!F13=TRUE,Inputs!$B$32,0)))*(1-IF(AND(ArtifactsInput!$M$27,Inputs!$B$4="Chapter Hunt"),CHOOSE(ArtifactsInput!$N$27+1,20,24,28,32,36,40),0)/100)),0)</f>
        <v/>
      </c>
      <c r="R2239">
        <f>IF(AND(Inputs!$B$38&lt;&gt;"pvp",Inputs!$B$43&gt;0),IF(MAX(0,Inputs!$B$43-B2264)&lt;=0,0,(INT(MAX(0,Inputs!$B$43-B2264)/(IF(Inputs!$B$38="pvp",15,MAX(0.1,Skills!E13-IF(Skills!F13=TRUE,Inputs!$B$32,0)))*(1-IF(AND(ArtifactsInput!$M$27,Inputs!$B$4="Chapter Hunt"),CHOOSE(ArtifactsInput!$N$27+1,20,24,28,32,36,40),0)/100)))+1)),0)</f>
        <v/>
      </c>
      <c r="S2239">
        <f>IF(C2239,(H2239*N2239*IF(AND(Inputs!$B$38&lt;&gt;"pvp",Inputs!$B$43&gt;0),((Skills!G13*((R2239-1)*IF(Skills!H13&gt;0,Skills!I13/Skills!H13,1)+IF(Skills!H13&gt;0,MIN(Skills!I13,MAX(0,MAX(0,Inputs!$B$43-B2264)-((R2239-1)*(IF(Inputs!$B$38="pvp",15,MAX(0.1,Skills!E13-IF(Skills!F13=TRUE,Inputs!$B$32,0)))*(1-IF(AND(ArtifactsInput!$M$27,Inputs!$B$4="Chapter Hunt"),CHOOSE(ArtifactsInput!$N$27+1,20,24,28,32,36,40),0)/100)))))/Skills!H13,1)))/Inputs!$B$43),G2239*Q2239)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2239*(1-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2239*(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2239*(1-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2239*(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9">
        <f>IF(C2239,(H2239*N2239*IF(AND(Inputs!$B$38&lt;&gt;"pvp",Inputs!$B$43&gt;0),((Skills!G13*((R2239-1)*IF(Skills!H13&gt;0,Skills!I13/Skills!H13,1)+IF(Skills!H13&gt;0,MIN(Skills!I13,MAX(0,MAX(0,Inputs!$B$43-B2264)-((R2239-1)*(IF(Inputs!$B$38="pvp",15,MAX(0.1,Skills!E13-IF(Skills!F13=TRUE,Inputs!$B$32,0)))*(1-IF(AND(ArtifactsInput!$M$27,Inputs!$B$4="Chapter Hunt"),CHOOSE(ArtifactsInput!$N$27+1,20,24,28,32,36,40),0)/100)))))/Skills!H13,1)))/Inputs!$B$43),G2239*Q2239)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0">
      <c r="A2240">
        <f>Skills!A14</f>
        <v/>
      </c>
      <c r="B2240">
        <f>Skills!B14</f>
        <v/>
      </c>
      <c r="C2240">
        <f>Inputs!$B$3&gt;=113</f>
        <v/>
      </c>
      <c r="D2240">
        <f>IF(Skills!C14=1,60+Inputs!$B$25+Inputs!$B$29,IF(Skills!C14=2,90+Inputs!$B$26+Inputs!$B$29,IF(Skills!C14=3,120+Inputs!$B$27+Inputs!$B$29,MAX(0,(Inputs!$B$3-100)*3)+Inputs!$B$28+Inputs!$B$29)))</f>
        <v/>
      </c>
      <c r="E2240">
        <f>INDEX(FactorTable!$B$2:$Y$301, MATCH(ROUND(MIN(300,MAX(1,D2240)),0), FactorTable!$A$2:$A$301,0), Skills!M14+1)</f>
        <v/>
      </c>
      <c r="F2240">
        <f>IF(Skills!N14=TRUE,(Skills!L14/10)*(E2240/1000),Skills!L14/10)+Skills!O14</f>
        <v/>
      </c>
      <c r="G2240">
        <f>Calc!G14</f>
        <v/>
      </c>
      <c r="H2240">
        <f>Calc!H14</f>
        <v/>
      </c>
      <c r="I2240">
        <f>IF(Skills!X14&lt;&gt;"",1+(Skills!X14/10)*(Z2229/1000)/100,1)</f>
        <v/>
      </c>
      <c r="J2240">
        <f>((Inputs!$B$6*(1+Inputs!$B$7/100))+(((Inputs!$B$12*(1+Inputs!$B$13/100))-(Inputs!$B$12*(1+Inputs!$B$13/100)))+0.25*(Inputs!$B$14-Inputs!$B$14))*(1+Inputs!$B$7/100))*(F2240/100)</f>
        <v/>
      </c>
      <c r="K2240">
        <f>J2240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2240)</f>
        <v/>
      </c>
      <c r="L2240">
        <f>K2240*(MIN(Inputs!$B$22+(F2248-Calc!F22),(Inputs!$B$23+(IF(ArtifactsInput!$M$15,CHOOSE(ArtifactsInput!$N$15+1,25,30,35,40,45,50)/100*(Inputs!$B$11-Inputs!$B$11),0))))/100+(Inputs!$B$23+(IF(ArtifactsInput!$M$15,CHOOSE(ArtifactsInput!$N$15+1,25,30,35,40,45,50)/100*(Inputs!$B$11-Inputs!$B$11),0)))/100)/2</f>
        <v/>
      </c>
      <c r="M2240">
        <f>L2240*(1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40">
        <f>L2240*(1-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2240*(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0">
        <f>(1-Summary!$B$11)*S2240+Summary!$B$11*U2240</f>
        <v/>
      </c>
      <c r="P2240">
        <f>IF(B2267=0,0,O2240/B2267)</f>
        <v/>
      </c>
      <c r="Q2240">
        <f>IFERROR(1/(IF(Inputs!$B$38="pvp",15,MAX(0.1,Skills!E14-IF(Skills!F14=TRUE,Inputs!$B$32,0)))*(1-IF(AND(ArtifactsInput!$M$27,Inputs!$B$4="Chapter Hunt"),CHOOSE(ArtifactsInput!$N$27+1,20,24,28,32,36,40),0)/100)),0)</f>
        <v/>
      </c>
      <c r="R2240" t="n">
        <v>0</v>
      </c>
      <c r="S2240">
        <f>IF(C2240,((H2240*B2263)/(1+Skills!H14*H2240*B2263)*N2240)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2240*(1-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2240*(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2240*(1-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2240*(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40">
        <f>IF(C2240,((H2240*B2263)/(1+Skills!H14*H2240*B2263)*N2240)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1">
      <c r="A2241">
        <f>Skills!A15</f>
        <v/>
      </c>
      <c r="B2241">
        <f>Skills!B15</f>
        <v/>
      </c>
      <c r="C2241">
        <f>Inputs!$B$3&gt;=107</f>
        <v/>
      </c>
      <c r="D2241">
        <f>IF(Skills!C15=1,60+Inputs!$B$25+Inputs!$B$29,IF(Skills!C15=2,90+Inputs!$B$26+Inputs!$B$29,IF(Skills!C15=3,120+Inputs!$B$27+Inputs!$B$29,MAX(0,(Inputs!$B$3-100)*3)+Inputs!$B$28+Inputs!$B$29)))</f>
        <v/>
      </c>
      <c r="E2241">
        <f>INDEX(FactorTable!$B$2:$Y$301, MATCH(ROUND(MIN(300,MAX(1,D2241)),0), FactorTable!$A$2:$A$301,0), Skills!M15+1)</f>
        <v/>
      </c>
      <c r="F2241">
        <f>IF(Skills!N15=TRUE,(Skills!L15/10)*(E2241/1000),Skills!L15/10)+Skills!O15</f>
        <v/>
      </c>
      <c r="G2241">
        <f>Calc!G15</f>
        <v/>
      </c>
      <c r="H2241">
        <f>Calc!H15</f>
        <v/>
      </c>
      <c r="I2241">
        <f>IF(Skills!X15&lt;&gt;"",1+(Skills!X15/10)*(Z2229/1000)/100,1)</f>
        <v/>
      </c>
      <c r="J2241">
        <f>((Inputs!$B$6*(1+Inputs!$B$7/100))+(((Inputs!$B$12*(1+Inputs!$B$13/100))-(Inputs!$B$12*(1+Inputs!$B$13/100)))+0.25*(Inputs!$B$14-Inputs!$B$14))*(1+Inputs!$B$7/100))*(F2241/100)</f>
        <v/>
      </c>
      <c r="K2241">
        <f>J2241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2241)</f>
        <v/>
      </c>
      <c r="L2241">
        <f>K2241*(MIN(Inputs!$B$22+(F2248-Calc!F22),(Inputs!$B$23+(IF(ArtifactsInput!$M$15,CHOOSE(ArtifactsInput!$N$15+1,25,30,35,40,45,50)/100*(Inputs!$B$11-Inputs!$B$11),0))))/100+(Inputs!$B$23+(IF(ArtifactsInput!$M$15,CHOOSE(ArtifactsInput!$N$15+1,25,30,35,40,45,50)/100*(Inputs!$B$11-Inputs!$B$11),0)))/100)/2</f>
        <v/>
      </c>
      <c r="M2241">
        <f>L2241*(1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41">
        <f>L2241*(1-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1">
        <f>(1-Summary!$B$11)*S2241+Summary!$B$11*U2241</f>
        <v/>
      </c>
      <c r="P2241">
        <f>IF(B2267=0,0,O2241/B2267)</f>
        <v/>
      </c>
      <c r="Q2241">
        <f>IFERROR(1/(IF(Inputs!$B$38="pvp",15,MAX(0.1,Skills!E15-IF(Skills!F15=TRUE,Inputs!$B$32,0)))*(1-IF(AND(ArtifactsInput!$M$27,Inputs!$B$4="Chapter Hunt"),CHOOSE(ArtifactsInput!$N$27+1,20,24,28,32,36,40),0)/100)),0)</f>
        <v/>
      </c>
      <c r="R2241">
        <f>IF(AND(Inputs!$B$38&lt;&gt;"pvp",Inputs!$B$43&gt;0),IF(MAX(0,Inputs!$B$43-B2264)&lt;=0,0,(INT(MAX(0,Inputs!$B$43-B2264)/(IF(Inputs!$B$38="pvp",15,MAX(0.1,Skills!E15-IF(Skills!F15=TRUE,Inputs!$B$32,0)))*(1-IF(AND(ArtifactsInput!$M$27,Inputs!$B$4="Chapter Hunt"),CHOOSE(ArtifactsInput!$N$27+1,20,24,28,32,36,40),0)/100)))+1)),0)</f>
        <v/>
      </c>
      <c r="S2241">
        <f>IF(C2241,(H2241*N2241*IF(AND(Inputs!$B$38&lt;&gt;"pvp",Inputs!$B$43&gt;0),((Skills!G15*((R2241-1)*IF(Skills!H15&gt;0,Skills!I15/Skills!H15,1)+IF(Skills!H15&gt;0,MIN(Skills!I15,MAX(0,MAX(0,Inputs!$B$43-B2264)-((R2241-1)*(IF(Inputs!$B$38="pvp",15,MAX(0.1,Skills!E15-IF(Skills!F15=TRUE,Inputs!$B$32,0)))*(1-IF(AND(ArtifactsInput!$M$27,Inputs!$B$4="Chapter Hunt"),CHOOSE(ArtifactsInput!$N$27+1,20,24,28,32,36,40),0)/100)))))/Skills!H15,1)))/Inputs!$B$43),G2241*Q2241)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2241*(1-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2241*(1-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41">
        <f>IF(C2241,(H2241*N2241*IF(AND(Inputs!$B$38&lt;&gt;"pvp",Inputs!$B$43&gt;0),((Skills!G15*((R2241-1)*IF(Skills!H15&gt;0,Skills!I15/Skills!H15,1)+IF(Skills!H15&gt;0,MIN(Skills!I15,MAX(0,MAX(0,Inputs!$B$43-B2264)-((R2241-1)*(IF(Inputs!$B$38="pvp",15,MAX(0.1,Skills!E15-IF(Skills!F15=TRUE,Inputs!$B$32,0)))*(1-IF(AND(ArtifactsInput!$M$27,Inputs!$B$4="Chapter Hunt"),CHOOSE(ArtifactsInput!$N$27+1,20,24,28,32,36,40),0)/100)))))/Skills!H15,1)))/Inputs!$B$43),G2241*Q2241)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2">
      <c r="A2242">
        <f>Skills!A16</f>
        <v/>
      </c>
      <c r="B2242">
        <f>Skills!B16</f>
        <v/>
      </c>
      <c r="C2242">
        <f>Inputs!$B$3&gt;=107</f>
        <v/>
      </c>
      <c r="D2242">
        <f>IF(Skills!C16=1,60+Inputs!$B$25+Inputs!$B$29,IF(Skills!C16=2,90+Inputs!$B$26+Inputs!$B$29,IF(Skills!C16=3,120+Inputs!$B$27+Inputs!$B$29,MAX(0,(Inputs!$B$3-100)*3)+Inputs!$B$28+Inputs!$B$29)))</f>
        <v/>
      </c>
      <c r="E2242">
        <f>INDEX(FactorTable!$B$2:$Y$301, MATCH(ROUND(MIN(300,MAX(1,D2242)),0), FactorTable!$A$2:$A$301,0), Skills!M16+1)</f>
        <v/>
      </c>
      <c r="F2242">
        <f>IF(Skills!N16=TRUE,(Skills!L16/10)*(E2242/1000),Skills!L16/10)+Skills!O16</f>
        <v/>
      </c>
      <c r="G2242">
        <f>Calc!G16</f>
        <v/>
      </c>
      <c r="H2242">
        <f>Calc!H16</f>
        <v/>
      </c>
      <c r="I2242">
        <f>IF(Skills!X16&lt;&gt;"",1+(Skills!X16/10)*(Z2229/1000)/100,1)</f>
        <v/>
      </c>
      <c r="J2242">
        <f>((Inputs!$B$6*(1+Inputs!$B$7/100))+(((Inputs!$B$12*(1+Inputs!$B$13/100))-(Inputs!$B$12*(1+Inputs!$B$13/100)))+0.25*(Inputs!$B$14-Inputs!$B$14))*(1+Inputs!$B$7/100))*(F2242/100)</f>
        <v/>
      </c>
      <c r="K2242">
        <f>J2242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2242)</f>
        <v/>
      </c>
      <c r="L2242">
        <f>K2242*(MIN(Inputs!$B$22+(F2248-Calc!F22),(Inputs!$B$23+(IF(ArtifactsInput!$M$15,CHOOSE(ArtifactsInput!$N$15+1,25,30,35,40,45,50)/100*(Inputs!$B$11-Inputs!$B$11),0))))/100+(Inputs!$B$23+(IF(ArtifactsInput!$M$15,CHOOSE(ArtifactsInput!$N$15+1,25,30,35,40,45,50)/100*(Inputs!$B$11-Inputs!$B$11),0)))/100)/2</f>
        <v/>
      </c>
      <c r="M2242">
        <f>L2242*(1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42">
        <f>L2242*(1-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2242*(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2">
        <f>(1-Summary!$B$11)*S2242+Summary!$B$11*U2242</f>
        <v/>
      </c>
      <c r="P2242">
        <f>IF(B2267=0,0,O2242/B2267)</f>
        <v/>
      </c>
      <c r="Q2242">
        <f>IFERROR(1/(IF(Inputs!$B$38="pvp",15,MAX(0.1,Skills!E16-IF(Skills!F16=TRUE,Inputs!$B$32,0)))*(1-IF(AND(ArtifactsInput!$M$27,Inputs!$B$4="Chapter Hunt"),CHOOSE(ArtifactsInput!$N$27+1,20,24,28,32,36,40),0)/100)),0)</f>
        <v/>
      </c>
      <c r="R2242">
        <f>IF(AND(Inputs!$B$38&lt;&gt;"pvp",Inputs!$B$43&gt;0),IF(MAX(0,Inputs!$B$43-B2264)&lt;=0,0,(INT(MAX(0,Inputs!$B$43-B2264)/(IF(Inputs!$B$38="pvp",15,MAX(0.1,Skills!E16-IF(Skills!F16=TRUE,Inputs!$B$32,0)))*(1-IF(AND(ArtifactsInput!$M$27,Inputs!$B$4="Chapter Hunt"),CHOOSE(ArtifactsInput!$N$27+1,20,24,28,32,36,40),0)/100)))+1)),0)</f>
        <v/>
      </c>
      <c r="S2242">
        <f>IF(C2242,(H2242*N2242*IF(AND(Inputs!$B$38&lt;&gt;"pvp",Inputs!$B$43&gt;0),((Skills!G16*((R2242-1)*IF(Skills!H16&gt;0,Skills!I16/Skills!H16,1)+IF(Skills!H16&gt;0,MIN(Skills!I16,MAX(0,MAX(0,Inputs!$B$43-B2264)-((R2242-1)*(IF(Inputs!$B$38="pvp",15,MAX(0.1,Skills!E16-IF(Skills!F16=TRUE,Inputs!$B$32,0)))*(1-IF(AND(ArtifactsInput!$M$27,Inputs!$B$4="Chapter Hunt"),CHOOSE(ArtifactsInput!$N$27+1,20,24,28,32,36,40),0)/100)))))/Skills!H16,1)))/Inputs!$B$43),G2242*Q2242)*(1+IF(Inputs!$B$3&gt;=126,0.05*(B2262+Q2239+(H2240*B2263)/(1+Skills!H14*H2240*B2263)+Q2250)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2242*(1-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2242*(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2242*(1-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2242*(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42">
        <f>IF(C2242,(H2242*N2242*IF(AND(Inputs!$B$38&lt;&gt;"pvp",Inputs!$B$43&gt;0),((Skills!G16*((R2242-1)*IF(Skills!H16&gt;0,Skills!I16/Skills!H16,1)+IF(Skills!H16&gt;0,MIN(Skills!I16,MAX(0,MAX(0,Inputs!$B$43-B2264)-((R2242-1)*(IF(Inputs!$B$38="pvp",15,MAX(0.1,Skills!E16-IF(Skills!F16=TRUE,Inputs!$B$32,0)))*(1-IF(AND(ArtifactsInput!$M$27,Inputs!$B$4="Chapter Hunt"),CHOOSE(ArtifactsInput!$N$27+1,20,24,28,32,36,40),0)/100)))))/Skills!H16,1)))/Inputs!$B$43),G2242*Q2242)*(1+IF(Inputs!$B$3&gt;=126,0.05*(B2262+Q2239+(H2240*B2263)/(1+Skills!H14*H2240*B2263)+Q2250)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3">
      <c r="A2243">
        <f>Skills!A17</f>
        <v/>
      </c>
      <c r="B2243">
        <f>Skills!B17</f>
        <v/>
      </c>
      <c r="C2243">
        <f>TRUE</f>
        <v/>
      </c>
      <c r="D2243">
        <f>IF(Skills!C17=1,60+Inputs!$B$25+Inputs!$B$29,IF(Skills!C17=2,90+Inputs!$B$26+Inputs!$B$29,IF(Skills!C17=3,120+Inputs!$B$27+Inputs!$B$29,MAX(0,(Inputs!$B$3-100)*3)+Inputs!$B$28+Inputs!$B$29)))</f>
        <v/>
      </c>
      <c r="E2243">
        <f>INDEX(FactorTable!$B$2:$Y$301, MATCH(ROUND(MIN(300,MAX(1,D2243)),0), FactorTable!$A$2:$A$301,0), Skills!M17+1)</f>
        <v/>
      </c>
      <c r="F2243">
        <f>IF(Skills!N17=TRUE,(Skills!L17/10)*(E2243/1000),Skills!L17/10)+Skills!O17</f>
        <v/>
      </c>
      <c r="G2243">
        <f>Calc!G17</f>
        <v/>
      </c>
      <c r="H2243">
        <f>Calc!H17</f>
        <v/>
      </c>
      <c r="I2243">
        <f>IF(Skills!X17&lt;&gt;"",1+(Skills!X17/10)*(Z2229/1000)/100,1)</f>
        <v/>
      </c>
      <c r="J2243" t="inlineStr"/>
      <c r="K2243" t="inlineStr"/>
      <c r="L2243" t="inlineStr"/>
      <c r="M2243" t="inlineStr"/>
      <c r="N2243" t="inlineStr"/>
      <c r="O2243">
        <f>(1-Summary!$B$11)*S2243+Summary!$B$11*U2243</f>
        <v/>
      </c>
      <c r="P2243">
        <f>IF(B2267=0,0,O2243/B2267)</f>
        <v/>
      </c>
      <c r="Q2243">
        <f>IFERROR(1/(IF(Inputs!$B$38="pvp",15,MAX(0.1,Skills!E17-IF(Skills!F17=TRUE,Inputs!$B$32,0)))*(1-IF(AND(ArtifactsInput!$M$27,Inputs!$B$4="Chapter Hunt"),CHOOSE(ArtifactsInput!$N$27+1,20,24,28,32,36,40),0)/100)),0)</f>
        <v/>
      </c>
      <c r="R2243">
        <f>IF(AND(Inputs!$B$38&lt;&gt;"pvp",Inputs!$B$43&gt;0),IF(Inputs!$B$43&lt;=0,0,(INT(Inputs!$B$43/(IF(Inputs!$B$38="pvp",15,MAX(0.1,Skills!E17-IF(Skills!F17=TRUE,Inputs!$B$32,0)))*(1-IF(AND(ArtifactsInput!$M$27,Inputs!$B$4="Chapter Hunt"),CHOOSE(ArtifactsInput!$N$27+1,20,24,28,32,36,40),0)/100)))+1)),0)</f>
        <v/>
      </c>
      <c r="S2243" t="n">
        <v>0</v>
      </c>
      <c r="U2243" t="n">
        <v>0</v>
      </c>
    </row>
    <row r="2244">
      <c r="A2244">
        <f>Skills!A18</f>
        <v/>
      </c>
      <c r="B2244">
        <f>Skills!B18</f>
        <v/>
      </c>
      <c r="C2244">
        <f>TRUE</f>
        <v/>
      </c>
      <c r="D2244">
        <f>IF(Skills!C18=1,60+Inputs!$B$25+Inputs!$B$29,IF(Skills!C18=2,90+Inputs!$B$26+Inputs!$B$29,IF(Skills!C18=3,120+Inputs!$B$27+Inputs!$B$29,MAX(0,(Inputs!$B$3-100)*3)+Inputs!$B$28+Inputs!$B$29)))</f>
        <v/>
      </c>
      <c r="E2244">
        <f>INDEX(FactorTable!$B$2:$Y$301, MATCH(ROUND(MIN(300,MAX(1,D2244)),0), FactorTable!$A$2:$A$301,0), Skills!M18+1)</f>
        <v/>
      </c>
      <c r="F2244">
        <f>IF(Skills!N18=TRUE,(Skills!L18/10)*(E2244/1000),Skills!L18/10)+Skills!O18</f>
        <v/>
      </c>
      <c r="G2244">
        <f>Calc!G18</f>
        <v/>
      </c>
      <c r="H2244">
        <f>Calc!H18</f>
        <v/>
      </c>
      <c r="I2244">
        <f>IF(Skills!X18&lt;&gt;"",1+(Skills!X18/10)*(Z2229/1000)/100,1)</f>
        <v/>
      </c>
      <c r="J2244" t="inlineStr"/>
      <c r="K2244" t="inlineStr"/>
      <c r="L2244" t="inlineStr"/>
      <c r="M2244" t="inlineStr"/>
      <c r="N2244" t="inlineStr"/>
      <c r="O2244">
        <f>(1-Summary!$B$11)*S2244+Summary!$B$11*U2244</f>
        <v/>
      </c>
      <c r="P2244">
        <f>IF(B2267=0,0,O2244/B2267)</f>
        <v/>
      </c>
      <c r="Q2244">
        <f>IFERROR(1/(IF(Inputs!$B$38="pvp",15,MAX(0.1,Skills!E18-IF(Skills!F18=TRUE,Inputs!$B$32,0)))*(1-IF(AND(ArtifactsInput!$M$27,Inputs!$B$4="Chapter Hunt"),CHOOSE(ArtifactsInput!$N$27+1,20,24,28,32,36,40),0)/100)),0)</f>
        <v/>
      </c>
      <c r="R2244">
        <f>IF(AND(Inputs!$B$38&lt;&gt;"pvp",Inputs!$B$43&gt;0),IF(Inputs!$B$43&lt;=0,0,(INT(Inputs!$B$43/(IF(Inputs!$B$38="pvp",15,MAX(0.1,Skills!E18-IF(Skills!F18=TRUE,Inputs!$B$32,0)))*(1-IF(AND(ArtifactsInput!$M$27,Inputs!$B$4="Chapter Hunt"),CHOOSE(ArtifactsInput!$N$27+1,20,24,28,32,36,40),0)/100)))+1)),0)</f>
        <v/>
      </c>
      <c r="S2244" t="n">
        <v>0</v>
      </c>
      <c r="U2244" t="n">
        <v>0</v>
      </c>
    </row>
    <row r="2245">
      <c r="A2245">
        <f>Skills!A19</f>
        <v/>
      </c>
      <c r="B2245">
        <f>Skills!B19</f>
        <v/>
      </c>
      <c r="C2245">
        <f>Inputs!$B$3&gt;=110</f>
        <v/>
      </c>
      <c r="D2245">
        <f>IF(Skills!C19=1,60+Inputs!$B$25+Inputs!$B$29,IF(Skills!C19=2,90+Inputs!$B$26+Inputs!$B$29,IF(Skills!C19=3,120+Inputs!$B$27+Inputs!$B$29,MAX(0,(Inputs!$B$3-100)*3)+Inputs!$B$28+Inputs!$B$29)))</f>
        <v/>
      </c>
      <c r="E2245">
        <f>INDEX(FactorTable!$B$2:$Y$301, MATCH(ROUND(MIN(300,MAX(1,D2245)),0), FactorTable!$A$2:$A$301,0), Skills!M19+1)</f>
        <v/>
      </c>
      <c r="F2245">
        <f>IF(Skills!N19=TRUE,(Skills!L19/10)*(E2245/1000),Skills!L19/10)+Skills!O19</f>
        <v/>
      </c>
      <c r="G2245">
        <f>Calc!G19</f>
        <v/>
      </c>
      <c r="H2245">
        <f>Calc!H19</f>
        <v/>
      </c>
      <c r="I2245">
        <f>IF(Skills!X19&lt;&gt;"",1+(Skills!X19/10)*(Z2229/1000)/100,1)</f>
        <v/>
      </c>
      <c r="J2245" t="inlineStr"/>
      <c r="K2245" t="inlineStr"/>
      <c r="L2245" t="inlineStr"/>
      <c r="M2245" t="inlineStr"/>
      <c r="N2245" t="inlineStr"/>
      <c r="O2245">
        <f>(1-Summary!$B$11)*S2245+Summary!$B$11*U2245</f>
        <v/>
      </c>
      <c r="P2245">
        <f>IF(B2267=0,0,O2245/B2267)</f>
        <v/>
      </c>
      <c r="Q2245">
        <f>IFERROR(1/(IF(Inputs!$B$38="pvp",15,MAX(0.1,Skills!E19-IF(Skills!F19=TRUE,Inputs!$B$32,0)))*(1-IF(AND(ArtifactsInput!$M$27,Inputs!$B$4="Chapter Hunt"),CHOOSE(ArtifactsInput!$N$27+1,20,24,28,32,36,40),0)/100)),0)</f>
        <v/>
      </c>
      <c r="R2245">
        <f>IF(AND(Inputs!$B$38&lt;&gt;"pvp",Inputs!$B$43&gt;0),IF(Inputs!$B$43&lt;=0,0,(INT(Inputs!$B$43/(IF(Inputs!$B$38="pvp",15,MAX(0.1,Skills!E19-IF(Skills!F19=TRUE,Inputs!$B$32,0)))*(1-IF(AND(ArtifactsInput!$M$27,Inputs!$B$4="Chapter Hunt"),CHOOSE(ArtifactsInput!$N$27+1,20,24,28,32,36,40),0)/100)))+1)),0)</f>
        <v/>
      </c>
      <c r="S2245" t="n">
        <v>0</v>
      </c>
      <c r="U2245" t="n">
        <v>0</v>
      </c>
    </row>
    <row r="2246">
      <c r="A2246">
        <f>Skills!A20</f>
        <v/>
      </c>
      <c r="B2246">
        <f>Skills!B20</f>
        <v/>
      </c>
      <c r="C2246">
        <f>TRUE</f>
        <v/>
      </c>
      <c r="D2246">
        <f>IF(Skills!C20=1,60+Inputs!$B$25+Inputs!$B$29,IF(Skills!C20=2,90+Inputs!$B$26+Inputs!$B$29,IF(Skills!C20=3,120+Inputs!$B$27+Inputs!$B$29,MAX(0,(Inputs!$B$3-100)*3)+Inputs!$B$28+Inputs!$B$29)))</f>
        <v/>
      </c>
      <c r="E2246">
        <f>INDEX(FactorTable!$B$2:$Y$301, MATCH(ROUND(MIN(300,MAX(1,D2246)),0), FactorTable!$A$2:$A$301,0), Skills!M20+1)</f>
        <v/>
      </c>
      <c r="F2246">
        <f>IF(Skills!N20=TRUE,(Skills!L20/10)*(E2246/1000),Skills!L20/10)+Skills!O20</f>
        <v/>
      </c>
      <c r="G2246">
        <f>Calc!G20</f>
        <v/>
      </c>
      <c r="H2246">
        <f>Calc!H20</f>
        <v/>
      </c>
      <c r="I2246">
        <f>IF(Skills!X20&lt;&gt;"",1+(Skills!X20/10)*(Z2229/1000)/100,1)</f>
        <v/>
      </c>
      <c r="J2246" t="inlineStr"/>
      <c r="K2246" t="inlineStr"/>
      <c r="L2246" t="inlineStr"/>
      <c r="M2246" t="inlineStr"/>
      <c r="N2246" t="inlineStr"/>
      <c r="O2246">
        <f>(1-Summary!$B$11)*S2246+Summary!$B$11*U2246</f>
        <v/>
      </c>
      <c r="P2246">
        <f>IF(B2267=0,0,O2246/B2267)</f>
        <v/>
      </c>
      <c r="Q2246">
        <f>IFERROR(1/(IF(Inputs!$B$38="pvp",15,MAX(0.1,Skills!E20-IF(Skills!F20=TRUE,Inputs!$B$32,0)))*(1-IF(AND(ArtifactsInput!$M$27,Inputs!$B$4="Chapter Hunt"),CHOOSE(ArtifactsInput!$N$27+1,20,24,28,32,36,40),0)/100)),0)</f>
        <v/>
      </c>
      <c r="R2246" t="n">
        <v>0</v>
      </c>
      <c r="S2246" t="n">
        <v>0</v>
      </c>
      <c r="U2246" t="n">
        <v>0</v>
      </c>
    </row>
    <row r="2247">
      <c r="A2247">
        <f>Skills!A21</f>
        <v/>
      </c>
      <c r="B2247">
        <f>Skills!B21</f>
        <v/>
      </c>
      <c r="C2247">
        <f>TRUE</f>
        <v/>
      </c>
      <c r="D2247">
        <f>IF(Skills!C21=1,60+Inputs!$B$25+Inputs!$B$29,IF(Skills!C21=2,90+Inputs!$B$26+Inputs!$B$29,IF(Skills!C21=3,120+Inputs!$B$27+Inputs!$B$29,MAX(0,(Inputs!$B$3-100)*3)+Inputs!$B$28+Inputs!$B$29)))</f>
        <v/>
      </c>
      <c r="E2247">
        <f>INDEX(FactorTable!$B$2:$Y$301, MATCH(ROUND(MIN(300,MAX(1,D2247)),0), FactorTable!$A$2:$A$301,0), Skills!M21+1)</f>
        <v/>
      </c>
      <c r="F2247">
        <f>IF(Skills!N21=TRUE,(Skills!L21/10)*(E2247/1000),Skills!L21/10)+Skills!O21</f>
        <v/>
      </c>
      <c r="G2247">
        <f>Calc!G21</f>
        <v/>
      </c>
      <c r="H2247">
        <f>Calc!H21</f>
        <v/>
      </c>
      <c r="I2247">
        <f>IF(Skills!X21&lt;&gt;"",1+(Skills!X21/10)*(Z2229/1000)/100,1)</f>
        <v/>
      </c>
      <c r="J2247" t="inlineStr"/>
      <c r="K2247" t="inlineStr"/>
      <c r="L2247" t="inlineStr"/>
      <c r="M2247" t="inlineStr"/>
      <c r="N2247" t="inlineStr"/>
      <c r="O2247">
        <f>(1-Summary!$B$11)*S2247+Summary!$B$11*U2247</f>
        <v/>
      </c>
      <c r="P2247">
        <f>IF(B2267=0,0,O2247/B2267)</f>
        <v/>
      </c>
      <c r="Q2247">
        <f>IFERROR(1/(IF(Inputs!$B$38="pvp",15,MAX(0.1,Skills!E21-IF(Skills!F21=TRUE,Inputs!$B$32,0)))*(1-IF(AND(ArtifactsInput!$M$27,Inputs!$B$4="Chapter Hunt"),CHOOSE(ArtifactsInput!$N$27+1,20,24,28,32,36,40),0)/100)),0)</f>
        <v/>
      </c>
      <c r="R2247" t="n">
        <v>0</v>
      </c>
      <c r="S2247" t="n">
        <v>0</v>
      </c>
      <c r="U2247" t="n">
        <v>0</v>
      </c>
    </row>
    <row r="2248">
      <c r="A2248">
        <f>Skills!A22</f>
        <v/>
      </c>
      <c r="B2248">
        <f>Skills!B22</f>
        <v/>
      </c>
      <c r="C2248">
        <f>TRUE</f>
        <v/>
      </c>
      <c r="D2248">
        <f>IF(Skills!C22=1,60+Inputs!$B$25+Inputs!$B$29,IF(Skills!C22=2,90+Inputs!$B$26+Inputs!$B$29,IF(Skills!C22=3,120+Inputs!$B$27+Inputs!$B$29,MAX(0,(Inputs!$B$3-100)*3)+Inputs!$B$28+Inputs!$B$29)))</f>
        <v/>
      </c>
      <c r="E2248">
        <f>INDEX(FactorTable!$B$2:$Y$301, MATCH(ROUND(MIN(300,MAX(1,D2248)),0), FactorTable!$A$2:$A$301,0), Skills!M22+1)</f>
        <v/>
      </c>
      <c r="F2248">
        <f>IF(Skills!N22=TRUE,(Skills!L22/10)*(E2248/1000),Skills!L22/10)+Skills!O22</f>
        <v/>
      </c>
      <c r="G2248">
        <f>Calc!G22</f>
        <v/>
      </c>
      <c r="H2248">
        <f>Calc!H22</f>
        <v/>
      </c>
      <c r="I2248">
        <f>IF(Skills!X22&lt;&gt;"",1+(Skills!X22/10)*(Z2229/1000)/100,1)</f>
        <v/>
      </c>
      <c r="J2248" t="inlineStr"/>
      <c r="K2248" t="inlineStr"/>
      <c r="L2248" t="inlineStr"/>
      <c r="M2248" t="inlineStr"/>
      <c r="N2248" t="inlineStr"/>
      <c r="O2248">
        <f>(1-Summary!$B$11)*S2248+Summary!$B$11*U2248</f>
        <v/>
      </c>
      <c r="P2248">
        <f>IF(B2267=0,0,O2248/B2267)</f>
        <v/>
      </c>
      <c r="Q2248">
        <f>IFERROR(1/(IF(Inputs!$B$38="pvp",15,MAX(0.1,Skills!E22-IF(Skills!F22=TRUE,Inputs!$B$32,0)))*(1-IF(AND(ArtifactsInput!$M$27,Inputs!$B$4="Chapter Hunt"),CHOOSE(ArtifactsInput!$N$27+1,20,24,28,32,36,40),0)/100)),0)</f>
        <v/>
      </c>
      <c r="R2248" t="n">
        <v>0</v>
      </c>
      <c r="S2248" t="n">
        <v>0</v>
      </c>
      <c r="U2248" t="n">
        <v>0</v>
      </c>
    </row>
    <row r="2249">
      <c r="A2249">
        <f>Skills!A23</f>
        <v/>
      </c>
      <c r="B2249">
        <f>Skills!B23</f>
        <v/>
      </c>
      <c r="C2249">
        <f>TRUE</f>
        <v/>
      </c>
      <c r="D2249">
        <f>IF(Skills!C23=1,60+Inputs!$B$25+Inputs!$B$29,IF(Skills!C23=2,90+Inputs!$B$26+Inputs!$B$29,IF(Skills!C23=3,120+Inputs!$B$27+Inputs!$B$29,MAX(0,(Inputs!$B$3-100)*3)+Inputs!$B$28+Inputs!$B$29)))</f>
        <v/>
      </c>
      <c r="E2249">
        <f>INDEX(FactorTable!$B$2:$Y$301, MATCH(ROUND(MIN(300,MAX(1,D2249)),0), FactorTable!$A$2:$A$301,0), Skills!M23+1)</f>
        <v/>
      </c>
      <c r="F2249">
        <f>IF(Skills!N23=TRUE,(Skills!L23/10)*(E2249/1000),Skills!L23/10)+Skills!O23</f>
        <v/>
      </c>
      <c r="G2249">
        <f>Calc!G23</f>
        <v/>
      </c>
      <c r="H2249">
        <f>Calc!H23</f>
        <v/>
      </c>
      <c r="I2249">
        <f>IF(Skills!X23&lt;&gt;"",1+(Skills!X23/10)*(Z2229/1000)/100,1)</f>
        <v/>
      </c>
      <c r="J2249" t="inlineStr"/>
      <c r="K2249" t="inlineStr"/>
      <c r="L2249" t="inlineStr"/>
      <c r="M2249" t="inlineStr"/>
      <c r="N2249" t="inlineStr"/>
      <c r="O2249">
        <f>(1-Summary!$B$11)*S2249+Summary!$B$11*U2249</f>
        <v/>
      </c>
      <c r="P2249">
        <f>IF(B2267=0,0,O2249/B2267)</f>
        <v/>
      </c>
      <c r="Q2249">
        <f>IFERROR(1/(IF(Inputs!$B$38="pvp",15,MAX(0.1,Skills!E23-IF(Skills!F23=TRUE,Inputs!$B$32,0)))*(1-IF(AND(ArtifactsInput!$M$27,Inputs!$B$4="Chapter Hunt"),CHOOSE(ArtifactsInput!$N$27+1,20,24,28,32,36,40),0)/100)),0)</f>
        <v/>
      </c>
      <c r="R2249" t="n">
        <v>0</v>
      </c>
      <c r="S2249" t="n">
        <v>0</v>
      </c>
      <c r="U2249" t="n">
        <v>0</v>
      </c>
    </row>
    <row r="2250">
      <c r="A2250">
        <f>Skills!A24</f>
        <v/>
      </c>
      <c r="B2250">
        <f>Skills!B24</f>
        <v/>
      </c>
      <c r="C2250">
        <f>Inputs!$B$3&gt;=115</f>
        <v/>
      </c>
      <c r="D2250">
        <f>IF(Skills!C24=1,60+Inputs!$B$25+Inputs!$B$29,IF(Skills!C24=2,90+Inputs!$B$26+Inputs!$B$29,IF(Skills!C24=3,120+Inputs!$B$27+Inputs!$B$29,MAX(0,(Inputs!$B$3-100)*3)+Inputs!$B$28+Inputs!$B$29)))</f>
        <v/>
      </c>
      <c r="E2250">
        <f>INDEX(FactorTable!$B$2:$Y$301, MATCH(ROUND(MIN(300,MAX(1,D2250)),0), FactorTable!$A$2:$A$301,0), Skills!M24+1)</f>
        <v/>
      </c>
      <c r="F2250">
        <f>IF(Skills!N24=TRUE,(Skills!L24/10)*(E2250/1000),Skills!L24/10)+Skills!O24</f>
        <v/>
      </c>
      <c r="G2250">
        <f>Calc!G24</f>
        <v/>
      </c>
      <c r="H2250">
        <f>Calc!H24</f>
        <v/>
      </c>
      <c r="I2250">
        <f>IF(Skills!X24&lt;&gt;"",1+(Skills!X24/10)*(Z2229/1000)/100,1)</f>
        <v/>
      </c>
      <c r="J2250">
        <f>((Inputs!$B$6*(1+Inputs!$B$7/100))+(((Inputs!$B$12*(1+Inputs!$B$13/100))-(Inputs!$B$12*(1+Inputs!$B$13/100)))+0.25*(Inputs!$B$14-Inputs!$B$14))*(1+Inputs!$B$7/100))*(F2250/100)</f>
        <v/>
      </c>
      <c r="K2250">
        <f>J2250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2250)</f>
        <v/>
      </c>
      <c r="L2250">
        <f>K2250*(MIN(Inputs!$B$22+(F2248-Calc!F22),(Inputs!$B$23+(IF(ArtifactsInput!$M$15,CHOOSE(ArtifactsInput!$N$15+1,25,30,35,40,45,50)/100*(Inputs!$B$11-Inputs!$B$11),0))))/100+(Inputs!$B$23+(IF(ArtifactsInput!$M$15,CHOOSE(ArtifactsInput!$N$15+1,25,30,35,40,45,50)/100*(Inputs!$B$11-Inputs!$B$11),0)))/100)/2</f>
        <v/>
      </c>
      <c r="M2250">
        <f>L2250*(1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50">
        <f>L2250*(1-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2250*(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0">
        <f>(1-Summary!$B$11)*S2250+Summary!$B$11*U2250</f>
        <v/>
      </c>
      <c r="P2250">
        <f>IF(B2267=0,0,O2250/B2267)</f>
        <v/>
      </c>
      <c r="Q2250">
        <f>IFERROR(1/(IF(Inputs!$B$38="pvp",15,MAX(0.1,Skills!E24-IF(Skills!F24=TRUE,Inputs!$B$32,0)))*(1-IF(AND(ArtifactsInput!$M$27,Inputs!$B$4="Chapter Hunt"),CHOOSE(ArtifactsInput!$N$27+1,20,24,28,32,36,40),0)/100)),0)</f>
        <v/>
      </c>
      <c r="R2250">
        <f>IF(AND(Inputs!$B$38&lt;&gt;"pvp",Inputs!$B$43&gt;0),IF(MAX(0,Inputs!$B$43-B2264)&lt;=0,0,(INT(MAX(0,Inputs!$B$43-B2264)/(IF(Inputs!$B$38="pvp",15,MAX(0.1,Skills!E24-IF(Skills!F24=TRUE,Inputs!$B$32,0)))*(1-IF(AND(ArtifactsInput!$M$27,Inputs!$B$4="Chapter Hunt"),CHOOSE(ArtifactsInput!$N$27+1,20,24,28,32,36,40),0)/100)))+1)),0)</f>
        <v/>
      </c>
      <c r="S2250">
        <f>IF(C2250,(H2250*N2250*IF(AND(Inputs!$B$38&lt;&gt;"pvp",Inputs!$B$43&gt;0),((Skills!G24*((R2250-1)*IF(Skills!H24&gt;0,Skills!I24/Skills!H24,1)+IF(Skills!H24&gt;0,MIN(Skills!I24,MAX(0,MAX(0,Inputs!$B$43-B2264)-((R2250-1)*(IF(Inputs!$B$38="pvp",15,MAX(0.1,Skills!E24-IF(Skills!F24=TRUE,Inputs!$B$32,0)))*(1-IF(AND(ArtifactsInput!$M$27,Inputs!$B$4="Chapter Hunt"),CHOOSE(ArtifactsInput!$N$27+1,20,24,28,32,36,40),0)/100)))))/Skills!H24,1)))/Inputs!$B$43),G2250*Q2250)*(1+IF(Inputs!$B$3&gt;=130,0.2*(Skills!I16/Skills!E15+IF(Inputs!$B$3&gt;=126,0.05*(B2262+Q2239+(H2240*B2263)/(1+Skills!H14*H2240*B2263)+Q2250)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2250*(1-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2250*(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2250*(1-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2250*(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0">
        <f>IF(C2250,(H2250*N2250*IF(AND(Inputs!$B$38&lt;&gt;"pvp",Inputs!$B$43&gt;0),((Skills!G24*((R2250-1)*IF(Skills!H24&gt;0,Skills!I24/Skills!H24,1)+IF(Skills!H24&gt;0,MIN(Skills!I24,MAX(0,MAX(0,Inputs!$B$43-B2264)-((R2250-1)*(IF(Inputs!$B$38="pvp",15,MAX(0.1,Skills!E24-IF(Skills!F24=TRUE,Inputs!$B$32,0)))*(1-IF(AND(ArtifactsInput!$M$27,Inputs!$B$4="Chapter Hunt"),CHOOSE(ArtifactsInput!$N$27+1,20,24,28,32,36,40),0)/100)))))/Skills!H24,1)))/Inputs!$B$43),G2250*Q2250)*(1+IF(Inputs!$B$3&gt;=130,0.2*(Skills!I16/Skills!E15+IF(Inputs!$B$3&gt;=126,0.05*(B2262+Q2239+(H2240*B2263)/(1+Skills!H14*H2240*B2263)+Q2250)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1">
      <c r="A2251">
        <f>Skills!A25</f>
        <v/>
      </c>
      <c r="B2251">
        <f>Skills!B25</f>
        <v/>
      </c>
      <c r="C2251">
        <f>Inputs!$B$3&gt;=117</f>
        <v/>
      </c>
      <c r="D2251">
        <f>IF(Skills!C25=1,60+Inputs!$B$25+Inputs!$B$29,IF(Skills!C25=2,90+Inputs!$B$26+Inputs!$B$29,IF(Skills!C25=3,120+Inputs!$B$27+Inputs!$B$29,MAX(0,(Inputs!$B$3-100)*3)+Inputs!$B$28+Inputs!$B$29)))</f>
        <v/>
      </c>
      <c r="E2251">
        <f>INDEX(FactorTable!$B$2:$Y$301, MATCH(ROUND(MIN(300,MAX(1,D2251)),0), FactorTable!$A$2:$A$301,0), Skills!M25+1)</f>
        <v/>
      </c>
      <c r="F2251">
        <f>IF(Skills!N25=TRUE,(Skills!L25/10)*(E2251/1000),Skills!L25/10)+Skills!O25</f>
        <v/>
      </c>
      <c r="G2251">
        <f>Calc!G25</f>
        <v/>
      </c>
      <c r="H2251">
        <f>Calc!H25</f>
        <v/>
      </c>
      <c r="I2251">
        <f>IF(Skills!X25&lt;&gt;"",1+(Skills!X25/10)*(Z2229/1000)/100,1)</f>
        <v/>
      </c>
      <c r="J2251" t="inlineStr"/>
      <c r="K2251" t="inlineStr"/>
      <c r="L2251" t="inlineStr"/>
      <c r="M2251" t="inlineStr"/>
      <c r="N2251" t="inlineStr"/>
      <c r="O2251">
        <f>(1-Summary!$B$11)*S2251+Summary!$B$11*U2251</f>
        <v/>
      </c>
      <c r="P2251">
        <f>IF(B2267=0,0,O2251/B2267)</f>
        <v/>
      </c>
      <c r="Q2251">
        <f>IFERROR(1/(IF(Inputs!$B$38="pvp",15,MAX(0.1,Skills!E25-IF(Skills!F25=TRUE,Inputs!$B$32,0)))*(1-IF(AND(ArtifactsInput!$M$27,Inputs!$B$4="Chapter Hunt"),CHOOSE(ArtifactsInput!$N$27+1,20,24,28,32,36,40),0)/100)),0)</f>
        <v/>
      </c>
      <c r="R2251" t="n">
        <v>0</v>
      </c>
      <c r="S2251" t="n">
        <v>0</v>
      </c>
      <c r="U2251" t="n">
        <v>0</v>
      </c>
    </row>
    <row r="2252">
      <c r="A2252">
        <f>Skills!A26</f>
        <v/>
      </c>
      <c r="B2252">
        <f>Skills!B26</f>
        <v/>
      </c>
      <c r="C2252">
        <f>Inputs!$B$3&gt;=120</f>
        <v/>
      </c>
      <c r="D2252">
        <f>IF(Skills!C26=1,60+Inputs!$B$25+Inputs!$B$29,IF(Skills!C26=2,90+Inputs!$B$26+Inputs!$B$29,IF(Skills!C26=3,120+Inputs!$B$27+Inputs!$B$29,MAX(0,(Inputs!$B$3-100)*3)+Inputs!$B$28+Inputs!$B$29)))</f>
        <v/>
      </c>
      <c r="E2252">
        <f>INDEX(FactorTable!$B$2:$Y$301, MATCH(ROUND(MIN(300,MAX(1,D2252)),0), FactorTable!$A$2:$A$301,0), Skills!M26+1)</f>
        <v/>
      </c>
      <c r="F2252">
        <f>IF(Skills!N26=TRUE,(Skills!L26/10)*(E2252/1000),Skills!L26/10)+Skills!O26</f>
        <v/>
      </c>
      <c r="G2252">
        <f>Calc!G26</f>
        <v/>
      </c>
      <c r="H2252">
        <f>Calc!H26</f>
        <v/>
      </c>
      <c r="I2252">
        <f>IF(Skills!X26&lt;&gt;"",1+(Skills!X26/10)*(Z2229/1000)/100,1)</f>
        <v/>
      </c>
      <c r="J2252" t="inlineStr"/>
      <c r="K2252" t="inlineStr"/>
      <c r="L2252" t="inlineStr"/>
      <c r="M2252" t="inlineStr"/>
      <c r="N2252" t="inlineStr"/>
      <c r="O2252">
        <f>(1-Summary!$B$11)*S2252+Summary!$B$11*U2252</f>
        <v/>
      </c>
      <c r="P2252">
        <f>IF(B2267=0,0,O2252/B2267)</f>
        <v/>
      </c>
      <c r="Q2252">
        <f>IFERROR(1/(IF(Inputs!$B$38="pvp",15,MAX(0.1,Skills!E26-IF(Skills!F26=TRUE,Inputs!$B$32,0)))*(1-IF(AND(ArtifactsInput!$M$27,Inputs!$B$4="Chapter Hunt"),CHOOSE(ArtifactsInput!$N$27+1,20,24,28,32,36,40),0)/100)),0)</f>
        <v/>
      </c>
      <c r="R2252" t="n">
        <v>0</v>
      </c>
      <c r="S2252" t="n">
        <v>0</v>
      </c>
      <c r="U2252" t="n">
        <v>0</v>
      </c>
    </row>
    <row r="2253">
      <c r="A2253">
        <f>Skills!A27</f>
        <v/>
      </c>
      <c r="B2253">
        <f>Skills!B27</f>
        <v/>
      </c>
      <c r="C2253">
        <f>Inputs!$B$3&gt;=125</f>
        <v/>
      </c>
      <c r="D2253">
        <f>IF(Skills!C27=1,60+Inputs!$B$25+Inputs!$B$29,IF(Skills!C27=2,90+Inputs!$B$26+Inputs!$B$29,IF(Skills!C27=3,120+Inputs!$B$27+Inputs!$B$29,MAX(0,(Inputs!$B$3-100)*3)+Inputs!$B$28+Inputs!$B$29)))</f>
        <v/>
      </c>
      <c r="E2253">
        <f>INDEX(FactorTable!$B$2:$Y$301, MATCH(ROUND(MIN(300,MAX(1,D2253)),0), FactorTable!$A$2:$A$301,0), Skills!M27+1)</f>
        <v/>
      </c>
      <c r="F2253">
        <f>IF(Skills!N27=TRUE,(Skills!L27/10)*(E2253/1000),Skills!L27/10)+Skills!O27</f>
        <v/>
      </c>
      <c r="G2253">
        <f>Calc!G27</f>
        <v/>
      </c>
      <c r="H2253">
        <f>Calc!H27</f>
        <v/>
      </c>
      <c r="I2253">
        <f>IF(Skills!X27&lt;&gt;"",1+(Skills!X27/10)*(Z2229/1000)/100,1)</f>
        <v/>
      </c>
      <c r="J2253" t="inlineStr"/>
      <c r="K2253" t="inlineStr"/>
      <c r="L2253" t="inlineStr"/>
      <c r="M2253" t="inlineStr"/>
      <c r="N2253" t="inlineStr"/>
      <c r="O2253">
        <f>(1-Summary!$B$11)*S2253+Summary!$B$11*U2253</f>
        <v/>
      </c>
      <c r="P2253">
        <f>IF(B2267=0,0,O2253/B2267)</f>
        <v/>
      </c>
      <c r="Q2253">
        <f>IFERROR(1/(IF(Inputs!$B$38="pvp",15,MAX(0.1,Skills!E27-IF(Skills!F27=TRUE,Inputs!$B$32,0)))*(1-IF(AND(ArtifactsInput!$M$27,Inputs!$B$4="Chapter Hunt"),CHOOSE(ArtifactsInput!$N$27+1,20,24,28,32,36,40),0)/100)),0)</f>
        <v/>
      </c>
      <c r="R2253" t="n">
        <v>0</v>
      </c>
      <c r="S2253" t="n">
        <v>0</v>
      </c>
      <c r="U2253" t="n">
        <v>0</v>
      </c>
    </row>
    <row r="2254">
      <c r="A2254">
        <f>Skills!A28</f>
        <v/>
      </c>
      <c r="B2254">
        <f>Skills!B28</f>
        <v/>
      </c>
      <c r="C2254">
        <f>Inputs!$B$3&gt;=118</f>
        <v/>
      </c>
      <c r="D2254">
        <f>IF(Skills!C28=1,60+Inputs!$B$25+Inputs!$B$29,IF(Skills!C28=2,90+Inputs!$B$26+Inputs!$B$29,IF(Skills!C28=3,120+Inputs!$B$27+Inputs!$B$29,MAX(0,(Inputs!$B$3-100)*3)+Inputs!$B$28+Inputs!$B$29)))</f>
        <v/>
      </c>
      <c r="E2254">
        <f>INDEX(FactorTable!$B$2:$Y$301, MATCH(ROUND(MIN(300,MAX(1,D2254)),0), FactorTable!$A$2:$A$301,0), Skills!M28+1)</f>
        <v/>
      </c>
      <c r="F2254">
        <f>IF(Skills!N28=TRUE,(Skills!L28/10)*(E2254/1000),Skills!L28/10)+Skills!O28</f>
        <v/>
      </c>
      <c r="G2254">
        <f>Calc!G28</f>
        <v/>
      </c>
      <c r="H2254">
        <f>Calc!H28</f>
        <v/>
      </c>
      <c r="I2254">
        <f>IF(Skills!X28&lt;&gt;"",1+(Skills!X28/10)*(Z2229/1000)/100,1)</f>
        <v/>
      </c>
      <c r="J2254">
        <f>((Inputs!$B$6*(1+Inputs!$B$7/100))+(((Inputs!$B$12*(1+Inputs!$B$13/100))-(Inputs!$B$12*(1+Inputs!$B$13/100)))+0.25*(Inputs!$B$14-Inputs!$B$14))*(1+Inputs!$B$7/100))*(F2254/100)</f>
        <v/>
      </c>
      <c r="K2254">
        <f>J2254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2249/100)*(1+IF(Inputs!$B$3&gt;=120,F2252,0)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2253*5,0)))/100)*(B2256*B2257*B2258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2254)</f>
        <v/>
      </c>
      <c r="L2254">
        <f>K2254*(MIN(Inputs!$B$22+(F2248-Calc!F22),(Inputs!$B$23+(IF(ArtifactsInput!$M$15,CHOOSE(ArtifactsInput!$N$15+1,25,30,35,40,45,50)/100*(Inputs!$B$11-Inputs!$B$11),0))))/100+(Inputs!$B$23+(IF(ArtifactsInput!$M$15,CHOOSE(ArtifactsInput!$N$15+1,25,30,35,40,45,50)/100*(Inputs!$B$11-Inputs!$B$11),0)))/100)/2</f>
        <v/>
      </c>
      <c r="M2254">
        <f>L2254*(1+(Inputs!$B$10+(F2247-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254">
        <f>L2254*(1-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2254*(MIN((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4">
        <f>(1-Summary!$B$11)*S2254+Summary!$B$11*U2254</f>
        <v/>
      </c>
      <c r="P2254">
        <f>IF(B2267=0,0,O2254/B2267)</f>
        <v/>
      </c>
      <c r="Q2254">
        <f>IFERROR(1/(IF(Inputs!$B$38="pvp",15,MAX(0.1,Skills!E28-IF(Skills!F28=TRUE,Inputs!$B$32,0)))*(1-IF(AND(ArtifactsInput!$M$27,Inputs!$B$4="Chapter Hunt"),CHOOSE(ArtifactsInput!$N$27+1,20,24,28,32,36,40),0)/100)),0)</f>
        <v/>
      </c>
      <c r="R2254">
        <f>IF(AND(Inputs!$B$38&lt;&gt;"pvp",Inputs!$B$43&gt;0),IF(MAX(0,Inputs!$B$43-B2264)&lt;=0,0,(INT(MAX(0,Inputs!$B$43-B2264)/(IF(Inputs!$B$38="pvp",15,MAX(0.1,Skills!E28-IF(Skills!F28=TRUE,Inputs!$B$32,0)))*(1-IF(AND(ArtifactsInput!$M$27,Inputs!$B$4="Chapter Hunt"),CHOOSE(ArtifactsInput!$N$27+1,20,24,28,32,36,40),0)/100)))+1)),0)</f>
        <v/>
      </c>
      <c r="S2254">
        <f>IF(C2254,(H2254*N2254*IF(AND(Inputs!$B$38&lt;&gt;"pvp",Inputs!$B$43&gt;0),((Skills!G28*((R2254-1)*IF(Skills!H28&gt;0,Skills!I28/Skills!H28,1)+IF(Skills!H28&gt;0,MIN(Skills!I28,MAX(0,MAX(0,Inputs!$B$43-B2264)-((R2254-1)*(IF(Inputs!$B$38="pvp",15,MAX(0.1,Skills!E28-IF(Skills!F28=TRUE,Inputs!$B$32,0)))*(1-IF(AND(ArtifactsInput!$M$27,Inputs!$B$4="Chapter Hunt"),CHOOSE(ArtifactsInput!$N$27+1,20,24,28,32,36,40),0)/100)))))/Skills!H28,1)))/Inputs!$B$43),G2254*Q2254)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2254*(1-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2254*(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2254*(1-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2254*(MIN(100,(Inputs!$B$9+(F2246-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4">
        <f>IF(C2254,(H2254*N2254*IF(AND(Inputs!$B$38&lt;&gt;"pvp",Inputs!$B$43&gt;0),((Skills!G28*((R2254-1)*IF(Skills!H28&gt;0,Skills!I28/Skills!H28,1)+IF(Skills!H28&gt;0,MIN(Skills!I28,MAX(0,MAX(0,Inputs!$B$43-B2264)-((R2254-1)*(IF(Inputs!$B$38="pvp",15,MAX(0.1,Skills!E28-IF(Skills!F28=TRUE,Inputs!$B$32,0)))*(1-IF(AND(ArtifactsInput!$M$27,Inputs!$B$4="Chapter Hunt"),CHOOSE(ArtifactsInput!$N$27+1,20,24,28,32,36,40),0)/100)))))/Skills!H28,1)))/Inputs!$B$43),G2254*Q2254)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6">
      <c r="A2256" t="inlineStr">
        <is>
          <t>Burning Magic Multiplier</t>
        </is>
      </c>
      <c r="B2256">
        <f>1+(F2237*Skills!Z11)/100</f>
        <v/>
      </c>
    </row>
    <row r="2257">
      <c r="A2257" t="inlineStr">
        <is>
          <t>Elemental Decrease Multiplier (always-on)</t>
        </is>
      </c>
      <c r="B2257">
        <f>1+(F2238+(IF(AND(ArtifactsInput!$M$35,Inputs!$B$4&lt;&gt;"Chapter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100</f>
        <v/>
      </c>
    </row>
    <row r="2258">
      <c r="A2258" t="inlineStr">
        <is>
          <t>Average Buff Multiplier (Magic Guard + Meditation + Artifact Attack%, summed; then Infinity)</t>
        </is>
      </c>
      <c r="B2258">
        <f>(1+(F2232*IF(AND(Inputs!$B$38&lt;&gt;"pvp",Inputs!$B$43&gt;0),(((R2232-1)*(Skills!T6*(1+((Inputs!$B$34+(ArtifactsInput!$M$7-ArtifactsInput!$M$7)*CHOOSE(ArtifactsInput!$N$7+1,6,7.2,8.4,9.6,10.8,12)))/100))+MIN((Skills!T6*(1+((Inputs!$B$34+(ArtifactsInput!$M$7-ArtifactsInput!$M$7)*CHOOSE(ArtifactsInput!$N$7+1,6,7.2,8.4,9.6,10.8,12)))/100)),MAX(0,Inputs!$B$43-((R2232-1)*Skills!E6))))/Inputs!$B$43),IF(Inputs!$B$38="pvp",MIN((Skills!T6*(1+((Inputs!$B$34+(ArtifactsInput!$M$7-ArtifactsInput!$M$7)*CHOOSE(ArtifactsInput!$N$7+1,6,7.2,8.4,9.6,10.8,12)))/100)),15)/15,(Skills!T6*(1+((Inputs!$B$34+(ArtifactsInput!$M$7-ArtifactsInput!$M$7)*CHOOSE(ArtifactsInput!$N$7+1,6,7.2,8.4,9.6,10.8,12)))/100))/Skills!E6))+F2243*IF(AND(Inputs!$B$38&lt;&gt;"pvp",Inputs!$B$43&gt;0),(((R2243-1)*(Skills!T17*(1+((Inputs!$B$34+(ArtifactsInput!$M$7-ArtifactsInput!$M$7)*CHOOSE(ArtifactsInput!$N$7+1,6,7.2,8.4,9.6,10.8,12)))/100))+MIN((Skills!T17*(1+((Inputs!$B$34+(ArtifactsInput!$M$7-ArtifactsInput!$M$7)*CHOOSE(ArtifactsInput!$N$7+1,6,7.2,8.4,9.6,10.8,12)))/100)),MAX(0,Inputs!$B$43-((R2243-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2245=TRUE,(1+F2245*IF(AND(Inputs!$B$38&lt;&gt;"pvp",Inputs!$B$43&gt;0),(((R2245-1)*(Skills!T19*(1+((Inputs!$B$34+(ArtifactsInput!$M$7-ArtifactsInput!$M$7)*CHOOSE(ArtifactsInput!$N$7+1,6,7.2,8.4,9.6,10.8,12)))/100))+MIN((Skills!T19*(1+((Inputs!$B$34+(ArtifactsInput!$M$7-ArtifactsInput!$M$7)*CHOOSE(ArtifactsInput!$N$7+1,6,7.2,8.4,9.6,10.8,12)))/100)),MAX(0,Inputs!$B$43-((R2245-1)*Skills!E19))))/Inputs!$B$43),IF(Inputs!$B$38="pvp",MIN((Skills!T19*(1+((Inputs!$B$34+(ArtifactsInput!$M$7-ArtifactsInput!$M$7)*CHOOSE(ArtifactsInput!$N$7+1,6,7.2,8.4,9.6,10.8,12)))/100)),15)/15,(Skills!T19*(1+((Inputs!$B$34+(ArtifactsInput!$M$7-ArtifactsInput!$M$7)*CHOOSE(ArtifactsInput!$N$7+1,6,7.2,8.4,9.6,10.8,12)))/100))/Skills!E19))/100),1)</f>
        <v/>
      </c>
    </row>
    <row r="2259">
      <c r="A2259" t="inlineStr">
        <is>
          <t>Attack Speed Buff Bonus % (Nimble Feet, averaged)</t>
        </is>
      </c>
      <c r="B2259">
        <f>F2244*IF(AND(Inputs!$B$38&lt;&gt;"pvp",Inputs!$B$43&gt;0),(((R2244-1)*(Skills!T18*(1+((Inputs!$B$34+(ArtifactsInput!$M$7-ArtifactsInput!$M$7)*CHOOSE(ArtifactsInput!$N$7+1,6,7.2,8.4,9.6,10.8,12)))/100))+MIN((Skills!T18*(1+((Inputs!$B$34+(ArtifactsInput!$M$7-ArtifactsInput!$M$7)*CHOOSE(ArtifactsInput!$N$7+1,6,7.2,8.4,9.6,10.8,12)))/100)),MAX(0,Inputs!$B$43-((R2244-1)*Skills!E18))))/Inputs!$B$43),IF(Inputs!$B$38="pvp",MIN((Skills!T18*(1+((Inputs!$B$34+(ArtifactsInput!$M$7-ArtifactsInput!$M$7)*CHOOSE(ArtifactsInput!$N$7+1,6,7.2,8.4,9.6,10.8,12)))/100)),15)/15,(Skills!T18*(1+((Inputs!$B$34+(ArtifactsInput!$M$7-ArtifactsInput!$M$7)*CHOOSE(ArtifactsInput!$N$7+1,6,7.2,8.4,9.6,10.8,12)))/100))/Skills!E18))</f>
        <v/>
      </c>
    </row>
    <row r="2260">
      <c r="A2260" t="inlineStr">
        <is>
          <t>Actions Per Second</t>
        </is>
      </c>
      <c r="B2260">
        <f>1+MIN(150,150*(1-(1-(Inputs!$B$11+(ArtifactsInput!$M$15-ArtifactsInput!$M$15)*CHOOSE(ArtifactsInput!$N$15+1,8,9.6,11.2,12.8,14.4,16))/150)*(1-B2259/150)))/100</f>
        <v/>
      </c>
    </row>
    <row r="2261">
      <c r="A2261" t="inlineStr">
        <is>
          <t>Skill + Buff Cast Rate</t>
        </is>
      </c>
      <c r="B2261">
        <f>IF(AND(Inputs!$B$38&lt;&gt;"pvp",Inputs!$B$43&gt;0),SUMPRODUCT((Skills!F2:F28=TRUE)*(C2228:C2254=TRUE)*R2228:R2254)/Inputs!$B$43,SUMPRODUCT((Skills!F2:F28=TRUE)*(C2228:C2254=TRUE)*Q2228:Q2254))</f>
        <v/>
      </c>
    </row>
    <row r="2262">
      <c r="A2262" t="inlineStr">
        <is>
          <t>Basic Attacks Per Second</t>
        </is>
      </c>
      <c r="B2262">
        <f>MAX(0,B2260-B2261)</f>
        <v/>
      </c>
    </row>
    <row r="2263">
      <c r="A2263" t="inlineStr">
        <is>
          <t>Meteor Proc — combined trigger cast rate</t>
        </is>
      </c>
      <c r="B2263">
        <f>IF(AND(Inputs!$B$38&lt;&gt;"pvp",Inputs!$B$43&gt;0),SUMPRODUCT((Skills!V2:V28=TRUE)*(C2228:C2254=TRUE)*R2228:R2254*Skills!W2:W28)/Inputs!$B$43,SUMPRODUCT((Skills!V2:V28=TRUE)*(C2228:C2254=TRUE)*Q2228:Q2254*Skills!W2:W28))+B2262</f>
        <v/>
      </c>
    </row>
    <row r="2264">
      <c r="A2264" t="inlineStr">
        <is>
          <t>Buff-Casting Startup Delay (s, fixed-duration only)</t>
        </is>
      </c>
      <c r="B2264">
        <f>IF(AND(Inputs!$B$38&lt;&gt;"pvp",Inputs!$B$43&gt;0),SUMPRODUCT((Skills!T2:T28&gt;0)*(Skills!F2:F28=TRUE)*(C2228:C2254=TRUE))/B2260,0)</f>
        <v/>
      </c>
    </row>
    <row r="2265">
      <c r="A2265" t="inlineStr">
        <is>
          <t>Boss-Only Total DPS (this block's swept value)</t>
        </is>
      </c>
      <c r="B2265">
        <f>SUM(S2228:S2254)</f>
        <v/>
      </c>
    </row>
    <row r="2266">
      <c r="A2266" t="inlineStr">
        <is>
          <t>Normal-Only Total DPS (this block's swept value)</t>
        </is>
      </c>
      <c r="B2266">
        <f>SUM(U2228:U2254)</f>
        <v/>
      </c>
    </row>
    <row r="2267">
      <c r="A2267" s="6" t="inlineStr">
        <is>
          <t>TOTAL DPS</t>
        </is>
      </c>
      <c r="B2267" s="6">
        <f>SUM(O2228:O2254)</f>
        <v/>
      </c>
    </row>
    <row r="2270">
      <c r="A2270" s="6" t="inlineStr">
        <is>
          <t>Stat: Flaming Lava (Equip)</t>
        </is>
      </c>
    </row>
    <row r="2271">
      <c r="A2271" s="5" t="inlineStr">
        <is>
          <t>Key</t>
        </is>
      </c>
      <c r="B2271" s="5" t="inlineStr">
        <is>
          <t>Name</t>
        </is>
      </c>
      <c r="C2271" s="5" t="inlineStr">
        <is>
          <t>Unlocked</t>
        </is>
      </c>
      <c r="D2271" s="5" t="inlineStr">
        <is>
          <t>InputLevel</t>
        </is>
      </c>
      <c r="E2271" s="5" t="inlineStr">
        <is>
          <t>Factor</t>
        </is>
      </c>
      <c r="F2271" s="5" t="inlineStr">
        <is>
          <t>CoefficientPercent</t>
        </is>
      </c>
      <c r="G2271" s="5" t="inlineStr">
        <is>
          <t>EffectiveHits</t>
        </is>
      </c>
      <c r="H2271" s="5" t="inlineStr">
        <is>
          <t>ProcProbability</t>
        </is>
      </c>
      <c r="I2271" s="5" t="inlineStr">
        <is>
          <t>MapleHeroMultiplier</t>
        </is>
      </c>
      <c r="J2271" s="5" t="inlineStr">
        <is>
          <t>BaseDamage</t>
        </is>
      </c>
      <c r="K2271" s="5" t="inlineStr">
        <is>
          <t>BaseHitDamage</t>
        </is>
      </c>
      <c r="L2271" s="5" t="inlineStr">
        <is>
          <t>NonCritAvg</t>
        </is>
      </c>
      <c r="M2271" s="5" t="inlineStr">
        <is>
          <t>CritAvg</t>
        </is>
      </c>
      <c r="N2271" s="5" t="inlineStr">
        <is>
          <t>ExpectedDamage(perHit)</t>
        </is>
      </c>
      <c r="O2271" s="5" t="inlineStr">
        <is>
          <t>DPS</t>
        </is>
      </c>
      <c r="P2271" s="5" t="inlineStr">
        <is>
          <t>% of Total</t>
        </is>
      </c>
      <c r="R2271" t="inlineStr">
        <is>
          <t>helpers</t>
        </is>
      </c>
    </row>
    <row r="2272">
      <c r="A2272">
        <f>Skills!A2</f>
        <v/>
      </c>
      <c r="B2272">
        <f>Skills!B2</f>
        <v/>
      </c>
      <c r="C2272">
        <f>TRUE</f>
        <v/>
      </c>
      <c r="D2272" t="inlineStr"/>
      <c r="E2272" t="inlineStr"/>
      <c r="F2272">
        <f>T2274+Skills!O2</f>
        <v/>
      </c>
      <c r="G2272">
        <f>Calc!G2</f>
        <v/>
      </c>
      <c r="H2272">
        <f>Calc!H2</f>
        <v/>
      </c>
      <c r="I2272">
        <f>IF(Skills!X2&lt;&gt;"",1+(Skills!X2/10)*(Z2273/1000)/100,1)</f>
        <v/>
      </c>
      <c r="J2272">
        <f>((Inputs!$B$6*(1+Inputs!$B$7/100))+(((Inputs!$B$12*(1+Inputs!$B$13/100))-(Inputs!$B$12*(1+Inputs!$B$13/100)))+0.25*(Inputs!$B$14-Inputs!$B$14))*(1+Inputs!$B$7/100))*(F2272/100)</f>
        <v/>
      </c>
      <c r="K2272">
        <f>J2272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2272)</f>
        <v/>
      </c>
      <c r="L2272">
        <f>K2272*(MIN(Inputs!$B$22+(F2292-Calc!F22),(Inputs!$B$23+(IF(ArtifactsInput!$M$15,CHOOSE(ArtifactsInput!$N$15+1,25,30,35,40,45,50)/100*(Inputs!$B$11-Inputs!$B$11),0))))/100+(Inputs!$B$23+(IF(ArtifactsInput!$M$15,CHOOSE(ArtifactsInput!$N$15+1,25,30,35,40,45,50)/100*(Inputs!$B$11-Inputs!$B$11),0)))/100)/2</f>
        <v/>
      </c>
      <c r="M2272">
        <f>L2272*(1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2">
        <f>L2272*(1-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2272*(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2">
        <f>(1-Summary!$B$11)*S2272+Summary!$B$11*U2272</f>
        <v/>
      </c>
      <c r="P2272">
        <f>IF(B2311=0,0,O2272/B2311)</f>
        <v/>
      </c>
      <c r="Q2272">
        <f>IFERROR(1/(IF(Inputs!$B$38="pvp",15,MAX(0.1,Skills!E2-IF(Skills!F2=TRUE,Inputs!$B$32,0)))*(1-IF(AND(ArtifactsInput!$M$27,Inputs!$B$4="Chapter Hunt"),CHOOSE(ArtifactsInput!$N$27+1,20,24,28,32,36,40),0)/100)),0)</f>
        <v/>
      </c>
      <c r="R2272" t="n">
        <v>0</v>
      </c>
      <c r="S2272">
        <f>(Skills!G2*N2272*B2306)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2272*(1-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2272*(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2272*(1-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2272*(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272">
        <f>MAX(0,(Inputs!$B$3-100)*3)+Inputs!$B$28+Inputs!$B$29</f>
        <v/>
      </c>
      <c r="U2272">
        <f>(Skills!G2*N2272*B2306)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272">
        <f>MAX(0,(Inputs!$B$3-100)*3)+Inputs!$B$28+Inputs!$B$29</f>
        <v/>
      </c>
    </row>
    <row r="2273">
      <c r="A2273">
        <f>Skills!A3</f>
        <v/>
      </c>
      <c r="B2273">
        <f>Skills!B3</f>
        <v/>
      </c>
      <c r="C2273">
        <f>TRUE</f>
        <v/>
      </c>
      <c r="D2273">
        <f>IF(Skills!C3=1,60+Inputs!$B$25+Inputs!$B$29,IF(Skills!C3=2,90+Inputs!$B$26+Inputs!$B$29,IF(Skills!C3=3,120+Inputs!$B$27+Inputs!$B$29,MAX(0,(Inputs!$B$3-100)*3)+Inputs!$B$28+Inputs!$B$29)))</f>
        <v/>
      </c>
      <c r="E2273">
        <f>INDEX(FactorTable!$B$2:$Y$301, MATCH(ROUND(MIN(300,MAX(1,D2273)),0), FactorTable!$A$2:$A$301,0), Skills!M3+1)</f>
        <v/>
      </c>
      <c r="F2273">
        <f>IF(Skills!N3=TRUE,(Skills!L3/10)*(E2273/1000),Skills!L3/10)+Skills!O3</f>
        <v/>
      </c>
      <c r="G2273">
        <f>Calc!G3</f>
        <v/>
      </c>
      <c r="H2273">
        <f>Calc!H3</f>
        <v/>
      </c>
      <c r="I2273">
        <f>IF(Skills!X3&lt;&gt;"",1+(Skills!X3/10)*(Z2273/1000)/100,1)</f>
        <v/>
      </c>
      <c r="J2273">
        <f>((Inputs!$B$6*(1+Inputs!$B$7/100))+(((Inputs!$B$12*(1+Inputs!$B$13/100))-(Inputs!$B$12*(1+Inputs!$B$13/100)))+0.25*(Inputs!$B$14-Inputs!$B$14))*(1+Inputs!$B$7/100))*(F2273/100)</f>
        <v/>
      </c>
      <c r="K2273">
        <f>J2273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2273)</f>
        <v/>
      </c>
      <c r="L2273">
        <f>K2273*(MIN(Inputs!$B$22+(F2292-Calc!F22),(Inputs!$B$23+(IF(ArtifactsInput!$M$15,CHOOSE(ArtifactsInput!$N$15+1,25,30,35,40,45,50)/100*(Inputs!$B$11-Inputs!$B$11),0))))/100+(Inputs!$B$23+(IF(ArtifactsInput!$M$15,CHOOSE(ArtifactsInput!$N$15+1,25,30,35,40,45,50)/100*(Inputs!$B$11-Inputs!$B$11),0)))/100)/2</f>
        <v/>
      </c>
      <c r="M2273">
        <f>L2273*(1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3">
        <f>L2273*(1-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2273*(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3">
        <f>(1-Summary!$B$11)*S2273+Summary!$B$11*U2273</f>
        <v/>
      </c>
      <c r="P2273">
        <f>IF(B2311=0,0,O2273/B2311)</f>
        <v/>
      </c>
      <c r="Q2273">
        <f>IFERROR(1/(IF(Inputs!$B$38="pvp",15,MAX(0.1,Skills!E3-IF(Skills!F3=TRUE,Inputs!$B$32,0)))*(1-IF(AND(ArtifactsInput!$M$27,Inputs!$B$4="Chapter Hunt"),CHOOSE(ArtifactsInput!$N$27+1,20,24,28,32,36,40),0)/100)),0)</f>
        <v/>
      </c>
      <c r="R2273">
        <f>IF(AND(Inputs!$B$38&lt;&gt;"pvp",Inputs!$B$43&gt;0),IF(MAX(0,Inputs!$B$43-B2308)&lt;=0,0,(INT(MAX(0,Inputs!$B$43-B2308)/(IF(Inputs!$B$38="pvp",15,MAX(0.1,Skills!E3-IF(Skills!F3=TRUE,Inputs!$B$32,0)))*(1-IF(AND(ArtifactsInput!$M$27,Inputs!$B$4="Chapter Hunt"),CHOOSE(ArtifactsInput!$N$27+1,20,24,28,32,36,40),0)/100)))+1)),0)</f>
        <v/>
      </c>
      <c r="S2273">
        <f>IF(C2273,(H2273*N2273*IF(AND(Inputs!$B$38&lt;&gt;"pvp",Inputs!$B$43&gt;0),((Skills!G3*((R2273-1)*IF(Skills!H3&gt;0,Skills!I3/Skills!H3,1)+IF(Skills!H3&gt;0,MIN(Skills!I3,MAX(0,MAX(0,Inputs!$B$43-B2308)-((R2273-1)*(IF(Inputs!$B$38="pvp",15,MAX(0.1,Skills!E3-IF(Skills!F3=TRUE,Inputs!$B$32,0)))*(1-IF(AND(ArtifactsInput!$M$27,Inputs!$B$4="Chapter Hunt"),CHOOSE(ArtifactsInput!$N$27+1,20,24,28,32,36,40),0)/100)))))/Skills!H3,1)))/Inputs!$B$43),G2273*Q2273)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2273*(1-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2273*(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2273*(1-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2273*(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273">
        <f>INDEX(FactorTable!$B$2:$Y$301, MATCH(ROUND(MIN(300,MAX(1,T2272)),0), FactorTable!$A$2:$A$301,0), 22)</f>
        <v/>
      </c>
      <c r="U2273">
        <f>IF(C2273,(H2273*N2273*IF(AND(Inputs!$B$38&lt;&gt;"pvp",Inputs!$B$43&gt;0),((Skills!G3*((R2273-1)*IF(Skills!H3&gt;0,Skills!I3/Skills!H3,1)+IF(Skills!H3&gt;0,MIN(Skills!I3,MAX(0,MAX(0,Inputs!$B$43-B2308)-((R2273-1)*(IF(Inputs!$B$38="pvp",15,MAX(0.1,Skills!E3-IF(Skills!F3=TRUE,Inputs!$B$32,0)))*(1-IF(AND(ArtifactsInput!$M$27,Inputs!$B$4="Chapter Hunt"),CHOOSE(ArtifactsInput!$N$27+1,20,24,28,32,36,40),0)/100)))))/Skills!H3,1)))/Inputs!$B$43),G2273*Q2273)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273">
        <f>INDEX(FactorTable!$B$2:$Y$301, MATCH(ROUND(MIN(300,MAX(1,Z2272)),0), FactorTable!$A$2:$A$301,0), 24)</f>
        <v/>
      </c>
    </row>
    <row r="2274">
      <c r="A2274">
        <f>Skills!A4</f>
        <v/>
      </c>
      <c r="B2274">
        <f>Skills!B4</f>
        <v/>
      </c>
      <c r="C2274">
        <f>TRUE</f>
        <v/>
      </c>
      <c r="D2274">
        <f>IF(Skills!C4=1,60+Inputs!$B$25+Inputs!$B$29,IF(Skills!C4=2,90+Inputs!$B$26+Inputs!$B$29,IF(Skills!C4=3,120+Inputs!$B$27+Inputs!$B$29,MAX(0,(Inputs!$B$3-100)*3)+Inputs!$B$28+Inputs!$B$29)))</f>
        <v/>
      </c>
      <c r="E2274">
        <f>INDEX(FactorTable!$B$2:$Y$301, MATCH(ROUND(MIN(300,MAX(1,D2274)),0), FactorTable!$A$2:$A$301,0), Skills!M4+1)</f>
        <v/>
      </c>
      <c r="F2274">
        <f>IF(Skills!N4=TRUE,(Skills!L4/10)*(E2274/1000),Skills!L4/10)+Skills!O4</f>
        <v/>
      </c>
      <c r="G2274">
        <f>Calc!G4</f>
        <v/>
      </c>
      <c r="H2274">
        <f>Calc!H4</f>
        <v/>
      </c>
      <c r="I2274">
        <f>IF(Skills!X4&lt;&gt;"",1+(Skills!X4/10)*(Z2273/1000)/100,1)</f>
        <v/>
      </c>
      <c r="J2274">
        <f>((Inputs!$B$6*(1+Inputs!$B$7/100))+(((Inputs!$B$12*(1+Inputs!$B$13/100))-(Inputs!$B$12*(1+Inputs!$B$13/100)))+0.25*(Inputs!$B$14-Inputs!$B$14))*(1+Inputs!$B$7/100))*(F2274/100)</f>
        <v/>
      </c>
      <c r="K2274">
        <f>J2274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2274)</f>
        <v/>
      </c>
      <c r="L2274">
        <f>K2274*(MIN(Inputs!$B$22+(F2292-Calc!F22),(Inputs!$B$23+(IF(ArtifactsInput!$M$15,CHOOSE(ArtifactsInput!$N$15+1,25,30,35,40,45,50)/100*(Inputs!$B$11-Inputs!$B$11),0))))/100+(Inputs!$B$23+(IF(ArtifactsInput!$M$15,CHOOSE(ArtifactsInput!$N$15+1,25,30,35,40,45,50)/100*(Inputs!$B$11-Inputs!$B$11),0)))/100)/2</f>
        <v/>
      </c>
      <c r="M2274">
        <f>L2274*(1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4">
        <f>L2274*(1-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2274*(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4">
        <f>(1-Summary!$B$11)*S2274+Summary!$B$11*U2274</f>
        <v/>
      </c>
      <c r="P2274">
        <f>IF(B2311=0,0,O2274/B2311)</f>
        <v/>
      </c>
      <c r="Q2274">
        <f>IFERROR(1/(IF(Inputs!$B$38="pvp",15,MAX(0.1,Skills!E4-IF(Skills!F4=TRUE,Inputs!$B$32,0)))*(1-IF(AND(ArtifactsInput!$M$27,Inputs!$B$4="Chapter Hunt"),CHOOSE(ArtifactsInput!$N$27+1,20,24,28,32,36,40),0)/100)),0)</f>
        <v/>
      </c>
      <c r="R2274">
        <f>IF(AND(Inputs!$B$38&lt;&gt;"pvp",Inputs!$B$43&gt;0),IF(MAX(0,Inputs!$B$43-B2308)&lt;=0,0,(INT(MAX(0,Inputs!$B$43-B2308)/(IF(Inputs!$B$38="pvp",15,MAX(0.1,Skills!E4-IF(Skills!F4=TRUE,Inputs!$B$32,0)))*(1-IF(AND(ArtifactsInput!$M$27,Inputs!$B$4="Chapter Hunt"),CHOOSE(ArtifactsInput!$N$27+1,20,24,28,32,36,40),0)/100)))+1)),0)</f>
        <v/>
      </c>
      <c r="S2274">
        <f>IF(C2274,(H2274*N2274*IF(AND(Inputs!$B$38&lt;&gt;"pvp",Inputs!$B$43&gt;0),((Skills!G4*((R2274-1)*IF(Skills!H4&gt;0,Skills!I4/Skills!H4,1)+IF(Skills!H4&gt;0,MIN(Skills!I4,MAX(0,MAX(0,Inputs!$B$43-B2308)-((R2274-1)*(IF(Inputs!$B$38="pvp",15,MAX(0.1,Skills!E4-IF(Skills!F4=TRUE,Inputs!$B$32,0)))*(1-IF(AND(ArtifactsInput!$M$27,Inputs!$B$4="Chapter Hunt"),CHOOSE(ArtifactsInput!$N$27+1,20,24,28,32,36,40),0)/100)))))/Skills!H4,1)))/Inputs!$B$43),G2274*Q2274)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2274*(1-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2274*(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2274*(1-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2274*(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274">
        <f>290*T2273/1000</f>
        <v/>
      </c>
      <c r="U2274">
        <f>IF(C2274,(H2274*N2274*IF(AND(Inputs!$B$38&lt;&gt;"pvp",Inputs!$B$43&gt;0),((Skills!G4*((R2274-1)*IF(Skills!H4&gt;0,Skills!I4/Skills!H4,1)+IF(Skills!H4&gt;0,MIN(Skills!I4,MAX(0,MAX(0,Inputs!$B$43-B2308)-((R2274-1)*(IF(Inputs!$B$38="pvp",15,MAX(0.1,Skills!E4-IF(Skills!F4=TRUE,Inputs!$B$32,0)))*(1-IF(AND(ArtifactsInput!$M$27,Inputs!$B$4="Chapter Hunt"),CHOOSE(ArtifactsInput!$N$27+1,20,24,28,32,36,40),0)/100)))))/Skills!H4,1)))/Inputs!$B$43),G2274*Q2274)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5">
      <c r="A2275">
        <f>Skills!A5</f>
        <v/>
      </c>
      <c r="B2275">
        <f>Skills!B5</f>
        <v/>
      </c>
      <c r="C2275">
        <f>TRUE</f>
        <v/>
      </c>
      <c r="D2275">
        <f>IF(Skills!C5=1,60+Inputs!$B$25+Inputs!$B$29,IF(Skills!C5=2,90+Inputs!$B$26+Inputs!$B$29,IF(Skills!C5=3,120+Inputs!$B$27+Inputs!$B$29,MAX(0,(Inputs!$B$3-100)*3)+Inputs!$B$28+Inputs!$B$29)))</f>
        <v/>
      </c>
      <c r="E2275">
        <f>INDEX(FactorTable!$B$2:$Y$301, MATCH(ROUND(MIN(300,MAX(1,D2275)),0), FactorTable!$A$2:$A$301,0), Skills!M5+1)</f>
        <v/>
      </c>
      <c r="F2275">
        <f>IF(Skills!N5=TRUE,(Skills!L5/10)*(E2275/1000),Skills!L5/10)+Skills!O5</f>
        <v/>
      </c>
      <c r="G2275">
        <f>Calc!G5</f>
        <v/>
      </c>
      <c r="H2275">
        <f>Calc!H5</f>
        <v/>
      </c>
      <c r="I2275">
        <f>IF(Skills!X5&lt;&gt;"",1+(Skills!X5/10)*(Z2273/1000)/100,1)</f>
        <v/>
      </c>
      <c r="J2275">
        <f>((Inputs!$B$6*(1+Inputs!$B$7/100))+(((Inputs!$B$12*(1+Inputs!$B$13/100))-(Inputs!$B$12*(1+Inputs!$B$13/100)))+0.25*(Inputs!$B$14-Inputs!$B$14))*(1+Inputs!$B$7/100))*(F2275/100)</f>
        <v/>
      </c>
      <c r="K2275">
        <f>J2275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2275)</f>
        <v/>
      </c>
      <c r="L2275">
        <f>K2275*(MIN(Inputs!$B$22+(F2292-Calc!F22),(Inputs!$B$23+(IF(ArtifactsInput!$M$15,CHOOSE(ArtifactsInput!$N$15+1,25,30,35,40,45,50)/100*(Inputs!$B$11-Inputs!$B$11),0))))/100+(Inputs!$B$23+(IF(ArtifactsInput!$M$15,CHOOSE(ArtifactsInput!$N$15+1,25,30,35,40,45,50)/100*(Inputs!$B$11-Inputs!$B$11),0)))/100)/2</f>
        <v/>
      </c>
      <c r="M2275">
        <f>L2275*(1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5">
        <f>L2275*(1-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2275*(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5">
        <f>(1-Summary!$B$11)*S2275+Summary!$B$11*U2275</f>
        <v/>
      </c>
      <c r="P2275">
        <f>IF(B2311=0,0,O2275/B2311)</f>
        <v/>
      </c>
      <c r="Q2275">
        <f>IFERROR(1/(IF(Inputs!$B$38="pvp",15,MAX(0.1,Skills!E5-IF(Skills!F5=TRUE,Inputs!$B$32,0)))*(1-IF(AND(ArtifactsInput!$M$27,Inputs!$B$4="Chapter Hunt"),CHOOSE(ArtifactsInput!$N$27+1,20,24,28,32,36,40),0)/100)),0)</f>
        <v/>
      </c>
      <c r="R2275">
        <f>IF(AND(Inputs!$B$38&lt;&gt;"pvp",Inputs!$B$43&gt;0),IF(MAX(0,Inputs!$B$43-B2308)&lt;=0,0,(INT(MAX(0,Inputs!$B$43-B2308)/(IF(Inputs!$B$38="pvp",15,MAX(0.1,Skills!E5-IF(Skills!F5=TRUE,Inputs!$B$32,0)))*(1-IF(AND(ArtifactsInput!$M$27,Inputs!$B$4="Chapter Hunt"),CHOOSE(ArtifactsInput!$N$27+1,20,24,28,32,36,40),0)/100)))+1)),0)</f>
        <v/>
      </c>
      <c r="S2275">
        <f>IF(C2275,(H2275*N2275*IF(AND(Inputs!$B$38&lt;&gt;"pvp",Inputs!$B$43&gt;0),((Skills!G5*((R2275-1)*IF(Skills!H5&gt;0,Skills!I5/Skills!H5,1)+IF(Skills!H5&gt;0,MIN(Skills!I5,MAX(0,MAX(0,Inputs!$B$43-B2308)-((R2275-1)*(IF(Inputs!$B$38="pvp",15,MAX(0.1,Skills!E5-IF(Skills!F5=TRUE,Inputs!$B$32,0)))*(1-IF(AND(ArtifactsInput!$M$27,Inputs!$B$4="Chapter Hunt"),CHOOSE(ArtifactsInput!$N$27+1,20,24,28,32,36,40),0)/100)))))/Skills!H5,1)))/Inputs!$B$43),G2275*Q2275)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2275*(1-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2275*(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2275*(1-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2275*(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5">
        <f>IF(C2275,(H2275*N2275*IF(AND(Inputs!$B$38&lt;&gt;"pvp",Inputs!$B$43&gt;0),((Skills!G5*((R2275-1)*IF(Skills!H5&gt;0,Skills!I5/Skills!H5,1)+IF(Skills!H5&gt;0,MIN(Skills!I5,MAX(0,MAX(0,Inputs!$B$43-B2308)-((R2275-1)*(IF(Inputs!$B$38="pvp",15,MAX(0.1,Skills!E5-IF(Skills!F5=TRUE,Inputs!$B$32,0)))*(1-IF(AND(ArtifactsInput!$M$27,Inputs!$B$4="Chapter Hunt"),CHOOSE(ArtifactsInput!$N$27+1,20,24,28,32,36,40),0)/100)))))/Skills!H5,1)))/Inputs!$B$43),G2275*Q2275)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6">
      <c r="A2276">
        <f>Skills!A6</f>
        <v/>
      </c>
      <c r="B2276">
        <f>Skills!B6</f>
        <v/>
      </c>
      <c r="C2276">
        <f>TRUE</f>
        <v/>
      </c>
      <c r="D2276">
        <f>IF(Skills!C6=1,60+Inputs!$B$25+Inputs!$B$29,IF(Skills!C6=2,90+Inputs!$B$26+Inputs!$B$29,IF(Skills!C6=3,120+Inputs!$B$27+Inputs!$B$29,MAX(0,(Inputs!$B$3-100)*3)+Inputs!$B$28+Inputs!$B$29)))</f>
        <v/>
      </c>
      <c r="E2276">
        <f>INDEX(FactorTable!$B$2:$Y$301, MATCH(ROUND(MIN(300,MAX(1,D2276)),0), FactorTable!$A$2:$A$301,0), Skills!M6+1)</f>
        <v/>
      </c>
      <c r="F2276">
        <f>IF(Skills!N6=TRUE,(Skills!L6/10)*(E2276/1000),Skills!L6/10)+Skills!O6</f>
        <v/>
      </c>
      <c r="G2276">
        <f>Calc!G6</f>
        <v/>
      </c>
      <c r="H2276">
        <f>Calc!H6</f>
        <v/>
      </c>
      <c r="I2276">
        <f>IF(Skills!X6&lt;&gt;"",1+(Skills!X6/10)*(Z2273/1000)/100,1)</f>
        <v/>
      </c>
      <c r="J2276" t="inlineStr"/>
      <c r="K2276" t="inlineStr"/>
      <c r="L2276" t="inlineStr"/>
      <c r="M2276" t="inlineStr"/>
      <c r="N2276" t="inlineStr"/>
      <c r="O2276">
        <f>(1-Summary!$B$11)*S2276+Summary!$B$11*U2276</f>
        <v/>
      </c>
      <c r="P2276">
        <f>IF(B2311=0,0,O2276/B2311)</f>
        <v/>
      </c>
      <c r="Q2276">
        <f>IFERROR(1/(IF(Inputs!$B$38="pvp",15,MAX(0.1,Skills!E6-IF(Skills!F6=TRUE,Inputs!$B$32,0)))*(1-IF(AND(ArtifactsInput!$M$27,Inputs!$B$4="Chapter Hunt"),CHOOSE(ArtifactsInput!$N$27+1,20,24,28,32,36,40),0)/100)),0)</f>
        <v/>
      </c>
      <c r="R2276">
        <f>IF(AND(Inputs!$B$38&lt;&gt;"pvp",Inputs!$B$43&gt;0),IF(Inputs!$B$43&lt;=0,0,(INT(Inputs!$B$43/(IF(Inputs!$B$38="pvp",15,MAX(0.1,Skills!E6-IF(Skills!F6=TRUE,Inputs!$B$32,0)))*(1-IF(AND(ArtifactsInput!$M$27,Inputs!$B$4="Chapter Hunt"),CHOOSE(ArtifactsInput!$N$27+1,20,24,28,32,36,40),0)/100)))+1)),0)</f>
        <v/>
      </c>
      <c r="S2276" t="n">
        <v>0</v>
      </c>
      <c r="U2276" t="n">
        <v>0</v>
      </c>
    </row>
    <row r="2277">
      <c r="A2277">
        <f>Skills!A7</f>
        <v/>
      </c>
      <c r="B2277">
        <f>Skills!B7</f>
        <v/>
      </c>
      <c r="C2277">
        <f>TRUE</f>
        <v/>
      </c>
      <c r="D2277">
        <f>IF(Skills!C7=1,60+Inputs!$B$25+Inputs!$B$29,IF(Skills!C7=2,90+Inputs!$B$26+Inputs!$B$29,IF(Skills!C7=3,120+Inputs!$B$27+Inputs!$B$29,MAX(0,(Inputs!$B$3-100)*3)+Inputs!$B$28+Inputs!$B$29)))</f>
        <v/>
      </c>
      <c r="E2277">
        <f>INDEX(FactorTable!$B$2:$Y$301, MATCH(ROUND(MIN(300,MAX(1,D2277)),0), FactorTable!$A$2:$A$301,0), Skills!M7+1)</f>
        <v/>
      </c>
      <c r="F2277">
        <f>IF(Skills!N7=TRUE,(Skills!L7/10)*(E2277/1000),Skills!L7/10)+Skills!O7</f>
        <v/>
      </c>
      <c r="G2277">
        <f>Calc!G7</f>
        <v/>
      </c>
      <c r="H2277">
        <f>Calc!H7</f>
        <v/>
      </c>
      <c r="I2277">
        <f>IF(Skills!X7&lt;&gt;"",1+(Skills!X7/10)*(Z2273/1000)/100,1)</f>
        <v/>
      </c>
      <c r="J2277">
        <f>((Inputs!$B$6*(1+Inputs!$B$7/100))+(((Inputs!$B$12*(1+Inputs!$B$13/100))-(Inputs!$B$12*(1+Inputs!$B$13/100)))+0.25*(Inputs!$B$14-Inputs!$B$14))*(1+Inputs!$B$7/100))*(F2277/100)</f>
        <v/>
      </c>
      <c r="K2277">
        <f>J2277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2277)</f>
        <v/>
      </c>
      <c r="L2277">
        <f>K2277*(MIN(Inputs!$B$22+(F2292-Calc!F22),(Inputs!$B$23+(IF(ArtifactsInput!$M$15,CHOOSE(ArtifactsInput!$N$15+1,25,30,35,40,45,50)/100*(Inputs!$B$11-Inputs!$B$11),0))))/100+(Inputs!$B$23+(IF(ArtifactsInput!$M$15,CHOOSE(ArtifactsInput!$N$15+1,25,30,35,40,45,50)/100*(Inputs!$B$11-Inputs!$B$11),0)))/100)/2</f>
        <v/>
      </c>
      <c r="M2277">
        <f>L2277*(1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7">
        <f>L2277*(1-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2277*(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7">
        <f>(1-Summary!$B$11)*S2277+Summary!$B$11*U2277</f>
        <v/>
      </c>
      <c r="P2277">
        <f>IF(B2311=0,0,O2277/B2311)</f>
        <v/>
      </c>
      <c r="Q2277">
        <f>IFERROR(1/(IF(Inputs!$B$38="pvp",15,MAX(0.1,Skills!E7-IF(Skills!F7=TRUE,Inputs!$B$32,0)))*(1-IF(AND(ArtifactsInput!$M$27,Inputs!$B$4="Chapter Hunt"),CHOOSE(ArtifactsInput!$N$27+1,20,24,28,32,36,40),0)/100)),0)</f>
        <v/>
      </c>
      <c r="R2277">
        <f>IF(AND(Inputs!$B$38&lt;&gt;"pvp",Inputs!$B$43&gt;0),IF(MAX(0,Inputs!$B$43-B2308)&lt;=0,0,(INT(MAX(0,Inputs!$B$43-B2308)/(IF(Inputs!$B$38="pvp",15,MAX(0.1,Skills!E7-IF(Skills!F7=TRUE,Inputs!$B$32,0)))*(1-IF(AND(ArtifactsInput!$M$27,Inputs!$B$4="Chapter Hunt"),CHOOSE(ArtifactsInput!$N$27+1,20,24,28,32,36,40),0)/100)))+1)),0)</f>
        <v/>
      </c>
      <c r="S2277">
        <f>IF(C2277,(H2277*N2277*IF(AND(Inputs!$B$38&lt;&gt;"pvp",Inputs!$B$43&gt;0),((Skills!G7*((R2277-1)*IF(Skills!H7&gt;0,Skills!I7/Skills!H7,1)+IF(Skills!H7&gt;0,MIN(Skills!I7,MAX(0,MAX(0,Inputs!$B$43-B2308)-((R2277-1)*(IF(Inputs!$B$38="pvp",15,MAX(0.1,Skills!E7-IF(Skills!F7=TRUE,Inputs!$B$32,0)))*(1-IF(AND(ArtifactsInput!$M$27,Inputs!$B$4="Chapter Hunt"),CHOOSE(ArtifactsInput!$N$27+1,20,24,28,32,36,40),0)/100)))))/Skills!H7,1)))/Inputs!$B$43),G2277*Q2277)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2277*(1-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2277*(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2277*(1-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2277*(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7">
        <f>IF(C2277,(H2277*N2277*IF(AND(Inputs!$B$38&lt;&gt;"pvp",Inputs!$B$43&gt;0),((Skills!G7*((R2277-1)*IF(Skills!H7&gt;0,Skills!I7/Skills!H7,1)+IF(Skills!H7&gt;0,MIN(Skills!I7,MAX(0,MAX(0,Inputs!$B$43-B2308)-((R2277-1)*(IF(Inputs!$B$38="pvp",15,MAX(0.1,Skills!E7-IF(Skills!F7=TRUE,Inputs!$B$32,0)))*(1-IF(AND(ArtifactsInput!$M$27,Inputs!$B$4="Chapter Hunt"),CHOOSE(ArtifactsInput!$N$27+1,20,24,28,32,36,40),0)/100)))))/Skills!H7,1)))/Inputs!$B$43),G2277*Q2277)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8">
      <c r="A2278">
        <f>Skills!A8</f>
        <v/>
      </c>
      <c r="B2278">
        <f>Skills!B8</f>
        <v/>
      </c>
      <c r="C2278">
        <f>TRUE</f>
        <v/>
      </c>
      <c r="D2278">
        <f>IF(Skills!C8=1,60+Inputs!$B$25+Inputs!$B$29,IF(Skills!C8=2,90+Inputs!$B$26+Inputs!$B$29,IF(Skills!C8=3,120+Inputs!$B$27+Inputs!$B$29,MAX(0,(Inputs!$B$3-100)*3)+Inputs!$B$28+Inputs!$B$29)))</f>
        <v/>
      </c>
      <c r="E2278">
        <f>INDEX(FactorTable!$B$2:$Y$301, MATCH(ROUND(MIN(300,MAX(1,D2278)),0), FactorTable!$A$2:$A$301,0), Skills!M8+1)</f>
        <v/>
      </c>
      <c r="F2278">
        <f>IF(Skills!N8=TRUE,(Skills!L8/10)*(E2278/1000),Skills!L8/10)+Skills!O8</f>
        <v/>
      </c>
      <c r="G2278">
        <f>Calc!G8</f>
        <v/>
      </c>
      <c r="H2278">
        <f>Calc!H8</f>
        <v/>
      </c>
      <c r="I2278">
        <f>IF(Skills!X8&lt;&gt;"",1+(Skills!X8/10)*(Z2273/1000)/100,1)</f>
        <v/>
      </c>
      <c r="J2278">
        <f>((Inputs!$B$6*(1+Inputs!$B$7/100))+(((Inputs!$B$12*(1+Inputs!$B$13/100))-(Inputs!$B$12*(1+Inputs!$B$13/100)))+0.25*(Inputs!$B$14-Inputs!$B$14))*(1+Inputs!$B$7/100))*(F2278/100)</f>
        <v/>
      </c>
      <c r="K2278">
        <f>J2278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2278)</f>
        <v/>
      </c>
      <c r="L2278">
        <f>K2278*(MIN(Inputs!$B$22+(F2292-Calc!F22),(Inputs!$B$23+(IF(ArtifactsInput!$M$15,CHOOSE(ArtifactsInput!$N$15+1,25,30,35,40,45,50)/100*(Inputs!$B$11-Inputs!$B$11),0))))/100+(Inputs!$B$23+(IF(ArtifactsInput!$M$15,CHOOSE(ArtifactsInput!$N$15+1,25,30,35,40,45,50)/100*(Inputs!$B$11-Inputs!$B$11),0)))/100)/2</f>
        <v/>
      </c>
      <c r="M2278">
        <f>L2278*(1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8">
        <f>L2278*(1-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2278*(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8">
        <f>(1-Summary!$B$11)*S2278+Summary!$B$11*U2278</f>
        <v/>
      </c>
      <c r="P2278">
        <f>IF(B2311=0,0,O2278/B2311)</f>
        <v/>
      </c>
      <c r="Q2278">
        <f>IFERROR(1/(IF(Inputs!$B$38="pvp",15,MAX(0.1,Skills!E8-IF(Skills!F8=TRUE,Inputs!$B$32,0)))*(1-IF(AND(ArtifactsInput!$M$27,Inputs!$B$4="Chapter Hunt"),CHOOSE(ArtifactsInput!$N$27+1,20,24,28,32,36,40),0)/100)),0)</f>
        <v/>
      </c>
      <c r="R2278">
        <f>IF(AND(Inputs!$B$38&lt;&gt;"pvp",Inputs!$B$43&gt;0),IF(MAX(0,Inputs!$B$43-B2308)&lt;=0,0,(INT(MAX(0,Inputs!$B$43-B2308)/(IF(Inputs!$B$38="pvp",15,MAX(0.1,Skills!E8-IF(Skills!F8=TRUE,Inputs!$B$32,0)))*(1-IF(AND(ArtifactsInput!$M$27,Inputs!$B$4="Chapter Hunt"),CHOOSE(ArtifactsInput!$N$27+1,20,24,28,32,36,40),0)/100)))+1)),0)</f>
        <v/>
      </c>
      <c r="S2278">
        <f>IF(C2278,(H2278*N2278*IF(AND(Inputs!$B$38&lt;&gt;"pvp",Inputs!$B$43&gt;0),((Skills!G8*((R2278-1)*IF(Skills!H8&gt;0,Skills!I8/Skills!H8,1)+IF(Skills!H8&gt;0,MIN(Skills!I8,MAX(0,MAX(0,Inputs!$B$43-B2308)-((R2278-1)*(IF(Inputs!$B$38="pvp",15,MAX(0.1,Skills!E8-IF(Skills!F8=TRUE,Inputs!$B$32,0)))*(1-IF(AND(ArtifactsInput!$M$27,Inputs!$B$4="Chapter Hunt"),CHOOSE(ArtifactsInput!$N$27+1,20,24,28,32,36,40),0)/100)))))/Skills!H8,1)))/Inputs!$B$43),G2278*Q2278)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2278*(1-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2278*(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2278*(1-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2278*(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8">
        <f>IF(C2278,(H2278*N2278*IF(AND(Inputs!$B$38&lt;&gt;"pvp",Inputs!$B$43&gt;0),((Skills!G8*((R2278-1)*IF(Skills!H8&gt;0,Skills!I8/Skills!H8,1)+IF(Skills!H8&gt;0,MIN(Skills!I8,MAX(0,MAX(0,Inputs!$B$43-B2308)-((R2278-1)*(IF(Inputs!$B$38="pvp",15,MAX(0.1,Skills!E8-IF(Skills!F8=TRUE,Inputs!$B$32,0)))*(1-IF(AND(ArtifactsInput!$M$27,Inputs!$B$4="Chapter Hunt"),CHOOSE(ArtifactsInput!$N$27+1,20,24,28,32,36,40),0)/100)))))/Skills!H8,1)))/Inputs!$B$43),G2278*Q2278)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9">
      <c r="A2279">
        <f>Skills!A9</f>
        <v/>
      </c>
      <c r="B2279">
        <f>Skills!B9</f>
        <v/>
      </c>
      <c r="C2279">
        <f>Inputs!$B$3&gt;=103</f>
        <v/>
      </c>
      <c r="D2279">
        <f>IF(Skills!C9=1,60+Inputs!$B$25+Inputs!$B$29,IF(Skills!C9=2,90+Inputs!$B$26+Inputs!$B$29,IF(Skills!C9=3,120+Inputs!$B$27+Inputs!$B$29,MAX(0,(Inputs!$B$3-100)*3)+Inputs!$B$28+Inputs!$B$29)))</f>
        <v/>
      </c>
      <c r="E2279">
        <f>INDEX(FactorTable!$B$2:$Y$301, MATCH(ROUND(MIN(300,MAX(1,D2279)),0), FactorTable!$A$2:$A$301,0), Skills!M9+1)</f>
        <v/>
      </c>
      <c r="F2279">
        <f>IF(Skills!N9=TRUE,(Skills!L9/10)*(E2279/1000),Skills!L9/10)+Skills!O9</f>
        <v/>
      </c>
      <c r="G2279">
        <f>Calc!G9</f>
        <v/>
      </c>
      <c r="H2279">
        <f>Calc!H9</f>
        <v/>
      </c>
      <c r="I2279">
        <f>IF(Skills!X9&lt;&gt;"",1+(Skills!X9/10)*(Z2273/1000)/100,1)</f>
        <v/>
      </c>
      <c r="J2279">
        <f>((Inputs!$B$6*(1+Inputs!$B$7/100))+(((Inputs!$B$12*(1+Inputs!$B$13/100))-(Inputs!$B$12*(1+Inputs!$B$13/100)))+0.25*(Inputs!$B$14-Inputs!$B$14))*(1+Inputs!$B$7/100))*(F2279/100)</f>
        <v/>
      </c>
      <c r="K2279">
        <f>J2279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2279)</f>
        <v/>
      </c>
      <c r="L2279">
        <f>K2279*(MIN(Inputs!$B$22+(F2292-Calc!F22),(Inputs!$B$23+(IF(ArtifactsInput!$M$15,CHOOSE(ArtifactsInput!$N$15+1,25,30,35,40,45,50)/100*(Inputs!$B$11-Inputs!$B$11),0))))/100+(Inputs!$B$23+(IF(ArtifactsInput!$M$15,CHOOSE(ArtifactsInput!$N$15+1,25,30,35,40,45,50)/100*(Inputs!$B$11-Inputs!$B$11),0)))/100)/2</f>
        <v/>
      </c>
      <c r="M2279">
        <f>L2279*(1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9">
        <f>L2279*(1-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2279*(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9">
        <f>(1-Summary!$B$11)*S2279+Summary!$B$11*U2279</f>
        <v/>
      </c>
      <c r="P2279">
        <f>IF(B2311=0,0,O2279/B2311)</f>
        <v/>
      </c>
      <c r="Q2279">
        <f>IFERROR(1/(IF(Inputs!$B$38="pvp",15,MAX(0.1,Skills!E9-IF(Skills!F7=TRUE,Inputs!$B$32,0)))*(1-IF(AND(ArtifactsInput!$M$27,Inputs!$B$4="Chapter Hunt"),CHOOSE(ArtifactsInput!$N$27+1,20,24,28,32,36,40),0)/100)),0)</f>
        <v/>
      </c>
      <c r="R2279">
        <f>IF(AND(Inputs!$B$38&lt;&gt;"pvp",Inputs!$B$43&gt;0),IF(MAX(0,Inputs!$B$43-B2308)&lt;=0,0,(INT(MAX(0,Inputs!$B$43-B2308)/(IF(Inputs!$B$38="pvp",15,MAX(0.1,Skills!E9-IF(Skills!F7=TRUE,Inputs!$B$32,0)))*(1-IF(AND(ArtifactsInput!$M$27,Inputs!$B$4="Chapter Hunt"),CHOOSE(ArtifactsInput!$N$27+1,20,24,28,32,36,40),0)/100)))+1)),0)</f>
        <v/>
      </c>
      <c r="S2279">
        <f>IF(C2279,(H2279*N2279*IF(AND(Inputs!$B$38&lt;&gt;"pvp",Inputs!$B$43&gt;0),((Skills!G9*((R2279-1)*IF(Skills!H9&gt;0,Skills!I9/Skills!H9,1)+IF(Skills!H9&gt;0,MIN(Skills!I9,MAX(0,MAX(0,Inputs!$B$43-B2308)-((R2279-1)*(IF(Inputs!$B$38="pvp",15,MAX(0.1,Skills!E9-IF(Skills!F7=TRUE,Inputs!$B$32,0)))*(1-IF(AND(ArtifactsInput!$M$27,Inputs!$B$4="Chapter Hunt"),CHOOSE(ArtifactsInput!$N$27+1,20,24,28,32,36,40),0)/100)))))/Skills!H9,1)))/Inputs!$B$43),G2279*Q2279)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2279*(1-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2279*(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2279*(1-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2279*(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9">
        <f>IF(C2279,(H2279*N2279*IF(AND(Inputs!$B$38&lt;&gt;"pvp",Inputs!$B$43&gt;0),((Skills!G9*((R2279-1)*IF(Skills!H9&gt;0,Skills!I9/Skills!H9,1)+IF(Skills!H9&gt;0,MIN(Skills!I9,MAX(0,MAX(0,Inputs!$B$43-B2308)-((R2279-1)*(IF(Inputs!$B$38="pvp",15,MAX(0.1,Skills!E9-IF(Skills!F7=TRUE,Inputs!$B$32,0)))*(1-IF(AND(ArtifactsInput!$M$27,Inputs!$B$4="Chapter Hunt"),CHOOSE(ArtifactsInput!$N$27+1,20,24,28,32,36,40),0)/100)))))/Skills!H9,1)))/Inputs!$B$43),G2279*Q2279)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0">
      <c r="A2280">
        <f>Skills!A10</f>
        <v/>
      </c>
      <c r="B2280">
        <f>Skills!B10</f>
        <v/>
      </c>
      <c r="C2280">
        <f>TRUE</f>
        <v/>
      </c>
      <c r="D2280">
        <f>IF(Skills!C10=1,60+Inputs!$B$25+Inputs!$B$29,IF(Skills!C10=2,90+Inputs!$B$26+Inputs!$B$29,IF(Skills!C10=3,120+Inputs!$B$27+Inputs!$B$29,MAX(0,(Inputs!$B$3-100)*3)+Inputs!$B$28+Inputs!$B$29)))</f>
        <v/>
      </c>
      <c r="E2280">
        <f>INDEX(FactorTable!$B$2:$Y$301, MATCH(ROUND(MIN(300,MAX(1,D2280)),0), FactorTable!$A$2:$A$301,0), Skills!M10+1)</f>
        <v/>
      </c>
      <c r="F2280">
        <f>IF(Skills!N10=TRUE,(Skills!L10/10)*(E2280/1000),Skills!L10/10)+Skills!O10</f>
        <v/>
      </c>
      <c r="G2280">
        <f>Calc!G10</f>
        <v/>
      </c>
      <c r="H2280">
        <f>Calc!H10</f>
        <v/>
      </c>
      <c r="I2280">
        <f>IF(Skills!X10&lt;&gt;"",1+(Skills!X10/10)*(Z2273/1000)/100,1)</f>
        <v/>
      </c>
      <c r="J2280">
        <f>((Inputs!$B$6*(1+Inputs!$B$7/100))+(((Inputs!$B$12*(1+Inputs!$B$13/100))-(Inputs!$B$12*(1+Inputs!$B$13/100)))+0.25*(Inputs!$B$14-Inputs!$B$14))*(1+Inputs!$B$7/100))*(F2280/100)</f>
        <v/>
      </c>
      <c r="K2280">
        <f>J2280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2280)</f>
        <v/>
      </c>
      <c r="L2280">
        <f>K2280*(MIN(Inputs!$B$22+(F2292-Calc!F22),(Inputs!$B$23+(IF(ArtifactsInput!$M$15,CHOOSE(ArtifactsInput!$N$15+1,25,30,35,40,45,50)/100*(Inputs!$B$11-Inputs!$B$11),0))))/100+(Inputs!$B$23+(IF(ArtifactsInput!$M$15,CHOOSE(ArtifactsInput!$N$15+1,25,30,35,40,45,50)/100*(Inputs!$B$11-Inputs!$B$11),0)))/100)/2</f>
        <v/>
      </c>
      <c r="M2280">
        <f>L2280*(1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0">
        <f>L2280*(1-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2280*(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0">
        <f>(1-Summary!$B$11)*S2280+Summary!$B$11*U2280</f>
        <v/>
      </c>
      <c r="P2280">
        <f>IF(B2311=0,0,O2280/B2311)</f>
        <v/>
      </c>
      <c r="Q2280">
        <f>IFERROR(1/(IF(Inputs!$B$38="pvp",15,MAX(0.1,Skills!E10-IF(Skills!F10=TRUE,Inputs!$B$32,0)))*(1-IF(AND(ArtifactsInput!$M$27,Inputs!$B$4="Chapter Hunt"),CHOOSE(ArtifactsInput!$N$27+1,20,24,28,32,36,40),0)/100)),0)</f>
        <v/>
      </c>
      <c r="R2280">
        <f>IF(AND(Inputs!$B$38&lt;&gt;"pvp",Inputs!$B$43&gt;0),IF(MAX(0,Inputs!$B$43-B2308)&lt;=0,0,(INT(MAX(0,Inputs!$B$43-B2308)/(IF(Inputs!$B$38="pvp",15,MAX(0.1,Skills!E10-IF(Skills!F10=TRUE,Inputs!$B$32,0)))*(1-IF(AND(ArtifactsInput!$M$27,Inputs!$B$4="Chapter Hunt"),CHOOSE(ArtifactsInput!$N$27+1,20,24,28,32,36,40),0)/100)))+1)),0)</f>
        <v/>
      </c>
      <c r="S2280">
        <f>IF(C2280,(H2280*N2280*IF(AND(Inputs!$B$38&lt;&gt;"pvp",Inputs!$B$43&gt;0),((Skills!G10*((R2280-1)*IF(Skills!H10&gt;0,Skills!I10/Skills!H10,1)+IF(Skills!H10&gt;0,MIN(Skills!I10,MAX(0,MAX(0,Inputs!$B$43-B2308)-((R2280-1)*(IF(Inputs!$B$38="pvp",15,MAX(0.1,Skills!E10-IF(Skills!F10=TRUE,Inputs!$B$32,0)))*(1-IF(AND(ArtifactsInput!$M$27,Inputs!$B$4="Chapter Hunt"),CHOOSE(ArtifactsInput!$N$27+1,20,24,28,32,36,40),0)/100)))))/Skills!H10,1)))/Inputs!$B$43),G2280*Q2280)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2280*(1-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2280*(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2280*(1-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2280*(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0">
        <f>IF(C2280,(H2280*N2280*IF(AND(Inputs!$B$38&lt;&gt;"pvp",Inputs!$B$43&gt;0),((Skills!G10*((R2280-1)*IF(Skills!H10&gt;0,Skills!I10/Skills!H10,1)+IF(Skills!H10&gt;0,MIN(Skills!I10,MAX(0,MAX(0,Inputs!$B$43-B2308)-((R2280-1)*(IF(Inputs!$B$38="pvp",15,MAX(0.1,Skills!E10-IF(Skills!F10=TRUE,Inputs!$B$32,0)))*(1-IF(AND(ArtifactsInput!$M$27,Inputs!$B$4="Chapter Hunt"),CHOOSE(ArtifactsInput!$N$27+1,20,24,28,32,36,40),0)/100)))))/Skills!H10,1)))/Inputs!$B$43),G2280*Q2280)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1">
      <c r="A2281">
        <f>Skills!A11</f>
        <v/>
      </c>
      <c r="B2281">
        <f>Skills!B11</f>
        <v/>
      </c>
      <c r="C2281">
        <f>TRUE</f>
        <v/>
      </c>
      <c r="D2281">
        <f>IF(Skills!C11=1,60+Inputs!$B$25+Inputs!$B$29,IF(Skills!C11=2,90+Inputs!$B$26+Inputs!$B$29,IF(Skills!C11=3,120+Inputs!$B$27+Inputs!$B$29,MAX(0,(Inputs!$B$3-100)*3)+Inputs!$B$28+Inputs!$B$29)))</f>
        <v/>
      </c>
      <c r="E2281">
        <f>INDEX(FactorTable!$B$2:$Y$301, MATCH(ROUND(MIN(300,MAX(1,D2281)),0), FactorTable!$A$2:$A$301,0), Skills!M11+1)</f>
        <v/>
      </c>
      <c r="F2281">
        <f>IF(Skills!N11=TRUE,(Skills!L11/10)*(E2281/1000),Skills!L11/10)+Skills!O11</f>
        <v/>
      </c>
      <c r="G2281">
        <f>Calc!G11</f>
        <v/>
      </c>
      <c r="H2281">
        <f>Calc!H11</f>
        <v/>
      </c>
      <c r="I2281">
        <f>IF(Skills!X11&lt;&gt;"",1+(Skills!X11/10)*(Z2273/1000)/100,1)</f>
        <v/>
      </c>
      <c r="J2281" t="inlineStr"/>
      <c r="K2281" t="inlineStr"/>
      <c r="L2281" t="inlineStr"/>
      <c r="M2281" t="inlineStr"/>
      <c r="N2281" t="inlineStr"/>
      <c r="O2281">
        <f>(1-Summary!$B$11)*S2281+Summary!$B$11*U2281</f>
        <v/>
      </c>
      <c r="P2281">
        <f>IF(B2311=0,0,O2281/B2311)</f>
        <v/>
      </c>
      <c r="Q2281">
        <f>IFERROR(1/(IF(Inputs!$B$38="pvp",15,MAX(0.1,Skills!E11-IF(Skills!F11=TRUE,Inputs!$B$32,0)))*(1-IF(AND(ArtifactsInput!$M$27,Inputs!$B$4="Chapter Hunt"),CHOOSE(ArtifactsInput!$N$27+1,20,24,28,32,36,40),0)/100)),0)</f>
        <v/>
      </c>
      <c r="R2281" t="n">
        <v>0</v>
      </c>
      <c r="S2281" t="n">
        <v>0</v>
      </c>
      <c r="U2281" t="n">
        <v>0</v>
      </c>
    </row>
    <row r="2282">
      <c r="A2282">
        <f>Skills!A12</f>
        <v/>
      </c>
      <c r="B2282">
        <f>Skills!B12</f>
        <v/>
      </c>
      <c r="C2282">
        <f>TRUE</f>
        <v/>
      </c>
      <c r="D2282">
        <f>IF(Skills!C12=1,60+Inputs!$B$25+Inputs!$B$29,IF(Skills!C12=2,90+Inputs!$B$26+Inputs!$B$29,IF(Skills!C12=3,120+Inputs!$B$27+Inputs!$B$29,MAX(0,(Inputs!$B$3-100)*3)+Inputs!$B$28+Inputs!$B$29)))</f>
        <v/>
      </c>
      <c r="E2282">
        <f>INDEX(FactorTable!$B$2:$Y$301, MATCH(ROUND(MIN(300,MAX(1,D2282)),0), FactorTable!$A$2:$A$301,0), Skills!M12+1)</f>
        <v/>
      </c>
      <c r="F2282">
        <f>IF(Skills!N12=TRUE,(Skills!L12/10)*(E2282/1000),Skills!L12/10)+Skills!O12</f>
        <v/>
      </c>
      <c r="G2282">
        <f>Calc!G12</f>
        <v/>
      </c>
      <c r="H2282">
        <f>Calc!H12</f>
        <v/>
      </c>
      <c r="I2282">
        <f>IF(Skills!X12&lt;&gt;"",1+(Skills!X12/10)*(Z2273/1000)/100,1)</f>
        <v/>
      </c>
      <c r="J2282" t="inlineStr"/>
      <c r="K2282" t="inlineStr"/>
      <c r="L2282" t="inlineStr"/>
      <c r="M2282" t="inlineStr"/>
      <c r="N2282" t="inlineStr"/>
      <c r="O2282">
        <f>(1-Summary!$B$11)*S2282+Summary!$B$11*U2282</f>
        <v/>
      </c>
      <c r="P2282">
        <f>IF(B2311=0,0,O2282/B2311)</f>
        <v/>
      </c>
      <c r="Q2282">
        <f>IFERROR(1/(IF(Inputs!$B$38="pvp",15,MAX(0.1,Skills!E12-IF(Skills!F12=TRUE,Inputs!$B$32,0)))*(1-IF(AND(ArtifactsInput!$M$27,Inputs!$B$4="Chapter Hunt"),CHOOSE(ArtifactsInput!$N$27+1,20,24,28,32,36,40),0)/100)),0)</f>
        <v/>
      </c>
      <c r="R2282" t="n">
        <v>0</v>
      </c>
      <c r="S2282" t="n">
        <v>0</v>
      </c>
      <c r="U2282" t="n">
        <v>0</v>
      </c>
    </row>
    <row r="2283">
      <c r="A2283">
        <f>Skills!A13</f>
        <v/>
      </c>
      <c r="B2283">
        <f>Skills!B13</f>
        <v/>
      </c>
      <c r="C2283">
        <f>Inputs!$B$3&gt;=105</f>
        <v/>
      </c>
      <c r="D2283">
        <f>IF(Skills!C13=1,60+Inputs!$B$25+Inputs!$B$29,IF(Skills!C13=2,90+Inputs!$B$26+Inputs!$B$29,IF(Skills!C13=3,120+Inputs!$B$27+Inputs!$B$29,MAX(0,(Inputs!$B$3-100)*3)+Inputs!$B$28+Inputs!$B$29)))</f>
        <v/>
      </c>
      <c r="E2283">
        <f>INDEX(FactorTable!$B$2:$Y$301, MATCH(ROUND(MIN(300,MAX(1,D2283)),0), FactorTable!$A$2:$A$301,0), Skills!M13+1)</f>
        <v/>
      </c>
      <c r="F2283">
        <f>IF(Skills!N13=TRUE,(Skills!L13/10)*(E2283/1000),Skills!L13/10)+Skills!O13</f>
        <v/>
      </c>
      <c r="G2283">
        <f>Calc!G13</f>
        <v/>
      </c>
      <c r="H2283">
        <f>Calc!H13</f>
        <v/>
      </c>
      <c r="I2283">
        <f>IF(Skills!X13&lt;&gt;"",1+(Skills!X13/10)*(Z2273/1000)/100,1)</f>
        <v/>
      </c>
      <c r="J2283">
        <f>((Inputs!$B$6*(1+Inputs!$B$7/100))+(((Inputs!$B$12*(1+Inputs!$B$13/100))-(Inputs!$B$12*(1+Inputs!$B$13/100)))+0.25*(Inputs!$B$14-Inputs!$B$14))*(1+Inputs!$B$7/100))*(F2283/100)</f>
        <v/>
      </c>
      <c r="K2283">
        <f>J2283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2283)</f>
        <v/>
      </c>
      <c r="L2283">
        <f>K2283*(MIN(Inputs!$B$22+(F2292-Calc!F22),(Inputs!$B$23+(IF(ArtifactsInput!$M$15,CHOOSE(ArtifactsInput!$N$15+1,25,30,35,40,45,50)/100*(Inputs!$B$11-Inputs!$B$11),0))))/100+(Inputs!$B$23+(IF(ArtifactsInput!$M$15,CHOOSE(ArtifactsInput!$N$15+1,25,30,35,40,45,50)/100*(Inputs!$B$11-Inputs!$B$11),0)))/100)/2</f>
        <v/>
      </c>
      <c r="M2283">
        <f>L2283*(1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3">
        <f>L2283*(1-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2283*(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3">
        <f>(1-Summary!$B$11)*S2283+Summary!$B$11*U2283</f>
        <v/>
      </c>
      <c r="P2283">
        <f>IF(B2311=0,0,O2283/B2311)</f>
        <v/>
      </c>
      <c r="Q2283">
        <f>IFERROR(1/(IF(Inputs!$B$38="pvp",15,MAX(0.1,Skills!E13-IF(Skills!F13=TRUE,Inputs!$B$32,0)))*(1-IF(AND(ArtifactsInput!$M$27,Inputs!$B$4="Chapter Hunt"),CHOOSE(ArtifactsInput!$N$27+1,20,24,28,32,36,40),0)/100)),0)</f>
        <v/>
      </c>
      <c r="R2283">
        <f>IF(AND(Inputs!$B$38&lt;&gt;"pvp",Inputs!$B$43&gt;0),IF(MAX(0,Inputs!$B$43-B2308)&lt;=0,0,(INT(MAX(0,Inputs!$B$43-B2308)/(IF(Inputs!$B$38="pvp",15,MAX(0.1,Skills!E13-IF(Skills!F13=TRUE,Inputs!$B$32,0)))*(1-IF(AND(ArtifactsInput!$M$27,Inputs!$B$4="Chapter Hunt"),CHOOSE(ArtifactsInput!$N$27+1,20,24,28,32,36,40),0)/100)))+1)),0)</f>
        <v/>
      </c>
      <c r="S2283">
        <f>IF(C2283,(H2283*N2283*IF(AND(Inputs!$B$38&lt;&gt;"pvp",Inputs!$B$43&gt;0),((Skills!G13*((R2283-1)*IF(Skills!H13&gt;0,Skills!I13/Skills!H13,1)+IF(Skills!H13&gt;0,MIN(Skills!I13,MAX(0,MAX(0,Inputs!$B$43-B2308)-((R2283-1)*(IF(Inputs!$B$38="pvp",15,MAX(0.1,Skills!E13-IF(Skills!F13=TRUE,Inputs!$B$32,0)))*(1-IF(AND(ArtifactsInput!$M$27,Inputs!$B$4="Chapter Hunt"),CHOOSE(ArtifactsInput!$N$27+1,20,24,28,32,36,40),0)/100)))))/Skills!H13,1)))/Inputs!$B$43),G2283*Q2283)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2283*(1-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2283*(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2283*(1-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2283*(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3">
        <f>IF(C2283,(H2283*N2283*IF(AND(Inputs!$B$38&lt;&gt;"pvp",Inputs!$B$43&gt;0),((Skills!G13*((R2283-1)*IF(Skills!H13&gt;0,Skills!I13/Skills!H13,1)+IF(Skills!H13&gt;0,MIN(Skills!I13,MAX(0,MAX(0,Inputs!$B$43-B2308)-((R2283-1)*(IF(Inputs!$B$38="pvp",15,MAX(0.1,Skills!E13-IF(Skills!F13=TRUE,Inputs!$B$32,0)))*(1-IF(AND(ArtifactsInput!$M$27,Inputs!$B$4="Chapter Hunt"),CHOOSE(ArtifactsInput!$N$27+1,20,24,28,32,36,40),0)/100)))))/Skills!H13,1)))/Inputs!$B$43),G2283*Q2283)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4">
      <c r="A2284">
        <f>Skills!A14</f>
        <v/>
      </c>
      <c r="B2284">
        <f>Skills!B14</f>
        <v/>
      </c>
      <c r="C2284">
        <f>Inputs!$B$3&gt;=113</f>
        <v/>
      </c>
      <c r="D2284">
        <f>IF(Skills!C14=1,60+Inputs!$B$25+Inputs!$B$29,IF(Skills!C14=2,90+Inputs!$B$26+Inputs!$B$29,IF(Skills!C14=3,120+Inputs!$B$27+Inputs!$B$29,MAX(0,(Inputs!$B$3-100)*3)+Inputs!$B$28+Inputs!$B$29)))</f>
        <v/>
      </c>
      <c r="E2284">
        <f>INDEX(FactorTable!$B$2:$Y$301, MATCH(ROUND(MIN(300,MAX(1,D2284)),0), FactorTable!$A$2:$A$301,0), Skills!M14+1)</f>
        <v/>
      </c>
      <c r="F2284">
        <f>IF(Skills!N14=TRUE,(Skills!L14/10)*(E2284/1000),Skills!L14/10)+Skills!O14</f>
        <v/>
      </c>
      <c r="G2284">
        <f>Calc!G14</f>
        <v/>
      </c>
      <c r="H2284">
        <f>Calc!H14</f>
        <v/>
      </c>
      <c r="I2284">
        <f>IF(Skills!X14&lt;&gt;"",1+(Skills!X14/10)*(Z2273/1000)/100,1)</f>
        <v/>
      </c>
      <c r="J2284">
        <f>((Inputs!$B$6*(1+Inputs!$B$7/100))+(((Inputs!$B$12*(1+Inputs!$B$13/100))-(Inputs!$B$12*(1+Inputs!$B$13/100)))+0.25*(Inputs!$B$14-Inputs!$B$14))*(1+Inputs!$B$7/100))*(F2284/100)</f>
        <v/>
      </c>
      <c r="K2284">
        <f>J2284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2284)</f>
        <v/>
      </c>
      <c r="L2284">
        <f>K2284*(MIN(Inputs!$B$22+(F2292-Calc!F22),(Inputs!$B$23+(IF(ArtifactsInput!$M$15,CHOOSE(ArtifactsInput!$N$15+1,25,30,35,40,45,50)/100*(Inputs!$B$11-Inputs!$B$11),0))))/100+(Inputs!$B$23+(IF(ArtifactsInput!$M$15,CHOOSE(ArtifactsInput!$N$15+1,25,30,35,40,45,50)/100*(Inputs!$B$11-Inputs!$B$11),0)))/100)/2</f>
        <v/>
      </c>
      <c r="M2284">
        <f>L2284*(1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4">
        <f>L2284*(1-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2284*(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4">
        <f>(1-Summary!$B$11)*S2284+Summary!$B$11*U2284</f>
        <v/>
      </c>
      <c r="P2284">
        <f>IF(B2311=0,0,O2284/B2311)</f>
        <v/>
      </c>
      <c r="Q2284">
        <f>IFERROR(1/(IF(Inputs!$B$38="pvp",15,MAX(0.1,Skills!E14-IF(Skills!F14=TRUE,Inputs!$B$32,0)))*(1-IF(AND(ArtifactsInput!$M$27,Inputs!$B$4="Chapter Hunt"),CHOOSE(ArtifactsInput!$N$27+1,20,24,28,32,36,40),0)/100)),0)</f>
        <v/>
      </c>
      <c r="R2284" t="n">
        <v>0</v>
      </c>
      <c r="S2284">
        <f>IF(C2284,((H2284*B2307)/(1+Skills!H14*H2284*B2307)*N2284)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2284*(1-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2284*(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2284*(1-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2284*(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4">
        <f>IF(C2284,((H2284*B2307)/(1+Skills!H14*H2284*B2307)*N2284)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5">
      <c r="A2285">
        <f>Skills!A15</f>
        <v/>
      </c>
      <c r="B2285">
        <f>Skills!B15</f>
        <v/>
      </c>
      <c r="C2285">
        <f>Inputs!$B$3&gt;=107</f>
        <v/>
      </c>
      <c r="D2285">
        <f>IF(Skills!C15=1,60+Inputs!$B$25+Inputs!$B$29,IF(Skills!C15=2,90+Inputs!$B$26+Inputs!$B$29,IF(Skills!C15=3,120+Inputs!$B$27+Inputs!$B$29,MAX(0,(Inputs!$B$3-100)*3)+Inputs!$B$28+Inputs!$B$29)))</f>
        <v/>
      </c>
      <c r="E2285">
        <f>INDEX(FactorTable!$B$2:$Y$301, MATCH(ROUND(MIN(300,MAX(1,D2285)),0), FactorTable!$A$2:$A$301,0), Skills!M15+1)</f>
        <v/>
      </c>
      <c r="F2285">
        <f>IF(Skills!N15=TRUE,(Skills!L15/10)*(E2285/1000),Skills!L15/10)+Skills!O15</f>
        <v/>
      </c>
      <c r="G2285">
        <f>Calc!G15</f>
        <v/>
      </c>
      <c r="H2285">
        <f>Calc!H15</f>
        <v/>
      </c>
      <c r="I2285">
        <f>IF(Skills!X15&lt;&gt;"",1+(Skills!X15/10)*(Z2273/1000)/100,1)</f>
        <v/>
      </c>
      <c r="J2285">
        <f>((Inputs!$B$6*(1+Inputs!$B$7/100))+(((Inputs!$B$12*(1+Inputs!$B$13/100))-(Inputs!$B$12*(1+Inputs!$B$13/100)))+0.25*(Inputs!$B$14-Inputs!$B$14))*(1+Inputs!$B$7/100))*(F2285/100)</f>
        <v/>
      </c>
      <c r="K2285">
        <f>J2285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2285)</f>
        <v/>
      </c>
      <c r="L2285">
        <f>K2285*(MIN(Inputs!$B$22+(F2292-Calc!F22),(Inputs!$B$23+(IF(ArtifactsInput!$M$15,CHOOSE(ArtifactsInput!$N$15+1,25,30,35,40,45,50)/100*(Inputs!$B$11-Inputs!$B$11),0))))/100+(Inputs!$B$23+(IF(ArtifactsInput!$M$15,CHOOSE(ArtifactsInput!$N$15+1,25,30,35,40,45,50)/100*(Inputs!$B$11-Inputs!$B$11),0)))/100)/2</f>
        <v/>
      </c>
      <c r="M2285">
        <f>L2285*(1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5">
        <f>L2285*(1-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2285*(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5">
        <f>(1-Summary!$B$11)*S2285+Summary!$B$11*U2285</f>
        <v/>
      </c>
      <c r="P2285">
        <f>IF(B2311=0,0,O2285/B2311)</f>
        <v/>
      </c>
      <c r="Q2285">
        <f>IFERROR(1/(IF(Inputs!$B$38="pvp",15,MAX(0.1,Skills!E15-IF(Skills!F15=TRUE,Inputs!$B$32,0)))*(1-IF(AND(ArtifactsInput!$M$27,Inputs!$B$4="Chapter Hunt"),CHOOSE(ArtifactsInput!$N$27+1,20,24,28,32,36,40),0)/100)),0)</f>
        <v/>
      </c>
      <c r="R2285">
        <f>IF(AND(Inputs!$B$38&lt;&gt;"pvp",Inputs!$B$43&gt;0),IF(MAX(0,Inputs!$B$43-B2308)&lt;=0,0,(INT(MAX(0,Inputs!$B$43-B2308)/(IF(Inputs!$B$38="pvp",15,MAX(0.1,Skills!E15-IF(Skills!F15=TRUE,Inputs!$B$32,0)))*(1-IF(AND(ArtifactsInput!$M$27,Inputs!$B$4="Chapter Hunt"),CHOOSE(ArtifactsInput!$N$27+1,20,24,28,32,36,40),0)/100)))+1)),0)</f>
        <v/>
      </c>
      <c r="S2285">
        <f>IF(C2285,(H2285*N2285*IF(AND(Inputs!$B$38&lt;&gt;"pvp",Inputs!$B$43&gt;0),((Skills!G15*((R2285-1)*IF(Skills!H15&gt;0,Skills!I15/Skills!H15,1)+IF(Skills!H15&gt;0,MIN(Skills!I15,MAX(0,MAX(0,Inputs!$B$43-B2308)-((R2285-1)*(IF(Inputs!$B$38="pvp",15,MAX(0.1,Skills!E15-IF(Skills!F15=TRUE,Inputs!$B$32,0)))*(1-IF(AND(ArtifactsInput!$M$27,Inputs!$B$4="Chapter Hunt"),CHOOSE(ArtifactsInput!$N$27+1,20,24,28,32,36,40),0)/100)))))/Skills!H15,1)))/Inputs!$B$43),G2285*Q2285)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2285*(1-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2285*(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2285*(1-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2285*(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5">
        <f>IF(C2285,(H2285*N2285*IF(AND(Inputs!$B$38&lt;&gt;"pvp",Inputs!$B$43&gt;0),((Skills!G15*((R2285-1)*IF(Skills!H15&gt;0,Skills!I15/Skills!H15,1)+IF(Skills!H15&gt;0,MIN(Skills!I15,MAX(0,MAX(0,Inputs!$B$43-B2308)-((R2285-1)*(IF(Inputs!$B$38="pvp",15,MAX(0.1,Skills!E15-IF(Skills!F15=TRUE,Inputs!$B$32,0)))*(1-IF(AND(ArtifactsInput!$M$27,Inputs!$B$4="Chapter Hunt"),CHOOSE(ArtifactsInput!$N$27+1,20,24,28,32,36,40),0)/100)))))/Skills!H15,1)))/Inputs!$B$43),G2285*Q2285)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6">
      <c r="A2286">
        <f>Skills!A16</f>
        <v/>
      </c>
      <c r="B2286">
        <f>Skills!B16</f>
        <v/>
      </c>
      <c r="C2286">
        <f>Inputs!$B$3&gt;=107</f>
        <v/>
      </c>
      <c r="D2286">
        <f>IF(Skills!C16=1,60+Inputs!$B$25+Inputs!$B$29,IF(Skills!C16=2,90+Inputs!$B$26+Inputs!$B$29,IF(Skills!C16=3,120+Inputs!$B$27+Inputs!$B$29,MAX(0,(Inputs!$B$3-100)*3)+Inputs!$B$28+Inputs!$B$29)))</f>
        <v/>
      </c>
      <c r="E2286">
        <f>INDEX(FactorTable!$B$2:$Y$301, MATCH(ROUND(MIN(300,MAX(1,D2286)),0), FactorTable!$A$2:$A$301,0), Skills!M16+1)</f>
        <v/>
      </c>
      <c r="F2286">
        <f>IF(Skills!N16=TRUE,(Skills!L16/10)*(E2286/1000),Skills!L16/10)+Skills!O16</f>
        <v/>
      </c>
      <c r="G2286">
        <f>Calc!G16</f>
        <v/>
      </c>
      <c r="H2286">
        <f>Calc!H16</f>
        <v/>
      </c>
      <c r="I2286">
        <f>IF(Skills!X16&lt;&gt;"",1+(Skills!X16/10)*(Z2273/1000)/100,1)</f>
        <v/>
      </c>
      <c r="J2286">
        <f>((Inputs!$B$6*(1+Inputs!$B$7/100))+(((Inputs!$B$12*(1+Inputs!$B$13/100))-(Inputs!$B$12*(1+Inputs!$B$13/100)))+0.25*(Inputs!$B$14-Inputs!$B$14))*(1+Inputs!$B$7/100))*(F2286/100)</f>
        <v/>
      </c>
      <c r="K2286">
        <f>J2286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2286)</f>
        <v/>
      </c>
      <c r="L2286">
        <f>K2286*(MIN(Inputs!$B$22+(F2292-Calc!F22),(Inputs!$B$23+(IF(ArtifactsInput!$M$15,CHOOSE(ArtifactsInput!$N$15+1,25,30,35,40,45,50)/100*(Inputs!$B$11-Inputs!$B$11),0))))/100+(Inputs!$B$23+(IF(ArtifactsInput!$M$15,CHOOSE(ArtifactsInput!$N$15+1,25,30,35,40,45,50)/100*(Inputs!$B$11-Inputs!$B$11),0)))/100)/2</f>
        <v/>
      </c>
      <c r="M2286">
        <f>L2286*(1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6">
        <f>L2286*(1-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2286*(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6">
        <f>(1-Summary!$B$11)*S2286+Summary!$B$11*U2286</f>
        <v/>
      </c>
      <c r="P2286">
        <f>IF(B2311=0,0,O2286/B2311)</f>
        <v/>
      </c>
      <c r="Q2286">
        <f>IFERROR(1/(IF(Inputs!$B$38="pvp",15,MAX(0.1,Skills!E16-IF(Skills!F16=TRUE,Inputs!$B$32,0)))*(1-IF(AND(ArtifactsInput!$M$27,Inputs!$B$4="Chapter Hunt"),CHOOSE(ArtifactsInput!$N$27+1,20,24,28,32,36,40),0)/100)),0)</f>
        <v/>
      </c>
      <c r="R2286">
        <f>IF(AND(Inputs!$B$38&lt;&gt;"pvp",Inputs!$B$43&gt;0),IF(MAX(0,Inputs!$B$43-B2308)&lt;=0,0,(INT(MAX(0,Inputs!$B$43-B2308)/(IF(Inputs!$B$38="pvp",15,MAX(0.1,Skills!E16-IF(Skills!F16=TRUE,Inputs!$B$32,0)))*(1-IF(AND(ArtifactsInput!$M$27,Inputs!$B$4="Chapter Hunt"),CHOOSE(ArtifactsInput!$N$27+1,20,24,28,32,36,40),0)/100)))+1)),0)</f>
        <v/>
      </c>
      <c r="S2286">
        <f>IF(C2286,(H2286*N2286*IF(AND(Inputs!$B$38&lt;&gt;"pvp",Inputs!$B$43&gt;0),((Skills!G16*((R2286-1)*IF(Skills!H16&gt;0,Skills!I16/Skills!H16,1)+IF(Skills!H16&gt;0,MIN(Skills!I16,MAX(0,MAX(0,Inputs!$B$43-B2308)-((R2286-1)*(IF(Inputs!$B$38="pvp",15,MAX(0.1,Skills!E16-IF(Skills!F16=TRUE,Inputs!$B$32,0)))*(1-IF(AND(ArtifactsInput!$M$27,Inputs!$B$4="Chapter Hunt"),CHOOSE(ArtifactsInput!$N$27+1,20,24,28,32,36,40),0)/100)))))/Skills!H16,1)))/Inputs!$B$43),G2286*Q2286)*(1+IF(Inputs!$B$3&gt;=126,0.05*(B2306+Q2283+(H2284*B2307)/(1+Skills!H14*H2284*B2307)+Q2294)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2286*(1-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2286*(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2286*(1-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2286*(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6">
        <f>IF(C2286,(H2286*N2286*IF(AND(Inputs!$B$38&lt;&gt;"pvp",Inputs!$B$43&gt;0),((Skills!G16*((R2286-1)*IF(Skills!H16&gt;0,Skills!I16/Skills!H16,1)+IF(Skills!H16&gt;0,MIN(Skills!I16,MAX(0,MAX(0,Inputs!$B$43-B2308)-((R2286-1)*(IF(Inputs!$B$38="pvp",15,MAX(0.1,Skills!E16-IF(Skills!F16=TRUE,Inputs!$B$32,0)))*(1-IF(AND(ArtifactsInput!$M$27,Inputs!$B$4="Chapter Hunt"),CHOOSE(ArtifactsInput!$N$27+1,20,24,28,32,36,40),0)/100)))))/Skills!H16,1)))/Inputs!$B$43),G2286*Q2286)*(1+IF(Inputs!$B$3&gt;=126,0.05*(B2306+Q2283+(H2284*B2307)/(1+Skills!H14*H2284*B2307)+Q2294)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7">
      <c r="A2287">
        <f>Skills!A17</f>
        <v/>
      </c>
      <c r="B2287">
        <f>Skills!B17</f>
        <v/>
      </c>
      <c r="C2287">
        <f>TRUE</f>
        <v/>
      </c>
      <c r="D2287">
        <f>IF(Skills!C17=1,60+Inputs!$B$25+Inputs!$B$29,IF(Skills!C17=2,90+Inputs!$B$26+Inputs!$B$29,IF(Skills!C17=3,120+Inputs!$B$27+Inputs!$B$29,MAX(0,(Inputs!$B$3-100)*3)+Inputs!$B$28+Inputs!$B$29)))</f>
        <v/>
      </c>
      <c r="E2287">
        <f>INDEX(FactorTable!$B$2:$Y$301, MATCH(ROUND(MIN(300,MAX(1,D2287)),0), FactorTable!$A$2:$A$301,0), Skills!M17+1)</f>
        <v/>
      </c>
      <c r="F2287">
        <f>IF(Skills!N17=TRUE,(Skills!L17/10)*(E2287/1000),Skills!L17/10)+Skills!O17</f>
        <v/>
      </c>
      <c r="G2287">
        <f>Calc!G17</f>
        <v/>
      </c>
      <c r="H2287">
        <f>Calc!H17</f>
        <v/>
      </c>
      <c r="I2287">
        <f>IF(Skills!X17&lt;&gt;"",1+(Skills!X17/10)*(Z2273/1000)/100,1)</f>
        <v/>
      </c>
      <c r="J2287" t="inlineStr"/>
      <c r="K2287" t="inlineStr"/>
      <c r="L2287" t="inlineStr"/>
      <c r="M2287" t="inlineStr"/>
      <c r="N2287" t="inlineStr"/>
      <c r="O2287">
        <f>(1-Summary!$B$11)*S2287+Summary!$B$11*U2287</f>
        <v/>
      </c>
      <c r="P2287">
        <f>IF(B2311=0,0,O2287/B2311)</f>
        <v/>
      </c>
      <c r="Q2287">
        <f>IFERROR(1/(IF(Inputs!$B$38="pvp",15,MAX(0.1,Skills!E17-IF(Skills!F17=TRUE,Inputs!$B$32,0)))*(1-IF(AND(ArtifactsInput!$M$27,Inputs!$B$4="Chapter Hunt"),CHOOSE(ArtifactsInput!$N$27+1,20,24,28,32,36,40),0)/100)),0)</f>
        <v/>
      </c>
      <c r="R2287">
        <f>IF(AND(Inputs!$B$38&lt;&gt;"pvp",Inputs!$B$43&gt;0),IF(Inputs!$B$43&lt;=0,0,(INT(Inputs!$B$43/(IF(Inputs!$B$38="pvp",15,MAX(0.1,Skills!E17-IF(Skills!F17=TRUE,Inputs!$B$32,0)))*(1-IF(AND(ArtifactsInput!$M$27,Inputs!$B$4="Chapter Hunt"),CHOOSE(ArtifactsInput!$N$27+1,20,24,28,32,36,40),0)/100)))+1)),0)</f>
        <v/>
      </c>
      <c r="S2287" t="n">
        <v>0</v>
      </c>
      <c r="U2287" t="n">
        <v>0</v>
      </c>
    </row>
    <row r="2288">
      <c r="A2288">
        <f>Skills!A18</f>
        <v/>
      </c>
      <c r="B2288">
        <f>Skills!B18</f>
        <v/>
      </c>
      <c r="C2288">
        <f>TRUE</f>
        <v/>
      </c>
      <c r="D2288">
        <f>IF(Skills!C18=1,60+Inputs!$B$25+Inputs!$B$29,IF(Skills!C18=2,90+Inputs!$B$26+Inputs!$B$29,IF(Skills!C18=3,120+Inputs!$B$27+Inputs!$B$29,MAX(0,(Inputs!$B$3-100)*3)+Inputs!$B$28+Inputs!$B$29)))</f>
        <v/>
      </c>
      <c r="E2288">
        <f>INDEX(FactorTable!$B$2:$Y$301, MATCH(ROUND(MIN(300,MAX(1,D2288)),0), FactorTable!$A$2:$A$301,0), Skills!M18+1)</f>
        <v/>
      </c>
      <c r="F2288">
        <f>IF(Skills!N18=TRUE,(Skills!L18/10)*(E2288/1000),Skills!L18/10)+Skills!O18</f>
        <v/>
      </c>
      <c r="G2288">
        <f>Calc!G18</f>
        <v/>
      </c>
      <c r="H2288">
        <f>Calc!H18</f>
        <v/>
      </c>
      <c r="I2288">
        <f>IF(Skills!X18&lt;&gt;"",1+(Skills!X18/10)*(Z2273/1000)/100,1)</f>
        <v/>
      </c>
      <c r="J2288" t="inlineStr"/>
      <c r="K2288" t="inlineStr"/>
      <c r="L2288" t="inlineStr"/>
      <c r="M2288" t="inlineStr"/>
      <c r="N2288" t="inlineStr"/>
      <c r="O2288">
        <f>(1-Summary!$B$11)*S2288+Summary!$B$11*U2288</f>
        <v/>
      </c>
      <c r="P2288">
        <f>IF(B2311=0,0,O2288/B2311)</f>
        <v/>
      </c>
      <c r="Q2288">
        <f>IFERROR(1/(IF(Inputs!$B$38="pvp",15,MAX(0.1,Skills!E18-IF(Skills!F18=TRUE,Inputs!$B$32,0)))*(1-IF(AND(ArtifactsInput!$M$27,Inputs!$B$4="Chapter Hunt"),CHOOSE(ArtifactsInput!$N$27+1,20,24,28,32,36,40),0)/100)),0)</f>
        <v/>
      </c>
      <c r="R2288">
        <f>IF(AND(Inputs!$B$38&lt;&gt;"pvp",Inputs!$B$43&gt;0),IF(Inputs!$B$43&lt;=0,0,(INT(Inputs!$B$43/(IF(Inputs!$B$38="pvp",15,MAX(0.1,Skills!E18-IF(Skills!F18=TRUE,Inputs!$B$32,0)))*(1-IF(AND(ArtifactsInput!$M$27,Inputs!$B$4="Chapter Hunt"),CHOOSE(ArtifactsInput!$N$27+1,20,24,28,32,36,40),0)/100)))+1)),0)</f>
        <v/>
      </c>
      <c r="S2288" t="n">
        <v>0</v>
      </c>
      <c r="U2288" t="n">
        <v>0</v>
      </c>
    </row>
    <row r="2289">
      <c r="A2289">
        <f>Skills!A19</f>
        <v/>
      </c>
      <c r="B2289">
        <f>Skills!B19</f>
        <v/>
      </c>
      <c r="C2289">
        <f>Inputs!$B$3&gt;=110</f>
        <v/>
      </c>
      <c r="D2289">
        <f>IF(Skills!C19=1,60+Inputs!$B$25+Inputs!$B$29,IF(Skills!C19=2,90+Inputs!$B$26+Inputs!$B$29,IF(Skills!C19=3,120+Inputs!$B$27+Inputs!$B$29,MAX(0,(Inputs!$B$3-100)*3)+Inputs!$B$28+Inputs!$B$29)))</f>
        <v/>
      </c>
      <c r="E2289">
        <f>INDEX(FactorTable!$B$2:$Y$301, MATCH(ROUND(MIN(300,MAX(1,D2289)),0), FactorTable!$A$2:$A$301,0), Skills!M19+1)</f>
        <v/>
      </c>
      <c r="F2289">
        <f>IF(Skills!N19=TRUE,(Skills!L19/10)*(E2289/1000),Skills!L19/10)+Skills!O19</f>
        <v/>
      </c>
      <c r="G2289">
        <f>Calc!G19</f>
        <v/>
      </c>
      <c r="H2289">
        <f>Calc!H19</f>
        <v/>
      </c>
      <c r="I2289">
        <f>IF(Skills!X19&lt;&gt;"",1+(Skills!X19/10)*(Z2273/1000)/100,1)</f>
        <v/>
      </c>
      <c r="J2289" t="inlineStr"/>
      <c r="K2289" t="inlineStr"/>
      <c r="L2289" t="inlineStr"/>
      <c r="M2289" t="inlineStr"/>
      <c r="N2289" t="inlineStr"/>
      <c r="O2289">
        <f>(1-Summary!$B$11)*S2289+Summary!$B$11*U2289</f>
        <v/>
      </c>
      <c r="P2289">
        <f>IF(B2311=0,0,O2289/B2311)</f>
        <v/>
      </c>
      <c r="Q2289">
        <f>IFERROR(1/(IF(Inputs!$B$38="pvp",15,MAX(0.1,Skills!E19-IF(Skills!F19=TRUE,Inputs!$B$32,0)))*(1-IF(AND(ArtifactsInput!$M$27,Inputs!$B$4="Chapter Hunt"),CHOOSE(ArtifactsInput!$N$27+1,20,24,28,32,36,40),0)/100)),0)</f>
        <v/>
      </c>
      <c r="R2289">
        <f>IF(AND(Inputs!$B$38&lt;&gt;"pvp",Inputs!$B$43&gt;0),IF(Inputs!$B$43&lt;=0,0,(INT(Inputs!$B$43/(IF(Inputs!$B$38="pvp",15,MAX(0.1,Skills!E19-IF(Skills!F19=TRUE,Inputs!$B$32,0)))*(1-IF(AND(ArtifactsInput!$M$27,Inputs!$B$4="Chapter Hunt"),CHOOSE(ArtifactsInput!$N$27+1,20,24,28,32,36,40),0)/100)))+1)),0)</f>
        <v/>
      </c>
      <c r="S2289" t="n">
        <v>0</v>
      </c>
      <c r="U2289" t="n">
        <v>0</v>
      </c>
    </row>
    <row r="2290">
      <c r="A2290">
        <f>Skills!A20</f>
        <v/>
      </c>
      <c r="B2290">
        <f>Skills!B20</f>
        <v/>
      </c>
      <c r="C2290">
        <f>TRUE</f>
        <v/>
      </c>
      <c r="D2290">
        <f>IF(Skills!C20=1,60+Inputs!$B$25+Inputs!$B$29,IF(Skills!C20=2,90+Inputs!$B$26+Inputs!$B$29,IF(Skills!C20=3,120+Inputs!$B$27+Inputs!$B$29,MAX(0,(Inputs!$B$3-100)*3)+Inputs!$B$28+Inputs!$B$29)))</f>
        <v/>
      </c>
      <c r="E2290">
        <f>INDEX(FactorTable!$B$2:$Y$301, MATCH(ROUND(MIN(300,MAX(1,D2290)),0), FactorTable!$A$2:$A$301,0), Skills!M20+1)</f>
        <v/>
      </c>
      <c r="F2290">
        <f>IF(Skills!N20=TRUE,(Skills!L20/10)*(E2290/1000),Skills!L20/10)+Skills!O20</f>
        <v/>
      </c>
      <c r="G2290">
        <f>Calc!G20</f>
        <v/>
      </c>
      <c r="H2290">
        <f>Calc!H20</f>
        <v/>
      </c>
      <c r="I2290">
        <f>IF(Skills!X20&lt;&gt;"",1+(Skills!X20/10)*(Z2273/1000)/100,1)</f>
        <v/>
      </c>
      <c r="J2290" t="inlineStr"/>
      <c r="K2290" t="inlineStr"/>
      <c r="L2290" t="inlineStr"/>
      <c r="M2290" t="inlineStr"/>
      <c r="N2290" t="inlineStr"/>
      <c r="O2290">
        <f>(1-Summary!$B$11)*S2290+Summary!$B$11*U2290</f>
        <v/>
      </c>
      <c r="P2290">
        <f>IF(B2311=0,0,O2290/B2311)</f>
        <v/>
      </c>
      <c r="Q2290">
        <f>IFERROR(1/(IF(Inputs!$B$38="pvp",15,MAX(0.1,Skills!E20-IF(Skills!F20=TRUE,Inputs!$B$32,0)))*(1-IF(AND(ArtifactsInput!$M$27,Inputs!$B$4="Chapter Hunt"),CHOOSE(ArtifactsInput!$N$27+1,20,24,28,32,36,40),0)/100)),0)</f>
        <v/>
      </c>
      <c r="R2290" t="n">
        <v>0</v>
      </c>
      <c r="S2290" t="n">
        <v>0</v>
      </c>
      <c r="U2290" t="n">
        <v>0</v>
      </c>
    </row>
    <row r="2291">
      <c r="A2291">
        <f>Skills!A21</f>
        <v/>
      </c>
      <c r="B2291">
        <f>Skills!B21</f>
        <v/>
      </c>
      <c r="C2291">
        <f>TRUE</f>
        <v/>
      </c>
      <c r="D2291">
        <f>IF(Skills!C21=1,60+Inputs!$B$25+Inputs!$B$29,IF(Skills!C21=2,90+Inputs!$B$26+Inputs!$B$29,IF(Skills!C21=3,120+Inputs!$B$27+Inputs!$B$29,MAX(0,(Inputs!$B$3-100)*3)+Inputs!$B$28+Inputs!$B$29)))</f>
        <v/>
      </c>
      <c r="E2291">
        <f>INDEX(FactorTable!$B$2:$Y$301, MATCH(ROUND(MIN(300,MAX(1,D2291)),0), FactorTable!$A$2:$A$301,0), Skills!M21+1)</f>
        <v/>
      </c>
      <c r="F2291">
        <f>IF(Skills!N21=TRUE,(Skills!L21/10)*(E2291/1000),Skills!L21/10)+Skills!O21</f>
        <v/>
      </c>
      <c r="G2291">
        <f>Calc!G21</f>
        <v/>
      </c>
      <c r="H2291">
        <f>Calc!H21</f>
        <v/>
      </c>
      <c r="I2291">
        <f>IF(Skills!X21&lt;&gt;"",1+(Skills!X21/10)*(Z2273/1000)/100,1)</f>
        <v/>
      </c>
      <c r="J2291" t="inlineStr"/>
      <c r="K2291" t="inlineStr"/>
      <c r="L2291" t="inlineStr"/>
      <c r="M2291" t="inlineStr"/>
      <c r="N2291" t="inlineStr"/>
      <c r="O2291">
        <f>(1-Summary!$B$11)*S2291+Summary!$B$11*U2291</f>
        <v/>
      </c>
      <c r="P2291">
        <f>IF(B2311=0,0,O2291/B2311)</f>
        <v/>
      </c>
      <c r="Q2291">
        <f>IFERROR(1/(IF(Inputs!$B$38="pvp",15,MAX(0.1,Skills!E21-IF(Skills!F21=TRUE,Inputs!$B$32,0)))*(1-IF(AND(ArtifactsInput!$M$27,Inputs!$B$4="Chapter Hunt"),CHOOSE(ArtifactsInput!$N$27+1,20,24,28,32,36,40),0)/100)),0)</f>
        <v/>
      </c>
      <c r="R2291" t="n">
        <v>0</v>
      </c>
      <c r="S2291" t="n">
        <v>0</v>
      </c>
      <c r="U2291" t="n">
        <v>0</v>
      </c>
    </row>
    <row r="2292">
      <c r="A2292">
        <f>Skills!A22</f>
        <v/>
      </c>
      <c r="B2292">
        <f>Skills!B22</f>
        <v/>
      </c>
      <c r="C2292">
        <f>TRUE</f>
        <v/>
      </c>
      <c r="D2292">
        <f>IF(Skills!C22=1,60+Inputs!$B$25+Inputs!$B$29,IF(Skills!C22=2,90+Inputs!$B$26+Inputs!$B$29,IF(Skills!C22=3,120+Inputs!$B$27+Inputs!$B$29,MAX(0,(Inputs!$B$3-100)*3)+Inputs!$B$28+Inputs!$B$29)))</f>
        <v/>
      </c>
      <c r="E2292">
        <f>INDEX(FactorTable!$B$2:$Y$301, MATCH(ROUND(MIN(300,MAX(1,D2292)),0), FactorTable!$A$2:$A$301,0), Skills!M22+1)</f>
        <v/>
      </c>
      <c r="F2292">
        <f>IF(Skills!N22=TRUE,(Skills!L22/10)*(E2292/1000),Skills!L22/10)+Skills!O22</f>
        <v/>
      </c>
      <c r="G2292">
        <f>Calc!G22</f>
        <v/>
      </c>
      <c r="H2292">
        <f>Calc!H22</f>
        <v/>
      </c>
      <c r="I2292">
        <f>IF(Skills!X22&lt;&gt;"",1+(Skills!X22/10)*(Z2273/1000)/100,1)</f>
        <v/>
      </c>
      <c r="J2292" t="inlineStr"/>
      <c r="K2292" t="inlineStr"/>
      <c r="L2292" t="inlineStr"/>
      <c r="M2292" t="inlineStr"/>
      <c r="N2292" t="inlineStr"/>
      <c r="O2292">
        <f>(1-Summary!$B$11)*S2292+Summary!$B$11*U2292</f>
        <v/>
      </c>
      <c r="P2292">
        <f>IF(B2311=0,0,O2292/B2311)</f>
        <v/>
      </c>
      <c r="Q2292">
        <f>IFERROR(1/(IF(Inputs!$B$38="pvp",15,MAX(0.1,Skills!E22-IF(Skills!F22=TRUE,Inputs!$B$32,0)))*(1-IF(AND(ArtifactsInput!$M$27,Inputs!$B$4="Chapter Hunt"),CHOOSE(ArtifactsInput!$N$27+1,20,24,28,32,36,40),0)/100)),0)</f>
        <v/>
      </c>
      <c r="R2292" t="n">
        <v>0</v>
      </c>
      <c r="S2292" t="n">
        <v>0</v>
      </c>
      <c r="U2292" t="n">
        <v>0</v>
      </c>
    </row>
    <row r="2293">
      <c r="A2293">
        <f>Skills!A23</f>
        <v/>
      </c>
      <c r="B2293">
        <f>Skills!B23</f>
        <v/>
      </c>
      <c r="C2293">
        <f>TRUE</f>
        <v/>
      </c>
      <c r="D2293">
        <f>IF(Skills!C23=1,60+Inputs!$B$25+Inputs!$B$29,IF(Skills!C23=2,90+Inputs!$B$26+Inputs!$B$29,IF(Skills!C23=3,120+Inputs!$B$27+Inputs!$B$29,MAX(0,(Inputs!$B$3-100)*3)+Inputs!$B$28+Inputs!$B$29)))</f>
        <v/>
      </c>
      <c r="E2293">
        <f>INDEX(FactorTable!$B$2:$Y$301, MATCH(ROUND(MIN(300,MAX(1,D2293)),0), FactorTable!$A$2:$A$301,0), Skills!M23+1)</f>
        <v/>
      </c>
      <c r="F2293">
        <f>IF(Skills!N23=TRUE,(Skills!L23/10)*(E2293/1000),Skills!L23/10)+Skills!O23</f>
        <v/>
      </c>
      <c r="G2293">
        <f>Calc!G23</f>
        <v/>
      </c>
      <c r="H2293">
        <f>Calc!H23</f>
        <v/>
      </c>
      <c r="I2293">
        <f>IF(Skills!X23&lt;&gt;"",1+(Skills!X23/10)*(Z2273/1000)/100,1)</f>
        <v/>
      </c>
      <c r="J2293" t="inlineStr"/>
      <c r="K2293" t="inlineStr"/>
      <c r="L2293" t="inlineStr"/>
      <c r="M2293" t="inlineStr"/>
      <c r="N2293" t="inlineStr"/>
      <c r="O2293">
        <f>(1-Summary!$B$11)*S2293+Summary!$B$11*U2293</f>
        <v/>
      </c>
      <c r="P2293">
        <f>IF(B2311=0,0,O2293/B2311)</f>
        <v/>
      </c>
      <c r="Q2293">
        <f>IFERROR(1/(IF(Inputs!$B$38="pvp",15,MAX(0.1,Skills!E23-IF(Skills!F23=TRUE,Inputs!$B$32,0)))*(1-IF(AND(ArtifactsInput!$M$27,Inputs!$B$4="Chapter Hunt"),CHOOSE(ArtifactsInput!$N$27+1,20,24,28,32,36,40),0)/100)),0)</f>
        <v/>
      </c>
      <c r="R2293" t="n">
        <v>0</v>
      </c>
      <c r="S2293" t="n">
        <v>0</v>
      </c>
      <c r="U2293" t="n">
        <v>0</v>
      </c>
    </row>
    <row r="2294">
      <c r="A2294">
        <f>Skills!A24</f>
        <v/>
      </c>
      <c r="B2294">
        <f>Skills!B24</f>
        <v/>
      </c>
      <c r="C2294">
        <f>Inputs!$B$3&gt;=115</f>
        <v/>
      </c>
      <c r="D2294">
        <f>IF(Skills!C24=1,60+Inputs!$B$25+Inputs!$B$29,IF(Skills!C24=2,90+Inputs!$B$26+Inputs!$B$29,IF(Skills!C24=3,120+Inputs!$B$27+Inputs!$B$29,MAX(0,(Inputs!$B$3-100)*3)+Inputs!$B$28+Inputs!$B$29)))</f>
        <v/>
      </c>
      <c r="E2294">
        <f>INDEX(FactorTable!$B$2:$Y$301, MATCH(ROUND(MIN(300,MAX(1,D2294)),0), FactorTable!$A$2:$A$301,0), Skills!M24+1)</f>
        <v/>
      </c>
      <c r="F2294">
        <f>IF(Skills!N24=TRUE,(Skills!L24/10)*(E2294/1000),Skills!L24/10)+Skills!O24</f>
        <v/>
      </c>
      <c r="G2294">
        <f>Calc!G24</f>
        <v/>
      </c>
      <c r="H2294">
        <f>Calc!H24</f>
        <v/>
      </c>
      <c r="I2294">
        <f>IF(Skills!X24&lt;&gt;"",1+(Skills!X24/10)*(Z2273/1000)/100,1)</f>
        <v/>
      </c>
      <c r="J2294">
        <f>((Inputs!$B$6*(1+Inputs!$B$7/100))+(((Inputs!$B$12*(1+Inputs!$B$13/100))-(Inputs!$B$12*(1+Inputs!$B$13/100)))+0.25*(Inputs!$B$14-Inputs!$B$14))*(1+Inputs!$B$7/100))*(F2294/100)</f>
        <v/>
      </c>
      <c r="K2294">
        <f>J2294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2294)</f>
        <v/>
      </c>
      <c r="L2294">
        <f>K2294*(MIN(Inputs!$B$22+(F2292-Calc!F22),(Inputs!$B$23+(IF(ArtifactsInput!$M$15,CHOOSE(ArtifactsInput!$N$15+1,25,30,35,40,45,50)/100*(Inputs!$B$11-Inputs!$B$11),0))))/100+(Inputs!$B$23+(IF(ArtifactsInput!$M$15,CHOOSE(ArtifactsInput!$N$15+1,25,30,35,40,45,50)/100*(Inputs!$B$11-Inputs!$B$11),0)))/100)/2</f>
        <v/>
      </c>
      <c r="M2294">
        <f>L2294*(1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4">
        <f>L2294*(1-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2294*(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4">
        <f>(1-Summary!$B$11)*S2294+Summary!$B$11*U2294</f>
        <v/>
      </c>
      <c r="P2294">
        <f>IF(B2311=0,0,O2294/B2311)</f>
        <v/>
      </c>
      <c r="Q2294">
        <f>IFERROR(1/(IF(Inputs!$B$38="pvp",15,MAX(0.1,Skills!E24-IF(Skills!F24=TRUE,Inputs!$B$32,0)))*(1-IF(AND(ArtifactsInput!$M$27,Inputs!$B$4="Chapter Hunt"),CHOOSE(ArtifactsInput!$N$27+1,20,24,28,32,36,40),0)/100)),0)</f>
        <v/>
      </c>
      <c r="R2294">
        <f>IF(AND(Inputs!$B$38&lt;&gt;"pvp",Inputs!$B$43&gt;0),IF(MAX(0,Inputs!$B$43-B2308)&lt;=0,0,(INT(MAX(0,Inputs!$B$43-B2308)/(IF(Inputs!$B$38="pvp",15,MAX(0.1,Skills!E24-IF(Skills!F24=TRUE,Inputs!$B$32,0)))*(1-IF(AND(ArtifactsInput!$M$27,Inputs!$B$4="Chapter Hunt"),CHOOSE(ArtifactsInput!$N$27+1,20,24,28,32,36,40),0)/100)))+1)),0)</f>
        <v/>
      </c>
      <c r="S2294">
        <f>IF(C2294,(H2294*N2294*IF(AND(Inputs!$B$38&lt;&gt;"pvp",Inputs!$B$43&gt;0),((Skills!G24*((R2294-1)*IF(Skills!H24&gt;0,Skills!I24/Skills!H24,1)+IF(Skills!H24&gt;0,MIN(Skills!I24,MAX(0,MAX(0,Inputs!$B$43-B2308)-((R2294-1)*(IF(Inputs!$B$38="pvp",15,MAX(0.1,Skills!E24-IF(Skills!F24=TRUE,Inputs!$B$32,0)))*(1-IF(AND(ArtifactsInput!$M$27,Inputs!$B$4="Chapter Hunt"),CHOOSE(ArtifactsInput!$N$27+1,20,24,28,32,36,40),0)/100)))))/Skills!H24,1)))/Inputs!$B$43),G2294*Q2294)*(1+IF(Inputs!$B$3&gt;=130,0.2*(Skills!I16/Skills!E15+IF(Inputs!$B$3&gt;=126,0.05*(B2306+Q2283+(H2284*B2307)/(1+Skills!H14*H2284*B2307)+Q2294)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2294*(1-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2294*(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2294*(1-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2294*(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4">
        <f>IF(C2294,(H2294*N2294*IF(AND(Inputs!$B$38&lt;&gt;"pvp",Inputs!$B$43&gt;0),((Skills!G24*((R2294-1)*IF(Skills!H24&gt;0,Skills!I24/Skills!H24,1)+IF(Skills!H24&gt;0,MIN(Skills!I24,MAX(0,MAX(0,Inputs!$B$43-B2308)-((R2294-1)*(IF(Inputs!$B$38="pvp",15,MAX(0.1,Skills!E24-IF(Skills!F24=TRUE,Inputs!$B$32,0)))*(1-IF(AND(ArtifactsInput!$M$27,Inputs!$B$4="Chapter Hunt"),CHOOSE(ArtifactsInput!$N$27+1,20,24,28,32,36,40),0)/100)))))/Skills!H24,1)))/Inputs!$B$43),G2294*Q2294)*(1+IF(Inputs!$B$3&gt;=130,0.2*(Skills!I16/Skills!E15+IF(Inputs!$B$3&gt;=126,0.05*(B2306+Q2283+(H2284*B2307)/(1+Skills!H14*H2284*B2307)+Q2294)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5">
      <c r="A2295">
        <f>Skills!A25</f>
        <v/>
      </c>
      <c r="B2295">
        <f>Skills!B25</f>
        <v/>
      </c>
      <c r="C2295">
        <f>Inputs!$B$3&gt;=117</f>
        <v/>
      </c>
      <c r="D2295">
        <f>IF(Skills!C25=1,60+Inputs!$B$25+Inputs!$B$29,IF(Skills!C25=2,90+Inputs!$B$26+Inputs!$B$29,IF(Skills!C25=3,120+Inputs!$B$27+Inputs!$B$29,MAX(0,(Inputs!$B$3-100)*3)+Inputs!$B$28+Inputs!$B$29)))</f>
        <v/>
      </c>
      <c r="E2295">
        <f>INDEX(FactorTable!$B$2:$Y$301, MATCH(ROUND(MIN(300,MAX(1,D2295)),0), FactorTable!$A$2:$A$301,0), Skills!M25+1)</f>
        <v/>
      </c>
      <c r="F2295">
        <f>IF(Skills!N25=TRUE,(Skills!L25/10)*(E2295/1000),Skills!L25/10)+Skills!O25</f>
        <v/>
      </c>
      <c r="G2295">
        <f>Calc!G25</f>
        <v/>
      </c>
      <c r="H2295">
        <f>Calc!H25</f>
        <v/>
      </c>
      <c r="I2295">
        <f>IF(Skills!X25&lt;&gt;"",1+(Skills!X25/10)*(Z2273/1000)/100,1)</f>
        <v/>
      </c>
      <c r="J2295" t="inlineStr"/>
      <c r="K2295" t="inlineStr"/>
      <c r="L2295" t="inlineStr"/>
      <c r="M2295" t="inlineStr"/>
      <c r="N2295" t="inlineStr"/>
      <c r="O2295">
        <f>(1-Summary!$B$11)*S2295+Summary!$B$11*U2295</f>
        <v/>
      </c>
      <c r="P2295">
        <f>IF(B2311=0,0,O2295/B2311)</f>
        <v/>
      </c>
      <c r="Q2295">
        <f>IFERROR(1/(IF(Inputs!$B$38="pvp",15,MAX(0.1,Skills!E25-IF(Skills!F25=TRUE,Inputs!$B$32,0)))*(1-IF(AND(ArtifactsInput!$M$27,Inputs!$B$4="Chapter Hunt"),CHOOSE(ArtifactsInput!$N$27+1,20,24,28,32,36,40),0)/100)),0)</f>
        <v/>
      </c>
      <c r="R2295" t="n">
        <v>0</v>
      </c>
      <c r="S2295" t="n">
        <v>0</v>
      </c>
      <c r="U2295" t="n">
        <v>0</v>
      </c>
    </row>
    <row r="2296">
      <c r="A2296">
        <f>Skills!A26</f>
        <v/>
      </c>
      <c r="B2296">
        <f>Skills!B26</f>
        <v/>
      </c>
      <c r="C2296">
        <f>Inputs!$B$3&gt;=120</f>
        <v/>
      </c>
      <c r="D2296">
        <f>IF(Skills!C26=1,60+Inputs!$B$25+Inputs!$B$29,IF(Skills!C26=2,90+Inputs!$B$26+Inputs!$B$29,IF(Skills!C26=3,120+Inputs!$B$27+Inputs!$B$29,MAX(0,(Inputs!$B$3-100)*3)+Inputs!$B$28+Inputs!$B$29)))</f>
        <v/>
      </c>
      <c r="E2296">
        <f>INDEX(FactorTable!$B$2:$Y$301, MATCH(ROUND(MIN(300,MAX(1,D2296)),0), FactorTable!$A$2:$A$301,0), Skills!M26+1)</f>
        <v/>
      </c>
      <c r="F2296">
        <f>IF(Skills!N26=TRUE,(Skills!L26/10)*(E2296/1000),Skills!L26/10)+Skills!O26</f>
        <v/>
      </c>
      <c r="G2296">
        <f>Calc!G26</f>
        <v/>
      </c>
      <c r="H2296">
        <f>Calc!H26</f>
        <v/>
      </c>
      <c r="I2296">
        <f>IF(Skills!X26&lt;&gt;"",1+(Skills!X26/10)*(Z2273/1000)/100,1)</f>
        <v/>
      </c>
      <c r="J2296" t="inlineStr"/>
      <c r="K2296" t="inlineStr"/>
      <c r="L2296" t="inlineStr"/>
      <c r="M2296" t="inlineStr"/>
      <c r="N2296" t="inlineStr"/>
      <c r="O2296">
        <f>(1-Summary!$B$11)*S2296+Summary!$B$11*U2296</f>
        <v/>
      </c>
      <c r="P2296">
        <f>IF(B2311=0,0,O2296/B2311)</f>
        <v/>
      </c>
      <c r="Q2296">
        <f>IFERROR(1/(IF(Inputs!$B$38="pvp",15,MAX(0.1,Skills!E26-IF(Skills!F26=TRUE,Inputs!$B$32,0)))*(1-IF(AND(ArtifactsInput!$M$27,Inputs!$B$4="Chapter Hunt"),CHOOSE(ArtifactsInput!$N$27+1,20,24,28,32,36,40),0)/100)),0)</f>
        <v/>
      </c>
      <c r="R2296" t="n">
        <v>0</v>
      </c>
      <c r="S2296" t="n">
        <v>0</v>
      </c>
      <c r="U2296" t="n">
        <v>0</v>
      </c>
    </row>
    <row r="2297">
      <c r="A2297">
        <f>Skills!A27</f>
        <v/>
      </c>
      <c r="B2297">
        <f>Skills!B27</f>
        <v/>
      </c>
      <c r="C2297">
        <f>Inputs!$B$3&gt;=125</f>
        <v/>
      </c>
      <c r="D2297">
        <f>IF(Skills!C27=1,60+Inputs!$B$25+Inputs!$B$29,IF(Skills!C27=2,90+Inputs!$B$26+Inputs!$B$29,IF(Skills!C27=3,120+Inputs!$B$27+Inputs!$B$29,MAX(0,(Inputs!$B$3-100)*3)+Inputs!$B$28+Inputs!$B$29)))</f>
        <v/>
      </c>
      <c r="E2297">
        <f>INDEX(FactorTable!$B$2:$Y$301, MATCH(ROUND(MIN(300,MAX(1,D2297)),0), FactorTable!$A$2:$A$301,0), Skills!M27+1)</f>
        <v/>
      </c>
      <c r="F2297">
        <f>IF(Skills!N27=TRUE,(Skills!L27/10)*(E2297/1000),Skills!L27/10)+Skills!O27</f>
        <v/>
      </c>
      <c r="G2297">
        <f>Calc!G27</f>
        <v/>
      </c>
      <c r="H2297">
        <f>Calc!H27</f>
        <v/>
      </c>
      <c r="I2297">
        <f>IF(Skills!X27&lt;&gt;"",1+(Skills!X27/10)*(Z2273/1000)/100,1)</f>
        <v/>
      </c>
      <c r="J2297" t="inlineStr"/>
      <c r="K2297" t="inlineStr"/>
      <c r="L2297" t="inlineStr"/>
      <c r="M2297" t="inlineStr"/>
      <c r="N2297" t="inlineStr"/>
      <c r="O2297">
        <f>(1-Summary!$B$11)*S2297+Summary!$B$11*U2297</f>
        <v/>
      </c>
      <c r="P2297">
        <f>IF(B2311=0,0,O2297/B2311)</f>
        <v/>
      </c>
      <c r="Q2297">
        <f>IFERROR(1/(IF(Inputs!$B$38="pvp",15,MAX(0.1,Skills!E27-IF(Skills!F27=TRUE,Inputs!$B$32,0)))*(1-IF(AND(ArtifactsInput!$M$27,Inputs!$B$4="Chapter Hunt"),CHOOSE(ArtifactsInput!$N$27+1,20,24,28,32,36,40),0)/100)),0)</f>
        <v/>
      </c>
      <c r="R2297" t="n">
        <v>0</v>
      </c>
      <c r="S2297" t="n">
        <v>0</v>
      </c>
      <c r="U2297" t="n">
        <v>0</v>
      </c>
    </row>
    <row r="2298">
      <c r="A2298">
        <f>Skills!A28</f>
        <v/>
      </c>
      <c r="B2298">
        <f>Skills!B28</f>
        <v/>
      </c>
      <c r="C2298">
        <f>Inputs!$B$3&gt;=118</f>
        <v/>
      </c>
      <c r="D2298">
        <f>IF(Skills!C28=1,60+Inputs!$B$25+Inputs!$B$29,IF(Skills!C28=2,90+Inputs!$B$26+Inputs!$B$29,IF(Skills!C28=3,120+Inputs!$B$27+Inputs!$B$29,MAX(0,(Inputs!$B$3-100)*3)+Inputs!$B$28+Inputs!$B$29)))</f>
        <v/>
      </c>
      <c r="E2298">
        <f>INDEX(FactorTable!$B$2:$Y$301, MATCH(ROUND(MIN(300,MAX(1,D2298)),0), FactorTable!$A$2:$A$301,0), Skills!M28+1)</f>
        <v/>
      </c>
      <c r="F2298">
        <f>IF(Skills!N28=TRUE,(Skills!L28/10)*(E2298/1000),Skills!L28/10)+Skills!O28</f>
        <v/>
      </c>
      <c r="G2298">
        <f>Calc!G28</f>
        <v/>
      </c>
      <c r="H2298">
        <f>Calc!H28</f>
        <v/>
      </c>
      <c r="I2298">
        <f>IF(Skills!X28&lt;&gt;"",1+(Skills!X28/10)*(Z2273/1000)/100,1)</f>
        <v/>
      </c>
      <c r="J2298">
        <f>((Inputs!$B$6*(1+Inputs!$B$7/100))+(((Inputs!$B$12*(1+Inputs!$B$13/100))-(Inputs!$B$12*(1+Inputs!$B$13/100)))+0.25*(Inputs!$B$14-Inputs!$B$14))*(1+Inputs!$B$7/100))*(F2298/100)</f>
        <v/>
      </c>
      <c r="K2298">
        <f>J2298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2293/100)*(1+IF(Inputs!$B$3&gt;=120,F2296,0)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2297*5,0)))/100)*(B2300*B2301*B2302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2298)</f>
        <v/>
      </c>
      <c r="L2298">
        <f>K2298*(MIN(Inputs!$B$22+(F2292-Calc!F22),(Inputs!$B$23+(IF(ArtifactsInput!$M$15,CHOOSE(ArtifactsInput!$N$15+1,25,30,35,40,45,50)/100*(Inputs!$B$11-Inputs!$B$11),0))))/100+(Inputs!$B$23+(IF(ArtifactsInput!$M$15,CHOOSE(ArtifactsInput!$N$15+1,25,30,35,40,45,50)/100*(Inputs!$B$11-Inputs!$B$11),0)))/100)/2</f>
        <v/>
      </c>
      <c r="M2298">
        <f>L2298*(1+(Inputs!$B$10+(F2291-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8">
        <f>L2298*(1-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2298*(MIN((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8">
        <f>(1-Summary!$B$11)*S2298+Summary!$B$11*U2298</f>
        <v/>
      </c>
      <c r="P2298">
        <f>IF(B2311=0,0,O2298/B2311)</f>
        <v/>
      </c>
      <c r="Q2298">
        <f>IFERROR(1/(IF(Inputs!$B$38="pvp",15,MAX(0.1,Skills!E28-IF(Skills!F28=TRUE,Inputs!$B$32,0)))*(1-IF(AND(ArtifactsInput!$M$27,Inputs!$B$4="Chapter Hunt"),CHOOSE(ArtifactsInput!$N$27+1,20,24,28,32,36,40),0)/100)),0)</f>
        <v/>
      </c>
      <c r="R2298">
        <f>IF(AND(Inputs!$B$38&lt;&gt;"pvp",Inputs!$B$43&gt;0),IF(MAX(0,Inputs!$B$43-B2308)&lt;=0,0,(INT(MAX(0,Inputs!$B$43-B2308)/(IF(Inputs!$B$38="pvp",15,MAX(0.1,Skills!E28-IF(Skills!F28=TRUE,Inputs!$B$32,0)))*(1-IF(AND(ArtifactsInput!$M$27,Inputs!$B$4="Chapter Hunt"),CHOOSE(ArtifactsInput!$N$27+1,20,24,28,32,36,40),0)/100)))+1)),0)</f>
        <v/>
      </c>
      <c r="S2298">
        <f>IF(C2298,(H2298*N2298*IF(AND(Inputs!$B$38&lt;&gt;"pvp",Inputs!$B$43&gt;0),((Skills!G28*((R2298-1)*IF(Skills!H28&gt;0,Skills!I28/Skills!H28,1)+IF(Skills!H28&gt;0,MIN(Skills!I28,MAX(0,MAX(0,Inputs!$B$43-B2308)-((R2298-1)*(IF(Inputs!$B$38="pvp",15,MAX(0.1,Skills!E28-IF(Skills!F28=TRUE,Inputs!$B$32,0)))*(1-IF(AND(ArtifactsInput!$M$27,Inputs!$B$4="Chapter Hunt"),CHOOSE(ArtifactsInput!$N$27+1,20,24,28,32,36,40),0)/100)))))/Skills!H28,1)))/Inputs!$B$43),G2298*Q2298)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2298*(1-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2298*(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2298*(1-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2298*(MIN(100,(Inputs!$B$9+(F2290-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8">
        <f>IF(C2298,(H2298*N2298*IF(AND(Inputs!$B$38&lt;&gt;"pvp",Inputs!$B$43&gt;0),((Skills!G28*((R2298-1)*IF(Skills!H28&gt;0,Skills!I28/Skills!H28,1)+IF(Skills!H28&gt;0,MIN(Skills!I28,MAX(0,MAX(0,Inputs!$B$43-B2308)-((R2298-1)*(IF(Inputs!$B$38="pvp",15,MAX(0.1,Skills!E28-IF(Skills!F28=TRUE,Inputs!$B$32,0)))*(1-IF(AND(ArtifactsInput!$M$27,Inputs!$B$4="Chapter Hunt"),CHOOSE(ArtifactsInput!$N$27+1,20,24,28,32,36,40),0)/100)))))/Skills!H28,1)))/Inputs!$B$43),G2298*Q2298)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00">
      <c r="A2300" t="inlineStr">
        <is>
          <t>Burning Magic Multiplier</t>
        </is>
      </c>
      <c r="B2300">
        <f>1+(F2281*Skills!Z11)/100</f>
        <v/>
      </c>
    </row>
    <row r="2301">
      <c r="A2301" t="inlineStr">
        <is>
          <t>Elemental Decrease Multiplier (always-on)</t>
        </is>
      </c>
      <c r="B2301">
        <f>1+(F2282+(IF(AND(ArtifactsInput!$M$35,Inputs!$B$4&lt;&gt;"Chapter Hunt"),CHOOSE(ArtifactsInput!$N$35+1,15,18,21,24,27,30)*(1-EXP(-(0.2*B2304)*5)),0)+IF(AND(ArtifactsInput!$M$22,Inputs!$B$4&lt;&gt;"Chapter Hunt"),CHOOSE(ArtifactsInput!$N$22+1,10,12,14,16,18,20)*((0*(((0.15*B2304*5))^0/1)+1*(((0.15*B2304*5))^1/1)+2*(((0.15*B2304*5))^2/2)+3*(((0.15*B2304*5))^3/6)+4*(((0.15*B2304*5))^4/24)+5*(((0.15*B2304*5))^5/120))/((((0.15*B2304*5))^0/1)+(((0.15*B2304*5))^1/1)+(((0.15*B2304*5))^2/2)+(((0.15*B2304*5))^3/6)+(((0.15*B2304*5))^4/24)+(((0.15*B2304*5))^5/120))),0)))/100</f>
        <v/>
      </c>
    </row>
    <row r="2302">
      <c r="A2302" t="inlineStr">
        <is>
          <t>Average Buff Multiplier (Magic Guard + Meditation + Artifact Attack%, summed; then Infinity)</t>
        </is>
      </c>
      <c r="B2302">
        <f>(1+(F2276*IF(AND(Inputs!$B$38&lt;&gt;"pvp",Inputs!$B$43&gt;0),(((R2276-1)*(Skills!T6*(1+((Inputs!$B$34+(ArtifactsInput!$M$7-ArtifactsInput!$M$7)*CHOOSE(ArtifactsInput!$N$7+1,6,7.2,8.4,9.6,10.8,12)))/100))+MIN((Skills!T6*(1+((Inputs!$B$34+(ArtifactsInput!$M$7-ArtifactsInput!$M$7)*CHOOSE(ArtifactsInput!$N$7+1,6,7.2,8.4,9.6,10.8,12)))/100)),MAX(0,Inputs!$B$43-((R2276-1)*Skills!E6))))/Inputs!$B$43),IF(Inputs!$B$38="pvp",MIN((Skills!T6*(1+((Inputs!$B$34+(ArtifactsInput!$M$7-ArtifactsInput!$M$7)*CHOOSE(ArtifactsInput!$N$7+1,6,7.2,8.4,9.6,10.8,12)))/100)),15)/15,(Skills!T6*(1+((Inputs!$B$34+(ArtifactsInput!$M$7-ArtifactsInput!$M$7)*CHOOSE(ArtifactsInput!$N$7+1,6,7.2,8.4,9.6,10.8,12)))/100))/Skills!E6))+F2287*IF(AND(Inputs!$B$38&lt;&gt;"pvp",Inputs!$B$43&gt;0),(((R2287-1)*(Skills!T17*(1+((Inputs!$B$34+(ArtifactsInput!$M$7-ArtifactsInput!$M$7)*CHOOSE(ArtifactsInput!$N$7+1,6,7.2,8.4,9.6,10.8,12)))/100))+MIN((Skills!T17*(1+((Inputs!$B$34+(ArtifactsInput!$M$7-ArtifactsInput!$M$7)*CHOOSE(ArtifactsInput!$N$7+1,6,7.2,8.4,9.6,10.8,12)))/100)),MAX(0,Inputs!$B$43-((R2287-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2289=TRUE,(1+F2289*IF(AND(Inputs!$B$38&lt;&gt;"pvp",Inputs!$B$43&gt;0),(((R2289-1)*(Skills!T19*(1+((Inputs!$B$34+(ArtifactsInput!$M$7-ArtifactsInput!$M$7)*CHOOSE(ArtifactsInput!$N$7+1,6,7.2,8.4,9.6,10.8,12)))/100))+MIN((Skills!T19*(1+((Inputs!$B$34+(ArtifactsInput!$M$7-ArtifactsInput!$M$7)*CHOOSE(ArtifactsInput!$N$7+1,6,7.2,8.4,9.6,10.8,12)))/100)),MAX(0,Inputs!$B$43-((R2289-1)*Skills!E19))))/Inputs!$B$43),IF(Inputs!$B$38="pvp",MIN((Skills!T19*(1+((Inputs!$B$34+(ArtifactsInput!$M$7-ArtifactsInput!$M$7)*CHOOSE(ArtifactsInput!$N$7+1,6,7.2,8.4,9.6,10.8,12)))/100)),15)/15,(Skills!T19*(1+((Inputs!$B$34+(ArtifactsInput!$M$7-ArtifactsInput!$M$7)*CHOOSE(ArtifactsInput!$N$7+1,6,7.2,8.4,9.6,10.8,12)))/100))/Skills!E19))/100),1)</f>
        <v/>
      </c>
    </row>
    <row r="2303">
      <c r="A2303" t="inlineStr">
        <is>
          <t>Attack Speed Buff Bonus % (Nimble Feet, averaged)</t>
        </is>
      </c>
      <c r="B2303">
        <f>F2288*IF(AND(Inputs!$B$38&lt;&gt;"pvp",Inputs!$B$43&gt;0),(((R2288-1)*(Skills!T18*(1+((Inputs!$B$34+(ArtifactsInput!$M$7-ArtifactsInput!$M$7)*CHOOSE(ArtifactsInput!$N$7+1,6,7.2,8.4,9.6,10.8,12)))/100))+MIN((Skills!T18*(1+((Inputs!$B$34+(ArtifactsInput!$M$7-ArtifactsInput!$M$7)*CHOOSE(ArtifactsInput!$N$7+1,6,7.2,8.4,9.6,10.8,12)))/100)),MAX(0,Inputs!$B$43-((R2288-1)*Skills!E18))))/Inputs!$B$43),IF(Inputs!$B$38="pvp",MIN((Skills!T18*(1+((Inputs!$B$34+(ArtifactsInput!$M$7-ArtifactsInput!$M$7)*CHOOSE(ArtifactsInput!$N$7+1,6,7.2,8.4,9.6,10.8,12)))/100)),15)/15,(Skills!T18*(1+((Inputs!$B$34+(ArtifactsInput!$M$7-ArtifactsInput!$M$7)*CHOOSE(ArtifactsInput!$N$7+1,6,7.2,8.4,9.6,10.8,12)))/100))/Skills!E18))</f>
        <v/>
      </c>
    </row>
    <row r="2304">
      <c r="A2304" t="inlineStr">
        <is>
          <t>Actions Per Second</t>
        </is>
      </c>
      <c r="B2304">
        <f>1+MIN(150,150*(1-(1-(Inputs!$B$11+(ArtifactsInput!$M$15-ArtifactsInput!$M$15)*CHOOSE(ArtifactsInput!$N$15+1,8,9.6,11.2,12.8,14.4,16))/150)*(1-B2303/150)))/100</f>
        <v/>
      </c>
    </row>
    <row r="2305">
      <c r="A2305" t="inlineStr">
        <is>
          <t>Skill + Buff Cast Rate</t>
        </is>
      </c>
      <c r="B2305">
        <f>IF(AND(Inputs!$B$38&lt;&gt;"pvp",Inputs!$B$43&gt;0),SUMPRODUCT((Skills!F2:F28=TRUE)*(C2272:C2298=TRUE)*R2272:R2298)/Inputs!$B$43,SUMPRODUCT((Skills!F2:F28=TRUE)*(C2272:C2298=TRUE)*Q2272:Q2298))</f>
        <v/>
      </c>
    </row>
    <row r="2306">
      <c r="A2306" t="inlineStr">
        <is>
          <t>Basic Attacks Per Second</t>
        </is>
      </c>
      <c r="B2306">
        <f>MAX(0,B2304-B2305)</f>
        <v/>
      </c>
    </row>
    <row r="2307">
      <c r="A2307" t="inlineStr">
        <is>
          <t>Meteor Proc — combined trigger cast rate</t>
        </is>
      </c>
      <c r="B2307">
        <f>IF(AND(Inputs!$B$38&lt;&gt;"pvp",Inputs!$B$43&gt;0),SUMPRODUCT((Skills!V2:V28=TRUE)*(C2272:C2298=TRUE)*R2272:R2298*Skills!W2:W28)/Inputs!$B$43,SUMPRODUCT((Skills!V2:V28=TRUE)*(C2272:C2298=TRUE)*Q2272:Q2298*Skills!W2:W28))+B2306</f>
        <v/>
      </c>
    </row>
    <row r="2308">
      <c r="A2308" t="inlineStr">
        <is>
          <t>Buff-Casting Startup Delay (s, fixed-duration only)</t>
        </is>
      </c>
      <c r="B2308">
        <f>IF(AND(Inputs!$B$38&lt;&gt;"pvp",Inputs!$B$43&gt;0),SUMPRODUCT((Skills!T2:T28&gt;0)*(Skills!F2:F28=TRUE)*(C2272:C2298=TRUE))/B2304,0)</f>
        <v/>
      </c>
    </row>
    <row r="2309">
      <c r="A2309" t="inlineStr">
        <is>
          <t>Boss-Only Total DPS (this block's swept value)</t>
        </is>
      </c>
      <c r="B2309">
        <f>SUM(S2272:S2298)</f>
        <v/>
      </c>
    </row>
    <row r="2310">
      <c r="A2310" t="inlineStr">
        <is>
          <t>Normal-Only Total DPS (this block's swept value)</t>
        </is>
      </c>
      <c r="B2310">
        <f>SUM(U2272:U2298)</f>
        <v/>
      </c>
    </row>
    <row r="2311">
      <c r="A2311" s="6" t="inlineStr">
        <is>
          <t>TOTAL DPS</t>
        </is>
      </c>
      <c r="B2311" s="6">
        <f>SUM(O2272:O2298)</f>
        <v/>
      </c>
    </row>
    <row r="2314">
      <c r="A2314" s="6" t="inlineStr">
        <is>
          <t>Stat: Sayram's Necklace (Equip)</t>
        </is>
      </c>
    </row>
    <row r="2315">
      <c r="A2315" s="5" t="inlineStr">
        <is>
          <t>Key</t>
        </is>
      </c>
      <c r="B2315" s="5" t="inlineStr">
        <is>
          <t>Name</t>
        </is>
      </c>
      <c r="C2315" s="5" t="inlineStr">
        <is>
          <t>Unlocked</t>
        </is>
      </c>
      <c r="D2315" s="5" t="inlineStr">
        <is>
          <t>InputLevel</t>
        </is>
      </c>
      <c r="E2315" s="5" t="inlineStr">
        <is>
          <t>Factor</t>
        </is>
      </c>
      <c r="F2315" s="5" t="inlineStr">
        <is>
          <t>CoefficientPercent</t>
        </is>
      </c>
      <c r="G2315" s="5" t="inlineStr">
        <is>
          <t>EffectiveHits</t>
        </is>
      </c>
      <c r="H2315" s="5" t="inlineStr">
        <is>
          <t>ProcProbability</t>
        </is>
      </c>
      <c r="I2315" s="5" t="inlineStr">
        <is>
          <t>MapleHeroMultiplier</t>
        </is>
      </c>
      <c r="J2315" s="5" t="inlineStr">
        <is>
          <t>BaseDamage</t>
        </is>
      </c>
      <c r="K2315" s="5" t="inlineStr">
        <is>
          <t>BaseHitDamage</t>
        </is>
      </c>
      <c r="L2315" s="5" t="inlineStr">
        <is>
          <t>NonCritAvg</t>
        </is>
      </c>
      <c r="M2315" s="5" t="inlineStr">
        <is>
          <t>CritAvg</t>
        </is>
      </c>
      <c r="N2315" s="5" t="inlineStr">
        <is>
          <t>ExpectedDamage(perHit)</t>
        </is>
      </c>
      <c r="O2315" s="5" t="inlineStr">
        <is>
          <t>DPS</t>
        </is>
      </c>
      <c r="P2315" s="5" t="inlineStr">
        <is>
          <t>% of Total</t>
        </is>
      </c>
      <c r="R2315" t="inlineStr">
        <is>
          <t>helpers</t>
        </is>
      </c>
    </row>
    <row r="2316">
      <c r="A2316">
        <f>Skills!A2</f>
        <v/>
      </c>
      <c r="B2316">
        <f>Skills!B2</f>
        <v/>
      </c>
      <c r="C2316">
        <f>TRUE</f>
        <v/>
      </c>
      <c r="D2316" t="inlineStr"/>
      <c r="E2316" t="inlineStr"/>
      <c r="F2316">
        <f>T2318+Skills!O2</f>
        <v/>
      </c>
      <c r="G2316">
        <f>Calc!G2</f>
        <v/>
      </c>
      <c r="H2316">
        <f>Calc!H2</f>
        <v/>
      </c>
      <c r="I2316">
        <f>IF(Skills!X2&lt;&gt;"",1+(Skills!X2/10)*(Z2317/1000)/100,1)</f>
        <v/>
      </c>
      <c r="J2316">
        <f>((Inputs!$B$6*(1+Inputs!$B$7/100))+(((Inputs!$B$12*(1+Inputs!$B$13/100))-(Inputs!$B$12*(1+Inputs!$B$13/100)))+0.25*(Inputs!$B$14-Inputs!$B$14))*(1+Inputs!$B$7/100))*(F2316/100)</f>
        <v/>
      </c>
      <c r="K2316">
        <f>J2316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2316)</f>
        <v/>
      </c>
      <c r="L2316">
        <f>K2316*(MIN(Inputs!$B$22+(F2336-Calc!F22),(Inputs!$B$23+(IF(ArtifactsInput!$M$15,CHOOSE(ArtifactsInput!$N$15+1,25,30,35,40,45,50)/100*(Inputs!$B$11-Inputs!$B$11),0))))/100+(Inputs!$B$23+(IF(ArtifactsInput!$M$15,CHOOSE(ArtifactsInput!$N$15+1,25,30,35,40,45,50)/100*(Inputs!$B$11-Inputs!$B$11),0)))/100)/2</f>
        <v/>
      </c>
      <c r="M2316">
        <f>L2316*(1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6">
        <f>L2316*(1-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2316*(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6">
        <f>(1-Summary!$B$11)*S2316+Summary!$B$11*U2316</f>
        <v/>
      </c>
      <c r="P2316">
        <f>IF(B2355=0,0,O2316/B2355)</f>
        <v/>
      </c>
      <c r="Q2316">
        <f>IFERROR(1/(IF(Inputs!$B$38="pvp",15,MAX(0.1,Skills!E2-IF(Skills!F2=TRUE,Inputs!$B$32,0)))*(1-IF(AND(ArtifactsInput!$M$27,Inputs!$B$4="Chapter Hunt"),CHOOSE(ArtifactsInput!$N$27+1,20,24,28,32,36,40),0)/100)),0)</f>
        <v/>
      </c>
      <c r="R2316" t="n">
        <v>0</v>
      </c>
      <c r="S2316">
        <f>(Skills!G2*N2316*B2350)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2316*(1-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2316*(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2316*(1-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2316*(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316">
        <f>MAX(0,(Inputs!$B$3-100)*3)+Inputs!$B$28+Inputs!$B$29</f>
        <v/>
      </c>
      <c r="U2316">
        <f>(Skills!G2*N2316*B2350)*IF(Inputs!$B$38="pvp",1,(1+(Inputs!$B$21+Skills!Q2+(IF(IF(ArtifactsInput!$M$33,FALSE,TRUE),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316">
        <f>MAX(0,(Inputs!$B$3-100)*3)+Inputs!$B$28+Inputs!$B$29</f>
        <v/>
      </c>
    </row>
    <row r="2317">
      <c r="A2317">
        <f>Skills!A3</f>
        <v/>
      </c>
      <c r="B2317">
        <f>Skills!B3</f>
        <v/>
      </c>
      <c r="C2317">
        <f>TRUE</f>
        <v/>
      </c>
      <c r="D2317">
        <f>IF(Skills!C3=1,60+Inputs!$B$25+Inputs!$B$29,IF(Skills!C3=2,90+Inputs!$B$26+Inputs!$B$29,IF(Skills!C3=3,120+Inputs!$B$27+Inputs!$B$29,MAX(0,(Inputs!$B$3-100)*3)+Inputs!$B$28+Inputs!$B$29)))</f>
        <v/>
      </c>
      <c r="E2317">
        <f>INDEX(FactorTable!$B$2:$Y$301, MATCH(ROUND(MIN(300,MAX(1,D2317)),0), FactorTable!$A$2:$A$301,0), Skills!M3+1)</f>
        <v/>
      </c>
      <c r="F2317">
        <f>IF(Skills!N3=TRUE,(Skills!L3/10)*(E2317/1000),Skills!L3/10)+Skills!O3</f>
        <v/>
      </c>
      <c r="G2317">
        <f>Calc!G3</f>
        <v/>
      </c>
      <c r="H2317">
        <f>Calc!H3</f>
        <v/>
      </c>
      <c r="I2317">
        <f>IF(Skills!X3&lt;&gt;"",1+(Skills!X3/10)*(Z2317/1000)/100,1)</f>
        <v/>
      </c>
      <c r="J2317">
        <f>((Inputs!$B$6*(1+Inputs!$B$7/100))+(((Inputs!$B$12*(1+Inputs!$B$13/100))-(Inputs!$B$12*(1+Inputs!$B$13/100)))+0.25*(Inputs!$B$14-Inputs!$B$14))*(1+Inputs!$B$7/100))*(F2317/100)</f>
        <v/>
      </c>
      <c r="K2317">
        <f>J2317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2317)</f>
        <v/>
      </c>
      <c r="L2317">
        <f>K2317*(MIN(Inputs!$B$22+(F2336-Calc!F22),(Inputs!$B$23+(IF(ArtifactsInput!$M$15,CHOOSE(ArtifactsInput!$N$15+1,25,30,35,40,45,50)/100*(Inputs!$B$11-Inputs!$B$11),0))))/100+(Inputs!$B$23+(IF(ArtifactsInput!$M$15,CHOOSE(ArtifactsInput!$N$15+1,25,30,35,40,45,50)/100*(Inputs!$B$11-Inputs!$B$11),0)))/100)/2</f>
        <v/>
      </c>
      <c r="M2317">
        <f>L2317*(1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7">
        <f>L2317*(1-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2317*(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7">
        <f>(1-Summary!$B$11)*S2317+Summary!$B$11*U2317</f>
        <v/>
      </c>
      <c r="P2317">
        <f>IF(B2355=0,0,O2317/B2355)</f>
        <v/>
      </c>
      <c r="Q2317">
        <f>IFERROR(1/(IF(Inputs!$B$38="pvp",15,MAX(0.1,Skills!E3-IF(Skills!F3=TRUE,Inputs!$B$32,0)))*(1-IF(AND(ArtifactsInput!$M$27,Inputs!$B$4="Chapter Hunt"),CHOOSE(ArtifactsInput!$N$27+1,20,24,28,32,36,40),0)/100)),0)</f>
        <v/>
      </c>
      <c r="R2317">
        <f>IF(AND(Inputs!$B$38&lt;&gt;"pvp",Inputs!$B$43&gt;0),IF(MAX(0,Inputs!$B$43-B2352)&lt;=0,0,(INT(MAX(0,Inputs!$B$43-B2352)/(IF(Inputs!$B$38="pvp",15,MAX(0.1,Skills!E3-IF(Skills!F3=TRUE,Inputs!$B$32,0)))*(1-IF(AND(ArtifactsInput!$M$27,Inputs!$B$4="Chapter Hunt"),CHOOSE(ArtifactsInput!$N$27+1,20,24,28,32,36,40),0)/100)))+1)),0)</f>
        <v/>
      </c>
      <c r="S2317">
        <f>IF(C2317,(H2317*N2317*IF(AND(Inputs!$B$38&lt;&gt;"pvp",Inputs!$B$43&gt;0),((Skills!G3*((R2317-1)*IF(Skills!H3&gt;0,Skills!I3/Skills!H3,1)+IF(Skills!H3&gt;0,MIN(Skills!I3,MAX(0,MAX(0,Inputs!$B$43-B2352)-((R2317-1)*(IF(Inputs!$B$38="pvp",15,MAX(0.1,Skills!E3-IF(Skills!F3=TRUE,Inputs!$B$32,0)))*(1-IF(AND(ArtifactsInput!$M$27,Inputs!$B$4="Chapter Hunt"),CHOOSE(ArtifactsInput!$N$27+1,20,24,28,32,36,40),0)/100)))))/Skills!H3,1)))/Inputs!$B$43),G2317*Q2317)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2317*(1-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2317*(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2317*(1-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2317*(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317">
        <f>INDEX(FactorTable!$B$2:$Y$301, MATCH(ROUND(MIN(300,MAX(1,T2316)),0), FactorTable!$A$2:$A$301,0), 22)</f>
        <v/>
      </c>
      <c r="U2317">
        <f>IF(C2317,(H2317*N2317*IF(AND(Inputs!$B$38&lt;&gt;"pvp",Inputs!$B$43&gt;0),((Skills!G3*((R2317-1)*IF(Skills!H3&gt;0,Skills!I3/Skills!H3,1)+IF(Skills!H3&gt;0,MIN(Skills!I3,MAX(0,MAX(0,Inputs!$B$43-B2352)-((R2317-1)*(IF(Inputs!$B$38="pvp",15,MAX(0.1,Skills!E3-IF(Skills!F3=TRUE,Inputs!$B$32,0)))*(1-IF(AND(ArtifactsInput!$M$27,Inputs!$B$4="Chapter Hunt"),CHOOSE(ArtifactsInput!$N$27+1,20,24,28,32,36,40),0)/100)))))/Skills!H3,1)))/Inputs!$B$43),G2317*Q2317))*IF(Inputs!$B$38="pvp",1,(1+(Inputs!$B$21+Skills!Q3+(IF(IF(ArtifactsInput!$M$33,FALSE,TRUE),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317">
        <f>INDEX(FactorTable!$B$2:$Y$301, MATCH(ROUND(MIN(300,MAX(1,Z2316)),0), FactorTable!$A$2:$A$301,0), 24)</f>
        <v/>
      </c>
    </row>
    <row r="2318">
      <c r="A2318">
        <f>Skills!A4</f>
        <v/>
      </c>
      <c r="B2318">
        <f>Skills!B4</f>
        <v/>
      </c>
      <c r="C2318">
        <f>TRUE</f>
        <v/>
      </c>
      <c r="D2318">
        <f>IF(Skills!C4=1,60+Inputs!$B$25+Inputs!$B$29,IF(Skills!C4=2,90+Inputs!$B$26+Inputs!$B$29,IF(Skills!C4=3,120+Inputs!$B$27+Inputs!$B$29,MAX(0,(Inputs!$B$3-100)*3)+Inputs!$B$28+Inputs!$B$29)))</f>
        <v/>
      </c>
      <c r="E2318">
        <f>INDEX(FactorTable!$B$2:$Y$301, MATCH(ROUND(MIN(300,MAX(1,D2318)),0), FactorTable!$A$2:$A$301,0), Skills!M4+1)</f>
        <v/>
      </c>
      <c r="F2318">
        <f>IF(Skills!N4=TRUE,(Skills!L4/10)*(E2318/1000),Skills!L4/10)+Skills!O4</f>
        <v/>
      </c>
      <c r="G2318">
        <f>Calc!G4</f>
        <v/>
      </c>
      <c r="H2318">
        <f>Calc!H4</f>
        <v/>
      </c>
      <c r="I2318">
        <f>IF(Skills!X4&lt;&gt;"",1+(Skills!X4/10)*(Z2317/1000)/100,1)</f>
        <v/>
      </c>
      <c r="J2318">
        <f>((Inputs!$B$6*(1+Inputs!$B$7/100))+(((Inputs!$B$12*(1+Inputs!$B$13/100))-(Inputs!$B$12*(1+Inputs!$B$13/100)))+0.25*(Inputs!$B$14-Inputs!$B$14))*(1+Inputs!$B$7/100))*(F2318/100)</f>
        <v/>
      </c>
      <c r="K2318">
        <f>J2318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2318)</f>
        <v/>
      </c>
      <c r="L2318">
        <f>K2318*(MIN(Inputs!$B$22+(F2336-Calc!F22),(Inputs!$B$23+(IF(ArtifactsInput!$M$15,CHOOSE(ArtifactsInput!$N$15+1,25,30,35,40,45,50)/100*(Inputs!$B$11-Inputs!$B$11),0))))/100+(Inputs!$B$23+(IF(ArtifactsInput!$M$15,CHOOSE(ArtifactsInput!$N$15+1,25,30,35,40,45,50)/100*(Inputs!$B$11-Inputs!$B$11),0)))/100)/2</f>
        <v/>
      </c>
      <c r="M2318">
        <f>L2318*(1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8">
        <f>L2318*(1-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2318*(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8">
        <f>(1-Summary!$B$11)*S2318+Summary!$B$11*U2318</f>
        <v/>
      </c>
      <c r="P2318">
        <f>IF(B2355=0,0,O2318/B2355)</f>
        <v/>
      </c>
      <c r="Q2318">
        <f>IFERROR(1/(IF(Inputs!$B$38="pvp",15,MAX(0.1,Skills!E4-IF(Skills!F4=TRUE,Inputs!$B$32,0)))*(1-IF(AND(ArtifactsInput!$M$27,Inputs!$B$4="Chapter Hunt"),CHOOSE(ArtifactsInput!$N$27+1,20,24,28,32,36,40),0)/100)),0)</f>
        <v/>
      </c>
      <c r="R2318">
        <f>IF(AND(Inputs!$B$38&lt;&gt;"pvp",Inputs!$B$43&gt;0),IF(MAX(0,Inputs!$B$43-B2352)&lt;=0,0,(INT(MAX(0,Inputs!$B$43-B2352)/(IF(Inputs!$B$38="pvp",15,MAX(0.1,Skills!E4-IF(Skills!F4=TRUE,Inputs!$B$32,0)))*(1-IF(AND(ArtifactsInput!$M$27,Inputs!$B$4="Chapter Hunt"),CHOOSE(ArtifactsInput!$N$27+1,20,24,28,32,36,40),0)/100)))+1)),0)</f>
        <v/>
      </c>
      <c r="S2318">
        <f>IF(C2318,(H2318*N2318*IF(AND(Inputs!$B$38&lt;&gt;"pvp",Inputs!$B$43&gt;0),((Skills!G4*((R2318-1)*IF(Skills!H4&gt;0,Skills!I4/Skills!H4,1)+IF(Skills!H4&gt;0,MIN(Skills!I4,MAX(0,MAX(0,Inputs!$B$43-B2352)-((R2318-1)*(IF(Inputs!$B$38="pvp",15,MAX(0.1,Skills!E4-IF(Skills!F4=TRUE,Inputs!$B$32,0)))*(1-IF(AND(ArtifactsInput!$M$27,Inputs!$B$4="Chapter Hunt"),CHOOSE(ArtifactsInput!$N$27+1,20,24,28,32,36,40),0)/100)))))/Skills!H4,1)))/Inputs!$B$43),G2318*Q2318)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2318*(1-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2318*(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2318*(1-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2318*(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318">
        <f>290*T2317/1000</f>
        <v/>
      </c>
      <c r="U2318">
        <f>IF(C2318,(H2318*N2318*IF(AND(Inputs!$B$38&lt;&gt;"pvp",Inputs!$B$43&gt;0),((Skills!G4*((R2318-1)*IF(Skills!H4&gt;0,Skills!I4/Skills!H4,1)+IF(Skills!H4&gt;0,MIN(Skills!I4,MAX(0,MAX(0,Inputs!$B$43-B2352)-((R2318-1)*(IF(Inputs!$B$38="pvp",15,MAX(0.1,Skills!E4-IF(Skills!F4=TRUE,Inputs!$B$32,0)))*(1-IF(AND(ArtifactsInput!$M$27,Inputs!$B$4="Chapter Hunt"),CHOOSE(ArtifactsInput!$N$27+1,20,24,28,32,36,40),0)/100)))))/Skills!H4,1)))/Inputs!$B$43),G2318*Q2318))*IF(Inputs!$B$38="pvp",1,(1+(Inputs!$B$21+Skills!Q4+(IF(IF(ArtifactsInput!$M$33,FALSE,TRUE),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19">
      <c r="A2319">
        <f>Skills!A5</f>
        <v/>
      </c>
      <c r="B2319">
        <f>Skills!B5</f>
        <v/>
      </c>
      <c r="C2319">
        <f>TRUE</f>
        <v/>
      </c>
      <c r="D2319">
        <f>IF(Skills!C5=1,60+Inputs!$B$25+Inputs!$B$29,IF(Skills!C5=2,90+Inputs!$B$26+Inputs!$B$29,IF(Skills!C5=3,120+Inputs!$B$27+Inputs!$B$29,MAX(0,(Inputs!$B$3-100)*3)+Inputs!$B$28+Inputs!$B$29)))</f>
        <v/>
      </c>
      <c r="E2319">
        <f>INDEX(FactorTable!$B$2:$Y$301, MATCH(ROUND(MIN(300,MAX(1,D2319)),0), FactorTable!$A$2:$A$301,0), Skills!M5+1)</f>
        <v/>
      </c>
      <c r="F2319">
        <f>IF(Skills!N5=TRUE,(Skills!L5/10)*(E2319/1000),Skills!L5/10)+Skills!O5</f>
        <v/>
      </c>
      <c r="G2319">
        <f>Calc!G5</f>
        <v/>
      </c>
      <c r="H2319">
        <f>Calc!H5</f>
        <v/>
      </c>
      <c r="I2319">
        <f>IF(Skills!X5&lt;&gt;"",1+(Skills!X5/10)*(Z2317/1000)/100,1)</f>
        <v/>
      </c>
      <c r="J2319">
        <f>((Inputs!$B$6*(1+Inputs!$B$7/100))+(((Inputs!$B$12*(1+Inputs!$B$13/100))-(Inputs!$B$12*(1+Inputs!$B$13/100)))+0.25*(Inputs!$B$14-Inputs!$B$14))*(1+Inputs!$B$7/100))*(F2319/100)</f>
        <v/>
      </c>
      <c r="K2319">
        <f>J2319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2319)</f>
        <v/>
      </c>
      <c r="L2319">
        <f>K2319*(MIN(Inputs!$B$22+(F2336-Calc!F22),(Inputs!$B$23+(IF(ArtifactsInput!$M$15,CHOOSE(ArtifactsInput!$N$15+1,25,30,35,40,45,50)/100*(Inputs!$B$11-Inputs!$B$11),0))))/100+(Inputs!$B$23+(IF(ArtifactsInput!$M$15,CHOOSE(ArtifactsInput!$N$15+1,25,30,35,40,45,50)/100*(Inputs!$B$11-Inputs!$B$11),0)))/100)/2</f>
        <v/>
      </c>
      <c r="M2319">
        <f>L2319*(1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9">
        <f>L2319*(1-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2319*(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9">
        <f>(1-Summary!$B$11)*S2319+Summary!$B$11*U2319</f>
        <v/>
      </c>
      <c r="P2319">
        <f>IF(B2355=0,0,O2319/B2355)</f>
        <v/>
      </c>
      <c r="Q2319">
        <f>IFERROR(1/(IF(Inputs!$B$38="pvp",15,MAX(0.1,Skills!E5-IF(Skills!F5=TRUE,Inputs!$B$32,0)))*(1-IF(AND(ArtifactsInput!$M$27,Inputs!$B$4="Chapter Hunt"),CHOOSE(ArtifactsInput!$N$27+1,20,24,28,32,36,40),0)/100)),0)</f>
        <v/>
      </c>
      <c r="R2319">
        <f>IF(AND(Inputs!$B$38&lt;&gt;"pvp",Inputs!$B$43&gt;0),IF(MAX(0,Inputs!$B$43-B2352)&lt;=0,0,(INT(MAX(0,Inputs!$B$43-B2352)/(IF(Inputs!$B$38="pvp",15,MAX(0.1,Skills!E5-IF(Skills!F5=TRUE,Inputs!$B$32,0)))*(1-IF(AND(ArtifactsInput!$M$27,Inputs!$B$4="Chapter Hunt"),CHOOSE(ArtifactsInput!$N$27+1,20,24,28,32,36,40),0)/100)))+1)),0)</f>
        <v/>
      </c>
      <c r="S2319">
        <f>IF(C2319,(H2319*N2319*IF(AND(Inputs!$B$38&lt;&gt;"pvp",Inputs!$B$43&gt;0),((Skills!G5*((R2319-1)*IF(Skills!H5&gt;0,Skills!I5/Skills!H5,1)+IF(Skills!H5&gt;0,MIN(Skills!I5,MAX(0,MAX(0,Inputs!$B$43-B2352)-((R2319-1)*(IF(Inputs!$B$38="pvp",15,MAX(0.1,Skills!E5-IF(Skills!F5=TRUE,Inputs!$B$32,0)))*(1-IF(AND(ArtifactsInput!$M$27,Inputs!$B$4="Chapter Hunt"),CHOOSE(ArtifactsInput!$N$27+1,20,24,28,32,36,40),0)/100)))))/Skills!H5,1)))/Inputs!$B$43),G2319*Q2319)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2319*(1-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2319*(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2319*(1-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2319*(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19">
        <f>IF(C2319,(H2319*N2319*IF(AND(Inputs!$B$38&lt;&gt;"pvp",Inputs!$B$43&gt;0),((Skills!G5*((R2319-1)*IF(Skills!H5&gt;0,Skills!I5/Skills!H5,1)+IF(Skills!H5&gt;0,MIN(Skills!I5,MAX(0,MAX(0,Inputs!$B$43-B2352)-((R2319-1)*(IF(Inputs!$B$38="pvp",15,MAX(0.1,Skills!E5-IF(Skills!F5=TRUE,Inputs!$B$32,0)))*(1-IF(AND(ArtifactsInput!$M$27,Inputs!$B$4="Chapter Hunt"),CHOOSE(ArtifactsInput!$N$27+1,20,24,28,32,36,40),0)/100)))))/Skills!H5,1)))/Inputs!$B$43),G2319*Q2319))*IF(Inputs!$B$38="pvp",1,(1+(Inputs!$B$21+Skills!Q5+(IF(IF(ArtifactsInput!$M$33,FALSE,TRUE),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0">
      <c r="A2320">
        <f>Skills!A6</f>
        <v/>
      </c>
      <c r="B2320">
        <f>Skills!B6</f>
        <v/>
      </c>
      <c r="C2320">
        <f>TRUE</f>
        <v/>
      </c>
      <c r="D2320">
        <f>IF(Skills!C6=1,60+Inputs!$B$25+Inputs!$B$29,IF(Skills!C6=2,90+Inputs!$B$26+Inputs!$B$29,IF(Skills!C6=3,120+Inputs!$B$27+Inputs!$B$29,MAX(0,(Inputs!$B$3-100)*3)+Inputs!$B$28+Inputs!$B$29)))</f>
        <v/>
      </c>
      <c r="E2320">
        <f>INDEX(FactorTable!$B$2:$Y$301, MATCH(ROUND(MIN(300,MAX(1,D2320)),0), FactorTable!$A$2:$A$301,0), Skills!M6+1)</f>
        <v/>
      </c>
      <c r="F2320">
        <f>IF(Skills!N6=TRUE,(Skills!L6/10)*(E2320/1000),Skills!L6/10)+Skills!O6</f>
        <v/>
      </c>
      <c r="G2320">
        <f>Calc!G6</f>
        <v/>
      </c>
      <c r="H2320">
        <f>Calc!H6</f>
        <v/>
      </c>
      <c r="I2320">
        <f>IF(Skills!X6&lt;&gt;"",1+(Skills!X6/10)*(Z2317/1000)/100,1)</f>
        <v/>
      </c>
      <c r="J2320" t="inlineStr"/>
      <c r="K2320" t="inlineStr"/>
      <c r="L2320" t="inlineStr"/>
      <c r="M2320" t="inlineStr"/>
      <c r="N2320" t="inlineStr"/>
      <c r="O2320">
        <f>(1-Summary!$B$11)*S2320+Summary!$B$11*U2320</f>
        <v/>
      </c>
      <c r="P2320">
        <f>IF(B2355=0,0,O2320/B2355)</f>
        <v/>
      </c>
      <c r="Q2320">
        <f>IFERROR(1/(IF(Inputs!$B$38="pvp",15,MAX(0.1,Skills!E6-IF(Skills!F6=TRUE,Inputs!$B$32,0)))*(1-IF(AND(ArtifactsInput!$M$27,Inputs!$B$4="Chapter Hunt"),CHOOSE(ArtifactsInput!$N$27+1,20,24,28,32,36,40),0)/100)),0)</f>
        <v/>
      </c>
      <c r="R2320">
        <f>IF(AND(Inputs!$B$38&lt;&gt;"pvp",Inputs!$B$43&gt;0),IF(Inputs!$B$43&lt;=0,0,(INT(Inputs!$B$43/(IF(Inputs!$B$38="pvp",15,MAX(0.1,Skills!E6-IF(Skills!F6=TRUE,Inputs!$B$32,0)))*(1-IF(AND(ArtifactsInput!$M$27,Inputs!$B$4="Chapter Hunt"),CHOOSE(ArtifactsInput!$N$27+1,20,24,28,32,36,40),0)/100)))+1)),0)</f>
        <v/>
      </c>
      <c r="S2320" t="n">
        <v>0</v>
      </c>
      <c r="U2320" t="n">
        <v>0</v>
      </c>
    </row>
    <row r="2321">
      <c r="A2321">
        <f>Skills!A7</f>
        <v/>
      </c>
      <c r="B2321">
        <f>Skills!B7</f>
        <v/>
      </c>
      <c r="C2321">
        <f>TRUE</f>
        <v/>
      </c>
      <c r="D2321">
        <f>IF(Skills!C7=1,60+Inputs!$B$25+Inputs!$B$29,IF(Skills!C7=2,90+Inputs!$B$26+Inputs!$B$29,IF(Skills!C7=3,120+Inputs!$B$27+Inputs!$B$29,MAX(0,(Inputs!$B$3-100)*3)+Inputs!$B$28+Inputs!$B$29)))</f>
        <v/>
      </c>
      <c r="E2321">
        <f>INDEX(FactorTable!$B$2:$Y$301, MATCH(ROUND(MIN(300,MAX(1,D2321)),0), FactorTable!$A$2:$A$301,0), Skills!M7+1)</f>
        <v/>
      </c>
      <c r="F2321">
        <f>IF(Skills!N7=TRUE,(Skills!L7/10)*(E2321/1000),Skills!L7/10)+Skills!O7</f>
        <v/>
      </c>
      <c r="G2321">
        <f>Calc!G7</f>
        <v/>
      </c>
      <c r="H2321">
        <f>Calc!H7</f>
        <v/>
      </c>
      <c r="I2321">
        <f>IF(Skills!X7&lt;&gt;"",1+(Skills!X7/10)*(Z2317/1000)/100,1)</f>
        <v/>
      </c>
      <c r="J2321">
        <f>((Inputs!$B$6*(1+Inputs!$B$7/100))+(((Inputs!$B$12*(1+Inputs!$B$13/100))-(Inputs!$B$12*(1+Inputs!$B$13/100)))+0.25*(Inputs!$B$14-Inputs!$B$14))*(1+Inputs!$B$7/100))*(F2321/100)</f>
        <v/>
      </c>
      <c r="K2321">
        <f>J2321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2321)</f>
        <v/>
      </c>
      <c r="L2321">
        <f>K2321*(MIN(Inputs!$B$22+(F2336-Calc!F22),(Inputs!$B$23+(IF(ArtifactsInput!$M$15,CHOOSE(ArtifactsInput!$N$15+1,25,30,35,40,45,50)/100*(Inputs!$B$11-Inputs!$B$11),0))))/100+(Inputs!$B$23+(IF(ArtifactsInput!$M$15,CHOOSE(ArtifactsInput!$N$15+1,25,30,35,40,45,50)/100*(Inputs!$B$11-Inputs!$B$11),0)))/100)/2</f>
        <v/>
      </c>
      <c r="M2321">
        <f>L2321*(1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1">
        <f>L2321*(1-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1">
        <f>(1-Summary!$B$11)*S2321+Summary!$B$11*U2321</f>
        <v/>
      </c>
      <c r="P2321">
        <f>IF(B2355=0,0,O2321/B2355)</f>
        <v/>
      </c>
      <c r="Q2321">
        <f>IFERROR(1/(IF(Inputs!$B$38="pvp",15,MAX(0.1,Skills!E7-IF(Skills!F7=TRUE,Inputs!$B$32,0)))*(1-IF(AND(ArtifactsInput!$M$27,Inputs!$B$4="Chapter Hunt"),CHOOSE(ArtifactsInput!$N$27+1,20,24,28,32,36,40),0)/100)),0)</f>
        <v/>
      </c>
      <c r="R2321">
        <f>IF(AND(Inputs!$B$38&lt;&gt;"pvp",Inputs!$B$43&gt;0),IF(MAX(0,Inputs!$B$43-B2352)&lt;=0,0,(INT(MAX(0,Inputs!$B$43-B2352)/(IF(Inputs!$B$38="pvp",15,MAX(0.1,Skills!E7-IF(Skills!F7=TRUE,Inputs!$B$32,0)))*(1-IF(AND(ArtifactsInput!$M$27,Inputs!$B$4="Chapter Hunt"),CHOOSE(ArtifactsInput!$N$27+1,20,24,28,32,36,40),0)/100)))+1)),0)</f>
        <v/>
      </c>
      <c r="S2321">
        <f>IF(C2321,(H2321*N2321*IF(AND(Inputs!$B$38&lt;&gt;"pvp",Inputs!$B$43&gt;0),((Skills!G7*((R2321-1)*IF(Skills!H7&gt;0,Skills!I7/Skills!H7,1)+IF(Skills!H7&gt;0,MIN(Skills!I7,MAX(0,MAX(0,Inputs!$B$43-B2352)-((R2321-1)*(IF(Inputs!$B$38="pvp",15,MAX(0.1,Skills!E7-IF(Skills!F7=TRUE,Inputs!$B$32,0)))*(1-IF(AND(ArtifactsInput!$M$27,Inputs!$B$4="Chapter Hunt"),CHOOSE(ArtifactsInput!$N$27+1,20,24,28,32,36,40),0)/100)))))/Skills!H7,1)))/Inputs!$B$43),G2321*Q2321)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2321*(1-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2321*(1-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1">
        <f>IF(C2321,(H2321*N2321*IF(AND(Inputs!$B$38&lt;&gt;"pvp",Inputs!$B$43&gt;0),((Skills!G7*((R2321-1)*IF(Skills!H7&gt;0,Skills!I7/Skills!H7,1)+IF(Skills!H7&gt;0,MIN(Skills!I7,MAX(0,MAX(0,Inputs!$B$43-B2352)-((R2321-1)*(IF(Inputs!$B$38="pvp",15,MAX(0.1,Skills!E7-IF(Skills!F7=TRUE,Inputs!$B$32,0)))*(1-IF(AND(ArtifactsInput!$M$27,Inputs!$B$4="Chapter Hunt"),CHOOSE(ArtifactsInput!$N$27+1,20,24,28,32,36,40),0)/100)))))/Skills!H7,1)))/Inputs!$B$43),G2321*Q2321))*IF(Inputs!$B$38="pvp",1,(1+(Inputs!$B$21+Skills!Q7+(IF(IF(ArtifactsInput!$M$33,FALSE,TRUE),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2">
      <c r="A2322">
        <f>Skills!A8</f>
        <v/>
      </c>
      <c r="B2322">
        <f>Skills!B8</f>
        <v/>
      </c>
      <c r="C2322">
        <f>TRUE</f>
        <v/>
      </c>
      <c r="D2322">
        <f>IF(Skills!C8=1,60+Inputs!$B$25+Inputs!$B$29,IF(Skills!C8=2,90+Inputs!$B$26+Inputs!$B$29,IF(Skills!C8=3,120+Inputs!$B$27+Inputs!$B$29,MAX(0,(Inputs!$B$3-100)*3)+Inputs!$B$28+Inputs!$B$29)))</f>
        <v/>
      </c>
      <c r="E2322">
        <f>INDEX(FactorTable!$B$2:$Y$301, MATCH(ROUND(MIN(300,MAX(1,D2322)),0), FactorTable!$A$2:$A$301,0), Skills!M8+1)</f>
        <v/>
      </c>
      <c r="F2322">
        <f>IF(Skills!N8=TRUE,(Skills!L8/10)*(E2322/1000),Skills!L8/10)+Skills!O8</f>
        <v/>
      </c>
      <c r="G2322">
        <f>Calc!G8</f>
        <v/>
      </c>
      <c r="H2322">
        <f>Calc!H8</f>
        <v/>
      </c>
      <c r="I2322">
        <f>IF(Skills!X8&lt;&gt;"",1+(Skills!X8/10)*(Z2317/1000)/100,1)</f>
        <v/>
      </c>
      <c r="J2322">
        <f>((Inputs!$B$6*(1+Inputs!$B$7/100))+(((Inputs!$B$12*(1+Inputs!$B$13/100))-(Inputs!$B$12*(1+Inputs!$B$13/100)))+0.25*(Inputs!$B$14-Inputs!$B$14))*(1+Inputs!$B$7/100))*(F2322/100)</f>
        <v/>
      </c>
      <c r="K2322">
        <f>J2322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2322)</f>
        <v/>
      </c>
      <c r="L2322">
        <f>K2322*(MIN(Inputs!$B$22+(F2336-Calc!F22),(Inputs!$B$23+(IF(ArtifactsInput!$M$15,CHOOSE(ArtifactsInput!$N$15+1,25,30,35,40,45,50)/100*(Inputs!$B$11-Inputs!$B$11),0))))/100+(Inputs!$B$23+(IF(ArtifactsInput!$M$15,CHOOSE(ArtifactsInput!$N$15+1,25,30,35,40,45,50)/100*(Inputs!$B$11-Inputs!$B$11),0)))/100)/2</f>
        <v/>
      </c>
      <c r="M2322">
        <f>L2322*(1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2">
        <f>L2322*(1-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2322*(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2">
        <f>(1-Summary!$B$11)*S2322+Summary!$B$11*U2322</f>
        <v/>
      </c>
      <c r="P2322">
        <f>IF(B2355=0,0,O2322/B2355)</f>
        <v/>
      </c>
      <c r="Q2322">
        <f>IFERROR(1/(IF(Inputs!$B$38="pvp",15,MAX(0.1,Skills!E8-IF(Skills!F8=TRUE,Inputs!$B$32,0)))*(1-IF(AND(ArtifactsInput!$M$27,Inputs!$B$4="Chapter Hunt"),CHOOSE(ArtifactsInput!$N$27+1,20,24,28,32,36,40),0)/100)),0)</f>
        <v/>
      </c>
      <c r="R2322">
        <f>IF(AND(Inputs!$B$38&lt;&gt;"pvp",Inputs!$B$43&gt;0),IF(MAX(0,Inputs!$B$43-B2352)&lt;=0,0,(INT(MAX(0,Inputs!$B$43-B2352)/(IF(Inputs!$B$38="pvp",15,MAX(0.1,Skills!E8-IF(Skills!F8=TRUE,Inputs!$B$32,0)))*(1-IF(AND(ArtifactsInput!$M$27,Inputs!$B$4="Chapter Hunt"),CHOOSE(ArtifactsInput!$N$27+1,20,24,28,32,36,40),0)/100)))+1)),0)</f>
        <v/>
      </c>
      <c r="S2322">
        <f>IF(C2322,(H2322*N2322*IF(AND(Inputs!$B$38&lt;&gt;"pvp",Inputs!$B$43&gt;0),((Skills!G8*((R2322-1)*IF(Skills!H8&gt;0,Skills!I8/Skills!H8,1)+IF(Skills!H8&gt;0,MIN(Skills!I8,MAX(0,MAX(0,Inputs!$B$43-B2352)-((R2322-1)*(IF(Inputs!$B$38="pvp",15,MAX(0.1,Skills!E8-IF(Skills!F8=TRUE,Inputs!$B$32,0)))*(1-IF(AND(ArtifactsInput!$M$27,Inputs!$B$4="Chapter Hunt"),CHOOSE(ArtifactsInput!$N$27+1,20,24,28,32,36,40),0)/100)))))/Skills!H8,1)))/Inputs!$B$43),G2322*Q2322)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2322*(1-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2322*(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2322*(1-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2322*(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2">
        <f>IF(C2322,(H2322*N2322*IF(AND(Inputs!$B$38&lt;&gt;"pvp",Inputs!$B$43&gt;0),((Skills!G8*((R2322-1)*IF(Skills!H8&gt;0,Skills!I8/Skills!H8,1)+IF(Skills!H8&gt;0,MIN(Skills!I8,MAX(0,MAX(0,Inputs!$B$43-B2352)-((R2322-1)*(IF(Inputs!$B$38="pvp",15,MAX(0.1,Skills!E8-IF(Skills!F8=TRUE,Inputs!$B$32,0)))*(1-IF(AND(ArtifactsInput!$M$27,Inputs!$B$4="Chapter Hunt"),CHOOSE(ArtifactsInput!$N$27+1,20,24,28,32,36,40),0)/100)))))/Skills!H8,1)))/Inputs!$B$43),G2322*Q2322))*IF(Inputs!$B$38="pvp",1,(1+(Inputs!$B$21+Skills!Q8+(IF(IF(ArtifactsInput!$M$33,FALSE,TRUE),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3">
      <c r="A2323">
        <f>Skills!A9</f>
        <v/>
      </c>
      <c r="B2323">
        <f>Skills!B9</f>
        <v/>
      </c>
      <c r="C2323">
        <f>Inputs!$B$3&gt;=103</f>
        <v/>
      </c>
      <c r="D2323">
        <f>IF(Skills!C9=1,60+Inputs!$B$25+Inputs!$B$29,IF(Skills!C9=2,90+Inputs!$B$26+Inputs!$B$29,IF(Skills!C9=3,120+Inputs!$B$27+Inputs!$B$29,MAX(0,(Inputs!$B$3-100)*3)+Inputs!$B$28+Inputs!$B$29)))</f>
        <v/>
      </c>
      <c r="E2323">
        <f>INDEX(FactorTable!$B$2:$Y$301, MATCH(ROUND(MIN(300,MAX(1,D2323)),0), FactorTable!$A$2:$A$301,0), Skills!M9+1)</f>
        <v/>
      </c>
      <c r="F2323">
        <f>IF(Skills!N9=TRUE,(Skills!L9/10)*(E2323/1000),Skills!L9/10)+Skills!O9</f>
        <v/>
      </c>
      <c r="G2323">
        <f>Calc!G9</f>
        <v/>
      </c>
      <c r="H2323">
        <f>Calc!H9</f>
        <v/>
      </c>
      <c r="I2323">
        <f>IF(Skills!X9&lt;&gt;"",1+(Skills!X9/10)*(Z2317/1000)/100,1)</f>
        <v/>
      </c>
      <c r="J2323">
        <f>((Inputs!$B$6*(1+Inputs!$B$7/100))+(((Inputs!$B$12*(1+Inputs!$B$13/100))-(Inputs!$B$12*(1+Inputs!$B$13/100)))+0.25*(Inputs!$B$14-Inputs!$B$14))*(1+Inputs!$B$7/100))*(F2323/100)</f>
        <v/>
      </c>
      <c r="K2323">
        <f>J2323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2323)</f>
        <v/>
      </c>
      <c r="L2323">
        <f>K2323*(MIN(Inputs!$B$22+(F2336-Calc!F22),(Inputs!$B$23+(IF(ArtifactsInput!$M$15,CHOOSE(ArtifactsInput!$N$15+1,25,30,35,40,45,50)/100*(Inputs!$B$11-Inputs!$B$11),0))))/100+(Inputs!$B$23+(IF(ArtifactsInput!$M$15,CHOOSE(ArtifactsInput!$N$15+1,25,30,35,40,45,50)/100*(Inputs!$B$11-Inputs!$B$11),0)))/100)/2</f>
        <v/>
      </c>
      <c r="M2323">
        <f>L2323*(1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3">
        <f>L2323*(1-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2323*(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3">
        <f>(1-Summary!$B$11)*S2323+Summary!$B$11*U2323</f>
        <v/>
      </c>
      <c r="P2323">
        <f>IF(B2355=0,0,O2323/B2355)</f>
        <v/>
      </c>
      <c r="Q2323">
        <f>IFERROR(1/(IF(Inputs!$B$38="pvp",15,MAX(0.1,Skills!E9-IF(Skills!F7=TRUE,Inputs!$B$32,0)))*(1-IF(AND(ArtifactsInput!$M$27,Inputs!$B$4="Chapter Hunt"),CHOOSE(ArtifactsInput!$N$27+1,20,24,28,32,36,40),0)/100)),0)</f>
        <v/>
      </c>
      <c r="R2323">
        <f>IF(AND(Inputs!$B$38&lt;&gt;"pvp",Inputs!$B$43&gt;0),IF(MAX(0,Inputs!$B$43-B2352)&lt;=0,0,(INT(MAX(0,Inputs!$B$43-B2352)/(IF(Inputs!$B$38="pvp",15,MAX(0.1,Skills!E9-IF(Skills!F7=TRUE,Inputs!$B$32,0)))*(1-IF(AND(ArtifactsInput!$M$27,Inputs!$B$4="Chapter Hunt"),CHOOSE(ArtifactsInput!$N$27+1,20,24,28,32,36,40),0)/100)))+1)),0)</f>
        <v/>
      </c>
      <c r="S2323">
        <f>IF(C2323,(H2323*N2323*IF(AND(Inputs!$B$38&lt;&gt;"pvp",Inputs!$B$43&gt;0),((Skills!G9*((R2323-1)*IF(Skills!H9&gt;0,Skills!I9/Skills!H9,1)+IF(Skills!H9&gt;0,MIN(Skills!I9,MAX(0,MAX(0,Inputs!$B$43-B2352)-((R2323-1)*(IF(Inputs!$B$38="pvp",15,MAX(0.1,Skills!E9-IF(Skills!F7=TRUE,Inputs!$B$32,0)))*(1-IF(AND(ArtifactsInput!$M$27,Inputs!$B$4="Chapter Hunt"),CHOOSE(ArtifactsInput!$N$27+1,20,24,28,32,36,40),0)/100)))))/Skills!H9,1)))/Inputs!$B$43),G2323*Q2323)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2323*(1-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2323*(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2323*(1-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2323*(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3">
        <f>IF(C2323,(H2323*N2323*IF(AND(Inputs!$B$38&lt;&gt;"pvp",Inputs!$B$43&gt;0),((Skills!G9*((R2323-1)*IF(Skills!H9&gt;0,Skills!I9/Skills!H9,1)+IF(Skills!H9&gt;0,MIN(Skills!I9,MAX(0,MAX(0,Inputs!$B$43-B2352)-((R2323-1)*(IF(Inputs!$B$38="pvp",15,MAX(0.1,Skills!E9-IF(Skills!F7=TRUE,Inputs!$B$32,0)))*(1-IF(AND(ArtifactsInput!$M$27,Inputs!$B$4="Chapter Hunt"),CHOOSE(ArtifactsInput!$N$27+1,20,24,28,32,36,40),0)/100)))))/Skills!H9,1)))/Inputs!$B$43),G2323*Q2323))*IF(Inputs!$B$38="pvp",1,(1+(Inputs!$B$21+Skills!Q9+(IF(IF(ArtifactsInput!$M$33,FALSE,TRUE),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4">
      <c r="A2324">
        <f>Skills!A10</f>
        <v/>
      </c>
      <c r="B2324">
        <f>Skills!B10</f>
        <v/>
      </c>
      <c r="C2324">
        <f>TRUE</f>
        <v/>
      </c>
      <c r="D2324">
        <f>IF(Skills!C10=1,60+Inputs!$B$25+Inputs!$B$29,IF(Skills!C10=2,90+Inputs!$B$26+Inputs!$B$29,IF(Skills!C10=3,120+Inputs!$B$27+Inputs!$B$29,MAX(0,(Inputs!$B$3-100)*3)+Inputs!$B$28+Inputs!$B$29)))</f>
        <v/>
      </c>
      <c r="E2324">
        <f>INDEX(FactorTable!$B$2:$Y$301, MATCH(ROUND(MIN(300,MAX(1,D2324)),0), FactorTable!$A$2:$A$301,0), Skills!M10+1)</f>
        <v/>
      </c>
      <c r="F2324">
        <f>IF(Skills!N10=TRUE,(Skills!L10/10)*(E2324/1000),Skills!L10/10)+Skills!O10</f>
        <v/>
      </c>
      <c r="G2324">
        <f>Calc!G10</f>
        <v/>
      </c>
      <c r="H2324">
        <f>Calc!H10</f>
        <v/>
      </c>
      <c r="I2324">
        <f>IF(Skills!X10&lt;&gt;"",1+(Skills!X10/10)*(Z2317/1000)/100,1)</f>
        <v/>
      </c>
      <c r="J2324">
        <f>((Inputs!$B$6*(1+Inputs!$B$7/100))+(((Inputs!$B$12*(1+Inputs!$B$13/100))-(Inputs!$B$12*(1+Inputs!$B$13/100)))+0.25*(Inputs!$B$14-Inputs!$B$14))*(1+Inputs!$B$7/100))*(F2324/100)</f>
        <v/>
      </c>
      <c r="K2324">
        <f>J2324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2324)</f>
        <v/>
      </c>
      <c r="L2324">
        <f>K2324*(MIN(Inputs!$B$22+(F2336-Calc!F22),(Inputs!$B$23+(IF(ArtifactsInput!$M$15,CHOOSE(ArtifactsInput!$N$15+1,25,30,35,40,45,50)/100*(Inputs!$B$11-Inputs!$B$11),0))))/100+(Inputs!$B$23+(IF(ArtifactsInput!$M$15,CHOOSE(ArtifactsInput!$N$15+1,25,30,35,40,45,50)/100*(Inputs!$B$11-Inputs!$B$11),0)))/100)/2</f>
        <v/>
      </c>
      <c r="M2324">
        <f>L2324*(1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4">
        <f>L2324*(1-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2324*(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4">
        <f>(1-Summary!$B$11)*S2324+Summary!$B$11*U2324</f>
        <v/>
      </c>
      <c r="P2324">
        <f>IF(B2355=0,0,O2324/B2355)</f>
        <v/>
      </c>
      <c r="Q2324">
        <f>IFERROR(1/(IF(Inputs!$B$38="pvp",15,MAX(0.1,Skills!E10-IF(Skills!F10=TRUE,Inputs!$B$32,0)))*(1-IF(AND(ArtifactsInput!$M$27,Inputs!$B$4="Chapter Hunt"),CHOOSE(ArtifactsInput!$N$27+1,20,24,28,32,36,40),0)/100)),0)</f>
        <v/>
      </c>
      <c r="R2324">
        <f>IF(AND(Inputs!$B$38&lt;&gt;"pvp",Inputs!$B$43&gt;0),IF(MAX(0,Inputs!$B$43-B2352)&lt;=0,0,(INT(MAX(0,Inputs!$B$43-B2352)/(IF(Inputs!$B$38="pvp",15,MAX(0.1,Skills!E10-IF(Skills!F10=TRUE,Inputs!$B$32,0)))*(1-IF(AND(ArtifactsInput!$M$27,Inputs!$B$4="Chapter Hunt"),CHOOSE(ArtifactsInput!$N$27+1,20,24,28,32,36,40),0)/100)))+1)),0)</f>
        <v/>
      </c>
      <c r="S2324">
        <f>IF(C2324,(H2324*N2324*IF(AND(Inputs!$B$38&lt;&gt;"pvp",Inputs!$B$43&gt;0),((Skills!G10*((R2324-1)*IF(Skills!H10&gt;0,Skills!I10/Skills!H10,1)+IF(Skills!H10&gt;0,MIN(Skills!I10,MAX(0,MAX(0,Inputs!$B$43-B2352)-((R2324-1)*(IF(Inputs!$B$38="pvp",15,MAX(0.1,Skills!E10-IF(Skills!F10=TRUE,Inputs!$B$32,0)))*(1-IF(AND(ArtifactsInput!$M$27,Inputs!$B$4="Chapter Hunt"),CHOOSE(ArtifactsInput!$N$27+1,20,24,28,32,36,40),0)/100)))))/Skills!H10,1)))/Inputs!$B$43),G2324*Q2324)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2324*(1-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2324*(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2324*(1-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2324*(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4">
        <f>IF(C2324,(H2324*N2324*IF(AND(Inputs!$B$38&lt;&gt;"pvp",Inputs!$B$43&gt;0),((Skills!G10*((R2324-1)*IF(Skills!H10&gt;0,Skills!I10/Skills!H10,1)+IF(Skills!H10&gt;0,MIN(Skills!I10,MAX(0,MAX(0,Inputs!$B$43-B2352)-((R2324-1)*(IF(Inputs!$B$38="pvp",15,MAX(0.1,Skills!E10-IF(Skills!F10=TRUE,Inputs!$B$32,0)))*(1-IF(AND(ArtifactsInput!$M$27,Inputs!$B$4="Chapter Hunt"),CHOOSE(ArtifactsInput!$N$27+1,20,24,28,32,36,40),0)/100)))))/Skills!H10,1)))/Inputs!$B$43),G2324*Q2324))*IF(Inputs!$B$38="pvp",1,(1+(Inputs!$B$21+Skills!Q10+(IF(IF(ArtifactsInput!$M$33,FALSE,TRUE),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5">
      <c r="A2325">
        <f>Skills!A11</f>
        <v/>
      </c>
      <c r="B2325">
        <f>Skills!B11</f>
        <v/>
      </c>
      <c r="C2325">
        <f>TRUE</f>
        <v/>
      </c>
      <c r="D2325">
        <f>IF(Skills!C11=1,60+Inputs!$B$25+Inputs!$B$29,IF(Skills!C11=2,90+Inputs!$B$26+Inputs!$B$29,IF(Skills!C11=3,120+Inputs!$B$27+Inputs!$B$29,MAX(0,(Inputs!$B$3-100)*3)+Inputs!$B$28+Inputs!$B$29)))</f>
        <v/>
      </c>
      <c r="E2325">
        <f>INDEX(FactorTable!$B$2:$Y$301, MATCH(ROUND(MIN(300,MAX(1,D2325)),0), FactorTable!$A$2:$A$301,0), Skills!M11+1)</f>
        <v/>
      </c>
      <c r="F2325">
        <f>IF(Skills!N11=TRUE,(Skills!L11/10)*(E2325/1000),Skills!L11/10)+Skills!O11</f>
        <v/>
      </c>
      <c r="G2325">
        <f>Calc!G11</f>
        <v/>
      </c>
      <c r="H2325">
        <f>Calc!H11</f>
        <v/>
      </c>
      <c r="I2325">
        <f>IF(Skills!X11&lt;&gt;"",1+(Skills!X11/10)*(Z2317/1000)/100,1)</f>
        <v/>
      </c>
      <c r="J2325" t="inlineStr"/>
      <c r="K2325" t="inlineStr"/>
      <c r="L2325" t="inlineStr"/>
      <c r="M2325" t="inlineStr"/>
      <c r="N2325" t="inlineStr"/>
      <c r="O2325">
        <f>(1-Summary!$B$11)*S2325+Summary!$B$11*U2325</f>
        <v/>
      </c>
      <c r="P2325">
        <f>IF(B2355=0,0,O2325/B2355)</f>
        <v/>
      </c>
      <c r="Q2325">
        <f>IFERROR(1/(IF(Inputs!$B$38="pvp",15,MAX(0.1,Skills!E11-IF(Skills!F11=TRUE,Inputs!$B$32,0)))*(1-IF(AND(ArtifactsInput!$M$27,Inputs!$B$4="Chapter Hunt"),CHOOSE(ArtifactsInput!$N$27+1,20,24,28,32,36,40),0)/100)),0)</f>
        <v/>
      </c>
      <c r="R2325" t="n">
        <v>0</v>
      </c>
      <c r="S2325" t="n">
        <v>0</v>
      </c>
      <c r="U2325" t="n">
        <v>0</v>
      </c>
    </row>
    <row r="2326">
      <c r="A2326">
        <f>Skills!A12</f>
        <v/>
      </c>
      <c r="B2326">
        <f>Skills!B12</f>
        <v/>
      </c>
      <c r="C2326">
        <f>TRUE</f>
        <v/>
      </c>
      <c r="D2326">
        <f>IF(Skills!C12=1,60+Inputs!$B$25+Inputs!$B$29,IF(Skills!C12=2,90+Inputs!$B$26+Inputs!$B$29,IF(Skills!C12=3,120+Inputs!$B$27+Inputs!$B$29,MAX(0,(Inputs!$B$3-100)*3)+Inputs!$B$28+Inputs!$B$29)))</f>
        <v/>
      </c>
      <c r="E2326">
        <f>INDEX(FactorTable!$B$2:$Y$301, MATCH(ROUND(MIN(300,MAX(1,D2326)),0), FactorTable!$A$2:$A$301,0), Skills!M12+1)</f>
        <v/>
      </c>
      <c r="F2326">
        <f>IF(Skills!N12=TRUE,(Skills!L12/10)*(E2326/1000),Skills!L12/10)+Skills!O12</f>
        <v/>
      </c>
      <c r="G2326">
        <f>Calc!G12</f>
        <v/>
      </c>
      <c r="H2326">
        <f>Calc!H12</f>
        <v/>
      </c>
      <c r="I2326">
        <f>IF(Skills!X12&lt;&gt;"",1+(Skills!X12/10)*(Z2317/1000)/100,1)</f>
        <v/>
      </c>
      <c r="J2326" t="inlineStr"/>
      <c r="K2326" t="inlineStr"/>
      <c r="L2326" t="inlineStr"/>
      <c r="M2326" t="inlineStr"/>
      <c r="N2326" t="inlineStr"/>
      <c r="O2326">
        <f>(1-Summary!$B$11)*S2326+Summary!$B$11*U2326</f>
        <v/>
      </c>
      <c r="P2326">
        <f>IF(B2355=0,0,O2326/B2355)</f>
        <v/>
      </c>
      <c r="Q2326">
        <f>IFERROR(1/(IF(Inputs!$B$38="pvp",15,MAX(0.1,Skills!E12-IF(Skills!F12=TRUE,Inputs!$B$32,0)))*(1-IF(AND(ArtifactsInput!$M$27,Inputs!$B$4="Chapter Hunt"),CHOOSE(ArtifactsInput!$N$27+1,20,24,28,32,36,40),0)/100)),0)</f>
        <v/>
      </c>
      <c r="R2326" t="n">
        <v>0</v>
      </c>
      <c r="S2326" t="n">
        <v>0</v>
      </c>
      <c r="U2326" t="n">
        <v>0</v>
      </c>
    </row>
    <row r="2327">
      <c r="A2327">
        <f>Skills!A13</f>
        <v/>
      </c>
      <c r="B2327">
        <f>Skills!B13</f>
        <v/>
      </c>
      <c r="C2327">
        <f>Inputs!$B$3&gt;=105</f>
        <v/>
      </c>
      <c r="D2327">
        <f>IF(Skills!C13=1,60+Inputs!$B$25+Inputs!$B$29,IF(Skills!C13=2,90+Inputs!$B$26+Inputs!$B$29,IF(Skills!C13=3,120+Inputs!$B$27+Inputs!$B$29,MAX(0,(Inputs!$B$3-100)*3)+Inputs!$B$28+Inputs!$B$29)))</f>
        <v/>
      </c>
      <c r="E2327">
        <f>INDEX(FactorTable!$B$2:$Y$301, MATCH(ROUND(MIN(300,MAX(1,D2327)),0), FactorTable!$A$2:$A$301,0), Skills!M13+1)</f>
        <v/>
      </c>
      <c r="F2327">
        <f>IF(Skills!N13=TRUE,(Skills!L13/10)*(E2327/1000),Skills!L13/10)+Skills!O13</f>
        <v/>
      </c>
      <c r="G2327">
        <f>Calc!G13</f>
        <v/>
      </c>
      <c r="H2327">
        <f>Calc!H13</f>
        <v/>
      </c>
      <c r="I2327">
        <f>IF(Skills!X13&lt;&gt;"",1+(Skills!X13/10)*(Z2317/1000)/100,1)</f>
        <v/>
      </c>
      <c r="J2327">
        <f>((Inputs!$B$6*(1+Inputs!$B$7/100))+(((Inputs!$B$12*(1+Inputs!$B$13/100))-(Inputs!$B$12*(1+Inputs!$B$13/100)))+0.25*(Inputs!$B$14-Inputs!$B$14))*(1+Inputs!$B$7/100))*(F2327/100)</f>
        <v/>
      </c>
      <c r="K2327">
        <f>J2327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2327)</f>
        <v/>
      </c>
      <c r="L2327">
        <f>K2327*(MIN(Inputs!$B$22+(F2336-Calc!F22),(Inputs!$B$23+(IF(ArtifactsInput!$M$15,CHOOSE(ArtifactsInput!$N$15+1,25,30,35,40,45,50)/100*(Inputs!$B$11-Inputs!$B$11),0))))/100+(Inputs!$B$23+(IF(ArtifactsInput!$M$15,CHOOSE(ArtifactsInput!$N$15+1,25,30,35,40,45,50)/100*(Inputs!$B$11-Inputs!$B$11),0)))/100)/2</f>
        <v/>
      </c>
      <c r="M2327">
        <f>L2327*(1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7">
        <f>L2327*(1-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2327*(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7">
        <f>(1-Summary!$B$11)*S2327+Summary!$B$11*U2327</f>
        <v/>
      </c>
      <c r="P2327">
        <f>IF(B2355=0,0,O2327/B2355)</f>
        <v/>
      </c>
      <c r="Q2327">
        <f>IFERROR(1/(IF(Inputs!$B$38="pvp",15,MAX(0.1,Skills!E13-IF(Skills!F13=TRUE,Inputs!$B$32,0)))*(1-IF(AND(ArtifactsInput!$M$27,Inputs!$B$4="Chapter Hunt"),CHOOSE(ArtifactsInput!$N$27+1,20,24,28,32,36,40),0)/100)),0)</f>
        <v/>
      </c>
      <c r="R2327">
        <f>IF(AND(Inputs!$B$38&lt;&gt;"pvp",Inputs!$B$43&gt;0),IF(MAX(0,Inputs!$B$43-B2352)&lt;=0,0,(INT(MAX(0,Inputs!$B$43-B2352)/(IF(Inputs!$B$38="pvp",15,MAX(0.1,Skills!E13-IF(Skills!F13=TRUE,Inputs!$B$32,0)))*(1-IF(AND(ArtifactsInput!$M$27,Inputs!$B$4="Chapter Hunt"),CHOOSE(ArtifactsInput!$N$27+1,20,24,28,32,36,40),0)/100)))+1)),0)</f>
        <v/>
      </c>
      <c r="S2327">
        <f>IF(C2327,(H2327*N2327*IF(AND(Inputs!$B$38&lt;&gt;"pvp",Inputs!$B$43&gt;0),((Skills!G13*((R2327-1)*IF(Skills!H13&gt;0,Skills!I13/Skills!H13,1)+IF(Skills!H13&gt;0,MIN(Skills!I13,MAX(0,MAX(0,Inputs!$B$43-B2352)-((R2327-1)*(IF(Inputs!$B$38="pvp",15,MAX(0.1,Skills!E13-IF(Skills!F13=TRUE,Inputs!$B$32,0)))*(1-IF(AND(ArtifactsInput!$M$27,Inputs!$B$4="Chapter Hunt"),CHOOSE(ArtifactsInput!$N$27+1,20,24,28,32,36,40),0)/100)))))/Skills!H13,1)))/Inputs!$B$43),G2327*Q2327)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2327*(1-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2327*(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2327*(1-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2327*(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7">
        <f>IF(C2327,(H2327*N2327*IF(AND(Inputs!$B$38&lt;&gt;"pvp",Inputs!$B$43&gt;0),((Skills!G13*((R2327-1)*IF(Skills!H13&gt;0,Skills!I13/Skills!H13,1)+IF(Skills!H13&gt;0,MIN(Skills!I13,MAX(0,MAX(0,Inputs!$B$43-B2352)-((R2327-1)*(IF(Inputs!$B$38="pvp",15,MAX(0.1,Skills!E13-IF(Skills!F13=TRUE,Inputs!$B$32,0)))*(1-IF(AND(ArtifactsInput!$M$27,Inputs!$B$4="Chapter Hunt"),CHOOSE(ArtifactsInput!$N$27+1,20,24,28,32,36,40),0)/100)))))/Skills!H13,1)))/Inputs!$B$43),G2327*Q2327))*IF(Inputs!$B$38="pvp",1,(1+(Inputs!$B$21+Skills!Q13+(IF(IF(ArtifactsInput!$M$33,FALSE,TRUE),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8">
      <c r="A2328">
        <f>Skills!A14</f>
        <v/>
      </c>
      <c r="B2328">
        <f>Skills!B14</f>
        <v/>
      </c>
      <c r="C2328">
        <f>Inputs!$B$3&gt;=113</f>
        <v/>
      </c>
      <c r="D2328">
        <f>IF(Skills!C14=1,60+Inputs!$B$25+Inputs!$B$29,IF(Skills!C14=2,90+Inputs!$B$26+Inputs!$B$29,IF(Skills!C14=3,120+Inputs!$B$27+Inputs!$B$29,MAX(0,(Inputs!$B$3-100)*3)+Inputs!$B$28+Inputs!$B$29)))</f>
        <v/>
      </c>
      <c r="E2328">
        <f>INDEX(FactorTable!$B$2:$Y$301, MATCH(ROUND(MIN(300,MAX(1,D2328)),0), FactorTable!$A$2:$A$301,0), Skills!M14+1)</f>
        <v/>
      </c>
      <c r="F2328">
        <f>IF(Skills!N14=TRUE,(Skills!L14/10)*(E2328/1000),Skills!L14/10)+Skills!O14</f>
        <v/>
      </c>
      <c r="G2328">
        <f>Calc!G14</f>
        <v/>
      </c>
      <c r="H2328">
        <f>Calc!H14</f>
        <v/>
      </c>
      <c r="I2328">
        <f>IF(Skills!X14&lt;&gt;"",1+(Skills!X14/10)*(Z2317/1000)/100,1)</f>
        <v/>
      </c>
      <c r="J2328">
        <f>((Inputs!$B$6*(1+Inputs!$B$7/100))+(((Inputs!$B$12*(1+Inputs!$B$13/100))-(Inputs!$B$12*(1+Inputs!$B$13/100)))+0.25*(Inputs!$B$14-Inputs!$B$14))*(1+Inputs!$B$7/100))*(F2328/100)</f>
        <v/>
      </c>
      <c r="K2328">
        <f>J2328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2328)</f>
        <v/>
      </c>
      <c r="L2328">
        <f>K2328*(MIN(Inputs!$B$22+(F2336-Calc!F22),(Inputs!$B$23+(IF(ArtifactsInput!$M$15,CHOOSE(ArtifactsInput!$N$15+1,25,30,35,40,45,50)/100*(Inputs!$B$11-Inputs!$B$11),0))))/100+(Inputs!$B$23+(IF(ArtifactsInput!$M$15,CHOOSE(ArtifactsInput!$N$15+1,25,30,35,40,45,50)/100*(Inputs!$B$11-Inputs!$B$11),0)))/100)/2</f>
        <v/>
      </c>
      <c r="M2328">
        <f>L2328*(1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8">
        <f>L2328*(1-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2328*(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8">
        <f>(1-Summary!$B$11)*S2328+Summary!$B$11*U2328</f>
        <v/>
      </c>
      <c r="P2328">
        <f>IF(B2355=0,0,O2328/B2355)</f>
        <v/>
      </c>
      <c r="Q2328">
        <f>IFERROR(1/(IF(Inputs!$B$38="pvp",15,MAX(0.1,Skills!E14-IF(Skills!F14=TRUE,Inputs!$B$32,0)))*(1-IF(AND(ArtifactsInput!$M$27,Inputs!$B$4="Chapter Hunt"),CHOOSE(ArtifactsInput!$N$27+1,20,24,28,32,36,40),0)/100)),0)</f>
        <v/>
      </c>
      <c r="R2328" t="n">
        <v>0</v>
      </c>
      <c r="S2328">
        <f>IF(C2328,((H2328*B2351)/(1+Skills!H14*H2328*B2351)*N2328)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2328*(1-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2328*(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2328*(1-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2328*(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8">
        <f>IF(C2328,((H2328*B2351)/(1+Skills!H14*H2328*B2351)*N2328)*IF(Inputs!$B$38="pvp",1,(1+(Inputs!$B$21+Skills!Q14+(IF(IF(ArtifactsInput!$M$33,FALSE,TRUE),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9">
      <c r="A2329">
        <f>Skills!A15</f>
        <v/>
      </c>
      <c r="B2329">
        <f>Skills!B15</f>
        <v/>
      </c>
      <c r="C2329">
        <f>Inputs!$B$3&gt;=107</f>
        <v/>
      </c>
      <c r="D2329">
        <f>IF(Skills!C15=1,60+Inputs!$B$25+Inputs!$B$29,IF(Skills!C15=2,90+Inputs!$B$26+Inputs!$B$29,IF(Skills!C15=3,120+Inputs!$B$27+Inputs!$B$29,MAX(0,(Inputs!$B$3-100)*3)+Inputs!$B$28+Inputs!$B$29)))</f>
        <v/>
      </c>
      <c r="E2329">
        <f>INDEX(FactorTable!$B$2:$Y$301, MATCH(ROUND(MIN(300,MAX(1,D2329)),0), FactorTable!$A$2:$A$301,0), Skills!M15+1)</f>
        <v/>
      </c>
      <c r="F2329">
        <f>IF(Skills!N15=TRUE,(Skills!L15/10)*(E2329/1000),Skills!L15/10)+Skills!O15</f>
        <v/>
      </c>
      <c r="G2329">
        <f>Calc!G15</f>
        <v/>
      </c>
      <c r="H2329">
        <f>Calc!H15</f>
        <v/>
      </c>
      <c r="I2329">
        <f>IF(Skills!X15&lt;&gt;"",1+(Skills!X15/10)*(Z2317/1000)/100,1)</f>
        <v/>
      </c>
      <c r="J2329">
        <f>((Inputs!$B$6*(1+Inputs!$B$7/100))+(((Inputs!$B$12*(1+Inputs!$B$13/100))-(Inputs!$B$12*(1+Inputs!$B$13/100)))+0.25*(Inputs!$B$14-Inputs!$B$14))*(1+Inputs!$B$7/100))*(F2329/100)</f>
        <v/>
      </c>
      <c r="K2329">
        <f>J2329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2329)</f>
        <v/>
      </c>
      <c r="L2329">
        <f>K2329*(MIN(Inputs!$B$22+(F2336-Calc!F22),(Inputs!$B$23+(IF(ArtifactsInput!$M$15,CHOOSE(ArtifactsInput!$N$15+1,25,30,35,40,45,50)/100*(Inputs!$B$11-Inputs!$B$11),0))))/100+(Inputs!$B$23+(IF(ArtifactsInput!$M$15,CHOOSE(ArtifactsInput!$N$15+1,25,30,35,40,45,50)/100*(Inputs!$B$11-Inputs!$B$11),0)))/100)/2</f>
        <v/>
      </c>
      <c r="M2329">
        <f>L2329*(1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9">
        <f>L2329*(1-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2329*(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9">
        <f>(1-Summary!$B$11)*S2329+Summary!$B$11*U2329</f>
        <v/>
      </c>
      <c r="P2329">
        <f>IF(B2355=0,0,O2329/B2355)</f>
        <v/>
      </c>
      <c r="Q2329">
        <f>IFERROR(1/(IF(Inputs!$B$38="pvp",15,MAX(0.1,Skills!E15-IF(Skills!F15=TRUE,Inputs!$B$32,0)))*(1-IF(AND(ArtifactsInput!$M$27,Inputs!$B$4="Chapter Hunt"),CHOOSE(ArtifactsInput!$N$27+1,20,24,28,32,36,40),0)/100)),0)</f>
        <v/>
      </c>
      <c r="R2329">
        <f>IF(AND(Inputs!$B$38&lt;&gt;"pvp",Inputs!$B$43&gt;0),IF(MAX(0,Inputs!$B$43-B2352)&lt;=0,0,(INT(MAX(0,Inputs!$B$43-B2352)/(IF(Inputs!$B$38="pvp",15,MAX(0.1,Skills!E15-IF(Skills!F15=TRUE,Inputs!$B$32,0)))*(1-IF(AND(ArtifactsInput!$M$27,Inputs!$B$4="Chapter Hunt"),CHOOSE(ArtifactsInput!$N$27+1,20,24,28,32,36,40),0)/100)))+1)),0)</f>
        <v/>
      </c>
      <c r="S2329">
        <f>IF(C2329,(H2329*N2329*IF(AND(Inputs!$B$38&lt;&gt;"pvp",Inputs!$B$43&gt;0),((Skills!G15*((R2329-1)*IF(Skills!H15&gt;0,Skills!I15/Skills!H15,1)+IF(Skills!H15&gt;0,MIN(Skills!I15,MAX(0,MAX(0,Inputs!$B$43-B2352)-((R2329-1)*(IF(Inputs!$B$38="pvp",15,MAX(0.1,Skills!E15-IF(Skills!F15=TRUE,Inputs!$B$32,0)))*(1-IF(AND(ArtifactsInput!$M$27,Inputs!$B$4="Chapter Hunt"),CHOOSE(ArtifactsInput!$N$27+1,20,24,28,32,36,40),0)/100)))))/Skills!H15,1)))/Inputs!$B$43),G2329*Q2329)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2329*(1-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2329*(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2329*(1-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2329*(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9">
        <f>IF(C2329,(H2329*N2329*IF(AND(Inputs!$B$38&lt;&gt;"pvp",Inputs!$B$43&gt;0),((Skills!G15*((R2329-1)*IF(Skills!H15&gt;0,Skills!I15/Skills!H15,1)+IF(Skills!H15&gt;0,MIN(Skills!I15,MAX(0,MAX(0,Inputs!$B$43-B2352)-((R2329-1)*(IF(Inputs!$B$38="pvp",15,MAX(0.1,Skills!E15-IF(Skills!F15=TRUE,Inputs!$B$32,0)))*(1-IF(AND(ArtifactsInput!$M$27,Inputs!$B$4="Chapter Hunt"),CHOOSE(ArtifactsInput!$N$27+1,20,24,28,32,36,40),0)/100)))))/Skills!H15,1)))/Inputs!$B$43),G2329*Q2329))*IF(Inputs!$B$38="pvp",1,(1+(Inputs!$B$21+Skills!Q15+(IF(IF(ArtifactsInput!$M$33,FALSE,TRUE),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0">
      <c r="A2330">
        <f>Skills!A16</f>
        <v/>
      </c>
      <c r="B2330">
        <f>Skills!B16</f>
        <v/>
      </c>
      <c r="C2330">
        <f>Inputs!$B$3&gt;=107</f>
        <v/>
      </c>
      <c r="D2330">
        <f>IF(Skills!C16=1,60+Inputs!$B$25+Inputs!$B$29,IF(Skills!C16=2,90+Inputs!$B$26+Inputs!$B$29,IF(Skills!C16=3,120+Inputs!$B$27+Inputs!$B$29,MAX(0,(Inputs!$B$3-100)*3)+Inputs!$B$28+Inputs!$B$29)))</f>
        <v/>
      </c>
      <c r="E2330">
        <f>INDEX(FactorTable!$B$2:$Y$301, MATCH(ROUND(MIN(300,MAX(1,D2330)),0), FactorTable!$A$2:$A$301,0), Skills!M16+1)</f>
        <v/>
      </c>
      <c r="F2330">
        <f>IF(Skills!N16=TRUE,(Skills!L16/10)*(E2330/1000),Skills!L16/10)+Skills!O16</f>
        <v/>
      </c>
      <c r="G2330">
        <f>Calc!G16</f>
        <v/>
      </c>
      <c r="H2330">
        <f>Calc!H16</f>
        <v/>
      </c>
      <c r="I2330">
        <f>IF(Skills!X16&lt;&gt;"",1+(Skills!X16/10)*(Z2317/1000)/100,1)</f>
        <v/>
      </c>
      <c r="J2330">
        <f>((Inputs!$B$6*(1+Inputs!$B$7/100))+(((Inputs!$B$12*(1+Inputs!$B$13/100))-(Inputs!$B$12*(1+Inputs!$B$13/100)))+0.25*(Inputs!$B$14-Inputs!$B$14))*(1+Inputs!$B$7/100))*(F2330/100)</f>
        <v/>
      </c>
      <c r="K2330">
        <f>J2330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2330)</f>
        <v/>
      </c>
      <c r="L2330">
        <f>K2330*(MIN(Inputs!$B$22+(F2336-Calc!F22),(Inputs!$B$23+(IF(ArtifactsInput!$M$15,CHOOSE(ArtifactsInput!$N$15+1,25,30,35,40,45,50)/100*(Inputs!$B$11-Inputs!$B$11),0))))/100+(Inputs!$B$23+(IF(ArtifactsInput!$M$15,CHOOSE(ArtifactsInput!$N$15+1,25,30,35,40,45,50)/100*(Inputs!$B$11-Inputs!$B$11),0)))/100)/2</f>
        <v/>
      </c>
      <c r="M2330">
        <f>L2330*(1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0">
        <f>L2330*(1-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2330*(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0">
        <f>(1-Summary!$B$11)*S2330+Summary!$B$11*U2330</f>
        <v/>
      </c>
      <c r="P2330">
        <f>IF(B2355=0,0,O2330/B2355)</f>
        <v/>
      </c>
      <c r="Q2330">
        <f>IFERROR(1/(IF(Inputs!$B$38="pvp",15,MAX(0.1,Skills!E16-IF(Skills!F16=TRUE,Inputs!$B$32,0)))*(1-IF(AND(ArtifactsInput!$M$27,Inputs!$B$4="Chapter Hunt"),CHOOSE(ArtifactsInput!$N$27+1,20,24,28,32,36,40),0)/100)),0)</f>
        <v/>
      </c>
      <c r="R2330">
        <f>IF(AND(Inputs!$B$38&lt;&gt;"pvp",Inputs!$B$43&gt;0),IF(MAX(0,Inputs!$B$43-B2352)&lt;=0,0,(INT(MAX(0,Inputs!$B$43-B2352)/(IF(Inputs!$B$38="pvp",15,MAX(0.1,Skills!E16-IF(Skills!F16=TRUE,Inputs!$B$32,0)))*(1-IF(AND(ArtifactsInput!$M$27,Inputs!$B$4="Chapter Hunt"),CHOOSE(ArtifactsInput!$N$27+1,20,24,28,32,36,40),0)/100)))+1)),0)</f>
        <v/>
      </c>
      <c r="S2330">
        <f>IF(C2330,(H2330*N2330*IF(AND(Inputs!$B$38&lt;&gt;"pvp",Inputs!$B$43&gt;0),((Skills!G16*((R2330-1)*IF(Skills!H16&gt;0,Skills!I16/Skills!H16,1)+IF(Skills!H16&gt;0,MIN(Skills!I16,MAX(0,MAX(0,Inputs!$B$43-B2352)-((R2330-1)*(IF(Inputs!$B$38="pvp",15,MAX(0.1,Skills!E16-IF(Skills!F16=TRUE,Inputs!$B$32,0)))*(1-IF(AND(ArtifactsInput!$M$27,Inputs!$B$4="Chapter Hunt"),CHOOSE(ArtifactsInput!$N$27+1,20,24,28,32,36,40),0)/100)))))/Skills!H16,1)))/Inputs!$B$43),G2330*Q2330)*(1+IF(Inputs!$B$3&gt;=126,0.05*(B2350+Q2327+(H2328*B2351)/(1+Skills!H14*H2328*B2351)+Q2338)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2330*(1-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2330*(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2330*(1-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2330*(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0">
        <f>IF(C2330,(H2330*N2330*IF(AND(Inputs!$B$38&lt;&gt;"pvp",Inputs!$B$43&gt;0),((Skills!G16*((R2330-1)*IF(Skills!H16&gt;0,Skills!I16/Skills!H16,1)+IF(Skills!H16&gt;0,MIN(Skills!I16,MAX(0,MAX(0,Inputs!$B$43-B2352)-((R2330-1)*(IF(Inputs!$B$38="pvp",15,MAX(0.1,Skills!E16-IF(Skills!F16=TRUE,Inputs!$B$32,0)))*(1-IF(AND(ArtifactsInput!$M$27,Inputs!$B$4="Chapter Hunt"),CHOOSE(ArtifactsInput!$N$27+1,20,24,28,32,36,40),0)/100)))))/Skills!H16,1)))/Inputs!$B$43),G2330*Q2330)*(1+IF(Inputs!$B$3&gt;=126,0.05*(B2350+Q2327+(H2328*B2351)/(1+Skills!H14*H2328*B2351)+Q2338),0)*Skills!E15))*IF(Inputs!$B$38="pvp",1,(1+(Inputs!$B$21+Skills!Q16+(IF(IF(ArtifactsInput!$M$33,FALSE,TRUE),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1">
      <c r="A2331">
        <f>Skills!A17</f>
        <v/>
      </c>
      <c r="B2331">
        <f>Skills!B17</f>
        <v/>
      </c>
      <c r="C2331">
        <f>TRUE</f>
        <v/>
      </c>
      <c r="D2331">
        <f>IF(Skills!C17=1,60+Inputs!$B$25+Inputs!$B$29,IF(Skills!C17=2,90+Inputs!$B$26+Inputs!$B$29,IF(Skills!C17=3,120+Inputs!$B$27+Inputs!$B$29,MAX(0,(Inputs!$B$3-100)*3)+Inputs!$B$28+Inputs!$B$29)))</f>
        <v/>
      </c>
      <c r="E2331">
        <f>INDEX(FactorTable!$B$2:$Y$301, MATCH(ROUND(MIN(300,MAX(1,D2331)),0), FactorTable!$A$2:$A$301,0), Skills!M17+1)</f>
        <v/>
      </c>
      <c r="F2331">
        <f>IF(Skills!N17=TRUE,(Skills!L17/10)*(E2331/1000),Skills!L17/10)+Skills!O17</f>
        <v/>
      </c>
      <c r="G2331">
        <f>Calc!G17</f>
        <v/>
      </c>
      <c r="H2331">
        <f>Calc!H17</f>
        <v/>
      </c>
      <c r="I2331">
        <f>IF(Skills!X17&lt;&gt;"",1+(Skills!X17/10)*(Z2317/1000)/100,1)</f>
        <v/>
      </c>
      <c r="J2331" t="inlineStr"/>
      <c r="K2331" t="inlineStr"/>
      <c r="L2331" t="inlineStr"/>
      <c r="M2331" t="inlineStr"/>
      <c r="N2331" t="inlineStr"/>
      <c r="O2331">
        <f>(1-Summary!$B$11)*S2331+Summary!$B$11*U2331</f>
        <v/>
      </c>
      <c r="P2331">
        <f>IF(B2355=0,0,O2331/B2355)</f>
        <v/>
      </c>
      <c r="Q2331">
        <f>IFERROR(1/(IF(Inputs!$B$38="pvp",15,MAX(0.1,Skills!E17-IF(Skills!F17=TRUE,Inputs!$B$32,0)))*(1-IF(AND(ArtifactsInput!$M$27,Inputs!$B$4="Chapter Hunt"),CHOOSE(ArtifactsInput!$N$27+1,20,24,28,32,36,40),0)/100)),0)</f>
        <v/>
      </c>
      <c r="R2331">
        <f>IF(AND(Inputs!$B$38&lt;&gt;"pvp",Inputs!$B$43&gt;0),IF(Inputs!$B$43&lt;=0,0,(INT(Inputs!$B$43/(IF(Inputs!$B$38="pvp",15,MAX(0.1,Skills!E17-IF(Skills!F17=TRUE,Inputs!$B$32,0)))*(1-IF(AND(ArtifactsInput!$M$27,Inputs!$B$4="Chapter Hunt"),CHOOSE(ArtifactsInput!$N$27+1,20,24,28,32,36,40),0)/100)))+1)),0)</f>
        <v/>
      </c>
      <c r="S2331" t="n">
        <v>0</v>
      </c>
      <c r="U2331" t="n">
        <v>0</v>
      </c>
    </row>
    <row r="2332">
      <c r="A2332">
        <f>Skills!A18</f>
        <v/>
      </c>
      <c r="B2332">
        <f>Skills!B18</f>
        <v/>
      </c>
      <c r="C2332">
        <f>TRUE</f>
        <v/>
      </c>
      <c r="D2332">
        <f>IF(Skills!C18=1,60+Inputs!$B$25+Inputs!$B$29,IF(Skills!C18=2,90+Inputs!$B$26+Inputs!$B$29,IF(Skills!C18=3,120+Inputs!$B$27+Inputs!$B$29,MAX(0,(Inputs!$B$3-100)*3)+Inputs!$B$28+Inputs!$B$29)))</f>
        <v/>
      </c>
      <c r="E2332">
        <f>INDEX(FactorTable!$B$2:$Y$301, MATCH(ROUND(MIN(300,MAX(1,D2332)),0), FactorTable!$A$2:$A$301,0), Skills!M18+1)</f>
        <v/>
      </c>
      <c r="F2332">
        <f>IF(Skills!N18=TRUE,(Skills!L18/10)*(E2332/1000),Skills!L18/10)+Skills!O18</f>
        <v/>
      </c>
      <c r="G2332">
        <f>Calc!G18</f>
        <v/>
      </c>
      <c r="H2332">
        <f>Calc!H18</f>
        <v/>
      </c>
      <c r="I2332">
        <f>IF(Skills!X18&lt;&gt;"",1+(Skills!X18/10)*(Z2317/1000)/100,1)</f>
        <v/>
      </c>
      <c r="J2332" t="inlineStr"/>
      <c r="K2332" t="inlineStr"/>
      <c r="L2332" t="inlineStr"/>
      <c r="M2332" t="inlineStr"/>
      <c r="N2332" t="inlineStr"/>
      <c r="O2332">
        <f>(1-Summary!$B$11)*S2332+Summary!$B$11*U2332</f>
        <v/>
      </c>
      <c r="P2332">
        <f>IF(B2355=0,0,O2332/B2355)</f>
        <v/>
      </c>
      <c r="Q2332">
        <f>IFERROR(1/(IF(Inputs!$B$38="pvp",15,MAX(0.1,Skills!E18-IF(Skills!F18=TRUE,Inputs!$B$32,0)))*(1-IF(AND(ArtifactsInput!$M$27,Inputs!$B$4="Chapter Hunt"),CHOOSE(ArtifactsInput!$N$27+1,20,24,28,32,36,40),0)/100)),0)</f>
        <v/>
      </c>
      <c r="R2332">
        <f>IF(AND(Inputs!$B$38&lt;&gt;"pvp",Inputs!$B$43&gt;0),IF(Inputs!$B$43&lt;=0,0,(INT(Inputs!$B$43/(IF(Inputs!$B$38="pvp",15,MAX(0.1,Skills!E18-IF(Skills!F18=TRUE,Inputs!$B$32,0)))*(1-IF(AND(ArtifactsInput!$M$27,Inputs!$B$4="Chapter Hunt"),CHOOSE(ArtifactsInput!$N$27+1,20,24,28,32,36,40),0)/100)))+1)),0)</f>
        <v/>
      </c>
      <c r="S2332" t="n">
        <v>0</v>
      </c>
      <c r="U2332" t="n">
        <v>0</v>
      </c>
    </row>
    <row r="2333">
      <c r="A2333">
        <f>Skills!A19</f>
        <v/>
      </c>
      <c r="B2333">
        <f>Skills!B19</f>
        <v/>
      </c>
      <c r="C2333">
        <f>Inputs!$B$3&gt;=110</f>
        <v/>
      </c>
      <c r="D2333">
        <f>IF(Skills!C19=1,60+Inputs!$B$25+Inputs!$B$29,IF(Skills!C19=2,90+Inputs!$B$26+Inputs!$B$29,IF(Skills!C19=3,120+Inputs!$B$27+Inputs!$B$29,MAX(0,(Inputs!$B$3-100)*3)+Inputs!$B$28+Inputs!$B$29)))</f>
        <v/>
      </c>
      <c r="E2333">
        <f>INDEX(FactorTable!$B$2:$Y$301, MATCH(ROUND(MIN(300,MAX(1,D2333)),0), FactorTable!$A$2:$A$301,0), Skills!M19+1)</f>
        <v/>
      </c>
      <c r="F2333">
        <f>IF(Skills!N19=TRUE,(Skills!L19/10)*(E2333/1000),Skills!L19/10)+Skills!O19</f>
        <v/>
      </c>
      <c r="G2333">
        <f>Calc!G19</f>
        <v/>
      </c>
      <c r="H2333">
        <f>Calc!H19</f>
        <v/>
      </c>
      <c r="I2333">
        <f>IF(Skills!X19&lt;&gt;"",1+(Skills!X19/10)*(Z2317/1000)/100,1)</f>
        <v/>
      </c>
      <c r="J2333" t="inlineStr"/>
      <c r="K2333" t="inlineStr"/>
      <c r="L2333" t="inlineStr"/>
      <c r="M2333" t="inlineStr"/>
      <c r="N2333" t="inlineStr"/>
      <c r="O2333">
        <f>(1-Summary!$B$11)*S2333+Summary!$B$11*U2333</f>
        <v/>
      </c>
      <c r="P2333">
        <f>IF(B2355=0,0,O2333/B2355)</f>
        <v/>
      </c>
      <c r="Q2333">
        <f>IFERROR(1/(IF(Inputs!$B$38="pvp",15,MAX(0.1,Skills!E19-IF(Skills!F19=TRUE,Inputs!$B$32,0)))*(1-IF(AND(ArtifactsInput!$M$27,Inputs!$B$4="Chapter Hunt"),CHOOSE(ArtifactsInput!$N$27+1,20,24,28,32,36,40),0)/100)),0)</f>
        <v/>
      </c>
      <c r="R2333">
        <f>IF(AND(Inputs!$B$38&lt;&gt;"pvp",Inputs!$B$43&gt;0),IF(Inputs!$B$43&lt;=0,0,(INT(Inputs!$B$43/(IF(Inputs!$B$38="pvp",15,MAX(0.1,Skills!E19-IF(Skills!F19=TRUE,Inputs!$B$32,0)))*(1-IF(AND(ArtifactsInput!$M$27,Inputs!$B$4="Chapter Hunt"),CHOOSE(ArtifactsInput!$N$27+1,20,24,28,32,36,40),0)/100)))+1)),0)</f>
        <v/>
      </c>
      <c r="S2333" t="n">
        <v>0</v>
      </c>
      <c r="U2333" t="n">
        <v>0</v>
      </c>
    </row>
    <row r="2334">
      <c r="A2334">
        <f>Skills!A20</f>
        <v/>
      </c>
      <c r="B2334">
        <f>Skills!B20</f>
        <v/>
      </c>
      <c r="C2334">
        <f>TRUE</f>
        <v/>
      </c>
      <c r="D2334">
        <f>IF(Skills!C20=1,60+Inputs!$B$25+Inputs!$B$29,IF(Skills!C20=2,90+Inputs!$B$26+Inputs!$B$29,IF(Skills!C20=3,120+Inputs!$B$27+Inputs!$B$29,MAX(0,(Inputs!$B$3-100)*3)+Inputs!$B$28+Inputs!$B$29)))</f>
        <v/>
      </c>
      <c r="E2334">
        <f>INDEX(FactorTable!$B$2:$Y$301, MATCH(ROUND(MIN(300,MAX(1,D2334)),0), FactorTable!$A$2:$A$301,0), Skills!M20+1)</f>
        <v/>
      </c>
      <c r="F2334">
        <f>IF(Skills!N20=TRUE,(Skills!L20/10)*(E2334/1000),Skills!L20/10)+Skills!O20</f>
        <v/>
      </c>
      <c r="G2334">
        <f>Calc!G20</f>
        <v/>
      </c>
      <c r="H2334">
        <f>Calc!H20</f>
        <v/>
      </c>
      <c r="I2334">
        <f>IF(Skills!X20&lt;&gt;"",1+(Skills!X20/10)*(Z2317/1000)/100,1)</f>
        <v/>
      </c>
      <c r="J2334" t="inlineStr"/>
      <c r="K2334" t="inlineStr"/>
      <c r="L2334" t="inlineStr"/>
      <c r="M2334" t="inlineStr"/>
      <c r="N2334" t="inlineStr"/>
      <c r="O2334">
        <f>(1-Summary!$B$11)*S2334+Summary!$B$11*U2334</f>
        <v/>
      </c>
      <c r="P2334">
        <f>IF(B2355=0,0,O2334/B2355)</f>
        <v/>
      </c>
      <c r="Q2334">
        <f>IFERROR(1/(IF(Inputs!$B$38="pvp",15,MAX(0.1,Skills!E20-IF(Skills!F20=TRUE,Inputs!$B$32,0)))*(1-IF(AND(ArtifactsInput!$M$27,Inputs!$B$4="Chapter Hunt"),CHOOSE(ArtifactsInput!$N$27+1,20,24,28,32,36,40),0)/100)),0)</f>
        <v/>
      </c>
      <c r="R2334" t="n">
        <v>0</v>
      </c>
      <c r="S2334" t="n">
        <v>0</v>
      </c>
      <c r="U2334" t="n">
        <v>0</v>
      </c>
    </row>
    <row r="2335">
      <c r="A2335">
        <f>Skills!A21</f>
        <v/>
      </c>
      <c r="B2335">
        <f>Skills!B21</f>
        <v/>
      </c>
      <c r="C2335">
        <f>TRUE</f>
        <v/>
      </c>
      <c r="D2335">
        <f>IF(Skills!C21=1,60+Inputs!$B$25+Inputs!$B$29,IF(Skills!C21=2,90+Inputs!$B$26+Inputs!$B$29,IF(Skills!C21=3,120+Inputs!$B$27+Inputs!$B$29,MAX(0,(Inputs!$B$3-100)*3)+Inputs!$B$28+Inputs!$B$29)))</f>
        <v/>
      </c>
      <c r="E2335">
        <f>INDEX(FactorTable!$B$2:$Y$301, MATCH(ROUND(MIN(300,MAX(1,D2335)),0), FactorTable!$A$2:$A$301,0), Skills!M21+1)</f>
        <v/>
      </c>
      <c r="F2335">
        <f>IF(Skills!N21=TRUE,(Skills!L21/10)*(E2335/1000),Skills!L21/10)+Skills!O21</f>
        <v/>
      </c>
      <c r="G2335">
        <f>Calc!G21</f>
        <v/>
      </c>
      <c r="H2335">
        <f>Calc!H21</f>
        <v/>
      </c>
      <c r="I2335">
        <f>IF(Skills!X21&lt;&gt;"",1+(Skills!X21/10)*(Z2317/1000)/100,1)</f>
        <v/>
      </c>
      <c r="J2335" t="inlineStr"/>
      <c r="K2335" t="inlineStr"/>
      <c r="L2335" t="inlineStr"/>
      <c r="M2335" t="inlineStr"/>
      <c r="N2335" t="inlineStr"/>
      <c r="O2335">
        <f>(1-Summary!$B$11)*S2335+Summary!$B$11*U2335</f>
        <v/>
      </c>
      <c r="P2335">
        <f>IF(B2355=0,0,O2335/B2355)</f>
        <v/>
      </c>
      <c r="Q2335">
        <f>IFERROR(1/(IF(Inputs!$B$38="pvp",15,MAX(0.1,Skills!E21-IF(Skills!F21=TRUE,Inputs!$B$32,0)))*(1-IF(AND(ArtifactsInput!$M$27,Inputs!$B$4="Chapter Hunt"),CHOOSE(ArtifactsInput!$N$27+1,20,24,28,32,36,40),0)/100)),0)</f>
        <v/>
      </c>
      <c r="R2335" t="n">
        <v>0</v>
      </c>
      <c r="S2335" t="n">
        <v>0</v>
      </c>
      <c r="U2335" t="n">
        <v>0</v>
      </c>
    </row>
    <row r="2336">
      <c r="A2336">
        <f>Skills!A22</f>
        <v/>
      </c>
      <c r="B2336">
        <f>Skills!B22</f>
        <v/>
      </c>
      <c r="C2336">
        <f>TRUE</f>
        <v/>
      </c>
      <c r="D2336">
        <f>IF(Skills!C22=1,60+Inputs!$B$25+Inputs!$B$29,IF(Skills!C22=2,90+Inputs!$B$26+Inputs!$B$29,IF(Skills!C22=3,120+Inputs!$B$27+Inputs!$B$29,MAX(0,(Inputs!$B$3-100)*3)+Inputs!$B$28+Inputs!$B$29)))</f>
        <v/>
      </c>
      <c r="E2336">
        <f>INDEX(FactorTable!$B$2:$Y$301, MATCH(ROUND(MIN(300,MAX(1,D2336)),0), FactorTable!$A$2:$A$301,0), Skills!M22+1)</f>
        <v/>
      </c>
      <c r="F2336">
        <f>IF(Skills!N22=TRUE,(Skills!L22/10)*(E2336/1000),Skills!L22/10)+Skills!O22</f>
        <v/>
      </c>
      <c r="G2336">
        <f>Calc!G22</f>
        <v/>
      </c>
      <c r="H2336">
        <f>Calc!H22</f>
        <v/>
      </c>
      <c r="I2336">
        <f>IF(Skills!X22&lt;&gt;"",1+(Skills!X22/10)*(Z2317/1000)/100,1)</f>
        <v/>
      </c>
      <c r="J2336" t="inlineStr"/>
      <c r="K2336" t="inlineStr"/>
      <c r="L2336" t="inlineStr"/>
      <c r="M2336" t="inlineStr"/>
      <c r="N2336" t="inlineStr"/>
      <c r="O2336">
        <f>(1-Summary!$B$11)*S2336+Summary!$B$11*U2336</f>
        <v/>
      </c>
      <c r="P2336">
        <f>IF(B2355=0,0,O2336/B2355)</f>
        <v/>
      </c>
      <c r="Q2336">
        <f>IFERROR(1/(IF(Inputs!$B$38="pvp",15,MAX(0.1,Skills!E22-IF(Skills!F22=TRUE,Inputs!$B$32,0)))*(1-IF(AND(ArtifactsInput!$M$27,Inputs!$B$4="Chapter Hunt"),CHOOSE(ArtifactsInput!$N$27+1,20,24,28,32,36,40),0)/100)),0)</f>
        <v/>
      </c>
      <c r="R2336" t="n">
        <v>0</v>
      </c>
      <c r="S2336" t="n">
        <v>0</v>
      </c>
      <c r="U2336" t="n">
        <v>0</v>
      </c>
    </row>
    <row r="2337">
      <c r="A2337">
        <f>Skills!A23</f>
        <v/>
      </c>
      <c r="B2337">
        <f>Skills!B23</f>
        <v/>
      </c>
      <c r="C2337">
        <f>TRUE</f>
        <v/>
      </c>
      <c r="D2337">
        <f>IF(Skills!C23=1,60+Inputs!$B$25+Inputs!$B$29,IF(Skills!C23=2,90+Inputs!$B$26+Inputs!$B$29,IF(Skills!C23=3,120+Inputs!$B$27+Inputs!$B$29,MAX(0,(Inputs!$B$3-100)*3)+Inputs!$B$28+Inputs!$B$29)))</f>
        <v/>
      </c>
      <c r="E2337">
        <f>INDEX(FactorTable!$B$2:$Y$301, MATCH(ROUND(MIN(300,MAX(1,D2337)),0), FactorTable!$A$2:$A$301,0), Skills!M23+1)</f>
        <v/>
      </c>
      <c r="F2337">
        <f>IF(Skills!N23=TRUE,(Skills!L23/10)*(E2337/1000),Skills!L23/10)+Skills!O23</f>
        <v/>
      </c>
      <c r="G2337">
        <f>Calc!G23</f>
        <v/>
      </c>
      <c r="H2337">
        <f>Calc!H23</f>
        <v/>
      </c>
      <c r="I2337">
        <f>IF(Skills!X23&lt;&gt;"",1+(Skills!X23/10)*(Z2317/1000)/100,1)</f>
        <v/>
      </c>
      <c r="J2337" t="inlineStr"/>
      <c r="K2337" t="inlineStr"/>
      <c r="L2337" t="inlineStr"/>
      <c r="M2337" t="inlineStr"/>
      <c r="N2337" t="inlineStr"/>
      <c r="O2337">
        <f>(1-Summary!$B$11)*S2337+Summary!$B$11*U2337</f>
        <v/>
      </c>
      <c r="P2337">
        <f>IF(B2355=0,0,O2337/B2355)</f>
        <v/>
      </c>
      <c r="Q2337">
        <f>IFERROR(1/(IF(Inputs!$B$38="pvp",15,MAX(0.1,Skills!E23-IF(Skills!F23=TRUE,Inputs!$B$32,0)))*(1-IF(AND(ArtifactsInput!$M$27,Inputs!$B$4="Chapter Hunt"),CHOOSE(ArtifactsInput!$N$27+1,20,24,28,32,36,40),0)/100)),0)</f>
        <v/>
      </c>
      <c r="R2337" t="n">
        <v>0</v>
      </c>
      <c r="S2337" t="n">
        <v>0</v>
      </c>
      <c r="U2337" t="n">
        <v>0</v>
      </c>
    </row>
    <row r="2338">
      <c r="A2338">
        <f>Skills!A24</f>
        <v/>
      </c>
      <c r="B2338">
        <f>Skills!B24</f>
        <v/>
      </c>
      <c r="C2338">
        <f>Inputs!$B$3&gt;=115</f>
        <v/>
      </c>
      <c r="D2338">
        <f>IF(Skills!C24=1,60+Inputs!$B$25+Inputs!$B$29,IF(Skills!C24=2,90+Inputs!$B$26+Inputs!$B$29,IF(Skills!C24=3,120+Inputs!$B$27+Inputs!$B$29,MAX(0,(Inputs!$B$3-100)*3)+Inputs!$B$28+Inputs!$B$29)))</f>
        <v/>
      </c>
      <c r="E2338">
        <f>INDEX(FactorTable!$B$2:$Y$301, MATCH(ROUND(MIN(300,MAX(1,D2338)),0), FactorTable!$A$2:$A$301,0), Skills!M24+1)</f>
        <v/>
      </c>
      <c r="F2338">
        <f>IF(Skills!N24=TRUE,(Skills!L24/10)*(E2338/1000),Skills!L24/10)+Skills!O24</f>
        <v/>
      </c>
      <c r="G2338">
        <f>Calc!G24</f>
        <v/>
      </c>
      <c r="H2338">
        <f>Calc!H24</f>
        <v/>
      </c>
      <c r="I2338">
        <f>IF(Skills!X24&lt;&gt;"",1+(Skills!X24/10)*(Z2317/1000)/100,1)</f>
        <v/>
      </c>
      <c r="J2338">
        <f>((Inputs!$B$6*(1+Inputs!$B$7/100))+(((Inputs!$B$12*(1+Inputs!$B$13/100))-(Inputs!$B$12*(1+Inputs!$B$13/100)))+0.25*(Inputs!$B$14-Inputs!$B$14))*(1+Inputs!$B$7/100))*(F2338/100)</f>
        <v/>
      </c>
      <c r="K2338">
        <f>J2338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2338)</f>
        <v/>
      </c>
      <c r="L2338">
        <f>K2338*(MIN(Inputs!$B$22+(F2336-Calc!F22),(Inputs!$B$23+(IF(ArtifactsInput!$M$15,CHOOSE(ArtifactsInput!$N$15+1,25,30,35,40,45,50)/100*(Inputs!$B$11-Inputs!$B$11),0))))/100+(Inputs!$B$23+(IF(ArtifactsInput!$M$15,CHOOSE(ArtifactsInput!$N$15+1,25,30,35,40,45,50)/100*(Inputs!$B$11-Inputs!$B$11),0)))/100)/2</f>
        <v/>
      </c>
      <c r="M2338">
        <f>L2338*(1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8">
        <f>L2338*(1-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2338*(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8">
        <f>(1-Summary!$B$11)*S2338+Summary!$B$11*U2338</f>
        <v/>
      </c>
      <c r="P2338">
        <f>IF(B2355=0,0,O2338/B2355)</f>
        <v/>
      </c>
      <c r="Q2338">
        <f>IFERROR(1/(IF(Inputs!$B$38="pvp",15,MAX(0.1,Skills!E24-IF(Skills!F24=TRUE,Inputs!$B$32,0)))*(1-IF(AND(ArtifactsInput!$M$27,Inputs!$B$4="Chapter Hunt"),CHOOSE(ArtifactsInput!$N$27+1,20,24,28,32,36,40),0)/100)),0)</f>
        <v/>
      </c>
      <c r="R2338">
        <f>IF(AND(Inputs!$B$38&lt;&gt;"pvp",Inputs!$B$43&gt;0),IF(MAX(0,Inputs!$B$43-B2352)&lt;=0,0,(INT(MAX(0,Inputs!$B$43-B2352)/(IF(Inputs!$B$38="pvp",15,MAX(0.1,Skills!E24-IF(Skills!F24=TRUE,Inputs!$B$32,0)))*(1-IF(AND(ArtifactsInput!$M$27,Inputs!$B$4="Chapter Hunt"),CHOOSE(ArtifactsInput!$N$27+1,20,24,28,32,36,40),0)/100)))+1)),0)</f>
        <v/>
      </c>
      <c r="S2338">
        <f>IF(C2338,(H2338*N2338*IF(AND(Inputs!$B$38&lt;&gt;"pvp",Inputs!$B$43&gt;0),((Skills!G24*((R2338-1)*IF(Skills!H24&gt;0,Skills!I24/Skills!H24,1)+IF(Skills!H24&gt;0,MIN(Skills!I24,MAX(0,MAX(0,Inputs!$B$43-B2352)-((R2338-1)*(IF(Inputs!$B$38="pvp",15,MAX(0.1,Skills!E24-IF(Skills!F24=TRUE,Inputs!$B$32,0)))*(1-IF(AND(ArtifactsInput!$M$27,Inputs!$B$4="Chapter Hunt"),CHOOSE(ArtifactsInput!$N$27+1,20,24,28,32,36,40),0)/100)))))/Skills!H24,1)))/Inputs!$B$43),G2338*Q2338)*(1+IF(Inputs!$B$3&gt;=130,0.2*(Skills!I16/Skills!E15+IF(Inputs!$B$3&gt;=126,0.05*(B2350+Q2327+(H2328*B2351)/(1+Skills!H14*H2328*B2351)+Q2338)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2338*(1-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2338*(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2338*(1-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2338*(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8">
        <f>IF(C2338,(H2338*N2338*IF(AND(Inputs!$B$38&lt;&gt;"pvp",Inputs!$B$43&gt;0),((Skills!G24*((R2338-1)*IF(Skills!H24&gt;0,Skills!I24/Skills!H24,1)+IF(Skills!H24&gt;0,MIN(Skills!I24,MAX(0,MAX(0,Inputs!$B$43-B2352)-((R2338-1)*(IF(Inputs!$B$38="pvp",15,MAX(0.1,Skills!E24-IF(Skills!F24=TRUE,Inputs!$B$32,0)))*(1-IF(AND(ArtifactsInput!$M$27,Inputs!$B$4="Chapter Hunt"),CHOOSE(ArtifactsInput!$N$27+1,20,24,28,32,36,40),0)/100)))))/Skills!H24,1)))/Inputs!$B$43),G2338*Q2338)*(1+IF(Inputs!$B$3&gt;=130,0.2*(Skills!I16/Skills!E15+IF(Inputs!$B$3&gt;=126,0.05*(B2350+Q2327+(H2328*B2351)/(1+Skills!H14*H2328*B2351)+Q2338),0)*Skills!I16),0)))*IF(Inputs!$B$38="pvp",1,(1+(Inputs!$B$21+Skills!Q24+(IF(IF(ArtifactsInput!$M$33,FALSE,TRUE),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9">
      <c r="A2339">
        <f>Skills!A25</f>
        <v/>
      </c>
      <c r="B2339">
        <f>Skills!B25</f>
        <v/>
      </c>
      <c r="C2339">
        <f>Inputs!$B$3&gt;=117</f>
        <v/>
      </c>
      <c r="D2339">
        <f>IF(Skills!C25=1,60+Inputs!$B$25+Inputs!$B$29,IF(Skills!C25=2,90+Inputs!$B$26+Inputs!$B$29,IF(Skills!C25=3,120+Inputs!$B$27+Inputs!$B$29,MAX(0,(Inputs!$B$3-100)*3)+Inputs!$B$28+Inputs!$B$29)))</f>
        <v/>
      </c>
      <c r="E2339">
        <f>INDEX(FactorTable!$B$2:$Y$301, MATCH(ROUND(MIN(300,MAX(1,D2339)),0), FactorTable!$A$2:$A$301,0), Skills!M25+1)</f>
        <v/>
      </c>
      <c r="F2339">
        <f>IF(Skills!N25=TRUE,(Skills!L25/10)*(E2339/1000),Skills!L25/10)+Skills!O25</f>
        <v/>
      </c>
      <c r="G2339">
        <f>Calc!G25</f>
        <v/>
      </c>
      <c r="H2339">
        <f>Calc!H25</f>
        <v/>
      </c>
      <c r="I2339">
        <f>IF(Skills!X25&lt;&gt;"",1+(Skills!X25/10)*(Z2317/1000)/100,1)</f>
        <v/>
      </c>
      <c r="J2339" t="inlineStr"/>
      <c r="K2339" t="inlineStr"/>
      <c r="L2339" t="inlineStr"/>
      <c r="M2339" t="inlineStr"/>
      <c r="N2339" t="inlineStr"/>
      <c r="O2339">
        <f>(1-Summary!$B$11)*S2339+Summary!$B$11*U2339</f>
        <v/>
      </c>
      <c r="P2339">
        <f>IF(B2355=0,0,O2339/B2355)</f>
        <v/>
      </c>
      <c r="Q2339">
        <f>IFERROR(1/(IF(Inputs!$B$38="pvp",15,MAX(0.1,Skills!E25-IF(Skills!F25=TRUE,Inputs!$B$32,0)))*(1-IF(AND(ArtifactsInput!$M$27,Inputs!$B$4="Chapter Hunt"),CHOOSE(ArtifactsInput!$N$27+1,20,24,28,32,36,40),0)/100)),0)</f>
        <v/>
      </c>
      <c r="R2339" t="n">
        <v>0</v>
      </c>
      <c r="S2339" t="n">
        <v>0</v>
      </c>
      <c r="U2339" t="n">
        <v>0</v>
      </c>
    </row>
    <row r="2340">
      <c r="A2340">
        <f>Skills!A26</f>
        <v/>
      </c>
      <c r="B2340">
        <f>Skills!B26</f>
        <v/>
      </c>
      <c r="C2340">
        <f>Inputs!$B$3&gt;=120</f>
        <v/>
      </c>
      <c r="D2340">
        <f>IF(Skills!C26=1,60+Inputs!$B$25+Inputs!$B$29,IF(Skills!C26=2,90+Inputs!$B$26+Inputs!$B$29,IF(Skills!C26=3,120+Inputs!$B$27+Inputs!$B$29,MAX(0,(Inputs!$B$3-100)*3)+Inputs!$B$28+Inputs!$B$29)))</f>
        <v/>
      </c>
      <c r="E2340">
        <f>INDEX(FactorTable!$B$2:$Y$301, MATCH(ROUND(MIN(300,MAX(1,D2340)),0), FactorTable!$A$2:$A$301,0), Skills!M26+1)</f>
        <v/>
      </c>
      <c r="F2340">
        <f>IF(Skills!N26=TRUE,(Skills!L26/10)*(E2340/1000),Skills!L26/10)+Skills!O26</f>
        <v/>
      </c>
      <c r="G2340">
        <f>Calc!G26</f>
        <v/>
      </c>
      <c r="H2340">
        <f>Calc!H26</f>
        <v/>
      </c>
      <c r="I2340">
        <f>IF(Skills!X26&lt;&gt;"",1+(Skills!X26/10)*(Z2317/1000)/100,1)</f>
        <v/>
      </c>
      <c r="J2340" t="inlineStr"/>
      <c r="K2340" t="inlineStr"/>
      <c r="L2340" t="inlineStr"/>
      <c r="M2340" t="inlineStr"/>
      <c r="N2340" t="inlineStr"/>
      <c r="O2340">
        <f>(1-Summary!$B$11)*S2340+Summary!$B$11*U2340</f>
        <v/>
      </c>
      <c r="P2340">
        <f>IF(B2355=0,0,O2340/B2355)</f>
        <v/>
      </c>
      <c r="Q2340">
        <f>IFERROR(1/(IF(Inputs!$B$38="pvp",15,MAX(0.1,Skills!E26-IF(Skills!F26=TRUE,Inputs!$B$32,0)))*(1-IF(AND(ArtifactsInput!$M$27,Inputs!$B$4="Chapter Hunt"),CHOOSE(ArtifactsInput!$N$27+1,20,24,28,32,36,40),0)/100)),0)</f>
        <v/>
      </c>
      <c r="R2340" t="n">
        <v>0</v>
      </c>
      <c r="S2340" t="n">
        <v>0</v>
      </c>
      <c r="U2340" t="n">
        <v>0</v>
      </c>
    </row>
    <row r="2341">
      <c r="A2341">
        <f>Skills!A27</f>
        <v/>
      </c>
      <c r="B2341">
        <f>Skills!B27</f>
        <v/>
      </c>
      <c r="C2341">
        <f>Inputs!$B$3&gt;=125</f>
        <v/>
      </c>
      <c r="D2341">
        <f>IF(Skills!C27=1,60+Inputs!$B$25+Inputs!$B$29,IF(Skills!C27=2,90+Inputs!$B$26+Inputs!$B$29,IF(Skills!C27=3,120+Inputs!$B$27+Inputs!$B$29,MAX(0,(Inputs!$B$3-100)*3)+Inputs!$B$28+Inputs!$B$29)))</f>
        <v/>
      </c>
      <c r="E2341">
        <f>INDEX(FactorTable!$B$2:$Y$301, MATCH(ROUND(MIN(300,MAX(1,D2341)),0), FactorTable!$A$2:$A$301,0), Skills!M27+1)</f>
        <v/>
      </c>
      <c r="F2341">
        <f>IF(Skills!N27=TRUE,(Skills!L27/10)*(E2341/1000),Skills!L27/10)+Skills!O27</f>
        <v/>
      </c>
      <c r="G2341">
        <f>Calc!G27</f>
        <v/>
      </c>
      <c r="H2341">
        <f>Calc!H27</f>
        <v/>
      </c>
      <c r="I2341">
        <f>IF(Skills!X27&lt;&gt;"",1+(Skills!X27/10)*(Z2317/1000)/100,1)</f>
        <v/>
      </c>
      <c r="J2341" t="inlineStr"/>
      <c r="K2341" t="inlineStr"/>
      <c r="L2341" t="inlineStr"/>
      <c r="M2341" t="inlineStr"/>
      <c r="N2341" t="inlineStr"/>
      <c r="O2341">
        <f>(1-Summary!$B$11)*S2341+Summary!$B$11*U2341</f>
        <v/>
      </c>
      <c r="P2341">
        <f>IF(B2355=0,0,O2341/B2355)</f>
        <v/>
      </c>
      <c r="Q2341">
        <f>IFERROR(1/(IF(Inputs!$B$38="pvp",15,MAX(0.1,Skills!E27-IF(Skills!F27=TRUE,Inputs!$B$32,0)))*(1-IF(AND(ArtifactsInput!$M$27,Inputs!$B$4="Chapter Hunt"),CHOOSE(ArtifactsInput!$N$27+1,20,24,28,32,36,40),0)/100)),0)</f>
        <v/>
      </c>
      <c r="R2341" t="n">
        <v>0</v>
      </c>
      <c r="S2341" t="n">
        <v>0</v>
      </c>
      <c r="U2341" t="n">
        <v>0</v>
      </c>
    </row>
    <row r="2342">
      <c r="A2342">
        <f>Skills!A28</f>
        <v/>
      </c>
      <c r="B2342">
        <f>Skills!B28</f>
        <v/>
      </c>
      <c r="C2342">
        <f>Inputs!$B$3&gt;=118</f>
        <v/>
      </c>
      <c r="D2342">
        <f>IF(Skills!C28=1,60+Inputs!$B$25+Inputs!$B$29,IF(Skills!C28=2,90+Inputs!$B$26+Inputs!$B$29,IF(Skills!C28=3,120+Inputs!$B$27+Inputs!$B$29,MAX(0,(Inputs!$B$3-100)*3)+Inputs!$B$28+Inputs!$B$29)))</f>
        <v/>
      </c>
      <c r="E2342">
        <f>INDEX(FactorTable!$B$2:$Y$301, MATCH(ROUND(MIN(300,MAX(1,D2342)),0), FactorTable!$A$2:$A$301,0), Skills!M28+1)</f>
        <v/>
      </c>
      <c r="F2342">
        <f>IF(Skills!N28=TRUE,(Skills!L28/10)*(E2342/1000),Skills!L28/10)+Skills!O28</f>
        <v/>
      </c>
      <c r="G2342">
        <f>Calc!G28</f>
        <v/>
      </c>
      <c r="H2342">
        <f>Calc!H28</f>
        <v/>
      </c>
      <c r="I2342">
        <f>IF(Skills!X28&lt;&gt;"",1+(Skills!X28/10)*(Z2317/1000)/100,1)</f>
        <v/>
      </c>
      <c r="J2342">
        <f>((Inputs!$B$6*(1+Inputs!$B$7/100))+(((Inputs!$B$12*(1+Inputs!$B$13/100))-(Inputs!$B$12*(1+Inputs!$B$13/100)))+0.25*(Inputs!$B$14-Inputs!$B$14))*(1+Inputs!$B$7/100))*(F2342/100)</f>
        <v/>
      </c>
      <c r="K2342">
        <f>J2342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2337/100)*(1+IF(Inputs!$B$3&gt;=120,F2340,0)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2341*5,0)))/100)*(B2344*B2345*B2346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2342)</f>
        <v/>
      </c>
      <c r="L2342">
        <f>K2342*(MIN(Inputs!$B$22+(F2336-Calc!F22),(Inputs!$B$23+(IF(ArtifactsInput!$M$15,CHOOSE(ArtifactsInput!$N$15+1,25,30,35,40,45,50)/100*(Inputs!$B$11-Inputs!$B$11),0))))/100+(Inputs!$B$23+(IF(ArtifactsInput!$M$15,CHOOSE(ArtifactsInput!$N$15+1,25,30,35,40,45,50)/100*(Inputs!$B$11-Inputs!$B$11),0)))/100)/2</f>
        <v/>
      </c>
      <c r="M2342">
        <f>L2342*(1+(Inputs!$B$10+(F2335-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42">
        <f>L2342*(1-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2342*(MIN((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42">
        <f>(1-Summary!$B$11)*S2342+Summary!$B$11*U2342</f>
        <v/>
      </c>
      <c r="P2342">
        <f>IF(B2355=0,0,O2342/B2355)</f>
        <v/>
      </c>
      <c r="Q2342">
        <f>IFERROR(1/(IF(Inputs!$B$38="pvp",15,MAX(0.1,Skills!E28-IF(Skills!F28=TRUE,Inputs!$B$32,0)))*(1-IF(AND(ArtifactsInput!$M$27,Inputs!$B$4="Chapter Hunt"),CHOOSE(ArtifactsInput!$N$27+1,20,24,28,32,36,40),0)/100)),0)</f>
        <v/>
      </c>
      <c r="R2342">
        <f>IF(AND(Inputs!$B$38&lt;&gt;"pvp",Inputs!$B$43&gt;0),IF(MAX(0,Inputs!$B$43-B2352)&lt;=0,0,(INT(MAX(0,Inputs!$B$43-B2352)/(IF(Inputs!$B$38="pvp",15,MAX(0.1,Skills!E28-IF(Skills!F28=TRUE,Inputs!$B$32,0)))*(1-IF(AND(ArtifactsInput!$M$27,Inputs!$B$4="Chapter Hunt"),CHOOSE(ArtifactsInput!$N$27+1,20,24,28,32,36,40),0)/100)))+1)),0)</f>
        <v/>
      </c>
      <c r="S2342">
        <f>IF(C2342,(H2342*N2342*IF(AND(Inputs!$B$38&lt;&gt;"pvp",Inputs!$B$43&gt;0),((Skills!G28*((R2342-1)*IF(Skills!H28&gt;0,Skills!I28/Skills!H28,1)+IF(Skills!H28&gt;0,MIN(Skills!I28,MAX(0,MAX(0,Inputs!$B$43-B2352)-((R2342-1)*(IF(Inputs!$B$38="pvp",15,MAX(0.1,Skills!E28-IF(Skills!F28=TRUE,Inputs!$B$32,0)))*(1-IF(AND(ArtifactsInput!$M$27,Inputs!$B$4="Chapter Hunt"),CHOOSE(ArtifactsInput!$N$27+1,20,24,28,32,36,40),0)/100)))))/Skills!H28,1)))/Inputs!$B$43),G2342*Q2342)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2342*(1-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2342*(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2342*(1-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2342*(MIN(100,(Inputs!$B$9+(F2334-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42">
        <f>IF(C2342,(H2342*N2342*IF(AND(Inputs!$B$38&lt;&gt;"pvp",Inputs!$B$43&gt;0),((Skills!G28*((R2342-1)*IF(Skills!H28&gt;0,Skills!I28/Skills!H28,1)+IF(Skills!H28&gt;0,MIN(Skills!I28,MAX(0,MAX(0,Inputs!$B$43-B2352)-((R2342-1)*(IF(Inputs!$B$38="pvp",15,MAX(0.1,Skills!E28-IF(Skills!F28=TRUE,Inputs!$B$32,0)))*(1-IF(AND(ArtifactsInput!$M$27,Inputs!$B$4="Chapter Hunt"),CHOOSE(ArtifactsInput!$N$27+1,20,24,28,32,36,40),0)/100)))))/Skills!H28,1)))/Inputs!$B$43),G2342*Q2342))*IF(Inputs!$B$38="pvp",1,(1+(Inputs!$B$21+Skills!Q28+(IF(IF(ArtifactsInput!$M$33,FALSE,TRUE),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4">
      <c r="A2344" t="inlineStr">
        <is>
          <t>Burning Magic Multiplier</t>
        </is>
      </c>
      <c r="B2344">
        <f>1+(F2325*Skills!Z11)/100</f>
        <v/>
      </c>
    </row>
    <row r="2345">
      <c r="A2345" t="inlineStr">
        <is>
          <t>Elemental Decrease Multiplier (always-on)</t>
        </is>
      </c>
      <c r="B2345">
        <f>1+(F2326+(IF(AND(ArtifactsInput!$M$35,Inputs!$B$4&lt;&gt;"Chapter Hunt"),CHOOSE(ArtifactsInput!$N$35+1,15,18,21,24,27,30)*(1-EXP(-(0.2*B2348)*5)),0)+IF(AND(ArtifactsInput!$M$22,Inputs!$B$4&lt;&gt;"Chapter Hunt"),CHOOSE(ArtifactsInput!$N$22+1,10,12,14,16,18,20)*((0*(((0.15*B2348*5))^0/1)+1*(((0.15*B2348*5))^1/1)+2*(((0.15*B2348*5))^2/2)+3*(((0.15*B2348*5))^3/6)+4*(((0.15*B2348*5))^4/24)+5*(((0.15*B2348*5))^5/120))/((((0.15*B2348*5))^0/1)+(((0.15*B2348*5))^1/1)+(((0.15*B2348*5))^2/2)+(((0.15*B2348*5))^3/6)+(((0.15*B2348*5))^4/24)+(((0.15*B2348*5))^5/120))),0)))/100</f>
        <v/>
      </c>
    </row>
    <row r="2346">
      <c r="A2346" t="inlineStr">
        <is>
          <t>Average Buff Multiplier (Magic Guard + Meditation + Artifact Attack%, summed; then Infinity)</t>
        </is>
      </c>
      <c r="B2346">
        <f>(1+(F2320*IF(AND(Inputs!$B$38&lt;&gt;"pvp",Inputs!$B$43&gt;0),(((R2320-1)*(Skills!T6*(1+((Inputs!$B$34+(ArtifactsInput!$M$7-ArtifactsInput!$M$7)*CHOOSE(ArtifactsInput!$N$7+1,6,7.2,8.4,9.6,10.8,12)))/100))+MIN((Skills!T6*(1+((Inputs!$B$34+(ArtifactsInput!$M$7-ArtifactsInput!$M$7)*CHOOSE(ArtifactsInput!$N$7+1,6,7.2,8.4,9.6,10.8,12)))/100)),MAX(0,Inputs!$B$43-((R2320-1)*Skills!E6))))/Inputs!$B$43),IF(Inputs!$B$38="pvp",MIN((Skills!T6*(1+((Inputs!$B$34+(ArtifactsInput!$M$7-ArtifactsInput!$M$7)*CHOOSE(ArtifactsInput!$N$7+1,6,7.2,8.4,9.6,10.8,12)))/100)),15)/15,(Skills!T6*(1+((Inputs!$B$34+(ArtifactsInput!$M$7-ArtifactsInput!$M$7)*CHOOSE(ArtifactsInput!$N$7+1,6,7.2,8.4,9.6,10.8,12)))/100))/Skills!E6))+F2331*IF(AND(Inputs!$B$38&lt;&gt;"pvp",Inputs!$B$43&gt;0),(((R2331-1)*(Skills!T17*(1+((Inputs!$B$34+(ArtifactsInput!$M$7-ArtifactsInput!$M$7)*CHOOSE(ArtifactsInput!$N$7+1,6,7.2,8.4,9.6,10.8,12)))/100))+MIN((Skills!T17*(1+((Inputs!$B$34+(ArtifactsInput!$M$7-ArtifactsInput!$M$7)*CHOOSE(ArtifactsInput!$N$7+1,6,7.2,8.4,9.6,10.8,12)))/100)),MAX(0,Inputs!$B$43-((R2331-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2333=TRUE,(1+F2333*IF(AND(Inputs!$B$38&lt;&gt;"pvp",Inputs!$B$43&gt;0),(((R2333-1)*(Skills!T19*(1+((Inputs!$B$34+(ArtifactsInput!$M$7-ArtifactsInput!$M$7)*CHOOSE(ArtifactsInput!$N$7+1,6,7.2,8.4,9.6,10.8,12)))/100))+MIN((Skills!T19*(1+((Inputs!$B$34+(ArtifactsInput!$M$7-ArtifactsInput!$M$7)*CHOOSE(ArtifactsInput!$N$7+1,6,7.2,8.4,9.6,10.8,12)))/100)),MAX(0,Inputs!$B$43-((R2333-1)*Skills!E19))))/Inputs!$B$43),IF(Inputs!$B$38="pvp",MIN((Skills!T19*(1+((Inputs!$B$34+(ArtifactsInput!$M$7-ArtifactsInput!$M$7)*CHOOSE(ArtifactsInput!$N$7+1,6,7.2,8.4,9.6,10.8,12)))/100)),15)/15,(Skills!T19*(1+((Inputs!$B$34+(ArtifactsInput!$M$7-ArtifactsInput!$M$7)*CHOOSE(ArtifactsInput!$N$7+1,6,7.2,8.4,9.6,10.8,12)))/100))/Skills!E19))/100),1)</f>
        <v/>
      </c>
    </row>
    <row r="2347">
      <c r="A2347" t="inlineStr">
        <is>
          <t>Attack Speed Buff Bonus % (Nimble Feet, averaged)</t>
        </is>
      </c>
      <c r="B2347">
        <f>F2332*IF(AND(Inputs!$B$38&lt;&gt;"pvp",Inputs!$B$43&gt;0),(((R2332-1)*(Skills!T18*(1+((Inputs!$B$34+(ArtifactsInput!$M$7-ArtifactsInput!$M$7)*CHOOSE(ArtifactsInput!$N$7+1,6,7.2,8.4,9.6,10.8,12)))/100))+MIN((Skills!T18*(1+((Inputs!$B$34+(ArtifactsInput!$M$7-ArtifactsInput!$M$7)*CHOOSE(ArtifactsInput!$N$7+1,6,7.2,8.4,9.6,10.8,12)))/100)),MAX(0,Inputs!$B$43-((R2332-1)*Skills!E18))))/Inputs!$B$43),IF(Inputs!$B$38="pvp",MIN((Skills!T18*(1+((Inputs!$B$34+(ArtifactsInput!$M$7-ArtifactsInput!$M$7)*CHOOSE(ArtifactsInput!$N$7+1,6,7.2,8.4,9.6,10.8,12)))/100)),15)/15,(Skills!T18*(1+((Inputs!$B$34+(ArtifactsInput!$M$7-ArtifactsInput!$M$7)*CHOOSE(ArtifactsInput!$N$7+1,6,7.2,8.4,9.6,10.8,12)))/100))/Skills!E18))</f>
        <v/>
      </c>
    </row>
    <row r="2348">
      <c r="A2348" t="inlineStr">
        <is>
          <t>Actions Per Second</t>
        </is>
      </c>
      <c r="B2348">
        <f>1+MIN(150,150*(1-(1-(Inputs!$B$11+(ArtifactsInput!$M$15-ArtifactsInput!$M$15)*CHOOSE(ArtifactsInput!$N$15+1,8,9.6,11.2,12.8,14.4,16))/150)*(1-B2347/150)))/100</f>
        <v/>
      </c>
    </row>
    <row r="2349">
      <c r="A2349" t="inlineStr">
        <is>
          <t>Skill + Buff Cast Rate</t>
        </is>
      </c>
      <c r="B2349">
        <f>IF(AND(Inputs!$B$38&lt;&gt;"pvp",Inputs!$B$43&gt;0),SUMPRODUCT((Skills!F2:F28=TRUE)*(C2316:C2342=TRUE)*R2316:R2342)/Inputs!$B$43,SUMPRODUCT((Skills!F2:F28=TRUE)*(C2316:C2342=TRUE)*Q2316:Q2342))</f>
        <v/>
      </c>
    </row>
    <row r="2350">
      <c r="A2350" t="inlineStr">
        <is>
          <t>Basic Attacks Per Second</t>
        </is>
      </c>
      <c r="B2350">
        <f>MAX(0,B2348-B2349)</f>
        <v/>
      </c>
    </row>
    <row r="2351">
      <c r="A2351" t="inlineStr">
        <is>
          <t>Meteor Proc — combined trigger cast rate</t>
        </is>
      </c>
      <c r="B2351">
        <f>IF(AND(Inputs!$B$38&lt;&gt;"pvp",Inputs!$B$43&gt;0),SUMPRODUCT((Skills!V2:V28=TRUE)*(C2316:C2342=TRUE)*R2316:R2342*Skills!W2:W28)/Inputs!$B$43,SUMPRODUCT((Skills!V2:V28=TRUE)*(C2316:C2342=TRUE)*Q2316:Q2342*Skills!W2:W28))+B2350</f>
        <v/>
      </c>
    </row>
    <row r="2352">
      <c r="A2352" t="inlineStr">
        <is>
          <t>Buff-Casting Startup Delay (s, fixed-duration only)</t>
        </is>
      </c>
      <c r="B2352">
        <f>IF(AND(Inputs!$B$38&lt;&gt;"pvp",Inputs!$B$43&gt;0),SUMPRODUCT((Skills!T2:T28&gt;0)*(Skills!F2:F28=TRUE)*(C2316:C2342=TRUE))/B2348,0)</f>
        <v/>
      </c>
    </row>
    <row r="2353">
      <c r="A2353" t="inlineStr">
        <is>
          <t>Boss-Only Total DPS (this block's swept value)</t>
        </is>
      </c>
      <c r="B2353">
        <f>SUM(S2316:S2342)</f>
        <v/>
      </c>
    </row>
    <row r="2354">
      <c r="A2354" t="inlineStr">
        <is>
          <t>Normal-Only Total DPS (this block's swept value)</t>
        </is>
      </c>
      <c r="B2354">
        <f>SUM(U2316:U2342)</f>
        <v/>
      </c>
    </row>
    <row r="2355">
      <c r="A2355" s="6" t="inlineStr">
        <is>
          <t>TOTAL DPS</t>
        </is>
      </c>
      <c r="B2355" s="6">
        <f>SUM(O2316:O2342)</f>
        <v/>
      </c>
    </row>
    <row r="2358">
      <c r="A2358" s="6" t="inlineStr">
        <is>
          <t>Stat: Bottle of Emotion (Equip)</t>
        </is>
      </c>
    </row>
    <row r="2359">
      <c r="A2359" s="5" t="inlineStr">
        <is>
          <t>Key</t>
        </is>
      </c>
      <c r="B2359" s="5" t="inlineStr">
        <is>
          <t>Name</t>
        </is>
      </c>
      <c r="C2359" s="5" t="inlineStr">
        <is>
          <t>Unlocked</t>
        </is>
      </c>
      <c r="D2359" s="5" t="inlineStr">
        <is>
          <t>InputLevel</t>
        </is>
      </c>
      <c r="E2359" s="5" t="inlineStr">
        <is>
          <t>Factor</t>
        </is>
      </c>
      <c r="F2359" s="5" t="inlineStr">
        <is>
          <t>CoefficientPercent</t>
        </is>
      </c>
      <c r="G2359" s="5" t="inlineStr">
        <is>
          <t>EffectiveHits</t>
        </is>
      </c>
      <c r="H2359" s="5" t="inlineStr">
        <is>
          <t>ProcProbability</t>
        </is>
      </c>
      <c r="I2359" s="5" t="inlineStr">
        <is>
          <t>MapleHeroMultiplier</t>
        </is>
      </c>
      <c r="J2359" s="5" t="inlineStr">
        <is>
          <t>BaseDamage</t>
        </is>
      </c>
      <c r="K2359" s="5" t="inlineStr">
        <is>
          <t>BaseHitDamage</t>
        </is>
      </c>
      <c r="L2359" s="5" t="inlineStr">
        <is>
          <t>NonCritAvg</t>
        </is>
      </c>
      <c r="M2359" s="5" t="inlineStr">
        <is>
          <t>CritAvg</t>
        </is>
      </c>
      <c r="N2359" s="5" t="inlineStr">
        <is>
          <t>ExpectedDamage(perHit)</t>
        </is>
      </c>
      <c r="O2359" s="5" t="inlineStr">
        <is>
          <t>DPS</t>
        </is>
      </c>
      <c r="P2359" s="5" t="inlineStr">
        <is>
          <t>% of Total</t>
        </is>
      </c>
      <c r="R2359" t="inlineStr">
        <is>
          <t>helpers</t>
        </is>
      </c>
    </row>
    <row r="2360">
      <c r="A2360">
        <f>Skills!A2</f>
        <v/>
      </c>
      <c r="B2360">
        <f>Skills!B2</f>
        <v/>
      </c>
      <c r="C2360">
        <f>TRUE</f>
        <v/>
      </c>
      <c r="D2360" t="inlineStr"/>
      <c r="E2360" t="inlineStr"/>
      <c r="F2360">
        <f>T2362+Skills!O2</f>
        <v/>
      </c>
      <c r="G2360">
        <f>Calc!G2</f>
        <v/>
      </c>
      <c r="H2360">
        <f>Calc!H2</f>
        <v/>
      </c>
      <c r="I2360">
        <f>IF(Skills!X2&lt;&gt;"",1+(Skills!X2/10)*(Z2361/1000)/100,1)</f>
        <v/>
      </c>
      <c r="J2360">
        <f>((Inputs!$B$6*(1+Inputs!$B$7/100))+(((Inputs!$B$12*(1+Inputs!$B$13/100))-(Inputs!$B$12*(1+Inputs!$B$13/100)))+0.25*(Inputs!$B$14-Inputs!$B$14))*(1+Inputs!$B$7/100))*(F2360/100)</f>
        <v/>
      </c>
      <c r="K2360">
        <f>J2360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2360)</f>
        <v/>
      </c>
      <c r="L2360">
        <f>K2360*(MIN(Inputs!$B$22+(F2380-Calc!F22),(Inputs!$B$23+(IF(ArtifactsInput!$M$15,CHOOSE(ArtifactsInput!$N$15+1,25,30,35,40,45,50)/100*(Inputs!$B$11-Inputs!$B$11),0))))/100+(Inputs!$B$23+(IF(ArtifactsInput!$M$15,CHOOSE(ArtifactsInput!$N$15+1,25,30,35,40,45,50)/100*(Inputs!$B$11-Inputs!$B$11),0)))/100)/2</f>
        <v/>
      </c>
      <c r="M2360">
        <f>L2360*(1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0">
        <f>L2360*(1-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2360*(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0">
        <f>(1-Summary!$B$11)*S2360+Summary!$B$11*U2360</f>
        <v/>
      </c>
      <c r="P2360">
        <f>IF(B2399=0,0,O2360/B2399)</f>
        <v/>
      </c>
      <c r="Q2360">
        <f>IFERROR(1/(IF(Inputs!$B$38="pvp",15,MAX(0.1,Skills!E2-IF(Skills!F2=TRUE,Inputs!$B$32,0)))*(1-IF(AND(ArtifactsInput!$M$27,Inputs!$B$4="Chapter Hunt"),CHOOSE(ArtifactsInput!$N$27+1,20,24,28,32,36,40),0)/100)),0)</f>
        <v/>
      </c>
      <c r="R2360" t="n">
        <v>0</v>
      </c>
      <c r="S2360">
        <f>(Skills!G2*N2360*B2394)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2360*(1-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2360*(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2360*(1-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2360*(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360">
        <f>MAX(0,(Inputs!$B$3-100)*3)+Inputs!$B$28+Inputs!$B$29</f>
        <v/>
      </c>
      <c r="U2360">
        <f>(Skills!G2*N2360*B2394)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360">
        <f>MAX(0,(Inputs!$B$3-100)*3)+Inputs!$B$28+Inputs!$B$29</f>
        <v/>
      </c>
    </row>
    <row r="2361">
      <c r="A2361">
        <f>Skills!A3</f>
        <v/>
      </c>
      <c r="B2361">
        <f>Skills!B3</f>
        <v/>
      </c>
      <c r="C2361">
        <f>TRUE</f>
        <v/>
      </c>
      <c r="D2361">
        <f>IF(Skills!C3=1,60+Inputs!$B$25+Inputs!$B$29,IF(Skills!C3=2,90+Inputs!$B$26+Inputs!$B$29,IF(Skills!C3=3,120+Inputs!$B$27+Inputs!$B$29,MAX(0,(Inputs!$B$3-100)*3)+Inputs!$B$28+Inputs!$B$29)))</f>
        <v/>
      </c>
      <c r="E2361">
        <f>INDEX(FactorTable!$B$2:$Y$301, MATCH(ROUND(MIN(300,MAX(1,D2361)),0), FactorTable!$A$2:$A$301,0), Skills!M3+1)</f>
        <v/>
      </c>
      <c r="F2361">
        <f>IF(Skills!N3=TRUE,(Skills!L3/10)*(E2361/1000),Skills!L3/10)+Skills!O3</f>
        <v/>
      </c>
      <c r="G2361">
        <f>Calc!G3</f>
        <v/>
      </c>
      <c r="H2361">
        <f>Calc!H3</f>
        <v/>
      </c>
      <c r="I2361">
        <f>IF(Skills!X3&lt;&gt;"",1+(Skills!X3/10)*(Z2361/1000)/100,1)</f>
        <v/>
      </c>
      <c r="J2361">
        <f>((Inputs!$B$6*(1+Inputs!$B$7/100))+(((Inputs!$B$12*(1+Inputs!$B$13/100))-(Inputs!$B$12*(1+Inputs!$B$13/100)))+0.25*(Inputs!$B$14-Inputs!$B$14))*(1+Inputs!$B$7/100))*(F2361/100)</f>
        <v/>
      </c>
      <c r="K2361">
        <f>J2361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2361)</f>
        <v/>
      </c>
      <c r="L2361">
        <f>K2361*(MIN(Inputs!$B$22+(F2380-Calc!F22),(Inputs!$B$23+(IF(ArtifactsInput!$M$15,CHOOSE(ArtifactsInput!$N$15+1,25,30,35,40,45,50)/100*(Inputs!$B$11-Inputs!$B$11),0))))/100+(Inputs!$B$23+(IF(ArtifactsInput!$M$15,CHOOSE(ArtifactsInput!$N$15+1,25,30,35,40,45,50)/100*(Inputs!$B$11-Inputs!$B$11),0)))/100)/2</f>
        <v/>
      </c>
      <c r="M2361">
        <f>L2361*(1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1">
        <f>L2361*(1-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1">
        <f>(1-Summary!$B$11)*S2361+Summary!$B$11*U2361</f>
        <v/>
      </c>
      <c r="P2361">
        <f>IF(B2399=0,0,O2361/B2399)</f>
        <v/>
      </c>
      <c r="Q2361">
        <f>IFERROR(1/(IF(Inputs!$B$38="pvp",15,MAX(0.1,Skills!E3-IF(Skills!F3=TRUE,Inputs!$B$32,0)))*(1-IF(AND(ArtifactsInput!$M$27,Inputs!$B$4="Chapter Hunt"),CHOOSE(ArtifactsInput!$N$27+1,20,24,28,32,36,40),0)/100)),0)</f>
        <v/>
      </c>
      <c r="R2361">
        <f>IF(AND(Inputs!$B$38&lt;&gt;"pvp",Inputs!$B$43&gt;0),IF(MAX(0,Inputs!$B$43-B2396)&lt;=0,0,(INT(MAX(0,Inputs!$B$43-B2396)/(IF(Inputs!$B$38="pvp",15,MAX(0.1,Skills!E3-IF(Skills!F3=TRUE,Inputs!$B$32,0)))*(1-IF(AND(ArtifactsInput!$M$27,Inputs!$B$4="Chapter Hunt"),CHOOSE(ArtifactsInput!$N$27+1,20,24,28,32,36,40),0)/100)))+1)),0)</f>
        <v/>
      </c>
      <c r="S2361">
        <f>IF(C2361,(H2361*N2361*IF(AND(Inputs!$B$38&lt;&gt;"pvp",Inputs!$B$43&gt;0),((Skills!G3*((R2361-1)*IF(Skills!H3&gt;0,Skills!I3/Skills!H3,1)+IF(Skills!H3&gt;0,MIN(Skills!I3,MAX(0,MAX(0,Inputs!$B$43-B2396)-((R2361-1)*(IF(Inputs!$B$38="pvp",15,MAX(0.1,Skills!E3-IF(Skills!F3=TRUE,Inputs!$B$32,0)))*(1-IF(AND(ArtifactsInput!$M$27,Inputs!$B$4="Chapter Hunt"),CHOOSE(ArtifactsInput!$N$27+1,20,24,28,32,36,40),0)/100)))))/Skills!H3,1)))/Inputs!$B$43),G2361*Q2361)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2361*(1-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2361*(1-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361">
        <f>INDEX(FactorTable!$B$2:$Y$301, MATCH(ROUND(MIN(300,MAX(1,T2360)),0), FactorTable!$A$2:$A$301,0), 22)</f>
        <v/>
      </c>
      <c r="U2361">
        <f>IF(C2361,(H2361*N2361*IF(AND(Inputs!$B$38&lt;&gt;"pvp",Inputs!$B$43&gt;0),((Skills!G3*((R2361-1)*IF(Skills!H3&gt;0,Skills!I3/Skills!H3,1)+IF(Skills!H3&gt;0,MIN(Skills!I3,MAX(0,MAX(0,Inputs!$B$43-B2396)-((R2361-1)*(IF(Inputs!$B$38="pvp",15,MAX(0.1,Skills!E3-IF(Skills!F3=TRUE,Inputs!$B$32,0)))*(1-IF(AND(ArtifactsInput!$M$27,Inputs!$B$4="Chapter Hunt"),CHOOSE(ArtifactsInput!$N$27+1,20,24,28,32,36,40),0)/100)))))/Skills!H3,1)))/Inputs!$B$43),G2361*Q2361)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361">
        <f>INDEX(FactorTable!$B$2:$Y$301, MATCH(ROUND(MIN(300,MAX(1,Z2360)),0), FactorTable!$A$2:$A$301,0), 24)</f>
        <v/>
      </c>
    </row>
    <row r="2362">
      <c r="A2362">
        <f>Skills!A4</f>
        <v/>
      </c>
      <c r="B2362">
        <f>Skills!B4</f>
        <v/>
      </c>
      <c r="C2362">
        <f>TRUE</f>
        <v/>
      </c>
      <c r="D2362">
        <f>IF(Skills!C4=1,60+Inputs!$B$25+Inputs!$B$29,IF(Skills!C4=2,90+Inputs!$B$26+Inputs!$B$29,IF(Skills!C4=3,120+Inputs!$B$27+Inputs!$B$29,MAX(0,(Inputs!$B$3-100)*3)+Inputs!$B$28+Inputs!$B$29)))</f>
        <v/>
      </c>
      <c r="E2362">
        <f>INDEX(FactorTable!$B$2:$Y$301, MATCH(ROUND(MIN(300,MAX(1,D2362)),0), FactorTable!$A$2:$A$301,0), Skills!M4+1)</f>
        <v/>
      </c>
      <c r="F2362">
        <f>IF(Skills!N4=TRUE,(Skills!L4/10)*(E2362/1000),Skills!L4/10)+Skills!O4</f>
        <v/>
      </c>
      <c r="G2362">
        <f>Calc!G4</f>
        <v/>
      </c>
      <c r="H2362">
        <f>Calc!H4</f>
        <v/>
      </c>
      <c r="I2362">
        <f>IF(Skills!X4&lt;&gt;"",1+(Skills!X4/10)*(Z2361/1000)/100,1)</f>
        <v/>
      </c>
      <c r="J2362">
        <f>((Inputs!$B$6*(1+Inputs!$B$7/100))+(((Inputs!$B$12*(1+Inputs!$B$13/100))-(Inputs!$B$12*(1+Inputs!$B$13/100)))+0.25*(Inputs!$B$14-Inputs!$B$14))*(1+Inputs!$B$7/100))*(F2362/100)</f>
        <v/>
      </c>
      <c r="K2362">
        <f>J2362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2362)</f>
        <v/>
      </c>
      <c r="L2362">
        <f>K2362*(MIN(Inputs!$B$22+(F2380-Calc!F22),(Inputs!$B$23+(IF(ArtifactsInput!$M$15,CHOOSE(ArtifactsInput!$N$15+1,25,30,35,40,45,50)/100*(Inputs!$B$11-Inputs!$B$11),0))))/100+(Inputs!$B$23+(IF(ArtifactsInput!$M$15,CHOOSE(ArtifactsInput!$N$15+1,25,30,35,40,45,50)/100*(Inputs!$B$11-Inputs!$B$11),0)))/100)/2</f>
        <v/>
      </c>
      <c r="M2362">
        <f>L2362*(1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2">
        <f>L2362*(1-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2362*(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2">
        <f>(1-Summary!$B$11)*S2362+Summary!$B$11*U2362</f>
        <v/>
      </c>
      <c r="P2362">
        <f>IF(B2399=0,0,O2362/B2399)</f>
        <v/>
      </c>
      <c r="Q2362">
        <f>IFERROR(1/(IF(Inputs!$B$38="pvp",15,MAX(0.1,Skills!E4-IF(Skills!F4=TRUE,Inputs!$B$32,0)))*(1-IF(AND(ArtifactsInput!$M$27,Inputs!$B$4="Chapter Hunt"),CHOOSE(ArtifactsInput!$N$27+1,20,24,28,32,36,40),0)/100)),0)</f>
        <v/>
      </c>
      <c r="R2362">
        <f>IF(AND(Inputs!$B$38&lt;&gt;"pvp",Inputs!$B$43&gt;0),IF(MAX(0,Inputs!$B$43-B2396)&lt;=0,0,(INT(MAX(0,Inputs!$B$43-B2396)/(IF(Inputs!$B$38="pvp",15,MAX(0.1,Skills!E4-IF(Skills!F4=TRUE,Inputs!$B$32,0)))*(1-IF(AND(ArtifactsInput!$M$27,Inputs!$B$4="Chapter Hunt"),CHOOSE(ArtifactsInput!$N$27+1,20,24,28,32,36,40),0)/100)))+1)),0)</f>
        <v/>
      </c>
      <c r="S2362">
        <f>IF(C2362,(H2362*N2362*IF(AND(Inputs!$B$38&lt;&gt;"pvp",Inputs!$B$43&gt;0),((Skills!G4*((R2362-1)*IF(Skills!H4&gt;0,Skills!I4/Skills!H4,1)+IF(Skills!H4&gt;0,MIN(Skills!I4,MAX(0,MAX(0,Inputs!$B$43-B2396)-((R2362-1)*(IF(Inputs!$B$38="pvp",15,MAX(0.1,Skills!E4-IF(Skills!F4=TRUE,Inputs!$B$32,0)))*(1-IF(AND(ArtifactsInput!$M$27,Inputs!$B$4="Chapter Hunt"),CHOOSE(ArtifactsInput!$N$27+1,20,24,28,32,36,40),0)/100)))))/Skills!H4,1)))/Inputs!$B$43),G2362*Q2362)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2362*(1-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2362*(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2362*(1-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2362*(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362">
        <f>290*T2361/1000</f>
        <v/>
      </c>
      <c r="U2362">
        <f>IF(C2362,(H2362*N2362*IF(AND(Inputs!$B$38&lt;&gt;"pvp",Inputs!$B$43&gt;0),((Skills!G4*((R2362-1)*IF(Skills!H4&gt;0,Skills!I4/Skills!H4,1)+IF(Skills!H4&gt;0,MIN(Skills!I4,MAX(0,MAX(0,Inputs!$B$43-B2396)-((R2362-1)*(IF(Inputs!$B$38="pvp",15,MAX(0.1,Skills!E4-IF(Skills!F4=TRUE,Inputs!$B$32,0)))*(1-IF(AND(ArtifactsInput!$M$27,Inputs!$B$4="Chapter Hunt"),CHOOSE(ArtifactsInput!$N$27+1,20,24,28,32,36,40),0)/100)))))/Skills!H4,1)))/Inputs!$B$43),G2362*Q2362)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3">
      <c r="A2363">
        <f>Skills!A5</f>
        <v/>
      </c>
      <c r="B2363">
        <f>Skills!B5</f>
        <v/>
      </c>
      <c r="C2363">
        <f>TRUE</f>
        <v/>
      </c>
      <c r="D2363">
        <f>IF(Skills!C5=1,60+Inputs!$B$25+Inputs!$B$29,IF(Skills!C5=2,90+Inputs!$B$26+Inputs!$B$29,IF(Skills!C5=3,120+Inputs!$B$27+Inputs!$B$29,MAX(0,(Inputs!$B$3-100)*3)+Inputs!$B$28+Inputs!$B$29)))</f>
        <v/>
      </c>
      <c r="E2363">
        <f>INDEX(FactorTable!$B$2:$Y$301, MATCH(ROUND(MIN(300,MAX(1,D2363)),0), FactorTable!$A$2:$A$301,0), Skills!M5+1)</f>
        <v/>
      </c>
      <c r="F2363">
        <f>IF(Skills!N5=TRUE,(Skills!L5/10)*(E2363/1000),Skills!L5/10)+Skills!O5</f>
        <v/>
      </c>
      <c r="G2363">
        <f>Calc!G5</f>
        <v/>
      </c>
      <c r="H2363">
        <f>Calc!H5</f>
        <v/>
      </c>
      <c r="I2363">
        <f>IF(Skills!X5&lt;&gt;"",1+(Skills!X5/10)*(Z2361/1000)/100,1)</f>
        <v/>
      </c>
      <c r="J2363">
        <f>((Inputs!$B$6*(1+Inputs!$B$7/100))+(((Inputs!$B$12*(1+Inputs!$B$13/100))-(Inputs!$B$12*(1+Inputs!$B$13/100)))+0.25*(Inputs!$B$14-Inputs!$B$14))*(1+Inputs!$B$7/100))*(F2363/100)</f>
        <v/>
      </c>
      <c r="K2363">
        <f>J2363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2363)</f>
        <v/>
      </c>
      <c r="L2363">
        <f>K2363*(MIN(Inputs!$B$22+(F2380-Calc!F22),(Inputs!$B$23+(IF(ArtifactsInput!$M$15,CHOOSE(ArtifactsInput!$N$15+1,25,30,35,40,45,50)/100*(Inputs!$B$11-Inputs!$B$11),0))))/100+(Inputs!$B$23+(IF(ArtifactsInput!$M$15,CHOOSE(ArtifactsInput!$N$15+1,25,30,35,40,45,50)/100*(Inputs!$B$11-Inputs!$B$11),0)))/100)/2</f>
        <v/>
      </c>
      <c r="M2363">
        <f>L2363*(1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3">
        <f>L2363*(1-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2363*(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3">
        <f>(1-Summary!$B$11)*S2363+Summary!$B$11*U2363</f>
        <v/>
      </c>
      <c r="P2363">
        <f>IF(B2399=0,0,O2363/B2399)</f>
        <v/>
      </c>
      <c r="Q2363">
        <f>IFERROR(1/(IF(Inputs!$B$38="pvp",15,MAX(0.1,Skills!E5-IF(Skills!F5=TRUE,Inputs!$B$32,0)))*(1-IF(AND(ArtifactsInput!$M$27,Inputs!$B$4="Chapter Hunt"),CHOOSE(ArtifactsInput!$N$27+1,20,24,28,32,36,40),0)/100)),0)</f>
        <v/>
      </c>
      <c r="R2363">
        <f>IF(AND(Inputs!$B$38&lt;&gt;"pvp",Inputs!$B$43&gt;0),IF(MAX(0,Inputs!$B$43-B2396)&lt;=0,0,(INT(MAX(0,Inputs!$B$43-B2396)/(IF(Inputs!$B$38="pvp",15,MAX(0.1,Skills!E5-IF(Skills!F5=TRUE,Inputs!$B$32,0)))*(1-IF(AND(ArtifactsInput!$M$27,Inputs!$B$4="Chapter Hunt"),CHOOSE(ArtifactsInput!$N$27+1,20,24,28,32,36,40),0)/100)))+1)),0)</f>
        <v/>
      </c>
      <c r="S2363">
        <f>IF(C2363,(H2363*N2363*IF(AND(Inputs!$B$38&lt;&gt;"pvp",Inputs!$B$43&gt;0),((Skills!G5*((R2363-1)*IF(Skills!H5&gt;0,Skills!I5/Skills!H5,1)+IF(Skills!H5&gt;0,MIN(Skills!I5,MAX(0,MAX(0,Inputs!$B$43-B2396)-((R2363-1)*(IF(Inputs!$B$38="pvp",15,MAX(0.1,Skills!E5-IF(Skills!F5=TRUE,Inputs!$B$32,0)))*(1-IF(AND(ArtifactsInput!$M$27,Inputs!$B$4="Chapter Hunt"),CHOOSE(ArtifactsInput!$N$27+1,20,24,28,32,36,40),0)/100)))))/Skills!H5,1)))/Inputs!$B$43),G2363*Q2363)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2363*(1-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2363*(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2363*(1-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2363*(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3">
        <f>IF(C2363,(H2363*N2363*IF(AND(Inputs!$B$38&lt;&gt;"pvp",Inputs!$B$43&gt;0),((Skills!G5*((R2363-1)*IF(Skills!H5&gt;0,Skills!I5/Skills!H5,1)+IF(Skills!H5&gt;0,MIN(Skills!I5,MAX(0,MAX(0,Inputs!$B$43-B2396)-((R2363-1)*(IF(Inputs!$B$38="pvp",15,MAX(0.1,Skills!E5-IF(Skills!F5=TRUE,Inputs!$B$32,0)))*(1-IF(AND(ArtifactsInput!$M$27,Inputs!$B$4="Chapter Hunt"),CHOOSE(ArtifactsInput!$N$27+1,20,24,28,32,36,40),0)/100)))))/Skills!H5,1)))/Inputs!$B$43),G2363*Q2363)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4">
      <c r="A2364">
        <f>Skills!A6</f>
        <v/>
      </c>
      <c r="B2364">
        <f>Skills!B6</f>
        <v/>
      </c>
      <c r="C2364">
        <f>TRUE</f>
        <v/>
      </c>
      <c r="D2364">
        <f>IF(Skills!C6=1,60+Inputs!$B$25+Inputs!$B$29,IF(Skills!C6=2,90+Inputs!$B$26+Inputs!$B$29,IF(Skills!C6=3,120+Inputs!$B$27+Inputs!$B$29,MAX(0,(Inputs!$B$3-100)*3)+Inputs!$B$28+Inputs!$B$29)))</f>
        <v/>
      </c>
      <c r="E2364">
        <f>INDEX(FactorTable!$B$2:$Y$301, MATCH(ROUND(MIN(300,MAX(1,D2364)),0), FactorTable!$A$2:$A$301,0), Skills!M6+1)</f>
        <v/>
      </c>
      <c r="F2364">
        <f>IF(Skills!N6=TRUE,(Skills!L6/10)*(E2364/1000),Skills!L6/10)+Skills!O6</f>
        <v/>
      </c>
      <c r="G2364">
        <f>Calc!G6</f>
        <v/>
      </c>
      <c r="H2364">
        <f>Calc!H6</f>
        <v/>
      </c>
      <c r="I2364">
        <f>IF(Skills!X6&lt;&gt;"",1+(Skills!X6/10)*(Z2361/1000)/100,1)</f>
        <v/>
      </c>
      <c r="J2364" t="inlineStr"/>
      <c r="K2364" t="inlineStr"/>
      <c r="L2364" t="inlineStr"/>
      <c r="M2364" t="inlineStr"/>
      <c r="N2364" t="inlineStr"/>
      <c r="O2364">
        <f>(1-Summary!$B$11)*S2364+Summary!$B$11*U2364</f>
        <v/>
      </c>
      <c r="P2364">
        <f>IF(B2399=0,0,O2364/B2399)</f>
        <v/>
      </c>
      <c r="Q2364">
        <f>IFERROR(1/(IF(Inputs!$B$38="pvp",15,MAX(0.1,Skills!E6-IF(Skills!F6=TRUE,Inputs!$B$32,0)))*(1-IF(AND(ArtifactsInput!$M$27,Inputs!$B$4="Chapter Hunt"),CHOOSE(ArtifactsInput!$N$27+1,20,24,28,32,36,40),0)/100)),0)</f>
        <v/>
      </c>
      <c r="R2364">
        <f>IF(AND(Inputs!$B$38&lt;&gt;"pvp",Inputs!$B$43&gt;0),IF(Inputs!$B$43&lt;=0,0,(INT(Inputs!$B$43/(IF(Inputs!$B$38="pvp",15,MAX(0.1,Skills!E6-IF(Skills!F6=TRUE,Inputs!$B$32,0)))*(1-IF(AND(ArtifactsInput!$M$27,Inputs!$B$4="Chapter Hunt"),CHOOSE(ArtifactsInput!$N$27+1,20,24,28,32,36,40),0)/100)))+1)),0)</f>
        <v/>
      </c>
      <c r="S2364" t="n">
        <v>0</v>
      </c>
      <c r="U2364" t="n">
        <v>0</v>
      </c>
    </row>
    <row r="2365">
      <c r="A2365">
        <f>Skills!A7</f>
        <v/>
      </c>
      <c r="B2365">
        <f>Skills!B7</f>
        <v/>
      </c>
      <c r="C2365">
        <f>TRUE</f>
        <v/>
      </c>
      <c r="D2365">
        <f>IF(Skills!C7=1,60+Inputs!$B$25+Inputs!$B$29,IF(Skills!C7=2,90+Inputs!$B$26+Inputs!$B$29,IF(Skills!C7=3,120+Inputs!$B$27+Inputs!$B$29,MAX(0,(Inputs!$B$3-100)*3)+Inputs!$B$28+Inputs!$B$29)))</f>
        <v/>
      </c>
      <c r="E2365">
        <f>INDEX(FactorTable!$B$2:$Y$301, MATCH(ROUND(MIN(300,MAX(1,D2365)),0), FactorTable!$A$2:$A$301,0), Skills!M7+1)</f>
        <v/>
      </c>
      <c r="F2365">
        <f>IF(Skills!N7=TRUE,(Skills!L7/10)*(E2365/1000),Skills!L7/10)+Skills!O7</f>
        <v/>
      </c>
      <c r="G2365">
        <f>Calc!G7</f>
        <v/>
      </c>
      <c r="H2365">
        <f>Calc!H7</f>
        <v/>
      </c>
      <c r="I2365">
        <f>IF(Skills!X7&lt;&gt;"",1+(Skills!X7/10)*(Z2361/1000)/100,1)</f>
        <v/>
      </c>
      <c r="J2365">
        <f>((Inputs!$B$6*(1+Inputs!$B$7/100))+(((Inputs!$B$12*(1+Inputs!$B$13/100))-(Inputs!$B$12*(1+Inputs!$B$13/100)))+0.25*(Inputs!$B$14-Inputs!$B$14))*(1+Inputs!$B$7/100))*(F2365/100)</f>
        <v/>
      </c>
      <c r="K2365">
        <f>J2365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2365)</f>
        <v/>
      </c>
      <c r="L2365">
        <f>K2365*(MIN(Inputs!$B$22+(F2380-Calc!F22),(Inputs!$B$23+(IF(ArtifactsInput!$M$15,CHOOSE(ArtifactsInput!$N$15+1,25,30,35,40,45,50)/100*(Inputs!$B$11-Inputs!$B$11),0))))/100+(Inputs!$B$23+(IF(ArtifactsInput!$M$15,CHOOSE(ArtifactsInput!$N$15+1,25,30,35,40,45,50)/100*(Inputs!$B$11-Inputs!$B$11),0)))/100)/2</f>
        <v/>
      </c>
      <c r="M2365">
        <f>L2365*(1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5">
        <f>L2365*(1-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2365*(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5">
        <f>(1-Summary!$B$11)*S2365+Summary!$B$11*U2365</f>
        <v/>
      </c>
      <c r="P2365">
        <f>IF(B2399=0,0,O2365/B2399)</f>
        <v/>
      </c>
      <c r="Q2365">
        <f>IFERROR(1/(IF(Inputs!$B$38="pvp",15,MAX(0.1,Skills!E7-IF(Skills!F7=TRUE,Inputs!$B$32,0)))*(1-IF(AND(ArtifactsInput!$M$27,Inputs!$B$4="Chapter Hunt"),CHOOSE(ArtifactsInput!$N$27+1,20,24,28,32,36,40),0)/100)),0)</f>
        <v/>
      </c>
      <c r="R2365">
        <f>IF(AND(Inputs!$B$38&lt;&gt;"pvp",Inputs!$B$43&gt;0),IF(MAX(0,Inputs!$B$43-B2396)&lt;=0,0,(INT(MAX(0,Inputs!$B$43-B2396)/(IF(Inputs!$B$38="pvp",15,MAX(0.1,Skills!E7-IF(Skills!F7=TRUE,Inputs!$B$32,0)))*(1-IF(AND(ArtifactsInput!$M$27,Inputs!$B$4="Chapter Hunt"),CHOOSE(ArtifactsInput!$N$27+1,20,24,28,32,36,40),0)/100)))+1)),0)</f>
        <v/>
      </c>
      <c r="S2365">
        <f>IF(C2365,(H2365*N2365*IF(AND(Inputs!$B$38&lt;&gt;"pvp",Inputs!$B$43&gt;0),((Skills!G7*((R2365-1)*IF(Skills!H7&gt;0,Skills!I7/Skills!H7,1)+IF(Skills!H7&gt;0,MIN(Skills!I7,MAX(0,MAX(0,Inputs!$B$43-B2396)-((R2365-1)*(IF(Inputs!$B$38="pvp",15,MAX(0.1,Skills!E7-IF(Skills!F7=TRUE,Inputs!$B$32,0)))*(1-IF(AND(ArtifactsInput!$M$27,Inputs!$B$4="Chapter Hunt"),CHOOSE(ArtifactsInput!$N$27+1,20,24,28,32,36,40),0)/100)))))/Skills!H7,1)))/Inputs!$B$43),G2365*Q2365)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2365*(1-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2365*(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2365*(1-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2365*(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5">
        <f>IF(C2365,(H2365*N2365*IF(AND(Inputs!$B$38&lt;&gt;"pvp",Inputs!$B$43&gt;0),((Skills!G7*((R2365-1)*IF(Skills!H7&gt;0,Skills!I7/Skills!H7,1)+IF(Skills!H7&gt;0,MIN(Skills!I7,MAX(0,MAX(0,Inputs!$B$43-B2396)-((R2365-1)*(IF(Inputs!$B$38="pvp",15,MAX(0.1,Skills!E7-IF(Skills!F7=TRUE,Inputs!$B$32,0)))*(1-IF(AND(ArtifactsInput!$M$27,Inputs!$B$4="Chapter Hunt"),CHOOSE(ArtifactsInput!$N$27+1,20,24,28,32,36,40),0)/100)))))/Skills!H7,1)))/Inputs!$B$43),G2365*Q2365)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6">
      <c r="A2366">
        <f>Skills!A8</f>
        <v/>
      </c>
      <c r="B2366">
        <f>Skills!B8</f>
        <v/>
      </c>
      <c r="C2366">
        <f>TRUE</f>
        <v/>
      </c>
      <c r="D2366">
        <f>IF(Skills!C8=1,60+Inputs!$B$25+Inputs!$B$29,IF(Skills!C8=2,90+Inputs!$B$26+Inputs!$B$29,IF(Skills!C8=3,120+Inputs!$B$27+Inputs!$B$29,MAX(0,(Inputs!$B$3-100)*3)+Inputs!$B$28+Inputs!$B$29)))</f>
        <v/>
      </c>
      <c r="E2366">
        <f>INDEX(FactorTable!$B$2:$Y$301, MATCH(ROUND(MIN(300,MAX(1,D2366)),0), FactorTable!$A$2:$A$301,0), Skills!M8+1)</f>
        <v/>
      </c>
      <c r="F2366">
        <f>IF(Skills!N8=TRUE,(Skills!L8/10)*(E2366/1000),Skills!L8/10)+Skills!O8</f>
        <v/>
      </c>
      <c r="G2366">
        <f>Calc!G8</f>
        <v/>
      </c>
      <c r="H2366">
        <f>Calc!H8</f>
        <v/>
      </c>
      <c r="I2366">
        <f>IF(Skills!X8&lt;&gt;"",1+(Skills!X8/10)*(Z2361/1000)/100,1)</f>
        <v/>
      </c>
      <c r="J2366">
        <f>((Inputs!$B$6*(1+Inputs!$B$7/100))+(((Inputs!$B$12*(1+Inputs!$B$13/100))-(Inputs!$B$12*(1+Inputs!$B$13/100)))+0.25*(Inputs!$B$14-Inputs!$B$14))*(1+Inputs!$B$7/100))*(F2366/100)</f>
        <v/>
      </c>
      <c r="K2366">
        <f>J2366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2366)</f>
        <v/>
      </c>
      <c r="L2366">
        <f>K2366*(MIN(Inputs!$B$22+(F2380-Calc!F22),(Inputs!$B$23+(IF(ArtifactsInput!$M$15,CHOOSE(ArtifactsInput!$N$15+1,25,30,35,40,45,50)/100*(Inputs!$B$11-Inputs!$B$11),0))))/100+(Inputs!$B$23+(IF(ArtifactsInput!$M$15,CHOOSE(ArtifactsInput!$N$15+1,25,30,35,40,45,50)/100*(Inputs!$B$11-Inputs!$B$11),0)))/100)/2</f>
        <v/>
      </c>
      <c r="M2366">
        <f>L2366*(1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6">
        <f>L2366*(1-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2366*(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6">
        <f>(1-Summary!$B$11)*S2366+Summary!$B$11*U2366</f>
        <v/>
      </c>
      <c r="P2366">
        <f>IF(B2399=0,0,O2366/B2399)</f>
        <v/>
      </c>
      <c r="Q2366">
        <f>IFERROR(1/(IF(Inputs!$B$38="pvp",15,MAX(0.1,Skills!E8-IF(Skills!F8=TRUE,Inputs!$B$32,0)))*(1-IF(AND(ArtifactsInput!$M$27,Inputs!$B$4="Chapter Hunt"),CHOOSE(ArtifactsInput!$N$27+1,20,24,28,32,36,40),0)/100)),0)</f>
        <v/>
      </c>
      <c r="R2366">
        <f>IF(AND(Inputs!$B$38&lt;&gt;"pvp",Inputs!$B$43&gt;0),IF(MAX(0,Inputs!$B$43-B2396)&lt;=0,0,(INT(MAX(0,Inputs!$B$43-B2396)/(IF(Inputs!$B$38="pvp",15,MAX(0.1,Skills!E8-IF(Skills!F8=TRUE,Inputs!$B$32,0)))*(1-IF(AND(ArtifactsInput!$M$27,Inputs!$B$4="Chapter Hunt"),CHOOSE(ArtifactsInput!$N$27+1,20,24,28,32,36,40),0)/100)))+1)),0)</f>
        <v/>
      </c>
      <c r="S2366">
        <f>IF(C2366,(H2366*N2366*IF(AND(Inputs!$B$38&lt;&gt;"pvp",Inputs!$B$43&gt;0),((Skills!G8*((R2366-1)*IF(Skills!H8&gt;0,Skills!I8/Skills!H8,1)+IF(Skills!H8&gt;0,MIN(Skills!I8,MAX(0,MAX(0,Inputs!$B$43-B2396)-((R2366-1)*(IF(Inputs!$B$38="pvp",15,MAX(0.1,Skills!E8-IF(Skills!F8=TRUE,Inputs!$B$32,0)))*(1-IF(AND(ArtifactsInput!$M$27,Inputs!$B$4="Chapter Hunt"),CHOOSE(ArtifactsInput!$N$27+1,20,24,28,32,36,40),0)/100)))))/Skills!H8,1)))/Inputs!$B$43),G2366*Q2366)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2366*(1-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2366*(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2366*(1-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2366*(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6">
        <f>IF(C2366,(H2366*N2366*IF(AND(Inputs!$B$38&lt;&gt;"pvp",Inputs!$B$43&gt;0),((Skills!G8*((R2366-1)*IF(Skills!H8&gt;0,Skills!I8/Skills!H8,1)+IF(Skills!H8&gt;0,MIN(Skills!I8,MAX(0,MAX(0,Inputs!$B$43-B2396)-((R2366-1)*(IF(Inputs!$B$38="pvp",15,MAX(0.1,Skills!E8-IF(Skills!F8=TRUE,Inputs!$B$32,0)))*(1-IF(AND(ArtifactsInput!$M$27,Inputs!$B$4="Chapter Hunt"),CHOOSE(ArtifactsInput!$N$27+1,20,24,28,32,36,40),0)/100)))))/Skills!H8,1)))/Inputs!$B$43),G2366*Q2366)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7">
      <c r="A2367">
        <f>Skills!A9</f>
        <v/>
      </c>
      <c r="B2367">
        <f>Skills!B9</f>
        <v/>
      </c>
      <c r="C2367">
        <f>Inputs!$B$3&gt;=103</f>
        <v/>
      </c>
      <c r="D2367">
        <f>IF(Skills!C9=1,60+Inputs!$B$25+Inputs!$B$29,IF(Skills!C9=2,90+Inputs!$B$26+Inputs!$B$29,IF(Skills!C9=3,120+Inputs!$B$27+Inputs!$B$29,MAX(0,(Inputs!$B$3-100)*3)+Inputs!$B$28+Inputs!$B$29)))</f>
        <v/>
      </c>
      <c r="E2367">
        <f>INDEX(FactorTable!$B$2:$Y$301, MATCH(ROUND(MIN(300,MAX(1,D2367)),0), FactorTable!$A$2:$A$301,0), Skills!M9+1)</f>
        <v/>
      </c>
      <c r="F2367">
        <f>IF(Skills!N9=TRUE,(Skills!L9/10)*(E2367/1000),Skills!L9/10)+Skills!O9</f>
        <v/>
      </c>
      <c r="G2367">
        <f>Calc!G9</f>
        <v/>
      </c>
      <c r="H2367">
        <f>Calc!H9</f>
        <v/>
      </c>
      <c r="I2367">
        <f>IF(Skills!X9&lt;&gt;"",1+(Skills!X9/10)*(Z2361/1000)/100,1)</f>
        <v/>
      </c>
      <c r="J2367">
        <f>((Inputs!$B$6*(1+Inputs!$B$7/100))+(((Inputs!$B$12*(1+Inputs!$B$13/100))-(Inputs!$B$12*(1+Inputs!$B$13/100)))+0.25*(Inputs!$B$14-Inputs!$B$14))*(1+Inputs!$B$7/100))*(F2367/100)</f>
        <v/>
      </c>
      <c r="K2367">
        <f>J2367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2367)</f>
        <v/>
      </c>
      <c r="L2367">
        <f>K2367*(MIN(Inputs!$B$22+(F2380-Calc!F22),(Inputs!$B$23+(IF(ArtifactsInput!$M$15,CHOOSE(ArtifactsInput!$N$15+1,25,30,35,40,45,50)/100*(Inputs!$B$11-Inputs!$B$11),0))))/100+(Inputs!$B$23+(IF(ArtifactsInput!$M$15,CHOOSE(ArtifactsInput!$N$15+1,25,30,35,40,45,50)/100*(Inputs!$B$11-Inputs!$B$11),0)))/100)/2</f>
        <v/>
      </c>
      <c r="M2367">
        <f>L2367*(1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7">
        <f>L2367*(1-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2367*(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7">
        <f>(1-Summary!$B$11)*S2367+Summary!$B$11*U2367</f>
        <v/>
      </c>
      <c r="P2367">
        <f>IF(B2399=0,0,O2367/B2399)</f>
        <v/>
      </c>
      <c r="Q2367">
        <f>IFERROR(1/(IF(Inputs!$B$38="pvp",15,MAX(0.1,Skills!E9-IF(Skills!F7=TRUE,Inputs!$B$32,0)))*(1-IF(AND(ArtifactsInput!$M$27,Inputs!$B$4="Chapter Hunt"),CHOOSE(ArtifactsInput!$N$27+1,20,24,28,32,36,40),0)/100)),0)</f>
        <v/>
      </c>
      <c r="R2367">
        <f>IF(AND(Inputs!$B$38&lt;&gt;"pvp",Inputs!$B$43&gt;0),IF(MAX(0,Inputs!$B$43-B2396)&lt;=0,0,(INT(MAX(0,Inputs!$B$43-B2396)/(IF(Inputs!$B$38="pvp",15,MAX(0.1,Skills!E9-IF(Skills!F7=TRUE,Inputs!$B$32,0)))*(1-IF(AND(ArtifactsInput!$M$27,Inputs!$B$4="Chapter Hunt"),CHOOSE(ArtifactsInput!$N$27+1,20,24,28,32,36,40),0)/100)))+1)),0)</f>
        <v/>
      </c>
      <c r="S2367">
        <f>IF(C2367,(H2367*N2367*IF(AND(Inputs!$B$38&lt;&gt;"pvp",Inputs!$B$43&gt;0),((Skills!G9*((R2367-1)*IF(Skills!H9&gt;0,Skills!I9/Skills!H9,1)+IF(Skills!H9&gt;0,MIN(Skills!I9,MAX(0,MAX(0,Inputs!$B$43-B2396)-((R2367-1)*(IF(Inputs!$B$38="pvp",15,MAX(0.1,Skills!E9-IF(Skills!F7=TRUE,Inputs!$B$32,0)))*(1-IF(AND(ArtifactsInput!$M$27,Inputs!$B$4="Chapter Hunt"),CHOOSE(ArtifactsInput!$N$27+1,20,24,28,32,36,40),0)/100)))))/Skills!H9,1)))/Inputs!$B$43),G2367*Q2367)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2367*(1-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2367*(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2367*(1-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2367*(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7">
        <f>IF(C2367,(H2367*N2367*IF(AND(Inputs!$B$38&lt;&gt;"pvp",Inputs!$B$43&gt;0),((Skills!G9*((R2367-1)*IF(Skills!H9&gt;0,Skills!I9/Skills!H9,1)+IF(Skills!H9&gt;0,MIN(Skills!I9,MAX(0,MAX(0,Inputs!$B$43-B2396)-((R2367-1)*(IF(Inputs!$B$38="pvp",15,MAX(0.1,Skills!E9-IF(Skills!F7=TRUE,Inputs!$B$32,0)))*(1-IF(AND(ArtifactsInput!$M$27,Inputs!$B$4="Chapter Hunt"),CHOOSE(ArtifactsInput!$N$27+1,20,24,28,32,36,40),0)/100)))))/Skills!H9,1)))/Inputs!$B$43),G2367*Q2367)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8">
      <c r="A2368">
        <f>Skills!A10</f>
        <v/>
      </c>
      <c r="B2368">
        <f>Skills!B10</f>
        <v/>
      </c>
      <c r="C2368">
        <f>TRUE</f>
        <v/>
      </c>
      <c r="D2368">
        <f>IF(Skills!C10=1,60+Inputs!$B$25+Inputs!$B$29,IF(Skills!C10=2,90+Inputs!$B$26+Inputs!$B$29,IF(Skills!C10=3,120+Inputs!$B$27+Inputs!$B$29,MAX(0,(Inputs!$B$3-100)*3)+Inputs!$B$28+Inputs!$B$29)))</f>
        <v/>
      </c>
      <c r="E2368">
        <f>INDEX(FactorTable!$B$2:$Y$301, MATCH(ROUND(MIN(300,MAX(1,D2368)),0), FactorTable!$A$2:$A$301,0), Skills!M10+1)</f>
        <v/>
      </c>
      <c r="F2368">
        <f>IF(Skills!N10=TRUE,(Skills!L10/10)*(E2368/1000),Skills!L10/10)+Skills!O10</f>
        <v/>
      </c>
      <c r="G2368">
        <f>Calc!G10</f>
        <v/>
      </c>
      <c r="H2368">
        <f>Calc!H10</f>
        <v/>
      </c>
      <c r="I2368">
        <f>IF(Skills!X10&lt;&gt;"",1+(Skills!X10/10)*(Z2361/1000)/100,1)</f>
        <v/>
      </c>
      <c r="J2368">
        <f>((Inputs!$B$6*(1+Inputs!$B$7/100))+(((Inputs!$B$12*(1+Inputs!$B$13/100))-(Inputs!$B$12*(1+Inputs!$B$13/100)))+0.25*(Inputs!$B$14-Inputs!$B$14))*(1+Inputs!$B$7/100))*(F2368/100)</f>
        <v/>
      </c>
      <c r="K2368">
        <f>J2368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2368)</f>
        <v/>
      </c>
      <c r="L2368">
        <f>K2368*(MIN(Inputs!$B$22+(F2380-Calc!F22),(Inputs!$B$23+(IF(ArtifactsInput!$M$15,CHOOSE(ArtifactsInput!$N$15+1,25,30,35,40,45,50)/100*(Inputs!$B$11-Inputs!$B$11),0))))/100+(Inputs!$B$23+(IF(ArtifactsInput!$M$15,CHOOSE(ArtifactsInput!$N$15+1,25,30,35,40,45,50)/100*(Inputs!$B$11-Inputs!$B$11),0)))/100)/2</f>
        <v/>
      </c>
      <c r="M2368">
        <f>L2368*(1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8">
        <f>L2368*(1-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2368*(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8">
        <f>(1-Summary!$B$11)*S2368+Summary!$B$11*U2368</f>
        <v/>
      </c>
      <c r="P2368">
        <f>IF(B2399=0,0,O2368/B2399)</f>
        <v/>
      </c>
      <c r="Q2368">
        <f>IFERROR(1/(IF(Inputs!$B$38="pvp",15,MAX(0.1,Skills!E10-IF(Skills!F10=TRUE,Inputs!$B$32,0)))*(1-IF(AND(ArtifactsInput!$M$27,Inputs!$B$4="Chapter Hunt"),CHOOSE(ArtifactsInput!$N$27+1,20,24,28,32,36,40),0)/100)),0)</f>
        <v/>
      </c>
      <c r="R2368">
        <f>IF(AND(Inputs!$B$38&lt;&gt;"pvp",Inputs!$B$43&gt;0),IF(MAX(0,Inputs!$B$43-B2396)&lt;=0,0,(INT(MAX(0,Inputs!$B$43-B2396)/(IF(Inputs!$B$38="pvp",15,MAX(0.1,Skills!E10-IF(Skills!F10=TRUE,Inputs!$B$32,0)))*(1-IF(AND(ArtifactsInput!$M$27,Inputs!$B$4="Chapter Hunt"),CHOOSE(ArtifactsInput!$N$27+1,20,24,28,32,36,40),0)/100)))+1)),0)</f>
        <v/>
      </c>
      <c r="S2368">
        <f>IF(C2368,(H2368*N2368*IF(AND(Inputs!$B$38&lt;&gt;"pvp",Inputs!$B$43&gt;0),((Skills!G10*((R2368-1)*IF(Skills!H10&gt;0,Skills!I10/Skills!H10,1)+IF(Skills!H10&gt;0,MIN(Skills!I10,MAX(0,MAX(0,Inputs!$B$43-B2396)-((R2368-1)*(IF(Inputs!$B$38="pvp",15,MAX(0.1,Skills!E10-IF(Skills!F10=TRUE,Inputs!$B$32,0)))*(1-IF(AND(ArtifactsInput!$M$27,Inputs!$B$4="Chapter Hunt"),CHOOSE(ArtifactsInput!$N$27+1,20,24,28,32,36,40),0)/100)))))/Skills!H10,1)))/Inputs!$B$43),G2368*Q2368)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2368*(1-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2368*(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2368*(1-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2368*(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8">
        <f>IF(C2368,(H2368*N2368*IF(AND(Inputs!$B$38&lt;&gt;"pvp",Inputs!$B$43&gt;0),((Skills!G10*((R2368-1)*IF(Skills!H10&gt;0,Skills!I10/Skills!H10,1)+IF(Skills!H10&gt;0,MIN(Skills!I10,MAX(0,MAX(0,Inputs!$B$43-B2396)-((R2368-1)*(IF(Inputs!$B$38="pvp",15,MAX(0.1,Skills!E10-IF(Skills!F10=TRUE,Inputs!$B$32,0)))*(1-IF(AND(ArtifactsInput!$M$27,Inputs!$B$4="Chapter Hunt"),CHOOSE(ArtifactsInput!$N$27+1,20,24,28,32,36,40),0)/100)))))/Skills!H10,1)))/Inputs!$B$43),G2368*Q2368)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9">
      <c r="A2369">
        <f>Skills!A11</f>
        <v/>
      </c>
      <c r="B2369">
        <f>Skills!B11</f>
        <v/>
      </c>
      <c r="C2369">
        <f>TRUE</f>
        <v/>
      </c>
      <c r="D2369">
        <f>IF(Skills!C11=1,60+Inputs!$B$25+Inputs!$B$29,IF(Skills!C11=2,90+Inputs!$B$26+Inputs!$B$29,IF(Skills!C11=3,120+Inputs!$B$27+Inputs!$B$29,MAX(0,(Inputs!$B$3-100)*3)+Inputs!$B$28+Inputs!$B$29)))</f>
        <v/>
      </c>
      <c r="E2369">
        <f>INDEX(FactorTable!$B$2:$Y$301, MATCH(ROUND(MIN(300,MAX(1,D2369)),0), FactorTable!$A$2:$A$301,0), Skills!M11+1)</f>
        <v/>
      </c>
      <c r="F2369">
        <f>IF(Skills!N11=TRUE,(Skills!L11/10)*(E2369/1000),Skills!L11/10)+Skills!O11</f>
        <v/>
      </c>
      <c r="G2369">
        <f>Calc!G11</f>
        <v/>
      </c>
      <c r="H2369">
        <f>Calc!H11</f>
        <v/>
      </c>
      <c r="I2369">
        <f>IF(Skills!X11&lt;&gt;"",1+(Skills!X11/10)*(Z2361/1000)/100,1)</f>
        <v/>
      </c>
      <c r="J2369" t="inlineStr"/>
      <c r="K2369" t="inlineStr"/>
      <c r="L2369" t="inlineStr"/>
      <c r="M2369" t="inlineStr"/>
      <c r="N2369" t="inlineStr"/>
      <c r="O2369">
        <f>(1-Summary!$B$11)*S2369+Summary!$B$11*U2369</f>
        <v/>
      </c>
      <c r="P2369">
        <f>IF(B2399=0,0,O2369/B2399)</f>
        <v/>
      </c>
      <c r="Q2369">
        <f>IFERROR(1/(IF(Inputs!$B$38="pvp",15,MAX(0.1,Skills!E11-IF(Skills!F11=TRUE,Inputs!$B$32,0)))*(1-IF(AND(ArtifactsInput!$M$27,Inputs!$B$4="Chapter Hunt"),CHOOSE(ArtifactsInput!$N$27+1,20,24,28,32,36,40),0)/100)),0)</f>
        <v/>
      </c>
      <c r="R2369" t="n">
        <v>0</v>
      </c>
      <c r="S2369" t="n">
        <v>0</v>
      </c>
      <c r="U2369" t="n">
        <v>0</v>
      </c>
    </row>
    <row r="2370">
      <c r="A2370">
        <f>Skills!A12</f>
        <v/>
      </c>
      <c r="B2370">
        <f>Skills!B12</f>
        <v/>
      </c>
      <c r="C2370">
        <f>TRUE</f>
        <v/>
      </c>
      <c r="D2370">
        <f>IF(Skills!C12=1,60+Inputs!$B$25+Inputs!$B$29,IF(Skills!C12=2,90+Inputs!$B$26+Inputs!$B$29,IF(Skills!C12=3,120+Inputs!$B$27+Inputs!$B$29,MAX(0,(Inputs!$B$3-100)*3)+Inputs!$B$28+Inputs!$B$29)))</f>
        <v/>
      </c>
      <c r="E2370">
        <f>INDEX(FactorTable!$B$2:$Y$301, MATCH(ROUND(MIN(300,MAX(1,D2370)),0), FactorTable!$A$2:$A$301,0), Skills!M12+1)</f>
        <v/>
      </c>
      <c r="F2370">
        <f>IF(Skills!N12=TRUE,(Skills!L12/10)*(E2370/1000),Skills!L12/10)+Skills!O12</f>
        <v/>
      </c>
      <c r="G2370">
        <f>Calc!G12</f>
        <v/>
      </c>
      <c r="H2370">
        <f>Calc!H12</f>
        <v/>
      </c>
      <c r="I2370">
        <f>IF(Skills!X12&lt;&gt;"",1+(Skills!X12/10)*(Z2361/1000)/100,1)</f>
        <v/>
      </c>
      <c r="J2370" t="inlineStr"/>
      <c r="K2370" t="inlineStr"/>
      <c r="L2370" t="inlineStr"/>
      <c r="M2370" t="inlineStr"/>
      <c r="N2370" t="inlineStr"/>
      <c r="O2370">
        <f>(1-Summary!$B$11)*S2370+Summary!$B$11*U2370</f>
        <v/>
      </c>
      <c r="P2370">
        <f>IF(B2399=0,0,O2370/B2399)</f>
        <v/>
      </c>
      <c r="Q2370">
        <f>IFERROR(1/(IF(Inputs!$B$38="pvp",15,MAX(0.1,Skills!E12-IF(Skills!F12=TRUE,Inputs!$B$32,0)))*(1-IF(AND(ArtifactsInput!$M$27,Inputs!$B$4="Chapter Hunt"),CHOOSE(ArtifactsInput!$N$27+1,20,24,28,32,36,40),0)/100)),0)</f>
        <v/>
      </c>
      <c r="R2370" t="n">
        <v>0</v>
      </c>
      <c r="S2370" t="n">
        <v>0</v>
      </c>
      <c r="U2370" t="n">
        <v>0</v>
      </c>
    </row>
    <row r="2371">
      <c r="A2371">
        <f>Skills!A13</f>
        <v/>
      </c>
      <c r="B2371">
        <f>Skills!B13</f>
        <v/>
      </c>
      <c r="C2371">
        <f>Inputs!$B$3&gt;=105</f>
        <v/>
      </c>
      <c r="D2371">
        <f>IF(Skills!C13=1,60+Inputs!$B$25+Inputs!$B$29,IF(Skills!C13=2,90+Inputs!$B$26+Inputs!$B$29,IF(Skills!C13=3,120+Inputs!$B$27+Inputs!$B$29,MAX(0,(Inputs!$B$3-100)*3)+Inputs!$B$28+Inputs!$B$29)))</f>
        <v/>
      </c>
      <c r="E2371">
        <f>INDEX(FactorTable!$B$2:$Y$301, MATCH(ROUND(MIN(300,MAX(1,D2371)),0), FactorTable!$A$2:$A$301,0), Skills!M13+1)</f>
        <v/>
      </c>
      <c r="F2371">
        <f>IF(Skills!N13=TRUE,(Skills!L13/10)*(E2371/1000),Skills!L13/10)+Skills!O13</f>
        <v/>
      </c>
      <c r="G2371">
        <f>Calc!G13</f>
        <v/>
      </c>
      <c r="H2371">
        <f>Calc!H13</f>
        <v/>
      </c>
      <c r="I2371">
        <f>IF(Skills!X13&lt;&gt;"",1+(Skills!X13/10)*(Z2361/1000)/100,1)</f>
        <v/>
      </c>
      <c r="J2371">
        <f>((Inputs!$B$6*(1+Inputs!$B$7/100))+(((Inputs!$B$12*(1+Inputs!$B$13/100))-(Inputs!$B$12*(1+Inputs!$B$13/100)))+0.25*(Inputs!$B$14-Inputs!$B$14))*(1+Inputs!$B$7/100))*(F2371/100)</f>
        <v/>
      </c>
      <c r="K2371">
        <f>J2371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2371)</f>
        <v/>
      </c>
      <c r="L2371">
        <f>K2371*(MIN(Inputs!$B$22+(F2380-Calc!F22),(Inputs!$B$23+(IF(ArtifactsInput!$M$15,CHOOSE(ArtifactsInput!$N$15+1,25,30,35,40,45,50)/100*(Inputs!$B$11-Inputs!$B$11),0))))/100+(Inputs!$B$23+(IF(ArtifactsInput!$M$15,CHOOSE(ArtifactsInput!$N$15+1,25,30,35,40,45,50)/100*(Inputs!$B$11-Inputs!$B$11),0)))/100)/2</f>
        <v/>
      </c>
      <c r="M2371">
        <f>L2371*(1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1">
        <f>L2371*(1-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1">
        <f>(1-Summary!$B$11)*S2371+Summary!$B$11*U2371</f>
        <v/>
      </c>
      <c r="P2371">
        <f>IF(B2399=0,0,O2371/B2399)</f>
        <v/>
      </c>
      <c r="Q2371">
        <f>IFERROR(1/(IF(Inputs!$B$38="pvp",15,MAX(0.1,Skills!E13-IF(Skills!F13=TRUE,Inputs!$B$32,0)))*(1-IF(AND(ArtifactsInput!$M$27,Inputs!$B$4="Chapter Hunt"),CHOOSE(ArtifactsInput!$N$27+1,20,24,28,32,36,40),0)/100)),0)</f>
        <v/>
      </c>
      <c r="R2371">
        <f>IF(AND(Inputs!$B$38&lt;&gt;"pvp",Inputs!$B$43&gt;0),IF(MAX(0,Inputs!$B$43-B2396)&lt;=0,0,(INT(MAX(0,Inputs!$B$43-B2396)/(IF(Inputs!$B$38="pvp",15,MAX(0.1,Skills!E13-IF(Skills!F13=TRUE,Inputs!$B$32,0)))*(1-IF(AND(ArtifactsInput!$M$27,Inputs!$B$4="Chapter Hunt"),CHOOSE(ArtifactsInput!$N$27+1,20,24,28,32,36,40),0)/100)))+1)),0)</f>
        <v/>
      </c>
      <c r="S2371">
        <f>IF(C2371,(H2371*N2371*IF(AND(Inputs!$B$38&lt;&gt;"pvp",Inputs!$B$43&gt;0),((Skills!G13*((R2371-1)*IF(Skills!H13&gt;0,Skills!I13/Skills!H13,1)+IF(Skills!H13&gt;0,MIN(Skills!I13,MAX(0,MAX(0,Inputs!$B$43-B2396)-((R2371-1)*(IF(Inputs!$B$38="pvp",15,MAX(0.1,Skills!E13-IF(Skills!F13=TRUE,Inputs!$B$32,0)))*(1-IF(AND(ArtifactsInput!$M$27,Inputs!$B$4="Chapter Hunt"),CHOOSE(ArtifactsInput!$N$27+1,20,24,28,32,36,40),0)/100)))))/Skills!H13,1)))/Inputs!$B$43),G2371*Q2371)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2371*(1-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2371*(1-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1">
        <f>IF(C2371,(H2371*N2371*IF(AND(Inputs!$B$38&lt;&gt;"pvp",Inputs!$B$43&gt;0),((Skills!G13*((R2371-1)*IF(Skills!H13&gt;0,Skills!I13/Skills!H13,1)+IF(Skills!H13&gt;0,MIN(Skills!I13,MAX(0,MAX(0,Inputs!$B$43-B2396)-((R2371-1)*(IF(Inputs!$B$38="pvp",15,MAX(0.1,Skills!E13-IF(Skills!F13=TRUE,Inputs!$B$32,0)))*(1-IF(AND(ArtifactsInput!$M$27,Inputs!$B$4="Chapter Hunt"),CHOOSE(ArtifactsInput!$N$27+1,20,24,28,32,36,40),0)/100)))))/Skills!H13,1)))/Inputs!$B$43),G2371*Q2371)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2">
      <c r="A2372">
        <f>Skills!A14</f>
        <v/>
      </c>
      <c r="B2372">
        <f>Skills!B14</f>
        <v/>
      </c>
      <c r="C2372">
        <f>Inputs!$B$3&gt;=113</f>
        <v/>
      </c>
      <c r="D2372">
        <f>IF(Skills!C14=1,60+Inputs!$B$25+Inputs!$B$29,IF(Skills!C14=2,90+Inputs!$B$26+Inputs!$B$29,IF(Skills!C14=3,120+Inputs!$B$27+Inputs!$B$29,MAX(0,(Inputs!$B$3-100)*3)+Inputs!$B$28+Inputs!$B$29)))</f>
        <v/>
      </c>
      <c r="E2372">
        <f>INDEX(FactorTable!$B$2:$Y$301, MATCH(ROUND(MIN(300,MAX(1,D2372)),0), FactorTable!$A$2:$A$301,0), Skills!M14+1)</f>
        <v/>
      </c>
      <c r="F2372">
        <f>IF(Skills!N14=TRUE,(Skills!L14/10)*(E2372/1000),Skills!L14/10)+Skills!O14</f>
        <v/>
      </c>
      <c r="G2372">
        <f>Calc!G14</f>
        <v/>
      </c>
      <c r="H2372">
        <f>Calc!H14</f>
        <v/>
      </c>
      <c r="I2372">
        <f>IF(Skills!X14&lt;&gt;"",1+(Skills!X14/10)*(Z2361/1000)/100,1)</f>
        <v/>
      </c>
      <c r="J2372">
        <f>((Inputs!$B$6*(1+Inputs!$B$7/100))+(((Inputs!$B$12*(1+Inputs!$B$13/100))-(Inputs!$B$12*(1+Inputs!$B$13/100)))+0.25*(Inputs!$B$14-Inputs!$B$14))*(1+Inputs!$B$7/100))*(F2372/100)</f>
        <v/>
      </c>
      <c r="K2372">
        <f>J2372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2372)</f>
        <v/>
      </c>
      <c r="L2372">
        <f>K2372*(MIN(Inputs!$B$22+(F2380-Calc!F22),(Inputs!$B$23+(IF(ArtifactsInput!$M$15,CHOOSE(ArtifactsInput!$N$15+1,25,30,35,40,45,50)/100*(Inputs!$B$11-Inputs!$B$11),0))))/100+(Inputs!$B$23+(IF(ArtifactsInput!$M$15,CHOOSE(ArtifactsInput!$N$15+1,25,30,35,40,45,50)/100*(Inputs!$B$11-Inputs!$B$11),0)))/100)/2</f>
        <v/>
      </c>
      <c r="M2372">
        <f>L2372*(1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2">
        <f>L2372*(1-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2372*(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2">
        <f>(1-Summary!$B$11)*S2372+Summary!$B$11*U2372</f>
        <v/>
      </c>
      <c r="P2372">
        <f>IF(B2399=0,0,O2372/B2399)</f>
        <v/>
      </c>
      <c r="Q2372">
        <f>IFERROR(1/(IF(Inputs!$B$38="pvp",15,MAX(0.1,Skills!E14-IF(Skills!F14=TRUE,Inputs!$B$32,0)))*(1-IF(AND(ArtifactsInput!$M$27,Inputs!$B$4="Chapter Hunt"),CHOOSE(ArtifactsInput!$N$27+1,20,24,28,32,36,40),0)/100)),0)</f>
        <v/>
      </c>
      <c r="R2372" t="n">
        <v>0</v>
      </c>
      <c r="S2372">
        <f>IF(C2372,((H2372*B2395)/(1+Skills!H14*H2372*B2395)*N2372)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2372*(1-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2372*(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2372*(1-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2372*(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2">
        <f>IF(C2372,((H2372*B2395)/(1+Skills!H14*H2372*B2395)*N2372)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3">
      <c r="A2373">
        <f>Skills!A15</f>
        <v/>
      </c>
      <c r="B2373">
        <f>Skills!B15</f>
        <v/>
      </c>
      <c r="C2373">
        <f>Inputs!$B$3&gt;=107</f>
        <v/>
      </c>
      <c r="D2373">
        <f>IF(Skills!C15=1,60+Inputs!$B$25+Inputs!$B$29,IF(Skills!C15=2,90+Inputs!$B$26+Inputs!$B$29,IF(Skills!C15=3,120+Inputs!$B$27+Inputs!$B$29,MAX(0,(Inputs!$B$3-100)*3)+Inputs!$B$28+Inputs!$B$29)))</f>
        <v/>
      </c>
      <c r="E2373">
        <f>INDEX(FactorTable!$B$2:$Y$301, MATCH(ROUND(MIN(300,MAX(1,D2373)),0), FactorTable!$A$2:$A$301,0), Skills!M15+1)</f>
        <v/>
      </c>
      <c r="F2373">
        <f>IF(Skills!N15=TRUE,(Skills!L15/10)*(E2373/1000),Skills!L15/10)+Skills!O15</f>
        <v/>
      </c>
      <c r="G2373">
        <f>Calc!G15</f>
        <v/>
      </c>
      <c r="H2373">
        <f>Calc!H15</f>
        <v/>
      </c>
      <c r="I2373">
        <f>IF(Skills!X15&lt;&gt;"",1+(Skills!X15/10)*(Z2361/1000)/100,1)</f>
        <v/>
      </c>
      <c r="J2373">
        <f>((Inputs!$B$6*(1+Inputs!$B$7/100))+(((Inputs!$B$12*(1+Inputs!$B$13/100))-(Inputs!$B$12*(1+Inputs!$B$13/100)))+0.25*(Inputs!$B$14-Inputs!$B$14))*(1+Inputs!$B$7/100))*(F2373/100)</f>
        <v/>
      </c>
      <c r="K2373">
        <f>J2373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2373)</f>
        <v/>
      </c>
      <c r="L2373">
        <f>K2373*(MIN(Inputs!$B$22+(F2380-Calc!F22),(Inputs!$B$23+(IF(ArtifactsInput!$M$15,CHOOSE(ArtifactsInput!$N$15+1,25,30,35,40,45,50)/100*(Inputs!$B$11-Inputs!$B$11),0))))/100+(Inputs!$B$23+(IF(ArtifactsInput!$M$15,CHOOSE(ArtifactsInput!$N$15+1,25,30,35,40,45,50)/100*(Inputs!$B$11-Inputs!$B$11),0)))/100)/2</f>
        <v/>
      </c>
      <c r="M2373">
        <f>L2373*(1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3">
        <f>L2373*(1-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2373*(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3">
        <f>(1-Summary!$B$11)*S2373+Summary!$B$11*U2373</f>
        <v/>
      </c>
      <c r="P2373">
        <f>IF(B2399=0,0,O2373/B2399)</f>
        <v/>
      </c>
      <c r="Q2373">
        <f>IFERROR(1/(IF(Inputs!$B$38="pvp",15,MAX(0.1,Skills!E15-IF(Skills!F15=TRUE,Inputs!$B$32,0)))*(1-IF(AND(ArtifactsInput!$M$27,Inputs!$B$4="Chapter Hunt"),CHOOSE(ArtifactsInput!$N$27+1,20,24,28,32,36,40),0)/100)),0)</f>
        <v/>
      </c>
      <c r="R2373">
        <f>IF(AND(Inputs!$B$38&lt;&gt;"pvp",Inputs!$B$43&gt;0),IF(MAX(0,Inputs!$B$43-B2396)&lt;=0,0,(INT(MAX(0,Inputs!$B$43-B2396)/(IF(Inputs!$B$38="pvp",15,MAX(0.1,Skills!E15-IF(Skills!F15=TRUE,Inputs!$B$32,0)))*(1-IF(AND(ArtifactsInput!$M$27,Inputs!$B$4="Chapter Hunt"),CHOOSE(ArtifactsInput!$N$27+1,20,24,28,32,36,40),0)/100)))+1)),0)</f>
        <v/>
      </c>
      <c r="S2373">
        <f>IF(C2373,(H2373*N2373*IF(AND(Inputs!$B$38&lt;&gt;"pvp",Inputs!$B$43&gt;0),((Skills!G15*((R2373-1)*IF(Skills!H15&gt;0,Skills!I15/Skills!H15,1)+IF(Skills!H15&gt;0,MIN(Skills!I15,MAX(0,MAX(0,Inputs!$B$43-B2396)-((R2373-1)*(IF(Inputs!$B$38="pvp",15,MAX(0.1,Skills!E15-IF(Skills!F15=TRUE,Inputs!$B$32,0)))*(1-IF(AND(ArtifactsInput!$M$27,Inputs!$B$4="Chapter Hunt"),CHOOSE(ArtifactsInput!$N$27+1,20,24,28,32,36,40),0)/100)))))/Skills!H15,1)))/Inputs!$B$43),G2373*Q2373)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2373*(1-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2373*(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2373*(1-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2373*(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3">
        <f>IF(C2373,(H2373*N2373*IF(AND(Inputs!$B$38&lt;&gt;"pvp",Inputs!$B$43&gt;0),((Skills!G15*((R2373-1)*IF(Skills!H15&gt;0,Skills!I15/Skills!H15,1)+IF(Skills!H15&gt;0,MIN(Skills!I15,MAX(0,MAX(0,Inputs!$B$43-B2396)-((R2373-1)*(IF(Inputs!$B$38="pvp",15,MAX(0.1,Skills!E15-IF(Skills!F15=TRUE,Inputs!$B$32,0)))*(1-IF(AND(ArtifactsInput!$M$27,Inputs!$B$4="Chapter Hunt"),CHOOSE(ArtifactsInput!$N$27+1,20,24,28,32,36,40),0)/100)))))/Skills!H15,1)))/Inputs!$B$43),G2373*Q2373)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4">
      <c r="A2374">
        <f>Skills!A16</f>
        <v/>
      </c>
      <c r="B2374">
        <f>Skills!B16</f>
        <v/>
      </c>
      <c r="C2374">
        <f>Inputs!$B$3&gt;=107</f>
        <v/>
      </c>
      <c r="D2374">
        <f>IF(Skills!C16=1,60+Inputs!$B$25+Inputs!$B$29,IF(Skills!C16=2,90+Inputs!$B$26+Inputs!$B$29,IF(Skills!C16=3,120+Inputs!$B$27+Inputs!$B$29,MAX(0,(Inputs!$B$3-100)*3)+Inputs!$B$28+Inputs!$B$29)))</f>
        <v/>
      </c>
      <c r="E2374">
        <f>INDEX(FactorTable!$B$2:$Y$301, MATCH(ROUND(MIN(300,MAX(1,D2374)),0), FactorTable!$A$2:$A$301,0), Skills!M16+1)</f>
        <v/>
      </c>
      <c r="F2374">
        <f>IF(Skills!N16=TRUE,(Skills!L16/10)*(E2374/1000),Skills!L16/10)+Skills!O16</f>
        <v/>
      </c>
      <c r="G2374">
        <f>Calc!G16</f>
        <v/>
      </c>
      <c r="H2374">
        <f>Calc!H16</f>
        <v/>
      </c>
      <c r="I2374">
        <f>IF(Skills!X16&lt;&gt;"",1+(Skills!X16/10)*(Z2361/1000)/100,1)</f>
        <v/>
      </c>
      <c r="J2374">
        <f>((Inputs!$B$6*(1+Inputs!$B$7/100))+(((Inputs!$B$12*(1+Inputs!$B$13/100))-(Inputs!$B$12*(1+Inputs!$B$13/100)))+0.25*(Inputs!$B$14-Inputs!$B$14))*(1+Inputs!$B$7/100))*(F2374/100)</f>
        <v/>
      </c>
      <c r="K2374">
        <f>J2374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2374)</f>
        <v/>
      </c>
      <c r="L2374">
        <f>K2374*(MIN(Inputs!$B$22+(F2380-Calc!F22),(Inputs!$B$23+(IF(ArtifactsInput!$M$15,CHOOSE(ArtifactsInput!$N$15+1,25,30,35,40,45,50)/100*(Inputs!$B$11-Inputs!$B$11),0))))/100+(Inputs!$B$23+(IF(ArtifactsInput!$M$15,CHOOSE(ArtifactsInput!$N$15+1,25,30,35,40,45,50)/100*(Inputs!$B$11-Inputs!$B$11),0)))/100)/2</f>
        <v/>
      </c>
      <c r="M2374">
        <f>L2374*(1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4">
        <f>L2374*(1-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2374*(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4">
        <f>(1-Summary!$B$11)*S2374+Summary!$B$11*U2374</f>
        <v/>
      </c>
      <c r="P2374">
        <f>IF(B2399=0,0,O2374/B2399)</f>
        <v/>
      </c>
      <c r="Q2374">
        <f>IFERROR(1/(IF(Inputs!$B$38="pvp",15,MAX(0.1,Skills!E16-IF(Skills!F16=TRUE,Inputs!$B$32,0)))*(1-IF(AND(ArtifactsInput!$M$27,Inputs!$B$4="Chapter Hunt"),CHOOSE(ArtifactsInput!$N$27+1,20,24,28,32,36,40),0)/100)),0)</f>
        <v/>
      </c>
      <c r="R2374">
        <f>IF(AND(Inputs!$B$38&lt;&gt;"pvp",Inputs!$B$43&gt;0),IF(MAX(0,Inputs!$B$43-B2396)&lt;=0,0,(INT(MAX(0,Inputs!$B$43-B2396)/(IF(Inputs!$B$38="pvp",15,MAX(0.1,Skills!E16-IF(Skills!F16=TRUE,Inputs!$B$32,0)))*(1-IF(AND(ArtifactsInput!$M$27,Inputs!$B$4="Chapter Hunt"),CHOOSE(ArtifactsInput!$N$27+1,20,24,28,32,36,40),0)/100)))+1)),0)</f>
        <v/>
      </c>
      <c r="S2374">
        <f>IF(C2374,(H2374*N2374*IF(AND(Inputs!$B$38&lt;&gt;"pvp",Inputs!$B$43&gt;0),((Skills!G16*((R2374-1)*IF(Skills!H16&gt;0,Skills!I16/Skills!H16,1)+IF(Skills!H16&gt;0,MIN(Skills!I16,MAX(0,MAX(0,Inputs!$B$43-B2396)-((R2374-1)*(IF(Inputs!$B$38="pvp",15,MAX(0.1,Skills!E16-IF(Skills!F16=TRUE,Inputs!$B$32,0)))*(1-IF(AND(ArtifactsInput!$M$27,Inputs!$B$4="Chapter Hunt"),CHOOSE(ArtifactsInput!$N$27+1,20,24,28,32,36,40),0)/100)))))/Skills!H16,1)))/Inputs!$B$43),G2374*Q2374)*(1+IF(Inputs!$B$3&gt;=126,0.05*(B2394+Q2371+(H2372*B2395)/(1+Skills!H14*H2372*B2395)+Q2382)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2374*(1-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2374*(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2374*(1-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2374*(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4">
        <f>IF(C2374,(H2374*N2374*IF(AND(Inputs!$B$38&lt;&gt;"pvp",Inputs!$B$43&gt;0),((Skills!G16*((R2374-1)*IF(Skills!H16&gt;0,Skills!I16/Skills!H16,1)+IF(Skills!H16&gt;0,MIN(Skills!I16,MAX(0,MAX(0,Inputs!$B$43-B2396)-((R2374-1)*(IF(Inputs!$B$38="pvp",15,MAX(0.1,Skills!E16-IF(Skills!F16=TRUE,Inputs!$B$32,0)))*(1-IF(AND(ArtifactsInput!$M$27,Inputs!$B$4="Chapter Hunt"),CHOOSE(ArtifactsInput!$N$27+1,20,24,28,32,36,40),0)/100)))))/Skills!H16,1)))/Inputs!$B$43),G2374*Q2374)*(1+IF(Inputs!$B$3&gt;=126,0.05*(B2394+Q2371+(H2372*B2395)/(1+Skills!H14*H2372*B2395)+Q2382)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5">
      <c r="A2375">
        <f>Skills!A17</f>
        <v/>
      </c>
      <c r="B2375">
        <f>Skills!B17</f>
        <v/>
      </c>
      <c r="C2375">
        <f>TRUE</f>
        <v/>
      </c>
      <c r="D2375">
        <f>IF(Skills!C17=1,60+Inputs!$B$25+Inputs!$B$29,IF(Skills!C17=2,90+Inputs!$B$26+Inputs!$B$29,IF(Skills!C17=3,120+Inputs!$B$27+Inputs!$B$29,MAX(0,(Inputs!$B$3-100)*3)+Inputs!$B$28+Inputs!$B$29)))</f>
        <v/>
      </c>
      <c r="E2375">
        <f>INDEX(FactorTable!$B$2:$Y$301, MATCH(ROUND(MIN(300,MAX(1,D2375)),0), FactorTable!$A$2:$A$301,0), Skills!M17+1)</f>
        <v/>
      </c>
      <c r="F2375">
        <f>IF(Skills!N17=TRUE,(Skills!L17/10)*(E2375/1000),Skills!L17/10)+Skills!O17</f>
        <v/>
      </c>
      <c r="G2375">
        <f>Calc!G17</f>
        <v/>
      </c>
      <c r="H2375">
        <f>Calc!H17</f>
        <v/>
      </c>
      <c r="I2375">
        <f>IF(Skills!X17&lt;&gt;"",1+(Skills!X17/10)*(Z2361/1000)/100,1)</f>
        <v/>
      </c>
      <c r="J2375" t="inlineStr"/>
      <c r="K2375" t="inlineStr"/>
      <c r="L2375" t="inlineStr"/>
      <c r="M2375" t="inlineStr"/>
      <c r="N2375" t="inlineStr"/>
      <c r="O2375">
        <f>(1-Summary!$B$11)*S2375+Summary!$B$11*U2375</f>
        <v/>
      </c>
      <c r="P2375">
        <f>IF(B2399=0,0,O2375/B2399)</f>
        <v/>
      </c>
      <c r="Q2375">
        <f>IFERROR(1/(IF(Inputs!$B$38="pvp",15,MAX(0.1,Skills!E17-IF(Skills!F17=TRUE,Inputs!$B$32,0)))*(1-IF(AND(ArtifactsInput!$M$27,Inputs!$B$4="Chapter Hunt"),CHOOSE(ArtifactsInput!$N$27+1,20,24,28,32,36,40),0)/100)),0)</f>
        <v/>
      </c>
      <c r="R2375">
        <f>IF(AND(Inputs!$B$38&lt;&gt;"pvp",Inputs!$B$43&gt;0),IF(Inputs!$B$43&lt;=0,0,(INT(Inputs!$B$43/(IF(Inputs!$B$38="pvp",15,MAX(0.1,Skills!E17-IF(Skills!F17=TRUE,Inputs!$B$32,0)))*(1-IF(AND(ArtifactsInput!$M$27,Inputs!$B$4="Chapter Hunt"),CHOOSE(ArtifactsInput!$N$27+1,20,24,28,32,36,40),0)/100)))+1)),0)</f>
        <v/>
      </c>
      <c r="S2375" t="n">
        <v>0</v>
      </c>
      <c r="U2375" t="n">
        <v>0</v>
      </c>
    </row>
    <row r="2376">
      <c r="A2376">
        <f>Skills!A18</f>
        <v/>
      </c>
      <c r="B2376">
        <f>Skills!B18</f>
        <v/>
      </c>
      <c r="C2376">
        <f>TRUE</f>
        <v/>
      </c>
      <c r="D2376">
        <f>IF(Skills!C18=1,60+Inputs!$B$25+Inputs!$B$29,IF(Skills!C18=2,90+Inputs!$B$26+Inputs!$B$29,IF(Skills!C18=3,120+Inputs!$B$27+Inputs!$B$29,MAX(0,(Inputs!$B$3-100)*3)+Inputs!$B$28+Inputs!$B$29)))</f>
        <v/>
      </c>
      <c r="E2376">
        <f>INDEX(FactorTable!$B$2:$Y$301, MATCH(ROUND(MIN(300,MAX(1,D2376)),0), FactorTable!$A$2:$A$301,0), Skills!M18+1)</f>
        <v/>
      </c>
      <c r="F2376">
        <f>IF(Skills!N18=TRUE,(Skills!L18/10)*(E2376/1000),Skills!L18/10)+Skills!O18</f>
        <v/>
      </c>
      <c r="G2376">
        <f>Calc!G18</f>
        <v/>
      </c>
      <c r="H2376">
        <f>Calc!H18</f>
        <v/>
      </c>
      <c r="I2376">
        <f>IF(Skills!X18&lt;&gt;"",1+(Skills!X18/10)*(Z2361/1000)/100,1)</f>
        <v/>
      </c>
      <c r="J2376" t="inlineStr"/>
      <c r="K2376" t="inlineStr"/>
      <c r="L2376" t="inlineStr"/>
      <c r="M2376" t="inlineStr"/>
      <c r="N2376" t="inlineStr"/>
      <c r="O2376">
        <f>(1-Summary!$B$11)*S2376+Summary!$B$11*U2376</f>
        <v/>
      </c>
      <c r="P2376">
        <f>IF(B2399=0,0,O2376/B2399)</f>
        <v/>
      </c>
      <c r="Q2376">
        <f>IFERROR(1/(IF(Inputs!$B$38="pvp",15,MAX(0.1,Skills!E18-IF(Skills!F18=TRUE,Inputs!$B$32,0)))*(1-IF(AND(ArtifactsInput!$M$27,Inputs!$B$4="Chapter Hunt"),CHOOSE(ArtifactsInput!$N$27+1,20,24,28,32,36,40),0)/100)),0)</f>
        <v/>
      </c>
      <c r="R2376">
        <f>IF(AND(Inputs!$B$38&lt;&gt;"pvp",Inputs!$B$43&gt;0),IF(Inputs!$B$43&lt;=0,0,(INT(Inputs!$B$43/(IF(Inputs!$B$38="pvp",15,MAX(0.1,Skills!E18-IF(Skills!F18=TRUE,Inputs!$B$32,0)))*(1-IF(AND(ArtifactsInput!$M$27,Inputs!$B$4="Chapter Hunt"),CHOOSE(ArtifactsInput!$N$27+1,20,24,28,32,36,40),0)/100)))+1)),0)</f>
        <v/>
      </c>
      <c r="S2376" t="n">
        <v>0</v>
      </c>
      <c r="U2376" t="n">
        <v>0</v>
      </c>
    </row>
    <row r="2377">
      <c r="A2377">
        <f>Skills!A19</f>
        <v/>
      </c>
      <c r="B2377">
        <f>Skills!B19</f>
        <v/>
      </c>
      <c r="C2377">
        <f>Inputs!$B$3&gt;=110</f>
        <v/>
      </c>
      <c r="D2377">
        <f>IF(Skills!C19=1,60+Inputs!$B$25+Inputs!$B$29,IF(Skills!C19=2,90+Inputs!$B$26+Inputs!$B$29,IF(Skills!C19=3,120+Inputs!$B$27+Inputs!$B$29,MAX(0,(Inputs!$B$3-100)*3)+Inputs!$B$28+Inputs!$B$29)))</f>
        <v/>
      </c>
      <c r="E2377">
        <f>INDEX(FactorTable!$B$2:$Y$301, MATCH(ROUND(MIN(300,MAX(1,D2377)),0), FactorTable!$A$2:$A$301,0), Skills!M19+1)</f>
        <v/>
      </c>
      <c r="F2377">
        <f>IF(Skills!N19=TRUE,(Skills!L19/10)*(E2377/1000),Skills!L19/10)+Skills!O19</f>
        <v/>
      </c>
      <c r="G2377">
        <f>Calc!G19</f>
        <v/>
      </c>
      <c r="H2377">
        <f>Calc!H19</f>
        <v/>
      </c>
      <c r="I2377">
        <f>IF(Skills!X19&lt;&gt;"",1+(Skills!X19/10)*(Z2361/1000)/100,1)</f>
        <v/>
      </c>
      <c r="J2377" t="inlineStr"/>
      <c r="K2377" t="inlineStr"/>
      <c r="L2377" t="inlineStr"/>
      <c r="M2377" t="inlineStr"/>
      <c r="N2377" t="inlineStr"/>
      <c r="O2377">
        <f>(1-Summary!$B$11)*S2377+Summary!$B$11*U2377</f>
        <v/>
      </c>
      <c r="P2377">
        <f>IF(B2399=0,0,O2377/B2399)</f>
        <v/>
      </c>
      <c r="Q2377">
        <f>IFERROR(1/(IF(Inputs!$B$38="pvp",15,MAX(0.1,Skills!E19-IF(Skills!F19=TRUE,Inputs!$B$32,0)))*(1-IF(AND(ArtifactsInput!$M$27,Inputs!$B$4="Chapter Hunt"),CHOOSE(ArtifactsInput!$N$27+1,20,24,28,32,36,40),0)/100)),0)</f>
        <v/>
      </c>
      <c r="R2377">
        <f>IF(AND(Inputs!$B$38&lt;&gt;"pvp",Inputs!$B$43&gt;0),IF(Inputs!$B$43&lt;=0,0,(INT(Inputs!$B$43/(IF(Inputs!$B$38="pvp",15,MAX(0.1,Skills!E19-IF(Skills!F19=TRUE,Inputs!$B$32,0)))*(1-IF(AND(ArtifactsInput!$M$27,Inputs!$B$4="Chapter Hunt"),CHOOSE(ArtifactsInput!$N$27+1,20,24,28,32,36,40),0)/100)))+1)),0)</f>
        <v/>
      </c>
      <c r="S2377" t="n">
        <v>0</v>
      </c>
      <c r="U2377" t="n">
        <v>0</v>
      </c>
    </row>
    <row r="2378">
      <c r="A2378">
        <f>Skills!A20</f>
        <v/>
      </c>
      <c r="B2378">
        <f>Skills!B20</f>
        <v/>
      </c>
      <c r="C2378">
        <f>TRUE</f>
        <v/>
      </c>
      <c r="D2378">
        <f>IF(Skills!C20=1,60+Inputs!$B$25+Inputs!$B$29,IF(Skills!C20=2,90+Inputs!$B$26+Inputs!$B$29,IF(Skills!C20=3,120+Inputs!$B$27+Inputs!$B$29,MAX(0,(Inputs!$B$3-100)*3)+Inputs!$B$28+Inputs!$B$29)))</f>
        <v/>
      </c>
      <c r="E2378">
        <f>INDEX(FactorTable!$B$2:$Y$301, MATCH(ROUND(MIN(300,MAX(1,D2378)),0), FactorTable!$A$2:$A$301,0), Skills!M20+1)</f>
        <v/>
      </c>
      <c r="F2378">
        <f>IF(Skills!N20=TRUE,(Skills!L20/10)*(E2378/1000),Skills!L20/10)+Skills!O20</f>
        <v/>
      </c>
      <c r="G2378">
        <f>Calc!G20</f>
        <v/>
      </c>
      <c r="H2378">
        <f>Calc!H20</f>
        <v/>
      </c>
      <c r="I2378">
        <f>IF(Skills!X20&lt;&gt;"",1+(Skills!X20/10)*(Z2361/1000)/100,1)</f>
        <v/>
      </c>
      <c r="J2378" t="inlineStr"/>
      <c r="K2378" t="inlineStr"/>
      <c r="L2378" t="inlineStr"/>
      <c r="M2378" t="inlineStr"/>
      <c r="N2378" t="inlineStr"/>
      <c r="O2378">
        <f>(1-Summary!$B$11)*S2378+Summary!$B$11*U2378</f>
        <v/>
      </c>
      <c r="P2378">
        <f>IF(B2399=0,0,O2378/B2399)</f>
        <v/>
      </c>
      <c r="Q2378">
        <f>IFERROR(1/(IF(Inputs!$B$38="pvp",15,MAX(0.1,Skills!E20-IF(Skills!F20=TRUE,Inputs!$B$32,0)))*(1-IF(AND(ArtifactsInput!$M$27,Inputs!$B$4="Chapter Hunt"),CHOOSE(ArtifactsInput!$N$27+1,20,24,28,32,36,40),0)/100)),0)</f>
        <v/>
      </c>
      <c r="R2378" t="n">
        <v>0</v>
      </c>
      <c r="S2378" t="n">
        <v>0</v>
      </c>
      <c r="U2378" t="n">
        <v>0</v>
      </c>
    </row>
    <row r="2379">
      <c r="A2379">
        <f>Skills!A21</f>
        <v/>
      </c>
      <c r="B2379">
        <f>Skills!B21</f>
        <v/>
      </c>
      <c r="C2379">
        <f>TRUE</f>
        <v/>
      </c>
      <c r="D2379">
        <f>IF(Skills!C21=1,60+Inputs!$B$25+Inputs!$B$29,IF(Skills!C21=2,90+Inputs!$B$26+Inputs!$B$29,IF(Skills!C21=3,120+Inputs!$B$27+Inputs!$B$29,MAX(0,(Inputs!$B$3-100)*3)+Inputs!$B$28+Inputs!$B$29)))</f>
        <v/>
      </c>
      <c r="E2379">
        <f>INDEX(FactorTable!$B$2:$Y$301, MATCH(ROUND(MIN(300,MAX(1,D2379)),0), FactorTable!$A$2:$A$301,0), Skills!M21+1)</f>
        <v/>
      </c>
      <c r="F2379">
        <f>IF(Skills!N21=TRUE,(Skills!L21/10)*(E2379/1000),Skills!L21/10)+Skills!O21</f>
        <v/>
      </c>
      <c r="G2379">
        <f>Calc!G21</f>
        <v/>
      </c>
      <c r="H2379">
        <f>Calc!H21</f>
        <v/>
      </c>
      <c r="I2379">
        <f>IF(Skills!X21&lt;&gt;"",1+(Skills!X21/10)*(Z2361/1000)/100,1)</f>
        <v/>
      </c>
      <c r="J2379" t="inlineStr"/>
      <c r="K2379" t="inlineStr"/>
      <c r="L2379" t="inlineStr"/>
      <c r="M2379" t="inlineStr"/>
      <c r="N2379" t="inlineStr"/>
      <c r="O2379">
        <f>(1-Summary!$B$11)*S2379+Summary!$B$11*U2379</f>
        <v/>
      </c>
      <c r="P2379">
        <f>IF(B2399=0,0,O2379/B2399)</f>
        <v/>
      </c>
      <c r="Q2379">
        <f>IFERROR(1/(IF(Inputs!$B$38="pvp",15,MAX(0.1,Skills!E21-IF(Skills!F21=TRUE,Inputs!$B$32,0)))*(1-IF(AND(ArtifactsInput!$M$27,Inputs!$B$4="Chapter Hunt"),CHOOSE(ArtifactsInput!$N$27+1,20,24,28,32,36,40),0)/100)),0)</f>
        <v/>
      </c>
      <c r="R2379" t="n">
        <v>0</v>
      </c>
      <c r="S2379" t="n">
        <v>0</v>
      </c>
      <c r="U2379" t="n">
        <v>0</v>
      </c>
    </row>
    <row r="2380">
      <c r="A2380">
        <f>Skills!A22</f>
        <v/>
      </c>
      <c r="B2380">
        <f>Skills!B22</f>
        <v/>
      </c>
      <c r="C2380">
        <f>TRUE</f>
        <v/>
      </c>
      <c r="D2380">
        <f>IF(Skills!C22=1,60+Inputs!$B$25+Inputs!$B$29,IF(Skills!C22=2,90+Inputs!$B$26+Inputs!$B$29,IF(Skills!C22=3,120+Inputs!$B$27+Inputs!$B$29,MAX(0,(Inputs!$B$3-100)*3)+Inputs!$B$28+Inputs!$B$29)))</f>
        <v/>
      </c>
      <c r="E2380">
        <f>INDEX(FactorTable!$B$2:$Y$301, MATCH(ROUND(MIN(300,MAX(1,D2380)),0), FactorTable!$A$2:$A$301,0), Skills!M22+1)</f>
        <v/>
      </c>
      <c r="F2380">
        <f>IF(Skills!N22=TRUE,(Skills!L22/10)*(E2380/1000),Skills!L22/10)+Skills!O22</f>
        <v/>
      </c>
      <c r="G2380">
        <f>Calc!G22</f>
        <v/>
      </c>
      <c r="H2380">
        <f>Calc!H22</f>
        <v/>
      </c>
      <c r="I2380">
        <f>IF(Skills!X22&lt;&gt;"",1+(Skills!X22/10)*(Z2361/1000)/100,1)</f>
        <v/>
      </c>
      <c r="J2380" t="inlineStr"/>
      <c r="K2380" t="inlineStr"/>
      <c r="L2380" t="inlineStr"/>
      <c r="M2380" t="inlineStr"/>
      <c r="N2380" t="inlineStr"/>
      <c r="O2380">
        <f>(1-Summary!$B$11)*S2380+Summary!$B$11*U2380</f>
        <v/>
      </c>
      <c r="P2380">
        <f>IF(B2399=0,0,O2380/B2399)</f>
        <v/>
      </c>
      <c r="Q2380">
        <f>IFERROR(1/(IF(Inputs!$B$38="pvp",15,MAX(0.1,Skills!E22-IF(Skills!F22=TRUE,Inputs!$B$32,0)))*(1-IF(AND(ArtifactsInput!$M$27,Inputs!$B$4="Chapter Hunt"),CHOOSE(ArtifactsInput!$N$27+1,20,24,28,32,36,40),0)/100)),0)</f>
        <v/>
      </c>
      <c r="R2380" t="n">
        <v>0</v>
      </c>
      <c r="S2380" t="n">
        <v>0</v>
      </c>
      <c r="U2380" t="n">
        <v>0</v>
      </c>
    </row>
    <row r="2381">
      <c r="A2381">
        <f>Skills!A23</f>
        <v/>
      </c>
      <c r="B2381">
        <f>Skills!B23</f>
        <v/>
      </c>
      <c r="C2381">
        <f>TRUE</f>
        <v/>
      </c>
      <c r="D2381">
        <f>IF(Skills!C23=1,60+Inputs!$B$25+Inputs!$B$29,IF(Skills!C23=2,90+Inputs!$B$26+Inputs!$B$29,IF(Skills!C23=3,120+Inputs!$B$27+Inputs!$B$29,MAX(0,(Inputs!$B$3-100)*3)+Inputs!$B$28+Inputs!$B$29)))</f>
        <v/>
      </c>
      <c r="E2381">
        <f>INDEX(FactorTable!$B$2:$Y$301, MATCH(ROUND(MIN(300,MAX(1,D2381)),0), FactorTable!$A$2:$A$301,0), Skills!M23+1)</f>
        <v/>
      </c>
      <c r="F2381">
        <f>IF(Skills!N23=TRUE,(Skills!L23/10)*(E2381/1000),Skills!L23/10)+Skills!O23</f>
        <v/>
      </c>
      <c r="G2381">
        <f>Calc!G23</f>
        <v/>
      </c>
      <c r="H2381">
        <f>Calc!H23</f>
        <v/>
      </c>
      <c r="I2381">
        <f>IF(Skills!X23&lt;&gt;"",1+(Skills!X23/10)*(Z2361/1000)/100,1)</f>
        <v/>
      </c>
      <c r="J2381" t="inlineStr"/>
      <c r="K2381" t="inlineStr"/>
      <c r="L2381" t="inlineStr"/>
      <c r="M2381" t="inlineStr"/>
      <c r="N2381" t="inlineStr"/>
      <c r="O2381">
        <f>(1-Summary!$B$11)*S2381+Summary!$B$11*U2381</f>
        <v/>
      </c>
      <c r="P2381">
        <f>IF(B2399=0,0,O2381/B2399)</f>
        <v/>
      </c>
      <c r="Q2381">
        <f>IFERROR(1/(IF(Inputs!$B$38="pvp",15,MAX(0.1,Skills!E23-IF(Skills!F23=TRUE,Inputs!$B$32,0)))*(1-IF(AND(ArtifactsInput!$M$27,Inputs!$B$4="Chapter Hunt"),CHOOSE(ArtifactsInput!$N$27+1,20,24,28,32,36,40),0)/100)),0)</f>
        <v/>
      </c>
      <c r="R2381" t="n">
        <v>0</v>
      </c>
      <c r="S2381" t="n">
        <v>0</v>
      </c>
      <c r="U2381" t="n">
        <v>0</v>
      </c>
    </row>
    <row r="2382">
      <c r="A2382">
        <f>Skills!A24</f>
        <v/>
      </c>
      <c r="B2382">
        <f>Skills!B24</f>
        <v/>
      </c>
      <c r="C2382">
        <f>Inputs!$B$3&gt;=115</f>
        <v/>
      </c>
      <c r="D2382">
        <f>IF(Skills!C24=1,60+Inputs!$B$25+Inputs!$B$29,IF(Skills!C24=2,90+Inputs!$B$26+Inputs!$B$29,IF(Skills!C24=3,120+Inputs!$B$27+Inputs!$B$29,MAX(0,(Inputs!$B$3-100)*3)+Inputs!$B$28+Inputs!$B$29)))</f>
        <v/>
      </c>
      <c r="E2382">
        <f>INDEX(FactorTable!$B$2:$Y$301, MATCH(ROUND(MIN(300,MAX(1,D2382)),0), FactorTable!$A$2:$A$301,0), Skills!M24+1)</f>
        <v/>
      </c>
      <c r="F2382">
        <f>IF(Skills!N24=TRUE,(Skills!L24/10)*(E2382/1000),Skills!L24/10)+Skills!O24</f>
        <v/>
      </c>
      <c r="G2382">
        <f>Calc!G24</f>
        <v/>
      </c>
      <c r="H2382">
        <f>Calc!H24</f>
        <v/>
      </c>
      <c r="I2382">
        <f>IF(Skills!X24&lt;&gt;"",1+(Skills!X24/10)*(Z2361/1000)/100,1)</f>
        <v/>
      </c>
      <c r="J2382">
        <f>((Inputs!$B$6*(1+Inputs!$B$7/100))+(((Inputs!$B$12*(1+Inputs!$B$13/100))-(Inputs!$B$12*(1+Inputs!$B$13/100)))+0.25*(Inputs!$B$14-Inputs!$B$14))*(1+Inputs!$B$7/100))*(F2382/100)</f>
        <v/>
      </c>
      <c r="K2382">
        <f>J2382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2382)</f>
        <v/>
      </c>
      <c r="L2382">
        <f>K2382*(MIN(Inputs!$B$22+(F2380-Calc!F22),(Inputs!$B$23+(IF(ArtifactsInput!$M$15,CHOOSE(ArtifactsInput!$N$15+1,25,30,35,40,45,50)/100*(Inputs!$B$11-Inputs!$B$11),0))))/100+(Inputs!$B$23+(IF(ArtifactsInput!$M$15,CHOOSE(ArtifactsInput!$N$15+1,25,30,35,40,45,50)/100*(Inputs!$B$11-Inputs!$B$11),0)))/100)/2</f>
        <v/>
      </c>
      <c r="M2382">
        <f>L2382*(1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2">
        <f>L2382*(1-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2382*(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2">
        <f>(1-Summary!$B$11)*S2382+Summary!$B$11*U2382</f>
        <v/>
      </c>
      <c r="P2382">
        <f>IF(B2399=0,0,O2382/B2399)</f>
        <v/>
      </c>
      <c r="Q2382">
        <f>IFERROR(1/(IF(Inputs!$B$38="pvp",15,MAX(0.1,Skills!E24-IF(Skills!F24=TRUE,Inputs!$B$32,0)))*(1-IF(AND(ArtifactsInput!$M$27,Inputs!$B$4="Chapter Hunt"),CHOOSE(ArtifactsInput!$N$27+1,20,24,28,32,36,40),0)/100)),0)</f>
        <v/>
      </c>
      <c r="R2382">
        <f>IF(AND(Inputs!$B$38&lt;&gt;"pvp",Inputs!$B$43&gt;0),IF(MAX(0,Inputs!$B$43-B2396)&lt;=0,0,(INT(MAX(0,Inputs!$B$43-B2396)/(IF(Inputs!$B$38="pvp",15,MAX(0.1,Skills!E24-IF(Skills!F24=TRUE,Inputs!$B$32,0)))*(1-IF(AND(ArtifactsInput!$M$27,Inputs!$B$4="Chapter Hunt"),CHOOSE(ArtifactsInput!$N$27+1,20,24,28,32,36,40),0)/100)))+1)),0)</f>
        <v/>
      </c>
      <c r="S2382">
        <f>IF(C2382,(H2382*N2382*IF(AND(Inputs!$B$38&lt;&gt;"pvp",Inputs!$B$43&gt;0),((Skills!G24*((R2382-1)*IF(Skills!H24&gt;0,Skills!I24/Skills!H24,1)+IF(Skills!H24&gt;0,MIN(Skills!I24,MAX(0,MAX(0,Inputs!$B$43-B2396)-((R2382-1)*(IF(Inputs!$B$38="pvp",15,MAX(0.1,Skills!E24-IF(Skills!F24=TRUE,Inputs!$B$32,0)))*(1-IF(AND(ArtifactsInput!$M$27,Inputs!$B$4="Chapter Hunt"),CHOOSE(ArtifactsInput!$N$27+1,20,24,28,32,36,40),0)/100)))))/Skills!H24,1)))/Inputs!$B$43),G2382*Q2382)*(1+IF(Inputs!$B$3&gt;=130,0.2*(Skills!I16/Skills!E15+IF(Inputs!$B$3&gt;=126,0.05*(B2394+Q2371+(H2372*B2395)/(1+Skills!H14*H2372*B2395)+Q2382)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2382*(1-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2382*(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2382*(1-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2382*(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82">
        <f>IF(C2382,(H2382*N2382*IF(AND(Inputs!$B$38&lt;&gt;"pvp",Inputs!$B$43&gt;0),((Skills!G24*((R2382-1)*IF(Skills!H24&gt;0,Skills!I24/Skills!H24,1)+IF(Skills!H24&gt;0,MIN(Skills!I24,MAX(0,MAX(0,Inputs!$B$43-B2396)-((R2382-1)*(IF(Inputs!$B$38="pvp",15,MAX(0.1,Skills!E24-IF(Skills!F24=TRUE,Inputs!$B$32,0)))*(1-IF(AND(ArtifactsInput!$M$27,Inputs!$B$4="Chapter Hunt"),CHOOSE(ArtifactsInput!$N$27+1,20,24,28,32,36,40),0)/100)))))/Skills!H24,1)))/Inputs!$B$43),G2382*Q2382)*(1+IF(Inputs!$B$3&gt;=130,0.2*(Skills!I16/Skills!E15+IF(Inputs!$B$3&gt;=126,0.05*(B2394+Q2371+(H2372*B2395)/(1+Skills!H14*H2372*B2395)+Q2382)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3">
      <c r="A2383">
        <f>Skills!A25</f>
        <v/>
      </c>
      <c r="B2383">
        <f>Skills!B25</f>
        <v/>
      </c>
      <c r="C2383">
        <f>Inputs!$B$3&gt;=117</f>
        <v/>
      </c>
      <c r="D2383">
        <f>IF(Skills!C25=1,60+Inputs!$B$25+Inputs!$B$29,IF(Skills!C25=2,90+Inputs!$B$26+Inputs!$B$29,IF(Skills!C25=3,120+Inputs!$B$27+Inputs!$B$29,MAX(0,(Inputs!$B$3-100)*3)+Inputs!$B$28+Inputs!$B$29)))</f>
        <v/>
      </c>
      <c r="E2383">
        <f>INDEX(FactorTable!$B$2:$Y$301, MATCH(ROUND(MIN(300,MAX(1,D2383)),0), FactorTable!$A$2:$A$301,0), Skills!M25+1)</f>
        <v/>
      </c>
      <c r="F2383">
        <f>IF(Skills!N25=TRUE,(Skills!L25/10)*(E2383/1000),Skills!L25/10)+Skills!O25</f>
        <v/>
      </c>
      <c r="G2383">
        <f>Calc!G25</f>
        <v/>
      </c>
      <c r="H2383">
        <f>Calc!H25</f>
        <v/>
      </c>
      <c r="I2383">
        <f>IF(Skills!X25&lt;&gt;"",1+(Skills!X25/10)*(Z2361/1000)/100,1)</f>
        <v/>
      </c>
      <c r="J2383" t="inlineStr"/>
      <c r="K2383" t="inlineStr"/>
      <c r="L2383" t="inlineStr"/>
      <c r="M2383" t="inlineStr"/>
      <c r="N2383" t="inlineStr"/>
      <c r="O2383">
        <f>(1-Summary!$B$11)*S2383+Summary!$B$11*U2383</f>
        <v/>
      </c>
      <c r="P2383">
        <f>IF(B2399=0,0,O2383/B2399)</f>
        <v/>
      </c>
      <c r="Q2383">
        <f>IFERROR(1/(IF(Inputs!$B$38="pvp",15,MAX(0.1,Skills!E25-IF(Skills!F25=TRUE,Inputs!$B$32,0)))*(1-IF(AND(ArtifactsInput!$M$27,Inputs!$B$4="Chapter Hunt"),CHOOSE(ArtifactsInput!$N$27+1,20,24,28,32,36,40),0)/100)),0)</f>
        <v/>
      </c>
      <c r="R2383" t="n">
        <v>0</v>
      </c>
      <c r="S2383" t="n">
        <v>0</v>
      </c>
      <c r="U2383" t="n">
        <v>0</v>
      </c>
    </row>
    <row r="2384">
      <c r="A2384">
        <f>Skills!A26</f>
        <v/>
      </c>
      <c r="B2384">
        <f>Skills!B26</f>
        <v/>
      </c>
      <c r="C2384">
        <f>Inputs!$B$3&gt;=120</f>
        <v/>
      </c>
      <c r="D2384">
        <f>IF(Skills!C26=1,60+Inputs!$B$25+Inputs!$B$29,IF(Skills!C26=2,90+Inputs!$B$26+Inputs!$B$29,IF(Skills!C26=3,120+Inputs!$B$27+Inputs!$B$29,MAX(0,(Inputs!$B$3-100)*3)+Inputs!$B$28+Inputs!$B$29)))</f>
        <v/>
      </c>
      <c r="E2384">
        <f>INDEX(FactorTable!$B$2:$Y$301, MATCH(ROUND(MIN(300,MAX(1,D2384)),0), FactorTable!$A$2:$A$301,0), Skills!M26+1)</f>
        <v/>
      </c>
      <c r="F2384">
        <f>IF(Skills!N26=TRUE,(Skills!L26/10)*(E2384/1000),Skills!L26/10)+Skills!O26</f>
        <v/>
      </c>
      <c r="G2384">
        <f>Calc!G26</f>
        <v/>
      </c>
      <c r="H2384">
        <f>Calc!H26</f>
        <v/>
      </c>
      <c r="I2384">
        <f>IF(Skills!X26&lt;&gt;"",1+(Skills!X26/10)*(Z2361/1000)/100,1)</f>
        <v/>
      </c>
      <c r="J2384" t="inlineStr"/>
      <c r="K2384" t="inlineStr"/>
      <c r="L2384" t="inlineStr"/>
      <c r="M2384" t="inlineStr"/>
      <c r="N2384" t="inlineStr"/>
      <c r="O2384">
        <f>(1-Summary!$B$11)*S2384+Summary!$B$11*U2384</f>
        <v/>
      </c>
      <c r="P2384">
        <f>IF(B2399=0,0,O2384/B2399)</f>
        <v/>
      </c>
      <c r="Q2384">
        <f>IFERROR(1/(IF(Inputs!$B$38="pvp",15,MAX(0.1,Skills!E26-IF(Skills!F26=TRUE,Inputs!$B$32,0)))*(1-IF(AND(ArtifactsInput!$M$27,Inputs!$B$4="Chapter Hunt"),CHOOSE(ArtifactsInput!$N$27+1,20,24,28,32,36,40),0)/100)),0)</f>
        <v/>
      </c>
      <c r="R2384" t="n">
        <v>0</v>
      </c>
      <c r="S2384" t="n">
        <v>0</v>
      </c>
      <c r="U2384" t="n">
        <v>0</v>
      </c>
    </row>
    <row r="2385">
      <c r="A2385">
        <f>Skills!A27</f>
        <v/>
      </c>
      <c r="B2385">
        <f>Skills!B27</f>
        <v/>
      </c>
      <c r="C2385">
        <f>Inputs!$B$3&gt;=125</f>
        <v/>
      </c>
      <c r="D2385">
        <f>IF(Skills!C27=1,60+Inputs!$B$25+Inputs!$B$29,IF(Skills!C27=2,90+Inputs!$B$26+Inputs!$B$29,IF(Skills!C27=3,120+Inputs!$B$27+Inputs!$B$29,MAX(0,(Inputs!$B$3-100)*3)+Inputs!$B$28+Inputs!$B$29)))</f>
        <v/>
      </c>
      <c r="E2385">
        <f>INDEX(FactorTable!$B$2:$Y$301, MATCH(ROUND(MIN(300,MAX(1,D2385)),0), FactorTable!$A$2:$A$301,0), Skills!M27+1)</f>
        <v/>
      </c>
      <c r="F2385">
        <f>IF(Skills!N27=TRUE,(Skills!L27/10)*(E2385/1000),Skills!L27/10)+Skills!O27</f>
        <v/>
      </c>
      <c r="G2385">
        <f>Calc!G27</f>
        <v/>
      </c>
      <c r="H2385">
        <f>Calc!H27</f>
        <v/>
      </c>
      <c r="I2385">
        <f>IF(Skills!X27&lt;&gt;"",1+(Skills!X27/10)*(Z2361/1000)/100,1)</f>
        <v/>
      </c>
      <c r="J2385" t="inlineStr"/>
      <c r="K2385" t="inlineStr"/>
      <c r="L2385" t="inlineStr"/>
      <c r="M2385" t="inlineStr"/>
      <c r="N2385" t="inlineStr"/>
      <c r="O2385">
        <f>(1-Summary!$B$11)*S2385+Summary!$B$11*U2385</f>
        <v/>
      </c>
      <c r="P2385">
        <f>IF(B2399=0,0,O2385/B2399)</f>
        <v/>
      </c>
      <c r="Q2385">
        <f>IFERROR(1/(IF(Inputs!$B$38="pvp",15,MAX(0.1,Skills!E27-IF(Skills!F27=TRUE,Inputs!$B$32,0)))*(1-IF(AND(ArtifactsInput!$M$27,Inputs!$B$4="Chapter Hunt"),CHOOSE(ArtifactsInput!$N$27+1,20,24,28,32,36,40),0)/100)),0)</f>
        <v/>
      </c>
      <c r="R2385" t="n">
        <v>0</v>
      </c>
      <c r="S2385" t="n">
        <v>0</v>
      </c>
      <c r="U2385" t="n">
        <v>0</v>
      </c>
    </row>
    <row r="2386">
      <c r="A2386">
        <f>Skills!A28</f>
        <v/>
      </c>
      <c r="B2386">
        <f>Skills!B28</f>
        <v/>
      </c>
      <c r="C2386">
        <f>Inputs!$B$3&gt;=118</f>
        <v/>
      </c>
      <c r="D2386">
        <f>IF(Skills!C28=1,60+Inputs!$B$25+Inputs!$B$29,IF(Skills!C28=2,90+Inputs!$B$26+Inputs!$B$29,IF(Skills!C28=3,120+Inputs!$B$27+Inputs!$B$29,MAX(0,(Inputs!$B$3-100)*3)+Inputs!$B$28+Inputs!$B$29)))</f>
        <v/>
      </c>
      <c r="E2386">
        <f>INDEX(FactorTable!$B$2:$Y$301, MATCH(ROUND(MIN(300,MAX(1,D2386)),0), FactorTable!$A$2:$A$301,0), Skills!M28+1)</f>
        <v/>
      </c>
      <c r="F2386">
        <f>IF(Skills!N28=TRUE,(Skills!L28/10)*(E2386/1000),Skills!L28/10)+Skills!O28</f>
        <v/>
      </c>
      <c r="G2386">
        <f>Calc!G28</f>
        <v/>
      </c>
      <c r="H2386">
        <f>Calc!H28</f>
        <v/>
      </c>
      <c r="I2386">
        <f>IF(Skills!X28&lt;&gt;"",1+(Skills!X28/10)*(Z2361/1000)/100,1)</f>
        <v/>
      </c>
      <c r="J2386">
        <f>((Inputs!$B$6*(1+Inputs!$B$7/100))+(((Inputs!$B$12*(1+Inputs!$B$13/100))-(Inputs!$B$12*(1+Inputs!$B$13/100)))+0.25*(Inputs!$B$14-Inputs!$B$14))*(1+Inputs!$B$7/100))*(F2386/100)</f>
        <v/>
      </c>
      <c r="K2386">
        <f>J2386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F2381/100)*(1+IF(Inputs!$B$3&gt;=120,F2384,0)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2385*5,0)))/100)*(B2388*B2389*B2390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2386)</f>
        <v/>
      </c>
      <c r="L2386">
        <f>K2386*(MIN(Inputs!$B$22+(F2380-Calc!F22),(Inputs!$B$23+(IF(ArtifactsInput!$M$15,CHOOSE(ArtifactsInput!$N$15+1,25,30,35,40,45,50)/100*(Inputs!$B$11-Inputs!$B$11),0))))/100+(Inputs!$B$23+(IF(ArtifactsInput!$M$15,CHOOSE(ArtifactsInput!$N$15+1,25,30,35,40,45,50)/100*(Inputs!$B$11-Inputs!$B$11),0)))/100)/2</f>
        <v/>
      </c>
      <c r="M2386">
        <f>L2386*(1+(Inputs!$B$10+(F2379-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6">
        <f>L2386*(1-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2386*(MIN((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6">
        <f>(1-Summary!$B$11)*S2386+Summary!$B$11*U2386</f>
        <v/>
      </c>
      <c r="P2386">
        <f>IF(B2399=0,0,O2386/B2399)</f>
        <v/>
      </c>
      <c r="Q2386">
        <f>IFERROR(1/(IF(Inputs!$B$38="pvp",15,MAX(0.1,Skills!E28-IF(Skills!F28=TRUE,Inputs!$B$32,0)))*(1-IF(AND(ArtifactsInput!$M$27,Inputs!$B$4="Chapter Hunt"),CHOOSE(ArtifactsInput!$N$27+1,20,24,28,32,36,40),0)/100)),0)</f>
        <v/>
      </c>
      <c r="R2386">
        <f>IF(AND(Inputs!$B$38&lt;&gt;"pvp",Inputs!$B$43&gt;0),IF(MAX(0,Inputs!$B$43-B2396)&lt;=0,0,(INT(MAX(0,Inputs!$B$43-B2396)/(IF(Inputs!$B$38="pvp",15,MAX(0.1,Skills!E28-IF(Skills!F28=TRUE,Inputs!$B$32,0)))*(1-IF(AND(ArtifactsInput!$M$27,Inputs!$B$4="Chapter Hunt"),CHOOSE(ArtifactsInput!$N$27+1,20,24,28,32,36,40),0)/100)))+1)),0)</f>
        <v/>
      </c>
      <c r="S2386">
        <f>IF(C2386,(H2386*N2386*IF(AND(Inputs!$B$38&lt;&gt;"pvp",Inputs!$B$43&gt;0),((Skills!G28*((R2386-1)*IF(Skills!H28&gt;0,Skills!I28/Skills!H28,1)+IF(Skills!H28&gt;0,MIN(Skills!I28,MAX(0,MAX(0,Inputs!$B$43-B2396)-((R2386-1)*(IF(Inputs!$B$38="pvp",15,MAX(0.1,Skills!E28-IF(Skills!F28=TRUE,Inputs!$B$32,0)))*(1-IF(AND(ArtifactsInput!$M$27,Inputs!$B$4="Chapter Hunt"),CHOOSE(ArtifactsInput!$N$27+1,20,24,28,32,36,40),0)/100)))))/Skills!H28,1)))/Inputs!$B$43),G2386*Q2386)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2386*(1-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2386*(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2386*(1-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2386*(MIN(100,(Inputs!$B$9+(F2378-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86">
        <f>IF(C2386,(H2386*N2386*IF(AND(Inputs!$B$38&lt;&gt;"pvp",Inputs!$B$43&gt;0),((Skills!G28*((R2386-1)*IF(Skills!H28&gt;0,Skills!I28/Skills!H28,1)+IF(Skills!H28&gt;0,MIN(Skills!I28,MAX(0,MAX(0,Inputs!$B$43-B2396)-((R2386-1)*(IF(Inputs!$B$38="pvp",15,MAX(0.1,Skills!E28-IF(Skills!F28=TRUE,Inputs!$B$32,0)))*(1-IF(AND(ArtifactsInput!$M$27,Inputs!$B$4="Chapter Hunt"),CHOOSE(ArtifactsInput!$N$27+1,20,24,28,32,36,40),0)/100)))))/Skills!H28,1)))/Inputs!$B$43),G2386*Q2386)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8">
      <c r="A2388" t="inlineStr">
        <is>
          <t>Burning Magic Multiplier</t>
        </is>
      </c>
      <c r="B2388">
        <f>1+(F2369*Skills!Z11)/100</f>
        <v/>
      </c>
    </row>
    <row r="2389">
      <c r="A2389" t="inlineStr">
        <is>
          <t>Elemental Decrease Multiplier (always-on)</t>
        </is>
      </c>
      <c r="B2389">
        <f>1+(F2370+(IF(AND(ArtifactsInput!$M$35,Inputs!$B$4&lt;&gt;"Chapter Hunt"),CHOOSE(ArtifactsInput!$N$35+1,15,18,21,24,27,30)*(1-EXP(-(0.2*B2392)*5)),0)+IF(AND(ArtifactsInput!$M$22,Inputs!$B$4&lt;&gt;"Chapter Hunt"),CHOOSE(ArtifactsInput!$N$22+1,10,12,14,16,18,20)*((0*(((0.15*B2392*5))^0/1)+1*(((0.15*B2392*5))^1/1)+2*(((0.15*B2392*5))^2/2)+3*(((0.15*B2392*5))^3/6)+4*(((0.15*B2392*5))^4/24)+5*(((0.15*B2392*5))^5/120))/((((0.15*B2392*5))^0/1)+(((0.15*B2392*5))^1/1)+(((0.15*B2392*5))^2/2)+(((0.15*B2392*5))^3/6)+(((0.15*B2392*5))^4/24)+(((0.15*B2392*5))^5/120))),0)))/100</f>
        <v/>
      </c>
    </row>
    <row r="2390">
      <c r="A2390" t="inlineStr">
        <is>
          <t>Average Buff Multiplier (Magic Guard + Meditation + Artifact Attack%, summed; then Infinity)</t>
        </is>
      </c>
      <c r="B2390">
        <f>(1+(F2364*IF(AND(Inputs!$B$38&lt;&gt;"pvp",Inputs!$B$43&gt;0),(((R2364-1)*(Skills!T6*(1+((Inputs!$B$34+(ArtifactsInput!$M$7-ArtifactsInput!$M$7)*CHOOSE(ArtifactsInput!$N$7+1,6,7.2,8.4,9.6,10.8,12)))/100))+MIN((Skills!T6*(1+((Inputs!$B$34+(ArtifactsInput!$M$7-ArtifactsInput!$M$7)*CHOOSE(ArtifactsInput!$N$7+1,6,7.2,8.4,9.6,10.8,12)))/100)),MAX(0,Inputs!$B$43-((R2364-1)*Skills!E6))))/Inputs!$B$43),IF(Inputs!$B$38="pvp",MIN((Skills!T6*(1+((Inputs!$B$34+(ArtifactsInput!$M$7-ArtifactsInput!$M$7)*CHOOSE(ArtifactsInput!$N$7+1,6,7.2,8.4,9.6,10.8,12)))/100)),15)/15,(Skills!T6*(1+((Inputs!$B$34+(ArtifactsInput!$M$7-ArtifactsInput!$M$7)*CHOOSE(ArtifactsInput!$N$7+1,6,7.2,8.4,9.6,10.8,12)))/100))/Skills!E6))+F2375*IF(AND(Inputs!$B$38&lt;&gt;"pvp",Inputs!$B$43&gt;0),(((R2375-1)*(Skills!T17*(1+((Inputs!$B$34+(ArtifactsInput!$M$7-ArtifactsInput!$M$7)*CHOOSE(ArtifactsInput!$N$7+1,6,7.2,8.4,9.6,10.8,12)))/100))+MIN((Skills!T17*(1+((Inputs!$B$34+(ArtifactsInput!$M$7-ArtifactsInput!$M$7)*CHOOSE(ArtifactsInput!$N$7+1,6,7.2,8.4,9.6,10.8,12)))/100)),MAX(0,Inputs!$B$43-((R2375-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IF(C2377=TRUE,(1+F2377*IF(AND(Inputs!$B$38&lt;&gt;"pvp",Inputs!$B$43&gt;0),(((R2377-1)*(Skills!T19*(1+((Inputs!$B$34+(ArtifactsInput!$M$7-ArtifactsInput!$M$7)*CHOOSE(ArtifactsInput!$N$7+1,6,7.2,8.4,9.6,10.8,12)))/100))+MIN((Skills!T19*(1+((Inputs!$B$34+(ArtifactsInput!$M$7-ArtifactsInput!$M$7)*CHOOSE(ArtifactsInput!$N$7+1,6,7.2,8.4,9.6,10.8,12)))/100)),MAX(0,Inputs!$B$43-((R2377-1)*Skills!E19))))/Inputs!$B$43),IF(Inputs!$B$38="pvp",MIN((Skills!T19*(1+((Inputs!$B$34+(ArtifactsInput!$M$7-ArtifactsInput!$M$7)*CHOOSE(ArtifactsInput!$N$7+1,6,7.2,8.4,9.6,10.8,12)))/100)),15)/15,(Skills!T19*(1+((Inputs!$B$34+(ArtifactsInput!$M$7-ArtifactsInput!$M$7)*CHOOSE(ArtifactsInput!$N$7+1,6,7.2,8.4,9.6,10.8,12)))/100))/Skills!E19))/100),1)</f>
        <v/>
      </c>
    </row>
    <row r="2391">
      <c r="A2391" t="inlineStr">
        <is>
          <t>Attack Speed Buff Bonus % (Nimble Feet, averaged)</t>
        </is>
      </c>
      <c r="B2391">
        <f>F2376*IF(AND(Inputs!$B$38&lt;&gt;"pvp",Inputs!$B$43&gt;0),(((R2376-1)*(Skills!T18*(1+((Inputs!$B$34+(ArtifactsInput!$M$7-ArtifactsInput!$M$7)*CHOOSE(ArtifactsInput!$N$7+1,6,7.2,8.4,9.6,10.8,12)))/100))+MIN((Skills!T18*(1+((Inputs!$B$34+(ArtifactsInput!$M$7-ArtifactsInput!$M$7)*CHOOSE(ArtifactsInput!$N$7+1,6,7.2,8.4,9.6,10.8,12)))/100)),MAX(0,Inputs!$B$43-((R2376-1)*Skills!E18))))/Inputs!$B$43),IF(Inputs!$B$38="pvp",MIN((Skills!T18*(1+((Inputs!$B$34+(ArtifactsInput!$M$7-ArtifactsInput!$M$7)*CHOOSE(ArtifactsInput!$N$7+1,6,7.2,8.4,9.6,10.8,12)))/100)),15)/15,(Skills!T18*(1+((Inputs!$B$34+(ArtifactsInput!$M$7-ArtifactsInput!$M$7)*CHOOSE(ArtifactsInput!$N$7+1,6,7.2,8.4,9.6,10.8,12)))/100))/Skills!E18))</f>
        <v/>
      </c>
    </row>
    <row r="2392">
      <c r="A2392" t="inlineStr">
        <is>
          <t>Actions Per Second</t>
        </is>
      </c>
      <c r="B2392">
        <f>1+MIN(150,150*(1-(1-(Inputs!$B$11+(ArtifactsInput!$M$15-ArtifactsInput!$M$15)*CHOOSE(ArtifactsInput!$N$15+1,8,9.6,11.2,12.8,14.4,16))/150)*(1-B2391/150)))/100</f>
        <v/>
      </c>
    </row>
    <row r="2393">
      <c r="A2393" t="inlineStr">
        <is>
          <t>Skill + Buff Cast Rate</t>
        </is>
      </c>
      <c r="B2393">
        <f>IF(AND(Inputs!$B$38&lt;&gt;"pvp",Inputs!$B$43&gt;0),SUMPRODUCT((Skills!F2:F28=TRUE)*(C2360:C2386=TRUE)*R2360:R2386)/Inputs!$B$43,SUMPRODUCT((Skills!F2:F28=TRUE)*(C2360:C2386=TRUE)*Q2360:Q2386))</f>
        <v/>
      </c>
    </row>
    <row r="2394">
      <c r="A2394" t="inlineStr">
        <is>
          <t>Basic Attacks Per Second</t>
        </is>
      </c>
      <c r="B2394">
        <f>MAX(0,B2392-B2393)</f>
        <v/>
      </c>
    </row>
    <row r="2395">
      <c r="A2395" t="inlineStr">
        <is>
          <t>Meteor Proc — combined trigger cast rate</t>
        </is>
      </c>
      <c r="B2395">
        <f>IF(AND(Inputs!$B$38&lt;&gt;"pvp",Inputs!$B$43&gt;0),SUMPRODUCT((Skills!V2:V28=TRUE)*(C2360:C2386=TRUE)*R2360:R2386*Skills!W2:W28)/Inputs!$B$43,SUMPRODUCT((Skills!V2:V28=TRUE)*(C2360:C2386=TRUE)*Q2360:Q2386*Skills!W2:W28))+B2394</f>
        <v/>
      </c>
    </row>
    <row r="2396">
      <c r="A2396" t="inlineStr">
        <is>
          <t>Buff-Casting Startup Delay (s, fixed-duration only)</t>
        </is>
      </c>
      <c r="B2396">
        <f>IF(AND(Inputs!$B$38&lt;&gt;"pvp",Inputs!$B$43&gt;0),SUMPRODUCT((Skills!T2:T28&gt;0)*(Skills!F2:F28=TRUE)*(C2360:C2386=TRUE))/B2392,0)</f>
        <v/>
      </c>
    </row>
    <row r="2397">
      <c r="A2397" t="inlineStr">
        <is>
          <t>Boss-Only Total DPS (this block's swept value)</t>
        </is>
      </c>
      <c r="B2397">
        <f>SUM(S2360:S2386)</f>
        <v/>
      </c>
    </row>
    <row r="2398">
      <c r="A2398" t="inlineStr">
        <is>
          <t>Normal-Only Total DPS (this block's swept value)</t>
        </is>
      </c>
      <c r="B2398">
        <f>SUM(U2360:U2386)</f>
        <v/>
      </c>
    </row>
    <row r="2399">
      <c r="A2399" s="6" t="inlineStr">
        <is>
          <t>TOTAL DPS</t>
        </is>
      </c>
      <c r="B2399" s="6">
        <f>SUM(O2360:O2386)</f>
        <v/>
      </c>
    </row>
    <row r="2402">
      <c r="A2402" s="6" t="inlineStr">
        <is>
          <t>Stat: Peach Tree Herb Pouch (Equip)</t>
        </is>
      </c>
    </row>
    <row r="2403">
      <c r="A2403" s="5" t="inlineStr">
        <is>
          <t>Key</t>
        </is>
      </c>
      <c r="B2403" s="5" t="inlineStr">
        <is>
          <t>Name</t>
        </is>
      </c>
      <c r="C2403" s="5" t="inlineStr">
        <is>
          <t>Unlocked</t>
        </is>
      </c>
      <c r="D2403" s="5" t="inlineStr">
        <is>
          <t>InputLevel</t>
        </is>
      </c>
      <c r="E2403" s="5" t="inlineStr">
        <is>
          <t>Factor</t>
        </is>
      </c>
      <c r="F2403" s="5" t="inlineStr">
        <is>
          <t>CoefficientPercent</t>
        </is>
      </c>
      <c r="G2403" s="5" t="inlineStr">
        <is>
          <t>EffectiveHits</t>
        </is>
      </c>
      <c r="H2403" s="5" t="inlineStr">
        <is>
          <t>ProcProbability</t>
        </is>
      </c>
      <c r="I2403" s="5" t="inlineStr">
        <is>
          <t>MapleHeroMultiplier</t>
        </is>
      </c>
      <c r="J2403" s="5" t="inlineStr">
        <is>
          <t>BaseDamage</t>
        </is>
      </c>
      <c r="K2403" s="5" t="inlineStr">
        <is>
          <t>BaseHitDamage</t>
        </is>
      </c>
      <c r="L2403" s="5" t="inlineStr">
        <is>
          <t>NonCritAvg</t>
        </is>
      </c>
      <c r="M2403" s="5" t="inlineStr">
        <is>
          <t>CritAvg</t>
        </is>
      </c>
      <c r="N2403" s="5" t="inlineStr">
        <is>
          <t>ExpectedDamage(perHit)</t>
        </is>
      </c>
      <c r="O2403" s="5" t="inlineStr">
        <is>
          <t>DPS</t>
        </is>
      </c>
      <c r="P2403" s="5" t="inlineStr">
        <is>
          <t>% of Total</t>
        </is>
      </c>
      <c r="R2403" t="inlineStr">
        <is>
          <t>helpers</t>
        </is>
      </c>
    </row>
    <row r="2404">
      <c r="A2404">
        <f>Skills!A2</f>
        <v/>
      </c>
      <c r="B2404">
        <f>Skills!B2</f>
        <v/>
      </c>
      <c r="C2404">
        <f>TRUE</f>
        <v/>
      </c>
      <c r="D2404" t="inlineStr"/>
      <c r="E2404" t="inlineStr"/>
      <c r="F2404">
        <f>T2406+Skills!O2</f>
        <v/>
      </c>
      <c r="G2404">
        <f>Calc!G2</f>
        <v/>
      </c>
      <c r="H2404">
        <f>Calc!H2</f>
        <v/>
      </c>
      <c r="I2404">
        <f>IF(Skills!X2&lt;&gt;"",1+(Skills!X2/10)*(Z2405/1000)/100,1)</f>
        <v/>
      </c>
      <c r="J2404">
        <f>((Inputs!$B$6*(1+Inputs!$B$7/100))+(((Inputs!$B$12*(1+Inputs!$B$13/100))-(Inputs!$B$12*(1+Inputs!$B$13/100)))+0.25*(Inputs!$B$14-Inputs!$B$14))*(1+Inputs!$B$7/100))*(F2404/100)</f>
        <v/>
      </c>
      <c r="K2404">
        <f>J2404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2404)</f>
        <v/>
      </c>
      <c r="L2404">
        <f>K2404*(MIN(Inputs!$B$22+(F2424-Calc!F22),(Inputs!$B$23+(IF(ArtifactsInput!$M$15,CHOOSE(ArtifactsInput!$N$15+1,25,30,35,40,45,50)/100*(Inputs!$B$11-Inputs!$B$11),0))))/100+(Inputs!$B$23+(IF(ArtifactsInput!$M$15,CHOOSE(ArtifactsInput!$N$15+1,25,30,35,40,45,50)/100*(Inputs!$B$11-Inputs!$B$11),0)))/100)/2</f>
        <v/>
      </c>
      <c r="M2404">
        <f>L2404*(1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4">
        <f>L2404*(1-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2404*(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4">
        <f>(1-Summary!$B$11)*S2404+Summary!$B$11*U2404</f>
        <v/>
      </c>
      <c r="P2404">
        <f>IF(B2443=0,0,O2404/B2443)</f>
        <v/>
      </c>
      <c r="Q2404">
        <f>IFERROR(1/(IF(Inputs!$B$38="pvp",15,MAX(0.1,Skills!E2-IF(Skills!F2=TRUE,Inputs!$B$32,0)))*(1-IF(AND(ArtifactsInput!$M$27,Inputs!$B$4="Chapter Hunt"),CHOOSE(ArtifactsInput!$N$27+1,20,24,28,32,36,40),0)/100)),0)</f>
        <v/>
      </c>
      <c r="R2404" t="n">
        <v>0</v>
      </c>
      <c r="S2404">
        <f>(Skills!G2*N2404*B2438)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2404*(1-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2404*(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2404*(1-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2404*(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404">
        <f>MAX(0,(Inputs!$B$3-100)*3)+Inputs!$B$28+Inputs!$B$29</f>
        <v/>
      </c>
      <c r="U2404">
        <f>(Skills!G2*N2404*B2438)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404">
        <f>MAX(0,(Inputs!$B$3-100)*3)+Inputs!$B$28+Inputs!$B$29</f>
        <v/>
      </c>
    </row>
    <row r="2405">
      <c r="A2405">
        <f>Skills!A3</f>
        <v/>
      </c>
      <c r="B2405">
        <f>Skills!B3</f>
        <v/>
      </c>
      <c r="C2405">
        <f>TRUE</f>
        <v/>
      </c>
      <c r="D2405">
        <f>IF(Skills!C3=1,60+Inputs!$B$25+Inputs!$B$29,IF(Skills!C3=2,90+Inputs!$B$26+Inputs!$B$29,IF(Skills!C3=3,120+Inputs!$B$27+Inputs!$B$29,MAX(0,(Inputs!$B$3-100)*3)+Inputs!$B$28+Inputs!$B$29)))</f>
        <v/>
      </c>
      <c r="E2405">
        <f>INDEX(FactorTable!$B$2:$Y$301, MATCH(ROUND(MIN(300,MAX(1,D2405)),0), FactorTable!$A$2:$A$301,0), Skills!M3+1)</f>
        <v/>
      </c>
      <c r="F2405">
        <f>IF(Skills!N3=TRUE,(Skills!L3/10)*(E2405/1000),Skills!L3/10)+Skills!O3</f>
        <v/>
      </c>
      <c r="G2405">
        <f>Calc!G3</f>
        <v/>
      </c>
      <c r="H2405">
        <f>Calc!H3</f>
        <v/>
      </c>
      <c r="I2405">
        <f>IF(Skills!X3&lt;&gt;"",1+(Skills!X3/10)*(Z2405/1000)/100,1)</f>
        <v/>
      </c>
      <c r="J2405">
        <f>((Inputs!$B$6*(1+Inputs!$B$7/100))+(((Inputs!$B$12*(1+Inputs!$B$13/100))-(Inputs!$B$12*(1+Inputs!$B$13/100)))+0.25*(Inputs!$B$14-Inputs!$B$14))*(1+Inputs!$B$7/100))*(F2405/100)</f>
        <v/>
      </c>
      <c r="K2405">
        <f>J2405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2405)</f>
        <v/>
      </c>
      <c r="L2405">
        <f>K2405*(MIN(Inputs!$B$22+(F2424-Calc!F22),(Inputs!$B$23+(IF(ArtifactsInput!$M$15,CHOOSE(ArtifactsInput!$N$15+1,25,30,35,40,45,50)/100*(Inputs!$B$11-Inputs!$B$11),0))))/100+(Inputs!$B$23+(IF(ArtifactsInput!$M$15,CHOOSE(ArtifactsInput!$N$15+1,25,30,35,40,45,50)/100*(Inputs!$B$11-Inputs!$B$11),0)))/100)/2</f>
        <v/>
      </c>
      <c r="M2405">
        <f>L2405*(1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5">
        <f>L2405*(1-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2405*(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5">
        <f>(1-Summary!$B$11)*S2405+Summary!$B$11*U2405</f>
        <v/>
      </c>
      <c r="P2405">
        <f>IF(B2443=0,0,O2405/B2443)</f>
        <v/>
      </c>
      <c r="Q2405">
        <f>IFERROR(1/(IF(Inputs!$B$38="pvp",15,MAX(0.1,Skills!E3-IF(Skills!F3=TRUE,Inputs!$B$32,0)))*(1-IF(AND(ArtifactsInput!$M$27,Inputs!$B$4="Chapter Hunt"),CHOOSE(ArtifactsInput!$N$27+1,20,24,28,32,36,40),0)/100)),0)</f>
        <v/>
      </c>
      <c r="R2405">
        <f>IF(AND(Inputs!$B$38&lt;&gt;"pvp",Inputs!$B$43&gt;0),IF(MAX(0,Inputs!$B$43-B2440)&lt;=0,0,(INT(MAX(0,Inputs!$B$43-B2440)/(IF(Inputs!$B$38="pvp",15,MAX(0.1,Skills!E3-IF(Skills!F3=TRUE,Inputs!$B$32,0)))*(1-IF(AND(ArtifactsInput!$M$27,Inputs!$B$4="Chapter Hunt"),CHOOSE(ArtifactsInput!$N$27+1,20,24,28,32,36,40),0)/100)))+1)),0)</f>
        <v/>
      </c>
      <c r="S2405">
        <f>IF(C2405,(H2405*N2405*IF(AND(Inputs!$B$38&lt;&gt;"pvp",Inputs!$B$43&gt;0),((Skills!G3*((R2405-1)*IF(Skills!H3&gt;0,Skills!I3/Skills!H3,1)+IF(Skills!H3&gt;0,MIN(Skills!I3,MAX(0,MAX(0,Inputs!$B$43-B2440)-((R2405-1)*(IF(Inputs!$B$38="pvp",15,MAX(0.1,Skills!E3-IF(Skills!F3=TRUE,Inputs!$B$32,0)))*(1-IF(AND(ArtifactsInput!$M$27,Inputs!$B$4="Chapter Hunt"),CHOOSE(ArtifactsInput!$N$27+1,20,24,28,32,36,40),0)/100)))))/Skills!H3,1)))/Inputs!$B$43),G2405*Q2405)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2405*(1-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2405*(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2405*(1-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2405*(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05">
        <f>INDEX(FactorTable!$B$2:$Y$301, MATCH(ROUND(MIN(300,MAX(1,T2404)),0), FactorTable!$A$2:$A$301,0), 22)</f>
        <v/>
      </c>
      <c r="U2405">
        <f>IF(C2405,(H2405*N2405*IF(AND(Inputs!$B$38&lt;&gt;"pvp",Inputs!$B$43&gt;0),((Skills!G3*((R2405-1)*IF(Skills!H3&gt;0,Skills!I3/Skills!H3,1)+IF(Skills!H3&gt;0,MIN(Skills!I3,MAX(0,MAX(0,Inputs!$B$43-B2440)-((R2405-1)*(IF(Inputs!$B$38="pvp",15,MAX(0.1,Skills!E3-IF(Skills!F3=TRUE,Inputs!$B$32,0)))*(1-IF(AND(ArtifactsInput!$M$27,Inputs!$B$4="Chapter Hunt"),CHOOSE(ArtifactsInput!$N$27+1,20,24,28,32,36,40),0)/100)))))/Skills!H3,1)))/Inputs!$B$43),G2405*Q2405)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405">
        <f>INDEX(FactorTable!$B$2:$Y$301, MATCH(ROUND(MIN(300,MAX(1,Z2404)),0), FactorTable!$A$2:$A$301,0), 24)</f>
        <v/>
      </c>
    </row>
    <row r="2406">
      <c r="A2406">
        <f>Skills!A4</f>
        <v/>
      </c>
      <c r="B2406">
        <f>Skills!B4</f>
        <v/>
      </c>
      <c r="C2406">
        <f>TRUE</f>
        <v/>
      </c>
      <c r="D2406">
        <f>IF(Skills!C4=1,60+Inputs!$B$25+Inputs!$B$29,IF(Skills!C4=2,90+Inputs!$B$26+Inputs!$B$29,IF(Skills!C4=3,120+Inputs!$B$27+Inputs!$B$29,MAX(0,(Inputs!$B$3-100)*3)+Inputs!$B$28+Inputs!$B$29)))</f>
        <v/>
      </c>
      <c r="E2406">
        <f>INDEX(FactorTable!$B$2:$Y$301, MATCH(ROUND(MIN(300,MAX(1,D2406)),0), FactorTable!$A$2:$A$301,0), Skills!M4+1)</f>
        <v/>
      </c>
      <c r="F2406">
        <f>IF(Skills!N4=TRUE,(Skills!L4/10)*(E2406/1000),Skills!L4/10)+Skills!O4</f>
        <v/>
      </c>
      <c r="G2406">
        <f>Calc!G4</f>
        <v/>
      </c>
      <c r="H2406">
        <f>Calc!H4</f>
        <v/>
      </c>
      <c r="I2406">
        <f>IF(Skills!X4&lt;&gt;"",1+(Skills!X4/10)*(Z2405/1000)/100,1)</f>
        <v/>
      </c>
      <c r="J2406">
        <f>((Inputs!$B$6*(1+Inputs!$B$7/100))+(((Inputs!$B$12*(1+Inputs!$B$13/100))-(Inputs!$B$12*(1+Inputs!$B$13/100)))+0.25*(Inputs!$B$14-Inputs!$B$14))*(1+Inputs!$B$7/100))*(F2406/100)</f>
        <v/>
      </c>
      <c r="K2406">
        <f>J2406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2406)</f>
        <v/>
      </c>
      <c r="L2406">
        <f>K2406*(MIN(Inputs!$B$22+(F2424-Calc!F22),(Inputs!$B$23+(IF(ArtifactsInput!$M$15,CHOOSE(ArtifactsInput!$N$15+1,25,30,35,40,45,50)/100*(Inputs!$B$11-Inputs!$B$11),0))))/100+(Inputs!$B$23+(IF(ArtifactsInput!$M$15,CHOOSE(ArtifactsInput!$N$15+1,25,30,35,40,45,50)/100*(Inputs!$B$11-Inputs!$B$11),0)))/100)/2</f>
        <v/>
      </c>
      <c r="M2406">
        <f>L2406*(1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6">
        <f>L2406*(1-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2406*(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6">
        <f>(1-Summary!$B$11)*S2406+Summary!$B$11*U2406</f>
        <v/>
      </c>
      <c r="P2406">
        <f>IF(B2443=0,0,O2406/B2443)</f>
        <v/>
      </c>
      <c r="Q2406">
        <f>IFERROR(1/(IF(Inputs!$B$38="pvp",15,MAX(0.1,Skills!E4-IF(Skills!F4=TRUE,Inputs!$B$32,0)))*(1-IF(AND(ArtifactsInput!$M$27,Inputs!$B$4="Chapter Hunt"),CHOOSE(ArtifactsInput!$N$27+1,20,24,28,32,36,40),0)/100)),0)</f>
        <v/>
      </c>
      <c r="R2406">
        <f>IF(AND(Inputs!$B$38&lt;&gt;"pvp",Inputs!$B$43&gt;0),IF(MAX(0,Inputs!$B$43-B2440)&lt;=0,0,(INT(MAX(0,Inputs!$B$43-B2440)/(IF(Inputs!$B$38="pvp",15,MAX(0.1,Skills!E4-IF(Skills!F4=TRUE,Inputs!$B$32,0)))*(1-IF(AND(ArtifactsInput!$M$27,Inputs!$B$4="Chapter Hunt"),CHOOSE(ArtifactsInput!$N$27+1,20,24,28,32,36,40),0)/100)))+1)),0)</f>
        <v/>
      </c>
      <c r="S2406">
        <f>IF(C2406,(H2406*N2406*IF(AND(Inputs!$B$38&lt;&gt;"pvp",Inputs!$B$43&gt;0),((Skills!G4*((R2406-1)*IF(Skills!H4&gt;0,Skills!I4/Skills!H4,1)+IF(Skills!H4&gt;0,MIN(Skills!I4,MAX(0,MAX(0,Inputs!$B$43-B2440)-((R2406-1)*(IF(Inputs!$B$38="pvp",15,MAX(0.1,Skills!E4-IF(Skills!F4=TRUE,Inputs!$B$32,0)))*(1-IF(AND(ArtifactsInput!$M$27,Inputs!$B$4="Chapter Hunt"),CHOOSE(ArtifactsInput!$N$27+1,20,24,28,32,36,40),0)/100)))))/Skills!H4,1)))/Inputs!$B$43),G2406*Q2406)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2406*(1-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2406*(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2406*(1-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2406*(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06">
        <f>290*T2405/1000</f>
        <v/>
      </c>
      <c r="U2406">
        <f>IF(C2406,(H2406*N2406*IF(AND(Inputs!$B$38&lt;&gt;"pvp",Inputs!$B$43&gt;0),((Skills!G4*((R2406-1)*IF(Skills!H4&gt;0,Skills!I4/Skills!H4,1)+IF(Skills!H4&gt;0,MIN(Skills!I4,MAX(0,MAX(0,Inputs!$B$43-B2440)-((R2406-1)*(IF(Inputs!$B$38="pvp",15,MAX(0.1,Skills!E4-IF(Skills!F4=TRUE,Inputs!$B$32,0)))*(1-IF(AND(ArtifactsInput!$M$27,Inputs!$B$4="Chapter Hunt"),CHOOSE(ArtifactsInput!$N$27+1,20,24,28,32,36,40),0)/100)))))/Skills!H4,1)))/Inputs!$B$43),G2406*Q2406)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7">
      <c r="A2407">
        <f>Skills!A5</f>
        <v/>
      </c>
      <c r="B2407">
        <f>Skills!B5</f>
        <v/>
      </c>
      <c r="C2407">
        <f>TRUE</f>
        <v/>
      </c>
      <c r="D2407">
        <f>IF(Skills!C5=1,60+Inputs!$B$25+Inputs!$B$29,IF(Skills!C5=2,90+Inputs!$B$26+Inputs!$B$29,IF(Skills!C5=3,120+Inputs!$B$27+Inputs!$B$29,MAX(0,(Inputs!$B$3-100)*3)+Inputs!$B$28+Inputs!$B$29)))</f>
        <v/>
      </c>
      <c r="E2407">
        <f>INDEX(FactorTable!$B$2:$Y$301, MATCH(ROUND(MIN(300,MAX(1,D2407)),0), FactorTable!$A$2:$A$301,0), Skills!M5+1)</f>
        <v/>
      </c>
      <c r="F2407">
        <f>IF(Skills!N5=TRUE,(Skills!L5/10)*(E2407/1000),Skills!L5/10)+Skills!O5</f>
        <v/>
      </c>
      <c r="G2407">
        <f>Calc!G5</f>
        <v/>
      </c>
      <c r="H2407">
        <f>Calc!H5</f>
        <v/>
      </c>
      <c r="I2407">
        <f>IF(Skills!X5&lt;&gt;"",1+(Skills!X5/10)*(Z2405/1000)/100,1)</f>
        <v/>
      </c>
      <c r="J2407">
        <f>((Inputs!$B$6*(1+Inputs!$B$7/100))+(((Inputs!$B$12*(1+Inputs!$B$13/100))-(Inputs!$B$12*(1+Inputs!$B$13/100)))+0.25*(Inputs!$B$14-Inputs!$B$14))*(1+Inputs!$B$7/100))*(F2407/100)</f>
        <v/>
      </c>
      <c r="K2407">
        <f>J2407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2407)</f>
        <v/>
      </c>
      <c r="L2407">
        <f>K2407*(MIN(Inputs!$B$22+(F2424-Calc!F22),(Inputs!$B$23+(IF(ArtifactsInput!$M$15,CHOOSE(ArtifactsInput!$N$15+1,25,30,35,40,45,50)/100*(Inputs!$B$11-Inputs!$B$11),0))))/100+(Inputs!$B$23+(IF(ArtifactsInput!$M$15,CHOOSE(ArtifactsInput!$N$15+1,25,30,35,40,45,50)/100*(Inputs!$B$11-Inputs!$B$11),0)))/100)/2</f>
        <v/>
      </c>
      <c r="M2407">
        <f>L2407*(1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7">
        <f>L2407*(1-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2407*(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7">
        <f>(1-Summary!$B$11)*S2407+Summary!$B$11*U2407</f>
        <v/>
      </c>
      <c r="P2407">
        <f>IF(B2443=0,0,O2407/B2443)</f>
        <v/>
      </c>
      <c r="Q2407">
        <f>IFERROR(1/(IF(Inputs!$B$38="pvp",15,MAX(0.1,Skills!E5-IF(Skills!F5=TRUE,Inputs!$B$32,0)))*(1-IF(AND(ArtifactsInput!$M$27,Inputs!$B$4="Chapter Hunt"),CHOOSE(ArtifactsInput!$N$27+1,20,24,28,32,36,40),0)/100)),0)</f>
        <v/>
      </c>
      <c r="R2407">
        <f>IF(AND(Inputs!$B$38&lt;&gt;"pvp",Inputs!$B$43&gt;0),IF(MAX(0,Inputs!$B$43-B2440)&lt;=0,0,(INT(MAX(0,Inputs!$B$43-B2440)/(IF(Inputs!$B$38="pvp",15,MAX(0.1,Skills!E5-IF(Skills!F5=TRUE,Inputs!$B$32,0)))*(1-IF(AND(ArtifactsInput!$M$27,Inputs!$B$4="Chapter Hunt"),CHOOSE(ArtifactsInput!$N$27+1,20,24,28,32,36,40),0)/100)))+1)),0)</f>
        <v/>
      </c>
      <c r="S2407">
        <f>IF(C2407,(H2407*N2407*IF(AND(Inputs!$B$38&lt;&gt;"pvp",Inputs!$B$43&gt;0),((Skills!G5*((R2407-1)*IF(Skills!H5&gt;0,Skills!I5/Skills!H5,1)+IF(Skills!H5&gt;0,MIN(Skills!I5,MAX(0,MAX(0,Inputs!$B$43-B2440)-((R2407-1)*(IF(Inputs!$B$38="pvp",15,MAX(0.1,Skills!E5-IF(Skills!F5=TRUE,Inputs!$B$32,0)))*(1-IF(AND(ArtifactsInput!$M$27,Inputs!$B$4="Chapter Hunt"),CHOOSE(ArtifactsInput!$N$27+1,20,24,28,32,36,40),0)/100)))))/Skills!H5,1)))/Inputs!$B$43),G2407*Q2407)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2407*(1-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2407*(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2407*(1-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2407*(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07">
        <f>IF(C2407,(H2407*N2407*IF(AND(Inputs!$B$38&lt;&gt;"pvp",Inputs!$B$43&gt;0),((Skills!G5*((R2407-1)*IF(Skills!H5&gt;0,Skills!I5/Skills!H5,1)+IF(Skills!H5&gt;0,MIN(Skills!I5,MAX(0,MAX(0,Inputs!$B$43-B2440)-((R2407-1)*(IF(Inputs!$B$38="pvp",15,MAX(0.1,Skills!E5-IF(Skills!F5=TRUE,Inputs!$B$32,0)))*(1-IF(AND(ArtifactsInput!$M$27,Inputs!$B$4="Chapter Hunt"),CHOOSE(ArtifactsInput!$N$27+1,20,24,28,32,36,40),0)/100)))))/Skills!H5,1)))/Inputs!$B$43),G2407*Q2407)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8">
      <c r="A2408">
        <f>Skills!A6</f>
        <v/>
      </c>
      <c r="B2408">
        <f>Skills!B6</f>
        <v/>
      </c>
      <c r="C2408">
        <f>TRUE</f>
        <v/>
      </c>
      <c r="D2408">
        <f>IF(Skills!C6=1,60+Inputs!$B$25+Inputs!$B$29,IF(Skills!C6=2,90+Inputs!$B$26+Inputs!$B$29,IF(Skills!C6=3,120+Inputs!$B$27+Inputs!$B$29,MAX(0,(Inputs!$B$3-100)*3)+Inputs!$B$28+Inputs!$B$29)))</f>
        <v/>
      </c>
      <c r="E2408">
        <f>INDEX(FactorTable!$B$2:$Y$301, MATCH(ROUND(MIN(300,MAX(1,D2408)),0), FactorTable!$A$2:$A$301,0), Skills!M6+1)</f>
        <v/>
      </c>
      <c r="F2408">
        <f>IF(Skills!N6=TRUE,(Skills!L6/10)*(E2408/1000),Skills!L6/10)+Skills!O6</f>
        <v/>
      </c>
      <c r="G2408">
        <f>Calc!G6</f>
        <v/>
      </c>
      <c r="H2408">
        <f>Calc!H6</f>
        <v/>
      </c>
      <c r="I2408">
        <f>IF(Skills!X6&lt;&gt;"",1+(Skills!X6/10)*(Z2405/1000)/100,1)</f>
        <v/>
      </c>
      <c r="J2408" t="inlineStr"/>
      <c r="K2408" t="inlineStr"/>
      <c r="L2408" t="inlineStr"/>
      <c r="M2408" t="inlineStr"/>
      <c r="N2408" t="inlineStr"/>
      <c r="O2408">
        <f>(1-Summary!$B$11)*S2408+Summary!$B$11*U2408</f>
        <v/>
      </c>
      <c r="P2408">
        <f>IF(B2443=0,0,O2408/B2443)</f>
        <v/>
      </c>
      <c r="Q2408">
        <f>IFERROR(1/(IF(Inputs!$B$38="pvp",15,MAX(0.1,Skills!E6-IF(Skills!F6=TRUE,Inputs!$B$32,0)))*(1-IF(AND(ArtifactsInput!$M$27,Inputs!$B$4="Chapter Hunt"),CHOOSE(ArtifactsInput!$N$27+1,20,24,28,32,36,40),0)/100)),0)</f>
        <v/>
      </c>
      <c r="R2408">
        <f>IF(AND(Inputs!$B$38&lt;&gt;"pvp",Inputs!$B$43&gt;0),IF(Inputs!$B$43&lt;=0,0,(INT(Inputs!$B$43/(IF(Inputs!$B$38="pvp",15,MAX(0.1,Skills!E6-IF(Skills!F6=TRUE,Inputs!$B$32,0)))*(1-IF(AND(ArtifactsInput!$M$27,Inputs!$B$4="Chapter Hunt"),CHOOSE(ArtifactsInput!$N$27+1,20,24,28,32,36,40),0)/100)))+1)),0)</f>
        <v/>
      </c>
      <c r="S2408" t="n">
        <v>0</v>
      </c>
      <c r="U2408" t="n">
        <v>0</v>
      </c>
    </row>
    <row r="2409">
      <c r="A2409">
        <f>Skills!A7</f>
        <v/>
      </c>
      <c r="B2409">
        <f>Skills!B7</f>
        <v/>
      </c>
      <c r="C2409">
        <f>TRUE</f>
        <v/>
      </c>
      <c r="D2409">
        <f>IF(Skills!C7=1,60+Inputs!$B$25+Inputs!$B$29,IF(Skills!C7=2,90+Inputs!$B$26+Inputs!$B$29,IF(Skills!C7=3,120+Inputs!$B$27+Inputs!$B$29,MAX(0,(Inputs!$B$3-100)*3)+Inputs!$B$28+Inputs!$B$29)))</f>
        <v/>
      </c>
      <c r="E2409">
        <f>INDEX(FactorTable!$B$2:$Y$301, MATCH(ROUND(MIN(300,MAX(1,D2409)),0), FactorTable!$A$2:$A$301,0), Skills!M7+1)</f>
        <v/>
      </c>
      <c r="F2409">
        <f>IF(Skills!N7=TRUE,(Skills!L7/10)*(E2409/1000),Skills!L7/10)+Skills!O7</f>
        <v/>
      </c>
      <c r="G2409">
        <f>Calc!G7</f>
        <v/>
      </c>
      <c r="H2409">
        <f>Calc!H7</f>
        <v/>
      </c>
      <c r="I2409">
        <f>IF(Skills!X7&lt;&gt;"",1+(Skills!X7/10)*(Z2405/1000)/100,1)</f>
        <v/>
      </c>
      <c r="J2409">
        <f>((Inputs!$B$6*(1+Inputs!$B$7/100))+(((Inputs!$B$12*(1+Inputs!$B$13/100))-(Inputs!$B$12*(1+Inputs!$B$13/100)))+0.25*(Inputs!$B$14-Inputs!$B$14))*(1+Inputs!$B$7/100))*(F2409/100)</f>
        <v/>
      </c>
      <c r="K2409">
        <f>J2409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2409)</f>
        <v/>
      </c>
      <c r="L2409">
        <f>K2409*(MIN(Inputs!$B$22+(F2424-Calc!F22),(Inputs!$B$23+(IF(ArtifactsInput!$M$15,CHOOSE(ArtifactsInput!$N$15+1,25,30,35,40,45,50)/100*(Inputs!$B$11-Inputs!$B$11),0))))/100+(Inputs!$B$23+(IF(ArtifactsInput!$M$15,CHOOSE(ArtifactsInput!$N$15+1,25,30,35,40,45,50)/100*(Inputs!$B$11-Inputs!$B$11),0)))/100)/2</f>
        <v/>
      </c>
      <c r="M2409">
        <f>L2409*(1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9">
        <f>L2409*(1-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2409*(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9">
        <f>(1-Summary!$B$11)*S2409+Summary!$B$11*U2409</f>
        <v/>
      </c>
      <c r="P2409">
        <f>IF(B2443=0,0,O2409/B2443)</f>
        <v/>
      </c>
      <c r="Q2409">
        <f>IFERROR(1/(IF(Inputs!$B$38="pvp",15,MAX(0.1,Skills!E7-IF(Skills!F7=TRUE,Inputs!$B$32,0)))*(1-IF(AND(ArtifactsInput!$M$27,Inputs!$B$4="Chapter Hunt"),CHOOSE(ArtifactsInput!$N$27+1,20,24,28,32,36,40),0)/100)),0)</f>
        <v/>
      </c>
      <c r="R2409">
        <f>IF(AND(Inputs!$B$38&lt;&gt;"pvp",Inputs!$B$43&gt;0),IF(MAX(0,Inputs!$B$43-B2440)&lt;=0,0,(INT(MAX(0,Inputs!$B$43-B2440)/(IF(Inputs!$B$38="pvp",15,MAX(0.1,Skills!E7-IF(Skills!F7=TRUE,Inputs!$B$32,0)))*(1-IF(AND(ArtifactsInput!$M$27,Inputs!$B$4="Chapter Hunt"),CHOOSE(ArtifactsInput!$N$27+1,20,24,28,32,36,40),0)/100)))+1)),0)</f>
        <v/>
      </c>
      <c r="S2409">
        <f>IF(C2409,(H2409*N2409*IF(AND(Inputs!$B$38&lt;&gt;"pvp",Inputs!$B$43&gt;0),((Skills!G7*((R2409-1)*IF(Skills!H7&gt;0,Skills!I7/Skills!H7,1)+IF(Skills!H7&gt;0,MIN(Skills!I7,MAX(0,MAX(0,Inputs!$B$43-B2440)-((R2409-1)*(IF(Inputs!$B$38="pvp",15,MAX(0.1,Skills!E7-IF(Skills!F7=TRUE,Inputs!$B$32,0)))*(1-IF(AND(ArtifactsInput!$M$27,Inputs!$B$4="Chapter Hunt"),CHOOSE(ArtifactsInput!$N$27+1,20,24,28,32,36,40),0)/100)))))/Skills!H7,1)))/Inputs!$B$43),G2409*Q2409)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2409*(1-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2409*(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2409*(1-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2409*(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09">
        <f>IF(C2409,(H2409*N2409*IF(AND(Inputs!$B$38&lt;&gt;"pvp",Inputs!$B$43&gt;0),((Skills!G7*((R2409-1)*IF(Skills!H7&gt;0,Skills!I7/Skills!H7,1)+IF(Skills!H7&gt;0,MIN(Skills!I7,MAX(0,MAX(0,Inputs!$B$43-B2440)-((R2409-1)*(IF(Inputs!$B$38="pvp",15,MAX(0.1,Skills!E7-IF(Skills!F7=TRUE,Inputs!$B$32,0)))*(1-IF(AND(ArtifactsInput!$M$27,Inputs!$B$4="Chapter Hunt"),CHOOSE(ArtifactsInput!$N$27+1,20,24,28,32,36,40),0)/100)))))/Skills!H7,1)))/Inputs!$B$43),G2409*Q2409)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0">
      <c r="A2410">
        <f>Skills!A8</f>
        <v/>
      </c>
      <c r="B2410">
        <f>Skills!B8</f>
        <v/>
      </c>
      <c r="C2410">
        <f>TRUE</f>
        <v/>
      </c>
      <c r="D2410">
        <f>IF(Skills!C8=1,60+Inputs!$B$25+Inputs!$B$29,IF(Skills!C8=2,90+Inputs!$B$26+Inputs!$B$29,IF(Skills!C8=3,120+Inputs!$B$27+Inputs!$B$29,MAX(0,(Inputs!$B$3-100)*3)+Inputs!$B$28+Inputs!$B$29)))</f>
        <v/>
      </c>
      <c r="E2410">
        <f>INDEX(FactorTable!$B$2:$Y$301, MATCH(ROUND(MIN(300,MAX(1,D2410)),0), FactorTable!$A$2:$A$301,0), Skills!M8+1)</f>
        <v/>
      </c>
      <c r="F2410">
        <f>IF(Skills!N8=TRUE,(Skills!L8/10)*(E2410/1000),Skills!L8/10)+Skills!O8</f>
        <v/>
      </c>
      <c r="G2410">
        <f>Calc!G8</f>
        <v/>
      </c>
      <c r="H2410">
        <f>Calc!H8</f>
        <v/>
      </c>
      <c r="I2410">
        <f>IF(Skills!X8&lt;&gt;"",1+(Skills!X8/10)*(Z2405/1000)/100,1)</f>
        <v/>
      </c>
      <c r="J2410">
        <f>((Inputs!$B$6*(1+Inputs!$B$7/100))+(((Inputs!$B$12*(1+Inputs!$B$13/100))-(Inputs!$B$12*(1+Inputs!$B$13/100)))+0.25*(Inputs!$B$14-Inputs!$B$14))*(1+Inputs!$B$7/100))*(F2410/100)</f>
        <v/>
      </c>
      <c r="K2410">
        <f>J2410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2410)</f>
        <v/>
      </c>
      <c r="L2410">
        <f>K2410*(MIN(Inputs!$B$22+(F2424-Calc!F22),(Inputs!$B$23+(IF(ArtifactsInput!$M$15,CHOOSE(ArtifactsInput!$N$15+1,25,30,35,40,45,50)/100*(Inputs!$B$11-Inputs!$B$11),0))))/100+(Inputs!$B$23+(IF(ArtifactsInput!$M$15,CHOOSE(ArtifactsInput!$N$15+1,25,30,35,40,45,50)/100*(Inputs!$B$11-Inputs!$B$11),0)))/100)/2</f>
        <v/>
      </c>
      <c r="M2410">
        <f>L2410*(1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0">
        <f>L2410*(1-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2410*(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0">
        <f>(1-Summary!$B$11)*S2410+Summary!$B$11*U2410</f>
        <v/>
      </c>
      <c r="P2410">
        <f>IF(B2443=0,0,O2410/B2443)</f>
        <v/>
      </c>
      <c r="Q2410">
        <f>IFERROR(1/(IF(Inputs!$B$38="pvp",15,MAX(0.1,Skills!E8-IF(Skills!F8=TRUE,Inputs!$B$32,0)))*(1-IF(AND(ArtifactsInput!$M$27,Inputs!$B$4="Chapter Hunt"),CHOOSE(ArtifactsInput!$N$27+1,20,24,28,32,36,40),0)/100)),0)</f>
        <v/>
      </c>
      <c r="R2410">
        <f>IF(AND(Inputs!$B$38&lt;&gt;"pvp",Inputs!$B$43&gt;0),IF(MAX(0,Inputs!$B$43-B2440)&lt;=0,0,(INT(MAX(0,Inputs!$B$43-B2440)/(IF(Inputs!$B$38="pvp",15,MAX(0.1,Skills!E8-IF(Skills!F8=TRUE,Inputs!$B$32,0)))*(1-IF(AND(ArtifactsInput!$M$27,Inputs!$B$4="Chapter Hunt"),CHOOSE(ArtifactsInput!$N$27+1,20,24,28,32,36,40),0)/100)))+1)),0)</f>
        <v/>
      </c>
      <c r="S2410">
        <f>IF(C2410,(H2410*N2410*IF(AND(Inputs!$B$38&lt;&gt;"pvp",Inputs!$B$43&gt;0),((Skills!G8*((R2410-1)*IF(Skills!H8&gt;0,Skills!I8/Skills!H8,1)+IF(Skills!H8&gt;0,MIN(Skills!I8,MAX(0,MAX(0,Inputs!$B$43-B2440)-((R2410-1)*(IF(Inputs!$B$38="pvp",15,MAX(0.1,Skills!E8-IF(Skills!F8=TRUE,Inputs!$B$32,0)))*(1-IF(AND(ArtifactsInput!$M$27,Inputs!$B$4="Chapter Hunt"),CHOOSE(ArtifactsInput!$N$27+1,20,24,28,32,36,40),0)/100)))))/Skills!H8,1)))/Inputs!$B$43),G2410*Q2410)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2410*(1-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2410*(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2410*(1-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2410*(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0">
        <f>IF(C2410,(H2410*N2410*IF(AND(Inputs!$B$38&lt;&gt;"pvp",Inputs!$B$43&gt;0),((Skills!G8*((R2410-1)*IF(Skills!H8&gt;0,Skills!I8/Skills!H8,1)+IF(Skills!H8&gt;0,MIN(Skills!I8,MAX(0,MAX(0,Inputs!$B$43-B2440)-((R2410-1)*(IF(Inputs!$B$38="pvp",15,MAX(0.1,Skills!E8-IF(Skills!F8=TRUE,Inputs!$B$32,0)))*(1-IF(AND(ArtifactsInput!$M$27,Inputs!$B$4="Chapter Hunt"),CHOOSE(ArtifactsInput!$N$27+1,20,24,28,32,36,40),0)/100)))))/Skills!H8,1)))/Inputs!$B$43),G2410*Q2410)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1">
      <c r="A2411">
        <f>Skills!A9</f>
        <v/>
      </c>
      <c r="B2411">
        <f>Skills!B9</f>
        <v/>
      </c>
      <c r="C2411">
        <f>Inputs!$B$3&gt;=103</f>
        <v/>
      </c>
      <c r="D2411">
        <f>IF(Skills!C9=1,60+Inputs!$B$25+Inputs!$B$29,IF(Skills!C9=2,90+Inputs!$B$26+Inputs!$B$29,IF(Skills!C9=3,120+Inputs!$B$27+Inputs!$B$29,MAX(0,(Inputs!$B$3-100)*3)+Inputs!$B$28+Inputs!$B$29)))</f>
        <v/>
      </c>
      <c r="E2411">
        <f>INDEX(FactorTable!$B$2:$Y$301, MATCH(ROUND(MIN(300,MAX(1,D2411)),0), FactorTable!$A$2:$A$301,0), Skills!M9+1)</f>
        <v/>
      </c>
      <c r="F2411">
        <f>IF(Skills!N9=TRUE,(Skills!L9/10)*(E2411/1000),Skills!L9/10)+Skills!O9</f>
        <v/>
      </c>
      <c r="G2411">
        <f>Calc!G9</f>
        <v/>
      </c>
      <c r="H2411">
        <f>Calc!H9</f>
        <v/>
      </c>
      <c r="I2411">
        <f>IF(Skills!X9&lt;&gt;"",1+(Skills!X9/10)*(Z2405/1000)/100,1)</f>
        <v/>
      </c>
      <c r="J2411">
        <f>((Inputs!$B$6*(1+Inputs!$B$7/100))+(((Inputs!$B$12*(1+Inputs!$B$13/100))-(Inputs!$B$12*(1+Inputs!$B$13/100)))+0.25*(Inputs!$B$14-Inputs!$B$14))*(1+Inputs!$B$7/100))*(F2411/100)</f>
        <v/>
      </c>
      <c r="K2411">
        <f>J2411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2411)</f>
        <v/>
      </c>
      <c r="L2411">
        <f>K2411*(MIN(Inputs!$B$22+(F2424-Calc!F22),(Inputs!$B$23+(IF(ArtifactsInput!$M$15,CHOOSE(ArtifactsInput!$N$15+1,25,30,35,40,45,50)/100*(Inputs!$B$11-Inputs!$B$11),0))))/100+(Inputs!$B$23+(IF(ArtifactsInput!$M$15,CHOOSE(ArtifactsInput!$N$15+1,25,30,35,40,45,50)/100*(Inputs!$B$11-Inputs!$B$11),0)))/100)/2</f>
        <v/>
      </c>
      <c r="M2411">
        <f>L2411*(1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1">
        <f>L2411*(1-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1">
        <f>(1-Summary!$B$11)*S2411+Summary!$B$11*U2411</f>
        <v/>
      </c>
      <c r="P2411">
        <f>IF(B2443=0,0,O2411/B2443)</f>
        <v/>
      </c>
      <c r="Q2411">
        <f>IFERROR(1/(IF(Inputs!$B$38="pvp",15,MAX(0.1,Skills!E9-IF(Skills!F7=TRUE,Inputs!$B$32,0)))*(1-IF(AND(ArtifactsInput!$M$27,Inputs!$B$4="Chapter Hunt"),CHOOSE(ArtifactsInput!$N$27+1,20,24,28,32,36,40),0)/100)),0)</f>
        <v/>
      </c>
      <c r="R2411">
        <f>IF(AND(Inputs!$B$38&lt;&gt;"pvp",Inputs!$B$43&gt;0),IF(MAX(0,Inputs!$B$43-B2440)&lt;=0,0,(INT(MAX(0,Inputs!$B$43-B2440)/(IF(Inputs!$B$38="pvp",15,MAX(0.1,Skills!E9-IF(Skills!F7=TRUE,Inputs!$B$32,0)))*(1-IF(AND(ArtifactsInput!$M$27,Inputs!$B$4="Chapter Hunt"),CHOOSE(ArtifactsInput!$N$27+1,20,24,28,32,36,40),0)/100)))+1)),0)</f>
        <v/>
      </c>
      <c r="S2411">
        <f>IF(C2411,(H2411*N2411*IF(AND(Inputs!$B$38&lt;&gt;"pvp",Inputs!$B$43&gt;0),((Skills!G9*((R2411-1)*IF(Skills!H9&gt;0,Skills!I9/Skills!H9,1)+IF(Skills!H9&gt;0,MIN(Skills!I9,MAX(0,MAX(0,Inputs!$B$43-B2440)-((R2411-1)*(IF(Inputs!$B$38="pvp",15,MAX(0.1,Skills!E9-IF(Skills!F7=TRUE,Inputs!$B$32,0)))*(1-IF(AND(ArtifactsInput!$M$27,Inputs!$B$4="Chapter Hunt"),CHOOSE(ArtifactsInput!$N$27+1,20,24,28,32,36,40),0)/100)))))/Skills!H9,1)))/Inputs!$B$43),G2411*Q2411)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2411*(1-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2411*(1-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1">
        <f>IF(C2411,(H2411*N2411*IF(AND(Inputs!$B$38&lt;&gt;"pvp",Inputs!$B$43&gt;0),((Skills!G9*((R2411-1)*IF(Skills!H9&gt;0,Skills!I9/Skills!H9,1)+IF(Skills!H9&gt;0,MIN(Skills!I9,MAX(0,MAX(0,Inputs!$B$43-B2440)-((R2411-1)*(IF(Inputs!$B$38="pvp",15,MAX(0.1,Skills!E9-IF(Skills!F7=TRUE,Inputs!$B$32,0)))*(1-IF(AND(ArtifactsInput!$M$27,Inputs!$B$4="Chapter Hunt"),CHOOSE(ArtifactsInput!$N$27+1,20,24,28,32,36,40),0)/100)))))/Skills!H9,1)))/Inputs!$B$43),G2411*Q2411)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2">
      <c r="A2412">
        <f>Skills!A10</f>
        <v/>
      </c>
      <c r="B2412">
        <f>Skills!B10</f>
        <v/>
      </c>
      <c r="C2412">
        <f>TRUE</f>
        <v/>
      </c>
      <c r="D2412">
        <f>IF(Skills!C10=1,60+Inputs!$B$25+Inputs!$B$29,IF(Skills!C10=2,90+Inputs!$B$26+Inputs!$B$29,IF(Skills!C10=3,120+Inputs!$B$27+Inputs!$B$29,MAX(0,(Inputs!$B$3-100)*3)+Inputs!$B$28+Inputs!$B$29)))</f>
        <v/>
      </c>
      <c r="E2412">
        <f>INDEX(FactorTable!$B$2:$Y$301, MATCH(ROUND(MIN(300,MAX(1,D2412)),0), FactorTable!$A$2:$A$301,0), Skills!M10+1)</f>
        <v/>
      </c>
      <c r="F2412">
        <f>IF(Skills!N10=TRUE,(Skills!L10/10)*(E2412/1000),Skills!L10/10)+Skills!O10</f>
        <v/>
      </c>
      <c r="G2412">
        <f>Calc!G10</f>
        <v/>
      </c>
      <c r="H2412">
        <f>Calc!H10</f>
        <v/>
      </c>
      <c r="I2412">
        <f>IF(Skills!X10&lt;&gt;"",1+(Skills!X10/10)*(Z2405/1000)/100,1)</f>
        <v/>
      </c>
      <c r="J2412">
        <f>((Inputs!$B$6*(1+Inputs!$B$7/100))+(((Inputs!$B$12*(1+Inputs!$B$13/100))-(Inputs!$B$12*(1+Inputs!$B$13/100)))+0.25*(Inputs!$B$14-Inputs!$B$14))*(1+Inputs!$B$7/100))*(F2412/100)</f>
        <v/>
      </c>
      <c r="K2412">
        <f>J2412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2412)</f>
        <v/>
      </c>
      <c r="L2412">
        <f>K2412*(MIN(Inputs!$B$22+(F2424-Calc!F22),(Inputs!$B$23+(IF(ArtifactsInput!$M$15,CHOOSE(ArtifactsInput!$N$15+1,25,30,35,40,45,50)/100*(Inputs!$B$11-Inputs!$B$11),0))))/100+(Inputs!$B$23+(IF(ArtifactsInput!$M$15,CHOOSE(ArtifactsInput!$N$15+1,25,30,35,40,45,50)/100*(Inputs!$B$11-Inputs!$B$11),0)))/100)/2</f>
        <v/>
      </c>
      <c r="M2412">
        <f>L2412*(1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2">
        <f>L2412*(1-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2412*(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2">
        <f>(1-Summary!$B$11)*S2412+Summary!$B$11*U2412</f>
        <v/>
      </c>
      <c r="P2412">
        <f>IF(B2443=0,0,O2412/B2443)</f>
        <v/>
      </c>
      <c r="Q2412">
        <f>IFERROR(1/(IF(Inputs!$B$38="pvp",15,MAX(0.1,Skills!E10-IF(Skills!F10=TRUE,Inputs!$B$32,0)))*(1-IF(AND(ArtifactsInput!$M$27,Inputs!$B$4="Chapter Hunt"),CHOOSE(ArtifactsInput!$N$27+1,20,24,28,32,36,40),0)/100)),0)</f>
        <v/>
      </c>
      <c r="R2412">
        <f>IF(AND(Inputs!$B$38&lt;&gt;"pvp",Inputs!$B$43&gt;0),IF(MAX(0,Inputs!$B$43-B2440)&lt;=0,0,(INT(MAX(0,Inputs!$B$43-B2440)/(IF(Inputs!$B$38="pvp",15,MAX(0.1,Skills!E10-IF(Skills!F10=TRUE,Inputs!$B$32,0)))*(1-IF(AND(ArtifactsInput!$M$27,Inputs!$B$4="Chapter Hunt"),CHOOSE(ArtifactsInput!$N$27+1,20,24,28,32,36,40),0)/100)))+1)),0)</f>
        <v/>
      </c>
      <c r="S2412">
        <f>IF(C2412,(H2412*N2412*IF(AND(Inputs!$B$38&lt;&gt;"pvp",Inputs!$B$43&gt;0),((Skills!G10*((R2412-1)*IF(Skills!H10&gt;0,Skills!I10/Skills!H10,1)+IF(Skills!H10&gt;0,MIN(Skills!I10,MAX(0,MAX(0,Inputs!$B$43-B2440)-((R2412-1)*(IF(Inputs!$B$38="pvp",15,MAX(0.1,Skills!E10-IF(Skills!F10=TRUE,Inputs!$B$32,0)))*(1-IF(AND(ArtifactsInput!$M$27,Inputs!$B$4="Chapter Hunt"),CHOOSE(ArtifactsInput!$N$27+1,20,24,28,32,36,40),0)/100)))))/Skills!H10,1)))/Inputs!$B$43),G2412*Q2412)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2412*(1-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2412*(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2412*(1-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2412*(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2">
        <f>IF(C2412,(H2412*N2412*IF(AND(Inputs!$B$38&lt;&gt;"pvp",Inputs!$B$43&gt;0),((Skills!G10*((R2412-1)*IF(Skills!H10&gt;0,Skills!I10/Skills!H10,1)+IF(Skills!H10&gt;0,MIN(Skills!I10,MAX(0,MAX(0,Inputs!$B$43-B2440)-((R2412-1)*(IF(Inputs!$B$38="pvp",15,MAX(0.1,Skills!E10-IF(Skills!F10=TRUE,Inputs!$B$32,0)))*(1-IF(AND(ArtifactsInput!$M$27,Inputs!$B$4="Chapter Hunt"),CHOOSE(ArtifactsInput!$N$27+1,20,24,28,32,36,40),0)/100)))))/Skills!H10,1)))/Inputs!$B$43),G2412*Q2412)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3">
      <c r="A2413">
        <f>Skills!A11</f>
        <v/>
      </c>
      <c r="B2413">
        <f>Skills!B11</f>
        <v/>
      </c>
      <c r="C2413">
        <f>TRUE</f>
        <v/>
      </c>
      <c r="D2413">
        <f>IF(Skills!C11=1,60+Inputs!$B$25+Inputs!$B$29,IF(Skills!C11=2,90+Inputs!$B$26+Inputs!$B$29,IF(Skills!C11=3,120+Inputs!$B$27+Inputs!$B$29,MAX(0,(Inputs!$B$3-100)*3)+Inputs!$B$28+Inputs!$B$29)))</f>
        <v/>
      </c>
      <c r="E2413">
        <f>INDEX(FactorTable!$B$2:$Y$301, MATCH(ROUND(MIN(300,MAX(1,D2413)),0), FactorTable!$A$2:$A$301,0), Skills!M11+1)</f>
        <v/>
      </c>
      <c r="F2413">
        <f>IF(Skills!N11=TRUE,(Skills!L11/10)*(E2413/1000),Skills!L11/10)+Skills!O11</f>
        <v/>
      </c>
      <c r="G2413">
        <f>Calc!G11</f>
        <v/>
      </c>
      <c r="H2413">
        <f>Calc!H11</f>
        <v/>
      </c>
      <c r="I2413">
        <f>IF(Skills!X11&lt;&gt;"",1+(Skills!X11/10)*(Z2405/1000)/100,1)</f>
        <v/>
      </c>
      <c r="J2413" t="inlineStr"/>
      <c r="K2413" t="inlineStr"/>
      <c r="L2413" t="inlineStr"/>
      <c r="M2413" t="inlineStr"/>
      <c r="N2413" t="inlineStr"/>
      <c r="O2413">
        <f>(1-Summary!$B$11)*S2413+Summary!$B$11*U2413</f>
        <v/>
      </c>
      <c r="P2413">
        <f>IF(B2443=0,0,O2413/B2443)</f>
        <v/>
      </c>
      <c r="Q2413">
        <f>IFERROR(1/(IF(Inputs!$B$38="pvp",15,MAX(0.1,Skills!E11-IF(Skills!F11=TRUE,Inputs!$B$32,0)))*(1-IF(AND(ArtifactsInput!$M$27,Inputs!$B$4="Chapter Hunt"),CHOOSE(ArtifactsInput!$N$27+1,20,24,28,32,36,40),0)/100)),0)</f>
        <v/>
      </c>
      <c r="R2413" t="n">
        <v>0</v>
      </c>
      <c r="S2413" t="n">
        <v>0</v>
      </c>
      <c r="U2413" t="n">
        <v>0</v>
      </c>
    </row>
    <row r="2414">
      <c r="A2414">
        <f>Skills!A12</f>
        <v/>
      </c>
      <c r="B2414">
        <f>Skills!B12</f>
        <v/>
      </c>
      <c r="C2414">
        <f>TRUE</f>
        <v/>
      </c>
      <c r="D2414">
        <f>IF(Skills!C12=1,60+Inputs!$B$25+Inputs!$B$29,IF(Skills!C12=2,90+Inputs!$B$26+Inputs!$B$29,IF(Skills!C12=3,120+Inputs!$B$27+Inputs!$B$29,MAX(0,(Inputs!$B$3-100)*3)+Inputs!$B$28+Inputs!$B$29)))</f>
        <v/>
      </c>
      <c r="E2414">
        <f>INDEX(FactorTable!$B$2:$Y$301, MATCH(ROUND(MIN(300,MAX(1,D2414)),0), FactorTable!$A$2:$A$301,0), Skills!M12+1)</f>
        <v/>
      </c>
      <c r="F2414">
        <f>IF(Skills!N12=TRUE,(Skills!L12/10)*(E2414/1000),Skills!L12/10)+Skills!O12</f>
        <v/>
      </c>
      <c r="G2414">
        <f>Calc!G12</f>
        <v/>
      </c>
      <c r="H2414">
        <f>Calc!H12</f>
        <v/>
      </c>
      <c r="I2414">
        <f>IF(Skills!X12&lt;&gt;"",1+(Skills!X12/10)*(Z2405/1000)/100,1)</f>
        <v/>
      </c>
      <c r="J2414" t="inlineStr"/>
      <c r="K2414" t="inlineStr"/>
      <c r="L2414" t="inlineStr"/>
      <c r="M2414" t="inlineStr"/>
      <c r="N2414" t="inlineStr"/>
      <c r="O2414">
        <f>(1-Summary!$B$11)*S2414+Summary!$B$11*U2414</f>
        <v/>
      </c>
      <c r="P2414">
        <f>IF(B2443=0,0,O2414/B2443)</f>
        <v/>
      </c>
      <c r="Q2414">
        <f>IFERROR(1/(IF(Inputs!$B$38="pvp",15,MAX(0.1,Skills!E12-IF(Skills!F12=TRUE,Inputs!$B$32,0)))*(1-IF(AND(ArtifactsInput!$M$27,Inputs!$B$4="Chapter Hunt"),CHOOSE(ArtifactsInput!$N$27+1,20,24,28,32,36,40),0)/100)),0)</f>
        <v/>
      </c>
      <c r="R2414" t="n">
        <v>0</v>
      </c>
      <c r="S2414" t="n">
        <v>0</v>
      </c>
      <c r="U2414" t="n">
        <v>0</v>
      </c>
    </row>
    <row r="2415">
      <c r="A2415">
        <f>Skills!A13</f>
        <v/>
      </c>
      <c r="B2415">
        <f>Skills!B13</f>
        <v/>
      </c>
      <c r="C2415">
        <f>Inputs!$B$3&gt;=105</f>
        <v/>
      </c>
      <c r="D2415">
        <f>IF(Skills!C13=1,60+Inputs!$B$25+Inputs!$B$29,IF(Skills!C13=2,90+Inputs!$B$26+Inputs!$B$29,IF(Skills!C13=3,120+Inputs!$B$27+Inputs!$B$29,MAX(0,(Inputs!$B$3-100)*3)+Inputs!$B$28+Inputs!$B$29)))</f>
        <v/>
      </c>
      <c r="E2415">
        <f>INDEX(FactorTable!$B$2:$Y$301, MATCH(ROUND(MIN(300,MAX(1,D2415)),0), FactorTable!$A$2:$A$301,0), Skills!M13+1)</f>
        <v/>
      </c>
      <c r="F2415">
        <f>IF(Skills!N13=TRUE,(Skills!L13/10)*(E2415/1000),Skills!L13/10)+Skills!O13</f>
        <v/>
      </c>
      <c r="G2415">
        <f>Calc!G13</f>
        <v/>
      </c>
      <c r="H2415">
        <f>Calc!H13</f>
        <v/>
      </c>
      <c r="I2415">
        <f>IF(Skills!X13&lt;&gt;"",1+(Skills!X13/10)*(Z2405/1000)/100,1)</f>
        <v/>
      </c>
      <c r="J2415">
        <f>((Inputs!$B$6*(1+Inputs!$B$7/100))+(((Inputs!$B$12*(1+Inputs!$B$13/100))-(Inputs!$B$12*(1+Inputs!$B$13/100)))+0.25*(Inputs!$B$14-Inputs!$B$14))*(1+Inputs!$B$7/100))*(F2415/100)</f>
        <v/>
      </c>
      <c r="K2415">
        <f>J2415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2415)</f>
        <v/>
      </c>
      <c r="L2415">
        <f>K2415*(MIN(Inputs!$B$22+(F2424-Calc!F22),(Inputs!$B$23+(IF(ArtifactsInput!$M$15,CHOOSE(ArtifactsInput!$N$15+1,25,30,35,40,45,50)/100*(Inputs!$B$11-Inputs!$B$11),0))))/100+(Inputs!$B$23+(IF(ArtifactsInput!$M$15,CHOOSE(ArtifactsInput!$N$15+1,25,30,35,40,45,50)/100*(Inputs!$B$11-Inputs!$B$11),0)))/100)/2</f>
        <v/>
      </c>
      <c r="M2415">
        <f>L2415*(1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5">
        <f>L2415*(1-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2415*(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5">
        <f>(1-Summary!$B$11)*S2415+Summary!$B$11*U2415</f>
        <v/>
      </c>
      <c r="P2415">
        <f>IF(B2443=0,0,O2415/B2443)</f>
        <v/>
      </c>
      <c r="Q2415">
        <f>IFERROR(1/(IF(Inputs!$B$38="pvp",15,MAX(0.1,Skills!E13-IF(Skills!F13=TRUE,Inputs!$B$32,0)))*(1-IF(AND(ArtifactsInput!$M$27,Inputs!$B$4="Chapter Hunt"),CHOOSE(ArtifactsInput!$N$27+1,20,24,28,32,36,40),0)/100)),0)</f>
        <v/>
      </c>
      <c r="R2415">
        <f>IF(AND(Inputs!$B$38&lt;&gt;"pvp",Inputs!$B$43&gt;0),IF(MAX(0,Inputs!$B$43-B2440)&lt;=0,0,(INT(MAX(0,Inputs!$B$43-B2440)/(IF(Inputs!$B$38="pvp",15,MAX(0.1,Skills!E13-IF(Skills!F13=TRUE,Inputs!$B$32,0)))*(1-IF(AND(ArtifactsInput!$M$27,Inputs!$B$4="Chapter Hunt"),CHOOSE(ArtifactsInput!$N$27+1,20,24,28,32,36,40),0)/100)))+1)),0)</f>
        <v/>
      </c>
      <c r="S2415">
        <f>IF(C2415,(H2415*N2415*IF(AND(Inputs!$B$38&lt;&gt;"pvp",Inputs!$B$43&gt;0),((Skills!G13*((R2415-1)*IF(Skills!H13&gt;0,Skills!I13/Skills!H13,1)+IF(Skills!H13&gt;0,MIN(Skills!I13,MAX(0,MAX(0,Inputs!$B$43-B2440)-((R2415-1)*(IF(Inputs!$B$38="pvp",15,MAX(0.1,Skills!E13-IF(Skills!F13=TRUE,Inputs!$B$32,0)))*(1-IF(AND(ArtifactsInput!$M$27,Inputs!$B$4="Chapter Hunt"),CHOOSE(ArtifactsInput!$N$27+1,20,24,28,32,36,40),0)/100)))))/Skills!H13,1)))/Inputs!$B$43),G2415*Q2415)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2415*(1-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2415*(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2415*(1-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2415*(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5">
        <f>IF(C2415,(H2415*N2415*IF(AND(Inputs!$B$38&lt;&gt;"pvp",Inputs!$B$43&gt;0),((Skills!G13*((R2415-1)*IF(Skills!H13&gt;0,Skills!I13/Skills!H13,1)+IF(Skills!H13&gt;0,MIN(Skills!I13,MAX(0,MAX(0,Inputs!$B$43-B2440)-((R2415-1)*(IF(Inputs!$B$38="pvp",15,MAX(0.1,Skills!E13-IF(Skills!F13=TRUE,Inputs!$B$32,0)))*(1-IF(AND(ArtifactsInput!$M$27,Inputs!$B$4="Chapter Hunt"),CHOOSE(ArtifactsInput!$N$27+1,20,24,28,32,36,40),0)/100)))))/Skills!H13,1)))/Inputs!$B$43),G2415*Q2415)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6">
      <c r="A2416">
        <f>Skills!A14</f>
        <v/>
      </c>
      <c r="B2416">
        <f>Skills!B14</f>
        <v/>
      </c>
      <c r="C2416">
        <f>Inputs!$B$3&gt;=113</f>
        <v/>
      </c>
      <c r="D2416">
        <f>IF(Skills!C14=1,60+Inputs!$B$25+Inputs!$B$29,IF(Skills!C14=2,90+Inputs!$B$26+Inputs!$B$29,IF(Skills!C14=3,120+Inputs!$B$27+Inputs!$B$29,MAX(0,(Inputs!$B$3-100)*3)+Inputs!$B$28+Inputs!$B$29)))</f>
        <v/>
      </c>
      <c r="E2416">
        <f>INDEX(FactorTable!$B$2:$Y$301, MATCH(ROUND(MIN(300,MAX(1,D2416)),0), FactorTable!$A$2:$A$301,0), Skills!M14+1)</f>
        <v/>
      </c>
      <c r="F2416">
        <f>IF(Skills!N14=TRUE,(Skills!L14/10)*(E2416/1000),Skills!L14/10)+Skills!O14</f>
        <v/>
      </c>
      <c r="G2416">
        <f>Calc!G14</f>
        <v/>
      </c>
      <c r="H2416">
        <f>Calc!H14</f>
        <v/>
      </c>
      <c r="I2416">
        <f>IF(Skills!X14&lt;&gt;"",1+(Skills!X14/10)*(Z2405/1000)/100,1)</f>
        <v/>
      </c>
      <c r="J2416">
        <f>((Inputs!$B$6*(1+Inputs!$B$7/100))+(((Inputs!$B$12*(1+Inputs!$B$13/100))-(Inputs!$B$12*(1+Inputs!$B$13/100)))+0.25*(Inputs!$B$14-Inputs!$B$14))*(1+Inputs!$B$7/100))*(F2416/100)</f>
        <v/>
      </c>
      <c r="K2416">
        <f>J2416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2416)</f>
        <v/>
      </c>
      <c r="L2416">
        <f>K2416*(MIN(Inputs!$B$22+(F2424-Calc!F22),(Inputs!$B$23+(IF(ArtifactsInput!$M$15,CHOOSE(ArtifactsInput!$N$15+1,25,30,35,40,45,50)/100*(Inputs!$B$11-Inputs!$B$11),0))))/100+(Inputs!$B$23+(IF(ArtifactsInput!$M$15,CHOOSE(ArtifactsInput!$N$15+1,25,30,35,40,45,50)/100*(Inputs!$B$11-Inputs!$B$11),0)))/100)/2</f>
        <v/>
      </c>
      <c r="M2416">
        <f>L2416*(1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6">
        <f>L2416*(1-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2416*(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6">
        <f>(1-Summary!$B$11)*S2416+Summary!$B$11*U2416</f>
        <v/>
      </c>
      <c r="P2416">
        <f>IF(B2443=0,0,O2416/B2443)</f>
        <v/>
      </c>
      <c r="Q2416">
        <f>IFERROR(1/(IF(Inputs!$B$38="pvp",15,MAX(0.1,Skills!E14-IF(Skills!F14=TRUE,Inputs!$B$32,0)))*(1-IF(AND(ArtifactsInput!$M$27,Inputs!$B$4="Chapter Hunt"),CHOOSE(ArtifactsInput!$N$27+1,20,24,28,32,36,40),0)/100)),0)</f>
        <v/>
      </c>
      <c r="R2416" t="n">
        <v>0</v>
      </c>
      <c r="S2416">
        <f>IF(C2416,((H2416*B2439)/(1+Skills!H14*H2416*B2439)*N2416)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2416*(1-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2416*(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2416*(1-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2416*(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6">
        <f>IF(C2416,((H2416*B2439)/(1+Skills!H14*H2416*B2439)*N2416)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7">
      <c r="A2417">
        <f>Skills!A15</f>
        <v/>
      </c>
      <c r="B2417">
        <f>Skills!B15</f>
        <v/>
      </c>
      <c r="C2417">
        <f>Inputs!$B$3&gt;=107</f>
        <v/>
      </c>
      <c r="D2417">
        <f>IF(Skills!C15=1,60+Inputs!$B$25+Inputs!$B$29,IF(Skills!C15=2,90+Inputs!$B$26+Inputs!$B$29,IF(Skills!C15=3,120+Inputs!$B$27+Inputs!$B$29,MAX(0,(Inputs!$B$3-100)*3)+Inputs!$B$28+Inputs!$B$29)))</f>
        <v/>
      </c>
      <c r="E2417">
        <f>INDEX(FactorTable!$B$2:$Y$301, MATCH(ROUND(MIN(300,MAX(1,D2417)),0), FactorTable!$A$2:$A$301,0), Skills!M15+1)</f>
        <v/>
      </c>
      <c r="F2417">
        <f>IF(Skills!N15=TRUE,(Skills!L15/10)*(E2417/1000),Skills!L15/10)+Skills!O15</f>
        <v/>
      </c>
      <c r="G2417">
        <f>Calc!G15</f>
        <v/>
      </c>
      <c r="H2417">
        <f>Calc!H15</f>
        <v/>
      </c>
      <c r="I2417">
        <f>IF(Skills!X15&lt;&gt;"",1+(Skills!X15/10)*(Z2405/1000)/100,1)</f>
        <v/>
      </c>
      <c r="J2417">
        <f>((Inputs!$B$6*(1+Inputs!$B$7/100))+(((Inputs!$B$12*(1+Inputs!$B$13/100))-(Inputs!$B$12*(1+Inputs!$B$13/100)))+0.25*(Inputs!$B$14-Inputs!$B$14))*(1+Inputs!$B$7/100))*(F2417/100)</f>
        <v/>
      </c>
      <c r="K2417">
        <f>J2417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2417)</f>
        <v/>
      </c>
      <c r="L2417">
        <f>K2417*(MIN(Inputs!$B$22+(F2424-Calc!F22),(Inputs!$B$23+(IF(ArtifactsInput!$M$15,CHOOSE(ArtifactsInput!$N$15+1,25,30,35,40,45,50)/100*(Inputs!$B$11-Inputs!$B$11),0))))/100+(Inputs!$B$23+(IF(ArtifactsInput!$M$15,CHOOSE(ArtifactsInput!$N$15+1,25,30,35,40,45,50)/100*(Inputs!$B$11-Inputs!$B$11),0)))/100)/2</f>
        <v/>
      </c>
      <c r="M2417">
        <f>L2417*(1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7">
        <f>L2417*(1-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2417*(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7">
        <f>(1-Summary!$B$11)*S2417+Summary!$B$11*U2417</f>
        <v/>
      </c>
      <c r="P2417">
        <f>IF(B2443=0,0,O2417/B2443)</f>
        <v/>
      </c>
      <c r="Q2417">
        <f>IFERROR(1/(IF(Inputs!$B$38="pvp",15,MAX(0.1,Skills!E15-IF(Skills!F15=TRUE,Inputs!$B$32,0)))*(1-IF(AND(ArtifactsInput!$M$27,Inputs!$B$4="Chapter Hunt"),CHOOSE(ArtifactsInput!$N$27+1,20,24,28,32,36,40),0)/100)),0)</f>
        <v/>
      </c>
      <c r="R2417">
        <f>IF(AND(Inputs!$B$38&lt;&gt;"pvp",Inputs!$B$43&gt;0),IF(MAX(0,Inputs!$B$43-B2440)&lt;=0,0,(INT(MAX(0,Inputs!$B$43-B2440)/(IF(Inputs!$B$38="pvp",15,MAX(0.1,Skills!E15-IF(Skills!F15=TRUE,Inputs!$B$32,0)))*(1-IF(AND(ArtifactsInput!$M$27,Inputs!$B$4="Chapter Hunt"),CHOOSE(ArtifactsInput!$N$27+1,20,24,28,32,36,40),0)/100)))+1)),0)</f>
        <v/>
      </c>
      <c r="S2417">
        <f>IF(C2417,(H2417*N2417*IF(AND(Inputs!$B$38&lt;&gt;"pvp",Inputs!$B$43&gt;0),((Skills!G15*((R2417-1)*IF(Skills!H15&gt;0,Skills!I15/Skills!H15,1)+IF(Skills!H15&gt;0,MIN(Skills!I15,MAX(0,MAX(0,Inputs!$B$43-B2440)-((R2417-1)*(IF(Inputs!$B$38="pvp",15,MAX(0.1,Skills!E15-IF(Skills!F15=TRUE,Inputs!$B$32,0)))*(1-IF(AND(ArtifactsInput!$M$27,Inputs!$B$4="Chapter Hunt"),CHOOSE(ArtifactsInput!$N$27+1,20,24,28,32,36,40),0)/100)))))/Skills!H15,1)))/Inputs!$B$43),G2417*Q2417)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2417*(1-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2417*(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2417*(1-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2417*(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7">
        <f>IF(C2417,(H2417*N2417*IF(AND(Inputs!$B$38&lt;&gt;"pvp",Inputs!$B$43&gt;0),((Skills!G15*((R2417-1)*IF(Skills!H15&gt;0,Skills!I15/Skills!H15,1)+IF(Skills!H15&gt;0,MIN(Skills!I15,MAX(0,MAX(0,Inputs!$B$43-B2440)-((R2417-1)*(IF(Inputs!$B$38="pvp",15,MAX(0.1,Skills!E15-IF(Skills!F15=TRUE,Inputs!$B$32,0)))*(1-IF(AND(ArtifactsInput!$M$27,Inputs!$B$4="Chapter Hunt"),CHOOSE(ArtifactsInput!$N$27+1,20,24,28,32,36,40),0)/100)))))/Skills!H15,1)))/Inputs!$B$43),G2417*Q2417)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8">
      <c r="A2418">
        <f>Skills!A16</f>
        <v/>
      </c>
      <c r="B2418">
        <f>Skills!B16</f>
        <v/>
      </c>
      <c r="C2418">
        <f>Inputs!$B$3&gt;=107</f>
        <v/>
      </c>
      <c r="D2418">
        <f>IF(Skills!C16=1,60+Inputs!$B$25+Inputs!$B$29,IF(Skills!C16=2,90+Inputs!$B$26+Inputs!$B$29,IF(Skills!C16=3,120+Inputs!$B$27+Inputs!$B$29,MAX(0,(Inputs!$B$3-100)*3)+Inputs!$B$28+Inputs!$B$29)))</f>
        <v/>
      </c>
      <c r="E2418">
        <f>INDEX(FactorTable!$B$2:$Y$301, MATCH(ROUND(MIN(300,MAX(1,D2418)),0), FactorTable!$A$2:$A$301,0), Skills!M16+1)</f>
        <v/>
      </c>
      <c r="F2418">
        <f>IF(Skills!N16=TRUE,(Skills!L16/10)*(E2418/1000),Skills!L16/10)+Skills!O16</f>
        <v/>
      </c>
      <c r="G2418">
        <f>Calc!G16</f>
        <v/>
      </c>
      <c r="H2418">
        <f>Calc!H16</f>
        <v/>
      </c>
      <c r="I2418">
        <f>IF(Skills!X16&lt;&gt;"",1+(Skills!X16/10)*(Z2405/1000)/100,1)</f>
        <v/>
      </c>
      <c r="J2418">
        <f>((Inputs!$B$6*(1+Inputs!$B$7/100))+(((Inputs!$B$12*(1+Inputs!$B$13/100))-(Inputs!$B$12*(1+Inputs!$B$13/100)))+0.25*(Inputs!$B$14-Inputs!$B$14))*(1+Inputs!$B$7/100))*(F2418/100)</f>
        <v/>
      </c>
      <c r="K2418">
        <f>J2418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2418)</f>
        <v/>
      </c>
      <c r="L2418">
        <f>K2418*(MIN(Inputs!$B$22+(F2424-Calc!F22),(Inputs!$B$23+(IF(ArtifactsInput!$M$15,CHOOSE(ArtifactsInput!$N$15+1,25,30,35,40,45,50)/100*(Inputs!$B$11-Inputs!$B$11),0))))/100+(Inputs!$B$23+(IF(ArtifactsInput!$M$15,CHOOSE(ArtifactsInput!$N$15+1,25,30,35,40,45,50)/100*(Inputs!$B$11-Inputs!$B$11),0)))/100)/2</f>
        <v/>
      </c>
      <c r="M2418">
        <f>L2418*(1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8">
        <f>L2418*(1-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2418*(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8">
        <f>(1-Summary!$B$11)*S2418+Summary!$B$11*U2418</f>
        <v/>
      </c>
      <c r="P2418">
        <f>IF(B2443=0,0,O2418/B2443)</f>
        <v/>
      </c>
      <c r="Q2418">
        <f>IFERROR(1/(IF(Inputs!$B$38="pvp",15,MAX(0.1,Skills!E16-IF(Skills!F16=TRUE,Inputs!$B$32,0)))*(1-IF(AND(ArtifactsInput!$M$27,Inputs!$B$4="Chapter Hunt"),CHOOSE(ArtifactsInput!$N$27+1,20,24,28,32,36,40),0)/100)),0)</f>
        <v/>
      </c>
      <c r="R2418">
        <f>IF(AND(Inputs!$B$38&lt;&gt;"pvp",Inputs!$B$43&gt;0),IF(MAX(0,Inputs!$B$43-B2440)&lt;=0,0,(INT(MAX(0,Inputs!$B$43-B2440)/(IF(Inputs!$B$38="pvp",15,MAX(0.1,Skills!E16-IF(Skills!F16=TRUE,Inputs!$B$32,0)))*(1-IF(AND(ArtifactsInput!$M$27,Inputs!$B$4="Chapter Hunt"),CHOOSE(ArtifactsInput!$N$27+1,20,24,28,32,36,40),0)/100)))+1)),0)</f>
        <v/>
      </c>
      <c r="S2418">
        <f>IF(C2418,(H2418*N2418*IF(AND(Inputs!$B$38&lt;&gt;"pvp",Inputs!$B$43&gt;0),((Skills!G16*((R2418-1)*IF(Skills!H16&gt;0,Skills!I16/Skills!H16,1)+IF(Skills!H16&gt;0,MIN(Skills!I16,MAX(0,MAX(0,Inputs!$B$43-B2440)-((R2418-1)*(IF(Inputs!$B$38="pvp",15,MAX(0.1,Skills!E16-IF(Skills!F16=TRUE,Inputs!$B$32,0)))*(1-IF(AND(ArtifactsInput!$M$27,Inputs!$B$4="Chapter Hunt"),CHOOSE(ArtifactsInput!$N$27+1,20,24,28,32,36,40),0)/100)))))/Skills!H16,1)))/Inputs!$B$43),G2418*Q2418)*(1+IF(Inputs!$B$3&gt;=126,0.05*(B2438+Q2415+(H2416*B2439)/(1+Skills!H14*H2416*B2439)+Q2426)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2418*(1-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2418*(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2418*(1-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2418*(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8">
        <f>IF(C2418,(H2418*N2418*IF(AND(Inputs!$B$38&lt;&gt;"pvp",Inputs!$B$43&gt;0),((Skills!G16*((R2418-1)*IF(Skills!H16&gt;0,Skills!I16/Skills!H16,1)+IF(Skills!H16&gt;0,MIN(Skills!I16,MAX(0,MAX(0,Inputs!$B$43-B2440)-((R2418-1)*(IF(Inputs!$B$38="pvp",15,MAX(0.1,Skills!E16-IF(Skills!F16=TRUE,Inputs!$B$32,0)))*(1-IF(AND(ArtifactsInput!$M$27,Inputs!$B$4="Chapter Hunt"),CHOOSE(ArtifactsInput!$N$27+1,20,24,28,32,36,40),0)/100)))))/Skills!H16,1)))/Inputs!$B$43),G2418*Q2418)*(1+IF(Inputs!$B$3&gt;=126,0.05*(B2438+Q2415+(H2416*B2439)/(1+Skills!H14*H2416*B2439)+Q2426)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9">
      <c r="A2419">
        <f>Skills!A17</f>
        <v/>
      </c>
      <c r="B2419">
        <f>Skills!B17</f>
        <v/>
      </c>
      <c r="C2419">
        <f>TRUE</f>
        <v/>
      </c>
      <c r="D2419">
        <f>IF(Skills!C17=1,60+Inputs!$B$25+Inputs!$B$29,IF(Skills!C17=2,90+Inputs!$B$26+Inputs!$B$29,IF(Skills!C17=3,120+Inputs!$B$27+Inputs!$B$29,MAX(0,(Inputs!$B$3-100)*3)+Inputs!$B$28+Inputs!$B$29)))</f>
        <v/>
      </c>
      <c r="E2419">
        <f>INDEX(FactorTable!$B$2:$Y$301, MATCH(ROUND(MIN(300,MAX(1,D2419)),0), FactorTable!$A$2:$A$301,0), Skills!M17+1)</f>
        <v/>
      </c>
      <c r="F2419">
        <f>IF(Skills!N17=TRUE,(Skills!L17/10)*(E2419/1000),Skills!L17/10)+Skills!O17</f>
        <v/>
      </c>
      <c r="G2419">
        <f>Calc!G17</f>
        <v/>
      </c>
      <c r="H2419">
        <f>Calc!H17</f>
        <v/>
      </c>
      <c r="I2419">
        <f>IF(Skills!X17&lt;&gt;"",1+(Skills!X17/10)*(Z2405/1000)/100,1)</f>
        <v/>
      </c>
      <c r="J2419" t="inlineStr"/>
      <c r="K2419" t="inlineStr"/>
      <c r="L2419" t="inlineStr"/>
      <c r="M2419" t="inlineStr"/>
      <c r="N2419" t="inlineStr"/>
      <c r="O2419">
        <f>(1-Summary!$B$11)*S2419+Summary!$B$11*U2419</f>
        <v/>
      </c>
      <c r="P2419">
        <f>IF(B2443=0,0,O2419/B2443)</f>
        <v/>
      </c>
      <c r="Q2419">
        <f>IFERROR(1/(IF(Inputs!$B$38="pvp",15,MAX(0.1,Skills!E17-IF(Skills!F17=TRUE,Inputs!$B$32,0)))*(1-IF(AND(ArtifactsInput!$M$27,Inputs!$B$4="Chapter Hunt"),CHOOSE(ArtifactsInput!$N$27+1,20,24,28,32,36,40),0)/100)),0)</f>
        <v/>
      </c>
      <c r="R2419">
        <f>IF(AND(Inputs!$B$38&lt;&gt;"pvp",Inputs!$B$43&gt;0),IF(Inputs!$B$43&lt;=0,0,(INT(Inputs!$B$43/(IF(Inputs!$B$38="pvp",15,MAX(0.1,Skills!E17-IF(Skills!F17=TRUE,Inputs!$B$32,0)))*(1-IF(AND(ArtifactsInput!$M$27,Inputs!$B$4="Chapter Hunt"),CHOOSE(ArtifactsInput!$N$27+1,20,24,28,32,36,40),0)/100)))+1)),0)</f>
        <v/>
      </c>
      <c r="S2419" t="n">
        <v>0</v>
      </c>
      <c r="U2419" t="n">
        <v>0</v>
      </c>
    </row>
    <row r="2420">
      <c r="A2420">
        <f>Skills!A18</f>
        <v/>
      </c>
      <c r="B2420">
        <f>Skills!B18</f>
        <v/>
      </c>
      <c r="C2420">
        <f>TRUE</f>
        <v/>
      </c>
      <c r="D2420">
        <f>IF(Skills!C18=1,60+Inputs!$B$25+Inputs!$B$29,IF(Skills!C18=2,90+Inputs!$B$26+Inputs!$B$29,IF(Skills!C18=3,120+Inputs!$B$27+Inputs!$B$29,MAX(0,(Inputs!$B$3-100)*3)+Inputs!$B$28+Inputs!$B$29)))</f>
        <v/>
      </c>
      <c r="E2420">
        <f>INDEX(FactorTable!$B$2:$Y$301, MATCH(ROUND(MIN(300,MAX(1,D2420)),0), FactorTable!$A$2:$A$301,0), Skills!M18+1)</f>
        <v/>
      </c>
      <c r="F2420">
        <f>IF(Skills!N18=TRUE,(Skills!L18/10)*(E2420/1000),Skills!L18/10)+Skills!O18</f>
        <v/>
      </c>
      <c r="G2420">
        <f>Calc!G18</f>
        <v/>
      </c>
      <c r="H2420">
        <f>Calc!H18</f>
        <v/>
      </c>
      <c r="I2420">
        <f>IF(Skills!X18&lt;&gt;"",1+(Skills!X18/10)*(Z2405/1000)/100,1)</f>
        <v/>
      </c>
      <c r="J2420" t="inlineStr"/>
      <c r="K2420" t="inlineStr"/>
      <c r="L2420" t="inlineStr"/>
      <c r="M2420" t="inlineStr"/>
      <c r="N2420" t="inlineStr"/>
      <c r="O2420">
        <f>(1-Summary!$B$11)*S2420+Summary!$B$11*U2420</f>
        <v/>
      </c>
      <c r="P2420">
        <f>IF(B2443=0,0,O2420/B2443)</f>
        <v/>
      </c>
      <c r="Q2420">
        <f>IFERROR(1/(IF(Inputs!$B$38="pvp",15,MAX(0.1,Skills!E18-IF(Skills!F18=TRUE,Inputs!$B$32,0)))*(1-IF(AND(ArtifactsInput!$M$27,Inputs!$B$4="Chapter Hunt"),CHOOSE(ArtifactsInput!$N$27+1,20,24,28,32,36,40),0)/100)),0)</f>
        <v/>
      </c>
      <c r="R2420">
        <f>IF(AND(Inputs!$B$38&lt;&gt;"pvp",Inputs!$B$43&gt;0),IF(Inputs!$B$43&lt;=0,0,(INT(Inputs!$B$43/(IF(Inputs!$B$38="pvp",15,MAX(0.1,Skills!E18-IF(Skills!F18=TRUE,Inputs!$B$32,0)))*(1-IF(AND(ArtifactsInput!$M$27,Inputs!$B$4="Chapter Hunt"),CHOOSE(ArtifactsInput!$N$27+1,20,24,28,32,36,40),0)/100)))+1)),0)</f>
        <v/>
      </c>
      <c r="S2420" t="n">
        <v>0</v>
      </c>
      <c r="U2420" t="n">
        <v>0</v>
      </c>
    </row>
    <row r="2421">
      <c r="A2421">
        <f>Skills!A19</f>
        <v/>
      </c>
      <c r="B2421">
        <f>Skills!B19</f>
        <v/>
      </c>
      <c r="C2421">
        <f>Inputs!$B$3&gt;=110</f>
        <v/>
      </c>
      <c r="D2421">
        <f>IF(Skills!C19=1,60+Inputs!$B$25+Inputs!$B$29,IF(Skills!C19=2,90+Inputs!$B$26+Inputs!$B$29,IF(Skills!C19=3,120+Inputs!$B$27+Inputs!$B$29,MAX(0,(Inputs!$B$3-100)*3)+Inputs!$B$28+Inputs!$B$29)))</f>
        <v/>
      </c>
      <c r="E2421">
        <f>INDEX(FactorTable!$B$2:$Y$301, MATCH(ROUND(MIN(300,MAX(1,D2421)),0), FactorTable!$A$2:$A$301,0), Skills!M19+1)</f>
        <v/>
      </c>
      <c r="F2421">
        <f>IF(Skills!N19=TRUE,(Skills!L19/10)*(E2421/1000),Skills!L19/10)+Skills!O19</f>
        <v/>
      </c>
      <c r="G2421">
        <f>Calc!G19</f>
        <v/>
      </c>
      <c r="H2421">
        <f>Calc!H19</f>
        <v/>
      </c>
      <c r="I2421">
        <f>IF(Skills!X19&lt;&gt;"",1+(Skills!X19/10)*(Z2405/1000)/100,1)</f>
        <v/>
      </c>
      <c r="J2421" t="inlineStr"/>
      <c r="K2421" t="inlineStr"/>
      <c r="L2421" t="inlineStr"/>
      <c r="M2421" t="inlineStr"/>
      <c r="N2421" t="inlineStr"/>
      <c r="O2421">
        <f>(1-Summary!$B$11)*S2421+Summary!$B$11*U2421</f>
        <v/>
      </c>
      <c r="P2421">
        <f>IF(B2443=0,0,O2421/B2443)</f>
        <v/>
      </c>
      <c r="Q2421">
        <f>IFERROR(1/(IF(Inputs!$B$38="pvp",15,MAX(0.1,Skills!E19-IF(Skills!F19=TRUE,Inputs!$B$32,0)))*(1-IF(AND(ArtifactsInput!$M$27,Inputs!$B$4="Chapter Hunt"),CHOOSE(ArtifactsInput!$N$27+1,20,24,28,32,36,40),0)/100)),0)</f>
        <v/>
      </c>
      <c r="R2421">
        <f>IF(AND(Inputs!$B$38&lt;&gt;"pvp",Inputs!$B$43&gt;0),IF(Inputs!$B$43&lt;=0,0,(INT(Inputs!$B$43/(IF(Inputs!$B$38="pvp",15,MAX(0.1,Skills!E19-IF(Skills!F19=TRUE,Inputs!$B$32,0)))*(1-IF(AND(ArtifactsInput!$M$27,Inputs!$B$4="Chapter Hunt"),CHOOSE(ArtifactsInput!$N$27+1,20,24,28,32,36,40),0)/100)))+1)),0)</f>
        <v/>
      </c>
      <c r="S2421" t="n">
        <v>0</v>
      </c>
      <c r="U2421" t="n">
        <v>0</v>
      </c>
    </row>
    <row r="2422">
      <c r="A2422">
        <f>Skills!A20</f>
        <v/>
      </c>
      <c r="B2422">
        <f>Skills!B20</f>
        <v/>
      </c>
      <c r="C2422">
        <f>TRUE</f>
        <v/>
      </c>
      <c r="D2422">
        <f>IF(Skills!C20=1,60+Inputs!$B$25+Inputs!$B$29,IF(Skills!C20=2,90+Inputs!$B$26+Inputs!$B$29,IF(Skills!C20=3,120+Inputs!$B$27+Inputs!$B$29,MAX(0,(Inputs!$B$3-100)*3)+Inputs!$B$28+Inputs!$B$29)))</f>
        <v/>
      </c>
      <c r="E2422">
        <f>INDEX(FactorTable!$B$2:$Y$301, MATCH(ROUND(MIN(300,MAX(1,D2422)),0), FactorTable!$A$2:$A$301,0), Skills!M20+1)</f>
        <v/>
      </c>
      <c r="F2422">
        <f>IF(Skills!N20=TRUE,(Skills!L20/10)*(E2422/1000),Skills!L20/10)+Skills!O20</f>
        <v/>
      </c>
      <c r="G2422">
        <f>Calc!G20</f>
        <v/>
      </c>
      <c r="H2422">
        <f>Calc!H20</f>
        <v/>
      </c>
      <c r="I2422">
        <f>IF(Skills!X20&lt;&gt;"",1+(Skills!X20/10)*(Z2405/1000)/100,1)</f>
        <v/>
      </c>
      <c r="J2422" t="inlineStr"/>
      <c r="K2422" t="inlineStr"/>
      <c r="L2422" t="inlineStr"/>
      <c r="M2422" t="inlineStr"/>
      <c r="N2422" t="inlineStr"/>
      <c r="O2422">
        <f>(1-Summary!$B$11)*S2422+Summary!$B$11*U2422</f>
        <v/>
      </c>
      <c r="P2422">
        <f>IF(B2443=0,0,O2422/B2443)</f>
        <v/>
      </c>
      <c r="Q2422">
        <f>IFERROR(1/(IF(Inputs!$B$38="pvp",15,MAX(0.1,Skills!E20-IF(Skills!F20=TRUE,Inputs!$B$32,0)))*(1-IF(AND(ArtifactsInput!$M$27,Inputs!$B$4="Chapter Hunt"),CHOOSE(ArtifactsInput!$N$27+1,20,24,28,32,36,40),0)/100)),0)</f>
        <v/>
      </c>
      <c r="R2422" t="n">
        <v>0</v>
      </c>
      <c r="S2422" t="n">
        <v>0</v>
      </c>
      <c r="U2422" t="n">
        <v>0</v>
      </c>
    </row>
    <row r="2423">
      <c r="A2423">
        <f>Skills!A21</f>
        <v/>
      </c>
      <c r="B2423">
        <f>Skills!B21</f>
        <v/>
      </c>
      <c r="C2423">
        <f>TRUE</f>
        <v/>
      </c>
      <c r="D2423">
        <f>IF(Skills!C21=1,60+Inputs!$B$25+Inputs!$B$29,IF(Skills!C21=2,90+Inputs!$B$26+Inputs!$B$29,IF(Skills!C21=3,120+Inputs!$B$27+Inputs!$B$29,MAX(0,(Inputs!$B$3-100)*3)+Inputs!$B$28+Inputs!$B$29)))</f>
        <v/>
      </c>
      <c r="E2423">
        <f>INDEX(FactorTable!$B$2:$Y$301, MATCH(ROUND(MIN(300,MAX(1,D2423)),0), FactorTable!$A$2:$A$301,0), Skills!M21+1)</f>
        <v/>
      </c>
      <c r="F2423">
        <f>IF(Skills!N21=TRUE,(Skills!L21/10)*(E2423/1000),Skills!L21/10)+Skills!O21</f>
        <v/>
      </c>
      <c r="G2423">
        <f>Calc!G21</f>
        <v/>
      </c>
      <c r="H2423">
        <f>Calc!H21</f>
        <v/>
      </c>
      <c r="I2423">
        <f>IF(Skills!X21&lt;&gt;"",1+(Skills!X21/10)*(Z2405/1000)/100,1)</f>
        <v/>
      </c>
      <c r="J2423" t="inlineStr"/>
      <c r="K2423" t="inlineStr"/>
      <c r="L2423" t="inlineStr"/>
      <c r="M2423" t="inlineStr"/>
      <c r="N2423" t="inlineStr"/>
      <c r="O2423">
        <f>(1-Summary!$B$11)*S2423+Summary!$B$11*U2423</f>
        <v/>
      </c>
      <c r="P2423">
        <f>IF(B2443=0,0,O2423/B2443)</f>
        <v/>
      </c>
      <c r="Q2423">
        <f>IFERROR(1/(IF(Inputs!$B$38="pvp",15,MAX(0.1,Skills!E21-IF(Skills!F21=TRUE,Inputs!$B$32,0)))*(1-IF(AND(ArtifactsInput!$M$27,Inputs!$B$4="Chapter Hunt"),CHOOSE(ArtifactsInput!$N$27+1,20,24,28,32,36,40),0)/100)),0)</f>
        <v/>
      </c>
      <c r="R2423" t="n">
        <v>0</v>
      </c>
      <c r="S2423" t="n">
        <v>0</v>
      </c>
      <c r="U2423" t="n">
        <v>0</v>
      </c>
    </row>
    <row r="2424">
      <c r="A2424">
        <f>Skills!A22</f>
        <v/>
      </c>
      <c r="B2424">
        <f>Skills!B22</f>
        <v/>
      </c>
      <c r="C2424">
        <f>TRUE</f>
        <v/>
      </c>
      <c r="D2424">
        <f>IF(Skills!C22=1,60+Inputs!$B$25+Inputs!$B$29,IF(Skills!C22=2,90+Inputs!$B$26+Inputs!$B$29,IF(Skills!C22=3,120+Inputs!$B$27+Inputs!$B$29,MAX(0,(Inputs!$B$3-100)*3)+Inputs!$B$28+Inputs!$B$29)))</f>
        <v/>
      </c>
      <c r="E2424">
        <f>INDEX(FactorTable!$B$2:$Y$301, MATCH(ROUND(MIN(300,MAX(1,D2424)),0), FactorTable!$A$2:$A$301,0), Skills!M22+1)</f>
        <v/>
      </c>
      <c r="F2424">
        <f>IF(Skills!N22=TRUE,(Skills!L22/10)*(E2424/1000),Skills!L22/10)+Skills!O22</f>
        <v/>
      </c>
      <c r="G2424">
        <f>Calc!G22</f>
        <v/>
      </c>
      <c r="H2424">
        <f>Calc!H22</f>
        <v/>
      </c>
      <c r="I2424">
        <f>IF(Skills!X22&lt;&gt;"",1+(Skills!X22/10)*(Z2405/1000)/100,1)</f>
        <v/>
      </c>
      <c r="J2424" t="inlineStr"/>
      <c r="K2424" t="inlineStr"/>
      <c r="L2424" t="inlineStr"/>
      <c r="M2424" t="inlineStr"/>
      <c r="N2424" t="inlineStr"/>
      <c r="O2424">
        <f>(1-Summary!$B$11)*S2424+Summary!$B$11*U2424</f>
        <v/>
      </c>
      <c r="P2424">
        <f>IF(B2443=0,0,O2424/B2443)</f>
        <v/>
      </c>
      <c r="Q2424">
        <f>IFERROR(1/(IF(Inputs!$B$38="pvp",15,MAX(0.1,Skills!E22-IF(Skills!F22=TRUE,Inputs!$B$32,0)))*(1-IF(AND(ArtifactsInput!$M$27,Inputs!$B$4="Chapter Hunt"),CHOOSE(ArtifactsInput!$N$27+1,20,24,28,32,36,40),0)/100)),0)</f>
        <v/>
      </c>
      <c r="R2424" t="n">
        <v>0</v>
      </c>
      <c r="S2424" t="n">
        <v>0</v>
      </c>
      <c r="U2424" t="n">
        <v>0</v>
      </c>
    </row>
    <row r="2425">
      <c r="A2425">
        <f>Skills!A23</f>
        <v/>
      </c>
      <c r="B2425">
        <f>Skills!B23</f>
        <v/>
      </c>
      <c r="C2425">
        <f>TRUE</f>
        <v/>
      </c>
      <c r="D2425">
        <f>IF(Skills!C23=1,60+Inputs!$B$25+Inputs!$B$29,IF(Skills!C23=2,90+Inputs!$B$26+Inputs!$B$29,IF(Skills!C23=3,120+Inputs!$B$27+Inputs!$B$29,MAX(0,(Inputs!$B$3-100)*3)+Inputs!$B$28+Inputs!$B$29)))</f>
        <v/>
      </c>
      <c r="E2425">
        <f>INDEX(FactorTable!$B$2:$Y$301, MATCH(ROUND(MIN(300,MAX(1,D2425)),0), FactorTable!$A$2:$A$301,0), Skills!M23+1)</f>
        <v/>
      </c>
      <c r="F2425">
        <f>IF(Skills!N23=TRUE,(Skills!L23/10)*(E2425/1000),Skills!L23/10)+Skills!O23</f>
        <v/>
      </c>
      <c r="G2425">
        <f>Calc!G23</f>
        <v/>
      </c>
      <c r="H2425">
        <f>Calc!H23</f>
        <v/>
      </c>
      <c r="I2425">
        <f>IF(Skills!X23&lt;&gt;"",1+(Skills!X23/10)*(Z2405/1000)/100,1)</f>
        <v/>
      </c>
      <c r="J2425" t="inlineStr"/>
      <c r="K2425" t="inlineStr"/>
      <c r="L2425" t="inlineStr"/>
      <c r="M2425" t="inlineStr"/>
      <c r="N2425" t="inlineStr"/>
      <c r="O2425">
        <f>(1-Summary!$B$11)*S2425+Summary!$B$11*U2425</f>
        <v/>
      </c>
      <c r="P2425">
        <f>IF(B2443=0,0,O2425/B2443)</f>
        <v/>
      </c>
      <c r="Q2425">
        <f>IFERROR(1/(IF(Inputs!$B$38="pvp",15,MAX(0.1,Skills!E23-IF(Skills!F23=TRUE,Inputs!$B$32,0)))*(1-IF(AND(ArtifactsInput!$M$27,Inputs!$B$4="Chapter Hunt"),CHOOSE(ArtifactsInput!$N$27+1,20,24,28,32,36,40),0)/100)),0)</f>
        <v/>
      </c>
      <c r="R2425" t="n">
        <v>0</v>
      </c>
      <c r="S2425" t="n">
        <v>0</v>
      </c>
      <c r="U2425" t="n">
        <v>0</v>
      </c>
    </row>
    <row r="2426">
      <c r="A2426">
        <f>Skills!A24</f>
        <v/>
      </c>
      <c r="B2426">
        <f>Skills!B24</f>
        <v/>
      </c>
      <c r="C2426">
        <f>Inputs!$B$3&gt;=115</f>
        <v/>
      </c>
      <c r="D2426">
        <f>IF(Skills!C24=1,60+Inputs!$B$25+Inputs!$B$29,IF(Skills!C24=2,90+Inputs!$B$26+Inputs!$B$29,IF(Skills!C24=3,120+Inputs!$B$27+Inputs!$B$29,MAX(0,(Inputs!$B$3-100)*3)+Inputs!$B$28+Inputs!$B$29)))</f>
        <v/>
      </c>
      <c r="E2426">
        <f>INDEX(FactorTable!$B$2:$Y$301, MATCH(ROUND(MIN(300,MAX(1,D2426)),0), FactorTable!$A$2:$A$301,0), Skills!M24+1)</f>
        <v/>
      </c>
      <c r="F2426">
        <f>IF(Skills!N24=TRUE,(Skills!L24/10)*(E2426/1000),Skills!L24/10)+Skills!O24</f>
        <v/>
      </c>
      <c r="G2426">
        <f>Calc!G24</f>
        <v/>
      </c>
      <c r="H2426">
        <f>Calc!H24</f>
        <v/>
      </c>
      <c r="I2426">
        <f>IF(Skills!X24&lt;&gt;"",1+(Skills!X24/10)*(Z2405/1000)/100,1)</f>
        <v/>
      </c>
      <c r="J2426">
        <f>((Inputs!$B$6*(1+Inputs!$B$7/100))+(((Inputs!$B$12*(1+Inputs!$B$13/100))-(Inputs!$B$12*(1+Inputs!$B$13/100)))+0.25*(Inputs!$B$14-Inputs!$B$14))*(1+Inputs!$B$7/100))*(F2426/100)</f>
        <v/>
      </c>
      <c r="K2426">
        <f>J2426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2426)</f>
        <v/>
      </c>
      <c r="L2426">
        <f>K2426*(MIN(Inputs!$B$22+(F2424-Calc!F22),(Inputs!$B$23+(IF(ArtifactsInput!$M$15,CHOOSE(ArtifactsInput!$N$15+1,25,30,35,40,45,50)/100*(Inputs!$B$11-Inputs!$B$11),0))))/100+(Inputs!$B$23+(IF(ArtifactsInput!$M$15,CHOOSE(ArtifactsInput!$N$15+1,25,30,35,40,45,50)/100*(Inputs!$B$11-Inputs!$B$11),0)))/100)/2</f>
        <v/>
      </c>
      <c r="M2426">
        <f>L2426*(1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6">
        <f>L2426*(1-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2426*(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6">
        <f>(1-Summary!$B$11)*S2426+Summary!$B$11*U2426</f>
        <v/>
      </c>
      <c r="P2426">
        <f>IF(B2443=0,0,O2426/B2443)</f>
        <v/>
      </c>
      <c r="Q2426">
        <f>IFERROR(1/(IF(Inputs!$B$38="pvp",15,MAX(0.1,Skills!E24-IF(Skills!F24=TRUE,Inputs!$B$32,0)))*(1-IF(AND(ArtifactsInput!$M$27,Inputs!$B$4="Chapter Hunt"),CHOOSE(ArtifactsInput!$N$27+1,20,24,28,32,36,40),0)/100)),0)</f>
        <v/>
      </c>
      <c r="R2426">
        <f>IF(AND(Inputs!$B$38&lt;&gt;"pvp",Inputs!$B$43&gt;0),IF(MAX(0,Inputs!$B$43-B2440)&lt;=0,0,(INT(MAX(0,Inputs!$B$43-B2440)/(IF(Inputs!$B$38="pvp",15,MAX(0.1,Skills!E24-IF(Skills!F24=TRUE,Inputs!$B$32,0)))*(1-IF(AND(ArtifactsInput!$M$27,Inputs!$B$4="Chapter Hunt"),CHOOSE(ArtifactsInput!$N$27+1,20,24,28,32,36,40),0)/100)))+1)),0)</f>
        <v/>
      </c>
      <c r="S2426">
        <f>IF(C2426,(H2426*N2426*IF(AND(Inputs!$B$38&lt;&gt;"pvp",Inputs!$B$43&gt;0),((Skills!G24*((R2426-1)*IF(Skills!H24&gt;0,Skills!I24/Skills!H24,1)+IF(Skills!H24&gt;0,MIN(Skills!I24,MAX(0,MAX(0,Inputs!$B$43-B2440)-((R2426-1)*(IF(Inputs!$B$38="pvp",15,MAX(0.1,Skills!E24-IF(Skills!F24=TRUE,Inputs!$B$32,0)))*(1-IF(AND(ArtifactsInput!$M$27,Inputs!$B$4="Chapter Hunt"),CHOOSE(ArtifactsInput!$N$27+1,20,24,28,32,36,40),0)/100)))))/Skills!H24,1)))/Inputs!$B$43),G2426*Q2426)*(1+IF(Inputs!$B$3&gt;=130,0.2*(Skills!I16/Skills!E15+IF(Inputs!$B$3&gt;=126,0.05*(B2438+Q2415+(H2416*B2439)/(1+Skills!H14*H2416*B2439)+Q2426)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2426*(1-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2426*(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2426*(1-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2426*(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26">
        <f>IF(C2426,(H2426*N2426*IF(AND(Inputs!$B$38&lt;&gt;"pvp",Inputs!$B$43&gt;0),((Skills!G24*((R2426-1)*IF(Skills!H24&gt;0,Skills!I24/Skills!H24,1)+IF(Skills!H24&gt;0,MIN(Skills!I24,MAX(0,MAX(0,Inputs!$B$43-B2440)-((R2426-1)*(IF(Inputs!$B$38="pvp",15,MAX(0.1,Skills!E24-IF(Skills!F24=TRUE,Inputs!$B$32,0)))*(1-IF(AND(ArtifactsInput!$M$27,Inputs!$B$4="Chapter Hunt"),CHOOSE(ArtifactsInput!$N$27+1,20,24,28,32,36,40),0)/100)))))/Skills!H24,1)))/Inputs!$B$43),G2426*Q2426)*(1+IF(Inputs!$B$3&gt;=130,0.2*(Skills!I16/Skills!E15+IF(Inputs!$B$3&gt;=126,0.05*(B2438+Q2415+(H2416*B2439)/(1+Skills!H14*H2416*B2439)+Q2426)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7">
      <c r="A2427">
        <f>Skills!A25</f>
        <v/>
      </c>
      <c r="B2427">
        <f>Skills!B25</f>
        <v/>
      </c>
      <c r="C2427">
        <f>Inputs!$B$3&gt;=117</f>
        <v/>
      </c>
      <c r="D2427">
        <f>IF(Skills!C25=1,60+Inputs!$B$25+Inputs!$B$29,IF(Skills!C25=2,90+Inputs!$B$26+Inputs!$B$29,IF(Skills!C25=3,120+Inputs!$B$27+Inputs!$B$29,MAX(0,(Inputs!$B$3-100)*3)+Inputs!$B$28+Inputs!$B$29)))</f>
        <v/>
      </c>
      <c r="E2427">
        <f>INDEX(FactorTable!$B$2:$Y$301, MATCH(ROUND(MIN(300,MAX(1,D2427)),0), FactorTable!$A$2:$A$301,0), Skills!M25+1)</f>
        <v/>
      </c>
      <c r="F2427">
        <f>IF(Skills!N25=TRUE,(Skills!L25/10)*(E2427/1000),Skills!L25/10)+Skills!O25</f>
        <v/>
      </c>
      <c r="G2427">
        <f>Calc!G25</f>
        <v/>
      </c>
      <c r="H2427">
        <f>Calc!H25</f>
        <v/>
      </c>
      <c r="I2427">
        <f>IF(Skills!X25&lt;&gt;"",1+(Skills!X25/10)*(Z2405/1000)/100,1)</f>
        <v/>
      </c>
      <c r="J2427" t="inlineStr"/>
      <c r="K2427" t="inlineStr"/>
      <c r="L2427" t="inlineStr"/>
      <c r="M2427" t="inlineStr"/>
      <c r="N2427" t="inlineStr"/>
      <c r="O2427">
        <f>(1-Summary!$B$11)*S2427+Summary!$B$11*U2427</f>
        <v/>
      </c>
      <c r="P2427">
        <f>IF(B2443=0,0,O2427/B2443)</f>
        <v/>
      </c>
      <c r="Q2427">
        <f>IFERROR(1/(IF(Inputs!$B$38="pvp",15,MAX(0.1,Skills!E25-IF(Skills!F25=TRUE,Inputs!$B$32,0)))*(1-IF(AND(ArtifactsInput!$M$27,Inputs!$B$4="Chapter Hunt"),CHOOSE(ArtifactsInput!$N$27+1,20,24,28,32,36,40),0)/100)),0)</f>
        <v/>
      </c>
      <c r="R2427" t="n">
        <v>0</v>
      </c>
      <c r="S2427" t="n">
        <v>0</v>
      </c>
      <c r="U2427" t="n">
        <v>0</v>
      </c>
    </row>
    <row r="2428">
      <c r="A2428">
        <f>Skills!A26</f>
        <v/>
      </c>
      <c r="B2428">
        <f>Skills!B26</f>
        <v/>
      </c>
      <c r="C2428">
        <f>Inputs!$B$3&gt;=120</f>
        <v/>
      </c>
      <c r="D2428">
        <f>IF(Skills!C26=1,60+Inputs!$B$25+Inputs!$B$29,IF(Skills!C26=2,90+Inputs!$B$26+Inputs!$B$29,IF(Skills!C26=3,120+Inputs!$B$27+Inputs!$B$29,MAX(0,(Inputs!$B$3-100)*3)+Inputs!$B$28+Inputs!$B$29)))</f>
        <v/>
      </c>
      <c r="E2428">
        <f>INDEX(FactorTable!$B$2:$Y$301, MATCH(ROUND(MIN(300,MAX(1,D2428)),0), FactorTable!$A$2:$A$301,0), Skills!M26+1)</f>
        <v/>
      </c>
      <c r="F2428">
        <f>IF(Skills!N26=TRUE,(Skills!L26/10)*(E2428/1000),Skills!L26/10)+Skills!O26</f>
        <v/>
      </c>
      <c r="G2428">
        <f>Calc!G26</f>
        <v/>
      </c>
      <c r="H2428">
        <f>Calc!H26</f>
        <v/>
      </c>
      <c r="I2428">
        <f>IF(Skills!X26&lt;&gt;"",1+(Skills!X26/10)*(Z2405/1000)/100,1)</f>
        <v/>
      </c>
      <c r="J2428" t="inlineStr"/>
      <c r="K2428" t="inlineStr"/>
      <c r="L2428" t="inlineStr"/>
      <c r="M2428" t="inlineStr"/>
      <c r="N2428" t="inlineStr"/>
      <c r="O2428">
        <f>(1-Summary!$B$11)*S2428+Summary!$B$11*U2428</f>
        <v/>
      </c>
      <c r="P2428">
        <f>IF(B2443=0,0,O2428/B2443)</f>
        <v/>
      </c>
      <c r="Q2428">
        <f>IFERROR(1/(IF(Inputs!$B$38="pvp",15,MAX(0.1,Skills!E26-IF(Skills!F26=TRUE,Inputs!$B$32,0)))*(1-IF(AND(ArtifactsInput!$M$27,Inputs!$B$4="Chapter Hunt"),CHOOSE(ArtifactsInput!$N$27+1,20,24,28,32,36,40),0)/100)),0)</f>
        <v/>
      </c>
      <c r="R2428" t="n">
        <v>0</v>
      </c>
      <c r="S2428" t="n">
        <v>0</v>
      </c>
      <c r="U2428" t="n">
        <v>0</v>
      </c>
    </row>
    <row r="2429">
      <c r="A2429">
        <f>Skills!A27</f>
        <v/>
      </c>
      <c r="B2429">
        <f>Skills!B27</f>
        <v/>
      </c>
      <c r="C2429">
        <f>Inputs!$B$3&gt;=125</f>
        <v/>
      </c>
      <c r="D2429">
        <f>IF(Skills!C27=1,60+Inputs!$B$25+Inputs!$B$29,IF(Skills!C27=2,90+Inputs!$B$26+Inputs!$B$29,IF(Skills!C27=3,120+Inputs!$B$27+Inputs!$B$29,MAX(0,(Inputs!$B$3-100)*3)+Inputs!$B$28+Inputs!$B$29)))</f>
        <v/>
      </c>
      <c r="E2429">
        <f>INDEX(FactorTable!$B$2:$Y$301, MATCH(ROUND(MIN(300,MAX(1,D2429)),0), FactorTable!$A$2:$A$301,0), Skills!M27+1)</f>
        <v/>
      </c>
      <c r="F2429">
        <f>IF(Skills!N27=TRUE,(Skills!L27/10)*(E2429/1000),Skills!L27/10)+Skills!O27</f>
        <v/>
      </c>
      <c r="G2429">
        <f>Calc!G27</f>
        <v/>
      </c>
      <c r="H2429">
        <f>Calc!H27</f>
        <v/>
      </c>
      <c r="I2429">
        <f>IF(Skills!X27&lt;&gt;"",1+(Skills!X27/10)*(Z2405/1000)/100,1)</f>
        <v/>
      </c>
      <c r="J2429" t="inlineStr"/>
      <c r="K2429" t="inlineStr"/>
      <c r="L2429" t="inlineStr"/>
      <c r="M2429" t="inlineStr"/>
      <c r="N2429" t="inlineStr"/>
      <c r="O2429">
        <f>(1-Summary!$B$11)*S2429+Summary!$B$11*U2429</f>
        <v/>
      </c>
      <c r="P2429">
        <f>IF(B2443=0,0,O2429/B2443)</f>
        <v/>
      </c>
      <c r="Q2429">
        <f>IFERROR(1/(IF(Inputs!$B$38="pvp",15,MAX(0.1,Skills!E27-IF(Skills!F27=TRUE,Inputs!$B$32,0)))*(1-IF(AND(ArtifactsInput!$M$27,Inputs!$B$4="Chapter Hunt"),CHOOSE(ArtifactsInput!$N$27+1,20,24,28,32,36,40),0)/100)),0)</f>
        <v/>
      </c>
      <c r="R2429" t="n">
        <v>0</v>
      </c>
      <c r="S2429" t="n">
        <v>0</v>
      </c>
      <c r="U2429" t="n">
        <v>0</v>
      </c>
    </row>
    <row r="2430">
      <c r="A2430">
        <f>Skills!A28</f>
        <v/>
      </c>
      <c r="B2430">
        <f>Skills!B28</f>
        <v/>
      </c>
      <c r="C2430">
        <f>Inputs!$B$3&gt;=118</f>
        <v/>
      </c>
      <c r="D2430">
        <f>IF(Skills!C28=1,60+Inputs!$B$25+Inputs!$B$29,IF(Skills!C28=2,90+Inputs!$B$26+Inputs!$B$29,IF(Skills!C28=3,120+Inputs!$B$27+Inputs!$B$29,MAX(0,(Inputs!$B$3-100)*3)+Inputs!$B$28+Inputs!$B$29)))</f>
        <v/>
      </c>
      <c r="E2430">
        <f>INDEX(FactorTable!$B$2:$Y$301, MATCH(ROUND(MIN(300,MAX(1,D2430)),0), FactorTable!$A$2:$A$301,0), Skills!M28+1)</f>
        <v/>
      </c>
      <c r="F2430">
        <f>IF(Skills!N28=TRUE,(Skills!L28/10)*(E2430/1000),Skills!L28/10)+Skills!O28</f>
        <v/>
      </c>
      <c r="G2430">
        <f>Calc!G28</f>
        <v/>
      </c>
      <c r="H2430">
        <f>Calc!H28</f>
        <v/>
      </c>
      <c r="I2430">
        <f>IF(Skills!X28&lt;&gt;"",1+(Skills!X28/10)*(Z2405/1000)/100,1)</f>
        <v/>
      </c>
      <c r="J2430">
        <f>((Inputs!$B$6*(1+Inputs!$B$7/100))+(((Inputs!$B$12*(1+Inputs!$B$13/100))-(Inputs!$B$12*(1+Inputs!$B$13/100)))+0.25*(Inputs!$B$14-Inputs!$B$14))*(1+Inputs!$B$7/100))*(F2430/100)</f>
        <v/>
      </c>
      <c r="K2430">
        <f>J2430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2425/100)*(1+IF(Inputs!$B$3&gt;=120,F2428,0)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2429*5,0)))/100)*(B2432*B2433*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2430)</f>
        <v/>
      </c>
      <c r="L2430">
        <f>K2430*(MIN(Inputs!$B$22+(F2424-Calc!F22),(Inputs!$B$23+(IF(ArtifactsInput!$M$15,CHOOSE(ArtifactsInput!$N$15+1,25,30,35,40,45,50)/100*(Inputs!$B$11-Inputs!$B$11),0))))/100+(Inputs!$B$23+(IF(ArtifactsInput!$M$15,CHOOSE(ArtifactsInput!$N$15+1,25,30,35,40,45,50)/100*(Inputs!$B$11-Inputs!$B$11),0)))/100)/2</f>
        <v/>
      </c>
      <c r="M2430">
        <f>L2430*(1+(Inputs!$B$10+(F2423-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0">
        <f>L2430*(1-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2430*(MIN((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0">
        <f>(1-Summary!$B$11)*S2430+Summary!$B$11*U2430</f>
        <v/>
      </c>
      <c r="P2430">
        <f>IF(B2443=0,0,O2430/B2443)</f>
        <v/>
      </c>
      <c r="Q2430">
        <f>IFERROR(1/(IF(Inputs!$B$38="pvp",15,MAX(0.1,Skills!E28-IF(Skills!F28=TRUE,Inputs!$B$32,0)))*(1-IF(AND(ArtifactsInput!$M$27,Inputs!$B$4="Chapter Hunt"),CHOOSE(ArtifactsInput!$N$27+1,20,24,28,32,36,40),0)/100)),0)</f>
        <v/>
      </c>
      <c r="R2430">
        <f>IF(AND(Inputs!$B$38&lt;&gt;"pvp",Inputs!$B$43&gt;0),IF(MAX(0,Inputs!$B$43-B2440)&lt;=0,0,(INT(MAX(0,Inputs!$B$43-B2440)/(IF(Inputs!$B$38="pvp",15,MAX(0.1,Skills!E28-IF(Skills!F28=TRUE,Inputs!$B$32,0)))*(1-IF(AND(ArtifactsInput!$M$27,Inputs!$B$4="Chapter Hunt"),CHOOSE(ArtifactsInput!$N$27+1,20,24,28,32,36,40),0)/100)))+1)),0)</f>
        <v/>
      </c>
      <c r="S2430">
        <f>IF(C2430,(H2430*N2430*IF(AND(Inputs!$B$38&lt;&gt;"pvp",Inputs!$B$43&gt;0),((Skills!G28*((R2430-1)*IF(Skills!H28&gt;0,Skills!I28/Skills!H28,1)+IF(Skills!H28&gt;0,MIN(Skills!I28,MAX(0,MAX(0,Inputs!$B$43-B2440)-((R2430-1)*(IF(Inputs!$B$38="pvp",15,MAX(0.1,Skills!E28-IF(Skills!F28=TRUE,Inputs!$B$32,0)))*(1-IF(AND(ArtifactsInput!$M$27,Inputs!$B$4="Chapter Hunt"),CHOOSE(ArtifactsInput!$N$27+1,20,24,28,32,36,40),0)/100)))))/Skills!H28,1)))/Inputs!$B$43),G2430*Q2430)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2430*(1-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2430*(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2430*(1-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2430*(MIN(100,(Inputs!$B$9+(F2422-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30">
        <f>IF(C2430,(H2430*N2430*IF(AND(Inputs!$B$38&lt;&gt;"pvp",Inputs!$B$43&gt;0),((Skills!G28*((R2430-1)*IF(Skills!H28&gt;0,Skills!I28/Skills!H28,1)+IF(Skills!H28&gt;0,MIN(Skills!I28,MAX(0,MAX(0,Inputs!$B$43-B2440)-((R2430-1)*(IF(Inputs!$B$38="pvp",15,MAX(0.1,Skills!E28-IF(Skills!F28=TRUE,Inputs!$B$32,0)))*(1-IF(AND(ArtifactsInput!$M$27,Inputs!$B$4="Chapter Hunt"),CHOOSE(ArtifactsInput!$N$27+1,20,24,28,32,36,40),0)/100)))))/Skills!H28,1)))/Inputs!$B$43),G2430*Q2430)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2">
      <c r="A2432" t="inlineStr">
        <is>
          <t>Burning Magic Multiplier</t>
        </is>
      </c>
      <c r="B2432">
        <f>1+(F2413*Skills!Z11)/100</f>
        <v/>
      </c>
    </row>
    <row r="2433">
      <c r="A2433" t="inlineStr">
        <is>
          <t>Elemental Decrease Multiplier (always-on)</t>
        </is>
      </c>
      <c r="B2433">
        <f>1+(F2414+(IF(AND(IF(ArtifactsInput!$M$35,FALSE,TRUE),Inputs!$B$4&lt;&gt;"Chapter Hunt"),CHOOSE(ArtifactsInput!$N$35+1,15,18,21,24,27,30)*(1-EXP(-(0.2*B2436)*5)),0)+IF(AND(ArtifactsInput!$M$22,Inputs!$B$4&lt;&gt;"Chapter Hunt"),CHOOSE(ArtifactsInput!$N$22+1,10,12,14,16,18,20)*((0*(((0.15*B2436*5))^0/1)+1*(((0.15*B2436*5))^1/1)+2*(((0.15*B2436*5))^2/2)+3*(((0.15*B2436*5))^3/6)+4*(((0.15*B2436*5))^4/24)+5*(((0.15*B2436*5))^5/120))/((((0.15*B2436*5))^0/1)+(((0.15*B2436*5))^1/1)+(((0.15*B2436*5))^2/2)+(((0.15*B2436*5))^3/6)+(((0.15*B2436*5))^4/24)+(((0.15*B2436*5))^5/120))),0)))/100</f>
        <v/>
      </c>
    </row>
    <row r="2434">
      <c r="A2434" t="inlineStr">
        <is>
          <t>Average Buff Multiplier (Magic Guard + Meditation + Artifact Attack%, summed; then Infinity)</t>
        </is>
      </c>
      <c r="B2434">
        <f>(1+(F2408*IF(AND(Inputs!$B$38&lt;&gt;"pvp",Inputs!$B$43&gt;0),(((R2408-1)*(Skills!T6*(1+((Inputs!$B$34+(ArtifactsInput!$M$7-ArtifactsInput!$M$7)*CHOOSE(ArtifactsInput!$N$7+1,6,7.2,8.4,9.6,10.8,12)))/100))+MIN((Skills!T6*(1+((Inputs!$B$34+(ArtifactsInput!$M$7-ArtifactsInput!$M$7)*CHOOSE(ArtifactsInput!$N$7+1,6,7.2,8.4,9.6,10.8,12)))/100)),MAX(0,Inputs!$B$43-((R2408-1)*Skills!E6))))/Inputs!$B$43),IF(Inputs!$B$38="pvp",MIN((Skills!T6*(1+((Inputs!$B$34+(ArtifactsInput!$M$7-ArtifactsInput!$M$7)*CHOOSE(ArtifactsInput!$N$7+1,6,7.2,8.4,9.6,10.8,12)))/100)),15)/15,(Skills!T6*(1+((Inputs!$B$34+(ArtifactsInput!$M$7-ArtifactsInput!$M$7)*CHOOSE(ArtifactsInput!$N$7+1,6,7.2,8.4,9.6,10.8,12)))/100))/Skills!E6))+F2419*IF(AND(Inputs!$B$38&lt;&gt;"pvp",Inputs!$B$43&gt;0),(((R2419-1)*(Skills!T17*(1+((Inputs!$B$34+(ArtifactsInput!$M$7-ArtifactsInput!$M$7)*CHOOSE(ArtifactsInput!$N$7+1,6,7.2,8.4,9.6,10.8,12)))/100))+MIN((Skills!T17*(1+((Inputs!$B$34+(ArtifactsInput!$M$7-ArtifactsInput!$M$7)*CHOOSE(ArtifactsInput!$N$7+1,6,7.2,8.4,9.6,10.8,12)))/100)),MAX(0,Inputs!$B$43-((R2419-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2421=TRUE,(1+F2421*IF(AND(Inputs!$B$38&lt;&gt;"pvp",Inputs!$B$43&gt;0),(((R2421-1)*(Skills!T19*(1+((Inputs!$B$34+(ArtifactsInput!$M$7-ArtifactsInput!$M$7)*CHOOSE(ArtifactsInput!$N$7+1,6,7.2,8.4,9.6,10.8,12)))/100))+MIN((Skills!T19*(1+((Inputs!$B$34+(ArtifactsInput!$M$7-ArtifactsInput!$M$7)*CHOOSE(ArtifactsInput!$N$7+1,6,7.2,8.4,9.6,10.8,12)))/100)),MAX(0,Inputs!$B$43-((R2421-1)*Skills!E19))))/Inputs!$B$43),IF(Inputs!$B$38="pvp",MIN((Skills!T19*(1+((Inputs!$B$34+(ArtifactsInput!$M$7-ArtifactsInput!$M$7)*CHOOSE(ArtifactsInput!$N$7+1,6,7.2,8.4,9.6,10.8,12)))/100)),15)/15,(Skills!T19*(1+((Inputs!$B$34+(ArtifactsInput!$M$7-ArtifactsInput!$M$7)*CHOOSE(ArtifactsInput!$N$7+1,6,7.2,8.4,9.6,10.8,12)))/100))/Skills!E19))/100),1)</f>
        <v/>
      </c>
    </row>
    <row r="2435">
      <c r="A2435" t="inlineStr">
        <is>
          <t>Attack Speed Buff Bonus % (Nimble Feet, averaged)</t>
        </is>
      </c>
      <c r="B2435">
        <f>F2420*IF(AND(Inputs!$B$38&lt;&gt;"pvp",Inputs!$B$43&gt;0),(((R2420-1)*(Skills!T18*(1+((Inputs!$B$34+(ArtifactsInput!$M$7-ArtifactsInput!$M$7)*CHOOSE(ArtifactsInput!$N$7+1,6,7.2,8.4,9.6,10.8,12)))/100))+MIN((Skills!T18*(1+((Inputs!$B$34+(ArtifactsInput!$M$7-ArtifactsInput!$M$7)*CHOOSE(ArtifactsInput!$N$7+1,6,7.2,8.4,9.6,10.8,12)))/100)),MAX(0,Inputs!$B$43-((R2420-1)*Skills!E18))))/Inputs!$B$43),IF(Inputs!$B$38="pvp",MIN((Skills!T18*(1+((Inputs!$B$34+(ArtifactsInput!$M$7-ArtifactsInput!$M$7)*CHOOSE(ArtifactsInput!$N$7+1,6,7.2,8.4,9.6,10.8,12)))/100)),15)/15,(Skills!T18*(1+((Inputs!$B$34+(ArtifactsInput!$M$7-ArtifactsInput!$M$7)*CHOOSE(ArtifactsInput!$N$7+1,6,7.2,8.4,9.6,10.8,12)))/100))/Skills!E18))</f>
        <v/>
      </c>
    </row>
    <row r="2436">
      <c r="A2436" t="inlineStr">
        <is>
          <t>Actions Per Second</t>
        </is>
      </c>
      <c r="B2436">
        <f>1+MIN(150,150*(1-(1-(Inputs!$B$11+(ArtifactsInput!$M$15-ArtifactsInput!$M$15)*CHOOSE(ArtifactsInput!$N$15+1,8,9.6,11.2,12.8,14.4,16))/150)*(1-B2435/150)))/100</f>
        <v/>
      </c>
    </row>
    <row r="2437">
      <c r="A2437" t="inlineStr">
        <is>
          <t>Skill + Buff Cast Rate</t>
        </is>
      </c>
      <c r="B2437">
        <f>IF(AND(Inputs!$B$38&lt;&gt;"pvp",Inputs!$B$43&gt;0),SUMPRODUCT((Skills!F2:F28=TRUE)*(C2404:C2430=TRUE)*R2404:R2430)/Inputs!$B$43,SUMPRODUCT((Skills!F2:F28=TRUE)*(C2404:C2430=TRUE)*Q2404:Q2430))</f>
        <v/>
      </c>
    </row>
    <row r="2438">
      <c r="A2438" t="inlineStr">
        <is>
          <t>Basic Attacks Per Second</t>
        </is>
      </c>
      <c r="B2438">
        <f>MAX(0,B2436-B2437)</f>
        <v/>
      </c>
    </row>
    <row r="2439">
      <c r="A2439" t="inlineStr">
        <is>
          <t>Meteor Proc — combined trigger cast rate</t>
        </is>
      </c>
      <c r="B2439">
        <f>IF(AND(Inputs!$B$38&lt;&gt;"pvp",Inputs!$B$43&gt;0),SUMPRODUCT((Skills!V2:V28=TRUE)*(C2404:C2430=TRUE)*R2404:R2430*Skills!W2:W28)/Inputs!$B$43,SUMPRODUCT((Skills!V2:V28=TRUE)*(C2404:C2430=TRUE)*Q2404:Q2430*Skills!W2:W28))+B2438</f>
        <v/>
      </c>
    </row>
    <row r="2440">
      <c r="A2440" t="inlineStr">
        <is>
          <t>Buff-Casting Startup Delay (s, fixed-duration only)</t>
        </is>
      </c>
      <c r="B2440">
        <f>IF(AND(Inputs!$B$38&lt;&gt;"pvp",Inputs!$B$43&gt;0),SUMPRODUCT((Skills!T2:T28&gt;0)*(Skills!F2:F28=TRUE)*(C2404:C2430=TRUE))/B2436,0)</f>
        <v/>
      </c>
    </row>
    <row r="2441">
      <c r="A2441" t="inlineStr">
        <is>
          <t>Boss-Only Total DPS (this block's swept value)</t>
        </is>
      </c>
      <c r="B2441">
        <f>SUM(S2404:S2430)</f>
        <v/>
      </c>
    </row>
    <row r="2442">
      <c r="A2442" t="inlineStr">
        <is>
          <t>Normal-Only Total DPS (this block's swept value)</t>
        </is>
      </c>
      <c r="B2442">
        <f>SUM(U2404:U2430)</f>
        <v/>
      </c>
    </row>
    <row r="2443">
      <c r="A2443" s="6" t="inlineStr">
        <is>
          <t>TOTAL DPS</t>
        </is>
      </c>
      <c r="B2443" s="6">
        <f>SUM(O2404:O2430)</f>
        <v/>
      </c>
    </row>
    <row r="2446">
      <c r="A2446" s="6" t="inlineStr">
        <is>
          <t>Stat: Candle (Equip)</t>
        </is>
      </c>
    </row>
    <row r="2447">
      <c r="A2447" s="5" t="inlineStr">
        <is>
          <t>Key</t>
        </is>
      </c>
      <c r="B2447" s="5" t="inlineStr">
        <is>
          <t>Name</t>
        </is>
      </c>
      <c r="C2447" s="5" t="inlineStr">
        <is>
          <t>Unlocked</t>
        </is>
      </c>
      <c r="D2447" s="5" t="inlineStr">
        <is>
          <t>InputLevel</t>
        </is>
      </c>
      <c r="E2447" s="5" t="inlineStr">
        <is>
          <t>Factor</t>
        </is>
      </c>
      <c r="F2447" s="5" t="inlineStr">
        <is>
          <t>CoefficientPercent</t>
        </is>
      </c>
      <c r="G2447" s="5" t="inlineStr">
        <is>
          <t>EffectiveHits</t>
        </is>
      </c>
      <c r="H2447" s="5" t="inlineStr">
        <is>
          <t>ProcProbability</t>
        </is>
      </c>
      <c r="I2447" s="5" t="inlineStr">
        <is>
          <t>MapleHeroMultiplier</t>
        </is>
      </c>
      <c r="J2447" s="5" t="inlineStr">
        <is>
          <t>BaseDamage</t>
        </is>
      </c>
      <c r="K2447" s="5" t="inlineStr">
        <is>
          <t>BaseHitDamage</t>
        </is>
      </c>
      <c r="L2447" s="5" t="inlineStr">
        <is>
          <t>NonCritAvg</t>
        </is>
      </c>
      <c r="M2447" s="5" t="inlineStr">
        <is>
          <t>CritAvg</t>
        </is>
      </c>
      <c r="N2447" s="5" t="inlineStr">
        <is>
          <t>ExpectedDamage(perHit)</t>
        </is>
      </c>
      <c r="O2447" s="5" t="inlineStr">
        <is>
          <t>DPS</t>
        </is>
      </c>
      <c r="P2447" s="5" t="inlineStr">
        <is>
          <t>% of Total</t>
        </is>
      </c>
      <c r="R2447" t="inlineStr">
        <is>
          <t>helpers</t>
        </is>
      </c>
    </row>
    <row r="2448">
      <c r="A2448">
        <f>Skills!A2</f>
        <v/>
      </c>
      <c r="B2448">
        <f>Skills!B2</f>
        <v/>
      </c>
      <c r="C2448">
        <f>TRUE</f>
        <v/>
      </c>
      <c r="D2448" t="inlineStr"/>
      <c r="E2448" t="inlineStr"/>
      <c r="F2448">
        <f>T2450+Skills!O2</f>
        <v/>
      </c>
      <c r="G2448">
        <f>Calc!G2</f>
        <v/>
      </c>
      <c r="H2448">
        <f>Calc!H2</f>
        <v/>
      </c>
      <c r="I2448">
        <f>IF(Skills!X2&lt;&gt;"",1+(Skills!X2/10)*(Z2449/1000)/100,1)</f>
        <v/>
      </c>
      <c r="J2448">
        <f>((Inputs!$B$6*(1+Inputs!$B$7/100))+(((Inputs!$B$12*(1+Inputs!$B$13/100))-(Inputs!$B$12*(1+Inputs!$B$13/100)))+0.25*(Inputs!$B$14-Inputs!$B$14))*(1+Inputs!$B$7/100))*(F2448/100)</f>
        <v/>
      </c>
      <c r="K2448">
        <f>J2448*(1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2448)</f>
        <v/>
      </c>
      <c r="L2448">
        <f>K2448*(MIN(Inputs!$B$22+(F2468-Calc!F22),(Inputs!$B$23+(IF(ArtifactsInput!$M$15,CHOOSE(ArtifactsInput!$N$15+1,25,30,35,40,45,50)/100*(Inputs!$B$11-Inputs!$B$11),0))))/100+(Inputs!$B$23+(IF(ArtifactsInput!$M$15,CHOOSE(ArtifactsInput!$N$15+1,25,30,35,40,45,50)/100*(Inputs!$B$11-Inputs!$B$11),0)))/100)/2</f>
        <v/>
      </c>
      <c r="M2448">
        <f>L2448*(1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48">
        <f>L2448*(1-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2448*(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48">
        <f>(1-Summary!$B$11)*S2448+Summary!$B$11*U2448</f>
        <v/>
      </c>
      <c r="P2448">
        <f>IF(B2487=0,0,O2448/B2487)</f>
        <v/>
      </c>
      <c r="Q2448">
        <f>IFERROR(1/(IF(Inputs!$B$38="pvp",15,MAX(0.1,Skills!E2-IF(Skills!F2=TRUE,Inputs!$B$32,0)))*(1-IF(AND(ArtifactsInput!$M$27,Inputs!$B$4="Chapter Hunt"),CHOOSE(ArtifactsInput!$N$27+1,20,24,28,32,36,40),0)/100)),0)</f>
        <v/>
      </c>
      <c r="R2448" t="n">
        <v>0</v>
      </c>
      <c r="S2448">
        <f>(Skills!G2*N2448*B2482)*IF(Inputs!$B$38="pvp",1,1+(Inputs!$B$20+Skills!P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2448*(1-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2448*(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2448*(1-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2448*(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448">
        <f>MAX(0,(Inputs!$B$3-100)*3)+Inputs!$B$28+Inputs!$B$29</f>
        <v/>
      </c>
      <c r="U2448">
        <f>(Skills!G2*N2448*B2482)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448">
        <f>MAX(0,(Inputs!$B$3-100)*3)+Inputs!$B$28+Inputs!$B$29</f>
        <v/>
      </c>
    </row>
    <row r="2449">
      <c r="A2449">
        <f>Skills!A3</f>
        <v/>
      </c>
      <c r="B2449">
        <f>Skills!B3</f>
        <v/>
      </c>
      <c r="C2449">
        <f>TRUE</f>
        <v/>
      </c>
      <c r="D2449">
        <f>IF(Skills!C3=1,60+Inputs!$B$25+Inputs!$B$29,IF(Skills!C3=2,90+Inputs!$B$26+Inputs!$B$29,IF(Skills!C3=3,120+Inputs!$B$27+Inputs!$B$29,MAX(0,(Inputs!$B$3-100)*3)+Inputs!$B$28+Inputs!$B$29)))</f>
        <v/>
      </c>
      <c r="E2449">
        <f>INDEX(FactorTable!$B$2:$Y$301, MATCH(ROUND(MIN(300,MAX(1,D2449)),0), FactorTable!$A$2:$A$301,0), Skills!M3+1)</f>
        <v/>
      </c>
      <c r="F2449">
        <f>IF(Skills!N3=TRUE,(Skills!L3/10)*(E2449/1000),Skills!L3/10)+Skills!O3</f>
        <v/>
      </c>
      <c r="G2449">
        <f>Calc!G3</f>
        <v/>
      </c>
      <c r="H2449">
        <f>Calc!H3</f>
        <v/>
      </c>
      <c r="I2449">
        <f>IF(Skills!X3&lt;&gt;"",1+(Skills!X3/10)*(Z2449/1000)/100,1)</f>
        <v/>
      </c>
      <c r="J2449">
        <f>((Inputs!$B$6*(1+Inputs!$B$7/100))+(((Inputs!$B$12*(1+Inputs!$B$13/100))-(Inputs!$B$12*(1+Inputs!$B$13/100)))+0.25*(Inputs!$B$14-Inputs!$B$14))*(1+Inputs!$B$7/100))*(F2449/100)</f>
        <v/>
      </c>
      <c r="K2449">
        <f>J2449*(1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2449)</f>
        <v/>
      </c>
      <c r="L2449">
        <f>K2449*(MIN(Inputs!$B$22+(F2468-Calc!F22),(Inputs!$B$23+(IF(ArtifactsInput!$M$15,CHOOSE(ArtifactsInput!$N$15+1,25,30,35,40,45,50)/100*(Inputs!$B$11-Inputs!$B$11),0))))/100+(Inputs!$B$23+(IF(ArtifactsInput!$M$15,CHOOSE(ArtifactsInput!$N$15+1,25,30,35,40,45,50)/100*(Inputs!$B$11-Inputs!$B$11),0)))/100)/2</f>
        <v/>
      </c>
      <c r="M2449">
        <f>L2449*(1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49">
        <f>L2449*(1-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2449*(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49">
        <f>(1-Summary!$B$11)*S2449+Summary!$B$11*U2449</f>
        <v/>
      </c>
      <c r="P2449">
        <f>IF(B2487=0,0,O2449/B2487)</f>
        <v/>
      </c>
      <c r="Q2449">
        <f>IFERROR(1/(IF(Inputs!$B$38="pvp",15,MAX(0.1,Skills!E3-IF(Skills!F3=TRUE,Inputs!$B$32,0)))*(1-IF(AND(ArtifactsInput!$M$27,Inputs!$B$4="Chapter Hunt"),CHOOSE(ArtifactsInput!$N$27+1,20,24,28,32,36,40),0)/100)),0)</f>
        <v/>
      </c>
      <c r="R2449">
        <f>IF(AND(Inputs!$B$38&lt;&gt;"pvp",Inputs!$B$43&gt;0),IF(MAX(0,Inputs!$B$43-B2484)&lt;=0,0,(INT(MAX(0,Inputs!$B$43-B2484)/(IF(Inputs!$B$38="pvp",15,MAX(0.1,Skills!E3-IF(Skills!F3=TRUE,Inputs!$B$32,0)))*(1-IF(AND(ArtifactsInput!$M$27,Inputs!$B$4="Chapter Hunt"),CHOOSE(ArtifactsInput!$N$27+1,20,24,28,32,36,40),0)/100)))+1)),0)</f>
        <v/>
      </c>
      <c r="S2449">
        <f>IF(C2449,(H2449*N2449*IF(AND(Inputs!$B$38&lt;&gt;"pvp",Inputs!$B$43&gt;0),((Skills!G3*((R2449-1)*IF(Skills!H3&gt;0,Skills!I3/Skills!H3,1)+IF(Skills!H3&gt;0,MIN(Skills!I3,MAX(0,MAX(0,Inputs!$B$43-B2484)-((R2449-1)*(IF(Inputs!$B$38="pvp",15,MAX(0.1,Skills!E3-IF(Skills!F3=TRUE,Inputs!$B$32,0)))*(1-IF(AND(ArtifactsInput!$M$27,Inputs!$B$4="Chapter Hunt"),CHOOSE(ArtifactsInput!$N$27+1,20,24,28,32,36,40),0)/100)))))/Skills!H3,1)))/Inputs!$B$43),G2449*Q2449))*IF(Inputs!$B$38="pvp",1,1+(Inputs!$B$20+Skills!P3+(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2449*(1-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2449*(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2449*(1-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2449*(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49">
        <f>INDEX(FactorTable!$B$2:$Y$301, MATCH(ROUND(MIN(300,MAX(1,T2448)),0), FactorTable!$A$2:$A$301,0), 22)</f>
        <v/>
      </c>
      <c r="U2449">
        <f>IF(C2449,(H2449*N2449*IF(AND(Inputs!$B$38&lt;&gt;"pvp",Inputs!$B$43&gt;0),((Skills!G3*((R2449-1)*IF(Skills!H3&gt;0,Skills!I3/Skills!H3,1)+IF(Skills!H3&gt;0,MIN(Skills!I3,MAX(0,MAX(0,Inputs!$B$43-B2484)-((R2449-1)*(IF(Inputs!$B$38="pvp",15,MAX(0.1,Skills!E3-IF(Skills!F3=TRUE,Inputs!$B$32,0)))*(1-IF(AND(ArtifactsInput!$M$27,Inputs!$B$4="Chapter Hunt"),CHOOSE(ArtifactsInput!$N$27+1,20,24,28,32,36,40),0)/100)))))/Skills!H3,1)))/Inputs!$B$43),G2449*Q2449)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449">
        <f>INDEX(FactorTable!$B$2:$Y$301, MATCH(ROUND(MIN(300,MAX(1,Z2448)),0), FactorTable!$A$2:$A$301,0), 24)</f>
        <v/>
      </c>
    </row>
    <row r="2450">
      <c r="A2450">
        <f>Skills!A4</f>
        <v/>
      </c>
      <c r="B2450">
        <f>Skills!B4</f>
        <v/>
      </c>
      <c r="C2450">
        <f>TRUE</f>
        <v/>
      </c>
      <c r="D2450">
        <f>IF(Skills!C4=1,60+Inputs!$B$25+Inputs!$B$29,IF(Skills!C4=2,90+Inputs!$B$26+Inputs!$B$29,IF(Skills!C4=3,120+Inputs!$B$27+Inputs!$B$29,MAX(0,(Inputs!$B$3-100)*3)+Inputs!$B$28+Inputs!$B$29)))</f>
        <v/>
      </c>
      <c r="E2450">
        <f>INDEX(FactorTable!$B$2:$Y$301, MATCH(ROUND(MIN(300,MAX(1,D2450)),0), FactorTable!$A$2:$A$301,0), Skills!M4+1)</f>
        <v/>
      </c>
      <c r="F2450">
        <f>IF(Skills!N4=TRUE,(Skills!L4/10)*(E2450/1000),Skills!L4/10)+Skills!O4</f>
        <v/>
      </c>
      <c r="G2450">
        <f>Calc!G4</f>
        <v/>
      </c>
      <c r="H2450">
        <f>Calc!H4</f>
        <v/>
      </c>
      <c r="I2450">
        <f>IF(Skills!X4&lt;&gt;"",1+(Skills!X4/10)*(Z2449/1000)/100,1)</f>
        <v/>
      </c>
      <c r="J2450">
        <f>((Inputs!$B$6*(1+Inputs!$B$7/100))+(((Inputs!$B$12*(1+Inputs!$B$13/100))-(Inputs!$B$12*(1+Inputs!$B$13/100)))+0.25*(Inputs!$B$14-Inputs!$B$14))*(1+Inputs!$B$7/100))*(F2450/100)</f>
        <v/>
      </c>
      <c r="K2450">
        <f>J2450*(1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2450)</f>
        <v/>
      </c>
      <c r="L2450">
        <f>K2450*(MIN(Inputs!$B$22+(F2468-Calc!F22),(Inputs!$B$23+(IF(ArtifactsInput!$M$15,CHOOSE(ArtifactsInput!$N$15+1,25,30,35,40,45,50)/100*(Inputs!$B$11-Inputs!$B$11),0))))/100+(Inputs!$B$23+(IF(ArtifactsInput!$M$15,CHOOSE(ArtifactsInput!$N$15+1,25,30,35,40,45,50)/100*(Inputs!$B$11-Inputs!$B$11),0)))/100)/2</f>
        <v/>
      </c>
      <c r="M2450">
        <f>L2450*(1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0">
        <f>L2450*(1-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2450*(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0">
        <f>(1-Summary!$B$11)*S2450+Summary!$B$11*U2450</f>
        <v/>
      </c>
      <c r="P2450">
        <f>IF(B2487=0,0,O2450/B2487)</f>
        <v/>
      </c>
      <c r="Q2450">
        <f>IFERROR(1/(IF(Inputs!$B$38="pvp",15,MAX(0.1,Skills!E4-IF(Skills!F4=TRUE,Inputs!$B$32,0)))*(1-IF(AND(ArtifactsInput!$M$27,Inputs!$B$4="Chapter Hunt"),CHOOSE(ArtifactsInput!$N$27+1,20,24,28,32,36,40),0)/100)),0)</f>
        <v/>
      </c>
      <c r="R2450">
        <f>IF(AND(Inputs!$B$38&lt;&gt;"pvp",Inputs!$B$43&gt;0),IF(MAX(0,Inputs!$B$43-B2484)&lt;=0,0,(INT(MAX(0,Inputs!$B$43-B2484)/(IF(Inputs!$B$38="pvp",15,MAX(0.1,Skills!E4-IF(Skills!F4=TRUE,Inputs!$B$32,0)))*(1-IF(AND(ArtifactsInput!$M$27,Inputs!$B$4="Chapter Hunt"),CHOOSE(ArtifactsInput!$N$27+1,20,24,28,32,36,40),0)/100)))+1)),0)</f>
        <v/>
      </c>
      <c r="S2450">
        <f>IF(C2450,(H2450*N2450*IF(AND(Inputs!$B$38&lt;&gt;"pvp",Inputs!$B$43&gt;0),((Skills!G4*((R2450-1)*IF(Skills!H4&gt;0,Skills!I4/Skills!H4,1)+IF(Skills!H4&gt;0,MIN(Skills!I4,MAX(0,MAX(0,Inputs!$B$43-B2484)-((R2450-1)*(IF(Inputs!$B$38="pvp",15,MAX(0.1,Skills!E4-IF(Skills!F4=TRUE,Inputs!$B$32,0)))*(1-IF(AND(ArtifactsInput!$M$27,Inputs!$B$4="Chapter Hunt"),CHOOSE(ArtifactsInput!$N$27+1,20,24,28,32,36,40),0)/100)))))/Skills!H4,1)))/Inputs!$B$43),G2450*Q2450))*IF(Inputs!$B$38="pvp",1,1+(Inputs!$B$20+Skills!P4+(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2450*(1-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2450*(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2450*(1-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2450*(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50">
        <f>290*T2449/1000</f>
        <v/>
      </c>
      <c r="U2450">
        <f>IF(C2450,(H2450*N2450*IF(AND(Inputs!$B$38&lt;&gt;"pvp",Inputs!$B$43&gt;0),((Skills!G4*((R2450-1)*IF(Skills!H4&gt;0,Skills!I4/Skills!H4,1)+IF(Skills!H4&gt;0,MIN(Skills!I4,MAX(0,MAX(0,Inputs!$B$43-B2484)-((R2450-1)*(IF(Inputs!$B$38="pvp",15,MAX(0.1,Skills!E4-IF(Skills!F4=TRUE,Inputs!$B$32,0)))*(1-IF(AND(ArtifactsInput!$M$27,Inputs!$B$4="Chapter Hunt"),CHOOSE(ArtifactsInput!$N$27+1,20,24,28,32,36,40),0)/100)))))/Skills!H4,1)))/Inputs!$B$43),G2450*Q2450)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1">
      <c r="A2451">
        <f>Skills!A5</f>
        <v/>
      </c>
      <c r="B2451">
        <f>Skills!B5</f>
        <v/>
      </c>
      <c r="C2451">
        <f>TRUE</f>
        <v/>
      </c>
      <c r="D2451">
        <f>IF(Skills!C5=1,60+Inputs!$B$25+Inputs!$B$29,IF(Skills!C5=2,90+Inputs!$B$26+Inputs!$B$29,IF(Skills!C5=3,120+Inputs!$B$27+Inputs!$B$29,MAX(0,(Inputs!$B$3-100)*3)+Inputs!$B$28+Inputs!$B$29)))</f>
        <v/>
      </c>
      <c r="E2451">
        <f>INDEX(FactorTable!$B$2:$Y$301, MATCH(ROUND(MIN(300,MAX(1,D2451)),0), FactorTable!$A$2:$A$301,0), Skills!M5+1)</f>
        <v/>
      </c>
      <c r="F2451">
        <f>IF(Skills!N5=TRUE,(Skills!L5/10)*(E2451/1000),Skills!L5/10)+Skills!O5</f>
        <v/>
      </c>
      <c r="G2451">
        <f>Calc!G5</f>
        <v/>
      </c>
      <c r="H2451">
        <f>Calc!H5</f>
        <v/>
      </c>
      <c r="I2451">
        <f>IF(Skills!X5&lt;&gt;"",1+(Skills!X5/10)*(Z2449/1000)/100,1)</f>
        <v/>
      </c>
      <c r="J2451">
        <f>((Inputs!$B$6*(1+Inputs!$B$7/100))+(((Inputs!$B$12*(1+Inputs!$B$13/100))-(Inputs!$B$12*(1+Inputs!$B$13/100)))+0.25*(Inputs!$B$14-Inputs!$B$14))*(1+Inputs!$B$7/100))*(F2451/100)</f>
        <v/>
      </c>
      <c r="K2451">
        <f>J2451*(1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2451)</f>
        <v/>
      </c>
      <c r="L2451">
        <f>K2451*(MIN(Inputs!$B$22+(F2468-Calc!F22),(Inputs!$B$23+(IF(ArtifactsInput!$M$15,CHOOSE(ArtifactsInput!$N$15+1,25,30,35,40,45,50)/100*(Inputs!$B$11-Inputs!$B$11),0))))/100+(Inputs!$B$23+(IF(ArtifactsInput!$M$15,CHOOSE(ArtifactsInput!$N$15+1,25,30,35,40,45,50)/100*(Inputs!$B$11-Inputs!$B$11),0)))/100)/2</f>
        <v/>
      </c>
      <c r="M2451">
        <f>L2451*(1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1">
        <f>L2451*(1-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1">
        <f>(1-Summary!$B$11)*S2451+Summary!$B$11*U2451</f>
        <v/>
      </c>
      <c r="P2451">
        <f>IF(B2487=0,0,O2451/B2487)</f>
        <v/>
      </c>
      <c r="Q2451">
        <f>IFERROR(1/(IF(Inputs!$B$38="pvp",15,MAX(0.1,Skills!E5-IF(Skills!F5=TRUE,Inputs!$B$32,0)))*(1-IF(AND(ArtifactsInput!$M$27,Inputs!$B$4="Chapter Hunt"),CHOOSE(ArtifactsInput!$N$27+1,20,24,28,32,36,40),0)/100)),0)</f>
        <v/>
      </c>
      <c r="R2451">
        <f>IF(AND(Inputs!$B$38&lt;&gt;"pvp",Inputs!$B$43&gt;0),IF(MAX(0,Inputs!$B$43-B2484)&lt;=0,0,(INT(MAX(0,Inputs!$B$43-B2484)/(IF(Inputs!$B$38="pvp",15,MAX(0.1,Skills!E5-IF(Skills!F5=TRUE,Inputs!$B$32,0)))*(1-IF(AND(ArtifactsInput!$M$27,Inputs!$B$4="Chapter Hunt"),CHOOSE(ArtifactsInput!$N$27+1,20,24,28,32,36,40),0)/100)))+1)),0)</f>
        <v/>
      </c>
      <c r="S2451">
        <f>IF(C2451,(H2451*N2451*IF(AND(Inputs!$B$38&lt;&gt;"pvp",Inputs!$B$43&gt;0),((Skills!G5*((R2451-1)*IF(Skills!H5&gt;0,Skills!I5/Skills!H5,1)+IF(Skills!H5&gt;0,MIN(Skills!I5,MAX(0,MAX(0,Inputs!$B$43-B2484)-((R2451-1)*(IF(Inputs!$B$38="pvp",15,MAX(0.1,Skills!E5-IF(Skills!F5=TRUE,Inputs!$B$32,0)))*(1-IF(AND(ArtifactsInput!$M$27,Inputs!$B$4="Chapter Hunt"),CHOOSE(ArtifactsInput!$N$27+1,20,24,28,32,36,40),0)/100)))))/Skills!H5,1)))/Inputs!$B$43),G2451*Q2451))*IF(Inputs!$B$38="pvp",1,1+(Inputs!$B$20+Skills!P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2451*(1-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2451*(1-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1">
        <f>IF(C2451,(H2451*N2451*IF(AND(Inputs!$B$38&lt;&gt;"pvp",Inputs!$B$43&gt;0),((Skills!G5*((R2451-1)*IF(Skills!H5&gt;0,Skills!I5/Skills!H5,1)+IF(Skills!H5&gt;0,MIN(Skills!I5,MAX(0,MAX(0,Inputs!$B$43-B2484)-((R2451-1)*(IF(Inputs!$B$38="pvp",15,MAX(0.1,Skills!E5-IF(Skills!F5=TRUE,Inputs!$B$32,0)))*(1-IF(AND(ArtifactsInput!$M$27,Inputs!$B$4="Chapter Hunt"),CHOOSE(ArtifactsInput!$N$27+1,20,24,28,32,36,40),0)/100)))))/Skills!H5,1)))/Inputs!$B$43),G2451*Q2451)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2">
      <c r="A2452">
        <f>Skills!A6</f>
        <v/>
      </c>
      <c r="B2452">
        <f>Skills!B6</f>
        <v/>
      </c>
      <c r="C2452">
        <f>TRUE</f>
        <v/>
      </c>
      <c r="D2452">
        <f>IF(Skills!C6=1,60+Inputs!$B$25+Inputs!$B$29,IF(Skills!C6=2,90+Inputs!$B$26+Inputs!$B$29,IF(Skills!C6=3,120+Inputs!$B$27+Inputs!$B$29,MAX(0,(Inputs!$B$3-100)*3)+Inputs!$B$28+Inputs!$B$29)))</f>
        <v/>
      </c>
      <c r="E2452">
        <f>INDEX(FactorTable!$B$2:$Y$301, MATCH(ROUND(MIN(300,MAX(1,D2452)),0), FactorTable!$A$2:$A$301,0), Skills!M6+1)</f>
        <v/>
      </c>
      <c r="F2452">
        <f>IF(Skills!N6=TRUE,(Skills!L6/10)*(E2452/1000),Skills!L6/10)+Skills!O6</f>
        <v/>
      </c>
      <c r="G2452">
        <f>Calc!G6</f>
        <v/>
      </c>
      <c r="H2452">
        <f>Calc!H6</f>
        <v/>
      </c>
      <c r="I2452">
        <f>IF(Skills!X6&lt;&gt;"",1+(Skills!X6/10)*(Z2449/1000)/100,1)</f>
        <v/>
      </c>
      <c r="J2452" t="inlineStr"/>
      <c r="K2452" t="inlineStr"/>
      <c r="L2452" t="inlineStr"/>
      <c r="M2452" t="inlineStr"/>
      <c r="N2452" t="inlineStr"/>
      <c r="O2452">
        <f>(1-Summary!$B$11)*S2452+Summary!$B$11*U2452</f>
        <v/>
      </c>
      <c r="P2452">
        <f>IF(B2487=0,0,O2452/B2487)</f>
        <v/>
      </c>
      <c r="Q2452">
        <f>IFERROR(1/(IF(Inputs!$B$38="pvp",15,MAX(0.1,Skills!E6-IF(Skills!F6=TRUE,Inputs!$B$32,0)))*(1-IF(AND(ArtifactsInput!$M$27,Inputs!$B$4="Chapter Hunt"),CHOOSE(ArtifactsInput!$N$27+1,20,24,28,32,36,40),0)/100)),0)</f>
        <v/>
      </c>
      <c r="R2452">
        <f>IF(AND(Inputs!$B$38&lt;&gt;"pvp",Inputs!$B$43&gt;0),IF(Inputs!$B$43&lt;=0,0,(INT(Inputs!$B$43/(IF(Inputs!$B$38="pvp",15,MAX(0.1,Skills!E6-IF(Skills!F6=TRUE,Inputs!$B$32,0)))*(1-IF(AND(ArtifactsInput!$M$27,Inputs!$B$4="Chapter Hunt"),CHOOSE(ArtifactsInput!$N$27+1,20,24,28,32,36,40),0)/100)))+1)),0)</f>
        <v/>
      </c>
      <c r="S2452" t="n">
        <v>0</v>
      </c>
      <c r="U2452" t="n">
        <v>0</v>
      </c>
    </row>
    <row r="2453">
      <c r="A2453">
        <f>Skills!A7</f>
        <v/>
      </c>
      <c r="B2453">
        <f>Skills!B7</f>
        <v/>
      </c>
      <c r="C2453">
        <f>TRUE</f>
        <v/>
      </c>
      <c r="D2453">
        <f>IF(Skills!C7=1,60+Inputs!$B$25+Inputs!$B$29,IF(Skills!C7=2,90+Inputs!$B$26+Inputs!$B$29,IF(Skills!C7=3,120+Inputs!$B$27+Inputs!$B$29,MAX(0,(Inputs!$B$3-100)*3)+Inputs!$B$28+Inputs!$B$29)))</f>
        <v/>
      </c>
      <c r="E2453">
        <f>INDEX(FactorTable!$B$2:$Y$301, MATCH(ROUND(MIN(300,MAX(1,D2453)),0), FactorTable!$A$2:$A$301,0), Skills!M7+1)</f>
        <v/>
      </c>
      <c r="F2453">
        <f>IF(Skills!N7=TRUE,(Skills!L7/10)*(E2453/1000),Skills!L7/10)+Skills!O7</f>
        <v/>
      </c>
      <c r="G2453">
        <f>Calc!G7</f>
        <v/>
      </c>
      <c r="H2453">
        <f>Calc!H7</f>
        <v/>
      </c>
      <c r="I2453">
        <f>IF(Skills!X7&lt;&gt;"",1+(Skills!X7/10)*(Z2449/1000)/100,1)</f>
        <v/>
      </c>
      <c r="J2453">
        <f>((Inputs!$B$6*(1+Inputs!$B$7/100))+(((Inputs!$B$12*(1+Inputs!$B$13/100))-(Inputs!$B$12*(1+Inputs!$B$13/100)))+0.25*(Inputs!$B$14-Inputs!$B$14))*(1+Inputs!$B$7/100))*(F2453/100)</f>
        <v/>
      </c>
      <c r="K2453">
        <f>J2453*(1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2453)</f>
        <v/>
      </c>
      <c r="L2453">
        <f>K2453*(MIN(Inputs!$B$22+(F2468-Calc!F22),(Inputs!$B$23+(IF(ArtifactsInput!$M$15,CHOOSE(ArtifactsInput!$N$15+1,25,30,35,40,45,50)/100*(Inputs!$B$11-Inputs!$B$11),0))))/100+(Inputs!$B$23+(IF(ArtifactsInput!$M$15,CHOOSE(ArtifactsInput!$N$15+1,25,30,35,40,45,50)/100*(Inputs!$B$11-Inputs!$B$11),0)))/100)/2</f>
        <v/>
      </c>
      <c r="M2453">
        <f>L2453*(1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3">
        <f>L2453*(1-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2453*(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3">
        <f>(1-Summary!$B$11)*S2453+Summary!$B$11*U2453</f>
        <v/>
      </c>
      <c r="P2453">
        <f>IF(B2487=0,0,O2453/B2487)</f>
        <v/>
      </c>
      <c r="Q2453">
        <f>IFERROR(1/(IF(Inputs!$B$38="pvp",15,MAX(0.1,Skills!E7-IF(Skills!F7=TRUE,Inputs!$B$32,0)))*(1-IF(AND(ArtifactsInput!$M$27,Inputs!$B$4="Chapter Hunt"),CHOOSE(ArtifactsInput!$N$27+1,20,24,28,32,36,40),0)/100)),0)</f>
        <v/>
      </c>
      <c r="R2453">
        <f>IF(AND(Inputs!$B$38&lt;&gt;"pvp",Inputs!$B$43&gt;0),IF(MAX(0,Inputs!$B$43-B2484)&lt;=0,0,(INT(MAX(0,Inputs!$B$43-B2484)/(IF(Inputs!$B$38="pvp",15,MAX(0.1,Skills!E7-IF(Skills!F7=TRUE,Inputs!$B$32,0)))*(1-IF(AND(ArtifactsInput!$M$27,Inputs!$B$4="Chapter Hunt"),CHOOSE(ArtifactsInput!$N$27+1,20,24,28,32,36,40),0)/100)))+1)),0)</f>
        <v/>
      </c>
      <c r="S2453">
        <f>IF(C2453,(H2453*N2453*IF(AND(Inputs!$B$38&lt;&gt;"pvp",Inputs!$B$43&gt;0),((Skills!G7*((R2453-1)*IF(Skills!H7&gt;0,Skills!I7/Skills!H7,1)+IF(Skills!H7&gt;0,MIN(Skills!I7,MAX(0,MAX(0,Inputs!$B$43-B2484)-((R2453-1)*(IF(Inputs!$B$38="pvp",15,MAX(0.1,Skills!E7-IF(Skills!F7=TRUE,Inputs!$B$32,0)))*(1-IF(AND(ArtifactsInput!$M$27,Inputs!$B$4="Chapter Hunt"),CHOOSE(ArtifactsInput!$N$27+1,20,24,28,32,36,40),0)/100)))))/Skills!H7,1)))/Inputs!$B$43),G2453*Q2453))*IF(Inputs!$B$38="pvp",1,1+(Inputs!$B$20+Skills!P7+(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2453*(1-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2453*(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2453*(1-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2453*(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3">
        <f>IF(C2453,(H2453*N2453*IF(AND(Inputs!$B$38&lt;&gt;"pvp",Inputs!$B$43&gt;0),((Skills!G7*((R2453-1)*IF(Skills!H7&gt;0,Skills!I7/Skills!H7,1)+IF(Skills!H7&gt;0,MIN(Skills!I7,MAX(0,MAX(0,Inputs!$B$43-B2484)-((R2453-1)*(IF(Inputs!$B$38="pvp",15,MAX(0.1,Skills!E7-IF(Skills!F7=TRUE,Inputs!$B$32,0)))*(1-IF(AND(ArtifactsInput!$M$27,Inputs!$B$4="Chapter Hunt"),CHOOSE(ArtifactsInput!$N$27+1,20,24,28,32,36,40),0)/100)))))/Skills!H7,1)))/Inputs!$B$43),G2453*Q2453)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4">
      <c r="A2454">
        <f>Skills!A8</f>
        <v/>
      </c>
      <c r="B2454">
        <f>Skills!B8</f>
        <v/>
      </c>
      <c r="C2454">
        <f>TRUE</f>
        <v/>
      </c>
      <c r="D2454">
        <f>IF(Skills!C8=1,60+Inputs!$B$25+Inputs!$B$29,IF(Skills!C8=2,90+Inputs!$B$26+Inputs!$B$29,IF(Skills!C8=3,120+Inputs!$B$27+Inputs!$B$29,MAX(0,(Inputs!$B$3-100)*3)+Inputs!$B$28+Inputs!$B$29)))</f>
        <v/>
      </c>
      <c r="E2454">
        <f>INDEX(FactorTable!$B$2:$Y$301, MATCH(ROUND(MIN(300,MAX(1,D2454)),0), FactorTable!$A$2:$A$301,0), Skills!M8+1)</f>
        <v/>
      </c>
      <c r="F2454">
        <f>IF(Skills!N8=TRUE,(Skills!L8/10)*(E2454/1000),Skills!L8/10)+Skills!O8</f>
        <v/>
      </c>
      <c r="G2454">
        <f>Calc!G8</f>
        <v/>
      </c>
      <c r="H2454">
        <f>Calc!H8</f>
        <v/>
      </c>
      <c r="I2454">
        <f>IF(Skills!X8&lt;&gt;"",1+(Skills!X8/10)*(Z2449/1000)/100,1)</f>
        <v/>
      </c>
      <c r="J2454">
        <f>((Inputs!$B$6*(1+Inputs!$B$7/100))+(((Inputs!$B$12*(1+Inputs!$B$13/100))-(Inputs!$B$12*(1+Inputs!$B$13/100)))+0.25*(Inputs!$B$14-Inputs!$B$14))*(1+Inputs!$B$7/100))*(F2454/100)</f>
        <v/>
      </c>
      <c r="K2454">
        <f>J2454*(1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2454)</f>
        <v/>
      </c>
      <c r="L2454">
        <f>K2454*(MIN(Inputs!$B$22+(F2468-Calc!F22),(Inputs!$B$23+(IF(ArtifactsInput!$M$15,CHOOSE(ArtifactsInput!$N$15+1,25,30,35,40,45,50)/100*(Inputs!$B$11-Inputs!$B$11),0))))/100+(Inputs!$B$23+(IF(ArtifactsInput!$M$15,CHOOSE(ArtifactsInput!$N$15+1,25,30,35,40,45,50)/100*(Inputs!$B$11-Inputs!$B$11),0)))/100)/2</f>
        <v/>
      </c>
      <c r="M2454">
        <f>L2454*(1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4">
        <f>L2454*(1-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2454*(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4">
        <f>(1-Summary!$B$11)*S2454+Summary!$B$11*U2454</f>
        <v/>
      </c>
      <c r="P2454">
        <f>IF(B2487=0,0,O2454/B2487)</f>
        <v/>
      </c>
      <c r="Q2454">
        <f>IFERROR(1/(IF(Inputs!$B$38="pvp",15,MAX(0.1,Skills!E8-IF(Skills!F8=TRUE,Inputs!$B$32,0)))*(1-IF(AND(ArtifactsInput!$M$27,Inputs!$B$4="Chapter Hunt"),CHOOSE(ArtifactsInput!$N$27+1,20,24,28,32,36,40),0)/100)),0)</f>
        <v/>
      </c>
      <c r="R2454">
        <f>IF(AND(Inputs!$B$38&lt;&gt;"pvp",Inputs!$B$43&gt;0),IF(MAX(0,Inputs!$B$43-B2484)&lt;=0,0,(INT(MAX(0,Inputs!$B$43-B2484)/(IF(Inputs!$B$38="pvp",15,MAX(0.1,Skills!E8-IF(Skills!F8=TRUE,Inputs!$B$32,0)))*(1-IF(AND(ArtifactsInput!$M$27,Inputs!$B$4="Chapter Hunt"),CHOOSE(ArtifactsInput!$N$27+1,20,24,28,32,36,40),0)/100)))+1)),0)</f>
        <v/>
      </c>
      <c r="S2454">
        <f>IF(C2454,(H2454*N2454*IF(AND(Inputs!$B$38&lt;&gt;"pvp",Inputs!$B$43&gt;0),((Skills!G8*((R2454-1)*IF(Skills!H8&gt;0,Skills!I8/Skills!H8,1)+IF(Skills!H8&gt;0,MIN(Skills!I8,MAX(0,MAX(0,Inputs!$B$43-B2484)-((R2454-1)*(IF(Inputs!$B$38="pvp",15,MAX(0.1,Skills!E8-IF(Skills!F8=TRUE,Inputs!$B$32,0)))*(1-IF(AND(ArtifactsInput!$M$27,Inputs!$B$4="Chapter Hunt"),CHOOSE(ArtifactsInput!$N$27+1,20,24,28,32,36,40),0)/100)))))/Skills!H8,1)))/Inputs!$B$43),G2454*Q2454))*IF(Inputs!$B$38="pvp",1,1+(Inputs!$B$20+Skills!P8+(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2454*(1-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2454*(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2454*(1-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2454*(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4">
        <f>IF(C2454,(H2454*N2454*IF(AND(Inputs!$B$38&lt;&gt;"pvp",Inputs!$B$43&gt;0),((Skills!G8*((R2454-1)*IF(Skills!H8&gt;0,Skills!I8/Skills!H8,1)+IF(Skills!H8&gt;0,MIN(Skills!I8,MAX(0,MAX(0,Inputs!$B$43-B2484)-((R2454-1)*(IF(Inputs!$B$38="pvp",15,MAX(0.1,Skills!E8-IF(Skills!F8=TRUE,Inputs!$B$32,0)))*(1-IF(AND(ArtifactsInput!$M$27,Inputs!$B$4="Chapter Hunt"),CHOOSE(ArtifactsInput!$N$27+1,20,24,28,32,36,40),0)/100)))))/Skills!H8,1)))/Inputs!$B$43),G2454*Q2454)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5">
      <c r="A2455">
        <f>Skills!A9</f>
        <v/>
      </c>
      <c r="B2455">
        <f>Skills!B9</f>
        <v/>
      </c>
      <c r="C2455">
        <f>Inputs!$B$3&gt;=103</f>
        <v/>
      </c>
      <c r="D2455">
        <f>IF(Skills!C9=1,60+Inputs!$B$25+Inputs!$B$29,IF(Skills!C9=2,90+Inputs!$B$26+Inputs!$B$29,IF(Skills!C9=3,120+Inputs!$B$27+Inputs!$B$29,MAX(0,(Inputs!$B$3-100)*3)+Inputs!$B$28+Inputs!$B$29)))</f>
        <v/>
      </c>
      <c r="E2455">
        <f>INDEX(FactorTable!$B$2:$Y$301, MATCH(ROUND(MIN(300,MAX(1,D2455)),0), FactorTable!$A$2:$A$301,0), Skills!M9+1)</f>
        <v/>
      </c>
      <c r="F2455">
        <f>IF(Skills!N9=TRUE,(Skills!L9/10)*(E2455/1000),Skills!L9/10)+Skills!O9</f>
        <v/>
      </c>
      <c r="G2455">
        <f>Calc!G9</f>
        <v/>
      </c>
      <c r="H2455">
        <f>Calc!H9</f>
        <v/>
      </c>
      <c r="I2455">
        <f>IF(Skills!X9&lt;&gt;"",1+(Skills!X9/10)*(Z2449/1000)/100,1)</f>
        <v/>
      </c>
      <c r="J2455">
        <f>((Inputs!$B$6*(1+Inputs!$B$7/100))+(((Inputs!$B$12*(1+Inputs!$B$13/100))-(Inputs!$B$12*(1+Inputs!$B$13/100)))+0.25*(Inputs!$B$14-Inputs!$B$14))*(1+Inputs!$B$7/100))*(F2455/100)</f>
        <v/>
      </c>
      <c r="K2455">
        <f>J2455*(1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2455)</f>
        <v/>
      </c>
      <c r="L2455">
        <f>K2455*(MIN(Inputs!$B$22+(F2468-Calc!F22),(Inputs!$B$23+(IF(ArtifactsInput!$M$15,CHOOSE(ArtifactsInput!$N$15+1,25,30,35,40,45,50)/100*(Inputs!$B$11-Inputs!$B$11),0))))/100+(Inputs!$B$23+(IF(ArtifactsInput!$M$15,CHOOSE(ArtifactsInput!$N$15+1,25,30,35,40,45,50)/100*(Inputs!$B$11-Inputs!$B$11),0)))/100)/2</f>
        <v/>
      </c>
      <c r="M2455">
        <f>L2455*(1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5">
        <f>L2455*(1-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2455*(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5">
        <f>(1-Summary!$B$11)*S2455+Summary!$B$11*U2455</f>
        <v/>
      </c>
      <c r="P2455">
        <f>IF(B2487=0,0,O2455/B2487)</f>
        <v/>
      </c>
      <c r="Q2455">
        <f>IFERROR(1/(IF(Inputs!$B$38="pvp",15,MAX(0.1,Skills!E9-IF(Skills!F7=TRUE,Inputs!$B$32,0)))*(1-IF(AND(ArtifactsInput!$M$27,Inputs!$B$4="Chapter Hunt"),CHOOSE(ArtifactsInput!$N$27+1,20,24,28,32,36,40),0)/100)),0)</f>
        <v/>
      </c>
      <c r="R2455">
        <f>IF(AND(Inputs!$B$38&lt;&gt;"pvp",Inputs!$B$43&gt;0),IF(MAX(0,Inputs!$B$43-B2484)&lt;=0,0,(INT(MAX(0,Inputs!$B$43-B2484)/(IF(Inputs!$B$38="pvp",15,MAX(0.1,Skills!E9-IF(Skills!F7=TRUE,Inputs!$B$32,0)))*(1-IF(AND(ArtifactsInput!$M$27,Inputs!$B$4="Chapter Hunt"),CHOOSE(ArtifactsInput!$N$27+1,20,24,28,32,36,40),0)/100)))+1)),0)</f>
        <v/>
      </c>
      <c r="S2455">
        <f>IF(C2455,(H2455*N2455*IF(AND(Inputs!$B$38&lt;&gt;"pvp",Inputs!$B$43&gt;0),((Skills!G9*((R2455-1)*IF(Skills!H9&gt;0,Skills!I9/Skills!H9,1)+IF(Skills!H9&gt;0,MIN(Skills!I9,MAX(0,MAX(0,Inputs!$B$43-B2484)-((R2455-1)*(IF(Inputs!$B$38="pvp",15,MAX(0.1,Skills!E9-IF(Skills!F7=TRUE,Inputs!$B$32,0)))*(1-IF(AND(ArtifactsInput!$M$27,Inputs!$B$4="Chapter Hunt"),CHOOSE(ArtifactsInput!$N$27+1,20,24,28,32,36,40),0)/100)))))/Skills!H9,1)))/Inputs!$B$43),G2455*Q2455))*IF(Inputs!$B$38="pvp",1,1+(Inputs!$B$20+Skills!P9+(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2455*(1-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2455*(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2455*(1-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2455*(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5">
        <f>IF(C2455,(H2455*N2455*IF(AND(Inputs!$B$38&lt;&gt;"pvp",Inputs!$B$43&gt;0),((Skills!G9*((R2455-1)*IF(Skills!H9&gt;0,Skills!I9/Skills!H9,1)+IF(Skills!H9&gt;0,MIN(Skills!I9,MAX(0,MAX(0,Inputs!$B$43-B2484)-((R2455-1)*(IF(Inputs!$B$38="pvp",15,MAX(0.1,Skills!E9-IF(Skills!F7=TRUE,Inputs!$B$32,0)))*(1-IF(AND(ArtifactsInput!$M$27,Inputs!$B$4="Chapter Hunt"),CHOOSE(ArtifactsInput!$N$27+1,20,24,28,32,36,40),0)/100)))))/Skills!H9,1)))/Inputs!$B$43),G2455*Q2455)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6">
      <c r="A2456">
        <f>Skills!A10</f>
        <v/>
      </c>
      <c r="B2456">
        <f>Skills!B10</f>
        <v/>
      </c>
      <c r="C2456">
        <f>TRUE</f>
        <v/>
      </c>
      <c r="D2456">
        <f>IF(Skills!C10=1,60+Inputs!$B$25+Inputs!$B$29,IF(Skills!C10=2,90+Inputs!$B$26+Inputs!$B$29,IF(Skills!C10=3,120+Inputs!$B$27+Inputs!$B$29,MAX(0,(Inputs!$B$3-100)*3)+Inputs!$B$28+Inputs!$B$29)))</f>
        <v/>
      </c>
      <c r="E2456">
        <f>INDEX(FactorTable!$B$2:$Y$301, MATCH(ROUND(MIN(300,MAX(1,D2456)),0), FactorTable!$A$2:$A$301,0), Skills!M10+1)</f>
        <v/>
      </c>
      <c r="F2456">
        <f>IF(Skills!N10=TRUE,(Skills!L10/10)*(E2456/1000),Skills!L10/10)+Skills!O10</f>
        <v/>
      </c>
      <c r="G2456">
        <f>Calc!G10</f>
        <v/>
      </c>
      <c r="H2456">
        <f>Calc!H10</f>
        <v/>
      </c>
      <c r="I2456">
        <f>IF(Skills!X10&lt;&gt;"",1+(Skills!X10/10)*(Z2449/1000)/100,1)</f>
        <v/>
      </c>
      <c r="J2456">
        <f>((Inputs!$B$6*(1+Inputs!$B$7/100))+(((Inputs!$B$12*(1+Inputs!$B$13/100))-(Inputs!$B$12*(1+Inputs!$B$13/100)))+0.25*(Inputs!$B$14-Inputs!$B$14))*(1+Inputs!$B$7/100))*(F2456/100)</f>
        <v/>
      </c>
      <c r="K2456">
        <f>J2456*(1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2456)</f>
        <v/>
      </c>
      <c r="L2456">
        <f>K2456*(MIN(Inputs!$B$22+(F2468-Calc!F22),(Inputs!$B$23+(IF(ArtifactsInput!$M$15,CHOOSE(ArtifactsInput!$N$15+1,25,30,35,40,45,50)/100*(Inputs!$B$11-Inputs!$B$11),0))))/100+(Inputs!$B$23+(IF(ArtifactsInput!$M$15,CHOOSE(ArtifactsInput!$N$15+1,25,30,35,40,45,50)/100*(Inputs!$B$11-Inputs!$B$11),0)))/100)/2</f>
        <v/>
      </c>
      <c r="M2456">
        <f>L2456*(1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6">
        <f>L2456*(1-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2456*(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6">
        <f>(1-Summary!$B$11)*S2456+Summary!$B$11*U2456</f>
        <v/>
      </c>
      <c r="P2456">
        <f>IF(B2487=0,0,O2456/B2487)</f>
        <v/>
      </c>
      <c r="Q2456">
        <f>IFERROR(1/(IF(Inputs!$B$38="pvp",15,MAX(0.1,Skills!E10-IF(Skills!F10=TRUE,Inputs!$B$32,0)))*(1-IF(AND(ArtifactsInput!$M$27,Inputs!$B$4="Chapter Hunt"),CHOOSE(ArtifactsInput!$N$27+1,20,24,28,32,36,40),0)/100)),0)</f>
        <v/>
      </c>
      <c r="R2456">
        <f>IF(AND(Inputs!$B$38&lt;&gt;"pvp",Inputs!$B$43&gt;0),IF(MAX(0,Inputs!$B$43-B2484)&lt;=0,0,(INT(MAX(0,Inputs!$B$43-B2484)/(IF(Inputs!$B$38="pvp",15,MAX(0.1,Skills!E10-IF(Skills!F10=TRUE,Inputs!$B$32,0)))*(1-IF(AND(ArtifactsInput!$M$27,Inputs!$B$4="Chapter Hunt"),CHOOSE(ArtifactsInput!$N$27+1,20,24,28,32,36,40),0)/100)))+1)),0)</f>
        <v/>
      </c>
      <c r="S2456">
        <f>IF(C2456,(H2456*N2456*IF(AND(Inputs!$B$38&lt;&gt;"pvp",Inputs!$B$43&gt;0),((Skills!G10*((R2456-1)*IF(Skills!H10&gt;0,Skills!I10/Skills!H10,1)+IF(Skills!H10&gt;0,MIN(Skills!I10,MAX(0,MAX(0,Inputs!$B$43-B2484)-((R2456-1)*(IF(Inputs!$B$38="pvp",15,MAX(0.1,Skills!E10-IF(Skills!F10=TRUE,Inputs!$B$32,0)))*(1-IF(AND(ArtifactsInput!$M$27,Inputs!$B$4="Chapter Hunt"),CHOOSE(ArtifactsInput!$N$27+1,20,24,28,32,36,40),0)/100)))))/Skills!H10,1)))/Inputs!$B$43),G2456*Q2456))*IF(Inputs!$B$38="pvp",1,1+(Inputs!$B$20+Skills!P10+(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2456*(1-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2456*(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2456*(1-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2456*(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6">
        <f>IF(C2456,(H2456*N2456*IF(AND(Inputs!$B$38&lt;&gt;"pvp",Inputs!$B$43&gt;0),((Skills!G10*((R2456-1)*IF(Skills!H10&gt;0,Skills!I10/Skills!H10,1)+IF(Skills!H10&gt;0,MIN(Skills!I10,MAX(0,MAX(0,Inputs!$B$43-B2484)-((R2456-1)*(IF(Inputs!$B$38="pvp",15,MAX(0.1,Skills!E10-IF(Skills!F10=TRUE,Inputs!$B$32,0)))*(1-IF(AND(ArtifactsInput!$M$27,Inputs!$B$4="Chapter Hunt"),CHOOSE(ArtifactsInput!$N$27+1,20,24,28,32,36,40),0)/100)))))/Skills!H10,1)))/Inputs!$B$43),G2456*Q2456)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7">
      <c r="A2457">
        <f>Skills!A11</f>
        <v/>
      </c>
      <c r="B2457">
        <f>Skills!B11</f>
        <v/>
      </c>
      <c r="C2457">
        <f>TRUE</f>
        <v/>
      </c>
      <c r="D2457">
        <f>IF(Skills!C11=1,60+Inputs!$B$25+Inputs!$B$29,IF(Skills!C11=2,90+Inputs!$B$26+Inputs!$B$29,IF(Skills!C11=3,120+Inputs!$B$27+Inputs!$B$29,MAX(0,(Inputs!$B$3-100)*3)+Inputs!$B$28+Inputs!$B$29)))</f>
        <v/>
      </c>
      <c r="E2457">
        <f>INDEX(FactorTable!$B$2:$Y$301, MATCH(ROUND(MIN(300,MAX(1,D2457)),0), FactorTable!$A$2:$A$301,0), Skills!M11+1)</f>
        <v/>
      </c>
      <c r="F2457">
        <f>IF(Skills!N11=TRUE,(Skills!L11/10)*(E2457/1000),Skills!L11/10)+Skills!O11</f>
        <v/>
      </c>
      <c r="G2457">
        <f>Calc!G11</f>
        <v/>
      </c>
      <c r="H2457">
        <f>Calc!H11</f>
        <v/>
      </c>
      <c r="I2457">
        <f>IF(Skills!X11&lt;&gt;"",1+(Skills!X11/10)*(Z2449/1000)/100,1)</f>
        <v/>
      </c>
      <c r="J2457" t="inlineStr"/>
      <c r="K2457" t="inlineStr"/>
      <c r="L2457" t="inlineStr"/>
      <c r="M2457" t="inlineStr"/>
      <c r="N2457" t="inlineStr"/>
      <c r="O2457">
        <f>(1-Summary!$B$11)*S2457+Summary!$B$11*U2457</f>
        <v/>
      </c>
      <c r="P2457">
        <f>IF(B2487=0,0,O2457/B2487)</f>
        <v/>
      </c>
      <c r="Q2457">
        <f>IFERROR(1/(IF(Inputs!$B$38="pvp",15,MAX(0.1,Skills!E11-IF(Skills!F11=TRUE,Inputs!$B$32,0)))*(1-IF(AND(ArtifactsInput!$M$27,Inputs!$B$4="Chapter Hunt"),CHOOSE(ArtifactsInput!$N$27+1,20,24,28,32,36,40),0)/100)),0)</f>
        <v/>
      </c>
      <c r="R2457" t="n">
        <v>0</v>
      </c>
      <c r="S2457" t="n">
        <v>0</v>
      </c>
      <c r="U2457" t="n">
        <v>0</v>
      </c>
    </row>
    <row r="2458">
      <c r="A2458">
        <f>Skills!A12</f>
        <v/>
      </c>
      <c r="B2458">
        <f>Skills!B12</f>
        <v/>
      </c>
      <c r="C2458">
        <f>TRUE</f>
        <v/>
      </c>
      <c r="D2458">
        <f>IF(Skills!C12=1,60+Inputs!$B$25+Inputs!$B$29,IF(Skills!C12=2,90+Inputs!$B$26+Inputs!$B$29,IF(Skills!C12=3,120+Inputs!$B$27+Inputs!$B$29,MAX(0,(Inputs!$B$3-100)*3)+Inputs!$B$28+Inputs!$B$29)))</f>
        <v/>
      </c>
      <c r="E2458">
        <f>INDEX(FactorTable!$B$2:$Y$301, MATCH(ROUND(MIN(300,MAX(1,D2458)),0), FactorTable!$A$2:$A$301,0), Skills!M12+1)</f>
        <v/>
      </c>
      <c r="F2458">
        <f>IF(Skills!N12=TRUE,(Skills!L12/10)*(E2458/1000),Skills!L12/10)+Skills!O12</f>
        <v/>
      </c>
      <c r="G2458">
        <f>Calc!G12</f>
        <v/>
      </c>
      <c r="H2458">
        <f>Calc!H12</f>
        <v/>
      </c>
      <c r="I2458">
        <f>IF(Skills!X12&lt;&gt;"",1+(Skills!X12/10)*(Z2449/1000)/100,1)</f>
        <v/>
      </c>
      <c r="J2458" t="inlineStr"/>
      <c r="K2458" t="inlineStr"/>
      <c r="L2458" t="inlineStr"/>
      <c r="M2458" t="inlineStr"/>
      <c r="N2458" t="inlineStr"/>
      <c r="O2458">
        <f>(1-Summary!$B$11)*S2458+Summary!$B$11*U2458</f>
        <v/>
      </c>
      <c r="P2458">
        <f>IF(B2487=0,0,O2458/B2487)</f>
        <v/>
      </c>
      <c r="Q2458">
        <f>IFERROR(1/(IF(Inputs!$B$38="pvp",15,MAX(0.1,Skills!E12-IF(Skills!F12=TRUE,Inputs!$B$32,0)))*(1-IF(AND(ArtifactsInput!$M$27,Inputs!$B$4="Chapter Hunt"),CHOOSE(ArtifactsInput!$N$27+1,20,24,28,32,36,40),0)/100)),0)</f>
        <v/>
      </c>
      <c r="R2458" t="n">
        <v>0</v>
      </c>
      <c r="S2458" t="n">
        <v>0</v>
      </c>
      <c r="U2458" t="n">
        <v>0</v>
      </c>
    </row>
    <row r="2459">
      <c r="A2459">
        <f>Skills!A13</f>
        <v/>
      </c>
      <c r="B2459">
        <f>Skills!B13</f>
        <v/>
      </c>
      <c r="C2459">
        <f>Inputs!$B$3&gt;=105</f>
        <v/>
      </c>
      <c r="D2459">
        <f>IF(Skills!C13=1,60+Inputs!$B$25+Inputs!$B$29,IF(Skills!C13=2,90+Inputs!$B$26+Inputs!$B$29,IF(Skills!C13=3,120+Inputs!$B$27+Inputs!$B$29,MAX(0,(Inputs!$B$3-100)*3)+Inputs!$B$28+Inputs!$B$29)))</f>
        <v/>
      </c>
      <c r="E2459">
        <f>INDEX(FactorTable!$B$2:$Y$301, MATCH(ROUND(MIN(300,MAX(1,D2459)),0), FactorTable!$A$2:$A$301,0), Skills!M13+1)</f>
        <v/>
      </c>
      <c r="F2459">
        <f>IF(Skills!N13=TRUE,(Skills!L13/10)*(E2459/1000),Skills!L13/10)+Skills!O13</f>
        <v/>
      </c>
      <c r="G2459">
        <f>Calc!G13</f>
        <v/>
      </c>
      <c r="H2459">
        <f>Calc!H13</f>
        <v/>
      </c>
      <c r="I2459">
        <f>IF(Skills!X13&lt;&gt;"",1+(Skills!X13/10)*(Z2449/1000)/100,1)</f>
        <v/>
      </c>
      <c r="J2459">
        <f>((Inputs!$B$6*(1+Inputs!$B$7/100))+(((Inputs!$B$12*(1+Inputs!$B$13/100))-(Inputs!$B$12*(1+Inputs!$B$13/100)))+0.25*(Inputs!$B$14-Inputs!$B$14))*(1+Inputs!$B$7/100))*(F2459/100)</f>
        <v/>
      </c>
      <c r="K2459">
        <f>J2459*(1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2459)</f>
        <v/>
      </c>
      <c r="L2459">
        <f>K2459*(MIN(Inputs!$B$22+(F2468-Calc!F22),(Inputs!$B$23+(IF(ArtifactsInput!$M$15,CHOOSE(ArtifactsInput!$N$15+1,25,30,35,40,45,50)/100*(Inputs!$B$11-Inputs!$B$11),0))))/100+(Inputs!$B$23+(IF(ArtifactsInput!$M$15,CHOOSE(ArtifactsInput!$N$15+1,25,30,35,40,45,50)/100*(Inputs!$B$11-Inputs!$B$11),0)))/100)/2</f>
        <v/>
      </c>
      <c r="M2459">
        <f>L2459*(1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9">
        <f>L2459*(1-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2459*(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9">
        <f>(1-Summary!$B$11)*S2459+Summary!$B$11*U2459</f>
        <v/>
      </c>
      <c r="P2459">
        <f>IF(B2487=0,0,O2459/B2487)</f>
        <v/>
      </c>
      <c r="Q2459">
        <f>IFERROR(1/(IF(Inputs!$B$38="pvp",15,MAX(0.1,Skills!E13-IF(Skills!F13=TRUE,Inputs!$B$32,0)))*(1-IF(AND(ArtifactsInput!$M$27,Inputs!$B$4="Chapter Hunt"),CHOOSE(ArtifactsInput!$N$27+1,20,24,28,32,36,40),0)/100)),0)</f>
        <v/>
      </c>
      <c r="R2459">
        <f>IF(AND(Inputs!$B$38&lt;&gt;"pvp",Inputs!$B$43&gt;0),IF(MAX(0,Inputs!$B$43-B2484)&lt;=0,0,(INT(MAX(0,Inputs!$B$43-B2484)/(IF(Inputs!$B$38="pvp",15,MAX(0.1,Skills!E13-IF(Skills!F13=TRUE,Inputs!$B$32,0)))*(1-IF(AND(ArtifactsInput!$M$27,Inputs!$B$4="Chapter Hunt"),CHOOSE(ArtifactsInput!$N$27+1,20,24,28,32,36,40),0)/100)))+1)),0)</f>
        <v/>
      </c>
      <c r="S2459">
        <f>IF(C2459,(H2459*N2459*IF(AND(Inputs!$B$38&lt;&gt;"pvp",Inputs!$B$43&gt;0),((Skills!G13*((R2459-1)*IF(Skills!H13&gt;0,Skills!I13/Skills!H13,1)+IF(Skills!H13&gt;0,MIN(Skills!I13,MAX(0,MAX(0,Inputs!$B$43-B2484)-((R2459-1)*(IF(Inputs!$B$38="pvp",15,MAX(0.1,Skills!E13-IF(Skills!F13=TRUE,Inputs!$B$32,0)))*(1-IF(AND(ArtifactsInput!$M$27,Inputs!$B$4="Chapter Hunt"),CHOOSE(ArtifactsInput!$N$27+1,20,24,28,32,36,40),0)/100)))))/Skills!H13,1)))/Inputs!$B$43),G2459*Q2459))*IF(Inputs!$B$38="pvp",1,1+(Inputs!$B$20+Skills!P13+(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2459*(1-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2459*(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2459*(1-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2459*(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9">
        <f>IF(C2459,(H2459*N2459*IF(AND(Inputs!$B$38&lt;&gt;"pvp",Inputs!$B$43&gt;0),((Skills!G13*((R2459-1)*IF(Skills!H13&gt;0,Skills!I13/Skills!H13,1)+IF(Skills!H13&gt;0,MIN(Skills!I13,MAX(0,MAX(0,Inputs!$B$43-B2484)-((R2459-1)*(IF(Inputs!$B$38="pvp",15,MAX(0.1,Skills!E13-IF(Skills!F13=TRUE,Inputs!$B$32,0)))*(1-IF(AND(ArtifactsInput!$M$27,Inputs!$B$4="Chapter Hunt"),CHOOSE(ArtifactsInput!$N$27+1,20,24,28,32,36,40),0)/100)))))/Skills!H13,1)))/Inputs!$B$43),G2459*Q2459)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0">
      <c r="A2460">
        <f>Skills!A14</f>
        <v/>
      </c>
      <c r="B2460">
        <f>Skills!B14</f>
        <v/>
      </c>
      <c r="C2460">
        <f>Inputs!$B$3&gt;=113</f>
        <v/>
      </c>
      <c r="D2460">
        <f>IF(Skills!C14=1,60+Inputs!$B$25+Inputs!$B$29,IF(Skills!C14=2,90+Inputs!$B$26+Inputs!$B$29,IF(Skills!C14=3,120+Inputs!$B$27+Inputs!$B$29,MAX(0,(Inputs!$B$3-100)*3)+Inputs!$B$28+Inputs!$B$29)))</f>
        <v/>
      </c>
      <c r="E2460">
        <f>INDEX(FactorTable!$B$2:$Y$301, MATCH(ROUND(MIN(300,MAX(1,D2460)),0), FactorTable!$A$2:$A$301,0), Skills!M14+1)</f>
        <v/>
      </c>
      <c r="F2460">
        <f>IF(Skills!N14=TRUE,(Skills!L14/10)*(E2460/1000),Skills!L14/10)+Skills!O14</f>
        <v/>
      </c>
      <c r="G2460">
        <f>Calc!G14</f>
        <v/>
      </c>
      <c r="H2460">
        <f>Calc!H14</f>
        <v/>
      </c>
      <c r="I2460">
        <f>IF(Skills!X14&lt;&gt;"",1+(Skills!X14/10)*(Z2449/1000)/100,1)</f>
        <v/>
      </c>
      <c r="J2460">
        <f>((Inputs!$B$6*(1+Inputs!$B$7/100))+(((Inputs!$B$12*(1+Inputs!$B$13/100))-(Inputs!$B$12*(1+Inputs!$B$13/100)))+0.25*(Inputs!$B$14-Inputs!$B$14))*(1+Inputs!$B$7/100))*(F2460/100)</f>
        <v/>
      </c>
      <c r="K2460">
        <f>J2460*(1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2460)</f>
        <v/>
      </c>
      <c r="L2460">
        <f>K2460*(MIN(Inputs!$B$22+(F2468-Calc!F22),(Inputs!$B$23+(IF(ArtifactsInput!$M$15,CHOOSE(ArtifactsInput!$N$15+1,25,30,35,40,45,50)/100*(Inputs!$B$11-Inputs!$B$11),0))))/100+(Inputs!$B$23+(IF(ArtifactsInput!$M$15,CHOOSE(ArtifactsInput!$N$15+1,25,30,35,40,45,50)/100*(Inputs!$B$11-Inputs!$B$11),0)))/100)/2</f>
        <v/>
      </c>
      <c r="M2460">
        <f>L2460*(1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0">
        <f>L2460*(1-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2460*(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0">
        <f>(1-Summary!$B$11)*S2460+Summary!$B$11*U2460</f>
        <v/>
      </c>
      <c r="P2460">
        <f>IF(B2487=0,0,O2460/B2487)</f>
        <v/>
      </c>
      <c r="Q2460">
        <f>IFERROR(1/(IF(Inputs!$B$38="pvp",15,MAX(0.1,Skills!E14-IF(Skills!F14=TRUE,Inputs!$B$32,0)))*(1-IF(AND(ArtifactsInput!$M$27,Inputs!$B$4="Chapter Hunt"),CHOOSE(ArtifactsInput!$N$27+1,20,24,28,32,36,40),0)/100)),0)</f>
        <v/>
      </c>
      <c r="R2460" t="n">
        <v>0</v>
      </c>
      <c r="S2460">
        <f>IF(C2460,((H2460*B2483)/(1+Skills!H14*H2460*B2483)*N2460)*IF(Inputs!$B$38="pvp",1,1+(Inputs!$B$20+Skills!P14+(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2460*(1-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2460*(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2460*(1-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2460*(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0">
        <f>IF(C2460,((H2460*B2483)/(1+Skills!H14*H2460*B2483)*N2460)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1">
      <c r="A2461">
        <f>Skills!A15</f>
        <v/>
      </c>
      <c r="B2461">
        <f>Skills!B15</f>
        <v/>
      </c>
      <c r="C2461">
        <f>Inputs!$B$3&gt;=107</f>
        <v/>
      </c>
      <c r="D2461">
        <f>IF(Skills!C15=1,60+Inputs!$B$25+Inputs!$B$29,IF(Skills!C15=2,90+Inputs!$B$26+Inputs!$B$29,IF(Skills!C15=3,120+Inputs!$B$27+Inputs!$B$29,MAX(0,(Inputs!$B$3-100)*3)+Inputs!$B$28+Inputs!$B$29)))</f>
        <v/>
      </c>
      <c r="E2461">
        <f>INDEX(FactorTable!$B$2:$Y$301, MATCH(ROUND(MIN(300,MAX(1,D2461)),0), FactorTable!$A$2:$A$301,0), Skills!M15+1)</f>
        <v/>
      </c>
      <c r="F2461">
        <f>IF(Skills!N15=TRUE,(Skills!L15/10)*(E2461/1000),Skills!L15/10)+Skills!O15</f>
        <v/>
      </c>
      <c r="G2461">
        <f>Calc!G15</f>
        <v/>
      </c>
      <c r="H2461">
        <f>Calc!H15</f>
        <v/>
      </c>
      <c r="I2461">
        <f>IF(Skills!X15&lt;&gt;"",1+(Skills!X15/10)*(Z2449/1000)/100,1)</f>
        <v/>
      </c>
      <c r="J2461">
        <f>((Inputs!$B$6*(1+Inputs!$B$7/100))+(((Inputs!$B$12*(1+Inputs!$B$13/100))-(Inputs!$B$12*(1+Inputs!$B$13/100)))+0.25*(Inputs!$B$14-Inputs!$B$14))*(1+Inputs!$B$7/100))*(F2461/100)</f>
        <v/>
      </c>
      <c r="K2461">
        <f>J2461*(1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2461)</f>
        <v/>
      </c>
      <c r="L2461">
        <f>K2461*(MIN(Inputs!$B$22+(F2468-Calc!F22),(Inputs!$B$23+(IF(ArtifactsInput!$M$15,CHOOSE(ArtifactsInput!$N$15+1,25,30,35,40,45,50)/100*(Inputs!$B$11-Inputs!$B$11),0))))/100+(Inputs!$B$23+(IF(ArtifactsInput!$M$15,CHOOSE(ArtifactsInput!$N$15+1,25,30,35,40,45,50)/100*(Inputs!$B$11-Inputs!$B$11),0)))/100)/2</f>
        <v/>
      </c>
      <c r="M2461">
        <f>L2461*(1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1">
        <f>L2461*(1-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1">
        <f>(1-Summary!$B$11)*S2461+Summary!$B$11*U2461</f>
        <v/>
      </c>
      <c r="P2461">
        <f>IF(B2487=0,0,O2461/B2487)</f>
        <v/>
      </c>
      <c r="Q2461">
        <f>IFERROR(1/(IF(Inputs!$B$38="pvp",15,MAX(0.1,Skills!E15-IF(Skills!F15=TRUE,Inputs!$B$32,0)))*(1-IF(AND(ArtifactsInput!$M$27,Inputs!$B$4="Chapter Hunt"),CHOOSE(ArtifactsInput!$N$27+1,20,24,28,32,36,40),0)/100)),0)</f>
        <v/>
      </c>
      <c r="R2461">
        <f>IF(AND(Inputs!$B$38&lt;&gt;"pvp",Inputs!$B$43&gt;0),IF(MAX(0,Inputs!$B$43-B2484)&lt;=0,0,(INT(MAX(0,Inputs!$B$43-B2484)/(IF(Inputs!$B$38="pvp",15,MAX(0.1,Skills!E15-IF(Skills!F15=TRUE,Inputs!$B$32,0)))*(1-IF(AND(ArtifactsInput!$M$27,Inputs!$B$4="Chapter Hunt"),CHOOSE(ArtifactsInput!$N$27+1,20,24,28,32,36,40),0)/100)))+1)),0)</f>
        <v/>
      </c>
      <c r="S2461">
        <f>IF(C2461,(H2461*N2461*IF(AND(Inputs!$B$38&lt;&gt;"pvp",Inputs!$B$43&gt;0),((Skills!G15*((R2461-1)*IF(Skills!H15&gt;0,Skills!I15/Skills!H15,1)+IF(Skills!H15&gt;0,MIN(Skills!I15,MAX(0,MAX(0,Inputs!$B$43-B2484)-((R2461-1)*(IF(Inputs!$B$38="pvp",15,MAX(0.1,Skills!E15-IF(Skills!F15=TRUE,Inputs!$B$32,0)))*(1-IF(AND(ArtifactsInput!$M$27,Inputs!$B$4="Chapter Hunt"),CHOOSE(ArtifactsInput!$N$27+1,20,24,28,32,36,40),0)/100)))))/Skills!H15,1)))/Inputs!$B$43),G2461*Q2461))*IF(Inputs!$B$38="pvp",1,1+(Inputs!$B$20+Skills!P15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2461*(1-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2461*(1-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1">
        <f>IF(C2461,(H2461*N2461*IF(AND(Inputs!$B$38&lt;&gt;"pvp",Inputs!$B$43&gt;0),((Skills!G15*((R2461-1)*IF(Skills!H15&gt;0,Skills!I15/Skills!H15,1)+IF(Skills!H15&gt;0,MIN(Skills!I15,MAX(0,MAX(0,Inputs!$B$43-B2484)-((R2461-1)*(IF(Inputs!$B$38="pvp",15,MAX(0.1,Skills!E15-IF(Skills!F15=TRUE,Inputs!$B$32,0)))*(1-IF(AND(ArtifactsInput!$M$27,Inputs!$B$4="Chapter Hunt"),CHOOSE(ArtifactsInput!$N$27+1,20,24,28,32,36,40),0)/100)))))/Skills!H15,1)))/Inputs!$B$43),G2461*Q2461)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2">
      <c r="A2462">
        <f>Skills!A16</f>
        <v/>
      </c>
      <c r="B2462">
        <f>Skills!B16</f>
        <v/>
      </c>
      <c r="C2462">
        <f>Inputs!$B$3&gt;=107</f>
        <v/>
      </c>
      <c r="D2462">
        <f>IF(Skills!C16=1,60+Inputs!$B$25+Inputs!$B$29,IF(Skills!C16=2,90+Inputs!$B$26+Inputs!$B$29,IF(Skills!C16=3,120+Inputs!$B$27+Inputs!$B$29,MAX(0,(Inputs!$B$3-100)*3)+Inputs!$B$28+Inputs!$B$29)))</f>
        <v/>
      </c>
      <c r="E2462">
        <f>INDEX(FactorTable!$B$2:$Y$301, MATCH(ROUND(MIN(300,MAX(1,D2462)),0), FactorTable!$A$2:$A$301,0), Skills!M16+1)</f>
        <v/>
      </c>
      <c r="F2462">
        <f>IF(Skills!N16=TRUE,(Skills!L16/10)*(E2462/1000),Skills!L16/10)+Skills!O16</f>
        <v/>
      </c>
      <c r="G2462">
        <f>Calc!G16</f>
        <v/>
      </c>
      <c r="H2462">
        <f>Calc!H16</f>
        <v/>
      </c>
      <c r="I2462">
        <f>IF(Skills!X16&lt;&gt;"",1+(Skills!X16/10)*(Z2449/1000)/100,1)</f>
        <v/>
      </c>
      <c r="J2462">
        <f>((Inputs!$B$6*(1+Inputs!$B$7/100))+(((Inputs!$B$12*(1+Inputs!$B$13/100))-(Inputs!$B$12*(1+Inputs!$B$13/100)))+0.25*(Inputs!$B$14-Inputs!$B$14))*(1+Inputs!$B$7/100))*(F2462/100)</f>
        <v/>
      </c>
      <c r="K2462">
        <f>J2462*(1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2462)</f>
        <v/>
      </c>
      <c r="L2462">
        <f>K2462*(MIN(Inputs!$B$22+(F2468-Calc!F22),(Inputs!$B$23+(IF(ArtifactsInput!$M$15,CHOOSE(ArtifactsInput!$N$15+1,25,30,35,40,45,50)/100*(Inputs!$B$11-Inputs!$B$11),0))))/100+(Inputs!$B$23+(IF(ArtifactsInput!$M$15,CHOOSE(ArtifactsInput!$N$15+1,25,30,35,40,45,50)/100*(Inputs!$B$11-Inputs!$B$11),0)))/100)/2</f>
        <v/>
      </c>
      <c r="M2462">
        <f>L2462*(1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2">
        <f>L2462*(1-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2462*(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2">
        <f>(1-Summary!$B$11)*S2462+Summary!$B$11*U2462</f>
        <v/>
      </c>
      <c r="P2462">
        <f>IF(B2487=0,0,O2462/B2487)</f>
        <v/>
      </c>
      <c r="Q2462">
        <f>IFERROR(1/(IF(Inputs!$B$38="pvp",15,MAX(0.1,Skills!E16-IF(Skills!F16=TRUE,Inputs!$B$32,0)))*(1-IF(AND(ArtifactsInput!$M$27,Inputs!$B$4="Chapter Hunt"),CHOOSE(ArtifactsInput!$N$27+1,20,24,28,32,36,40),0)/100)),0)</f>
        <v/>
      </c>
      <c r="R2462">
        <f>IF(AND(Inputs!$B$38&lt;&gt;"pvp",Inputs!$B$43&gt;0),IF(MAX(0,Inputs!$B$43-B2484)&lt;=0,0,(INT(MAX(0,Inputs!$B$43-B2484)/(IF(Inputs!$B$38="pvp",15,MAX(0.1,Skills!E16-IF(Skills!F16=TRUE,Inputs!$B$32,0)))*(1-IF(AND(ArtifactsInput!$M$27,Inputs!$B$4="Chapter Hunt"),CHOOSE(ArtifactsInput!$N$27+1,20,24,28,32,36,40),0)/100)))+1)),0)</f>
        <v/>
      </c>
      <c r="S2462">
        <f>IF(C2462,(H2462*N2462*IF(AND(Inputs!$B$38&lt;&gt;"pvp",Inputs!$B$43&gt;0),((Skills!G16*((R2462-1)*IF(Skills!H16&gt;0,Skills!I16/Skills!H16,1)+IF(Skills!H16&gt;0,MIN(Skills!I16,MAX(0,MAX(0,Inputs!$B$43-B2484)-((R2462-1)*(IF(Inputs!$B$38="pvp",15,MAX(0.1,Skills!E16-IF(Skills!F16=TRUE,Inputs!$B$32,0)))*(1-IF(AND(ArtifactsInput!$M$27,Inputs!$B$4="Chapter Hunt"),CHOOSE(ArtifactsInput!$N$27+1,20,24,28,32,36,40),0)/100)))))/Skills!H16,1)))/Inputs!$B$43),G2462*Q2462)*(1+IF(Inputs!$B$3&gt;=126,0.05*(B2482+Q2459+(H2460*B2483)/(1+Skills!H14*H2460*B2483)+Q2470),0)*Skills!E15))*IF(Inputs!$B$38="pvp",1,1+(Inputs!$B$20+Skills!P16+(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2462*(1-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2462*(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2462*(1-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2462*(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2">
        <f>IF(C2462,(H2462*N2462*IF(AND(Inputs!$B$38&lt;&gt;"pvp",Inputs!$B$43&gt;0),((Skills!G16*((R2462-1)*IF(Skills!H16&gt;0,Skills!I16/Skills!H16,1)+IF(Skills!H16&gt;0,MIN(Skills!I16,MAX(0,MAX(0,Inputs!$B$43-B2484)-((R2462-1)*(IF(Inputs!$B$38="pvp",15,MAX(0.1,Skills!E16-IF(Skills!F16=TRUE,Inputs!$B$32,0)))*(1-IF(AND(ArtifactsInput!$M$27,Inputs!$B$4="Chapter Hunt"),CHOOSE(ArtifactsInput!$N$27+1,20,24,28,32,36,40),0)/100)))))/Skills!H16,1)))/Inputs!$B$43),G2462*Q2462)*(1+IF(Inputs!$B$3&gt;=126,0.05*(B2482+Q2459+(H2460*B2483)/(1+Skills!H14*H2460*B2483)+Q2470)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3">
      <c r="A2463">
        <f>Skills!A17</f>
        <v/>
      </c>
      <c r="B2463">
        <f>Skills!B17</f>
        <v/>
      </c>
      <c r="C2463">
        <f>TRUE</f>
        <v/>
      </c>
      <c r="D2463">
        <f>IF(Skills!C17=1,60+Inputs!$B$25+Inputs!$B$29,IF(Skills!C17=2,90+Inputs!$B$26+Inputs!$B$29,IF(Skills!C17=3,120+Inputs!$B$27+Inputs!$B$29,MAX(0,(Inputs!$B$3-100)*3)+Inputs!$B$28+Inputs!$B$29)))</f>
        <v/>
      </c>
      <c r="E2463">
        <f>INDEX(FactorTable!$B$2:$Y$301, MATCH(ROUND(MIN(300,MAX(1,D2463)),0), FactorTable!$A$2:$A$301,0), Skills!M17+1)</f>
        <v/>
      </c>
      <c r="F2463">
        <f>IF(Skills!N17=TRUE,(Skills!L17/10)*(E2463/1000),Skills!L17/10)+Skills!O17</f>
        <v/>
      </c>
      <c r="G2463">
        <f>Calc!G17</f>
        <v/>
      </c>
      <c r="H2463">
        <f>Calc!H17</f>
        <v/>
      </c>
      <c r="I2463">
        <f>IF(Skills!X17&lt;&gt;"",1+(Skills!X17/10)*(Z2449/1000)/100,1)</f>
        <v/>
      </c>
      <c r="J2463" t="inlineStr"/>
      <c r="K2463" t="inlineStr"/>
      <c r="L2463" t="inlineStr"/>
      <c r="M2463" t="inlineStr"/>
      <c r="N2463" t="inlineStr"/>
      <c r="O2463">
        <f>(1-Summary!$B$11)*S2463+Summary!$B$11*U2463</f>
        <v/>
      </c>
      <c r="P2463">
        <f>IF(B2487=0,0,O2463/B2487)</f>
        <v/>
      </c>
      <c r="Q2463">
        <f>IFERROR(1/(IF(Inputs!$B$38="pvp",15,MAX(0.1,Skills!E17-IF(Skills!F17=TRUE,Inputs!$B$32,0)))*(1-IF(AND(ArtifactsInput!$M$27,Inputs!$B$4="Chapter Hunt"),CHOOSE(ArtifactsInput!$N$27+1,20,24,28,32,36,40),0)/100)),0)</f>
        <v/>
      </c>
      <c r="R2463">
        <f>IF(AND(Inputs!$B$38&lt;&gt;"pvp",Inputs!$B$43&gt;0),IF(Inputs!$B$43&lt;=0,0,(INT(Inputs!$B$43/(IF(Inputs!$B$38="pvp",15,MAX(0.1,Skills!E17-IF(Skills!F17=TRUE,Inputs!$B$32,0)))*(1-IF(AND(ArtifactsInput!$M$27,Inputs!$B$4="Chapter Hunt"),CHOOSE(ArtifactsInput!$N$27+1,20,24,28,32,36,40),0)/100)))+1)),0)</f>
        <v/>
      </c>
      <c r="S2463" t="n">
        <v>0</v>
      </c>
      <c r="U2463" t="n">
        <v>0</v>
      </c>
    </row>
    <row r="2464">
      <c r="A2464">
        <f>Skills!A18</f>
        <v/>
      </c>
      <c r="B2464">
        <f>Skills!B18</f>
        <v/>
      </c>
      <c r="C2464">
        <f>TRUE</f>
        <v/>
      </c>
      <c r="D2464">
        <f>IF(Skills!C18=1,60+Inputs!$B$25+Inputs!$B$29,IF(Skills!C18=2,90+Inputs!$B$26+Inputs!$B$29,IF(Skills!C18=3,120+Inputs!$B$27+Inputs!$B$29,MAX(0,(Inputs!$B$3-100)*3)+Inputs!$B$28+Inputs!$B$29)))</f>
        <v/>
      </c>
      <c r="E2464">
        <f>INDEX(FactorTable!$B$2:$Y$301, MATCH(ROUND(MIN(300,MAX(1,D2464)),0), FactorTable!$A$2:$A$301,0), Skills!M18+1)</f>
        <v/>
      </c>
      <c r="F2464">
        <f>IF(Skills!N18=TRUE,(Skills!L18/10)*(E2464/1000),Skills!L18/10)+Skills!O18</f>
        <v/>
      </c>
      <c r="G2464">
        <f>Calc!G18</f>
        <v/>
      </c>
      <c r="H2464">
        <f>Calc!H18</f>
        <v/>
      </c>
      <c r="I2464">
        <f>IF(Skills!X18&lt;&gt;"",1+(Skills!X18/10)*(Z2449/1000)/100,1)</f>
        <v/>
      </c>
      <c r="J2464" t="inlineStr"/>
      <c r="K2464" t="inlineStr"/>
      <c r="L2464" t="inlineStr"/>
      <c r="M2464" t="inlineStr"/>
      <c r="N2464" t="inlineStr"/>
      <c r="O2464">
        <f>(1-Summary!$B$11)*S2464+Summary!$B$11*U2464</f>
        <v/>
      </c>
      <c r="P2464">
        <f>IF(B2487=0,0,O2464/B2487)</f>
        <v/>
      </c>
      <c r="Q2464">
        <f>IFERROR(1/(IF(Inputs!$B$38="pvp",15,MAX(0.1,Skills!E18-IF(Skills!F18=TRUE,Inputs!$B$32,0)))*(1-IF(AND(ArtifactsInput!$M$27,Inputs!$B$4="Chapter Hunt"),CHOOSE(ArtifactsInput!$N$27+1,20,24,28,32,36,40),0)/100)),0)</f>
        <v/>
      </c>
      <c r="R2464">
        <f>IF(AND(Inputs!$B$38&lt;&gt;"pvp",Inputs!$B$43&gt;0),IF(Inputs!$B$43&lt;=0,0,(INT(Inputs!$B$43/(IF(Inputs!$B$38="pvp",15,MAX(0.1,Skills!E18-IF(Skills!F18=TRUE,Inputs!$B$32,0)))*(1-IF(AND(ArtifactsInput!$M$27,Inputs!$B$4="Chapter Hunt"),CHOOSE(ArtifactsInput!$N$27+1,20,24,28,32,36,40),0)/100)))+1)),0)</f>
        <v/>
      </c>
      <c r="S2464" t="n">
        <v>0</v>
      </c>
      <c r="U2464" t="n">
        <v>0</v>
      </c>
    </row>
    <row r="2465">
      <c r="A2465">
        <f>Skills!A19</f>
        <v/>
      </c>
      <c r="B2465">
        <f>Skills!B19</f>
        <v/>
      </c>
      <c r="C2465">
        <f>Inputs!$B$3&gt;=110</f>
        <v/>
      </c>
      <c r="D2465">
        <f>IF(Skills!C19=1,60+Inputs!$B$25+Inputs!$B$29,IF(Skills!C19=2,90+Inputs!$B$26+Inputs!$B$29,IF(Skills!C19=3,120+Inputs!$B$27+Inputs!$B$29,MAX(0,(Inputs!$B$3-100)*3)+Inputs!$B$28+Inputs!$B$29)))</f>
        <v/>
      </c>
      <c r="E2465">
        <f>INDEX(FactorTable!$B$2:$Y$301, MATCH(ROUND(MIN(300,MAX(1,D2465)),0), FactorTable!$A$2:$A$301,0), Skills!M19+1)</f>
        <v/>
      </c>
      <c r="F2465">
        <f>IF(Skills!N19=TRUE,(Skills!L19/10)*(E2465/1000),Skills!L19/10)+Skills!O19</f>
        <v/>
      </c>
      <c r="G2465">
        <f>Calc!G19</f>
        <v/>
      </c>
      <c r="H2465">
        <f>Calc!H19</f>
        <v/>
      </c>
      <c r="I2465">
        <f>IF(Skills!X19&lt;&gt;"",1+(Skills!X19/10)*(Z2449/1000)/100,1)</f>
        <v/>
      </c>
      <c r="J2465" t="inlineStr"/>
      <c r="K2465" t="inlineStr"/>
      <c r="L2465" t="inlineStr"/>
      <c r="M2465" t="inlineStr"/>
      <c r="N2465" t="inlineStr"/>
      <c r="O2465">
        <f>(1-Summary!$B$11)*S2465+Summary!$B$11*U2465</f>
        <v/>
      </c>
      <c r="P2465">
        <f>IF(B2487=0,0,O2465/B2487)</f>
        <v/>
      </c>
      <c r="Q2465">
        <f>IFERROR(1/(IF(Inputs!$B$38="pvp",15,MAX(0.1,Skills!E19-IF(Skills!F19=TRUE,Inputs!$B$32,0)))*(1-IF(AND(ArtifactsInput!$M$27,Inputs!$B$4="Chapter Hunt"),CHOOSE(ArtifactsInput!$N$27+1,20,24,28,32,36,40),0)/100)),0)</f>
        <v/>
      </c>
      <c r="R2465">
        <f>IF(AND(Inputs!$B$38&lt;&gt;"pvp",Inputs!$B$43&gt;0),IF(Inputs!$B$43&lt;=0,0,(INT(Inputs!$B$43/(IF(Inputs!$B$38="pvp",15,MAX(0.1,Skills!E19-IF(Skills!F19=TRUE,Inputs!$B$32,0)))*(1-IF(AND(ArtifactsInput!$M$27,Inputs!$B$4="Chapter Hunt"),CHOOSE(ArtifactsInput!$N$27+1,20,24,28,32,36,40),0)/100)))+1)),0)</f>
        <v/>
      </c>
      <c r="S2465" t="n">
        <v>0</v>
      </c>
      <c r="U2465" t="n">
        <v>0</v>
      </c>
    </row>
    <row r="2466">
      <c r="A2466">
        <f>Skills!A20</f>
        <v/>
      </c>
      <c r="B2466">
        <f>Skills!B20</f>
        <v/>
      </c>
      <c r="C2466">
        <f>TRUE</f>
        <v/>
      </c>
      <c r="D2466">
        <f>IF(Skills!C20=1,60+Inputs!$B$25+Inputs!$B$29,IF(Skills!C20=2,90+Inputs!$B$26+Inputs!$B$29,IF(Skills!C20=3,120+Inputs!$B$27+Inputs!$B$29,MAX(0,(Inputs!$B$3-100)*3)+Inputs!$B$28+Inputs!$B$29)))</f>
        <v/>
      </c>
      <c r="E2466">
        <f>INDEX(FactorTable!$B$2:$Y$301, MATCH(ROUND(MIN(300,MAX(1,D2466)),0), FactorTable!$A$2:$A$301,0), Skills!M20+1)</f>
        <v/>
      </c>
      <c r="F2466">
        <f>IF(Skills!N20=TRUE,(Skills!L20/10)*(E2466/1000),Skills!L20/10)+Skills!O20</f>
        <v/>
      </c>
      <c r="G2466">
        <f>Calc!G20</f>
        <v/>
      </c>
      <c r="H2466">
        <f>Calc!H20</f>
        <v/>
      </c>
      <c r="I2466">
        <f>IF(Skills!X20&lt;&gt;"",1+(Skills!X20/10)*(Z2449/1000)/100,1)</f>
        <v/>
      </c>
      <c r="J2466" t="inlineStr"/>
      <c r="K2466" t="inlineStr"/>
      <c r="L2466" t="inlineStr"/>
      <c r="M2466" t="inlineStr"/>
      <c r="N2466" t="inlineStr"/>
      <c r="O2466">
        <f>(1-Summary!$B$11)*S2466+Summary!$B$11*U2466</f>
        <v/>
      </c>
      <c r="P2466">
        <f>IF(B2487=0,0,O2466/B2487)</f>
        <v/>
      </c>
      <c r="Q2466">
        <f>IFERROR(1/(IF(Inputs!$B$38="pvp",15,MAX(0.1,Skills!E20-IF(Skills!F20=TRUE,Inputs!$B$32,0)))*(1-IF(AND(ArtifactsInput!$M$27,Inputs!$B$4="Chapter Hunt"),CHOOSE(ArtifactsInput!$N$27+1,20,24,28,32,36,40),0)/100)),0)</f>
        <v/>
      </c>
      <c r="R2466" t="n">
        <v>0</v>
      </c>
      <c r="S2466" t="n">
        <v>0</v>
      </c>
      <c r="U2466" t="n">
        <v>0</v>
      </c>
    </row>
    <row r="2467">
      <c r="A2467">
        <f>Skills!A21</f>
        <v/>
      </c>
      <c r="B2467">
        <f>Skills!B21</f>
        <v/>
      </c>
      <c r="C2467">
        <f>TRUE</f>
        <v/>
      </c>
      <c r="D2467">
        <f>IF(Skills!C21=1,60+Inputs!$B$25+Inputs!$B$29,IF(Skills!C21=2,90+Inputs!$B$26+Inputs!$B$29,IF(Skills!C21=3,120+Inputs!$B$27+Inputs!$B$29,MAX(0,(Inputs!$B$3-100)*3)+Inputs!$B$28+Inputs!$B$29)))</f>
        <v/>
      </c>
      <c r="E2467">
        <f>INDEX(FactorTable!$B$2:$Y$301, MATCH(ROUND(MIN(300,MAX(1,D2467)),0), FactorTable!$A$2:$A$301,0), Skills!M21+1)</f>
        <v/>
      </c>
      <c r="F2467">
        <f>IF(Skills!N21=TRUE,(Skills!L21/10)*(E2467/1000),Skills!L21/10)+Skills!O21</f>
        <v/>
      </c>
      <c r="G2467">
        <f>Calc!G21</f>
        <v/>
      </c>
      <c r="H2467">
        <f>Calc!H21</f>
        <v/>
      </c>
      <c r="I2467">
        <f>IF(Skills!X21&lt;&gt;"",1+(Skills!X21/10)*(Z2449/1000)/100,1)</f>
        <v/>
      </c>
      <c r="J2467" t="inlineStr"/>
      <c r="K2467" t="inlineStr"/>
      <c r="L2467" t="inlineStr"/>
      <c r="M2467" t="inlineStr"/>
      <c r="N2467" t="inlineStr"/>
      <c r="O2467">
        <f>(1-Summary!$B$11)*S2467+Summary!$B$11*U2467</f>
        <v/>
      </c>
      <c r="P2467">
        <f>IF(B2487=0,0,O2467/B2487)</f>
        <v/>
      </c>
      <c r="Q2467">
        <f>IFERROR(1/(IF(Inputs!$B$38="pvp",15,MAX(0.1,Skills!E21-IF(Skills!F21=TRUE,Inputs!$B$32,0)))*(1-IF(AND(ArtifactsInput!$M$27,Inputs!$B$4="Chapter Hunt"),CHOOSE(ArtifactsInput!$N$27+1,20,24,28,32,36,40),0)/100)),0)</f>
        <v/>
      </c>
      <c r="R2467" t="n">
        <v>0</v>
      </c>
      <c r="S2467" t="n">
        <v>0</v>
      </c>
      <c r="U2467" t="n">
        <v>0</v>
      </c>
    </row>
    <row r="2468">
      <c r="A2468">
        <f>Skills!A22</f>
        <v/>
      </c>
      <c r="B2468">
        <f>Skills!B22</f>
        <v/>
      </c>
      <c r="C2468">
        <f>TRUE</f>
        <v/>
      </c>
      <c r="D2468">
        <f>IF(Skills!C22=1,60+Inputs!$B$25+Inputs!$B$29,IF(Skills!C22=2,90+Inputs!$B$26+Inputs!$B$29,IF(Skills!C22=3,120+Inputs!$B$27+Inputs!$B$29,MAX(0,(Inputs!$B$3-100)*3)+Inputs!$B$28+Inputs!$B$29)))</f>
        <v/>
      </c>
      <c r="E2468">
        <f>INDEX(FactorTable!$B$2:$Y$301, MATCH(ROUND(MIN(300,MAX(1,D2468)),0), FactorTable!$A$2:$A$301,0), Skills!M22+1)</f>
        <v/>
      </c>
      <c r="F2468">
        <f>IF(Skills!N22=TRUE,(Skills!L22/10)*(E2468/1000),Skills!L22/10)+Skills!O22</f>
        <v/>
      </c>
      <c r="G2468">
        <f>Calc!G22</f>
        <v/>
      </c>
      <c r="H2468">
        <f>Calc!H22</f>
        <v/>
      </c>
      <c r="I2468">
        <f>IF(Skills!X22&lt;&gt;"",1+(Skills!X22/10)*(Z2449/1000)/100,1)</f>
        <v/>
      </c>
      <c r="J2468" t="inlineStr"/>
      <c r="K2468" t="inlineStr"/>
      <c r="L2468" t="inlineStr"/>
      <c r="M2468" t="inlineStr"/>
      <c r="N2468" t="inlineStr"/>
      <c r="O2468">
        <f>(1-Summary!$B$11)*S2468+Summary!$B$11*U2468</f>
        <v/>
      </c>
      <c r="P2468">
        <f>IF(B2487=0,0,O2468/B2487)</f>
        <v/>
      </c>
      <c r="Q2468">
        <f>IFERROR(1/(IF(Inputs!$B$38="pvp",15,MAX(0.1,Skills!E22-IF(Skills!F22=TRUE,Inputs!$B$32,0)))*(1-IF(AND(ArtifactsInput!$M$27,Inputs!$B$4="Chapter Hunt"),CHOOSE(ArtifactsInput!$N$27+1,20,24,28,32,36,40),0)/100)),0)</f>
        <v/>
      </c>
      <c r="R2468" t="n">
        <v>0</v>
      </c>
      <c r="S2468" t="n">
        <v>0</v>
      </c>
      <c r="U2468" t="n">
        <v>0</v>
      </c>
    </row>
    <row r="2469">
      <c r="A2469">
        <f>Skills!A23</f>
        <v/>
      </c>
      <c r="B2469">
        <f>Skills!B23</f>
        <v/>
      </c>
      <c r="C2469">
        <f>TRUE</f>
        <v/>
      </c>
      <c r="D2469">
        <f>IF(Skills!C23=1,60+Inputs!$B$25+Inputs!$B$29,IF(Skills!C23=2,90+Inputs!$B$26+Inputs!$B$29,IF(Skills!C23=3,120+Inputs!$B$27+Inputs!$B$29,MAX(0,(Inputs!$B$3-100)*3)+Inputs!$B$28+Inputs!$B$29)))</f>
        <v/>
      </c>
      <c r="E2469">
        <f>INDEX(FactorTable!$B$2:$Y$301, MATCH(ROUND(MIN(300,MAX(1,D2469)),0), FactorTable!$A$2:$A$301,0), Skills!M23+1)</f>
        <v/>
      </c>
      <c r="F2469">
        <f>IF(Skills!N23=TRUE,(Skills!L23/10)*(E2469/1000),Skills!L23/10)+Skills!O23</f>
        <v/>
      </c>
      <c r="G2469">
        <f>Calc!G23</f>
        <v/>
      </c>
      <c r="H2469">
        <f>Calc!H23</f>
        <v/>
      </c>
      <c r="I2469">
        <f>IF(Skills!X23&lt;&gt;"",1+(Skills!X23/10)*(Z2449/1000)/100,1)</f>
        <v/>
      </c>
      <c r="J2469" t="inlineStr"/>
      <c r="K2469" t="inlineStr"/>
      <c r="L2469" t="inlineStr"/>
      <c r="M2469" t="inlineStr"/>
      <c r="N2469" t="inlineStr"/>
      <c r="O2469">
        <f>(1-Summary!$B$11)*S2469+Summary!$B$11*U2469</f>
        <v/>
      </c>
      <c r="P2469">
        <f>IF(B2487=0,0,O2469/B2487)</f>
        <v/>
      </c>
      <c r="Q2469">
        <f>IFERROR(1/(IF(Inputs!$B$38="pvp",15,MAX(0.1,Skills!E23-IF(Skills!F23=TRUE,Inputs!$B$32,0)))*(1-IF(AND(ArtifactsInput!$M$27,Inputs!$B$4="Chapter Hunt"),CHOOSE(ArtifactsInput!$N$27+1,20,24,28,32,36,40),0)/100)),0)</f>
        <v/>
      </c>
      <c r="R2469" t="n">
        <v>0</v>
      </c>
      <c r="S2469" t="n">
        <v>0</v>
      </c>
      <c r="U2469" t="n">
        <v>0</v>
      </c>
    </row>
    <row r="2470">
      <c r="A2470">
        <f>Skills!A24</f>
        <v/>
      </c>
      <c r="B2470">
        <f>Skills!B24</f>
        <v/>
      </c>
      <c r="C2470">
        <f>Inputs!$B$3&gt;=115</f>
        <v/>
      </c>
      <c r="D2470">
        <f>IF(Skills!C24=1,60+Inputs!$B$25+Inputs!$B$29,IF(Skills!C24=2,90+Inputs!$B$26+Inputs!$B$29,IF(Skills!C24=3,120+Inputs!$B$27+Inputs!$B$29,MAX(0,(Inputs!$B$3-100)*3)+Inputs!$B$28+Inputs!$B$29)))</f>
        <v/>
      </c>
      <c r="E2470">
        <f>INDEX(FactorTable!$B$2:$Y$301, MATCH(ROUND(MIN(300,MAX(1,D2470)),0), FactorTable!$A$2:$A$301,0), Skills!M24+1)</f>
        <v/>
      </c>
      <c r="F2470">
        <f>IF(Skills!N24=TRUE,(Skills!L24/10)*(E2470/1000),Skills!L24/10)+Skills!O24</f>
        <v/>
      </c>
      <c r="G2470">
        <f>Calc!G24</f>
        <v/>
      </c>
      <c r="H2470">
        <f>Calc!H24</f>
        <v/>
      </c>
      <c r="I2470">
        <f>IF(Skills!X24&lt;&gt;"",1+(Skills!X24/10)*(Z2449/1000)/100,1)</f>
        <v/>
      </c>
      <c r="J2470">
        <f>((Inputs!$B$6*(1+Inputs!$B$7/100))+(((Inputs!$B$12*(1+Inputs!$B$13/100))-(Inputs!$B$12*(1+Inputs!$B$13/100)))+0.25*(Inputs!$B$14-Inputs!$B$14))*(1+Inputs!$B$7/100))*(F2470/100)</f>
        <v/>
      </c>
      <c r="K2470">
        <f>J2470*(1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2470)</f>
        <v/>
      </c>
      <c r="L2470">
        <f>K2470*(MIN(Inputs!$B$22+(F2468-Calc!F22),(Inputs!$B$23+(IF(ArtifactsInput!$M$15,CHOOSE(ArtifactsInput!$N$15+1,25,30,35,40,45,50)/100*(Inputs!$B$11-Inputs!$B$11),0))))/100+(Inputs!$B$23+(IF(ArtifactsInput!$M$15,CHOOSE(ArtifactsInput!$N$15+1,25,30,35,40,45,50)/100*(Inputs!$B$11-Inputs!$B$11),0)))/100)/2</f>
        <v/>
      </c>
      <c r="M2470">
        <f>L2470*(1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0">
        <f>L2470*(1-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2470*(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0">
        <f>(1-Summary!$B$11)*S2470+Summary!$B$11*U2470</f>
        <v/>
      </c>
      <c r="P2470">
        <f>IF(B2487=0,0,O2470/B2487)</f>
        <v/>
      </c>
      <c r="Q2470">
        <f>IFERROR(1/(IF(Inputs!$B$38="pvp",15,MAX(0.1,Skills!E24-IF(Skills!F24=TRUE,Inputs!$B$32,0)))*(1-IF(AND(ArtifactsInput!$M$27,Inputs!$B$4="Chapter Hunt"),CHOOSE(ArtifactsInput!$N$27+1,20,24,28,32,36,40),0)/100)),0)</f>
        <v/>
      </c>
      <c r="R2470">
        <f>IF(AND(Inputs!$B$38&lt;&gt;"pvp",Inputs!$B$43&gt;0),IF(MAX(0,Inputs!$B$43-B2484)&lt;=0,0,(INT(MAX(0,Inputs!$B$43-B2484)/(IF(Inputs!$B$38="pvp",15,MAX(0.1,Skills!E24-IF(Skills!F24=TRUE,Inputs!$B$32,0)))*(1-IF(AND(ArtifactsInput!$M$27,Inputs!$B$4="Chapter Hunt"),CHOOSE(ArtifactsInput!$N$27+1,20,24,28,32,36,40),0)/100)))+1)),0)</f>
        <v/>
      </c>
      <c r="S2470">
        <f>IF(C2470,(H2470*N2470*IF(AND(Inputs!$B$38&lt;&gt;"pvp",Inputs!$B$43&gt;0),((Skills!G24*((R2470-1)*IF(Skills!H24&gt;0,Skills!I24/Skills!H24,1)+IF(Skills!H24&gt;0,MIN(Skills!I24,MAX(0,MAX(0,Inputs!$B$43-B2484)-((R2470-1)*(IF(Inputs!$B$38="pvp",15,MAX(0.1,Skills!E24-IF(Skills!F24=TRUE,Inputs!$B$32,0)))*(1-IF(AND(ArtifactsInput!$M$27,Inputs!$B$4="Chapter Hunt"),CHOOSE(ArtifactsInput!$N$27+1,20,24,28,32,36,40),0)/100)))))/Skills!H24,1)))/Inputs!$B$43),G2470*Q2470)*(1+IF(Inputs!$B$3&gt;=130,0.2*(Skills!I16/Skills!E15+IF(Inputs!$B$3&gt;=126,0.05*(B2482+Q2459+(H2460*B2483)/(1+Skills!H14*H2460*B2483)+Q2470),0)*Skills!I16),0)))*IF(Inputs!$B$38="pvp",1,1+(Inputs!$B$20+Skills!P24+(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2470*(1-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2470*(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2470*(1-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2470*(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70">
        <f>IF(C2470,(H2470*N2470*IF(AND(Inputs!$B$38&lt;&gt;"pvp",Inputs!$B$43&gt;0),((Skills!G24*((R2470-1)*IF(Skills!H24&gt;0,Skills!I24/Skills!H24,1)+IF(Skills!H24&gt;0,MIN(Skills!I24,MAX(0,MAX(0,Inputs!$B$43-B2484)-((R2470-1)*(IF(Inputs!$B$38="pvp",15,MAX(0.1,Skills!E24-IF(Skills!F24=TRUE,Inputs!$B$32,0)))*(1-IF(AND(ArtifactsInput!$M$27,Inputs!$B$4="Chapter Hunt"),CHOOSE(ArtifactsInput!$N$27+1,20,24,28,32,36,40),0)/100)))))/Skills!H24,1)))/Inputs!$B$43),G2470*Q2470)*(1+IF(Inputs!$B$3&gt;=130,0.2*(Skills!I16/Skills!E15+IF(Inputs!$B$3&gt;=126,0.05*(B2482+Q2459+(H2460*B2483)/(1+Skills!H14*H2460*B2483)+Q2470)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1">
      <c r="A2471">
        <f>Skills!A25</f>
        <v/>
      </c>
      <c r="B2471">
        <f>Skills!B25</f>
        <v/>
      </c>
      <c r="C2471">
        <f>Inputs!$B$3&gt;=117</f>
        <v/>
      </c>
      <c r="D2471">
        <f>IF(Skills!C25=1,60+Inputs!$B$25+Inputs!$B$29,IF(Skills!C25=2,90+Inputs!$B$26+Inputs!$B$29,IF(Skills!C25=3,120+Inputs!$B$27+Inputs!$B$29,MAX(0,(Inputs!$B$3-100)*3)+Inputs!$B$28+Inputs!$B$29)))</f>
        <v/>
      </c>
      <c r="E2471">
        <f>INDEX(FactorTable!$B$2:$Y$301, MATCH(ROUND(MIN(300,MAX(1,D2471)),0), FactorTable!$A$2:$A$301,0), Skills!M25+1)</f>
        <v/>
      </c>
      <c r="F2471">
        <f>IF(Skills!N25=TRUE,(Skills!L25/10)*(E2471/1000),Skills!L25/10)+Skills!O25</f>
        <v/>
      </c>
      <c r="G2471">
        <f>Calc!G25</f>
        <v/>
      </c>
      <c r="H2471">
        <f>Calc!H25</f>
        <v/>
      </c>
      <c r="I2471">
        <f>IF(Skills!X25&lt;&gt;"",1+(Skills!X25/10)*(Z2449/1000)/100,1)</f>
        <v/>
      </c>
      <c r="J2471" t="inlineStr"/>
      <c r="K2471" t="inlineStr"/>
      <c r="L2471" t="inlineStr"/>
      <c r="M2471" t="inlineStr"/>
      <c r="N2471" t="inlineStr"/>
      <c r="O2471">
        <f>(1-Summary!$B$11)*S2471+Summary!$B$11*U2471</f>
        <v/>
      </c>
      <c r="P2471">
        <f>IF(B2487=0,0,O2471/B2487)</f>
        <v/>
      </c>
      <c r="Q2471">
        <f>IFERROR(1/(IF(Inputs!$B$38="pvp",15,MAX(0.1,Skills!E25-IF(Skills!F25=TRUE,Inputs!$B$32,0)))*(1-IF(AND(ArtifactsInput!$M$27,Inputs!$B$4="Chapter Hunt"),CHOOSE(ArtifactsInput!$N$27+1,20,24,28,32,36,40),0)/100)),0)</f>
        <v/>
      </c>
      <c r="R2471" t="n">
        <v>0</v>
      </c>
      <c r="S2471" t="n">
        <v>0</v>
      </c>
      <c r="U2471" t="n">
        <v>0</v>
      </c>
    </row>
    <row r="2472">
      <c r="A2472">
        <f>Skills!A26</f>
        <v/>
      </c>
      <c r="B2472">
        <f>Skills!B26</f>
        <v/>
      </c>
      <c r="C2472">
        <f>Inputs!$B$3&gt;=120</f>
        <v/>
      </c>
      <c r="D2472">
        <f>IF(Skills!C26=1,60+Inputs!$B$25+Inputs!$B$29,IF(Skills!C26=2,90+Inputs!$B$26+Inputs!$B$29,IF(Skills!C26=3,120+Inputs!$B$27+Inputs!$B$29,MAX(0,(Inputs!$B$3-100)*3)+Inputs!$B$28+Inputs!$B$29)))</f>
        <v/>
      </c>
      <c r="E2472">
        <f>INDEX(FactorTable!$B$2:$Y$301, MATCH(ROUND(MIN(300,MAX(1,D2472)),0), FactorTable!$A$2:$A$301,0), Skills!M26+1)</f>
        <v/>
      </c>
      <c r="F2472">
        <f>IF(Skills!N26=TRUE,(Skills!L26/10)*(E2472/1000),Skills!L26/10)+Skills!O26</f>
        <v/>
      </c>
      <c r="G2472">
        <f>Calc!G26</f>
        <v/>
      </c>
      <c r="H2472">
        <f>Calc!H26</f>
        <v/>
      </c>
      <c r="I2472">
        <f>IF(Skills!X26&lt;&gt;"",1+(Skills!X26/10)*(Z2449/1000)/100,1)</f>
        <v/>
      </c>
      <c r="J2472" t="inlineStr"/>
      <c r="K2472" t="inlineStr"/>
      <c r="L2472" t="inlineStr"/>
      <c r="M2472" t="inlineStr"/>
      <c r="N2472" t="inlineStr"/>
      <c r="O2472">
        <f>(1-Summary!$B$11)*S2472+Summary!$B$11*U2472</f>
        <v/>
      </c>
      <c r="P2472">
        <f>IF(B2487=0,0,O2472/B2487)</f>
        <v/>
      </c>
      <c r="Q2472">
        <f>IFERROR(1/(IF(Inputs!$B$38="pvp",15,MAX(0.1,Skills!E26-IF(Skills!F26=TRUE,Inputs!$B$32,0)))*(1-IF(AND(ArtifactsInput!$M$27,Inputs!$B$4="Chapter Hunt"),CHOOSE(ArtifactsInput!$N$27+1,20,24,28,32,36,40),0)/100)),0)</f>
        <v/>
      </c>
      <c r="R2472" t="n">
        <v>0</v>
      </c>
      <c r="S2472" t="n">
        <v>0</v>
      </c>
      <c r="U2472" t="n">
        <v>0</v>
      </c>
    </row>
    <row r="2473">
      <c r="A2473">
        <f>Skills!A27</f>
        <v/>
      </c>
      <c r="B2473">
        <f>Skills!B27</f>
        <v/>
      </c>
      <c r="C2473">
        <f>Inputs!$B$3&gt;=125</f>
        <v/>
      </c>
      <c r="D2473">
        <f>IF(Skills!C27=1,60+Inputs!$B$25+Inputs!$B$29,IF(Skills!C27=2,90+Inputs!$B$26+Inputs!$B$29,IF(Skills!C27=3,120+Inputs!$B$27+Inputs!$B$29,MAX(0,(Inputs!$B$3-100)*3)+Inputs!$B$28+Inputs!$B$29)))</f>
        <v/>
      </c>
      <c r="E2473">
        <f>INDEX(FactorTable!$B$2:$Y$301, MATCH(ROUND(MIN(300,MAX(1,D2473)),0), FactorTable!$A$2:$A$301,0), Skills!M27+1)</f>
        <v/>
      </c>
      <c r="F2473">
        <f>IF(Skills!N27=TRUE,(Skills!L27/10)*(E2473/1000),Skills!L27/10)+Skills!O27</f>
        <v/>
      </c>
      <c r="G2473">
        <f>Calc!G27</f>
        <v/>
      </c>
      <c r="H2473">
        <f>Calc!H27</f>
        <v/>
      </c>
      <c r="I2473">
        <f>IF(Skills!X27&lt;&gt;"",1+(Skills!X27/10)*(Z2449/1000)/100,1)</f>
        <v/>
      </c>
      <c r="J2473" t="inlineStr"/>
      <c r="K2473" t="inlineStr"/>
      <c r="L2473" t="inlineStr"/>
      <c r="M2473" t="inlineStr"/>
      <c r="N2473" t="inlineStr"/>
      <c r="O2473">
        <f>(1-Summary!$B$11)*S2473+Summary!$B$11*U2473</f>
        <v/>
      </c>
      <c r="P2473">
        <f>IF(B2487=0,0,O2473/B2487)</f>
        <v/>
      </c>
      <c r="Q2473">
        <f>IFERROR(1/(IF(Inputs!$B$38="pvp",15,MAX(0.1,Skills!E27-IF(Skills!F27=TRUE,Inputs!$B$32,0)))*(1-IF(AND(ArtifactsInput!$M$27,Inputs!$B$4="Chapter Hunt"),CHOOSE(ArtifactsInput!$N$27+1,20,24,28,32,36,40),0)/100)),0)</f>
        <v/>
      </c>
      <c r="R2473" t="n">
        <v>0</v>
      </c>
      <c r="S2473" t="n">
        <v>0</v>
      </c>
      <c r="U2473" t="n">
        <v>0</v>
      </c>
    </row>
    <row r="2474">
      <c r="A2474">
        <f>Skills!A28</f>
        <v/>
      </c>
      <c r="B2474">
        <f>Skills!B28</f>
        <v/>
      </c>
      <c r="C2474">
        <f>Inputs!$B$3&gt;=118</f>
        <v/>
      </c>
      <c r="D2474">
        <f>IF(Skills!C28=1,60+Inputs!$B$25+Inputs!$B$29,IF(Skills!C28=2,90+Inputs!$B$26+Inputs!$B$29,IF(Skills!C28=3,120+Inputs!$B$27+Inputs!$B$29,MAX(0,(Inputs!$B$3-100)*3)+Inputs!$B$28+Inputs!$B$29)))</f>
        <v/>
      </c>
      <c r="E2474">
        <f>INDEX(FactorTable!$B$2:$Y$301, MATCH(ROUND(MIN(300,MAX(1,D2474)),0), FactorTable!$A$2:$A$301,0), Skills!M28+1)</f>
        <v/>
      </c>
      <c r="F2474">
        <f>IF(Skills!N28=TRUE,(Skills!L28/10)*(E2474/1000),Skills!L28/10)+Skills!O28</f>
        <v/>
      </c>
      <c r="G2474">
        <f>Calc!G28</f>
        <v/>
      </c>
      <c r="H2474">
        <f>Calc!H28</f>
        <v/>
      </c>
      <c r="I2474">
        <f>IF(Skills!X28&lt;&gt;"",1+(Skills!X28/10)*(Z2449/1000)/100,1)</f>
        <v/>
      </c>
      <c r="J2474">
        <f>((Inputs!$B$6*(1+Inputs!$B$7/100))+(((Inputs!$B$12*(1+Inputs!$B$13/100))-(Inputs!$B$12*(1+Inputs!$B$13/100)))+0.25*(Inputs!$B$14-Inputs!$B$14))*(1+Inputs!$B$7/100))*(F2474/100)</f>
        <v/>
      </c>
      <c r="K2474">
        <f>J2474*(1+((Inputs!$B$12*(1+Inputs!$B$13/100))*0.01+Inputs!$B$14*0.0025)/100)*(1+Inputs!$B$15/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2469/100)*(1+IF(Inputs!$B$3&gt;=120,F2472,0)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2473*5,0)))/100)*(B2476*B2477*B2478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2474)</f>
        <v/>
      </c>
      <c r="L2474">
        <f>K2474*(MIN(Inputs!$B$22+(F2468-Calc!F22),(Inputs!$B$23+(IF(ArtifactsInput!$M$15,CHOOSE(ArtifactsInput!$N$15+1,25,30,35,40,45,50)/100*(Inputs!$B$11-Inputs!$B$11),0))))/100+(Inputs!$B$23+(IF(ArtifactsInput!$M$15,CHOOSE(ArtifactsInput!$N$15+1,25,30,35,40,45,50)/100*(Inputs!$B$11-Inputs!$B$11),0)))/100)/2</f>
        <v/>
      </c>
      <c r="M2474">
        <f>L2474*(1+(Inputs!$B$10+(F2467-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4">
        <f>L2474*(1-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2474*(MIN((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4">
        <f>(1-Summary!$B$11)*S2474+Summary!$B$11*U2474</f>
        <v/>
      </c>
      <c r="P2474">
        <f>IF(B2487=0,0,O2474/B2487)</f>
        <v/>
      </c>
      <c r="Q2474">
        <f>IFERROR(1/(IF(Inputs!$B$38="pvp",15,MAX(0.1,Skills!E28-IF(Skills!F28=TRUE,Inputs!$B$32,0)))*(1-IF(AND(ArtifactsInput!$M$27,Inputs!$B$4="Chapter Hunt"),CHOOSE(ArtifactsInput!$N$27+1,20,24,28,32,36,40),0)/100)),0)</f>
        <v/>
      </c>
      <c r="R2474">
        <f>IF(AND(Inputs!$B$38&lt;&gt;"pvp",Inputs!$B$43&gt;0),IF(MAX(0,Inputs!$B$43-B2484)&lt;=0,0,(INT(MAX(0,Inputs!$B$43-B2484)/(IF(Inputs!$B$38="pvp",15,MAX(0.1,Skills!E28-IF(Skills!F28=TRUE,Inputs!$B$32,0)))*(1-IF(AND(ArtifactsInput!$M$27,Inputs!$B$4="Chapter Hunt"),CHOOSE(ArtifactsInput!$N$27+1,20,24,28,32,36,40),0)/100)))+1)),0)</f>
        <v/>
      </c>
      <c r="S2474">
        <f>IF(C2474,(H2474*N2474*IF(AND(Inputs!$B$38&lt;&gt;"pvp",Inputs!$B$43&gt;0),((Skills!G28*((R2474-1)*IF(Skills!H28&gt;0,Skills!I28/Skills!H28,1)+IF(Skills!H28&gt;0,MIN(Skills!I28,MAX(0,MAX(0,Inputs!$B$43-B2484)-((R2474-1)*(IF(Inputs!$B$38="pvp",15,MAX(0.1,Skills!E28-IF(Skills!F28=TRUE,Inputs!$B$32,0)))*(1-IF(AND(ArtifactsInput!$M$27,Inputs!$B$4="Chapter Hunt"),CHOOSE(ArtifactsInput!$N$27+1,20,24,28,32,36,40),0)/100)))))/Skills!H28,1)))/Inputs!$B$43),G2474*Q2474))*IF(Inputs!$B$38="pvp",1,1+(Inputs!$B$20+Skills!P28+(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2474*(1-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2474*(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2474*(1-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2474*(MIN(100,(Inputs!$B$9+(F2466-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74">
        <f>IF(C2474,(H2474*N2474*IF(AND(Inputs!$B$38&lt;&gt;"pvp",Inputs!$B$43&gt;0),((Skills!G28*((R2474-1)*IF(Skills!H28&gt;0,Skills!I28/Skills!H28,1)+IF(Skills!H28&gt;0,MIN(Skills!I28,MAX(0,MAX(0,Inputs!$B$43-B2484)-((R2474-1)*(IF(Inputs!$B$38="pvp",15,MAX(0.1,Skills!E28-IF(Skills!F28=TRUE,Inputs!$B$32,0)))*(1-IF(AND(ArtifactsInput!$M$27,Inputs!$B$4="Chapter Hunt"),CHOOSE(ArtifactsInput!$N$27+1,20,24,28,32,36,40),0)/100)))))/Skills!H28,1)))/Inputs!$B$43),G2474*Q2474)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6">
      <c r="A2476" t="inlineStr">
        <is>
          <t>Burning Magic Multiplier</t>
        </is>
      </c>
      <c r="B2476">
        <f>1+(F2457*Skills!Z11)/100</f>
        <v/>
      </c>
    </row>
    <row r="2477">
      <c r="A2477" t="inlineStr">
        <is>
          <t>Elemental Decrease Multiplier (always-on)</t>
        </is>
      </c>
      <c r="B2477">
        <f>1+(F2458+(IF(AND(ArtifactsInput!$M$35,Inputs!$B$4&lt;&gt;"Chapter Hunt"),CHOOSE(ArtifactsInput!$N$35+1,15,18,21,24,27,30)*(1-EXP(-(0.2*B2480)*5)),0)+IF(AND(ArtifactsInput!$M$22,Inputs!$B$4&lt;&gt;"Chapter Hunt"),CHOOSE(ArtifactsInput!$N$22+1,10,12,14,16,18,20)*((0*(((0.15*B2480*5))^0/1)+1*(((0.15*B2480*5))^1/1)+2*(((0.15*B2480*5))^2/2)+3*(((0.15*B2480*5))^3/6)+4*(((0.15*B2480*5))^4/24)+5*(((0.15*B2480*5))^5/120))/((((0.15*B2480*5))^0/1)+(((0.15*B2480*5))^1/1)+(((0.15*B2480*5))^2/2)+(((0.15*B2480*5))^3/6)+(((0.15*B2480*5))^4/24)+(((0.15*B2480*5))^5/120))),0)))/100</f>
        <v/>
      </c>
    </row>
    <row r="2478">
      <c r="A2478" t="inlineStr">
        <is>
          <t>Average Buff Multiplier (Magic Guard + Meditation + Artifact Attack%, summed; then Infinity)</t>
        </is>
      </c>
      <c r="B2478">
        <f>(1+(F2452*IF(AND(Inputs!$B$38&lt;&gt;"pvp",Inputs!$B$43&gt;0),(((R2452-1)*(Skills!T6*(1+((Inputs!$B$34+(ArtifactsInput!$M$7-ArtifactsInput!$M$7)*CHOOSE(ArtifactsInput!$N$7+1,6,7.2,8.4,9.6,10.8,12)))/100))+MIN((Skills!T6*(1+((Inputs!$B$34+(ArtifactsInput!$M$7-ArtifactsInput!$M$7)*CHOOSE(ArtifactsInput!$N$7+1,6,7.2,8.4,9.6,10.8,12)))/100)),MAX(0,Inputs!$B$43-((R2452-1)*Skills!E6))))/Inputs!$B$43),IF(Inputs!$B$38="pvp",MIN((Skills!T6*(1+((Inputs!$B$34+(ArtifactsInput!$M$7-ArtifactsInput!$M$7)*CHOOSE(ArtifactsInput!$N$7+1,6,7.2,8.4,9.6,10.8,12)))/100)),15)/15,(Skills!T6*(1+((Inputs!$B$34+(ArtifactsInput!$M$7-ArtifactsInput!$M$7)*CHOOSE(ArtifactsInput!$N$7+1,6,7.2,8.4,9.6,10.8,12)))/100))/Skills!E6))+F2463*IF(AND(Inputs!$B$38&lt;&gt;"pvp",Inputs!$B$43&gt;0),(((R2463-1)*(Skills!T17*(1+((Inputs!$B$34+(ArtifactsInput!$M$7-ArtifactsInput!$M$7)*CHOOSE(ArtifactsInput!$N$7+1,6,7.2,8.4,9.6,10.8,12)))/100))+MIN((Skills!T17*(1+((Inputs!$B$34+(ArtifactsInput!$M$7-ArtifactsInput!$M$7)*CHOOSE(ArtifactsInput!$N$7+1,6,7.2,8.4,9.6,10.8,12)))/100)),MAX(0,Inputs!$B$43-((R2463-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2465=TRUE,(1+F2465*IF(AND(Inputs!$B$38&lt;&gt;"pvp",Inputs!$B$43&gt;0),(((R2465-1)*(Skills!T19*(1+((Inputs!$B$34+(ArtifactsInput!$M$7-ArtifactsInput!$M$7)*CHOOSE(ArtifactsInput!$N$7+1,6,7.2,8.4,9.6,10.8,12)))/100))+MIN((Skills!T19*(1+((Inputs!$B$34+(ArtifactsInput!$M$7-ArtifactsInput!$M$7)*CHOOSE(ArtifactsInput!$N$7+1,6,7.2,8.4,9.6,10.8,12)))/100)),MAX(0,Inputs!$B$43-((R2465-1)*Skills!E19))))/Inputs!$B$43),IF(Inputs!$B$38="pvp",MIN((Skills!T19*(1+((Inputs!$B$34+(ArtifactsInput!$M$7-ArtifactsInput!$M$7)*CHOOSE(ArtifactsInput!$N$7+1,6,7.2,8.4,9.6,10.8,12)))/100)),15)/15,(Skills!T19*(1+((Inputs!$B$34+(ArtifactsInput!$M$7-ArtifactsInput!$M$7)*CHOOSE(ArtifactsInput!$N$7+1,6,7.2,8.4,9.6,10.8,12)))/100))/Skills!E19))/100),1)</f>
        <v/>
      </c>
    </row>
    <row r="2479">
      <c r="A2479" t="inlineStr">
        <is>
          <t>Attack Speed Buff Bonus % (Nimble Feet, averaged)</t>
        </is>
      </c>
      <c r="B2479">
        <f>F2464*IF(AND(Inputs!$B$38&lt;&gt;"pvp",Inputs!$B$43&gt;0),(((R2464-1)*(Skills!T18*(1+((Inputs!$B$34+(ArtifactsInput!$M$7-ArtifactsInput!$M$7)*CHOOSE(ArtifactsInput!$N$7+1,6,7.2,8.4,9.6,10.8,12)))/100))+MIN((Skills!T18*(1+((Inputs!$B$34+(ArtifactsInput!$M$7-ArtifactsInput!$M$7)*CHOOSE(ArtifactsInput!$N$7+1,6,7.2,8.4,9.6,10.8,12)))/100)),MAX(0,Inputs!$B$43-((R2464-1)*Skills!E18))))/Inputs!$B$43),IF(Inputs!$B$38="pvp",MIN((Skills!T18*(1+((Inputs!$B$34+(ArtifactsInput!$M$7-ArtifactsInput!$M$7)*CHOOSE(ArtifactsInput!$N$7+1,6,7.2,8.4,9.6,10.8,12)))/100)),15)/15,(Skills!T18*(1+((Inputs!$B$34+(ArtifactsInput!$M$7-ArtifactsInput!$M$7)*CHOOSE(ArtifactsInput!$N$7+1,6,7.2,8.4,9.6,10.8,12)))/100))/Skills!E18))</f>
        <v/>
      </c>
    </row>
    <row r="2480">
      <c r="A2480" t="inlineStr">
        <is>
          <t>Actions Per Second</t>
        </is>
      </c>
      <c r="B2480">
        <f>1+MIN(150,150*(1-(1-(Inputs!$B$11+(ArtifactsInput!$M$15-ArtifactsInput!$M$15)*CHOOSE(ArtifactsInput!$N$15+1,8,9.6,11.2,12.8,14.4,16))/150)*(1-B2479/150)))/100</f>
        <v/>
      </c>
    </row>
    <row r="2481">
      <c r="A2481" t="inlineStr">
        <is>
          <t>Skill + Buff Cast Rate</t>
        </is>
      </c>
      <c r="B2481">
        <f>IF(AND(Inputs!$B$38&lt;&gt;"pvp",Inputs!$B$43&gt;0),SUMPRODUCT((Skills!F2:F28=TRUE)*(C2448:C2474=TRUE)*R2448:R2474)/Inputs!$B$43,SUMPRODUCT((Skills!F2:F28=TRUE)*(C2448:C2474=TRUE)*Q2448:Q2474))</f>
        <v/>
      </c>
    </row>
    <row r="2482">
      <c r="A2482" t="inlineStr">
        <is>
          <t>Basic Attacks Per Second</t>
        </is>
      </c>
      <c r="B2482">
        <f>MAX(0,B2480-B2481)</f>
        <v/>
      </c>
    </row>
    <row r="2483">
      <c r="A2483" t="inlineStr">
        <is>
          <t>Meteor Proc — combined trigger cast rate</t>
        </is>
      </c>
      <c r="B2483">
        <f>IF(AND(Inputs!$B$38&lt;&gt;"pvp",Inputs!$B$43&gt;0),SUMPRODUCT((Skills!V2:V28=TRUE)*(C2448:C2474=TRUE)*R2448:R2474*Skills!W2:W28)/Inputs!$B$43,SUMPRODUCT((Skills!V2:V28=TRUE)*(C2448:C2474=TRUE)*Q2448:Q2474*Skills!W2:W28))+B2482</f>
        <v/>
      </c>
    </row>
    <row r="2484">
      <c r="A2484" t="inlineStr">
        <is>
          <t>Buff-Casting Startup Delay (s, fixed-duration only)</t>
        </is>
      </c>
      <c r="B2484">
        <f>IF(AND(Inputs!$B$38&lt;&gt;"pvp",Inputs!$B$43&gt;0),SUMPRODUCT((Skills!T2:T28&gt;0)*(Skills!F2:F28=TRUE)*(C2448:C2474=TRUE))/B2480,0)</f>
        <v/>
      </c>
    </row>
    <row r="2485">
      <c r="A2485" t="inlineStr">
        <is>
          <t>Boss-Only Total DPS (this block's swept value)</t>
        </is>
      </c>
      <c r="B2485">
        <f>SUM(S2448:S2474)</f>
        <v/>
      </c>
    </row>
    <row r="2486">
      <c r="A2486" t="inlineStr">
        <is>
          <t>Normal-Only Total DPS (this block's swept value)</t>
        </is>
      </c>
      <c r="B2486">
        <f>SUM(U2448:U2474)</f>
        <v/>
      </c>
    </row>
    <row r="2487">
      <c r="A2487" s="6" t="inlineStr">
        <is>
          <t>TOTAL DPS</t>
        </is>
      </c>
      <c r="B2487" s="6">
        <f>SUM(O2448:O2474)</f>
        <v/>
      </c>
    </row>
    <row r="2490">
      <c r="A2490" s="6" t="inlineStr">
        <is>
          <t>Stat: Alliance Badge (Equip)</t>
        </is>
      </c>
    </row>
    <row r="2491">
      <c r="A2491" s="5" t="inlineStr">
        <is>
          <t>Key</t>
        </is>
      </c>
      <c r="B2491" s="5" t="inlineStr">
        <is>
          <t>Name</t>
        </is>
      </c>
      <c r="C2491" s="5" t="inlineStr">
        <is>
          <t>Unlocked</t>
        </is>
      </c>
      <c r="D2491" s="5" t="inlineStr">
        <is>
          <t>InputLevel</t>
        </is>
      </c>
      <c r="E2491" s="5" t="inlineStr">
        <is>
          <t>Factor</t>
        </is>
      </c>
      <c r="F2491" s="5" t="inlineStr">
        <is>
          <t>CoefficientPercent</t>
        </is>
      </c>
      <c r="G2491" s="5" t="inlineStr">
        <is>
          <t>EffectiveHits</t>
        </is>
      </c>
      <c r="H2491" s="5" t="inlineStr">
        <is>
          <t>ProcProbability</t>
        </is>
      </c>
      <c r="I2491" s="5" t="inlineStr">
        <is>
          <t>MapleHeroMultiplier</t>
        </is>
      </c>
      <c r="J2491" s="5" t="inlineStr">
        <is>
          <t>BaseDamage</t>
        </is>
      </c>
      <c r="K2491" s="5" t="inlineStr">
        <is>
          <t>BaseHitDamage</t>
        </is>
      </c>
      <c r="L2491" s="5" t="inlineStr">
        <is>
          <t>NonCritAvg</t>
        </is>
      </c>
      <c r="M2491" s="5" t="inlineStr">
        <is>
          <t>CritAvg</t>
        </is>
      </c>
      <c r="N2491" s="5" t="inlineStr">
        <is>
          <t>ExpectedDamage(perHit)</t>
        </is>
      </c>
      <c r="O2491" s="5" t="inlineStr">
        <is>
          <t>DPS</t>
        </is>
      </c>
      <c r="P2491" s="5" t="inlineStr">
        <is>
          <t>% of Total</t>
        </is>
      </c>
      <c r="R2491" t="inlineStr">
        <is>
          <t>helpers</t>
        </is>
      </c>
    </row>
    <row r="2492">
      <c r="A2492">
        <f>Skills!A2</f>
        <v/>
      </c>
      <c r="B2492">
        <f>Skills!B2</f>
        <v/>
      </c>
      <c r="C2492">
        <f>TRUE</f>
        <v/>
      </c>
      <c r="D2492" t="inlineStr"/>
      <c r="E2492" t="inlineStr"/>
      <c r="F2492">
        <f>T2494+Skills!O2</f>
        <v/>
      </c>
      <c r="G2492">
        <f>Calc!G2</f>
        <v/>
      </c>
      <c r="H2492">
        <f>Calc!H2</f>
        <v/>
      </c>
      <c r="I2492">
        <f>IF(Skills!X2&lt;&gt;"",1+(Skills!X2/10)*(Z2493/1000)/100,1)</f>
        <v/>
      </c>
      <c r="J2492">
        <f>((Inputs!$B$6*(1+Inputs!$B$7/100))+(((Inputs!$B$12*(1+Inputs!$B$13/100))-(Inputs!$B$12*(1+Inputs!$B$13/100)))+0.25*(Inputs!$B$14-Inputs!$B$14))*(1+Inputs!$B$7/100))*(F2492/100)</f>
        <v/>
      </c>
      <c r="K2492">
        <f>J2492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2492)</f>
        <v/>
      </c>
      <c r="L2492">
        <f>K2492*(MIN(Inputs!$B$22+(F2512-Calc!F22),(Inputs!$B$23+(IF(ArtifactsInput!$M$15,CHOOSE(ArtifactsInput!$N$15+1,25,30,35,40,45,50)/100*(Inputs!$B$11-Inputs!$B$11),0))))/100+(Inputs!$B$23+(IF(ArtifactsInput!$M$15,CHOOSE(ArtifactsInput!$N$15+1,25,30,35,40,45,50)/100*(Inputs!$B$11-Inputs!$B$11),0)))/100)/2</f>
        <v/>
      </c>
      <c r="M2492">
        <f>L2492*(1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2">
        <f>L2492*(1-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2492*(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2">
        <f>(1-Summary!$B$11)*S2492+Summary!$B$11*U2492</f>
        <v/>
      </c>
      <c r="P2492">
        <f>IF(B2531=0,0,O2492/B2531)</f>
        <v/>
      </c>
      <c r="Q2492">
        <f>IFERROR(1/(IF(Inputs!$B$38="pvp",15,MAX(0.1,Skills!E2-IF(Skills!F2=TRUE,Inputs!$B$32,0)))*(1-IF(AND(ArtifactsInput!$M$27,Inputs!$B$4="Chapter Hunt"),CHOOSE(ArtifactsInput!$N$27+1,20,24,28,32,36,40),0)/100)),0)</f>
        <v/>
      </c>
      <c r="R2492" t="n">
        <v>0</v>
      </c>
      <c r="S2492">
        <f>(Skills!G2*N2492*B2526)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2492*(1-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2492*(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2492*(1-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2492*(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492">
        <f>MAX(0,(Inputs!$B$3-100)*3)+Inputs!$B$28+Inputs!$B$29</f>
        <v/>
      </c>
      <c r="U2492">
        <f>(Skills!G2*N2492*B2526)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492">
        <f>MAX(0,(Inputs!$B$3-100)*3)+Inputs!$B$28+Inputs!$B$29</f>
        <v/>
      </c>
    </row>
    <row r="2493">
      <c r="A2493">
        <f>Skills!A3</f>
        <v/>
      </c>
      <c r="B2493">
        <f>Skills!B3</f>
        <v/>
      </c>
      <c r="C2493">
        <f>TRUE</f>
        <v/>
      </c>
      <c r="D2493">
        <f>IF(Skills!C3=1,60+Inputs!$B$25+Inputs!$B$29,IF(Skills!C3=2,90+Inputs!$B$26+Inputs!$B$29,IF(Skills!C3=3,120+Inputs!$B$27+Inputs!$B$29,MAX(0,(Inputs!$B$3-100)*3)+Inputs!$B$28+Inputs!$B$29)))</f>
        <v/>
      </c>
      <c r="E2493">
        <f>INDEX(FactorTable!$B$2:$Y$301, MATCH(ROUND(MIN(300,MAX(1,D2493)),0), FactorTable!$A$2:$A$301,0), Skills!M3+1)</f>
        <v/>
      </c>
      <c r="F2493">
        <f>IF(Skills!N3=TRUE,(Skills!L3/10)*(E2493/1000),Skills!L3/10)+Skills!O3</f>
        <v/>
      </c>
      <c r="G2493">
        <f>Calc!G3</f>
        <v/>
      </c>
      <c r="H2493">
        <f>Calc!H3</f>
        <v/>
      </c>
      <c r="I2493">
        <f>IF(Skills!X3&lt;&gt;"",1+(Skills!X3/10)*(Z2493/1000)/100,1)</f>
        <v/>
      </c>
      <c r="J2493">
        <f>((Inputs!$B$6*(1+Inputs!$B$7/100))+(((Inputs!$B$12*(1+Inputs!$B$13/100))-(Inputs!$B$12*(1+Inputs!$B$13/100)))+0.25*(Inputs!$B$14-Inputs!$B$14))*(1+Inputs!$B$7/100))*(F2493/100)</f>
        <v/>
      </c>
      <c r="K2493">
        <f>J2493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2493)</f>
        <v/>
      </c>
      <c r="L2493">
        <f>K2493*(MIN(Inputs!$B$22+(F2512-Calc!F22),(Inputs!$B$23+(IF(ArtifactsInput!$M$15,CHOOSE(ArtifactsInput!$N$15+1,25,30,35,40,45,50)/100*(Inputs!$B$11-Inputs!$B$11),0))))/100+(Inputs!$B$23+(IF(ArtifactsInput!$M$15,CHOOSE(ArtifactsInput!$N$15+1,25,30,35,40,45,50)/100*(Inputs!$B$11-Inputs!$B$11),0)))/100)/2</f>
        <v/>
      </c>
      <c r="M2493">
        <f>L2493*(1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3">
        <f>L2493*(1-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2493*(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3">
        <f>(1-Summary!$B$11)*S2493+Summary!$B$11*U2493</f>
        <v/>
      </c>
      <c r="P2493">
        <f>IF(B2531=0,0,O2493/B2531)</f>
        <v/>
      </c>
      <c r="Q2493">
        <f>IFERROR(1/(IF(Inputs!$B$38="pvp",15,MAX(0.1,Skills!E3-IF(Skills!F3=TRUE,Inputs!$B$32,0)))*(1-IF(AND(ArtifactsInput!$M$27,Inputs!$B$4="Chapter Hunt"),CHOOSE(ArtifactsInput!$N$27+1,20,24,28,32,36,40),0)/100)),0)</f>
        <v/>
      </c>
      <c r="R2493">
        <f>IF(AND(Inputs!$B$38&lt;&gt;"pvp",Inputs!$B$43&gt;0),IF(MAX(0,Inputs!$B$43-B2528)&lt;=0,0,(INT(MAX(0,Inputs!$B$43-B2528)/(IF(Inputs!$B$38="pvp",15,MAX(0.1,Skills!E3-IF(Skills!F3=TRUE,Inputs!$B$32,0)))*(1-IF(AND(ArtifactsInput!$M$27,Inputs!$B$4="Chapter Hunt"),CHOOSE(ArtifactsInput!$N$27+1,20,24,28,32,36,40),0)/100)))+1)),0)</f>
        <v/>
      </c>
      <c r="S2493">
        <f>IF(C2493,(H2493*N2493*IF(AND(Inputs!$B$38&lt;&gt;"pvp",Inputs!$B$43&gt;0),((Skills!G3*((R2493-1)*IF(Skills!H3&gt;0,Skills!I3/Skills!H3,1)+IF(Skills!H3&gt;0,MIN(Skills!I3,MAX(0,MAX(0,Inputs!$B$43-B2528)-((R2493-1)*(IF(Inputs!$B$38="pvp",15,MAX(0.1,Skills!E3-IF(Skills!F3=TRUE,Inputs!$B$32,0)))*(1-IF(AND(ArtifactsInput!$M$27,Inputs!$B$4="Chapter Hunt"),CHOOSE(ArtifactsInput!$N$27+1,20,24,28,32,36,40),0)/100)))))/Skills!H3,1)))/Inputs!$B$43),G2493*Q2493)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2493*(1-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2493*(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2493*(1-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2493*(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93">
        <f>INDEX(FactorTable!$B$2:$Y$301, MATCH(ROUND(MIN(300,MAX(1,T2492)),0), FactorTable!$A$2:$A$301,0), 22)</f>
        <v/>
      </c>
      <c r="U2493">
        <f>IF(C2493,(H2493*N2493*IF(AND(Inputs!$B$38&lt;&gt;"pvp",Inputs!$B$43&gt;0),((Skills!G3*((R2493-1)*IF(Skills!H3&gt;0,Skills!I3/Skills!H3,1)+IF(Skills!H3&gt;0,MIN(Skills!I3,MAX(0,MAX(0,Inputs!$B$43-B2528)-((R2493-1)*(IF(Inputs!$B$38="pvp",15,MAX(0.1,Skills!E3-IF(Skills!F3=TRUE,Inputs!$B$32,0)))*(1-IF(AND(ArtifactsInput!$M$27,Inputs!$B$4="Chapter Hunt"),CHOOSE(ArtifactsInput!$N$27+1,20,24,28,32,36,40),0)/100)))))/Skills!H3,1)))/Inputs!$B$43),G2493*Q2493)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493">
        <f>INDEX(FactorTable!$B$2:$Y$301, MATCH(ROUND(MIN(300,MAX(1,Z2492)),0), FactorTable!$A$2:$A$301,0), 24)</f>
        <v/>
      </c>
    </row>
    <row r="2494">
      <c r="A2494">
        <f>Skills!A4</f>
        <v/>
      </c>
      <c r="B2494">
        <f>Skills!B4</f>
        <v/>
      </c>
      <c r="C2494">
        <f>TRUE</f>
        <v/>
      </c>
      <c r="D2494">
        <f>IF(Skills!C4=1,60+Inputs!$B$25+Inputs!$B$29,IF(Skills!C4=2,90+Inputs!$B$26+Inputs!$B$29,IF(Skills!C4=3,120+Inputs!$B$27+Inputs!$B$29,MAX(0,(Inputs!$B$3-100)*3)+Inputs!$B$28+Inputs!$B$29)))</f>
        <v/>
      </c>
      <c r="E2494">
        <f>INDEX(FactorTable!$B$2:$Y$301, MATCH(ROUND(MIN(300,MAX(1,D2494)),0), FactorTable!$A$2:$A$301,0), Skills!M4+1)</f>
        <v/>
      </c>
      <c r="F2494">
        <f>IF(Skills!N4=TRUE,(Skills!L4/10)*(E2494/1000),Skills!L4/10)+Skills!O4</f>
        <v/>
      </c>
      <c r="G2494">
        <f>Calc!G4</f>
        <v/>
      </c>
      <c r="H2494">
        <f>Calc!H4</f>
        <v/>
      </c>
      <c r="I2494">
        <f>IF(Skills!X4&lt;&gt;"",1+(Skills!X4/10)*(Z2493/1000)/100,1)</f>
        <v/>
      </c>
      <c r="J2494">
        <f>((Inputs!$B$6*(1+Inputs!$B$7/100))+(((Inputs!$B$12*(1+Inputs!$B$13/100))-(Inputs!$B$12*(1+Inputs!$B$13/100)))+0.25*(Inputs!$B$14-Inputs!$B$14))*(1+Inputs!$B$7/100))*(F2494/100)</f>
        <v/>
      </c>
      <c r="K2494">
        <f>J2494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2494)</f>
        <v/>
      </c>
      <c r="L2494">
        <f>K2494*(MIN(Inputs!$B$22+(F2512-Calc!F22),(Inputs!$B$23+(IF(ArtifactsInput!$M$15,CHOOSE(ArtifactsInput!$N$15+1,25,30,35,40,45,50)/100*(Inputs!$B$11-Inputs!$B$11),0))))/100+(Inputs!$B$23+(IF(ArtifactsInput!$M$15,CHOOSE(ArtifactsInput!$N$15+1,25,30,35,40,45,50)/100*(Inputs!$B$11-Inputs!$B$11),0)))/100)/2</f>
        <v/>
      </c>
      <c r="M2494">
        <f>L2494*(1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4">
        <f>L2494*(1-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2494*(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4">
        <f>(1-Summary!$B$11)*S2494+Summary!$B$11*U2494</f>
        <v/>
      </c>
      <c r="P2494">
        <f>IF(B2531=0,0,O2494/B2531)</f>
        <v/>
      </c>
      <c r="Q2494">
        <f>IFERROR(1/(IF(Inputs!$B$38="pvp",15,MAX(0.1,Skills!E4-IF(Skills!F4=TRUE,Inputs!$B$32,0)))*(1-IF(AND(ArtifactsInput!$M$27,Inputs!$B$4="Chapter Hunt"),CHOOSE(ArtifactsInput!$N$27+1,20,24,28,32,36,40),0)/100)),0)</f>
        <v/>
      </c>
      <c r="R2494">
        <f>IF(AND(Inputs!$B$38&lt;&gt;"pvp",Inputs!$B$43&gt;0),IF(MAX(0,Inputs!$B$43-B2528)&lt;=0,0,(INT(MAX(0,Inputs!$B$43-B2528)/(IF(Inputs!$B$38="pvp",15,MAX(0.1,Skills!E4-IF(Skills!F4=TRUE,Inputs!$B$32,0)))*(1-IF(AND(ArtifactsInput!$M$27,Inputs!$B$4="Chapter Hunt"),CHOOSE(ArtifactsInput!$N$27+1,20,24,28,32,36,40),0)/100)))+1)),0)</f>
        <v/>
      </c>
      <c r="S2494">
        <f>IF(C2494,(H2494*N2494*IF(AND(Inputs!$B$38&lt;&gt;"pvp",Inputs!$B$43&gt;0),((Skills!G4*((R2494-1)*IF(Skills!H4&gt;0,Skills!I4/Skills!H4,1)+IF(Skills!H4&gt;0,MIN(Skills!I4,MAX(0,MAX(0,Inputs!$B$43-B2528)-((R2494-1)*(IF(Inputs!$B$38="pvp",15,MAX(0.1,Skills!E4-IF(Skills!F4=TRUE,Inputs!$B$32,0)))*(1-IF(AND(ArtifactsInput!$M$27,Inputs!$B$4="Chapter Hunt"),CHOOSE(ArtifactsInput!$N$27+1,20,24,28,32,36,40),0)/100)))))/Skills!H4,1)))/Inputs!$B$43),G2494*Q2494)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2494*(1-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2494*(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2494*(1-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2494*(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94">
        <f>290*T2493/1000</f>
        <v/>
      </c>
      <c r="U2494">
        <f>IF(C2494,(H2494*N2494*IF(AND(Inputs!$B$38&lt;&gt;"pvp",Inputs!$B$43&gt;0),((Skills!G4*((R2494-1)*IF(Skills!H4&gt;0,Skills!I4/Skills!H4,1)+IF(Skills!H4&gt;0,MIN(Skills!I4,MAX(0,MAX(0,Inputs!$B$43-B2528)-((R2494-1)*(IF(Inputs!$B$38="pvp",15,MAX(0.1,Skills!E4-IF(Skills!F4=TRUE,Inputs!$B$32,0)))*(1-IF(AND(ArtifactsInput!$M$27,Inputs!$B$4="Chapter Hunt"),CHOOSE(ArtifactsInput!$N$27+1,20,24,28,32,36,40),0)/100)))))/Skills!H4,1)))/Inputs!$B$43),G2494*Q2494)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5">
      <c r="A2495">
        <f>Skills!A5</f>
        <v/>
      </c>
      <c r="B2495">
        <f>Skills!B5</f>
        <v/>
      </c>
      <c r="C2495">
        <f>TRUE</f>
        <v/>
      </c>
      <c r="D2495">
        <f>IF(Skills!C5=1,60+Inputs!$B$25+Inputs!$B$29,IF(Skills!C5=2,90+Inputs!$B$26+Inputs!$B$29,IF(Skills!C5=3,120+Inputs!$B$27+Inputs!$B$29,MAX(0,(Inputs!$B$3-100)*3)+Inputs!$B$28+Inputs!$B$29)))</f>
        <v/>
      </c>
      <c r="E2495">
        <f>INDEX(FactorTable!$B$2:$Y$301, MATCH(ROUND(MIN(300,MAX(1,D2495)),0), FactorTable!$A$2:$A$301,0), Skills!M5+1)</f>
        <v/>
      </c>
      <c r="F2495">
        <f>IF(Skills!N5=TRUE,(Skills!L5/10)*(E2495/1000),Skills!L5/10)+Skills!O5</f>
        <v/>
      </c>
      <c r="G2495">
        <f>Calc!G5</f>
        <v/>
      </c>
      <c r="H2495">
        <f>Calc!H5</f>
        <v/>
      </c>
      <c r="I2495">
        <f>IF(Skills!X5&lt;&gt;"",1+(Skills!X5/10)*(Z2493/1000)/100,1)</f>
        <v/>
      </c>
      <c r="J2495">
        <f>((Inputs!$B$6*(1+Inputs!$B$7/100))+(((Inputs!$B$12*(1+Inputs!$B$13/100))-(Inputs!$B$12*(1+Inputs!$B$13/100)))+0.25*(Inputs!$B$14-Inputs!$B$14))*(1+Inputs!$B$7/100))*(F2495/100)</f>
        <v/>
      </c>
      <c r="K2495">
        <f>J2495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2495)</f>
        <v/>
      </c>
      <c r="L2495">
        <f>K2495*(MIN(Inputs!$B$22+(F2512-Calc!F22),(Inputs!$B$23+(IF(ArtifactsInput!$M$15,CHOOSE(ArtifactsInput!$N$15+1,25,30,35,40,45,50)/100*(Inputs!$B$11-Inputs!$B$11),0))))/100+(Inputs!$B$23+(IF(ArtifactsInput!$M$15,CHOOSE(ArtifactsInput!$N$15+1,25,30,35,40,45,50)/100*(Inputs!$B$11-Inputs!$B$11),0)))/100)/2</f>
        <v/>
      </c>
      <c r="M2495">
        <f>L2495*(1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5">
        <f>L2495*(1-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2495*(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5">
        <f>(1-Summary!$B$11)*S2495+Summary!$B$11*U2495</f>
        <v/>
      </c>
      <c r="P2495">
        <f>IF(B2531=0,0,O2495/B2531)</f>
        <v/>
      </c>
      <c r="Q2495">
        <f>IFERROR(1/(IF(Inputs!$B$38="pvp",15,MAX(0.1,Skills!E5-IF(Skills!F5=TRUE,Inputs!$B$32,0)))*(1-IF(AND(ArtifactsInput!$M$27,Inputs!$B$4="Chapter Hunt"),CHOOSE(ArtifactsInput!$N$27+1,20,24,28,32,36,40),0)/100)),0)</f>
        <v/>
      </c>
      <c r="R2495">
        <f>IF(AND(Inputs!$B$38&lt;&gt;"pvp",Inputs!$B$43&gt;0),IF(MAX(0,Inputs!$B$43-B2528)&lt;=0,0,(INT(MAX(0,Inputs!$B$43-B2528)/(IF(Inputs!$B$38="pvp",15,MAX(0.1,Skills!E5-IF(Skills!F5=TRUE,Inputs!$B$32,0)))*(1-IF(AND(ArtifactsInput!$M$27,Inputs!$B$4="Chapter Hunt"),CHOOSE(ArtifactsInput!$N$27+1,20,24,28,32,36,40),0)/100)))+1)),0)</f>
        <v/>
      </c>
      <c r="S2495">
        <f>IF(C2495,(H2495*N2495*IF(AND(Inputs!$B$38&lt;&gt;"pvp",Inputs!$B$43&gt;0),((Skills!G5*((R2495-1)*IF(Skills!H5&gt;0,Skills!I5/Skills!H5,1)+IF(Skills!H5&gt;0,MIN(Skills!I5,MAX(0,MAX(0,Inputs!$B$43-B2528)-((R2495-1)*(IF(Inputs!$B$38="pvp",15,MAX(0.1,Skills!E5-IF(Skills!F5=TRUE,Inputs!$B$32,0)))*(1-IF(AND(ArtifactsInput!$M$27,Inputs!$B$4="Chapter Hunt"),CHOOSE(ArtifactsInput!$N$27+1,20,24,28,32,36,40),0)/100)))))/Skills!H5,1)))/Inputs!$B$43),G2495*Q2495)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2495*(1-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2495*(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2495*(1-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2495*(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5">
        <f>IF(C2495,(H2495*N2495*IF(AND(Inputs!$B$38&lt;&gt;"pvp",Inputs!$B$43&gt;0),((Skills!G5*((R2495-1)*IF(Skills!H5&gt;0,Skills!I5/Skills!H5,1)+IF(Skills!H5&gt;0,MIN(Skills!I5,MAX(0,MAX(0,Inputs!$B$43-B2528)-((R2495-1)*(IF(Inputs!$B$38="pvp",15,MAX(0.1,Skills!E5-IF(Skills!F5=TRUE,Inputs!$B$32,0)))*(1-IF(AND(ArtifactsInput!$M$27,Inputs!$B$4="Chapter Hunt"),CHOOSE(ArtifactsInput!$N$27+1,20,24,28,32,36,40),0)/100)))))/Skills!H5,1)))/Inputs!$B$43),G2495*Q2495)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6">
      <c r="A2496">
        <f>Skills!A6</f>
        <v/>
      </c>
      <c r="B2496">
        <f>Skills!B6</f>
        <v/>
      </c>
      <c r="C2496">
        <f>TRUE</f>
        <v/>
      </c>
      <c r="D2496">
        <f>IF(Skills!C6=1,60+Inputs!$B$25+Inputs!$B$29,IF(Skills!C6=2,90+Inputs!$B$26+Inputs!$B$29,IF(Skills!C6=3,120+Inputs!$B$27+Inputs!$B$29,MAX(0,(Inputs!$B$3-100)*3)+Inputs!$B$28+Inputs!$B$29)))</f>
        <v/>
      </c>
      <c r="E2496">
        <f>INDEX(FactorTable!$B$2:$Y$301, MATCH(ROUND(MIN(300,MAX(1,D2496)),0), FactorTable!$A$2:$A$301,0), Skills!M6+1)</f>
        <v/>
      </c>
      <c r="F2496">
        <f>IF(Skills!N6=TRUE,(Skills!L6/10)*(E2496/1000),Skills!L6/10)+Skills!O6</f>
        <v/>
      </c>
      <c r="G2496">
        <f>Calc!G6</f>
        <v/>
      </c>
      <c r="H2496">
        <f>Calc!H6</f>
        <v/>
      </c>
      <c r="I2496">
        <f>IF(Skills!X6&lt;&gt;"",1+(Skills!X6/10)*(Z2493/1000)/100,1)</f>
        <v/>
      </c>
      <c r="J2496" t="inlineStr"/>
      <c r="K2496" t="inlineStr"/>
      <c r="L2496" t="inlineStr"/>
      <c r="M2496" t="inlineStr"/>
      <c r="N2496" t="inlineStr"/>
      <c r="O2496">
        <f>(1-Summary!$B$11)*S2496+Summary!$B$11*U2496</f>
        <v/>
      </c>
      <c r="P2496">
        <f>IF(B2531=0,0,O2496/B2531)</f>
        <v/>
      </c>
      <c r="Q2496">
        <f>IFERROR(1/(IF(Inputs!$B$38="pvp",15,MAX(0.1,Skills!E6-IF(Skills!F6=TRUE,Inputs!$B$32,0)))*(1-IF(AND(ArtifactsInput!$M$27,Inputs!$B$4="Chapter Hunt"),CHOOSE(ArtifactsInput!$N$27+1,20,24,28,32,36,40),0)/100)),0)</f>
        <v/>
      </c>
      <c r="R2496">
        <f>IF(AND(Inputs!$B$38&lt;&gt;"pvp",Inputs!$B$43&gt;0),IF(Inputs!$B$43&lt;=0,0,(INT(Inputs!$B$43/(IF(Inputs!$B$38="pvp",15,MAX(0.1,Skills!E6-IF(Skills!F6=TRUE,Inputs!$B$32,0)))*(1-IF(AND(ArtifactsInput!$M$27,Inputs!$B$4="Chapter Hunt"),CHOOSE(ArtifactsInput!$N$27+1,20,24,28,32,36,40),0)/100)))+1)),0)</f>
        <v/>
      </c>
      <c r="S2496" t="n">
        <v>0</v>
      </c>
      <c r="U2496" t="n">
        <v>0</v>
      </c>
    </row>
    <row r="2497">
      <c r="A2497">
        <f>Skills!A7</f>
        <v/>
      </c>
      <c r="B2497">
        <f>Skills!B7</f>
        <v/>
      </c>
      <c r="C2497">
        <f>TRUE</f>
        <v/>
      </c>
      <c r="D2497">
        <f>IF(Skills!C7=1,60+Inputs!$B$25+Inputs!$B$29,IF(Skills!C7=2,90+Inputs!$B$26+Inputs!$B$29,IF(Skills!C7=3,120+Inputs!$B$27+Inputs!$B$29,MAX(0,(Inputs!$B$3-100)*3)+Inputs!$B$28+Inputs!$B$29)))</f>
        <v/>
      </c>
      <c r="E2497">
        <f>INDEX(FactorTable!$B$2:$Y$301, MATCH(ROUND(MIN(300,MAX(1,D2497)),0), FactorTable!$A$2:$A$301,0), Skills!M7+1)</f>
        <v/>
      </c>
      <c r="F2497">
        <f>IF(Skills!N7=TRUE,(Skills!L7/10)*(E2497/1000),Skills!L7/10)+Skills!O7</f>
        <v/>
      </c>
      <c r="G2497">
        <f>Calc!G7</f>
        <v/>
      </c>
      <c r="H2497">
        <f>Calc!H7</f>
        <v/>
      </c>
      <c r="I2497">
        <f>IF(Skills!X7&lt;&gt;"",1+(Skills!X7/10)*(Z2493/1000)/100,1)</f>
        <v/>
      </c>
      <c r="J2497">
        <f>((Inputs!$B$6*(1+Inputs!$B$7/100))+(((Inputs!$B$12*(1+Inputs!$B$13/100))-(Inputs!$B$12*(1+Inputs!$B$13/100)))+0.25*(Inputs!$B$14-Inputs!$B$14))*(1+Inputs!$B$7/100))*(F2497/100)</f>
        <v/>
      </c>
      <c r="K2497">
        <f>J2497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2497)</f>
        <v/>
      </c>
      <c r="L2497">
        <f>K2497*(MIN(Inputs!$B$22+(F2512-Calc!F22),(Inputs!$B$23+(IF(ArtifactsInput!$M$15,CHOOSE(ArtifactsInput!$N$15+1,25,30,35,40,45,50)/100*(Inputs!$B$11-Inputs!$B$11),0))))/100+(Inputs!$B$23+(IF(ArtifactsInput!$M$15,CHOOSE(ArtifactsInput!$N$15+1,25,30,35,40,45,50)/100*(Inputs!$B$11-Inputs!$B$11),0)))/100)/2</f>
        <v/>
      </c>
      <c r="M2497">
        <f>L2497*(1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7">
        <f>L2497*(1-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2497*(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7">
        <f>(1-Summary!$B$11)*S2497+Summary!$B$11*U2497</f>
        <v/>
      </c>
      <c r="P2497">
        <f>IF(B2531=0,0,O2497/B2531)</f>
        <v/>
      </c>
      <c r="Q2497">
        <f>IFERROR(1/(IF(Inputs!$B$38="pvp",15,MAX(0.1,Skills!E7-IF(Skills!F7=TRUE,Inputs!$B$32,0)))*(1-IF(AND(ArtifactsInput!$M$27,Inputs!$B$4="Chapter Hunt"),CHOOSE(ArtifactsInput!$N$27+1,20,24,28,32,36,40),0)/100)),0)</f>
        <v/>
      </c>
      <c r="R2497">
        <f>IF(AND(Inputs!$B$38&lt;&gt;"pvp",Inputs!$B$43&gt;0),IF(MAX(0,Inputs!$B$43-B2528)&lt;=0,0,(INT(MAX(0,Inputs!$B$43-B2528)/(IF(Inputs!$B$38="pvp",15,MAX(0.1,Skills!E7-IF(Skills!F7=TRUE,Inputs!$B$32,0)))*(1-IF(AND(ArtifactsInput!$M$27,Inputs!$B$4="Chapter Hunt"),CHOOSE(ArtifactsInput!$N$27+1,20,24,28,32,36,40),0)/100)))+1)),0)</f>
        <v/>
      </c>
      <c r="S2497">
        <f>IF(C2497,(H2497*N2497*IF(AND(Inputs!$B$38&lt;&gt;"pvp",Inputs!$B$43&gt;0),((Skills!G7*((R2497-1)*IF(Skills!H7&gt;0,Skills!I7/Skills!H7,1)+IF(Skills!H7&gt;0,MIN(Skills!I7,MAX(0,MAX(0,Inputs!$B$43-B2528)-((R2497-1)*(IF(Inputs!$B$38="pvp",15,MAX(0.1,Skills!E7-IF(Skills!F7=TRUE,Inputs!$B$32,0)))*(1-IF(AND(ArtifactsInput!$M$27,Inputs!$B$4="Chapter Hunt"),CHOOSE(ArtifactsInput!$N$27+1,20,24,28,32,36,40),0)/100)))))/Skills!H7,1)))/Inputs!$B$43),G2497*Q2497)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2497*(1-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2497*(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2497*(1-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2497*(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7">
        <f>IF(C2497,(H2497*N2497*IF(AND(Inputs!$B$38&lt;&gt;"pvp",Inputs!$B$43&gt;0),((Skills!G7*((R2497-1)*IF(Skills!H7&gt;0,Skills!I7/Skills!H7,1)+IF(Skills!H7&gt;0,MIN(Skills!I7,MAX(0,MAX(0,Inputs!$B$43-B2528)-((R2497-1)*(IF(Inputs!$B$38="pvp",15,MAX(0.1,Skills!E7-IF(Skills!F7=TRUE,Inputs!$B$32,0)))*(1-IF(AND(ArtifactsInput!$M$27,Inputs!$B$4="Chapter Hunt"),CHOOSE(ArtifactsInput!$N$27+1,20,24,28,32,36,40),0)/100)))))/Skills!H7,1)))/Inputs!$B$43),G2497*Q2497)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8">
      <c r="A2498">
        <f>Skills!A8</f>
        <v/>
      </c>
      <c r="B2498">
        <f>Skills!B8</f>
        <v/>
      </c>
      <c r="C2498">
        <f>TRUE</f>
        <v/>
      </c>
      <c r="D2498">
        <f>IF(Skills!C8=1,60+Inputs!$B$25+Inputs!$B$29,IF(Skills!C8=2,90+Inputs!$B$26+Inputs!$B$29,IF(Skills!C8=3,120+Inputs!$B$27+Inputs!$B$29,MAX(0,(Inputs!$B$3-100)*3)+Inputs!$B$28+Inputs!$B$29)))</f>
        <v/>
      </c>
      <c r="E2498">
        <f>INDEX(FactorTable!$B$2:$Y$301, MATCH(ROUND(MIN(300,MAX(1,D2498)),0), FactorTable!$A$2:$A$301,0), Skills!M8+1)</f>
        <v/>
      </c>
      <c r="F2498">
        <f>IF(Skills!N8=TRUE,(Skills!L8/10)*(E2498/1000),Skills!L8/10)+Skills!O8</f>
        <v/>
      </c>
      <c r="G2498">
        <f>Calc!G8</f>
        <v/>
      </c>
      <c r="H2498">
        <f>Calc!H8</f>
        <v/>
      </c>
      <c r="I2498">
        <f>IF(Skills!X8&lt;&gt;"",1+(Skills!X8/10)*(Z2493/1000)/100,1)</f>
        <v/>
      </c>
      <c r="J2498">
        <f>((Inputs!$B$6*(1+Inputs!$B$7/100))+(((Inputs!$B$12*(1+Inputs!$B$13/100))-(Inputs!$B$12*(1+Inputs!$B$13/100)))+0.25*(Inputs!$B$14-Inputs!$B$14))*(1+Inputs!$B$7/100))*(F2498/100)</f>
        <v/>
      </c>
      <c r="K2498">
        <f>J2498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2498)</f>
        <v/>
      </c>
      <c r="L2498">
        <f>K2498*(MIN(Inputs!$B$22+(F2512-Calc!F22),(Inputs!$B$23+(IF(ArtifactsInput!$M$15,CHOOSE(ArtifactsInput!$N$15+1,25,30,35,40,45,50)/100*(Inputs!$B$11-Inputs!$B$11),0))))/100+(Inputs!$B$23+(IF(ArtifactsInput!$M$15,CHOOSE(ArtifactsInput!$N$15+1,25,30,35,40,45,50)/100*(Inputs!$B$11-Inputs!$B$11),0)))/100)/2</f>
        <v/>
      </c>
      <c r="M2498">
        <f>L2498*(1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8">
        <f>L2498*(1-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2498*(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8">
        <f>(1-Summary!$B$11)*S2498+Summary!$B$11*U2498</f>
        <v/>
      </c>
      <c r="P2498">
        <f>IF(B2531=0,0,O2498/B2531)</f>
        <v/>
      </c>
      <c r="Q2498">
        <f>IFERROR(1/(IF(Inputs!$B$38="pvp",15,MAX(0.1,Skills!E8-IF(Skills!F8=TRUE,Inputs!$B$32,0)))*(1-IF(AND(ArtifactsInput!$M$27,Inputs!$B$4="Chapter Hunt"),CHOOSE(ArtifactsInput!$N$27+1,20,24,28,32,36,40),0)/100)),0)</f>
        <v/>
      </c>
      <c r="R2498">
        <f>IF(AND(Inputs!$B$38&lt;&gt;"pvp",Inputs!$B$43&gt;0),IF(MAX(0,Inputs!$B$43-B2528)&lt;=0,0,(INT(MAX(0,Inputs!$B$43-B2528)/(IF(Inputs!$B$38="pvp",15,MAX(0.1,Skills!E8-IF(Skills!F8=TRUE,Inputs!$B$32,0)))*(1-IF(AND(ArtifactsInput!$M$27,Inputs!$B$4="Chapter Hunt"),CHOOSE(ArtifactsInput!$N$27+1,20,24,28,32,36,40),0)/100)))+1)),0)</f>
        <v/>
      </c>
      <c r="S2498">
        <f>IF(C2498,(H2498*N2498*IF(AND(Inputs!$B$38&lt;&gt;"pvp",Inputs!$B$43&gt;0),((Skills!G8*((R2498-1)*IF(Skills!H8&gt;0,Skills!I8/Skills!H8,1)+IF(Skills!H8&gt;0,MIN(Skills!I8,MAX(0,MAX(0,Inputs!$B$43-B2528)-((R2498-1)*(IF(Inputs!$B$38="pvp",15,MAX(0.1,Skills!E8-IF(Skills!F8=TRUE,Inputs!$B$32,0)))*(1-IF(AND(ArtifactsInput!$M$27,Inputs!$B$4="Chapter Hunt"),CHOOSE(ArtifactsInput!$N$27+1,20,24,28,32,36,40),0)/100)))))/Skills!H8,1)))/Inputs!$B$43),G2498*Q2498)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2498*(1-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2498*(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2498*(1-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2498*(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8">
        <f>IF(C2498,(H2498*N2498*IF(AND(Inputs!$B$38&lt;&gt;"pvp",Inputs!$B$43&gt;0),((Skills!G8*((R2498-1)*IF(Skills!H8&gt;0,Skills!I8/Skills!H8,1)+IF(Skills!H8&gt;0,MIN(Skills!I8,MAX(0,MAX(0,Inputs!$B$43-B2528)-((R2498-1)*(IF(Inputs!$B$38="pvp",15,MAX(0.1,Skills!E8-IF(Skills!F8=TRUE,Inputs!$B$32,0)))*(1-IF(AND(ArtifactsInput!$M$27,Inputs!$B$4="Chapter Hunt"),CHOOSE(ArtifactsInput!$N$27+1,20,24,28,32,36,40),0)/100)))))/Skills!H8,1)))/Inputs!$B$43),G2498*Q2498)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9">
      <c r="A2499">
        <f>Skills!A9</f>
        <v/>
      </c>
      <c r="B2499">
        <f>Skills!B9</f>
        <v/>
      </c>
      <c r="C2499">
        <f>Inputs!$B$3&gt;=103</f>
        <v/>
      </c>
      <c r="D2499">
        <f>IF(Skills!C9=1,60+Inputs!$B$25+Inputs!$B$29,IF(Skills!C9=2,90+Inputs!$B$26+Inputs!$B$29,IF(Skills!C9=3,120+Inputs!$B$27+Inputs!$B$29,MAX(0,(Inputs!$B$3-100)*3)+Inputs!$B$28+Inputs!$B$29)))</f>
        <v/>
      </c>
      <c r="E2499">
        <f>INDEX(FactorTable!$B$2:$Y$301, MATCH(ROUND(MIN(300,MAX(1,D2499)),0), FactorTable!$A$2:$A$301,0), Skills!M9+1)</f>
        <v/>
      </c>
      <c r="F2499">
        <f>IF(Skills!N9=TRUE,(Skills!L9/10)*(E2499/1000),Skills!L9/10)+Skills!O9</f>
        <v/>
      </c>
      <c r="G2499">
        <f>Calc!G9</f>
        <v/>
      </c>
      <c r="H2499">
        <f>Calc!H9</f>
        <v/>
      </c>
      <c r="I2499">
        <f>IF(Skills!X9&lt;&gt;"",1+(Skills!X9/10)*(Z2493/1000)/100,1)</f>
        <v/>
      </c>
      <c r="J2499">
        <f>((Inputs!$B$6*(1+Inputs!$B$7/100))+(((Inputs!$B$12*(1+Inputs!$B$13/100))-(Inputs!$B$12*(1+Inputs!$B$13/100)))+0.25*(Inputs!$B$14-Inputs!$B$14))*(1+Inputs!$B$7/100))*(F2499/100)</f>
        <v/>
      </c>
      <c r="K2499">
        <f>J2499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2499)</f>
        <v/>
      </c>
      <c r="L2499">
        <f>K2499*(MIN(Inputs!$B$22+(F2512-Calc!F22),(Inputs!$B$23+(IF(ArtifactsInput!$M$15,CHOOSE(ArtifactsInput!$N$15+1,25,30,35,40,45,50)/100*(Inputs!$B$11-Inputs!$B$11),0))))/100+(Inputs!$B$23+(IF(ArtifactsInput!$M$15,CHOOSE(ArtifactsInput!$N$15+1,25,30,35,40,45,50)/100*(Inputs!$B$11-Inputs!$B$11),0)))/100)/2</f>
        <v/>
      </c>
      <c r="M2499">
        <f>L2499*(1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9">
        <f>L2499*(1-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2499*(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9">
        <f>(1-Summary!$B$11)*S2499+Summary!$B$11*U2499</f>
        <v/>
      </c>
      <c r="P2499">
        <f>IF(B2531=0,0,O2499/B2531)</f>
        <v/>
      </c>
      <c r="Q2499">
        <f>IFERROR(1/(IF(Inputs!$B$38="pvp",15,MAX(0.1,Skills!E9-IF(Skills!F7=TRUE,Inputs!$B$32,0)))*(1-IF(AND(ArtifactsInput!$M$27,Inputs!$B$4="Chapter Hunt"),CHOOSE(ArtifactsInput!$N$27+1,20,24,28,32,36,40),0)/100)),0)</f>
        <v/>
      </c>
      <c r="R2499">
        <f>IF(AND(Inputs!$B$38&lt;&gt;"pvp",Inputs!$B$43&gt;0),IF(MAX(0,Inputs!$B$43-B2528)&lt;=0,0,(INT(MAX(0,Inputs!$B$43-B2528)/(IF(Inputs!$B$38="pvp",15,MAX(0.1,Skills!E9-IF(Skills!F7=TRUE,Inputs!$B$32,0)))*(1-IF(AND(ArtifactsInput!$M$27,Inputs!$B$4="Chapter Hunt"),CHOOSE(ArtifactsInput!$N$27+1,20,24,28,32,36,40),0)/100)))+1)),0)</f>
        <v/>
      </c>
      <c r="S2499">
        <f>IF(C2499,(H2499*N2499*IF(AND(Inputs!$B$38&lt;&gt;"pvp",Inputs!$B$43&gt;0),((Skills!G9*((R2499-1)*IF(Skills!H9&gt;0,Skills!I9/Skills!H9,1)+IF(Skills!H9&gt;0,MIN(Skills!I9,MAX(0,MAX(0,Inputs!$B$43-B2528)-((R2499-1)*(IF(Inputs!$B$38="pvp",15,MAX(0.1,Skills!E9-IF(Skills!F7=TRUE,Inputs!$B$32,0)))*(1-IF(AND(ArtifactsInput!$M$27,Inputs!$B$4="Chapter Hunt"),CHOOSE(ArtifactsInput!$N$27+1,20,24,28,32,36,40),0)/100)))))/Skills!H9,1)))/Inputs!$B$43),G2499*Q2499)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2499*(1-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2499*(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2499*(1-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2499*(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9">
        <f>IF(C2499,(H2499*N2499*IF(AND(Inputs!$B$38&lt;&gt;"pvp",Inputs!$B$43&gt;0),((Skills!G9*((R2499-1)*IF(Skills!H9&gt;0,Skills!I9/Skills!H9,1)+IF(Skills!H9&gt;0,MIN(Skills!I9,MAX(0,MAX(0,Inputs!$B$43-B2528)-((R2499-1)*(IF(Inputs!$B$38="pvp",15,MAX(0.1,Skills!E9-IF(Skills!F7=TRUE,Inputs!$B$32,0)))*(1-IF(AND(ArtifactsInput!$M$27,Inputs!$B$4="Chapter Hunt"),CHOOSE(ArtifactsInput!$N$27+1,20,24,28,32,36,40),0)/100)))))/Skills!H9,1)))/Inputs!$B$43),G2499*Q2499)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0">
      <c r="A2500">
        <f>Skills!A10</f>
        <v/>
      </c>
      <c r="B2500">
        <f>Skills!B10</f>
        <v/>
      </c>
      <c r="C2500">
        <f>TRUE</f>
        <v/>
      </c>
      <c r="D2500">
        <f>IF(Skills!C10=1,60+Inputs!$B$25+Inputs!$B$29,IF(Skills!C10=2,90+Inputs!$B$26+Inputs!$B$29,IF(Skills!C10=3,120+Inputs!$B$27+Inputs!$B$29,MAX(0,(Inputs!$B$3-100)*3)+Inputs!$B$28+Inputs!$B$29)))</f>
        <v/>
      </c>
      <c r="E2500">
        <f>INDEX(FactorTable!$B$2:$Y$301, MATCH(ROUND(MIN(300,MAX(1,D2500)),0), FactorTable!$A$2:$A$301,0), Skills!M10+1)</f>
        <v/>
      </c>
      <c r="F2500">
        <f>IF(Skills!N10=TRUE,(Skills!L10/10)*(E2500/1000),Skills!L10/10)+Skills!O10</f>
        <v/>
      </c>
      <c r="G2500">
        <f>Calc!G10</f>
        <v/>
      </c>
      <c r="H2500">
        <f>Calc!H10</f>
        <v/>
      </c>
      <c r="I2500">
        <f>IF(Skills!X10&lt;&gt;"",1+(Skills!X10/10)*(Z2493/1000)/100,1)</f>
        <v/>
      </c>
      <c r="J2500">
        <f>((Inputs!$B$6*(1+Inputs!$B$7/100))+(((Inputs!$B$12*(1+Inputs!$B$13/100))-(Inputs!$B$12*(1+Inputs!$B$13/100)))+0.25*(Inputs!$B$14-Inputs!$B$14))*(1+Inputs!$B$7/100))*(F2500/100)</f>
        <v/>
      </c>
      <c r="K2500">
        <f>J2500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2500)</f>
        <v/>
      </c>
      <c r="L2500">
        <f>K2500*(MIN(Inputs!$B$22+(F2512-Calc!F22),(Inputs!$B$23+(IF(ArtifactsInput!$M$15,CHOOSE(ArtifactsInput!$N$15+1,25,30,35,40,45,50)/100*(Inputs!$B$11-Inputs!$B$11),0))))/100+(Inputs!$B$23+(IF(ArtifactsInput!$M$15,CHOOSE(ArtifactsInput!$N$15+1,25,30,35,40,45,50)/100*(Inputs!$B$11-Inputs!$B$11),0)))/100)/2</f>
        <v/>
      </c>
      <c r="M2500">
        <f>L2500*(1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0">
        <f>L2500*(1-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2500*(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0">
        <f>(1-Summary!$B$11)*S2500+Summary!$B$11*U2500</f>
        <v/>
      </c>
      <c r="P2500">
        <f>IF(B2531=0,0,O2500/B2531)</f>
        <v/>
      </c>
      <c r="Q2500">
        <f>IFERROR(1/(IF(Inputs!$B$38="pvp",15,MAX(0.1,Skills!E10-IF(Skills!F10=TRUE,Inputs!$B$32,0)))*(1-IF(AND(ArtifactsInput!$M$27,Inputs!$B$4="Chapter Hunt"),CHOOSE(ArtifactsInput!$N$27+1,20,24,28,32,36,40),0)/100)),0)</f>
        <v/>
      </c>
      <c r="R2500">
        <f>IF(AND(Inputs!$B$38&lt;&gt;"pvp",Inputs!$B$43&gt;0),IF(MAX(0,Inputs!$B$43-B2528)&lt;=0,0,(INT(MAX(0,Inputs!$B$43-B2528)/(IF(Inputs!$B$38="pvp",15,MAX(0.1,Skills!E10-IF(Skills!F10=TRUE,Inputs!$B$32,0)))*(1-IF(AND(ArtifactsInput!$M$27,Inputs!$B$4="Chapter Hunt"),CHOOSE(ArtifactsInput!$N$27+1,20,24,28,32,36,40),0)/100)))+1)),0)</f>
        <v/>
      </c>
      <c r="S2500">
        <f>IF(C2500,(H2500*N2500*IF(AND(Inputs!$B$38&lt;&gt;"pvp",Inputs!$B$43&gt;0),((Skills!G10*((R2500-1)*IF(Skills!H10&gt;0,Skills!I10/Skills!H10,1)+IF(Skills!H10&gt;0,MIN(Skills!I10,MAX(0,MAX(0,Inputs!$B$43-B2528)-((R2500-1)*(IF(Inputs!$B$38="pvp",15,MAX(0.1,Skills!E10-IF(Skills!F10=TRUE,Inputs!$B$32,0)))*(1-IF(AND(ArtifactsInput!$M$27,Inputs!$B$4="Chapter Hunt"),CHOOSE(ArtifactsInput!$N$27+1,20,24,28,32,36,40),0)/100)))))/Skills!H10,1)))/Inputs!$B$43),G2500*Q2500)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2500*(1-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2500*(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2500*(1-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2500*(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0">
        <f>IF(C2500,(H2500*N2500*IF(AND(Inputs!$B$38&lt;&gt;"pvp",Inputs!$B$43&gt;0),((Skills!G10*((R2500-1)*IF(Skills!H10&gt;0,Skills!I10/Skills!H10,1)+IF(Skills!H10&gt;0,MIN(Skills!I10,MAX(0,MAX(0,Inputs!$B$43-B2528)-((R2500-1)*(IF(Inputs!$B$38="pvp",15,MAX(0.1,Skills!E10-IF(Skills!F10=TRUE,Inputs!$B$32,0)))*(1-IF(AND(ArtifactsInput!$M$27,Inputs!$B$4="Chapter Hunt"),CHOOSE(ArtifactsInput!$N$27+1,20,24,28,32,36,40),0)/100)))))/Skills!H10,1)))/Inputs!$B$43),G2500*Q2500)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1">
      <c r="A2501">
        <f>Skills!A11</f>
        <v/>
      </c>
      <c r="B2501">
        <f>Skills!B11</f>
        <v/>
      </c>
      <c r="C2501">
        <f>TRUE</f>
        <v/>
      </c>
      <c r="D2501">
        <f>IF(Skills!C11=1,60+Inputs!$B$25+Inputs!$B$29,IF(Skills!C11=2,90+Inputs!$B$26+Inputs!$B$29,IF(Skills!C11=3,120+Inputs!$B$27+Inputs!$B$29,MAX(0,(Inputs!$B$3-100)*3)+Inputs!$B$28+Inputs!$B$29)))</f>
        <v/>
      </c>
      <c r="E2501">
        <f>INDEX(FactorTable!$B$2:$Y$301, MATCH(ROUND(MIN(300,MAX(1,D2501)),0), FactorTable!$A$2:$A$301,0), Skills!M11+1)</f>
        <v/>
      </c>
      <c r="F2501">
        <f>IF(Skills!N11=TRUE,(Skills!L11/10)*(E2501/1000),Skills!L11/10)+Skills!O11</f>
        <v/>
      </c>
      <c r="G2501">
        <f>Calc!G11</f>
        <v/>
      </c>
      <c r="H2501">
        <f>Calc!H11</f>
        <v/>
      </c>
      <c r="I2501">
        <f>IF(Skills!X11&lt;&gt;"",1+(Skills!X11/10)*(Z2493/1000)/100,1)</f>
        <v/>
      </c>
      <c r="J2501" t="inlineStr"/>
      <c r="K2501" t="inlineStr"/>
      <c r="L2501" t="inlineStr"/>
      <c r="M2501" t="inlineStr"/>
      <c r="N2501" t="inlineStr"/>
      <c r="O2501">
        <f>(1-Summary!$B$11)*S2501+Summary!$B$11*U2501</f>
        <v/>
      </c>
      <c r="P2501">
        <f>IF(B2531=0,0,O2501/B2531)</f>
        <v/>
      </c>
      <c r="Q2501">
        <f>IFERROR(1/(IF(Inputs!$B$38="pvp",15,MAX(0.1,Skills!E11-IF(Skills!F11=TRUE,Inputs!$B$32,0)))*(1-IF(AND(ArtifactsInput!$M$27,Inputs!$B$4="Chapter Hunt"),CHOOSE(ArtifactsInput!$N$27+1,20,24,28,32,36,40),0)/100)),0)</f>
        <v/>
      </c>
      <c r="R2501" t="n">
        <v>0</v>
      </c>
      <c r="S2501" t="n">
        <v>0</v>
      </c>
      <c r="U2501" t="n">
        <v>0</v>
      </c>
    </row>
    <row r="2502">
      <c r="A2502">
        <f>Skills!A12</f>
        <v/>
      </c>
      <c r="B2502">
        <f>Skills!B12</f>
        <v/>
      </c>
      <c r="C2502">
        <f>TRUE</f>
        <v/>
      </c>
      <c r="D2502">
        <f>IF(Skills!C12=1,60+Inputs!$B$25+Inputs!$B$29,IF(Skills!C12=2,90+Inputs!$B$26+Inputs!$B$29,IF(Skills!C12=3,120+Inputs!$B$27+Inputs!$B$29,MAX(0,(Inputs!$B$3-100)*3)+Inputs!$B$28+Inputs!$B$29)))</f>
        <v/>
      </c>
      <c r="E2502">
        <f>INDEX(FactorTable!$B$2:$Y$301, MATCH(ROUND(MIN(300,MAX(1,D2502)),0), FactorTable!$A$2:$A$301,0), Skills!M12+1)</f>
        <v/>
      </c>
      <c r="F2502">
        <f>IF(Skills!N12=TRUE,(Skills!L12/10)*(E2502/1000),Skills!L12/10)+Skills!O12</f>
        <v/>
      </c>
      <c r="G2502">
        <f>Calc!G12</f>
        <v/>
      </c>
      <c r="H2502">
        <f>Calc!H12</f>
        <v/>
      </c>
      <c r="I2502">
        <f>IF(Skills!X12&lt;&gt;"",1+(Skills!X12/10)*(Z2493/1000)/100,1)</f>
        <v/>
      </c>
      <c r="J2502" t="inlineStr"/>
      <c r="K2502" t="inlineStr"/>
      <c r="L2502" t="inlineStr"/>
      <c r="M2502" t="inlineStr"/>
      <c r="N2502" t="inlineStr"/>
      <c r="O2502">
        <f>(1-Summary!$B$11)*S2502+Summary!$B$11*U2502</f>
        <v/>
      </c>
      <c r="P2502">
        <f>IF(B2531=0,0,O2502/B2531)</f>
        <v/>
      </c>
      <c r="Q2502">
        <f>IFERROR(1/(IF(Inputs!$B$38="pvp",15,MAX(0.1,Skills!E12-IF(Skills!F12=TRUE,Inputs!$B$32,0)))*(1-IF(AND(ArtifactsInput!$M$27,Inputs!$B$4="Chapter Hunt"),CHOOSE(ArtifactsInput!$N$27+1,20,24,28,32,36,40),0)/100)),0)</f>
        <v/>
      </c>
      <c r="R2502" t="n">
        <v>0</v>
      </c>
      <c r="S2502" t="n">
        <v>0</v>
      </c>
      <c r="U2502" t="n">
        <v>0</v>
      </c>
    </row>
    <row r="2503">
      <c r="A2503">
        <f>Skills!A13</f>
        <v/>
      </c>
      <c r="B2503">
        <f>Skills!B13</f>
        <v/>
      </c>
      <c r="C2503">
        <f>Inputs!$B$3&gt;=105</f>
        <v/>
      </c>
      <c r="D2503">
        <f>IF(Skills!C13=1,60+Inputs!$B$25+Inputs!$B$29,IF(Skills!C13=2,90+Inputs!$B$26+Inputs!$B$29,IF(Skills!C13=3,120+Inputs!$B$27+Inputs!$B$29,MAX(0,(Inputs!$B$3-100)*3)+Inputs!$B$28+Inputs!$B$29)))</f>
        <v/>
      </c>
      <c r="E2503">
        <f>INDEX(FactorTable!$B$2:$Y$301, MATCH(ROUND(MIN(300,MAX(1,D2503)),0), FactorTable!$A$2:$A$301,0), Skills!M13+1)</f>
        <v/>
      </c>
      <c r="F2503">
        <f>IF(Skills!N13=TRUE,(Skills!L13/10)*(E2503/1000),Skills!L13/10)+Skills!O13</f>
        <v/>
      </c>
      <c r="G2503">
        <f>Calc!G13</f>
        <v/>
      </c>
      <c r="H2503">
        <f>Calc!H13</f>
        <v/>
      </c>
      <c r="I2503">
        <f>IF(Skills!X13&lt;&gt;"",1+(Skills!X13/10)*(Z2493/1000)/100,1)</f>
        <v/>
      </c>
      <c r="J2503">
        <f>((Inputs!$B$6*(1+Inputs!$B$7/100))+(((Inputs!$B$12*(1+Inputs!$B$13/100))-(Inputs!$B$12*(1+Inputs!$B$13/100)))+0.25*(Inputs!$B$14-Inputs!$B$14))*(1+Inputs!$B$7/100))*(F2503/100)</f>
        <v/>
      </c>
      <c r="K2503">
        <f>J2503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2503)</f>
        <v/>
      </c>
      <c r="L2503">
        <f>K2503*(MIN(Inputs!$B$22+(F2512-Calc!F22),(Inputs!$B$23+(IF(ArtifactsInput!$M$15,CHOOSE(ArtifactsInput!$N$15+1,25,30,35,40,45,50)/100*(Inputs!$B$11-Inputs!$B$11),0))))/100+(Inputs!$B$23+(IF(ArtifactsInput!$M$15,CHOOSE(ArtifactsInput!$N$15+1,25,30,35,40,45,50)/100*(Inputs!$B$11-Inputs!$B$11),0)))/100)/2</f>
        <v/>
      </c>
      <c r="M2503">
        <f>L2503*(1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3">
        <f>L2503*(1-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2503*(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3">
        <f>(1-Summary!$B$11)*S2503+Summary!$B$11*U2503</f>
        <v/>
      </c>
      <c r="P2503">
        <f>IF(B2531=0,0,O2503/B2531)</f>
        <v/>
      </c>
      <c r="Q2503">
        <f>IFERROR(1/(IF(Inputs!$B$38="pvp",15,MAX(0.1,Skills!E13-IF(Skills!F13=TRUE,Inputs!$B$32,0)))*(1-IF(AND(ArtifactsInput!$M$27,Inputs!$B$4="Chapter Hunt"),CHOOSE(ArtifactsInput!$N$27+1,20,24,28,32,36,40),0)/100)),0)</f>
        <v/>
      </c>
      <c r="R2503">
        <f>IF(AND(Inputs!$B$38&lt;&gt;"pvp",Inputs!$B$43&gt;0),IF(MAX(0,Inputs!$B$43-B2528)&lt;=0,0,(INT(MAX(0,Inputs!$B$43-B2528)/(IF(Inputs!$B$38="pvp",15,MAX(0.1,Skills!E13-IF(Skills!F13=TRUE,Inputs!$B$32,0)))*(1-IF(AND(ArtifactsInput!$M$27,Inputs!$B$4="Chapter Hunt"),CHOOSE(ArtifactsInput!$N$27+1,20,24,28,32,36,40),0)/100)))+1)),0)</f>
        <v/>
      </c>
      <c r="S2503">
        <f>IF(C2503,(H2503*N2503*IF(AND(Inputs!$B$38&lt;&gt;"pvp",Inputs!$B$43&gt;0),((Skills!G13*((R2503-1)*IF(Skills!H13&gt;0,Skills!I13/Skills!H13,1)+IF(Skills!H13&gt;0,MIN(Skills!I13,MAX(0,MAX(0,Inputs!$B$43-B2528)-((R2503-1)*(IF(Inputs!$B$38="pvp",15,MAX(0.1,Skills!E13-IF(Skills!F13=TRUE,Inputs!$B$32,0)))*(1-IF(AND(ArtifactsInput!$M$27,Inputs!$B$4="Chapter Hunt"),CHOOSE(ArtifactsInput!$N$27+1,20,24,28,32,36,40),0)/100)))))/Skills!H13,1)))/Inputs!$B$43),G2503*Q2503)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2503*(1-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2503*(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2503*(1-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2503*(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3">
        <f>IF(C2503,(H2503*N2503*IF(AND(Inputs!$B$38&lt;&gt;"pvp",Inputs!$B$43&gt;0),((Skills!G13*((R2503-1)*IF(Skills!H13&gt;0,Skills!I13/Skills!H13,1)+IF(Skills!H13&gt;0,MIN(Skills!I13,MAX(0,MAX(0,Inputs!$B$43-B2528)-((R2503-1)*(IF(Inputs!$B$38="pvp",15,MAX(0.1,Skills!E13-IF(Skills!F13=TRUE,Inputs!$B$32,0)))*(1-IF(AND(ArtifactsInput!$M$27,Inputs!$B$4="Chapter Hunt"),CHOOSE(ArtifactsInput!$N$27+1,20,24,28,32,36,40),0)/100)))))/Skills!H13,1)))/Inputs!$B$43),G2503*Q2503)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4">
      <c r="A2504">
        <f>Skills!A14</f>
        <v/>
      </c>
      <c r="B2504">
        <f>Skills!B14</f>
        <v/>
      </c>
      <c r="C2504">
        <f>Inputs!$B$3&gt;=113</f>
        <v/>
      </c>
      <c r="D2504">
        <f>IF(Skills!C14=1,60+Inputs!$B$25+Inputs!$B$29,IF(Skills!C14=2,90+Inputs!$B$26+Inputs!$B$29,IF(Skills!C14=3,120+Inputs!$B$27+Inputs!$B$29,MAX(0,(Inputs!$B$3-100)*3)+Inputs!$B$28+Inputs!$B$29)))</f>
        <v/>
      </c>
      <c r="E2504">
        <f>INDEX(FactorTable!$B$2:$Y$301, MATCH(ROUND(MIN(300,MAX(1,D2504)),0), FactorTable!$A$2:$A$301,0), Skills!M14+1)</f>
        <v/>
      </c>
      <c r="F2504">
        <f>IF(Skills!N14=TRUE,(Skills!L14/10)*(E2504/1000),Skills!L14/10)+Skills!O14</f>
        <v/>
      </c>
      <c r="G2504">
        <f>Calc!G14</f>
        <v/>
      </c>
      <c r="H2504">
        <f>Calc!H14</f>
        <v/>
      </c>
      <c r="I2504">
        <f>IF(Skills!X14&lt;&gt;"",1+(Skills!X14/10)*(Z2493/1000)/100,1)</f>
        <v/>
      </c>
      <c r="J2504">
        <f>((Inputs!$B$6*(1+Inputs!$B$7/100))+(((Inputs!$B$12*(1+Inputs!$B$13/100))-(Inputs!$B$12*(1+Inputs!$B$13/100)))+0.25*(Inputs!$B$14-Inputs!$B$14))*(1+Inputs!$B$7/100))*(F2504/100)</f>
        <v/>
      </c>
      <c r="K2504">
        <f>J2504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2504)</f>
        <v/>
      </c>
      <c r="L2504">
        <f>K2504*(MIN(Inputs!$B$22+(F2512-Calc!F22),(Inputs!$B$23+(IF(ArtifactsInput!$M$15,CHOOSE(ArtifactsInput!$N$15+1,25,30,35,40,45,50)/100*(Inputs!$B$11-Inputs!$B$11),0))))/100+(Inputs!$B$23+(IF(ArtifactsInput!$M$15,CHOOSE(ArtifactsInput!$N$15+1,25,30,35,40,45,50)/100*(Inputs!$B$11-Inputs!$B$11),0)))/100)/2</f>
        <v/>
      </c>
      <c r="M2504">
        <f>L2504*(1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4">
        <f>L2504*(1-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2504*(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4">
        <f>(1-Summary!$B$11)*S2504+Summary!$B$11*U2504</f>
        <v/>
      </c>
      <c r="P2504">
        <f>IF(B2531=0,0,O2504/B2531)</f>
        <v/>
      </c>
      <c r="Q2504">
        <f>IFERROR(1/(IF(Inputs!$B$38="pvp",15,MAX(0.1,Skills!E14-IF(Skills!F14=TRUE,Inputs!$B$32,0)))*(1-IF(AND(ArtifactsInput!$M$27,Inputs!$B$4="Chapter Hunt"),CHOOSE(ArtifactsInput!$N$27+1,20,24,28,32,36,40),0)/100)),0)</f>
        <v/>
      </c>
      <c r="R2504" t="n">
        <v>0</v>
      </c>
      <c r="S2504">
        <f>IF(C2504,((H2504*B2527)/(1+Skills!H14*H2504*B2527)*N2504)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2504*(1-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2504*(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2504*(1-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2504*(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4">
        <f>IF(C2504,((H2504*B2527)/(1+Skills!H14*H2504*B2527)*N2504)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5">
      <c r="A2505">
        <f>Skills!A15</f>
        <v/>
      </c>
      <c r="B2505">
        <f>Skills!B15</f>
        <v/>
      </c>
      <c r="C2505">
        <f>Inputs!$B$3&gt;=107</f>
        <v/>
      </c>
      <c r="D2505">
        <f>IF(Skills!C15=1,60+Inputs!$B$25+Inputs!$B$29,IF(Skills!C15=2,90+Inputs!$B$26+Inputs!$B$29,IF(Skills!C15=3,120+Inputs!$B$27+Inputs!$B$29,MAX(0,(Inputs!$B$3-100)*3)+Inputs!$B$28+Inputs!$B$29)))</f>
        <v/>
      </c>
      <c r="E2505">
        <f>INDEX(FactorTable!$B$2:$Y$301, MATCH(ROUND(MIN(300,MAX(1,D2505)),0), FactorTable!$A$2:$A$301,0), Skills!M15+1)</f>
        <v/>
      </c>
      <c r="F2505">
        <f>IF(Skills!N15=TRUE,(Skills!L15/10)*(E2505/1000),Skills!L15/10)+Skills!O15</f>
        <v/>
      </c>
      <c r="G2505">
        <f>Calc!G15</f>
        <v/>
      </c>
      <c r="H2505">
        <f>Calc!H15</f>
        <v/>
      </c>
      <c r="I2505">
        <f>IF(Skills!X15&lt;&gt;"",1+(Skills!X15/10)*(Z2493/1000)/100,1)</f>
        <v/>
      </c>
      <c r="J2505">
        <f>((Inputs!$B$6*(1+Inputs!$B$7/100))+(((Inputs!$B$12*(1+Inputs!$B$13/100))-(Inputs!$B$12*(1+Inputs!$B$13/100)))+0.25*(Inputs!$B$14-Inputs!$B$14))*(1+Inputs!$B$7/100))*(F2505/100)</f>
        <v/>
      </c>
      <c r="K2505">
        <f>J2505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2505)</f>
        <v/>
      </c>
      <c r="L2505">
        <f>K2505*(MIN(Inputs!$B$22+(F2512-Calc!F22),(Inputs!$B$23+(IF(ArtifactsInput!$M$15,CHOOSE(ArtifactsInput!$N$15+1,25,30,35,40,45,50)/100*(Inputs!$B$11-Inputs!$B$11),0))))/100+(Inputs!$B$23+(IF(ArtifactsInput!$M$15,CHOOSE(ArtifactsInput!$N$15+1,25,30,35,40,45,50)/100*(Inputs!$B$11-Inputs!$B$11),0)))/100)/2</f>
        <v/>
      </c>
      <c r="M2505">
        <f>L2505*(1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5">
        <f>L2505*(1-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2505*(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5">
        <f>(1-Summary!$B$11)*S2505+Summary!$B$11*U2505</f>
        <v/>
      </c>
      <c r="P2505">
        <f>IF(B2531=0,0,O2505/B2531)</f>
        <v/>
      </c>
      <c r="Q2505">
        <f>IFERROR(1/(IF(Inputs!$B$38="pvp",15,MAX(0.1,Skills!E15-IF(Skills!F15=TRUE,Inputs!$B$32,0)))*(1-IF(AND(ArtifactsInput!$M$27,Inputs!$B$4="Chapter Hunt"),CHOOSE(ArtifactsInput!$N$27+1,20,24,28,32,36,40),0)/100)),0)</f>
        <v/>
      </c>
      <c r="R2505">
        <f>IF(AND(Inputs!$B$38&lt;&gt;"pvp",Inputs!$B$43&gt;0),IF(MAX(0,Inputs!$B$43-B2528)&lt;=0,0,(INT(MAX(0,Inputs!$B$43-B2528)/(IF(Inputs!$B$38="pvp",15,MAX(0.1,Skills!E15-IF(Skills!F15=TRUE,Inputs!$B$32,0)))*(1-IF(AND(ArtifactsInput!$M$27,Inputs!$B$4="Chapter Hunt"),CHOOSE(ArtifactsInput!$N$27+1,20,24,28,32,36,40),0)/100)))+1)),0)</f>
        <v/>
      </c>
      <c r="S2505">
        <f>IF(C2505,(H2505*N2505*IF(AND(Inputs!$B$38&lt;&gt;"pvp",Inputs!$B$43&gt;0),((Skills!G15*((R2505-1)*IF(Skills!H15&gt;0,Skills!I15/Skills!H15,1)+IF(Skills!H15&gt;0,MIN(Skills!I15,MAX(0,MAX(0,Inputs!$B$43-B2528)-((R2505-1)*(IF(Inputs!$B$38="pvp",15,MAX(0.1,Skills!E15-IF(Skills!F15=TRUE,Inputs!$B$32,0)))*(1-IF(AND(ArtifactsInput!$M$27,Inputs!$B$4="Chapter Hunt"),CHOOSE(ArtifactsInput!$N$27+1,20,24,28,32,36,40),0)/100)))))/Skills!H15,1)))/Inputs!$B$43),G2505*Q2505)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2505*(1-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2505*(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2505*(1-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2505*(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5">
        <f>IF(C2505,(H2505*N2505*IF(AND(Inputs!$B$38&lt;&gt;"pvp",Inputs!$B$43&gt;0),((Skills!G15*((R2505-1)*IF(Skills!H15&gt;0,Skills!I15/Skills!H15,1)+IF(Skills!H15&gt;0,MIN(Skills!I15,MAX(0,MAX(0,Inputs!$B$43-B2528)-((R2505-1)*(IF(Inputs!$B$38="pvp",15,MAX(0.1,Skills!E15-IF(Skills!F15=TRUE,Inputs!$B$32,0)))*(1-IF(AND(ArtifactsInput!$M$27,Inputs!$B$4="Chapter Hunt"),CHOOSE(ArtifactsInput!$N$27+1,20,24,28,32,36,40),0)/100)))))/Skills!H15,1)))/Inputs!$B$43),G2505*Q2505)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6">
      <c r="A2506">
        <f>Skills!A16</f>
        <v/>
      </c>
      <c r="B2506">
        <f>Skills!B16</f>
        <v/>
      </c>
      <c r="C2506">
        <f>Inputs!$B$3&gt;=107</f>
        <v/>
      </c>
      <c r="D2506">
        <f>IF(Skills!C16=1,60+Inputs!$B$25+Inputs!$B$29,IF(Skills!C16=2,90+Inputs!$B$26+Inputs!$B$29,IF(Skills!C16=3,120+Inputs!$B$27+Inputs!$B$29,MAX(0,(Inputs!$B$3-100)*3)+Inputs!$B$28+Inputs!$B$29)))</f>
        <v/>
      </c>
      <c r="E2506">
        <f>INDEX(FactorTable!$B$2:$Y$301, MATCH(ROUND(MIN(300,MAX(1,D2506)),0), FactorTable!$A$2:$A$301,0), Skills!M16+1)</f>
        <v/>
      </c>
      <c r="F2506">
        <f>IF(Skills!N16=TRUE,(Skills!L16/10)*(E2506/1000),Skills!L16/10)+Skills!O16</f>
        <v/>
      </c>
      <c r="G2506">
        <f>Calc!G16</f>
        <v/>
      </c>
      <c r="H2506">
        <f>Calc!H16</f>
        <v/>
      </c>
      <c r="I2506">
        <f>IF(Skills!X16&lt;&gt;"",1+(Skills!X16/10)*(Z2493/1000)/100,1)</f>
        <v/>
      </c>
      <c r="J2506">
        <f>((Inputs!$B$6*(1+Inputs!$B$7/100))+(((Inputs!$B$12*(1+Inputs!$B$13/100))-(Inputs!$B$12*(1+Inputs!$B$13/100)))+0.25*(Inputs!$B$14-Inputs!$B$14))*(1+Inputs!$B$7/100))*(F2506/100)</f>
        <v/>
      </c>
      <c r="K2506">
        <f>J2506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2506)</f>
        <v/>
      </c>
      <c r="L2506">
        <f>K2506*(MIN(Inputs!$B$22+(F2512-Calc!F22),(Inputs!$B$23+(IF(ArtifactsInput!$M$15,CHOOSE(ArtifactsInput!$N$15+1,25,30,35,40,45,50)/100*(Inputs!$B$11-Inputs!$B$11),0))))/100+(Inputs!$B$23+(IF(ArtifactsInput!$M$15,CHOOSE(ArtifactsInput!$N$15+1,25,30,35,40,45,50)/100*(Inputs!$B$11-Inputs!$B$11),0)))/100)/2</f>
        <v/>
      </c>
      <c r="M2506">
        <f>L2506*(1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6">
        <f>L2506*(1-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2506*(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6">
        <f>(1-Summary!$B$11)*S2506+Summary!$B$11*U2506</f>
        <v/>
      </c>
      <c r="P2506">
        <f>IF(B2531=0,0,O2506/B2531)</f>
        <v/>
      </c>
      <c r="Q2506">
        <f>IFERROR(1/(IF(Inputs!$B$38="pvp",15,MAX(0.1,Skills!E16-IF(Skills!F16=TRUE,Inputs!$B$32,0)))*(1-IF(AND(ArtifactsInput!$M$27,Inputs!$B$4="Chapter Hunt"),CHOOSE(ArtifactsInput!$N$27+1,20,24,28,32,36,40),0)/100)),0)</f>
        <v/>
      </c>
      <c r="R2506">
        <f>IF(AND(Inputs!$B$38&lt;&gt;"pvp",Inputs!$B$43&gt;0),IF(MAX(0,Inputs!$B$43-B2528)&lt;=0,0,(INT(MAX(0,Inputs!$B$43-B2528)/(IF(Inputs!$B$38="pvp",15,MAX(0.1,Skills!E16-IF(Skills!F16=TRUE,Inputs!$B$32,0)))*(1-IF(AND(ArtifactsInput!$M$27,Inputs!$B$4="Chapter Hunt"),CHOOSE(ArtifactsInput!$N$27+1,20,24,28,32,36,40),0)/100)))+1)),0)</f>
        <v/>
      </c>
      <c r="S2506">
        <f>IF(C2506,(H2506*N2506*IF(AND(Inputs!$B$38&lt;&gt;"pvp",Inputs!$B$43&gt;0),((Skills!G16*((R2506-1)*IF(Skills!H16&gt;0,Skills!I16/Skills!H16,1)+IF(Skills!H16&gt;0,MIN(Skills!I16,MAX(0,MAX(0,Inputs!$B$43-B2528)-((R2506-1)*(IF(Inputs!$B$38="pvp",15,MAX(0.1,Skills!E16-IF(Skills!F16=TRUE,Inputs!$B$32,0)))*(1-IF(AND(ArtifactsInput!$M$27,Inputs!$B$4="Chapter Hunt"),CHOOSE(ArtifactsInput!$N$27+1,20,24,28,32,36,40),0)/100)))))/Skills!H16,1)))/Inputs!$B$43),G2506*Q2506)*(1+IF(Inputs!$B$3&gt;=126,0.05*(B2526+Q2503+(H2504*B2527)/(1+Skills!H14*H2504*B2527)+Q2514)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2506*(1-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2506*(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2506*(1-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2506*(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6">
        <f>IF(C2506,(H2506*N2506*IF(AND(Inputs!$B$38&lt;&gt;"pvp",Inputs!$B$43&gt;0),((Skills!G16*((R2506-1)*IF(Skills!H16&gt;0,Skills!I16/Skills!H16,1)+IF(Skills!H16&gt;0,MIN(Skills!I16,MAX(0,MAX(0,Inputs!$B$43-B2528)-((R2506-1)*(IF(Inputs!$B$38="pvp",15,MAX(0.1,Skills!E16-IF(Skills!F16=TRUE,Inputs!$B$32,0)))*(1-IF(AND(ArtifactsInput!$M$27,Inputs!$B$4="Chapter Hunt"),CHOOSE(ArtifactsInput!$N$27+1,20,24,28,32,36,40),0)/100)))))/Skills!H16,1)))/Inputs!$B$43),G2506*Q2506)*(1+IF(Inputs!$B$3&gt;=126,0.05*(B2526+Q2503+(H2504*B2527)/(1+Skills!H14*H2504*B2527)+Q2514)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7">
      <c r="A2507">
        <f>Skills!A17</f>
        <v/>
      </c>
      <c r="B2507">
        <f>Skills!B17</f>
        <v/>
      </c>
      <c r="C2507">
        <f>TRUE</f>
        <v/>
      </c>
      <c r="D2507">
        <f>IF(Skills!C17=1,60+Inputs!$B$25+Inputs!$B$29,IF(Skills!C17=2,90+Inputs!$B$26+Inputs!$B$29,IF(Skills!C17=3,120+Inputs!$B$27+Inputs!$B$29,MAX(0,(Inputs!$B$3-100)*3)+Inputs!$B$28+Inputs!$B$29)))</f>
        <v/>
      </c>
      <c r="E2507">
        <f>INDEX(FactorTable!$B$2:$Y$301, MATCH(ROUND(MIN(300,MAX(1,D2507)),0), FactorTable!$A$2:$A$301,0), Skills!M17+1)</f>
        <v/>
      </c>
      <c r="F2507">
        <f>IF(Skills!N17=TRUE,(Skills!L17/10)*(E2507/1000),Skills!L17/10)+Skills!O17</f>
        <v/>
      </c>
      <c r="G2507">
        <f>Calc!G17</f>
        <v/>
      </c>
      <c r="H2507">
        <f>Calc!H17</f>
        <v/>
      </c>
      <c r="I2507">
        <f>IF(Skills!X17&lt;&gt;"",1+(Skills!X17/10)*(Z2493/1000)/100,1)</f>
        <v/>
      </c>
      <c r="J2507" t="inlineStr"/>
      <c r="K2507" t="inlineStr"/>
      <c r="L2507" t="inlineStr"/>
      <c r="M2507" t="inlineStr"/>
      <c r="N2507" t="inlineStr"/>
      <c r="O2507">
        <f>(1-Summary!$B$11)*S2507+Summary!$B$11*U2507</f>
        <v/>
      </c>
      <c r="P2507">
        <f>IF(B2531=0,0,O2507/B2531)</f>
        <v/>
      </c>
      <c r="Q2507">
        <f>IFERROR(1/(IF(Inputs!$B$38="pvp",15,MAX(0.1,Skills!E17-IF(Skills!F17=TRUE,Inputs!$B$32,0)))*(1-IF(AND(ArtifactsInput!$M$27,Inputs!$B$4="Chapter Hunt"),CHOOSE(ArtifactsInput!$N$27+1,20,24,28,32,36,40),0)/100)),0)</f>
        <v/>
      </c>
      <c r="R2507">
        <f>IF(AND(Inputs!$B$38&lt;&gt;"pvp",Inputs!$B$43&gt;0),IF(Inputs!$B$43&lt;=0,0,(INT(Inputs!$B$43/(IF(Inputs!$B$38="pvp",15,MAX(0.1,Skills!E17-IF(Skills!F17=TRUE,Inputs!$B$32,0)))*(1-IF(AND(ArtifactsInput!$M$27,Inputs!$B$4="Chapter Hunt"),CHOOSE(ArtifactsInput!$N$27+1,20,24,28,32,36,40),0)/100)))+1)),0)</f>
        <v/>
      </c>
      <c r="S2507" t="n">
        <v>0</v>
      </c>
      <c r="U2507" t="n">
        <v>0</v>
      </c>
    </row>
    <row r="2508">
      <c r="A2508">
        <f>Skills!A18</f>
        <v/>
      </c>
      <c r="B2508">
        <f>Skills!B18</f>
        <v/>
      </c>
      <c r="C2508">
        <f>TRUE</f>
        <v/>
      </c>
      <c r="D2508">
        <f>IF(Skills!C18=1,60+Inputs!$B$25+Inputs!$B$29,IF(Skills!C18=2,90+Inputs!$B$26+Inputs!$B$29,IF(Skills!C18=3,120+Inputs!$B$27+Inputs!$B$29,MAX(0,(Inputs!$B$3-100)*3)+Inputs!$B$28+Inputs!$B$29)))</f>
        <v/>
      </c>
      <c r="E2508">
        <f>INDEX(FactorTable!$B$2:$Y$301, MATCH(ROUND(MIN(300,MAX(1,D2508)),0), FactorTable!$A$2:$A$301,0), Skills!M18+1)</f>
        <v/>
      </c>
      <c r="F2508">
        <f>IF(Skills!N18=TRUE,(Skills!L18/10)*(E2508/1000),Skills!L18/10)+Skills!O18</f>
        <v/>
      </c>
      <c r="G2508">
        <f>Calc!G18</f>
        <v/>
      </c>
      <c r="H2508">
        <f>Calc!H18</f>
        <v/>
      </c>
      <c r="I2508">
        <f>IF(Skills!X18&lt;&gt;"",1+(Skills!X18/10)*(Z2493/1000)/100,1)</f>
        <v/>
      </c>
      <c r="J2508" t="inlineStr"/>
      <c r="K2508" t="inlineStr"/>
      <c r="L2508" t="inlineStr"/>
      <c r="M2508" t="inlineStr"/>
      <c r="N2508" t="inlineStr"/>
      <c r="O2508">
        <f>(1-Summary!$B$11)*S2508+Summary!$B$11*U2508</f>
        <v/>
      </c>
      <c r="P2508">
        <f>IF(B2531=0,0,O2508/B2531)</f>
        <v/>
      </c>
      <c r="Q2508">
        <f>IFERROR(1/(IF(Inputs!$B$38="pvp",15,MAX(0.1,Skills!E18-IF(Skills!F18=TRUE,Inputs!$B$32,0)))*(1-IF(AND(ArtifactsInput!$M$27,Inputs!$B$4="Chapter Hunt"),CHOOSE(ArtifactsInput!$N$27+1,20,24,28,32,36,40),0)/100)),0)</f>
        <v/>
      </c>
      <c r="R2508">
        <f>IF(AND(Inputs!$B$38&lt;&gt;"pvp",Inputs!$B$43&gt;0),IF(Inputs!$B$43&lt;=0,0,(INT(Inputs!$B$43/(IF(Inputs!$B$38="pvp",15,MAX(0.1,Skills!E18-IF(Skills!F18=TRUE,Inputs!$B$32,0)))*(1-IF(AND(ArtifactsInput!$M$27,Inputs!$B$4="Chapter Hunt"),CHOOSE(ArtifactsInput!$N$27+1,20,24,28,32,36,40),0)/100)))+1)),0)</f>
        <v/>
      </c>
      <c r="S2508" t="n">
        <v>0</v>
      </c>
      <c r="U2508" t="n">
        <v>0</v>
      </c>
    </row>
    <row r="2509">
      <c r="A2509">
        <f>Skills!A19</f>
        <v/>
      </c>
      <c r="B2509">
        <f>Skills!B19</f>
        <v/>
      </c>
      <c r="C2509">
        <f>Inputs!$B$3&gt;=110</f>
        <v/>
      </c>
      <c r="D2509">
        <f>IF(Skills!C19=1,60+Inputs!$B$25+Inputs!$B$29,IF(Skills!C19=2,90+Inputs!$B$26+Inputs!$B$29,IF(Skills!C19=3,120+Inputs!$B$27+Inputs!$B$29,MAX(0,(Inputs!$B$3-100)*3)+Inputs!$B$28+Inputs!$B$29)))</f>
        <v/>
      </c>
      <c r="E2509">
        <f>INDEX(FactorTable!$B$2:$Y$301, MATCH(ROUND(MIN(300,MAX(1,D2509)),0), FactorTable!$A$2:$A$301,0), Skills!M19+1)</f>
        <v/>
      </c>
      <c r="F2509">
        <f>IF(Skills!N19=TRUE,(Skills!L19/10)*(E2509/1000),Skills!L19/10)+Skills!O19</f>
        <v/>
      </c>
      <c r="G2509">
        <f>Calc!G19</f>
        <v/>
      </c>
      <c r="H2509">
        <f>Calc!H19</f>
        <v/>
      </c>
      <c r="I2509">
        <f>IF(Skills!X19&lt;&gt;"",1+(Skills!X19/10)*(Z2493/1000)/100,1)</f>
        <v/>
      </c>
      <c r="J2509" t="inlineStr"/>
      <c r="K2509" t="inlineStr"/>
      <c r="L2509" t="inlineStr"/>
      <c r="M2509" t="inlineStr"/>
      <c r="N2509" t="inlineStr"/>
      <c r="O2509">
        <f>(1-Summary!$B$11)*S2509+Summary!$B$11*U2509</f>
        <v/>
      </c>
      <c r="P2509">
        <f>IF(B2531=0,0,O2509/B2531)</f>
        <v/>
      </c>
      <c r="Q2509">
        <f>IFERROR(1/(IF(Inputs!$B$38="pvp",15,MAX(0.1,Skills!E19-IF(Skills!F19=TRUE,Inputs!$B$32,0)))*(1-IF(AND(ArtifactsInput!$M$27,Inputs!$B$4="Chapter Hunt"),CHOOSE(ArtifactsInput!$N$27+1,20,24,28,32,36,40),0)/100)),0)</f>
        <v/>
      </c>
      <c r="R2509">
        <f>IF(AND(Inputs!$B$38&lt;&gt;"pvp",Inputs!$B$43&gt;0),IF(Inputs!$B$43&lt;=0,0,(INT(Inputs!$B$43/(IF(Inputs!$B$38="pvp",15,MAX(0.1,Skills!E19-IF(Skills!F19=TRUE,Inputs!$B$32,0)))*(1-IF(AND(ArtifactsInput!$M$27,Inputs!$B$4="Chapter Hunt"),CHOOSE(ArtifactsInput!$N$27+1,20,24,28,32,36,40),0)/100)))+1)),0)</f>
        <v/>
      </c>
      <c r="S2509" t="n">
        <v>0</v>
      </c>
      <c r="U2509" t="n">
        <v>0</v>
      </c>
    </row>
    <row r="2510">
      <c r="A2510">
        <f>Skills!A20</f>
        <v/>
      </c>
      <c r="B2510">
        <f>Skills!B20</f>
        <v/>
      </c>
      <c r="C2510">
        <f>TRUE</f>
        <v/>
      </c>
      <c r="D2510">
        <f>IF(Skills!C20=1,60+Inputs!$B$25+Inputs!$B$29,IF(Skills!C20=2,90+Inputs!$B$26+Inputs!$B$29,IF(Skills!C20=3,120+Inputs!$B$27+Inputs!$B$29,MAX(0,(Inputs!$B$3-100)*3)+Inputs!$B$28+Inputs!$B$29)))</f>
        <v/>
      </c>
      <c r="E2510">
        <f>INDEX(FactorTable!$B$2:$Y$301, MATCH(ROUND(MIN(300,MAX(1,D2510)),0), FactorTable!$A$2:$A$301,0), Skills!M20+1)</f>
        <v/>
      </c>
      <c r="F2510">
        <f>IF(Skills!N20=TRUE,(Skills!L20/10)*(E2510/1000),Skills!L20/10)+Skills!O20</f>
        <v/>
      </c>
      <c r="G2510">
        <f>Calc!G20</f>
        <v/>
      </c>
      <c r="H2510">
        <f>Calc!H20</f>
        <v/>
      </c>
      <c r="I2510">
        <f>IF(Skills!X20&lt;&gt;"",1+(Skills!X20/10)*(Z2493/1000)/100,1)</f>
        <v/>
      </c>
      <c r="J2510" t="inlineStr"/>
      <c r="K2510" t="inlineStr"/>
      <c r="L2510" t="inlineStr"/>
      <c r="M2510" t="inlineStr"/>
      <c r="N2510" t="inlineStr"/>
      <c r="O2510">
        <f>(1-Summary!$B$11)*S2510+Summary!$B$11*U2510</f>
        <v/>
      </c>
      <c r="P2510">
        <f>IF(B2531=0,0,O2510/B2531)</f>
        <v/>
      </c>
      <c r="Q2510">
        <f>IFERROR(1/(IF(Inputs!$B$38="pvp",15,MAX(0.1,Skills!E20-IF(Skills!F20=TRUE,Inputs!$B$32,0)))*(1-IF(AND(ArtifactsInput!$M$27,Inputs!$B$4="Chapter Hunt"),CHOOSE(ArtifactsInput!$N$27+1,20,24,28,32,36,40),0)/100)),0)</f>
        <v/>
      </c>
      <c r="R2510" t="n">
        <v>0</v>
      </c>
      <c r="S2510" t="n">
        <v>0</v>
      </c>
      <c r="U2510" t="n">
        <v>0</v>
      </c>
    </row>
    <row r="2511">
      <c r="A2511">
        <f>Skills!A21</f>
        <v/>
      </c>
      <c r="B2511">
        <f>Skills!B21</f>
        <v/>
      </c>
      <c r="C2511">
        <f>TRUE</f>
        <v/>
      </c>
      <c r="D2511">
        <f>IF(Skills!C21=1,60+Inputs!$B$25+Inputs!$B$29,IF(Skills!C21=2,90+Inputs!$B$26+Inputs!$B$29,IF(Skills!C21=3,120+Inputs!$B$27+Inputs!$B$29,MAX(0,(Inputs!$B$3-100)*3)+Inputs!$B$28+Inputs!$B$29)))</f>
        <v/>
      </c>
      <c r="E2511">
        <f>INDEX(FactorTable!$B$2:$Y$301, MATCH(ROUND(MIN(300,MAX(1,D2511)),0), FactorTable!$A$2:$A$301,0), Skills!M21+1)</f>
        <v/>
      </c>
      <c r="F2511">
        <f>IF(Skills!N21=TRUE,(Skills!L21/10)*(E2511/1000),Skills!L21/10)+Skills!O21</f>
        <v/>
      </c>
      <c r="G2511">
        <f>Calc!G21</f>
        <v/>
      </c>
      <c r="H2511">
        <f>Calc!H21</f>
        <v/>
      </c>
      <c r="I2511">
        <f>IF(Skills!X21&lt;&gt;"",1+(Skills!X21/10)*(Z2493/1000)/100,1)</f>
        <v/>
      </c>
      <c r="J2511" t="inlineStr"/>
      <c r="K2511" t="inlineStr"/>
      <c r="L2511" t="inlineStr"/>
      <c r="M2511" t="inlineStr"/>
      <c r="N2511" t="inlineStr"/>
      <c r="O2511">
        <f>(1-Summary!$B$11)*S2511+Summary!$B$11*U2511</f>
        <v/>
      </c>
      <c r="P2511">
        <f>IF(B2531=0,0,O2511/B2531)</f>
        <v/>
      </c>
      <c r="Q2511">
        <f>IFERROR(1/(IF(Inputs!$B$38="pvp",15,MAX(0.1,Skills!E21-IF(Skills!F21=TRUE,Inputs!$B$32,0)))*(1-IF(AND(ArtifactsInput!$M$27,Inputs!$B$4="Chapter Hunt"),CHOOSE(ArtifactsInput!$N$27+1,20,24,28,32,36,40),0)/100)),0)</f>
        <v/>
      </c>
      <c r="R2511" t="n">
        <v>0</v>
      </c>
      <c r="S2511" t="n">
        <v>0</v>
      </c>
      <c r="U2511" t="n">
        <v>0</v>
      </c>
    </row>
    <row r="2512">
      <c r="A2512">
        <f>Skills!A22</f>
        <v/>
      </c>
      <c r="B2512">
        <f>Skills!B22</f>
        <v/>
      </c>
      <c r="C2512">
        <f>TRUE</f>
        <v/>
      </c>
      <c r="D2512">
        <f>IF(Skills!C22=1,60+Inputs!$B$25+Inputs!$B$29,IF(Skills!C22=2,90+Inputs!$B$26+Inputs!$B$29,IF(Skills!C22=3,120+Inputs!$B$27+Inputs!$B$29,MAX(0,(Inputs!$B$3-100)*3)+Inputs!$B$28+Inputs!$B$29)))</f>
        <v/>
      </c>
      <c r="E2512">
        <f>INDEX(FactorTable!$B$2:$Y$301, MATCH(ROUND(MIN(300,MAX(1,D2512)),0), FactorTable!$A$2:$A$301,0), Skills!M22+1)</f>
        <v/>
      </c>
      <c r="F2512">
        <f>IF(Skills!N22=TRUE,(Skills!L22/10)*(E2512/1000),Skills!L22/10)+Skills!O22</f>
        <v/>
      </c>
      <c r="G2512">
        <f>Calc!G22</f>
        <v/>
      </c>
      <c r="H2512">
        <f>Calc!H22</f>
        <v/>
      </c>
      <c r="I2512">
        <f>IF(Skills!X22&lt;&gt;"",1+(Skills!X22/10)*(Z2493/1000)/100,1)</f>
        <v/>
      </c>
      <c r="J2512" t="inlineStr"/>
      <c r="K2512" t="inlineStr"/>
      <c r="L2512" t="inlineStr"/>
      <c r="M2512" t="inlineStr"/>
      <c r="N2512" t="inlineStr"/>
      <c r="O2512">
        <f>(1-Summary!$B$11)*S2512+Summary!$B$11*U2512</f>
        <v/>
      </c>
      <c r="P2512">
        <f>IF(B2531=0,0,O2512/B2531)</f>
        <v/>
      </c>
      <c r="Q2512">
        <f>IFERROR(1/(IF(Inputs!$B$38="pvp",15,MAX(0.1,Skills!E22-IF(Skills!F22=TRUE,Inputs!$B$32,0)))*(1-IF(AND(ArtifactsInput!$M$27,Inputs!$B$4="Chapter Hunt"),CHOOSE(ArtifactsInput!$N$27+1,20,24,28,32,36,40),0)/100)),0)</f>
        <v/>
      </c>
      <c r="R2512" t="n">
        <v>0</v>
      </c>
      <c r="S2512" t="n">
        <v>0</v>
      </c>
      <c r="U2512" t="n">
        <v>0</v>
      </c>
    </row>
    <row r="2513">
      <c r="A2513">
        <f>Skills!A23</f>
        <v/>
      </c>
      <c r="B2513">
        <f>Skills!B23</f>
        <v/>
      </c>
      <c r="C2513">
        <f>TRUE</f>
        <v/>
      </c>
      <c r="D2513">
        <f>IF(Skills!C23=1,60+Inputs!$B$25+Inputs!$B$29,IF(Skills!C23=2,90+Inputs!$B$26+Inputs!$B$29,IF(Skills!C23=3,120+Inputs!$B$27+Inputs!$B$29,MAX(0,(Inputs!$B$3-100)*3)+Inputs!$B$28+Inputs!$B$29)))</f>
        <v/>
      </c>
      <c r="E2513">
        <f>INDEX(FactorTable!$B$2:$Y$301, MATCH(ROUND(MIN(300,MAX(1,D2513)),0), FactorTable!$A$2:$A$301,0), Skills!M23+1)</f>
        <v/>
      </c>
      <c r="F2513">
        <f>IF(Skills!N23=TRUE,(Skills!L23/10)*(E2513/1000),Skills!L23/10)+Skills!O23</f>
        <v/>
      </c>
      <c r="G2513">
        <f>Calc!G23</f>
        <v/>
      </c>
      <c r="H2513">
        <f>Calc!H23</f>
        <v/>
      </c>
      <c r="I2513">
        <f>IF(Skills!X23&lt;&gt;"",1+(Skills!X23/10)*(Z2493/1000)/100,1)</f>
        <v/>
      </c>
      <c r="J2513" t="inlineStr"/>
      <c r="K2513" t="inlineStr"/>
      <c r="L2513" t="inlineStr"/>
      <c r="M2513" t="inlineStr"/>
      <c r="N2513" t="inlineStr"/>
      <c r="O2513">
        <f>(1-Summary!$B$11)*S2513+Summary!$B$11*U2513</f>
        <v/>
      </c>
      <c r="P2513">
        <f>IF(B2531=0,0,O2513/B2531)</f>
        <v/>
      </c>
      <c r="Q2513">
        <f>IFERROR(1/(IF(Inputs!$B$38="pvp",15,MAX(0.1,Skills!E23-IF(Skills!F23=TRUE,Inputs!$B$32,0)))*(1-IF(AND(ArtifactsInput!$M$27,Inputs!$B$4="Chapter Hunt"),CHOOSE(ArtifactsInput!$N$27+1,20,24,28,32,36,40),0)/100)),0)</f>
        <v/>
      </c>
      <c r="R2513" t="n">
        <v>0</v>
      </c>
      <c r="S2513" t="n">
        <v>0</v>
      </c>
      <c r="U2513" t="n">
        <v>0</v>
      </c>
    </row>
    <row r="2514">
      <c r="A2514">
        <f>Skills!A24</f>
        <v/>
      </c>
      <c r="B2514">
        <f>Skills!B24</f>
        <v/>
      </c>
      <c r="C2514">
        <f>Inputs!$B$3&gt;=115</f>
        <v/>
      </c>
      <c r="D2514">
        <f>IF(Skills!C24=1,60+Inputs!$B$25+Inputs!$B$29,IF(Skills!C24=2,90+Inputs!$B$26+Inputs!$B$29,IF(Skills!C24=3,120+Inputs!$B$27+Inputs!$B$29,MAX(0,(Inputs!$B$3-100)*3)+Inputs!$B$28+Inputs!$B$29)))</f>
        <v/>
      </c>
      <c r="E2514">
        <f>INDEX(FactorTable!$B$2:$Y$301, MATCH(ROUND(MIN(300,MAX(1,D2514)),0), FactorTable!$A$2:$A$301,0), Skills!M24+1)</f>
        <v/>
      </c>
      <c r="F2514">
        <f>IF(Skills!N24=TRUE,(Skills!L24/10)*(E2514/1000),Skills!L24/10)+Skills!O24</f>
        <v/>
      </c>
      <c r="G2514">
        <f>Calc!G24</f>
        <v/>
      </c>
      <c r="H2514">
        <f>Calc!H24</f>
        <v/>
      </c>
      <c r="I2514">
        <f>IF(Skills!X24&lt;&gt;"",1+(Skills!X24/10)*(Z2493/1000)/100,1)</f>
        <v/>
      </c>
      <c r="J2514">
        <f>((Inputs!$B$6*(1+Inputs!$B$7/100))+(((Inputs!$B$12*(1+Inputs!$B$13/100))-(Inputs!$B$12*(1+Inputs!$B$13/100)))+0.25*(Inputs!$B$14-Inputs!$B$14))*(1+Inputs!$B$7/100))*(F2514/100)</f>
        <v/>
      </c>
      <c r="K2514">
        <f>J2514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2514)</f>
        <v/>
      </c>
      <c r="L2514">
        <f>K2514*(MIN(Inputs!$B$22+(F2512-Calc!F22),(Inputs!$B$23+(IF(ArtifactsInput!$M$15,CHOOSE(ArtifactsInput!$N$15+1,25,30,35,40,45,50)/100*(Inputs!$B$11-Inputs!$B$11),0))))/100+(Inputs!$B$23+(IF(ArtifactsInput!$M$15,CHOOSE(ArtifactsInput!$N$15+1,25,30,35,40,45,50)/100*(Inputs!$B$11-Inputs!$B$11),0)))/100)/2</f>
        <v/>
      </c>
      <c r="M2514">
        <f>L2514*(1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4">
        <f>L2514*(1-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2514*(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4">
        <f>(1-Summary!$B$11)*S2514+Summary!$B$11*U2514</f>
        <v/>
      </c>
      <c r="P2514">
        <f>IF(B2531=0,0,O2514/B2531)</f>
        <v/>
      </c>
      <c r="Q2514">
        <f>IFERROR(1/(IF(Inputs!$B$38="pvp",15,MAX(0.1,Skills!E24-IF(Skills!F24=TRUE,Inputs!$B$32,0)))*(1-IF(AND(ArtifactsInput!$M$27,Inputs!$B$4="Chapter Hunt"),CHOOSE(ArtifactsInput!$N$27+1,20,24,28,32,36,40),0)/100)),0)</f>
        <v/>
      </c>
      <c r="R2514">
        <f>IF(AND(Inputs!$B$38&lt;&gt;"pvp",Inputs!$B$43&gt;0),IF(MAX(0,Inputs!$B$43-B2528)&lt;=0,0,(INT(MAX(0,Inputs!$B$43-B2528)/(IF(Inputs!$B$38="pvp",15,MAX(0.1,Skills!E24-IF(Skills!F24=TRUE,Inputs!$B$32,0)))*(1-IF(AND(ArtifactsInput!$M$27,Inputs!$B$4="Chapter Hunt"),CHOOSE(ArtifactsInput!$N$27+1,20,24,28,32,36,40),0)/100)))+1)),0)</f>
        <v/>
      </c>
      <c r="S2514">
        <f>IF(C2514,(H2514*N2514*IF(AND(Inputs!$B$38&lt;&gt;"pvp",Inputs!$B$43&gt;0),((Skills!G24*((R2514-1)*IF(Skills!H24&gt;0,Skills!I24/Skills!H24,1)+IF(Skills!H24&gt;0,MIN(Skills!I24,MAX(0,MAX(0,Inputs!$B$43-B2528)-((R2514-1)*(IF(Inputs!$B$38="pvp",15,MAX(0.1,Skills!E24-IF(Skills!F24=TRUE,Inputs!$B$32,0)))*(1-IF(AND(ArtifactsInput!$M$27,Inputs!$B$4="Chapter Hunt"),CHOOSE(ArtifactsInput!$N$27+1,20,24,28,32,36,40),0)/100)))))/Skills!H24,1)))/Inputs!$B$43),G2514*Q2514)*(1+IF(Inputs!$B$3&gt;=130,0.2*(Skills!I16/Skills!E15+IF(Inputs!$B$3&gt;=126,0.05*(B2526+Q2503+(H2504*B2527)/(1+Skills!H14*H2504*B2527)+Q2514)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2514*(1-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2514*(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2514*(1-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2514*(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4">
        <f>IF(C2514,(H2514*N2514*IF(AND(Inputs!$B$38&lt;&gt;"pvp",Inputs!$B$43&gt;0),((Skills!G24*((R2514-1)*IF(Skills!H24&gt;0,Skills!I24/Skills!H24,1)+IF(Skills!H24&gt;0,MIN(Skills!I24,MAX(0,MAX(0,Inputs!$B$43-B2528)-((R2514-1)*(IF(Inputs!$B$38="pvp",15,MAX(0.1,Skills!E24-IF(Skills!F24=TRUE,Inputs!$B$32,0)))*(1-IF(AND(ArtifactsInput!$M$27,Inputs!$B$4="Chapter Hunt"),CHOOSE(ArtifactsInput!$N$27+1,20,24,28,32,36,40),0)/100)))))/Skills!H24,1)))/Inputs!$B$43),G2514*Q2514)*(1+IF(Inputs!$B$3&gt;=130,0.2*(Skills!I16/Skills!E15+IF(Inputs!$B$3&gt;=126,0.05*(B2526+Q2503+(H2504*B2527)/(1+Skills!H14*H2504*B2527)+Q2514)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5">
      <c r="A2515">
        <f>Skills!A25</f>
        <v/>
      </c>
      <c r="B2515">
        <f>Skills!B25</f>
        <v/>
      </c>
      <c r="C2515">
        <f>Inputs!$B$3&gt;=117</f>
        <v/>
      </c>
      <c r="D2515">
        <f>IF(Skills!C25=1,60+Inputs!$B$25+Inputs!$B$29,IF(Skills!C25=2,90+Inputs!$B$26+Inputs!$B$29,IF(Skills!C25=3,120+Inputs!$B$27+Inputs!$B$29,MAX(0,(Inputs!$B$3-100)*3)+Inputs!$B$28+Inputs!$B$29)))</f>
        <v/>
      </c>
      <c r="E2515">
        <f>INDEX(FactorTable!$B$2:$Y$301, MATCH(ROUND(MIN(300,MAX(1,D2515)),0), FactorTable!$A$2:$A$301,0), Skills!M25+1)</f>
        <v/>
      </c>
      <c r="F2515">
        <f>IF(Skills!N25=TRUE,(Skills!L25/10)*(E2515/1000),Skills!L25/10)+Skills!O25</f>
        <v/>
      </c>
      <c r="G2515">
        <f>Calc!G25</f>
        <v/>
      </c>
      <c r="H2515">
        <f>Calc!H25</f>
        <v/>
      </c>
      <c r="I2515">
        <f>IF(Skills!X25&lt;&gt;"",1+(Skills!X25/10)*(Z2493/1000)/100,1)</f>
        <v/>
      </c>
      <c r="J2515" t="inlineStr"/>
      <c r="K2515" t="inlineStr"/>
      <c r="L2515" t="inlineStr"/>
      <c r="M2515" t="inlineStr"/>
      <c r="N2515" t="inlineStr"/>
      <c r="O2515">
        <f>(1-Summary!$B$11)*S2515+Summary!$B$11*U2515</f>
        <v/>
      </c>
      <c r="P2515">
        <f>IF(B2531=0,0,O2515/B2531)</f>
        <v/>
      </c>
      <c r="Q2515">
        <f>IFERROR(1/(IF(Inputs!$B$38="pvp",15,MAX(0.1,Skills!E25-IF(Skills!F25=TRUE,Inputs!$B$32,0)))*(1-IF(AND(ArtifactsInput!$M$27,Inputs!$B$4="Chapter Hunt"),CHOOSE(ArtifactsInput!$N$27+1,20,24,28,32,36,40),0)/100)),0)</f>
        <v/>
      </c>
      <c r="R2515" t="n">
        <v>0</v>
      </c>
      <c r="S2515" t="n">
        <v>0</v>
      </c>
      <c r="U2515" t="n">
        <v>0</v>
      </c>
    </row>
    <row r="2516">
      <c r="A2516">
        <f>Skills!A26</f>
        <v/>
      </c>
      <c r="B2516">
        <f>Skills!B26</f>
        <v/>
      </c>
      <c r="C2516">
        <f>Inputs!$B$3&gt;=120</f>
        <v/>
      </c>
      <c r="D2516">
        <f>IF(Skills!C26=1,60+Inputs!$B$25+Inputs!$B$29,IF(Skills!C26=2,90+Inputs!$B$26+Inputs!$B$29,IF(Skills!C26=3,120+Inputs!$B$27+Inputs!$B$29,MAX(0,(Inputs!$B$3-100)*3)+Inputs!$B$28+Inputs!$B$29)))</f>
        <v/>
      </c>
      <c r="E2516">
        <f>INDEX(FactorTable!$B$2:$Y$301, MATCH(ROUND(MIN(300,MAX(1,D2516)),0), FactorTable!$A$2:$A$301,0), Skills!M26+1)</f>
        <v/>
      </c>
      <c r="F2516">
        <f>IF(Skills!N26=TRUE,(Skills!L26/10)*(E2516/1000),Skills!L26/10)+Skills!O26</f>
        <v/>
      </c>
      <c r="G2516">
        <f>Calc!G26</f>
        <v/>
      </c>
      <c r="H2516">
        <f>Calc!H26</f>
        <v/>
      </c>
      <c r="I2516">
        <f>IF(Skills!X26&lt;&gt;"",1+(Skills!X26/10)*(Z2493/1000)/100,1)</f>
        <v/>
      </c>
      <c r="J2516" t="inlineStr"/>
      <c r="K2516" t="inlineStr"/>
      <c r="L2516" t="inlineStr"/>
      <c r="M2516" t="inlineStr"/>
      <c r="N2516" t="inlineStr"/>
      <c r="O2516">
        <f>(1-Summary!$B$11)*S2516+Summary!$B$11*U2516</f>
        <v/>
      </c>
      <c r="P2516">
        <f>IF(B2531=0,0,O2516/B2531)</f>
        <v/>
      </c>
      <c r="Q2516">
        <f>IFERROR(1/(IF(Inputs!$B$38="pvp",15,MAX(0.1,Skills!E26-IF(Skills!F26=TRUE,Inputs!$B$32,0)))*(1-IF(AND(ArtifactsInput!$M$27,Inputs!$B$4="Chapter Hunt"),CHOOSE(ArtifactsInput!$N$27+1,20,24,28,32,36,40),0)/100)),0)</f>
        <v/>
      </c>
      <c r="R2516" t="n">
        <v>0</v>
      </c>
      <c r="S2516" t="n">
        <v>0</v>
      </c>
      <c r="U2516" t="n">
        <v>0</v>
      </c>
    </row>
    <row r="2517">
      <c r="A2517">
        <f>Skills!A27</f>
        <v/>
      </c>
      <c r="B2517">
        <f>Skills!B27</f>
        <v/>
      </c>
      <c r="C2517">
        <f>Inputs!$B$3&gt;=125</f>
        <v/>
      </c>
      <c r="D2517">
        <f>IF(Skills!C27=1,60+Inputs!$B$25+Inputs!$B$29,IF(Skills!C27=2,90+Inputs!$B$26+Inputs!$B$29,IF(Skills!C27=3,120+Inputs!$B$27+Inputs!$B$29,MAX(0,(Inputs!$B$3-100)*3)+Inputs!$B$28+Inputs!$B$29)))</f>
        <v/>
      </c>
      <c r="E2517">
        <f>INDEX(FactorTable!$B$2:$Y$301, MATCH(ROUND(MIN(300,MAX(1,D2517)),0), FactorTable!$A$2:$A$301,0), Skills!M27+1)</f>
        <v/>
      </c>
      <c r="F2517">
        <f>IF(Skills!N27=TRUE,(Skills!L27/10)*(E2517/1000),Skills!L27/10)+Skills!O27</f>
        <v/>
      </c>
      <c r="G2517">
        <f>Calc!G27</f>
        <v/>
      </c>
      <c r="H2517">
        <f>Calc!H27</f>
        <v/>
      </c>
      <c r="I2517">
        <f>IF(Skills!X27&lt;&gt;"",1+(Skills!X27/10)*(Z2493/1000)/100,1)</f>
        <v/>
      </c>
      <c r="J2517" t="inlineStr"/>
      <c r="K2517" t="inlineStr"/>
      <c r="L2517" t="inlineStr"/>
      <c r="M2517" t="inlineStr"/>
      <c r="N2517" t="inlineStr"/>
      <c r="O2517">
        <f>(1-Summary!$B$11)*S2517+Summary!$B$11*U2517</f>
        <v/>
      </c>
      <c r="P2517">
        <f>IF(B2531=0,0,O2517/B2531)</f>
        <v/>
      </c>
      <c r="Q2517">
        <f>IFERROR(1/(IF(Inputs!$B$38="pvp",15,MAX(0.1,Skills!E27-IF(Skills!F27=TRUE,Inputs!$B$32,0)))*(1-IF(AND(ArtifactsInput!$M$27,Inputs!$B$4="Chapter Hunt"),CHOOSE(ArtifactsInput!$N$27+1,20,24,28,32,36,40),0)/100)),0)</f>
        <v/>
      </c>
      <c r="R2517" t="n">
        <v>0</v>
      </c>
      <c r="S2517" t="n">
        <v>0</v>
      </c>
      <c r="U2517" t="n">
        <v>0</v>
      </c>
    </row>
    <row r="2518">
      <c r="A2518">
        <f>Skills!A28</f>
        <v/>
      </c>
      <c r="B2518">
        <f>Skills!B28</f>
        <v/>
      </c>
      <c r="C2518">
        <f>Inputs!$B$3&gt;=118</f>
        <v/>
      </c>
      <c r="D2518">
        <f>IF(Skills!C28=1,60+Inputs!$B$25+Inputs!$B$29,IF(Skills!C28=2,90+Inputs!$B$26+Inputs!$B$29,IF(Skills!C28=3,120+Inputs!$B$27+Inputs!$B$29,MAX(0,(Inputs!$B$3-100)*3)+Inputs!$B$28+Inputs!$B$29)))</f>
        <v/>
      </c>
      <c r="E2518">
        <f>INDEX(FactorTable!$B$2:$Y$301, MATCH(ROUND(MIN(300,MAX(1,D2518)),0), FactorTable!$A$2:$A$301,0), Skills!M28+1)</f>
        <v/>
      </c>
      <c r="F2518">
        <f>IF(Skills!N28=TRUE,(Skills!L28/10)*(E2518/1000),Skills!L28/10)+Skills!O28</f>
        <v/>
      </c>
      <c r="G2518">
        <f>Calc!G28</f>
        <v/>
      </c>
      <c r="H2518">
        <f>Calc!H28</f>
        <v/>
      </c>
      <c r="I2518">
        <f>IF(Skills!X28&lt;&gt;"",1+(Skills!X28/10)*(Z2493/1000)/100,1)</f>
        <v/>
      </c>
      <c r="J2518">
        <f>((Inputs!$B$6*(1+Inputs!$B$7/100))+(((Inputs!$B$12*(1+Inputs!$B$13/100))-(Inputs!$B$12*(1+Inputs!$B$13/100)))+0.25*(Inputs!$B$14-Inputs!$B$14))*(1+Inputs!$B$7/100))*(F2518/100)</f>
        <v/>
      </c>
      <c r="K2518">
        <f>J2518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2513/100)*(1+IF(Inputs!$B$3&gt;=120,F2516,0)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2517*5,0)))/100)*(B2520*B2521*B2522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2518)</f>
        <v/>
      </c>
      <c r="L2518">
        <f>K2518*(MIN(Inputs!$B$22+(F2512-Calc!F22),(Inputs!$B$23+(IF(ArtifactsInput!$M$15,CHOOSE(ArtifactsInput!$N$15+1,25,30,35,40,45,50)/100*(Inputs!$B$11-Inputs!$B$11),0))))/100+(Inputs!$B$23+(IF(ArtifactsInput!$M$15,CHOOSE(ArtifactsInput!$N$15+1,25,30,35,40,45,50)/100*(Inputs!$B$11-Inputs!$B$11),0)))/100)/2</f>
        <v/>
      </c>
      <c r="M2518">
        <f>L2518*(1+(Inputs!$B$10+(F2511-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8">
        <f>L2518*(1-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2518*(MIN((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8">
        <f>(1-Summary!$B$11)*S2518+Summary!$B$11*U2518</f>
        <v/>
      </c>
      <c r="P2518">
        <f>IF(B2531=0,0,O2518/B2531)</f>
        <v/>
      </c>
      <c r="Q2518">
        <f>IFERROR(1/(IF(Inputs!$B$38="pvp",15,MAX(0.1,Skills!E28-IF(Skills!F28=TRUE,Inputs!$B$32,0)))*(1-IF(AND(ArtifactsInput!$M$27,Inputs!$B$4="Chapter Hunt"),CHOOSE(ArtifactsInput!$N$27+1,20,24,28,32,36,40),0)/100)),0)</f>
        <v/>
      </c>
      <c r="R2518">
        <f>IF(AND(Inputs!$B$38&lt;&gt;"pvp",Inputs!$B$43&gt;0),IF(MAX(0,Inputs!$B$43-B2528)&lt;=0,0,(INT(MAX(0,Inputs!$B$43-B2528)/(IF(Inputs!$B$38="pvp",15,MAX(0.1,Skills!E28-IF(Skills!F28=TRUE,Inputs!$B$32,0)))*(1-IF(AND(ArtifactsInput!$M$27,Inputs!$B$4="Chapter Hunt"),CHOOSE(ArtifactsInput!$N$27+1,20,24,28,32,36,40),0)/100)))+1)),0)</f>
        <v/>
      </c>
      <c r="S2518">
        <f>IF(C2518,(H2518*N2518*IF(AND(Inputs!$B$38&lt;&gt;"pvp",Inputs!$B$43&gt;0),((Skills!G28*((R2518-1)*IF(Skills!H28&gt;0,Skills!I28/Skills!H28,1)+IF(Skills!H28&gt;0,MIN(Skills!I28,MAX(0,MAX(0,Inputs!$B$43-B2528)-((R2518-1)*(IF(Inputs!$B$38="pvp",15,MAX(0.1,Skills!E28-IF(Skills!F28=TRUE,Inputs!$B$32,0)))*(1-IF(AND(ArtifactsInput!$M$27,Inputs!$B$4="Chapter Hunt"),CHOOSE(ArtifactsInput!$N$27+1,20,24,28,32,36,40),0)/100)))))/Skills!H28,1)))/Inputs!$B$43),G2518*Q2518)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2518*(1-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2518*(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2518*(1-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2518*(MIN(100,(Inputs!$B$9+(F2510-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8">
        <f>IF(C2518,(H2518*N2518*IF(AND(Inputs!$B$38&lt;&gt;"pvp",Inputs!$B$43&gt;0),((Skills!G28*((R2518-1)*IF(Skills!H28&gt;0,Skills!I28/Skills!H28,1)+IF(Skills!H28&gt;0,MIN(Skills!I28,MAX(0,MAX(0,Inputs!$B$43-B2528)-((R2518-1)*(IF(Inputs!$B$38="pvp",15,MAX(0.1,Skills!E28-IF(Skills!F28=TRUE,Inputs!$B$32,0)))*(1-IF(AND(ArtifactsInput!$M$27,Inputs!$B$4="Chapter Hunt"),CHOOSE(ArtifactsInput!$N$27+1,20,24,28,32,36,40),0)/100)))))/Skills!H28,1)))/Inputs!$B$43),G2518*Q2518)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0">
      <c r="A2520" t="inlineStr">
        <is>
          <t>Burning Magic Multiplier</t>
        </is>
      </c>
      <c r="B2520">
        <f>1+(F2501*Skills!Z11)/100</f>
        <v/>
      </c>
    </row>
    <row r="2521">
      <c r="A2521" t="inlineStr">
        <is>
          <t>Elemental Decrease Multiplier (always-on)</t>
        </is>
      </c>
      <c r="B2521">
        <f>1+(F2502+(IF(AND(ArtifactsInput!$M$35,Inputs!$B$4&lt;&gt;"Chapter Hunt"),CHOOSE(ArtifactsInput!$N$35+1,15,18,21,24,27,30)*(1-EXP(-(0.2*B2524)*5)),0)+IF(AND(ArtifactsInput!$M$22,Inputs!$B$4&lt;&gt;"Chapter Hunt"),CHOOSE(ArtifactsInput!$N$22+1,10,12,14,16,18,20)*((0*(((0.15*B2524*5))^0/1)+1*(((0.15*B2524*5))^1/1)+2*(((0.15*B2524*5))^2/2)+3*(((0.15*B2524*5))^3/6)+4*(((0.15*B2524*5))^4/24)+5*(((0.15*B2524*5))^5/120))/((((0.15*B2524*5))^0/1)+(((0.15*B2524*5))^1/1)+(((0.15*B2524*5))^2/2)+(((0.15*B2524*5))^3/6)+(((0.15*B2524*5))^4/24)+(((0.15*B2524*5))^5/120))),0)))/100</f>
        <v/>
      </c>
    </row>
    <row r="2522">
      <c r="A2522" t="inlineStr">
        <is>
          <t>Average Buff Multiplier (Magic Guard + Meditation + Artifact Attack%, summed; then Infinity)</t>
        </is>
      </c>
      <c r="B2522">
        <f>(1+(F2496*IF(AND(Inputs!$B$38&lt;&gt;"pvp",Inputs!$B$43&gt;0),(((R2496-1)*(Skills!T6*(1+((Inputs!$B$34+(ArtifactsInput!$M$7-ArtifactsInput!$M$7)*CHOOSE(ArtifactsInput!$N$7+1,6,7.2,8.4,9.6,10.8,12)))/100))+MIN((Skills!T6*(1+((Inputs!$B$34+(ArtifactsInput!$M$7-ArtifactsInput!$M$7)*CHOOSE(ArtifactsInput!$N$7+1,6,7.2,8.4,9.6,10.8,12)))/100)),MAX(0,Inputs!$B$43-((R2496-1)*Skills!E6))))/Inputs!$B$43),IF(Inputs!$B$38="pvp",MIN((Skills!T6*(1+((Inputs!$B$34+(ArtifactsInput!$M$7-ArtifactsInput!$M$7)*CHOOSE(ArtifactsInput!$N$7+1,6,7.2,8.4,9.6,10.8,12)))/100)),15)/15,(Skills!T6*(1+((Inputs!$B$34+(ArtifactsInput!$M$7-ArtifactsInput!$M$7)*CHOOSE(ArtifactsInput!$N$7+1,6,7.2,8.4,9.6,10.8,12)))/100))/Skills!E6))+F2507*IF(AND(Inputs!$B$38&lt;&gt;"pvp",Inputs!$B$43&gt;0),(((R2507-1)*(Skills!T17*(1+((Inputs!$B$34+(ArtifactsInput!$M$7-ArtifactsInput!$M$7)*CHOOSE(ArtifactsInput!$N$7+1,6,7.2,8.4,9.6,10.8,12)))/100))+MIN((Skills!T17*(1+((Inputs!$B$34+(ArtifactsInput!$M$7-ArtifactsInput!$M$7)*CHOOSE(ArtifactsInput!$N$7+1,6,7.2,8.4,9.6,10.8,12)))/100)),MAX(0,Inputs!$B$43-((R2507-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2509=TRUE,(1+F2509*IF(AND(Inputs!$B$38&lt;&gt;"pvp",Inputs!$B$43&gt;0),(((R2509-1)*(Skills!T19*(1+((Inputs!$B$34+(ArtifactsInput!$M$7-ArtifactsInput!$M$7)*CHOOSE(ArtifactsInput!$N$7+1,6,7.2,8.4,9.6,10.8,12)))/100))+MIN((Skills!T19*(1+((Inputs!$B$34+(ArtifactsInput!$M$7-ArtifactsInput!$M$7)*CHOOSE(ArtifactsInput!$N$7+1,6,7.2,8.4,9.6,10.8,12)))/100)),MAX(0,Inputs!$B$43-((R2509-1)*Skills!E19))))/Inputs!$B$43),IF(Inputs!$B$38="pvp",MIN((Skills!T19*(1+((Inputs!$B$34+(ArtifactsInput!$M$7-ArtifactsInput!$M$7)*CHOOSE(ArtifactsInput!$N$7+1,6,7.2,8.4,9.6,10.8,12)))/100)),15)/15,(Skills!T19*(1+((Inputs!$B$34+(ArtifactsInput!$M$7-ArtifactsInput!$M$7)*CHOOSE(ArtifactsInput!$N$7+1,6,7.2,8.4,9.6,10.8,12)))/100))/Skills!E19))/100),1)</f>
        <v/>
      </c>
    </row>
    <row r="2523">
      <c r="A2523" t="inlineStr">
        <is>
          <t>Attack Speed Buff Bonus % (Nimble Feet, averaged)</t>
        </is>
      </c>
      <c r="B2523">
        <f>F2508*IF(AND(Inputs!$B$38&lt;&gt;"pvp",Inputs!$B$43&gt;0),(((R2508-1)*(Skills!T18*(1+((Inputs!$B$34+(ArtifactsInput!$M$7-ArtifactsInput!$M$7)*CHOOSE(ArtifactsInput!$N$7+1,6,7.2,8.4,9.6,10.8,12)))/100))+MIN((Skills!T18*(1+((Inputs!$B$34+(ArtifactsInput!$M$7-ArtifactsInput!$M$7)*CHOOSE(ArtifactsInput!$N$7+1,6,7.2,8.4,9.6,10.8,12)))/100)),MAX(0,Inputs!$B$43-((R2508-1)*Skills!E18))))/Inputs!$B$43),IF(Inputs!$B$38="pvp",MIN((Skills!T18*(1+((Inputs!$B$34+(ArtifactsInput!$M$7-ArtifactsInput!$M$7)*CHOOSE(ArtifactsInput!$N$7+1,6,7.2,8.4,9.6,10.8,12)))/100)),15)/15,(Skills!T18*(1+((Inputs!$B$34+(ArtifactsInput!$M$7-ArtifactsInput!$M$7)*CHOOSE(ArtifactsInput!$N$7+1,6,7.2,8.4,9.6,10.8,12)))/100))/Skills!E18))</f>
        <v/>
      </c>
    </row>
    <row r="2524">
      <c r="A2524" t="inlineStr">
        <is>
          <t>Actions Per Second</t>
        </is>
      </c>
      <c r="B2524">
        <f>1+MIN(150,150*(1-(1-(Inputs!$B$11+(ArtifactsInput!$M$15-ArtifactsInput!$M$15)*CHOOSE(ArtifactsInput!$N$15+1,8,9.6,11.2,12.8,14.4,16))/150)*(1-B2523/150)))/100</f>
        <v/>
      </c>
    </row>
    <row r="2525">
      <c r="A2525" t="inlineStr">
        <is>
          <t>Skill + Buff Cast Rate</t>
        </is>
      </c>
      <c r="B2525">
        <f>IF(AND(Inputs!$B$38&lt;&gt;"pvp",Inputs!$B$43&gt;0),SUMPRODUCT((Skills!F2:F28=TRUE)*(C2492:C2518=TRUE)*R2492:R2518)/Inputs!$B$43,SUMPRODUCT((Skills!F2:F28=TRUE)*(C2492:C2518=TRUE)*Q2492:Q2518))</f>
        <v/>
      </c>
    </row>
    <row r="2526">
      <c r="A2526" t="inlineStr">
        <is>
          <t>Basic Attacks Per Second</t>
        </is>
      </c>
      <c r="B2526">
        <f>MAX(0,B2524-B2525)</f>
        <v/>
      </c>
    </row>
    <row r="2527">
      <c r="A2527" t="inlineStr">
        <is>
          <t>Meteor Proc — combined trigger cast rate</t>
        </is>
      </c>
      <c r="B2527">
        <f>IF(AND(Inputs!$B$38&lt;&gt;"pvp",Inputs!$B$43&gt;0),SUMPRODUCT((Skills!V2:V28=TRUE)*(C2492:C2518=TRUE)*R2492:R2518*Skills!W2:W28)/Inputs!$B$43,SUMPRODUCT((Skills!V2:V28=TRUE)*(C2492:C2518=TRUE)*Q2492:Q2518*Skills!W2:W28))+B2526</f>
        <v/>
      </c>
    </row>
    <row r="2528">
      <c r="A2528" t="inlineStr">
        <is>
          <t>Buff-Casting Startup Delay (s, fixed-duration only)</t>
        </is>
      </c>
      <c r="B2528">
        <f>IF(AND(Inputs!$B$38&lt;&gt;"pvp",Inputs!$B$43&gt;0),SUMPRODUCT((Skills!T2:T28&gt;0)*(Skills!F2:F28=TRUE)*(C2492:C2518=TRUE))/B2524,0)</f>
        <v/>
      </c>
    </row>
    <row r="2529">
      <c r="A2529" t="inlineStr">
        <is>
          <t>Boss-Only Total DPS (this block's swept value)</t>
        </is>
      </c>
      <c r="B2529">
        <f>SUM(S2492:S2518)</f>
        <v/>
      </c>
    </row>
    <row r="2530">
      <c r="A2530" t="inlineStr">
        <is>
          <t>Normal-Only Total DPS (this block's swept value)</t>
        </is>
      </c>
      <c r="B2530">
        <f>SUM(U2492:U2518)</f>
        <v/>
      </c>
    </row>
    <row r="2531">
      <c r="A2531" s="6" t="inlineStr">
        <is>
          <t>TOTAL DPS</t>
        </is>
      </c>
      <c r="B2531" s="6">
        <f>SUM(O2492:O2518)</f>
        <v/>
      </c>
    </row>
    <row r="2534">
      <c r="A2534" s="6" t="inlineStr">
        <is>
          <t>Stat: Horn Flute (Equip)</t>
        </is>
      </c>
    </row>
    <row r="2535">
      <c r="A2535" s="5" t="inlineStr">
        <is>
          <t>Key</t>
        </is>
      </c>
      <c r="B2535" s="5" t="inlineStr">
        <is>
          <t>Name</t>
        </is>
      </c>
      <c r="C2535" s="5" t="inlineStr">
        <is>
          <t>Unlocked</t>
        </is>
      </c>
      <c r="D2535" s="5" t="inlineStr">
        <is>
          <t>InputLevel</t>
        </is>
      </c>
      <c r="E2535" s="5" t="inlineStr">
        <is>
          <t>Factor</t>
        </is>
      </c>
      <c r="F2535" s="5" t="inlineStr">
        <is>
          <t>CoefficientPercent</t>
        </is>
      </c>
      <c r="G2535" s="5" t="inlineStr">
        <is>
          <t>EffectiveHits</t>
        </is>
      </c>
      <c r="H2535" s="5" t="inlineStr">
        <is>
          <t>ProcProbability</t>
        </is>
      </c>
      <c r="I2535" s="5" t="inlineStr">
        <is>
          <t>MapleHeroMultiplier</t>
        </is>
      </c>
      <c r="J2535" s="5" t="inlineStr">
        <is>
          <t>BaseDamage</t>
        </is>
      </c>
      <c r="K2535" s="5" t="inlineStr">
        <is>
          <t>BaseHitDamage</t>
        </is>
      </c>
      <c r="L2535" s="5" t="inlineStr">
        <is>
          <t>NonCritAvg</t>
        </is>
      </c>
      <c r="M2535" s="5" t="inlineStr">
        <is>
          <t>CritAvg</t>
        </is>
      </c>
      <c r="N2535" s="5" t="inlineStr">
        <is>
          <t>ExpectedDamage(perHit)</t>
        </is>
      </c>
      <c r="O2535" s="5" t="inlineStr">
        <is>
          <t>DPS</t>
        </is>
      </c>
      <c r="P2535" s="5" t="inlineStr">
        <is>
          <t>% of Total</t>
        </is>
      </c>
      <c r="R2535" t="inlineStr">
        <is>
          <t>helpers</t>
        </is>
      </c>
    </row>
    <row r="2536">
      <c r="A2536">
        <f>Skills!A2</f>
        <v/>
      </c>
      <c r="B2536">
        <f>Skills!B2</f>
        <v/>
      </c>
      <c r="C2536">
        <f>TRUE</f>
        <v/>
      </c>
      <c r="D2536" t="inlineStr"/>
      <c r="E2536" t="inlineStr"/>
      <c r="F2536">
        <f>T2538+Skills!O2</f>
        <v/>
      </c>
      <c r="G2536">
        <f>Calc!G2</f>
        <v/>
      </c>
      <c r="H2536">
        <f>Calc!H2</f>
        <v/>
      </c>
      <c r="I2536">
        <f>IF(Skills!X2&lt;&gt;"",1+(Skills!X2/10)*(Z2537/1000)/100,1)</f>
        <v/>
      </c>
      <c r="J2536">
        <f>((Inputs!$B$6*(1+Inputs!$B$7/100))+(((Inputs!$B$12*(1+Inputs!$B$13/100))-(Inputs!$B$12*(1+Inputs!$B$13/100)))+0.25*(Inputs!$B$14-Inputs!$B$14))*(1+Inputs!$B$7/100))*(F2536/100)</f>
        <v/>
      </c>
      <c r="K2536">
        <f>J2536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2536)</f>
        <v/>
      </c>
      <c r="L2536">
        <f>K2536*(MIN(Inputs!$B$22+(F2556-Calc!F22),(Inputs!$B$23+(IF(ArtifactsInput!$M$15,CHOOSE(ArtifactsInput!$N$15+1,25,30,35,40,45,50)/100*(Inputs!$B$11-Inputs!$B$11),0))))/100+(Inputs!$B$23+(IF(ArtifactsInput!$M$15,CHOOSE(ArtifactsInput!$N$15+1,25,30,35,40,45,50)/100*(Inputs!$B$11-Inputs!$B$11),0)))/100)/2</f>
        <v/>
      </c>
      <c r="M2536">
        <f>L2536*(1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6">
        <f>L2536*(1-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2536*(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6">
        <f>(1-Summary!$B$11)*S2536+Summary!$B$11*U2536</f>
        <v/>
      </c>
      <c r="P2536">
        <f>IF(B2575=0,0,O2536/B2575)</f>
        <v/>
      </c>
      <c r="Q2536">
        <f>IFERROR(1/(IF(Inputs!$B$38="pvp",15,MAX(0.1,Skills!E2-IF(Skills!F2=TRUE,Inputs!$B$32,0)))*(1-IF(AND(ArtifactsInput!$M$27,Inputs!$B$4="Chapter Hunt"),CHOOSE(ArtifactsInput!$N$27+1,20,24,28,32,36,40),0)/100)),0)</f>
        <v/>
      </c>
      <c r="R2536" t="n">
        <v>0</v>
      </c>
      <c r="S2536">
        <f>(Skills!G2*N2536*B2570)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2536*(1-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2536*(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2536*(1-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2536*(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536">
        <f>MAX(0,(Inputs!$B$3-100)*3)+Inputs!$B$28+Inputs!$B$29</f>
        <v/>
      </c>
      <c r="U2536">
        <f>(Skills!G2*N2536*B2570)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536">
        <f>MAX(0,(Inputs!$B$3-100)*3)+Inputs!$B$28+Inputs!$B$29</f>
        <v/>
      </c>
    </row>
    <row r="2537">
      <c r="A2537">
        <f>Skills!A3</f>
        <v/>
      </c>
      <c r="B2537">
        <f>Skills!B3</f>
        <v/>
      </c>
      <c r="C2537">
        <f>TRUE</f>
        <v/>
      </c>
      <c r="D2537">
        <f>IF(Skills!C3=1,60+Inputs!$B$25+Inputs!$B$29,IF(Skills!C3=2,90+Inputs!$B$26+Inputs!$B$29,IF(Skills!C3=3,120+Inputs!$B$27+Inputs!$B$29,MAX(0,(Inputs!$B$3-100)*3)+Inputs!$B$28+Inputs!$B$29)))</f>
        <v/>
      </c>
      <c r="E2537">
        <f>INDEX(FactorTable!$B$2:$Y$301, MATCH(ROUND(MIN(300,MAX(1,D2537)),0), FactorTable!$A$2:$A$301,0), Skills!M3+1)</f>
        <v/>
      </c>
      <c r="F2537">
        <f>IF(Skills!N3=TRUE,(Skills!L3/10)*(E2537/1000),Skills!L3/10)+Skills!O3</f>
        <v/>
      </c>
      <c r="G2537">
        <f>Calc!G3</f>
        <v/>
      </c>
      <c r="H2537">
        <f>Calc!H3</f>
        <v/>
      </c>
      <c r="I2537">
        <f>IF(Skills!X3&lt;&gt;"",1+(Skills!X3/10)*(Z2537/1000)/100,1)</f>
        <v/>
      </c>
      <c r="J2537">
        <f>((Inputs!$B$6*(1+Inputs!$B$7/100))+(((Inputs!$B$12*(1+Inputs!$B$13/100))-(Inputs!$B$12*(1+Inputs!$B$13/100)))+0.25*(Inputs!$B$14-Inputs!$B$14))*(1+Inputs!$B$7/100))*(F2537/100)</f>
        <v/>
      </c>
      <c r="K2537">
        <f>J2537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2537)</f>
        <v/>
      </c>
      <c r="L2537">
        <f>K2537*(MIN(Inputs!$B$22+(F2556-Calc!F22),(Inputs!$B$23+(IF(ArtifactsInput!$M$15,CHOOSE(ArtifactsInput!$N$15+1,25,30,35,40,45,50)/100*(Inputs!$B$11-Inputs!$B$11),0))))/100+(Inputs!$B$23+(IF(ArtifactsInput!$M$15,CHOOSE(ArtifactsInput!$N$15+1,25,30,35,40,45,50)/100*(Inputs!$B$11-Inputs!$B$11),0)))/100)/2</f>
        <v/>
      </c>
      <c r="M2537">
        <f>L2537*(1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7">
        <f>L2537*(1-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2537*(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7">
        <f>(1-Summary!$B$11)*S2537+Summary!$B$11*U2537</f>
        <v/>
      </c>
      <c r="P2537">
        <f>IF(B2575=0,0,O2537/B2575)</f>
        <v/>
      </c>
      <c r="Q2537">
        <f>IFERROR(1/(IF(Inputs!$B$38="pvp",15,MAX(0.1,Skills!E3-IF(Skills!F3=TRUE,Inputs!$B$32,0)))*(1-IF(AND(ArtifactsInput!$M$27,Inputs!$B$4="Chapter Hunt"),CHOOSE(ArtifactsInput!$N$27+1,20,24,28,32,36,40),0)/100)),0)</f>
        <v/>
      </c>
      <c r="R2537">
        <f>IF(AND(Inputs!$B$38&lt;&gt;"pvp",Inputs!$B$43&gt;0),IF(MAX(0,Inputs!$B$43-B2572)&lt;=0,0,(INT(MAX(0,Inputs!$B$43-B2572)/(IF(Inputs!$B$38="pvp",15,MAX(0.1,Skills!E3-IF(Skills!F3=TRUE,Inputs!$B$32,0)))*(1-IF(AND(ArtifactsInput!$M$27,Inputs!$B$4="Chapter Hunt"),CHOOSE(ArtifactsInput!$N$27+1,20,24,28,32,36,40),0)/100)))+1)),0)</f>
        <v/>
      </c>
      <c r="S2537">
        <f>IF(C2537,(H2537*N2537*IF(AND(Inputs!$B$38&lt;&gt;"pvp",Inputs!$B$43&gt;0),((Skills!G3*((R2537-1)*IF(Skills!H3&gt;0,Skills!I3/Skills!H3,1)+IF(Skills!H3&gt;0,MIN(Skills!I3,MAX(0,MAX(0,Inputs!$B$43-B2572)-((R2537-1)*(IF(Inputs!$B$38="pvp",15,MAX(0.1,Skills!E3-IF(Skills!F3=TRUE,Inputs!$B$32,0)))*(1-IF(AND(ArtifactsInput!$M$27,Inputs!$B$4="Chapter Hunt"),CHOOSE(ArtifactsInput!$N$27+1,20,24,28,32,36,40),0)/100)))))/Skills!H3,1)))/Inputs!$B$43),G2537*Q2537)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2537*(1-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2537*(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2537*(1-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2537*(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537">
        <f>INDEX(FactorTable!$B$2:$Y$301, MATCH(ROUND(MIN(300,MAX(1,T2536)),0), FactorTable!$A$2:$A$301,0), 22)</f>
        <v/>
      </c>
      <c r="U2537">
        <f>IF(C2537,(H2537*N2537*IF(AND(Inputs!$B$38&lt;&gt;"pvp",Inputs!$B$43&gt;0),((Skills!G3*((R2537-1)*IF(Skills!H3&gt;0,Skills!I3/Skills!H3,1)+IF(Skills!H3&gt;0,MIN(Skills!I3,MAX(0,MAX(0,Inputs!$B$43-B2572)-((R2537-1)*(IF(Inputs!$B$38="pvp",15,MAX(0.1,Skills!E3-IF(Skills!F3=TRUE,Inputs!$B$32,0)))*(1-IF(AND(ArtifactsInput!$M$27,Inputs!$B$4="Chapter Hunt"),CHOOSE(ArtifactsInput!$N$27+1,20,24,28,32,36,40),0)/100)))))/Skills!H3,1)))/Inputs!$B$43),G2537*Q2537)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537">
        <f>INDEX(FactorTable!$B$2:$Y$301, MATCH(ROUND(MIN(300,MAX(1,Z2536)),0), FactorTable!$A$2:$A$301,0), 24)</f>
        <v/>
      </c>
    </row>
    <row r="2538">
      <c r="A2538">
        <f>Skills!A4</f>
        <v/>
      </c>
      <c r="B2538">
        <f>Skills!B4</f>
        <v/>
      </c>
      <c r="C2538">
        <f>TRUE</f>
        <v/>
      </c>
      <c r="D2538">
        <f>IF(Skills!C4=1,60+Inputs!$B$25+Inputs!$B$29,IF(Skills!C4=2,90+Inputs!$B$26+Inputs!$B$29,IF(Skills!C4=3,120+Inputs!$B$27+Inputs!$B$29,MAX(0,(Inputs!$B$3-100)*3)+Inputs!$B$28+Inputs!$B$29)))</f>
        <v/>
      </c>
      <c r="E2538">
        <f>INDEX(FactorTable!$B$2:$Y$301, MATCH(ROUND(MIN(300,MAX(1,D2538)),0), FactorTable!$A$2:$A$301,0), Skills!M4+1)</f>
        <v/>
      </c>
      <c r="F2538">
        <f>IF(Skills!N4=TRUE,(Skills!L4/10)*(E2538/1000),Skills!L4/10)+Skills!O4</f>
        <v/>
      </c>
      <c r="G2538">
        <f>Calc!G4</f>
        <v/>
      </c>
      <c r="H2538">
        <f>Calc!H4</f>
        <v/>
      </c>
      <c r="I2538">
        <f>IF(Skills!X4&lt;&gt;"",1+(Skills!X4/10)*(Z2537/1000)/100,1)</f>
        <v/>
      </c>
      <c r="J2538">
        <f>((Inputs!$B$6*(1+Inputs!$B$7/100))+(((Inputs!$B$12*(1+Inputs!$B$13/100))-(Inputs!$B$12*(1+Inputs!$B$13/100)))+0.25*(Inputs!$B$14-Inputs!$B$14))*(1+Inputs!$B$7/100))*(F2538/100)</f>
        <v/>
      </c>
      <c r="K2538">
        <f>J2538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2538)</f>
        <v/>
      </c>
      <c r="L2538">
        <f>K2538*(MIN(Inputs!$B$22+(F2556-Calc!F22),(Inputs!$B$23+(IF(ArtifactsInput!$M$15,CHOOSE(ArtifactsInput!$N$15+1,25,30,35,40,45,50)/100*(Inputs!$B$11-Inputs!$B$11),0))))/100+(Inputs!$B$23+(IF(ArtifactsInput!$M$15,CHOOSE(ArtifactsInput!$N$15+1,25,30,35,40,45,50)/100*(Inputs!$B$11-Inputs!$B$11),0)))/100)/2</f>
        <v/>
      </c>
      <c r="M2538">
        <f>L2538*(1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8">
        <f>L2538*(1-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2538*(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8">
        <f>(1-Summary!$B$11)*S2538+Summary!$B$11*U2538</f>
        <v/>
      </c>
      <c r="P2538">
        <f>IF(B2575=0,0,O2538/B2575)</f>
        <v/>
      </c>
      <c r="Q2538">
        <f>IFERROR(1/(IF(Inputs!$B$38="pvp",15,MAX(0.1,Skills!E4-IF(Skills!F4=TRUE,Inputs!$B$32,0)))*(1-IF(AND(ArtifactsInput!$M$27,Inputs!$B$4="Chapter Hunt"),CHOOSE(ArtifactsInput!$N$27+1,20,24,28,32,36,40),0)/100)),0)</f>
        <v/>
      </c>
      <c r="R2538">
        <f>IF(AND(Inputs!$B$38&lt;&gt;"pvp",Inputs!$B$43&gt;0),IF(MAX(0,Inputs!$B$43-B2572)&lt;=0,0,(INT(MAX(0,Inputs!$B$43-B2572)/(IF(Inputs!$B$38="pvp",15,MAX(0.1,Skills!E4-IF(Skills!F4=TRUE,Inputs!$B$32,0)))*(1-IF(AND(ArtifactsInput!$M$27,Inputs!$B$4="Chapter Hunt"),CHOOSE(ArtifactsInput!$N$27+1,20,24,28,32,36,40),0)/100)))+1)),0)</f>
        <v/>
      </c>
      <c r="S2538">
        <f>IF(C2538,(H2538*N2538*IF(AND(Inputs!$B$38&lt;&gt;"pvp",Inputs!$B$43&gt;0),((Skills!G4*((R2538-1)*IF(Skills!H4&gt;0,Skills!I4/Skills!H4,1)+IF(Skills!H4&gt;0,MIN(Skills!I4,MAX(0,MAX(0,Inputs!$B$43-B2572)-((R2538-1)*(IF(Inputs!$B$38="pvp",15,MAX(0.1,Skills!E4-IF(Skills!F4=TRUE,Inputs!$B$32,0)))*(1-IF(AND(ArtifactsInput!$M$27,Inputs!$B$4="Chapter Hunt"),CHOOSE(ArtifactsInput!$N$27+1,20,24,28,32,36,40),0)/100)))))/Skills!H4,1)))/Inputs!$B$43),G2538*Q2538)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2538*(1-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2538*(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2538*(1-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2538*(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538">
        <f>290*T2537/1000</f>
        <v/>
      </c>
      <c r="U2538">
        <f>IF(C2538,(H2538*N2538*IF(AND(Inputs!$B$38&lt;&gt;"pvp",Inputs!$B$43&gt;0),((Skills!G4*((R2538-1)*IF(Skills!H4&gt;0,Skills!I4/Skills!H4,1)+IF(Skills!H4&gt;0,MIN(Skills!I4,MAX(0,MAX(0,Inputs!$B$43-B2572)-((R2538-1)*(IF(Inputs!$B$38="pvp",15,MAX(0.1,Skills!E4-IF(Skills!F4=TRUE,Inputs!$B$32,0)))*(1-IF(AND(ArtifactsInput!$M$27,Inputs!$B$4="Chapter Hunt"),CHOOSE(ArtifactsInput!$N$27+1,20,24,28,32,36,40),0)/100)))))/Skills!H4,1)))/Inputs!$B$43),G2538*Q2538)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39">
      <c r="A2539">
        <f>Skills!A5</f>
        <v/>
      </c>
      <c r="B2539">
        <f>Skills!B5</f>
        <v/>
      </c>
      <c r="C2539">
        <f>TRUE</f>
        <v/>
      </c>
      <c r="D2539">
        <f>IF(Skills!C5=1,60+Inputs!$B$25+Inputs!$B$29,IF(Skills!C5=2,90+Inputs!$B$26+Inputs!$B$29,IF(Skills!C5=3,120+Inputs!$B$27+Inputs!$B$29,MAX(0,(Inputs!$B$3-100)*3)+Inputs!$B$28+Inputs!$B$29)))</f>
        <v/>
      </c>
      <c r="E2539">
        <f>INDEX(FactorTable!$B$2:$Y$301, MATCH(ROUND(MIN(300,MAX(1,D2539)),0), FactorTable!$A$2:$A$301,0), Skills!M5+1)</f>
        <v/>
      </c>
      <c r="F2539">
        <f>IF(Skills!N5=TRUE,(Skills!L5/10)*(E2539/1000),Skills!L5/10)+Skills!O5</f>
        <v/>
      </c>
      <c r="G2539">
        <f>Calc!G5</f>
        <v/>
      </c>
      <c r="H2539">
        <f>Calc!H5</f>
        <v/>
      </c>
      <c r="I2539">
        <f>IF(Skills!X5&lt;&gt;"",1+(Skills!X5/10)*(Z2537/1000)/100,1)</f>
        <v/>
      </c>
      <c r="J2539">
        <f>((Inputs!$B$6*(1+Inputs!$B$7/100))+(((Inputs!$B$12*(1+Inputs!$B$13/100))-(Inputs!$B$12*(1+Inputs!$B$13/100)))+0.25*(Inputs!$B$14-Inputs!$B$14))*(1+Inputs!$B$7/100))*(F2539/100)</f>
        <v/>
      </c>
      <c r="K2539">
        <f>J2539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2539)</f>
        <v/>
      </c>
      <c r="L2539">
        <f>K2539*(MIN(Inputs!$B$22+(F2556-Calc!F22),(Inputs!$B$23+(IF(ArtifactsInput!$M$15,CHOOSE(ArtifactsInput!$N$15+1,25,30,35,40,45,50)/100*(Inputs!$B$11-Inputs!$B$11),0))))/100+(Inputs!$B$23+(IF(ArtifactsInput!$M$15,CHOOSE(ArtifactsInput!$N$15+1,25,30,35,40,45,50)/100*(Inputs!$B$11-Inputs!$B$11),0)))/100)/2</f>
        <v/>
      </c>
      <c r="M2539">
        <f>L2539*(1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9">
        <f>L2539*(1-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2539*(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9">
        <f>(1-Summary!$B$11)*S2539+Summary!$B$11*U2539</f>
        <v/>
      </c>
      <c r="P2539">
        <f>IF(B2575=0,0,O2539/B2575)</f>
        <v/>
      </c>
      <c r="Q2539">
        <f>IFERROR(1/(IF(Inputs!$B$38="pvp",15,MAX(0.1,Skills!E5-IF(Skills!F5=TRUE,Inputs!$B$32,0)))*(1-IF(AND(ArtifactsInput!$M$27,Inputs!$B$4="Chapter Hunt"),CHOOSE(ArtifactsInput!$N$27+1,20,24,28,32,36,40),0)/100)),0)</f>
        <v/>
      </c>
      <c r="R2539">
        <f>IF(AND(Inputs!$B$38&lt;&gt;"pvp",Inputs!$B$43&gt;0),IF(MAX(0,Inputs!$B$43-B2572)&lt;=0,0,(INT(MAX(0,Inputs!$B$43-B2572)/(IF(Inputs!$B$38="pvp",15,MAX(0.1,Skills!E5-IF(Skills!F5=TRUE,Inputs!$B$32,0)))*(1-IF(AND(ArtifactsInput!$M$27,Inputs!$B$4="Chapter Hunt"),CHOOSE(ArtifactsInput!$N$27+1,20,24,28,32,36,40),0)/100)))+1)),0)</f>
        <v/>
      </c>
      <c r="S2539">
        <f>IF(C2539,(H2539*N2539*IF(AND(Inputs!$B$38&lt;&gt;"pvp",Inputs!$B$43&gt;0),((Skills!G5*((R2539-1)*IF(Skills!H5&gt;0,Skills!I5/Skills!H5,1)+IF(Skills!H5&gt;0,MIN(Skills!I5,MAX(0,MAX(0,Inputs!$B$43-B2572)-((R2539-1)*(IF(Inputs!$B$38="pvp",15,MAX(0.1,Skills!E5-IF(Skills!F5=TRUE,Inputs!$B$32,0)))*(1-IF(AND(ArtifactsInput!$M$27,Inputs!$B$4="Chapter Hunt"),CHOOSE(ArtifactsInput!$N$27+1,20,24,28,32,36,40),0)/100)))))/Skills!H5,1)))/Inputs!$B$43),G2539*Q2539)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2539*(1-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2539*(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2539*(1-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2539*(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9">
        <f>IF(C2539,(H2539*N2539*IF(AND(Inputs!$B$38&lt;&gt;"pvp",Inputs!$B$43&gt;0),((Skills!G5*((R2539-1)*IF(Skills!H5&gt;0,Skills!I5/Skills!H5,1)+IF(Skills!H5&gt;0,MIN(Skills!I5,MAX(0,MAX(0,Inputs!$B$43-B2572)-((R2539-1)*(IF(Inputs!$B$38="pvp",15,MAX(0.1,Skills!E5-IF(Skills!F5=TRUE,Inputs!$B$32,0)))*(1-IF(AND(ArtifactsInput!$M$27,Inputs!$B$4="Chapter Hunt"),CHOOSE(ArtifactsInput!$N$27+1,20,24,28,32,36,40),0)/100)))))/Skills!H5,1)))/Inputs!$B$43),G2539*Q2539)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0">
      <c r="A2540">
        <f>Skills!A6</f>
        <v/>
      </c>
      <c r="B2540">
        <f>Skills!B6</f>
        <v/>
      </c>
      <c r="C2540">
        <f>TRUE</f>
        <v/>
      </c>
      <c r="D2540">
        <f>IF(Skills!C6=1,60+Inputs!$B$25+Inputs!$B$29,IF(Skills!C6=2,90+Inputs!$B$26+Inputs!$B$29,IF(Skills!C6=3,120+Inputs!$B$27+Inputs!$B$29,MAX(0,(Inputs!$B$3-100)*3)+Inputs!$B$28+Inputs!$B$29)))</f>
        <v/>
      </c>
      <c r="E2540">
        <f>INDEX(FactorTable!$B$2:$Y$301, MATCH(ROUND(MIN(300,MAX(1,D2540)),0), FactorTable!$A$2:$A$301,0), Skills!M6+1)</f>
        <v/>
      </c>
      <c r="F2540">
        <f>IF(Skills!N6=TRUE,(Skills!L6/10)*(E2540/1000),Skills!L6/10)+Skills!O6</f>
        <v/>
      </c>
      <c r="G2540">
        <f>Calc!G6</f>
        <v/>
      </c>
      <c r="H2540">
        <f>Calc!H6</f>
        <v/>
      </c>
      <c r="I2540">
        <f>IF(Skills!X6&lt;&gt;"",1+(Skills!X6/10)*(Z2537/1000)/100,1)</f>
        <v/>
      </c>
      <c r="J2540" t="inlineStr"/>
      <c r="K2540" t="inlineStr"/>
      <c r="L2540" t="inlineStr"/>
      <c r="M2540" t="inlineStr"/>
      <c r="N2540" t="inlineStr"/>
      <c r="O2540">
        <f>(1-Summary!$B$11)*S2540+Summary!$B$11*U2540</f>
        <v/>
      </c>
      <c r="P2540">
        <f>IF(B2575=0,0,O2540/B2575)</f>
        <v/>
      </c>
      <c r="Q2540">
        <f>IFERROR(1/(IF(Inputs!$B$38="pvp",15,MAX(0.1,Skills!E6-IF(Skills!F6=TRUE,Inputs!$B$32,0)))*(1-IF(AND(ArtifactsInput!$M$27,Inputs!$B$4="Chapter Hunt"),CHOOSE(ArtifactsInput!$N$27+1,20,24,28,32,36,40),0)/100)),0)</f>
        <v/>
      </c>
      <c r="R2540">
        <f>IF(AND(Inputs!$B$38&lt;&gt;"pvp",Inputs!$B$43&gt;0),IF(Inputs!$B$43&lt;=0,0,(INT(Inputs!$B$43/(IF(Inputs!$B$38="pvp",15,MAX(0.1,Skills!E6-IF(Skills!F6=TRUE,Inputs!$B$32,0)))*(1-IF(AND(ArtifactsInput!$M$27,Inputs!$B$4="Chapter Hunt"),CHOOSE(ArtifactsInput!$N$27+1,20,24,28,32,36,40),0)/100)))+1)),0)</f>
        <v/>
      </c>
      <c r="S2540" t="n">
        <v>0</v>
      </c>
      <c r="U2540" t="n">
        <v>0</v>
      </c>
    </row>
    <row r="2541">
      <c r="A2541">
        <f>Skills!A7</f>
        <v/>
      </c>
      <c r="B2541">
        <f>Skills!B7</f>
        <v/>
      </c>
      <c r="C2541">
        <f>TRUE</f>
        <v/>
      </c>
      <c r="D2541">
        <f>IF(Skills!C7=1,60+Inputs!$B$25+Inputs!$B$29,IF(Skills!C7=2,90+Inputs!$B$26+Inputs!$B$29,IF(Skills!C7=3,120+Inputs!$B$27+Inputs!$B$29,MAX(0,(Inputs!$B$3-100)*3)+Inputs!$B$28+Inputs!$B$29)))</f>
        <v/>
      </c>
      <c r="E2541">
        <f>INDEX(FactorTable!$B$2:$Y$301, MATCH(ROUND(MIN(300,MAX(1,D2541)),0), FactorTable!$A$2:$A$301,0), Skills!M7+1)</f>
        <v/>
      </c>
      <c r="F2541">
        <f>IF(Skills!N7=TRUE,(Skills!L7/10)*(E2541/1000),Skills!L7/10)+Skills!O7</f>
        <v/>
      </c>
      <c r="G2541">
        <f>Calc!G7</f>
        <v/>
      </c>
      <c r="H2541">
        <f>Calc!H7</f>
        <v/>
      </c>
      <c r="I2541">
        <f>IF(Skills!X7&lt;&gt;"",1+(Skills!X7/10)*(Z2537/1000)/100,1)</f>
        <v/>
      </c>
      <c r="J2541">
        <f>((Inputs!$B$6*(1+Inputs!$B$7/100))+(((Inputs!$B$12*(1+Inputs!$B$13/100))-(Inputs!$B$12*(1+Inputs!$B$13/100)))+0.25*(Inputs!$B$14-Inputs!$B$14))*(1+Inputs!$B$7/100))*(F2541/100)</f>
        <v/>
      </c>
      <c r="K2541">
        <f>J2541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2541)</f>
        <v/>
      </c>
      <c r="L2541">
        <f>K2541*(MIN(Inputs!$B$22+(F2556-Calc!F22),(Inputs!$B$23+(IF(ArtifactsInput!$M$15,CHOOSE(ArtifactsInput!$N$15+1,25,30,35,40,45,50)/100*(Inputs!$B$11-Inputs!$B$11),0))))/100+(Inputs!$B$23+(IF(ArtifactsInput!$M$15,CHOOSE(ArtifactsInput!$N$15+1,25,30,35,40,45,50)/100*(Inputs!$B$11-Inputs!$B$11),0)))/100)/2</f>
        <v/>
      </c>
      <c r="M2541">
        <f>L2541*(1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1">
        <f>L2541*(1-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1">
        <f>(1-Summary!$B$11)*S2541+Summary!$B$11*U2541</f>
        <v/>
      </c>
      <c r="P2541">
        <f>IF(B2575=0,0,O2541/B2575)</f>
        <v/>
      </c>
      <c r="Q2541">
        <f>IFERROR(1/(IF(Inputs!$B$38="pvp",15,MAX(0.1,Skills!E7-IF(Skills!F7=TRUE,Inputs!$B$32,0)))*(1-IF(AND(ArtifactsInput!$M$27,Inputs!$B$4="Chapter Hunt"),CHOOSE(ArtifactsInput!$N$27+1,20,24,28,32,36,40),0)/100)),0)</f>
        <v/>
      </c>
      <c r="R2541">
        <f>IF(AND(Inputs!$B$38&lt;&gt;"pvp",Inputs!$B$43&gt;0),IF(MAX(0,Inputs!$B$43-B2572)&lt;=0,0,(INT(MAX(0,Inputs!$B$43-B2572)/(IF(Inputs!$B$38="pvp",15,MAX(0.1,Skills!E7-IF(Skills!F7=TRUE,Inputs!$B$32,0)))*(1-IF(AND(ArtifactsInput!$M$27,Inputs!$B$4="Chapter Hunt"),CHOOSE(ArtifactsInput!$N$27+1,20,24,28,32,36,40),0)/100)))+1)),0)</f>
        <v/>
      </c>
      <c r="S2541">
        <f>IF(C2541,(H2541*N2541*IF(AND(Inputs!$B$38&lt;&gt;"pvp",Inputs!$B$43&gt;0),((Skills!G7*((R2541-1)*IF(Skills!H7&gt;0,Skills!I7/Skills!H7,1)+IF(Skills!H7&gt;0,MIN(Skills!I7,MAX(0,MAX(0,Inputs!$B$43-B2572)-((R2541-1)*(IF(Inputs!$B$38="pvp",15,MAX(0.1,Skills!E7-IF(Skills!F7=TRUE,Inputs!$B$32,0)))*(1-IF(AND(ArtifactsInput!$M$27,Inputs!$B$4="Chapter Hunt"),CHOOSE(ArtifactsInput!$N$27+1,20,24,28,32,36,40),0)/100)))))/Skills!H7,1)))/Inputs!$B$43),G2541*Q2541)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2541*(1-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2541*(1-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1">
        <f>IF(C2541,(H2541*N2541*IF(AND(Inputs!$B$38&lt;&gt;"pvp",Inputs!$B$43&gt;0),((Skills!G7*((R2541-1)*IF(Skills!H7&gt;0,Skills!I7/Skills!H7,1)+IF(Skills!H7&gt;0,MIN(Skills!I7,MAX(0,MAX(0,Inputs!$B$43-B2572)-((R2541-1)*(IF(Inputs!$B$38="pvp",15,MAX(0.1,Skills!E7-IF(Skills!F7=TRUE,Inputs!$B$32,0)))*(1-IF(AND(ArtifactsInput!$M$27,Inputs!$B$4="Chapter Hunt"),CHOOSE(ArtifactsInput!$N$27+1,20,24,28,32,36,40),0)/100)))))/Skills!H7,1)))/Inputs!$B$43),G2541*Q2541)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2">
      <c r="A2542">
        <f>Skills!A8</f>
        <v/>
      </c>
      <c r="B2542">
        <f>Skills!B8</f>
        <v/>
      </c>
      <c r="C2542">
        <f>TRUE</f>
        <v/>
      </c>
      <c r="D2542">
        <f>IF(Skills!C8=1,60+Inputs!$B$25+Inputs!$B$29,IF(Skills!C8=2,90+Inputs!$B$26+Inputs!$B$29,IF(Skills!C8=3,120+Inputs!$B$27+Inputs!$B$29,MAX(0,(Inputs!$B$3-100)*3)+Inputs!$B$28+Inputs!$B$29)))</f>
        <v/>
      </c>
      <c r="E2542">
        <f>INDEX(FactorTable!$B$2:$Y$301, MATCH(ROUND(MIN(300,MAX(1,D2542)),0), FactorTable!$A$2:$A$301,0), Skills!M8+1)</f>
        <v/>
      </c>
      <c r="F2542">
        <f>IF(Skills!N8=TRUE,(Skills!L8/10)*(E2542/1000),Skills!L8/10)+Skills!O8</f>
        <v/>
      </c>
      <c r="G2542">
        <f>Calc!G8</f>
        <v/>
      </c>
      <c r="H2542">
        <f>Calc!H8</f>
        <v/>
      </c>
      <c r="I2542">
        <f>IF(Skills!X8&lt;&gt;"",1+(Skills!X8/10)*(Z2537/1000)/100,1)</f>
        <v/>
      </c>
      <c r="J2542">
        <f>((Inputs!$B$6*(1+Inputs!$B$7/100))+(((Inputs!$B$12*(1+Inputs!$B$13/100))-(Inputs!$B$12*(1+Inputs!$B$13/100)))+0.25*(Inputs!$B$14-Inputs!$B$14))*(1+Inputs!$B$7/100))*(F2542/100)</f>
        <v/>
      </c>
      <c r="K2542">
        <f>J2542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2542)</f>
        <v/>
      </c>
      <c r="L2542">
        <f>K2542*(MIN(Inputs!$B$22+(F2556-Calc!F22),(Inputs!$B$23+(IF(ArtifactsInput!$M$15,CHOOSE(ArtifactsInput!$N$15+1,25,30,35,40,45,50)/100*(Inputs!$B$11-Inputs!$B$11),0))))/100+(Inputs!$B$23+(IF(ArtifactsInput!$M$15,CHOOSE(ArtifactsInput!$N$15+1,25,30,35,40,45,50)/100*(Inputs!$B$11-Inputs!$B$11),0)))/100)/2</f>
        <v/>
      </c>
      <c r="M2542">
        <f>L2542*(1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2">
        <f>L2542*(1-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2542*(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2">
        <f>(1-Summary!$B$11)*S2542+Summary!$B$11*U2542</f>
        <v/>
      </c>
      <c r="P2542">
        <f>IF(B2575=0,0,O2542/B2575)</f>
        <v/>
      </c>
      <c r="Q2542">
        <f>IFERROR(1/(IF(Inputs!$B$38="pvp",15,MAX(0.1,Skills!E8-IF(Skills!F8=TRUE,Inputs!$B$32,0)))*(1-IF(AND(ArtifactsInput!$M$27,Inputs!$B$4="Chapter Hunt"),CHOOSE(ArtifactsInput!$N$27+1,20,24,28,32,36,40),0)/100)),0)</f>
        <v/>
      </c>
      <c r="R2542">
        <f>IF(AND(Inputs!$B$38&lt;&gt;"pvp",Inputs!$B$43&gt;0),IF(MAX(0,Inputs!$B$43-B2572)&lt;=0,0,(INT(MAX(0,Inputs!$B$43-B2572)/(IF(Inputs!$B$38="pvp",15,MAX(0.1,Skills!E8-IF(Skills!F8=TRUE,Inputs!$B$32,0)))*(1-IF(AND(ArtifactsInput!$M$27,Inputs!$B$4="Chapter Hunt"),CHOOSE(ArtifactsInput!$N$27+1,20,24,28,32,36,40),0)/100)))+1)),0)</f>
        <v/>
      </c>
      <c r="S2542">
        <f>IF(C2542,(H2542*N2542*IF(AND(Inputs!$B$38&lt;&gt;"pvp",Inputs!$B$43&gt;0),((Skills!G8*((R2542-1)*IF(Skills!H8&gt;0,Skills!I8/Skills!H8,1)+IF(Skills!H8&gt;0,MIN(Skills!I8,MAX(0,MAX(0,Inputs!$B$43-B2572)-((R2542-1)*(IF(Inputs!$B$38="pvp",15,MAX(0.1,Skills!E8-IF(Skills!F8=TRUE,Inputs!$B$32,0)))*(1-IF(AND(ArtifactsInput!$M$27,Inputs!$B$4="Chapter Hunt"),CHOOSE(ArtifactsInput!$N$27+1,20,24,28,32,36,40),0)/100)))))/Skills!H8,1)))/Inputs!$B$43),G2542*Q2542)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2542*(1-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2542*(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2542*(1-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2542*(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2">
        <f>IF(C2542,(H2542*N2542*IF(AND(Inputs!$B$38&lt;&gt;"pvp",Inputs!$B$43&gt;0),((Skills!G8*((R2542-1)*IF(Skills!H8&gt;0,Skills!I8/Skills!H8,1)+IF(Skills!H8&gt;0,MIN(Skills!I8,MAX(0,MAX(0,Inputs!$B$43-B2572)-((R2542-1)*(IF(Inputs!$B$38="pvp",15,MAX(0.1,Skills!E8-IF(Skills!F8=TRUE,Inputs!$B$32,0)))*(1-IF(AND(ArtifactsInput!$M$27,Inputs!$B$4="Chapter Hunt"),CHOOSE(ArtifactsInput!$N$27+1,20,24,28,32,36,40),0)/100)))))/Skills!H8,1)))/Inputs!$B$43),G2542*Q2542)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3">
      <c r="A2543">
        <f>Skills!A9</f>
        <v/>
      </c>
      <c r="B2543">
        <f>Skills!B9</f>
        <v/>
      </c>
      <c r="C2543">
        <f>Inputs!$B$3&gt;=103</f>
        <v/>
      </c>
      <c r="D2543">
        <f>IF(Skills!C9=1,60+Inputs!$B$25+Inputs!$B$29,IF(Skills!C9=2,90+Inputs!$B$26+Inputs!$B$29,IF(Skills!C9=3,120+Inputs!$B$27+Inputs!$B$29,MAX(0,(Inputs!$B$3-100)*3)+Inputs!$B$28+Inputs!$B$29)))</f>
        <v/>
      </c>
      <c r="E2543">
        <f>INDEX(FactorTable!$B$2:$Y$301, MATCH(ROUND(MIN(300,MAX(1,D2543)),0), FactorTable!$A$2:$A$301,0), Skills!M9+1)</f>
        <v/>
      </c>
      <c r="F2543">
        <f>IF(Skills!N9=TRUE,(Skills!L9/10)*(E2543/1000),Skills!L9/10)+Skills!O9</f>
        <v/>
      </c>
      <c r="G2543">
        <f>Calc!G9</f>
        <v/>
      </c>
      <c r="H2543">
        <f>Calc!H9</f>
        <v/>
      </c>
      <c r="I2543">
        <f>IF(Skills!X9&lt;&gt;"",1+(Skills!X9/10)*(Z2537/1000)/100,1)</f>
        <v/>
      </c>
      <c r="J2543">
        <f>((Inputs!$B$6*(1+Inputs!$B$7/100))+(((Inputs!$B$12*(1+Inputs!$B$13/100))-(Inputs!$B$12*(1+Inputs!$B$13/100)))+0.25*(Inputs!$B$14-Inputs!$B$14))*(1+Inputs!$B$7/100))*(F2543/100)</f>
        <v/>
      </c>
      <c r="K2543">
        <f>J2543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2543)</f>
        <v/>
      </c>
      <c r="L2543">
        <f>K2543*(MIN(Inputs!$B$22+(F2556-Calc!F22),(Inputs!$B$23+(IF(ArtifactsInput!$M$15,CHOOSE(ArtifactsInput!$N$15+1,25,30,35,40,45,50)/100*(Inputs!$B$11-Inputs!$B$11),0))))/100+(Inputs!$B$23+(IF(ArtifactsInput!$M$15,CHOOSE(ArtifactsInput!$N$15+1,25,30,35,40,45,50)/100*(Inputs!$B$11-Inputs!$B$11),0)))/100)/2</f>
        <v/>
      </c>
      <c r="M2543">
        <f>L2543*(1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3">
        <f>L2543*(1-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2543*(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3">
        <f>(1-Summary!$B$11)*S2543+Summary!$B$11*U2543</f>
        <v/>
      </c>
      <c r="P2543">
        <f>IF(B2575=0,0,O2543/B2575)</f>
        <v/>
      </c>
      <c r="Q2543">
        <f>IFERROR(1/(IF(Inputs!$B$38="pvp",15,MAX(0.1,Skills!E9-IF(Skills!F7=TRUE,Inputs!$B$32,0)))*(1-IF(AND(ArtifactsInput!$M$27,Inputs!$B$4="Chapter Hunt"),CHOOSE(ArtifactsInput!$N$27+1,20,24,28,32,36,40),0)/100)),0)</f>
        <v/>
      </c>
      <c r="R2543">
        <f>IF(AND(Inputs!$B$38&lt;&gt;"pvp",Inputs!$B$43&gt;0),IF(MAX(0,Inputs!$B$43-B2572)&lt;=0,0,(INT(MAX(0,Inputs!$B$43-B2572)/(IF(Inputs!$B$38="pvp",15,MAX(0.1,Skills!E9-IF(Skills!F7=TRUE,Inputs!$B$32,0)))*(1-IF(AND(ArtifactsInput!$M$27,Inputs!$B$4="Chapter Hunt"),CHOOSE(ArtifactsInput!$N$27+1,20,24,28,32,36,40),0)/100)))+1)),0)</f>
        <v/>
      </c>
      <c r="S2543">
        <f>IF(C2543,(H2543*N2543*IF(AND(Inputs!$B$38&lt;&gt;"pvp",Inputs!$B$43&gt;0),((Skills!G9*((R2543-1)*IF(Skills!H9&gt;0,Skills!I9/Skills!H9,1)+IF(Skills!H9&gt;0,MIN(Skills!I9,MAX(0,MAX(0,Inputs!$B$43-B2572)-((R2543-1)*(IF(Inputs!$B$38="pvp",15,MAX(0.1,Skills!E9-IF(Skills!F7=TRUE,Inputs!$B$32,0)))*(1-IF(AND(ArtifactsInput!$M$27,Inputs!$B$4="Chapter Hunt"),CHOOSE(ArtifactsInput!$N$27+1,20,24,28,32,36,40),0)/100)))))/Skills!H9,1)))/Inputs!$B$43),G2543*Q2543)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2543*(1-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2543*(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2543*(1-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2543*(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3">
        <f>IF(C2543,(H2543*N2543*IF(AND(Inputs!$B$38&lt;&gt;"pvp",Inputs!$B$43&gt;0),((Skills!G9*((R2543-1)*IF(Skills!H9&gt;0,Skills!I9/Skills!H9,1)+IF(Skills!H9&gt;0,MIN(Skills!I9,MAX(0,MAX(0,Inputs!$B$43-B2572)-((R2543-1)*(IF(Inputs!$B$38="pvp",15,MAX(0.1,Skills!E9-IF(Skills!F7=TRUE,Inputs!$B$32,0)))*(1-IF(AND(ArtifactsInput!$M$27,Inputs!$B$4="Chapter Hunt"),CHOOSE(ArtifactsInput!$N$27+1,20,24,28,32,36,40),0)/100)))))/Skills!H9,1)))/Inputs!$B$43),G2543*Q2543)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4">
      <c r="A2544">
        <f>Skills!A10</f>
        <v/>
      </c>
      <c r="B2544">
        <f>Skills!B10</f>
        <v/>
      </c>
      <c r="C2544">
        <f>TRUE</f>
        <v/>
      </c>
      <c r="D2544">
        <f>IF(Skills!C10=1,60+Inputs!$B$25+Inputs!$B$29,IF(Skills!C10=2,90+Inputs!$B$26+Inputs!$B$29,IF(Skills!C10=3,120+Inputs!$B$27+Inputs!$B$29,MAX(0,(Inputs!$B$3-100)*3)+Inputs!$B$28+Inputs!$B$29)))</f>
        <v/>
      </c>
      <c r="E2544">
        <f>INDEX(FactorTable!$B$2:$Y$301, MATCH(ROUND(MIN(300,MAX(1,D2544)),0), FactorTable!$A$2:$A$301,0), Skills!M10+1)</f>
        <v/>
      </c>
      <c r="F2544">
        <f>IF(Skills!N10=TRUE,(Skills!L10/10)*(E2544/1000),Skills!L10/10)+Skills!O10</f>
        <v/>
      </c>
      <c r="G2544">
        <f>Calc!G10</f>
        <v/>
      </c>
      <c r="H2544">
        <f>Calc!H10</f>
        <v/>
      </c>
      <c r="I2544">
        <f>IF(Skills!X10&lt;&gt;"",1+(Skills!X10/10)*(Z2537/1000)/100,1)</f>
        <v/>
      </c>
      <c r="J2544">
        <f>((Inputs!$B$6*(1+Inputs!$B$7/100))+(((Inputs!$B$12*(1+Inputs!$B$13/100))-(Inputs!$B$12*(1+Inputs!$B$13/100)))+0.25*(Inputs!$B$14-Inputs!$B$14))*(1+Inputs!$B$7/100))*(F2544/100)</f>
        <v/>
      </c>
      <c r="K2544">
        <f>J2544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2544)</f>
        <v/>
      </c>
      <c r="L2544">
        <f>K2544*(MIN(Inputs!$B$22+(F2556-Calc!F22),(Inputs!$B$23+(IF(ArtifactsInput!$M$15,CHOOSE(ArtifactsInput!$N$15+1,25,30,35,40,45,50)/100*(Inputs!$B$11-Inputs!$B$11),0))))/100+(Inputs!$B$23+(IF(ArtifactsInput!$M$15,CHOOSE(ArtifactsInput!$N$15+1,25,30,35,40,45,50)/100*(Inputs!$B$11-Inputs!$B$11),0)))/100)/2</f>
        <v/>
      </c>
      <c r="M2544">
        <f>L2544*(1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4">
        <f>L2544*(1-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2544*(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4">
        <f>(1-Summary!$B$11)*S2544+Summary!$B$11*U2544</f>
        <v/>
      </c>
      <c r="P2544">
        <f>IF(B2575=0,0,O2544/B2575)</f>
        <v/>
      </c>
      <c r="Q2544">
        <f>IFERROR(1/(IF(Inputs!$B$38="pvp",15,MAX(0.1,Skills!E10-IF(Skills!F10=TRUE,Inputs!$B$32,0)))*(1-IF(AND(ArtifactsInput!$M$27,Inputs!$B$4="Chapter Hunt"),CHOOSE(ArtifactsInput!$N$27+1,20,24,28,32,36,40),0)/100)),0)</f>
        <v/>
      </c>
      <c r="R2544">
        <f>IF(AND(Inputs!$B$38&lt;&gt;"pvp",Inputs!$B$43&gt;0),IF(MAX(0,Inputs!$B$43-B2572)&lt;=0,0,(INT(MAX(0,Inputs!$B$43-B2572)/(IF(Inputs!$B$38="pvp",15,MAX(0.1,Skills!E10-IF(Skills!F10=TRUE,Inputs!$B$32,0)))*(1-IF(AND(ArtifactsInput!$M$27,Inputs!$B$4="Chapter Hunt"),CHOOSE(ArtifactsInput!$N$27+1,20,24,28,32,36,40),0)/100)))+1)),0)</f>
        <v/>
      </c>
      <c r="S2544">
        <f>IF(C2544,(H2544*N2544*IF(AND(Inputs!$B$38&lt;&gt;"pvp",Inputs!$B$43&gt;0),((Skills!G10*((R2544-1)*IF(Skills!H10&gt;0,Skills!I10/Skills!H10,1)+IF(Skills!H10&gt;0,MIN(Skills!I10,MAX(0,MAX(0,Inputs!$B$43-B2572)-((R2544-1)*(IF(Inputs!$B$38="pvp",15,MAX(0.1,Skills!E10-IF(Skills!F10=TRUE,Inputs!$B$32,0)))*(1-IF(AND(ArtifactsInput!$M$27,Inputs!$B$4="Chapter Hunt"),CHOOSE(ArtifactsInput!$N$27+1,20,24,28,32,36,40),0)/100)))))/Skills!H10,1)))/Inputs!$B$43),G2544*Q2544)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2544*(1-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2544*(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2544*(1-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2544*(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4">
        <f>IF(C2544,(H2544*N2544*IF(AND(Inputs!$B$38&lt;&gt;"pvp",Inputs!$B$43&gt;0),((Skills!G10*((R2544-1)*IF(Skills!H10&gt;0,Skills!I10/Skills!H10,1)+IF(Skills!H10&gt;0,MIN(Skills!I10,MAX(0,MAX(0,Inputs!$B$43-B2572)-((R2544-1)*(IF(Inputs!$B$38="pvp",15,MAX(0.1,Skills!E10-IF(Skills!F10=TRUE,Inputs!$B$32,0)))*(1-IF(AND(ArtifactsInput!$M$27,Inputs!$B$4="Chapter Hunt"),CHOOSE(ArtifactsInput!$N$27+1,20,24,28,32,36,40),0)/100)))))/Skills!H10,1)))/Inputs!$B$43),G2544*Q2544)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5">
      <c r="A2545">
        <f>Skills!A11</f>
        <v/>
      </c>
      <c r="B2545">
        <f>Skills!B11</f>
        <v/>
      </c>
      <c r="C2545">
        <f>TRUE</f>
        <v/>
      </c>
      <c r="D2545">
        <f>IF(Skills!C11=1,60+Inputs!$B$25+Inputs!$B$29,IF(Skills!C11=2,90+Inputs!$B$26+Inputs!$B$29,IF(Skills!C11=3,120+Inputs!$B$27+Inputs!$B$29,MAX(0,(Inputs!$B$3-100)*3)+Inputs!$B$28+Inputs!$B$29)))</f>
        <v/>
      </c>
      <c r="E2545">
        <f>INDEX(FactorTable!$B$2:$Y$301, MATCH(ROUND(MIN(300,MAX(1,D2545)),0), FactorTable!$A$2:$A$301,0), Skills!M11+1)</f>
        <v/>
      </c>
      <c r="F2545">
        <f>IF(Skills!N11=TRUE,(Skills!L11/10)*(E2545/1000),Skills!L11/10)+Skills!O11</f>
        <v/>
      </c>
      <c r="G2545">
        <f>Calc!G11</f>
        <v/>
      </c>
      <c r="H2545">
        <f>Calc!H11</f>
        <v/>
      </c>
      <c r="I2545">
        <f>IF(Skills!X11&lt;&gt;"",1+(Skills!X11/10)*(Z2537/1000)/100,1)</f>
        <v/>
      </c>
      <c r="J2545" t="inlineStr"/>
      <c r="K2545" t="inlineStr"/>
      <c r="L2545" t="inlineStr"/>
      <c r="M2545" t="inlineStr"/>
      <c r="N2545" t="inlineStr"/>
      <c r="O2545">
        <f>(1-Summary!$B$11)*S2545+Summary!$B$11*U2545</f>
        <v/>
      </c>
      <c r="P2545">
        <f>IF(B2575=0,0,O2545/B2575)</f>
        <v/>
      </c>
      <c r="Q2545">
        <f>IFERROR(1/(IF(Inputs!$B$38="pvp",15,MAX(0.1,Skills!E11-IF(Skills!F11=TRUE,Inputs!$B$32,0)))*(1-IF(AND(ArtifactsInput!$M$27,Inputs!$B$4="Chapter Hunt"),CHOOSE(ArtifactsInput!$N$27+1,20,24,28,32,36,40),0)/100)),0)</f>
        <v/>
      </c>
      <c r="R2545" t="n">
        <v>0</v>
      </c>
      <c r="S2545" t="n">
        <v>0</v>
      </c>
      <c r="U2545" t="n">
        <v>0</v>
      </c>
    </row>
    <row r="2546">
      <c r="A2546">
        <f>Skills!A12</f>
        <v/>
      </c>
      <c r="B2546">
        <f>Skills!B12</f>
        <v/>
      </c>
      <c r="C2546">
        <f>TRUE</f>
        <v/>
      </c>
      <c r="D2546">
        <f>IF(Skills!C12=1,60+Inputs!$B$25+Inputs!$B$29,IF(Skills!C12=2,90+Inputs!$B$26+Inputs!$B$29,IF(Skills!C12=3,120+Inputs!$B$27+Inputs!$B$29,MAX(0,(Inputs!$B$3-100)*3)+Inputs!$B$28+Inputs!$B$29)))</f>
        <v/>
      </c>
      <c r="E2546">
        <f>INDEX(FactorTable!$B$2:$Y$301, MATCH(ROUND(MIN(300,MAX(1,D2546)),0), FactorTable!$A$2:$A$301,0), Skills!M12+1)</f>
        <v/>
      </c>
      <c r="F2546">
        <f>IF(Skills!N12=TRUE,(Skills!L12/10)*(E2546/1000),Skills!L12/10)+Skills!O12</f>
        <v/>
      </c>
      <c r="G2546">
        <f>Calc!G12</f>
        <v/>
      </c>
      <c r="H2546">
        <f>Calc!H12</f>
        <v/>
      </c>
      <c r="I2546">
        <f>IF(Skills!X12&lt;&gt;"",1+(Skills!X12/10)*(Z2537/1000)/100,1)</f>
        <v/>
      </c>
      <c r="J2546" t="inlineStr"/>
      <c r="K2546" t="inlineStr"/>
      <c r="L2546" t="inlineStr"/>
      <c r="M2546" t="inlineStr"/>
      <c r="N2546" t="inlineStr"/>
      <c r="O2546">
        <f>(1-Summary!$B$11)*S2546+Summary!$B$11*U2546</f>
        <v/>
      </c>
      <c r="P2546">
        <f>IF(B2575=0,0,O2546/B2575)</f>
        <v/>
      </c>
      <c r="Q2546">
        <f>IFERROR(1/(IF(Inputs!$B$38="pvp",15,MAX(0.1,Skills!E12-IF(Skills!F12=TRUE,Inputs!$B$32,0)))*(1-IF(AND(ArtifactsInput!$M$27,Inputs!$B$4="Chapter Hunt"),CHOOSE(ArtifactsInput!$N$27+1,20,24,28,32,36,40),0)/100)),0)</f>
        <v/>
      </c>
      <c r="R2546" t="n">
        <v>0</v>
      </c>
      <c r="S2546" t="n">
        <v>0</v>
      </c>
      <c r="U2546" t="n">
        <v>0</v>
      </c>
    </row>
    <row r="2547">
      <c r="A2547">
        <f>Skills!A13</f>
        <v/>
      </c>
      <c r="B2547">
        <f>Skills!B13</f>
        <v/>
      </c>
      <c r="C2547">
        <f>Inputs!$B$3&gt;=105</f>
        <v/>
      </c>
      <c r="D2547">
        <f>IF(Skills!C13=1,60+Inputs!$B$25+Inputs!$B$29,IF(Skills!C13=2,90+Inputs!$B$26+Inputs!$B$29,IF(Skills!C13=3,120+Inputs!$B$27+Inputs!$B$29,MAX(0,(Inputs!$B$3-100)*3)+Inputs!$B$28+Inputs!$B$29)))</f>
        <v/>
      </c>
      <c r="E2547">
        <f>INDEX(FactorTable!$B$2:$Y$301, MATCH(ROUND(MIN(300,MAX(1,D2547)),0), FactorTable!$A$2:$A$301,0), Skills!M13+1)</f>
        <v/>
      </c>
      <c r="F2547">
        <f>IF(Skills!N13=TRUE,(Skills!L13/10)*(E2547/1000),Skills!L13/10)+Skills!O13</f>
        <v/>
      </c>
      <c r="G2547">
        <f>Calc!G13</f>
        <v/>
      </c>
      <c r="H2547">
        <f>Calc!H13</f>
        <v/>
      </c>
      <c r="I2547">
        <f>IF(Skills!X13&lt;&gt;"",1+(Skills!X13/10)*(Z2537/1000)/100,1)</f>
        <v/>
      </c>
      <c r="J2547">
        <f>((Inputs!$B$6*(1+Inputs!$B$7/100))+(((Inputs!$B$12*(1+Inputs!$B$13/100))-(Inputs!$B$12*(1+Inputs!$B$13/100)))+0.25*(Inputs!$B$14-Inputs!$B$14))*(1+Inputs!$B$7/100))*(F2547/100)</f>
        <v/>
      </c>
      <c r="K2547">
        <f>J2547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2547)</f>
        <v/>
      </c>
      <c r="L2547">
        <f>K2547*(MIN(Inputs!$B$22+(F2556-Calc!F22),(Inputs!$B$23+(IF(ArtifactsInput!$M$15,CHOOSE(ArtifactsInput!$N$15+1,25,30,35,40,45,50)/100*(Inputs!$B$11-Inputs!$B$11),0))))/100+(Inputs!$B$23+(IF(ArtifactsInput!$M$15,CHOOSE(ArtifactsInput!$N$15+1,25,30,35,40,45,50)/100*(Inputs!$B$11-Inputs!$B$11),0)))/100)/2</f>
        <v/>
      </c>
      <c r="M2547">
        <f>L2547*(1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7">
        <f>L2547*(1-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2547*(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7">
        <f>(1-Summary!$B$11)*S2547+Summary!$B$11*U2547</f>
        <v/>
      </c>
      <c r="P2547">
        <f>IF(B2575=0,0,O2547/B2575)</f>
        <v/>
      </c>
      <c r="Q2547">
        <f>IFERROR(1/(IF(Inputs!$B$38="pvp",15,MAX(0.1,Skills!E13-IF(Skills!F13=TRUE,Inputs!$B$32,0)))*(1-IF(AND(ArtifactsInput!$M$27,Inputs!$B$4="Chapter Hunt"),CHOOSE(ArtifactsInput!$N$27+1,20,24,28,32,36,40),0)/100)),0)</f>
        <v/>
      </c>
      <c r="R2547">
        <f>IF(AND(Inputs!$B$38&lt;&gt;"pvp",Inputs!$B$43&gt;0),IF(MAX(0,Inputs!$B$43-B2572)&lt;=0,0,(INT(MAX(0,Inputs!$B$43-B2572)/(IF(Inputs!$B$38="pvp",15,MAX(0.1,Skills!E13-IF(Skills!F13=TRUE,Inputs!$B$32,0)))*(1-IF(AND(ArtifactsInput!$M$27,Inputs!$B$4="Chapter Hunt"),CHOOSE(ArtifactsInput!$N$27+1,20,24,28,32,36,40),0)/100)))+1)),0)</f>
        <v/>
      </c>
      <c r="S2547">
        <f>IF(C2547,(H2547*N2547*IF(AND(Inputs!$B$38&lt;&gt;"pvp",Inputs!$B$43&gt;0),((Skills!G13*((R2547-1)*IF(Skills!H13&gt;0,Skills!I13/Skills!H13,1)+IF(Skills!H13&gt;0,MIN(Skills!I13,MAX(0,MAX(0,Inputs!$B$43-B2572)-((R2547-1)*(IF(Inputs!$B$38="pvp",15,MAX(0.1,Skills!E13-IF(Skills!F13=TRUE,Inputs!$B$32,0)))*(1-IF(AND(ArtifactsInput!$M$27,Inputs!$B$4="Chapter Hunt"),CHOOSE(ArtifactsInput!$N$27+1,20,24,28,32,36,40),0)/100)))))/Skills!H13,1)))/Inputs!$B$43),G2547*Q2547)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2547*(1-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2547*(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2547*(1-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2547*(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7">
        <f>IF(C2547,(H2547*N2547*IF(AND(Inputs!$B$38&lt;&gt;"pvp",Inputs!$B$43&gt;0),((Skills!G13*((R2547-1)*IF(Skills!H13&gt;0,Skills!I13/Skills!H13,1)+IF(Skills!H13&gt;0,MIN(Skills!I13,MAX(0,MAX(0,Inputs!$B$43-B2572)-((R2547-1)*(IF(Inputs!$B$38="pvp",15,MAX(0.1,Skills!E13-IF(Skills!F13=TRUE,Inputs!$B$32,0)))*(1-IF(AND(ArtifactsInput!$M$27,Inputs!$B$4="Chapter Hunt"),CHOOSE(ArtifactsInput!$N$27+1,20,24,28,32,36,40),0)/100)))))/Skills!H13,1)))/Inputs!$B$43),G2547*Q2547)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8">
      <c r="A2548">
        <f>Skills!A14</f>
        <v/>
      </c>
      <c r="B2548">
        <f>Skills!B14</f>
        <v/>
      </c>
      <c r="C2548">
        <f>Inputs!$B$3&gt;=113</f>
        <v/>
      </c>
      <c r="D2548">
        <f>IF(Skills!C14=1,60+Inputs!$B$25+Inputs!$B$29,IF(Skills!C14=2,90+Inputs!$B$26+Inputs!$B$29,IF(Skills!C14=3,120+Inputs!$B$27+Inputs!$B$29,MAX(0,(Inputs!$B$3-100)*3)+Inputs!$B$28+Inputs!$B$29)))</f>
        <v/>
      </c>
      <c r="E2548">
        <f>INDEX(FactorTable!$B$2:$Y$301, MATCH(ROUND(MIN(300,MAX(1,D2548)),0), FactorTable!$A$2:$A$301,0), Skills!M14+1)</f>
        <v/>
      </c>
      <c r="F2548">
        <f>IF(Skills!N14=TRUE,(Skills!L14/10)*(E2548/1000),Skills!L14/10)+Skills!O14</f>
        <v/>
      </c>
      <c r="G2548">
        <f>Calc!G14</f>
        <v/>
      </c>
      <c r="H2548">
        <f>Calc!H14</f>
        <v/>
      </c>
      <c r="I2548">
        <f>IF(Skills!X14&lt;&gt;"",1+(Skills!X14/10)*(Z2537/1000)/100,1)</f>
        <v/>
      </c>
      <c r="J2548">
        <f>((Inputs!$B$6*(1+Inputs!$B$7/100))+(((Inputs!$B$12*(1+Inputs!$B$13/100))-(Inputs!$B$12*(1+Inputs!$B$13/100)))+0.25*(Inputs!$B$14-Inputs!$B$14))*(1+Inputs!$B$7/100))*(F2548/100)</f>
        <v/>
      </c>
      <c r="K2548">
        <f>J2548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2548)</f>
        <v/>
      </c>
      <c r="L2548">
        <f>K2548*(MIN(Inputs!$B$22+(F2556-Calc!F22),(Inputs!$B$23+(IF(ArtifactsInput!$M$15,CHOOSE(ArtifactsInput!$N$15+1,25,30,35,40,45,50)/100*(Inputs!$B$11-Inputs!$B$11),0))))/100+(Inputs!$B$23+(IF(ArtifactsInput!$M$15,CHOOSE(ArtifactsInput!$N$15+1,25,30,35,40,45,50)/100*(Inputs!$B$11-Inputs!$B$11),0)))/100)/2</f>
        <v/>
      </c>
      <c r="M2548">
        <f>L2548*(1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8">
        <f>L2548*(1-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2548*(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8">
        <f>(1-Summary!$B$11)*S2548+Summary!$B$11*U2548</f>
        <v/>
      </c>
      <c r="P2548">
        <f>IF(B2575=0,0,O2548/B2575)</f>
        <v/>
      </c>
      <c r="Q2548">
        <f>IFERROR(1/(IF(Inputs!$B$38="pvp",15,MAX(0.1,Skills!E14-IF(Skills!F14=TRUE,Inputs!$B$32,0)))*(1-IF(AND(ArtifactsInput!$M$27,Inputs!$B$4="Chapter Hunt"),CHOOSE(ArtifactsInput!$N$27+1,20,24,28,32,36,40),0)/100)),0)</f>
        <v/>
      </c>
      <c r="R2548" t="n">
        <v>0</v>
      </c>
      <c r="S2548">
        <f>IF(C2548,((H2548*B2571)/(1+Skills!H14*H2548*B2571)*N2548)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2548*(1-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2548*(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2548*(1-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2548*(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8">
        <f>IF(C2548,((H2548*B2571)/(1+Skills!H14*H2548*B2571)*N2548)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9">
      <c r="A2549">
        <f>Skills!A15</f>
        <v/>
      </c>
      <c r="B2549">
        <f>Skills!B15</f>
        <v/>
      </c>
      <c r="C2549">
        <f>Inputs!$B$3&gt;=107</f>
        <v/>
      </c>
      <c r="D2549">
        <f>IF(Skills!C15=1,60+Inputs!$B$25+Inputs!$B$29,IF(Skills!C15=2,90+Inputs!$B$26+Inputs!$B$29,IF(Skills!C15=3,120+Inputs!$B$27+Inputs!$B$29,MAX(0,(Inputs!$B$3-100)*3)+Inputs!$B$28+Inputs!$B$29)))</f>
        <v/>
      </c>
      <c r="E2549">
        <f>INDEX(FactorTable!$B$2:$Y$301, MATCH(ROUND(MIN(300,MAX(1,D2549)),0), FactorTable!$A$2:$A$301,0), Skills!M15+1)</f>
        <v/>
      </c>
      <c r="F2549">
        <f>IF(Skills!N15=TRUE,(Skills!L15/10)*(E2549/1000),Skills!L15/10)+Skills!O15</f>
        <v/>
      </c>
      <c r="G2549">
        <f>Calc!G15</f>
        <v/>
      </c>
      <c r="H2549">
        <f>Calc!H15</f>
        <v/>
      </c>
      <c r="I2549">
        <f>IF(Skills!X15&lt;&gt;"",1+(Skills!X15/10)*(Z2537/1000)/100,1)</f>
        <v/>
      </c>
      <c r="J2549">
        <f>((Inputs!$B$6*(1+Inputs!$B$7/100))+(((Inputs!$B$12*(1+Inputs!$B$13/100))-(Inputs!$B$12*(1+Inputs!$B$13/100)))+0.25*(Inputs!$B$14-Inputs!$B$14))*(1+Inputs!$B$7/100))*(F2549/100)</f>
        <v/>
      </c>
      <c r="K2549">
        <f>J2549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2549)</f>
        <v/>
      </c>
      <c r="L2549">
        <f>K2549*(MIN(Inputs!$B$22+(F2556-Calc!F22),(Inputs!$B$23+(IF(ArtifactsInput!$M$15,CHOOSE(ArtifactsInput!$N$15+1,25,30,35,40,45,50)/100*(Inputs!$B$11-Inputs!$B$11),0))))/100+(Inputs!$B$23+(IF(ArtifactsInput!$M$15,CHOOSE(ArtifactsInput!$N$15+1,25,30,35,40,45,50)/100*(Inputs!$B$11-Inputs!$B$11),0)))/100)/2</f>
        <v/>
      </c>
      <c r="M2549">
        <f>L2549*(1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9">
        <f>L2549*(1-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2549*(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9">
        <f>(1-Summary!$B$11)*S2549+Summary!$B$11*U2549</f>
        <v/>
      </c>
      <c r="P2549">
        <f>IF(B2575=0,0,O2549/B2575)</f>
        <v/>
      </c>
      <c r="Q2549">
        <f>IFERROR(1/(IF(Inputs!$B$38="pvp",15,MAX(0.1,Skills!E15-IF(Skills!F15=TRUE,Inputs!$B$32,0)))*(1-IF(AND(ArtifactsInput!$M$27,Inputs!$B$4="Chapter Hunt"),CHOOSE(ArtifactsInput!$N$27+1,20,24,28,32,36,40),0)/100)),0)</f>
        <v/>
      </c>
      <c r="R2549">
        <f>IF(AND(Inputs!$B$38&lt;&gt;"pvp",Inputs!$B$43&gt;0),IF(MAX(0,Inputs!$B$43-B2572)&lt;=0,0,(INT(MAX(0,Inputs!$B$43-B2572)/(IF(Inputs!$B$38="pvp",15,MAX(0.1,Skills!E15-IF(Skills!F15=TRUE,Inputs!$B$32,0)))*(1-IF(AND(ArtifactsInput!$M$27,Inputs!$B$4="Chapter Hunt"),CHOOSE(ArtifactsInput!$N$27+1,20,24,28,32,36,40),0)/100)))+1)),0)</f>
        <v/>
      </c>
      <c r="S2549">
        <f>IF(C2549,(H2549*N2549*IF(AND(Inputs!$B$38&lt;&gt;"pvp",Inputs!$B$43&gt;0),((Skills!G15*((R2549-1)*IF(Skills!H15&gt;0,Skills!I15/Skills!H15,1)+IF(Skills!H15&gt;0,MIN(Skills!I15,MAX(0,MAX(0,Inputs!$B$43-B2572)-((R2549-1)*(IF(Inputs!$B$38="pvp",15,MAX(0.1,Skills!E15-IF(Skills!F15=TRUE,Inputs!$B$32,0)))*(1-IF(AND(ArtifactsInput!$M$27,Inputs!$B$4="Chapter Hunt"),CHOOSE(ArtifactsInput!$N$27+1,20,24,28,32,36,40),0)/100)))))/Skills!H15,1)))/Inputs!$B$43),G2549*Q2549)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2549*(1-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2549*(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2549*(1-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2549*(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9">
        <f>IF(C2549,(H2549*N2549*IF(AND(Inputs!$B$38&lt;&gt;"pvp",Inputs!$B$43&gt;0),((Skills!G15*((R2549-1)*IF(Skills!H15&gt;0,Skills!I15/Skills!H15,1)+IF(Skills!H15&gt;0,MIN(Skills!I15,MAX(0,MAX(0,Inputs!$B$43-B2572)-((R2549-1)*(IF(Inputs!$B$38="pvp",15,MAX(0.1,Skills!E15-IF(Skills!F15=TRUE,Inputs!$B$32,0)))*(1-IF(AND(ArtifactsInput!$M$27,Inputs!$B$4="Chapter Hunt"),CHOOSE(ArtifactsInput!$N$27+1,20,24,28,32,36,40),0)/100)))))/Skills!H15,1)))/Inputs!$B$43),G2549*Q2549)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0">
      <c r="A2550">
        <f>Skills!A16</f>
        <v/>
      </c>
      <c r="B2550">
        <f>Skills!B16</f>
        <v/>
      </c>
      <c r="C2550">
        <f>Inputs!$B$3&gt;=107</f>
        <v/>
      </c>
      <c r="D2550">
        <f>IF(Skills!C16=1,60+Inputs!$B$25+Inputs!$B$29,IF(Skills!C16=2,90+Inputs!$B$26+Inputs!$B$29,IF(Skills!C16=3,120+Inputs!$B$27+Inputs!$B$29,MAX(0,(Inputs!$B$3-100)*3)+Inputs!$B$28+Inputs!$B$29)))</f>
        <v/>
      </c>
      <c r="E2550">
        <f>INDEX(FactorTable!$B$2:$Y$301, MATCH(ROUND(MIN(300,MAX(1,D2550)),0), FactorTable!$A$2:$A$301,0), Skills!M16+1)</f>
        <v/>
      </c>
      <c r="F2550">
        <f>IF(Skills!N16=TRUE,(Skills!L16/10)*(E2550/1000),Skills!L16/10)+Skills!O16</f>
        <v/>
      </c>
      <c r="G2550">
        <f>Calc!G16</f>
        <v/>
      </c>
      <c r="H2550">
        <f>Calc!H16</f>
        <v/>
      </c>
      <c r="I2550">
        <f>IF(Skills!X16&lt;&gt;"",1+(Skills!X16/10)*(Z2537/1000)/100,1)</f>
        <v/>
      </c>
      <c r="J2550">
        <f>((Inputs!$B$6*(1+Inputs!$B$7/100))+(((Inputs!$B$12*(1+Inputs!$B$13/100))-(Inputs!$B$12*(1+Inputs!$B$13/100)))+0.25*(Inputs!$B$14-Inputs!$B$14))*(1+Inputs!$B$7/100))*(F2550/100)</f>
        <v/>
      </c>
      <c r="K2550">
        <f>J2550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2550)</f>
        <v/>
      </c>
      <c r="L2550">
        <f>K2550*(MIN(Inputs!$B$22+(F2556-Calc!F22),(Inputs!$B$23+(IF(ArtifactsInput!$M$15,CHOOSE(ArtifactsInput!$N$15+1,25,30,35,40,45,50)/100*(Inputs!$B$11-Inputs!$B$11),0))))/100+(Inputs!$B$23+(IF(ArtifactsInput!$M$15,CHOOSE(ArtifactsInput!$N$15+1,25,30,35,40,45,50)/100*(Inputs!$B$11-Inputs!$B$11),0)))/100)/2</f>
        <v/>
      </c>
      <c r="M2550">
        <f>L2550*(1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0">
        <f>L2550*(1-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2550*(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0">
        <f>(1-Summary!$B$11)*S2550+Summary!$B$11*U2550</f>
        <v/>
      </c>
      <c r="P2550">
        <f>IF(B2575=0,0,O2550/B2575)</f>
        <v/>
      </c>
      <c r="Q2550">
        <f>IFERROR(1/(IF(Inputs!$B$38="pvp",15,MAX(0.1,Skills!E16-IF(Skills!F16=TRUE,Inputs!$B$32,0)))*(1-IF(AND(ArtifactsInput!$M$27,Inputs!$B$4="Chapter Hunt"),CHOOSE(ArtifactsInput!$N$27+1,20,24,28,32,36,40),0)/100)),0)</f>
        <v/>
      </c>
      <c r="R2550">
        <f>IF(AND(Inputs!$B$38&lt;&gt;"pvp",Inputs!$B$43&gt;0),IF(MAX(0,Inputs!$B$43-B2572)&lt;=0,0,(INT(MAX(0,Inputs!$B$43-B2572)/(IF(Inputs!$B$38="pvp",15,MAX(0.1,Skills!E16-IF(Skills!F16=TRUE,Inputs!$B$32,0)))*(1-IF(AND(ArtifactsInput!$M$27,Inputs!$B$4="Chapter Hunt"),CHOOSE(ArtifactsInput!$N$27+1,20,24,28,32,36,40),0)/100)))+1)),0)</f>
        <v/>
      </c>
      <c r="S2550">
        <f>IF(C2550,(H2550*N2550*IF(AND(Inputs!$B$38&lt;&gt;"pvp",Inputs!$B$43&gt;0),((Skills!G16*((R2550-1)*IF(Skills!H16&gt;0,Skills!I16/Skills!H16,1)+IF(Skills!H16&gt;0,MIN(Skills!I16,MAX(0,MAX(0,Inputs!$B$43-B2572)-((R2550-1)*(IF(Inputs!$B$38="pvp",15,MAX(0.1,Skills!E16-IF(Skills!F16=TRUE,Inputs!$B$32,0)))*(1-IF(AND(ArtifactsInput!$M$27,Inputs!$B$4="Chapter Hunt"),CHOOSE(ArtifactsInput!$N$27+1,20,24,28,32,36,40),0)/100)))))/Skills!H16,1)))/Inputs!$B$43),G2550*Q2550)*(1+IF(Inputs!$B$3&gt;=126,0.05*(B2570+Q2547+(H2548*B2571)/(1+Skills!H14*H2548*B2571)+Q2558)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2550*(1-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2550*(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2550*(1-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2550*(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0">
        <f>IF(C2550,(H2550*N2550*IF(AND(Inputs!$B$38&lt;&gt;"pvp",Inputs!$B$43&gt;0),((Skills!G16*((R2550-1)*IF(Skills!H16&gt;0,Skills!I16/Skills!H16,1)+IF(Skills!H16&gt;0,MIN(Skills!I16,MAX(0,MAX(0,Inputs!$B$43-B2572)-((R2550-1)*(IF(Inputs!$B$38="pvp",15,MAX(0.1,Skills!E16-IF(Skills!F16=TRUE,Inputs!$B$32,0)))*(1-IF(AND(ArtifactsInput!$M$27,Inputs!$B$4="Chapter Hunt"),CHOOSE(ArtifactsInput!$N$27+1,20,24,28,32,36,40),0)/100)))))/Skills!H16,1)))/Inputs!$B$43),G2550*Q2550)*(1+IF(Inputs!$B$3&gt;=126,0.05*(B2570+Q2547+(H2548*B2571)/(1+Skills!H14*H2548*B2571)+Q2558)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1">
      <c r="A2551">
        <f>Skills!A17</f>
        <v/>
      </c>
      <c r="B2551">
        <f>Skills!B17</f>
        <v/>
      </c>
      <c r="C2551">
        <f>TRUE</f>
        <v/>
      </c>
      <c r="D2551">
        <f>IF(Skills!C17=1,60+Inputs!$B$25+Inputs!$B$29,IF(Skills!C17=2,90+Inputs!$B$26+Inputs!$B$29,IF(Skills!C17=3,120+Inputs!$B$27+Inputs!$B$29,MAX(0,(Inputs!$B$3-100)*3)+Inputs!$B$28+Inputs!$B$29)))</f>
        <v/>
      </c>
      <c r="E2551">
        <f>INDEX(FactorTable!$B$2:$Y$301, MATCH(ROUND(MIN(300,MAX(1,D2551)),0), FactorTable!$A$2:$A$301,0), Skills!M17+1)</f>
        <v/>
      </c>
      <c r="F2551">
        <f>IF(Skills!N17=TRUE,(Skills!L17/10)*(E2551/1000),Skills!L17/10)+Skills!O17</f>
        <v/>
      </c>
      <c r="G2551">
        <f>Calc!G17</f>
        <v/>
      </c>
      <c r="H2551">
        <f>Calc!H17</f>
        <v/>
      </c>
      <c r="I2551">
        <f>IF(Skills!X17&lt;&gt;"",1+(Skills!X17/10)*(Z2537/1000)/100,1)</f>
        <v/>
      </c>
      <c r="J2551" t="inlineStr"/>
      <c r="K2551" t="inlineStr"/>
      <c r="L2551" t="inlineStr"/>
      <c r="M2551" t="inlineStr"/>
      <c r="N2551" t="inlineStr"/>
      <c r="O2551">
        <f>(1-Summary!$B$11)*S2551+Summary!$B$11*U2551</f>
        <v/>
      </c>
      <c r="P2551">
        <f>IF(B2575=0,0,O2551/B2575)</f>
        <v/>
      </c>
      <c r="Q2551">
        <f>IFERROR(1/(IF(Inputs!$B$38="pvp",15,MAX(0.1,Skills!E17-IF(Skills!F17=TRUE,Inputs!$B$32,0)))*(1-IF(AND(ArtifactsInput!$M$27,Inputs!$B$4="Chapter Hunt"),CHOOSE(ArtifactsInput!$N$27+1,20,24,28,32,36,40),0)/100)),0)</f>
        <v/>
      </c>
      <c r="R2551">
        <f>IF(AND(Inputs!$B$38&lt;&gt;"pvp",Inputs!$B$43&gt;0),IF(Inputs!$B$43&lt;=0,0,(INT(Inputs!$B$43/(IF(Inputs!$B$38="pvp",15,MAX(0.1,Skills!E17-IF(Skills!F17=TRUE,Inputs!$B$32,0)))*(1-IF(AND(ArtifactsInput!$M$27,Inputs!$B$4="Chapter Hunt"),CHOOSE(ArtifactsInput!$N$27+1,20,24,28,32,36,40),0)/100)))+1)),0)</f>
        <v/>
      </c>
      <c r="S2551" t="n">
        <v>0</v>
      </c>
      <c r="U2551" t="n">
        <v>0</v>
      </c>
    </row>
    <row r="2552">
      <c r="A2552">
        <f>Skills!A18</f>
        <v/>
      </c>
      <c r="B2552">
        <f>Skills!B18</f>
        <v/>
      </c>
      <c r="C2552">
        <f>TRUE</f>
        <v/>
      </c>
      <c r="D2552">
        <f>IF(Skills!C18=1,60+Inputs!$B$25+Inputs!$B$29,IF(Skills!C18=2,90+Inputs!$B$26+Inputs!$B$29,IF(Skills!C18=3,120+Inputs!$B$27+Inputs!$B$29,MAX(0,(Inputs!$B$3-100)*3)+Inputs!$B$28+Inputs!$B$29)))</f>
        <v/>
      </c>
      <c r="E2552">
        <f>INDEX(FactorTable!$B$2:$Y$301, MATCH(ROUND(MIN(300,MAX(1,D2552)),0), FactorTable!$A$2:$A$301,0), Skills!M18+1)</f>
        <v/>
      </c>
      <c r="F2552">
        <f>IF(Skills!N18=TRUE,(Skills!L18/10)*(E2552/1000),Skills!L18/10)+Skills!O18</f>
        <v/>
      </c>
      <c r="G2552">
        <f>Calc!G18</f>
        <v/>
      </c>
      <c r="H2552">
        <f>Calc!H18</f>
        <v/>
      </c>
      <c r="I2552">
        <f>IF(Skills!X18&lt;&gt;"",1+(Skills!X18/10)*(Z2537/1000)/100,1)</f>
        <v/>
      </c>
      <c r="J2552" t="inlineStr"/>
      <c r="K2552" t="inlineStr"/>
      <c r="L2552" t="inlineStr"/>
      <c r="M2552" t="inlineStr"/>
      <c r="N2552" t="inlineStr"/>
      <c r="O2552">
        <f>(1-Summary!$B$11)*S2552+Summary!$B$11*U2552</f>
        <v/>
      </c>
      <c r="P2552">
        <f>IF(B2575=0,0,O2552/B2575)</f>
        <v/>
      </c>
      <c r="Q2552">
        <f>IFERROR(1/(IF(Inputs!$B$38="pvp",15,MAX(0.1,Skills!E18-IF(Skills!F18=TRUE,Inputs!$B$32,0)))*(1-IF(AND(ArtifactsInput!$M$27,Inputs!$B$4="Chapter Hunt"),CHOOSE(ArtifactsInput!$N$27+1,20,24,28,32,36,40),0)/100)),0)</f>
        <v/>
      </c>
      <c r="R2552">
        <f>IF(AND(Inputs!$B$38&lt;&gt;"pvp",Inputs!$B$43&gt;0),IF(Inputs!$B$43&lt;=0,0,(INT(Inputs!$B$43/(IF(Inputs!$B$38="pvp",15,MAX(0.1,Skills!E18-IF(Skills!F18=TRUE,Inputs!$B$32,0)))*(1-IF(AND(ArtifactsInput!$M$27,Inputs!$B$4="Chapter Hunt"),CHOOSE(ArtifactsInput!$N$27+1,20,24,28,32,36,40),0)/100)))+1)),0)</f>
        <v/>
      </c>
      <c r="S2552" t="n">
        <v>0</v>
      </c>
      <c r="U2552" t="n">
        <v>0</v>
      </c>
    </row>
    <row r="2553">
      <c r="A2553">
        <f>Skills!A19</f>
        <v/>
      </c>
      <c r="B2553">
        <f>Skills!B19</f>
        <v/>
      </c>
      <c r="C2553">
        <f>Inputs!$B$3&gt;=110</f>
        <v/>
      </c>
      <c r="D2553">
        <f>IF(Skills!C19=1,60+Inputs!$B$25+Inputs!$B$29,IF(Skills!C19=2,90+Inputs!$B$26+Inputs!$B$29,IF(Skills!C19=3,120+Inputs!$B$27+Inputs!$B$29,MAX(0,(Inputs!$B$3-100)*3)+Inputs!$B$28+Inputs!$B$29)))</f>
        <v/>
      </c>
      <c r="E2553">
        <f>INDEX(FactorTable!$B$2:$Y$301, MATCH(ROUND(MIN(300,MAX(1,D2553)),0), FactorTable!$A$2:$A$301,0), Skills!M19+1)</f>
        <v/>
      </c>
      <c r="F2553">
        <f>IF(Skills!N19=TRUE,(Skills!L19/10)*(E2553/1000),Skills!L19/10)+Skills!O19</f>
        <v/>
      </c>
      <c r="G2553">
        <f>Calc!G19</f>
        <v/>
      </c>
      <c r="H2553">
        <f>Calc!H19</f>
        <v/>
      </c>
      <c r="I2553">
        <f>IF(Skills!X19&lt;&gt;"",1+(Skills!X19/10)*(Z2537/1000)/100,1)</f>
        <v/>
      </c>
      <c r="J2553" t="inlineStr"/>
      <c r="K2553" t="inlineStr"/>
      <c r="L2553" t="inlineStr"/>
      <c r="M2553" t="inlineStr"/>
      <c r="N2553" t="inlineStr"/>
      <c r="O2553">
        <f>(1-Summary!$B$11)*S2553+Summary!$B$11*U2553</f>
        <v/>
      </c>
      <c r="P2553">
        <f>IF(B2575=0,0,O2553/B2575)</f>
        <v/>
      </c>
      <c r="Q2553">
        <f>IFERROR(1/(IF(Inputs!$B$38="pvp",15,MAX(0.1,Skills!E19-IF(Skills!F19=TRUE,Inputs!$B$32,0)))*(1-IF(AND(ArtifactsInput!$M$27,Inputs!$B$4="Chapter Hunt"),CHOOSE(ArtifactsInput!$N$27+1,20,24,28,32,36,40),0)/100)),0)</f>
        <v/>
      </c>
      <c r="R2553">
        <f>IF(AND(Inputs!$B$38&lt;&gt;"pvp",Inputs!$B$43&gt;0),IF(Inputs!$B$43&lt;=0,0,(INT(Inputs!$B$43/(IF(Inputs!$B$38="pvp",15,MAX(0.1,Skills!E19-IF(Skills!F19=TRUE,Inputs!$B$32,0)))*(1-IF(AND(ArtifactsInput!$M$27,Inputs!$B$4="Chapter Hunt"),CHOOSE(ArtifactsInput!$N$27+1,20,24,28,32,36,40),0)/100)))+1)),0)</f>
        <v/>
      </c>
      <c r="S2553" t="n">
        <v>0</v>
      </c>
      <c r="U2553" t="n">
        <v>0</v>
      </c>
    </row>
    <row r="2554">
      <c r="A2554">
        <f>Skills!A20</f>
        <v/>
      </c>
      <c r="B2554">
        <f>Skills!B20</f>
        <v/>
      </c>
      <c r="C2554">
        <f>TRUE</f>
        <v/>
      </c>
      <c r="D2554">
        <f>IF(Skills!C20=1,60+Inputs!$B$25+Inputs!$B$29,IF(Skills!C20=2,90+Inputs!$B$26+Inputs!$B$29,IF(Skills!C20=3,120+Inputs!$B$27+Inputs!$B$29,MAX(0,(Inputs!$B$3-100)*3)+Inputs!$B$28+Inputs!$B$29)))</f>
        <v/>
      </c>
      <c r="E2554">
        <f>INDEX(FactorTable!$B$2:$Y$301, MATCH(ROUND(MIN(300,MAX(1,D2554)),0), FactorTable!$A$2:$A$301,0), Skills!M20+1)</f>
        <v/>
      </c>
      <c r="F2554">
        <f>IF(Skills!N20=TRUE,(Skills!L20/10)*(E2554/1000),Skills!L20/10)+Skills!O20</f>
        <v/>
      </c>
      <c r="G2554">
        <f>Calc!G20</f>
        <v/>
      </c>
      <c r="H2554">
        <f>Calc!H20</f>
        <v/>
      </c>
      <c r="I2554">
        <f>IF(Skills!X20&lt;&gt;"",1+(Skills!X20/10)*(Z2537/1000)/100,1)</f>
        <v/>
      </c>
      <c r="J2554" t="inlineStr"/>
      <c r="K2554" t="inlineStr"/>
      <c r="L2554" t="inlineStr"/>
      <c r="M2554" t="inlineStr"/>
      <c r="N2554" t="inlineStr"/>
      <c r="O2554">
        <f>(1-Summary!$B$11)*S2554+Summary!$B$11*U2554</f>
        <v/>
      </c>
      <c r="P2554">
        <f>IF(B2575=0,0,O2554/B2575)</f>
        <v/>
      </c>
      <c r="Q2554">
        <f>IFERROR(1/(IF(Inputs!$B$38="pvp",15,MAX(0.1,Skills!E20-IF(Skills!F20=TRUE,Inputs!$B$32,0)))*(1-IF(AND(ArtifactsInput!$M$27,Inputs!$B$4="Chapter Hunt"),CHOOSE(ArtifactsInput!$N$27+1,20,24,28,32,36,40),0)/100)),0)</f>
        <v/>
      </c>
      <c r="R2554" t="n">
        <v>0</v>
      </c>
      <c r="S2554" t="n">
        <v>0</v>
      </c>
      <c r="U2554" t="n">
        <v>0</v>
      </c>
    </row>
    <row r="2555">
      <c r="A2555">
        <f>Skills!A21</f>
        <v/>
      </c>
      <c r="B2555">
        <f>Skills!B21</f>
        <v/>
      </c>
      <c r="C2555">
        <f>TRUE</f>
        <v/>
      </c>
      <c r="D2555">
        <f>IF(Skills!C21=1,60+Inputs!$B$25+Inputs!$B$29,IF(Skills!C21=2,90+Inputs!$B$26+Inputs!$B$29,IF(Skills!C21=3,120+Inputs!$B$27+Inputs!$B$29,MAX(0,(Inputs!$B$3-100)*3)+Inputs!$B$28+Inputs!$B$29)))</f>
        <v/>
      </c>
      <c r="E2555">
        <f>INDEX(FactorTable!$B$2:$Y$301, MATCH(ROUND(MIN(300,MAX(1,D2555)),0), FactorTable!$A$2:$A$301,0), Skills!M21+1)</f>
        <v/>
      </c>
      <c r="F2555">
        <f>IF(Skills!N21=TRUE,(Skills!L21/10)*(E2555/1000),Skills!L21/10)+Skills!O21</f>
        <v/>
      </c>
      <c r="G2555">
        <f>Calc!G21</f>
        <v/>
      </c>
      <c r="H2555">
        <f>Calc!H21</f>
        <v/>
      </c>
      <c r="I2555">
        <f>IF(Skills!X21&lt;&gt;"",1+(Skills!X21/10)*(Z2537/1000)/100,1)</f>
        <v/>
      </c>
      <c r="J2555" t="inlineStr"/>
      <c r="K2555" t="inlineStr"/>
      <c r="L2555" t="inlineStr"/>
      <c r="M2555" t="inlineStr"/>
      <c r="N2555" t="inlineStr"/>
      <c r="O2555">
        <f>(1-Summary!$B$11)*S2555+Summary!$B$11*U2555</f>
        <v/>
      </c>
      <c r="P2555">
        <f>IF(B2575=0,0,O2555/B2575)</f>
        <v/>
      </c>
      <c r="Q2555">
        <f>IFERROR(1/(IF(Inputs!$B$38="pvp",15,MAX(0.1,Skills!E21-IF(Skills!F21=TRUE,Inputs!$B$32,0)))*(1-IF(AND(ArtifactsInput!$M$27,Inputs!$B$4="Chapter Hunt"),CHOOSE(ArtifactsInput!$N$27+1,20,24,28,32,36,40),0)/100)),0)</f>
        <v/>
      </c>
      <c r="R2555" t="n">
        <v>0</v>
      </c>
      <c r="S2555" t="n">
        <v>0</v>
      </c>
      <c r="U2555" t="n">
        <v>0</v>
      </c>
    </row>
    <row r="2556">
      <c r="A2556">
        <f>Skills!A22</f>
        <v/>
      </c>
      <c r="B2556">
        <f>Skills!B22</f>
        <v/>
      </c>
      <c r="C2556">
        <f>TRUE</f>
        <v/>
      </c>
      <c r="D2556">
        <f>IF(Skills!C22=1,60+Inputs!$B$25+Inputs!$B$29,IF(Skills!C22=2,90+Inputs!$B$26+Inputs!$B$29,IF(Skills!C22=3,120+Inputs!$B$27+Inputs!$B$29,MAX(0,(Inputs!$B$3-100)*3)+Inputs!$B$28+Inputs!$B$29)))</f>
        <v/>
      </c>
      <c r="E2556">
        <f>INDEX(FactorTable!$B$2:$Y$301, MATCH(ROUND(MIN(300,MAX(1,D2556)),0), FactorTable!$A$2:$A$301,0), Skills!M22+1)</f>
        <v/>
      </c>
      <c r="F2556">
        <f>IF(Skills!N22=TRUE,(Skills!L22/10)*(E2556/1000),Skills!L22/10)+Skills!O22</f>
        <v/>
      </c>
      <c r="G2556">
        <f>Calc!G22</f>
        <v/>
      </c>
      <c r="H2556">
        <f>Calc!H22</f>
        <v/>
      </c>
      <c r="I2556">
        <f>IF(Skills!X22&lt;&gt;"",1+(Skills!X22/10)*(Z2537/1000)/100,1)</f>
        <v/>
      </c>
      <c r="J2556" t="inlineStr"/>
      <c r="K2556" t="inlineStr"/>
      <c r="L2556" t="inlineStr"/>
      <c r="M2556" t="inlineStr"/>
      <c r="N2556" t="inlineStr"/>
      <c r="O2556">
        <f>(1-Summary!$B$11)*S2556+Summary!$B$11*U2556</f>
        <v/>
      </c>
      <c r="P2556">
        <f>IF(B2575=0,0,O2556/B2575)</f>
        <v/>
      </c>
      <c r="Q2556">
        <f>IFERROR(1/(IF(Inputs!$B$38="pvp",15,MAX(0.1,Skills!E22-IF(Skills!F22=TRUE,Inputs!$B$32,0)))*(1-IF(AND(ArtifactsInput!$M$27,Inputs!$B$4="Chapter Hunt"),CHOOSE(ArtifactsInput!$N$27+1,20,24,28,32,36,40),0)/100)),0)</f>
        <v/>
      </c>
      <c r="R2556" t="n">
        <v>0</v>
      </c>
      <c r="S2556" t="n">
        <v>0</v>
      </c>
      <c r="U2556" t="n">
        <v>0</v>
      </c>
    </row>
    <row r="2557">
      <c r="A2557">
        <f>Skills!A23</f>
        <v/>
      </c>
      <c r="B2557">
        <f>Skills!B23</f>
        <v/>
      </c>
      <c r="C2557">
        <f>TRUE</f>
        <v/>
      </c>
      <c r="D2557">
        <f>IF(Skills!C23=1,60+Inputs!$B$25+Inputs!$B$29,IF(Skills!C23=2,90+Inputs!$B$26+Inputs!$B$29,IF(Skills!C23=3,120+Inputs!$B$27+Inputs!$B$29,MAX(0,(Inputs!$B$3-100)*3)+Inputs!$B$28+Inputs!$B$29)))</f>
        <v/>
      </c>
      <c r="E2557">
        <f>INDEX(FactorTable!$B$2:$Y$301, MATCH(ROUND(MIN(300,MAX(1,D2557)),0), FactorTable!$A$2:$A$301,0), Skills!M23+1)</f>
        <v/>
      </c>
      <c r="F2557">
        <f>IF(Skills!N23=TRUE,(Skills!L23/10)*(E2557/1000),Skills!L23/10)+Skills!O23</f>
        <v/>
      </c>
      <c r="G2557">
        <f>Calc!G23</f>
        <v/>
      </c>
      <c r="H2557">
        <f>Calc!H23</f>
        <v/>
      </c>
      <c r="I2557">
        <f>IF(Skills!X23&lt;&gt;"",1+(Skills!X23/10)*(Z2537/1000)/100,1)</f>
        <v/>
      </c>
      <c r="J2557" t="inlineStr"/>
      <c r="K2557" t="inlineStr"/>
      <c r="L2557" t="inlineStr"/>
      <c r="M2557" t="inlineStr"/>
      <c r="N2557" t="inlineStr"/>
      <c r="O2557">
        <f>(1-Summary!$B$11)*S2557+Summary!$B$11*U2557</f>
        <v/>
      </c>
      <c r="P2557">
        <f>IF(B2575=0,0,O2557/B2575)</f>
        <v/>
      </c>
      <c r="Q2557">
        <f>IFERROR(1/(IF(Inputs!$B$38="pvp",15,MAX(0.1,Skills!E23-IF(Skills!F23=TRUE,Inputs!$B$32,0)))*(1-IF(AND(ArtifactsInput!$M$27,Inputs!$B$4="Chapter Hunt"),CHOOSE(ArtifactsInput!$N$27+1,20,24,28,32,36,40),0)/100)),0)</f>
        <v/>
      </c>
      <c r="R2557" t="n">
        <v>0</v>
      </c>
      <c r="S2557" t="n">
        <v>0</v>
      </c>
      <c r="U2557" t="n">
        <v>0</v>
      </c>
    </row>
    <row r="2558">
      <c r="A2558">
        <f>Skills!A24</f>
        <v/>
      </c>
      <c r="B2558">
        <f>Skills!B24</f>
        <v/>
      </c>
      <c r="C2558">
        <f>Inputs!$B$3&gt;=115</f>
        <v/>
      </c>
      <c r="D2558">
        <f>IF(Skills!C24=1,60+Inputs!$B$25+Inputs!$B$29,IF(Skills!C24=2,90+Inputs!$B$26+Inputs!$B$29,IF(Skills!C24=3,120+Inputs!$B$27+Inputs!$B$29,MAX(0,(Inputs!$B$3-100)*3)+Inputs!$B$28+Inputs!$B$29)))</f>
        <v/>
      </c>
      <c r="E2558">
        <f>INDEX(FactorTable!$B$2:$Y$301, MATCH(ROUND(MIN(300,MAX(1,D2558)),0), FactorTable!$A$2:$A$301,0), Skills!M24+1)</f>
        <v/>
      </c>
      <c r="F2558">
        <f>IF(Skills!N24=TRUE,(Skills!L24/10)*(E2558/1000),Skills!L24/10)+Skills!O24</f>
        <v/>
      </c>
      <c r="G2558">
        <f>Calc!G24</f>
        <v/>
      </c>
      <c r="H2558">
        <f>Calc!H24</f>
        <v/>
      </c>
      <c r="I2558">
        <f>IF(Skills!X24&lt;&gt;"",1+(Skills!X24/10)*(Z2537/1000)/100,1)</f>
        <v/>
      </c>
      <c r="J2558">
        <f>((Inputs!$B$6*(1+Inputs!$B$7/100))+(((Inputs!$B$12*(1+Inputs!$B$13/100))-(Inputs!$B$12*(1+Inputs!$B$13/100)))+0.25*(Inputs!$B$14-Inputs!$B$14))*(1+Inputs!$B$7/100))*(F2558/100)</f>
        <v/>
      </c>
      <c r="K2558">
        <f>J2558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2558)</f>
        <v/>
      </c>
      <c r="L2558">
        <f>K2558*(MIN(Inputs!$B$22+(F2556-Calc!F22),(Inputs!$B$23+(IF(ArtifactsInput!$M$15,CHOOSE(ArtifactsInput!$N$15+1,25,30,35,40,45,50)/100*(Inputs!$B$11-Inputs!$B$11),0))))/100+(Inputs!$B$23+(IF(ArtifactsInput!$M$15,CHOOSE(ArtifactsInput!$N$15+1,25,30,35,40,45,50)/100*(Inputs!$B$11-Inputs!$B$11),0)))/100)/2</f>
        <v/>
      </c>
      <c r="M2558">
        <f>L2558*(1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8">
        <f>L2558*(1-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2558*(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8">
        <f>(1-Summary!$B$11)*S2558+Summary!$B$11*U2558</f>
        <v/>
      </c>
      <c r="P2558">
        <f>IF(B2575=0,0,O2558/B2575)</f>
        <v/>
      </c>
      <c r="Q2558">
        <f>IFERROR(1/(IF(Inputs!$B$38="pvp",15,MAX(0.1,Skills!E24-IF(Skills!F24=TRUE,Inputs!$B$32,0)))*(1-IF(AND(ArtifactsInput!$M$27,Inputs!$B$4="Chapter Hunt"),CHOOSE(ArtifactsInput!$N$27+1,20,24,28,32,36,40),0)/100)),0)</f>
        <v/>
      </c>
      <c r="R2558">
        <f>IF(AND(Inputs!$B$38&lt;&gt;"pvp",Inputs!$B$43&gt;0),IF(MAX(0,Inputs!$B$43-B2572)&lt;=0,0,(INT(MAX(0,Inputs!$B$43-B2572)/(IF(Inputs!$B$38="pvp",15,MAX(0.1,Skills!E24-IF(Skills!F24=TRUE,Inputs!$B$32,0)))*(1-IF(AND(ArtifactsInput!$M$27,Inputs!$B$4="Chapter Hunt"),CHOOSE(ArtifactsInput!$N$27+1,20,24,28,32,36,40),0)/100)))+1)),0)</f>
        <v/>
      </c>
      <c r="S2558">
        <f>IF(C2558,(H2558*N2558*IF(AND(Inputs!$B$38&lt;&gt;"pvp",Inputs!$B$43&gt;0),((Skills!G24*((R2558-1)*IF(Skills!H24&gt;0,Skills!I24/Skills!H24,1)+IF(Skills!H24&gt;0,MIN(Skills!I24,MAX(0,MAX(0,Inputs!$B$43-B2572)-((R2558-1)*(IF(Inputs!$B$38="pvp",15,MAX(0.1,Skills!E24-IF(Skills!F24=TRUE,Inputs!$B$32,0)))*(1-IF(AND(ArtifactsInput!$M$27,Inputs!$B$4="Chapter Hunt"),CHOOSE(ArtifactsInput!$N$27+1,20,24,28,32,36,40),0)/100)))))/Skills!H24,1)))/Inputs!$B$43),G2558*Q2558)*(1+IF(Inputs!$B$3&gt;=130,0.2*(Skills!I16/Skills!E15+IF(Inputs!$B$3&gt;=126,0.05*(B2570+Q2547+(H2548*B2571)/(1+Skills!H14*H2548*B2571)+Q2558)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2558*(1-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2558*(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2558*(1-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2558*(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58">
        <f>IF(C2558,(H2558*N2558*IF(AND(Inputs!$B$38&lt;&gt;"pvp",Inputs!$B$43&gt;0),((Skills!G24*((R2558-1)*IF(Skills!H24&gt;0,Skills!I24/Skills!H24,1)+IF(Skills!H24&gt;0,MIN(Skills!I24,MAX(0,MAX(0,Inputs!$B$43-B2572)-((R2558-1)*(IF(Inputs!$B$38="pvp",15,MAX(0.1,Skills!E24-IF(Skills!F24=TRUE,Inputs!$B$32,0)))*(1-IF(AND(ArtifactsInput!$M$27,Inputs!$B$4="Chapter Hunt"),CHOOSE(ArtifactsInput!$N$27+1,20,24,28,32,36,40),0)/100)))))/Skills!H24,1)))/Inputs!$B$43),G2558*Q2558)*(1+IF(Inputs!$B$3&gt;=130,0.2*(Skills!I16/Skills!E15+IF(Inputs!$B$3&gt;=126,0.05*(B2570+Q2547+(H2548*B2571)/(1+Skills!H14*H2548*B2571)+Q2558)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9">
      <c r="A2559">
        <f>Skills!A25</f>
        <v/>
      </c>
      <c r="B2559">
        <f>Skills!B25</f>
        <v/>
      </c>
      <c r="C2559">
        <f>Inputs!$B$3&gt;=117</f>
        <v/>
      </c>
      <c r="D2559">
        <f>IF(Skills!C25=1,60+Inputs!$B$25+Inputs!$B$29,IF(Skills!C25=2,90+Inputs!$B$26+Inputs!$B$29,IF(Skills!C25=3,120+Inputs!$B$27+Inputs!$B$29,MAX(0,(Inputs!$B$3-100)*3)+Inputs!$B$28+Inputs!$B$29)))</f>
        <v/>
      </c>
      <c r="E2559">
        <f>INDEX(FactorTable!$B$2:$Y$301, MATCH(ROUND(MIN(300,MAX(1,D2559)),0), FactorTable!$A$2:$A$301,0), Skills!M25+1)</f>
        <v/>
      </c>
      <c r="F2559">
        <f>IF(Skills!N25=TRUE,(Skills!L25/10)*(E2559/1000),Skills!L25/10)+Skills!O25</f>
        <v/>
      </c>
      <c r="G2559">
        <f>Calc!G25</f>
        <v/>
      </c>
      <c r="H2559">
        <f>Calc!H25</f>
        <v/>
      </c>
      <c r="I2559">
        <f>IF(Skills!X25&lt;&gt;"",1+(Skills!X25/10)*(Z2537/1000)/100,1)</f>
        <v/>
      </c>
      <c r="J2559" t="inlineStr"/>
      <c r="K2559" t="inlineStr"/>
      <c r="L2559" t="inlineStr"/>
      <c r="M2559" t="inlineStr"/>
      <c r="N2559" t="inlineStr"/>
      <c r="O2559">
        <f>(1-Summary!$B$11)*S2559+Summary!$B$11*U2559</f>
        <v/>
      </c>
      <c r="P2559">
        <f>IF(B2575=0,0,O2559/B2575)</f>
        <v/>
      </c>
      <c r="Q2559">
        <f>IFERROR(1/(IF(Inputs!$B$38="pvp",15,MAX(0.1,Skills!E25-IF(Skills!F25=TRUE,Inputs!$B$32,0)))*(1-IF(AND(ArtifactsInput!$M$27,Inputs!$B$4="Chapter Hunt"),CHOOSE(ArtifactsInput!$N$27+1,20,24,28,32,36,40),0)/100)),0)</f>
        <v/>
      </c>
      <c r="R2559" t="n">
        <v>0</v>
      </c>
      <c r="S2559" t="n">
        <v>0</v>
      </c>
      <c r="U2559" t="n">
        <v>0</v>
      </c>
    </row>
    <row r="2560">
      <c r="A2560">
        <f>Skills!A26</f>
        <v/>
      </c>
      <c r="B2560">
        <f>Skills!B26</f>
        <v/>
      </c>
      <c r="C2560">
        <f>Inputs!$B$3&gt;=120</f>
        <v/>
      </c>
      <c r="D2560">
        <f>IF(Skills!C26=1,60+Inputs!$B$25+Inputs!$B$29,IF(Skills!C26=2,90+Inputs!$B$26+Inputs!$B$29,IF(Skills!C26=3,120+Inputs!$B$27+Inputs!$B$29,MAX(0,(Inputs!$B$3-100)*3)+Inputs!$B$28+Inputs!$B$29)))</f>
        <v/>
      </c>
      <c r="E2560">
        <f>INDEX(FactorTable!$B$2:$Y$301, MATCH(ROUND(MIN(300,MAX(1,D2560)),0), FactorTable!$A$2:$A$301,0), Skills!M26+1)</f>
        <v/>
      </c>
      <c r="F2560">
        <f>IF(Skills!N26=TRUE,(Skills!L26/10)*(E2560/1000),Skills!L26/10)+Skills!O26</f>
        <v/>
      </c>
      <c r="G2560">
        <f>Calc!G26</f>
        <v/>
      </c>
      <c r="H2560">
        <f>Calc!H26</f>
        <v/>
      </c>
      <c r="I2560">
        <f>IF(Skills!X26&lt;&gt;"",1+(Skills!X26/10)*(Z2537/1000)/100,1)</f>
        <v/>
      </c>
      <c r="J2560" t="inlineStr"/>
      <c r="K2560" t="inlineStr"/>
      <c r="L2560" t="inlineStr"/>
      <c r="M2560" t="inlineStr"/>
      <c r="N2560" t="inlineStr"/>
      <c r="O2560">
        <f>(1-Summary!$B$11)*S2560+Summary!$B$11*U2560</f>
        <v/>
      </c>
      <c r="P2560">
        <f>IF(B2575=0,0,O2560/B2575)</f>
        <v/>
      </c>
      <c r="Q2560">
        <f>IFERROR(1/(IF(Inputs!$B$38="pvp",15,MAX(0.1,Skills!E26-IF(Skills!F26=TRUE,Inputs!$B$32,0)))*(1-IF(AND(ArtifactsInput!$M$27,Inputs!$B$4="Chapter Hunt"),CHOOSE(ArtifactsInput!$N$27+1,20,24,28,32,36,40),0)/100)),0)</f>
        <v/>
      </c>
      <c r="R2560" t="n">
        <v>0</v>
      </c>
      <c r="S2560" t="n">
        <v>0</v>
      </c>
      <c r="U2560" t="n">
        <v>0</v>
      </c>
    </row>
    <row r="2561">
      <c r="A2561">
        <f>Skills!A27</f>
        <v/>
      </c>
      <c r="B2561">
        <f>Skills!B27</f>
        <v/>
      </c>
      <c r="C2561">
        <f>Inputs!$B$3&gt;=125</f>
        <v/>
      </c>
      <c r="D2561">
        <f>IF(Skills!C27=1,60+Inputs!$B$25+Inputs!$B$29,IF(Skills!C27=2,90+Inputs!$B$26+Inputs!$B$29,IF(Skills!C27=3,120+Inputs!$B$27+Inputs!$B$29,MAX(0,(Inputs!$B$3-100)*3)+Inputs!$B$28+Inputs!$B$29)))</f>
        <v/>
      </c>
      <c r="E2561">
        <f>INDEX(FactorTable!$B$2:$Y$301, MATCH(ROUND(MIN(300,MAX(1,D2561)),0), FactorTable!$A$2:$A$301,0), Skills!M27+1)</f>
        <v/>
      </c>
      <c r="F2561">
        <f>IF(Skills!N27=TRUE,(Skills!L27/10)*(E2561/1000),Skills!L27/10)+Skills!O27</f>
        <v/>
      </c>
      <c r="G2561">
        <f>Calc!G27</f>
        <v/>
      </c>
      <c r="H2561">
        <f>Calc!H27</f>
        <v/>
      </c>
      <c r="I2561">
        <f>IF(Skills!X27&lt;&gt;"",1+(Skills!X27/10)*(Z2537/1000)/100,1)</f>
        <v/>
      </c>
      <c r="J2561" t="inlineStr"/>
      <c r="K2561" t="inlineStr"/>
      <c r="L2561" t="inlineStr"/>
      <c r="M2561" t="inlineStr"/>
      <c r="N2561" t="inlineStr"/>
      <c r="O2561">
        <f>(1-Summary!$B$11)*S2561+Summary!$B$11*U2561</f>
        <v/>
      </c>
      <c r="P2561">
        <f>IF(B2575=0,0,O2561/B2575)</f>
        <v/>
      </c>
      <c r="Q2561">
        <f>IFERROR(1/(IF(Inputs!$B$38="pvp",15,MAX(0.1,Skills!E27-IF(Skills!F27=TRUE,Inputs!$B$32,0)))*(1-IF(AND(ArtifactsInput!$M$27,Inputs!$B$4="Chapter Hunt"),CHOOSE(ArtifactsInput!$N$27+1,20,24,28,32,36,40),0)/100)),0)</f>
        <v/>
      </c>
      <c r="R2561" t="n">
        <v>0</v>
      </c>
      <c r="S2561" t="n">
        <v>0</v>
      </c>
      <c r="U2561" t="n">
        <v>0</v>
      </c>
    </row>
    <row r="2562">
      <c r="A2562">
        <f>Skills!A28</f>
        <v/>
      </c>
      <c r="B2562">
        <f>Skills!B28</f>
        <v/>
      </c>
      <c r="C2562">
        <f>Inputs!$B$3&gt;=118</f>
        <v/>
      </c>
      <c r="D2562">
        <f>IF(Skills!C28=1,60+Inputs!$B$25+Inputs!$B$29,IF(Skills!C28=2,90+Inputs!$B$26+Inputs!$B$29,IF(Skills!C28=3,120+Inputs!$B$27+Inputs!$B$29,MAX(0,(Inputs!$B$3-100)*3)+Inputs!$B$28+Inputs!$B$29)))</f>
        <v/>
      </c>
      <c r="E2562">
        <f>INDEX(FactorTable!$B$2:$Y$301, MATCH(ROUND(MIN(300,MAX(1,D2562)),0), FactorTable!$A$2:$A$301,0), Skills!M28+1)</f>
        <v/>
      </c>
      <c r="F2562">
        <f>IF(Skills!N28=TRUE,(Skills!L28/10)*(E2562/1000),Skills!L28/10)+Skills!O28</f>
        <v/>
      </c>
      <c r="G2562">
        <f>Calc!G28</f>
        <v/>
      </c>
      <c r="H2562">
        <f>Calc!H28</f>
        <v/>
      </c>
      <c r="I2562">
        <f>IF(Skills!X28&lt;&gt;"",1+(Skills!X28/10)*(Z2537/1000)/100,1)</f>
        <v/>
      </c>
      <c r="J2562">
        <f>((Inputs!$B$6*(1+Inputs!$B$7/100))+(((Inputs!$B$12*(1+Inputs!$B$13/100))-(Inputs!$B$12*(1+Inputs!$B$13/100)))+0.25*(Inputs!$B$14-Inputs!$B$14))*(1+Inputs!$B$7/100))*(F2562/100)</f>
        <v/>
      </c>
      <c r="K2562">
        <f>J2562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2557/100)*(1+IF(Inputs!$B$3&gt;=120,F2560,0)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2561*5,0)))/100)*(B2564*B2565*B2566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2562)</f>
        <v/>
      </c>
      <c r="L2562">
        <f>K2562*(MIN(Inputs!$B$22+(F2556-Calc!F22),(Inputs!$B$23+(IF(ArtifactsInput!$M$15,CHOOSE(ArtifactsInput!$N$15+1,25,30,35,40,45,50)/100*(Inputs!$B$11-Inputs!$B$11),0))))/100+(Inputs!$B$23+(IF(ArtifactsInput!$M$15,CHOOSE(ArtifactsInput!$N$15+1,25,30,35,40,45,50)/100*(Inputs!$B$11-Inputs!$B$11),0)))/100)/2</f>
        <v/>
      </c>
      <c r="M2562">
        <f>L2562*(1+(Inputs!$B$10+(F2555-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2">
        <f>L2562*(1-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2562*(MIN((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2">
        <f>(1-Summary!$B$11)*S2562+Summary!$B$11*U2562</f>
        <v/>
      </c>
      <c r="P2562">
        <f>IF(B2575=0,0,O2562/B2575)</f>
        <v/>
      </c>
      <c r="Q2562">
        <f>IFERROR(1/(IF(Inputs!$B$38="pvp",15,MAX(0.1,Skills!E28-IF(Skills!F28=TRUE,Inputs!$B$32,0)))*(1-IF(AND(ArtifactsInput!$M$27,Inputs!$B$4="Chapter Hunt"),CHOOSE(ArtifactsInput!$N$27+1,20,24,28,32,36,40),0)/100)),0)</f>
        <v/>
      </c>
      <c r="R2562">
        <f>IF(AND(Inputs!$B$38&lt;&gt;"pvp",Inputs!$B$43&gt;0),IF(MAX(0,Inputs!$B$43-B2572)&lt;=0,0,(INT(MAX(0,Inputs!$B$43-B2572)/(IF(Inputs!$B$38="pvp",15,MAX(0.1,Skills!E28-IF(Skills!F28=TRUE,Inputs!$B$32,0)))*(1-IF(AND(ArtifactsInput!$M$27,Inputs!$B$4="Chapter Hunt"),CHOOSE(ArtifactsInput!$N$27+1,20,24,28,32,36,40),0)/100)))+1)),0)</f>
        <v/>
      </c>
      <c r="S2562">
        <f>IF(C2562,(H2562*N2562*IF(AND(Inputs!$B$38&lt;&gt;"pvp",Inputs!$B$43&gt;0),((Skills!G28*((R2562-1)*IF(Skills!H28&gt;0,Skills!I28/Skills!H28,1)+IF(Skills!H28&gt;0,MIN(Skills!I28,MAX(0,MAX(0,Inputs!$B$43-B2572)-((R2562-1)*(IF(Inputs!$B$38="pvp",15,MAX(0.1,Skills!E28-IF(Skills!F28=TRUE,Inputs!$B$32,0)))*(1-IF(AND(ArtifactsInput!$M$27,Inputs!$B$4="Chapter Hunt"),CHOOSE(ArtifactsInput!$N$27+1,20,24,28,32,36,40),0)/100)))))/Skills!H28,1)))/Inputs!$B$43),G2562*Q2562)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2562*(1-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2562*(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2562*(1-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2562*(MIN(100,(Inputs!$B$9+(F2554-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62">
        <f>IF(C2562,(H2562*N2562*IF(AND(Inputs!$B$38&lt;&gt;"pvp",Inputs!$B$43&gt;0),((Skills!G28*((R2562-1)*IF(Skills!H28&gt;0,Skills!I28/Skills!H28,1)+IF(Skills!H28&gt;0,MIN(Skills!I28,MAX(0,MAX(0,Inputs!$B$43-B2572)-((R2562-1)*(IF(Inputs!$B$38="pvp",15,MAX(0.1,Skills!E28-IF(Skills!F28=TRUE,Inputs!$B$32,0)))*(1-IF(AND(ArtifactsInput!$M$27,Inputs!$B$4="Chapter Hunt"),CHOOSE(ArtifactsInput!$N$27+1,20,24,28,32,36,40),0)/100)))))/Skills!H28,1)))/Inputs!$B$43),G2562*Q2562)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4">
      <c r="A2564" t="inlineStr">
        <is>
          <t>Burning Magic Multiplier</t>
        </is>
      </c>
      <c r="B2564">
        <f>1+(F2545*Skills!Z11)/100</f>
        <v/>
      </c>
    </row>
    <row r="2565">
      <c r="A2565" t="inlineStr">
        <is>
          <t>Elemental Decrease Multiplier (always-on)</t>
        </is>
      </c>
      <c r="B2565">
        <f>1+(F2546+(IF(AND(ArtifactsInput!$M$35,Inputs!$B$4&lt;&gt;"Chapter Hunt"),CHOOSE(ArtifactsInput!$N$35+1,15,18,21,24,27,30)*(1-EXP(-(0.2*B2568)*5)),0)+IF(AND(ArtifactsInput!$M$22,Inputs!$B$4&lt;&gt;"Chapter Hunt"),CHOOSE(ArtifactsInput!$N$22+1,10,12,14,16,18,20)*((0*(((0.15*B2568*5))^0/1)+1*(((0.15*B2568*5))^1/1)+2*(((0.15*B2568*5))^2/2)+3*(((0.15*B2568*5))^3/6)+4*(((0.15*B2568*5))^4/24)+5*(((0.15*B2568*5))^5/120))/((((0.15*B2568*5))^0/1)+(((0.15*B2568*5))^1/1)+(((0.15*B2568*5))^2/2)+(((0.15*B2568*5))^3/6)+(((0.15*B2568*5))^4/24)+(((0.15*B2568*5))^5/120))),0)))/100</f>
        <v/>
      </c>
    </row>
    <row r="2566">
      <c r="A2566" t="inlineStr">
        <is>
          <t>Average Buff Multiplier (Magic Guard + Meditation + Artifact Attack%, summed; then Infinity)</t>
        </is>
      </c>
      <c r="B2566">
        <f>(1+(F2540*IF(AND(Inputs!$B$38&lt;&gt;"pvp",Inputs!$B$43&gt;0),(((R2540-1)*(Skills!T6*(1+((Inputs!$B$34+(ArtifactsInput!$M$7-ArtifactsInput!$M$7)*CHOOSE(ArtifactsInput!$N$7+1,6,7.2,8.4,9.6,10.8,12)))/100))+MIN((Skills!T6*(1+((Inputs!$B$34+(ArtifactsInput!$M$7-ArtifactsInput!$M$7)*CHOOSE(ArtifactsInput!$N$7+1,6,7.2,8.4,9.6,10.8,12)))/100)),MAX(0,Inputs!$B$43-((R2540-1)*Skills!E6))))/Inputs!$B$43),IF(Inputs!$B$38="pvp",MIN((Skills!T6*(1+((Inputs!$B$34+(ArtifactsInput!$M$7-ArtifactsInput!$M$7)*CHOOSE(ArtifactsInput!$N$7+1,6,7.2,8.4,9.6,10.8,12)))/100)),15)/15,(Skills!T6*(1+((Inputs!$B$34+(ArtifactsInput!$M$7-ArtifactsInput!$M$7)*CHOOSE(ArtifactsInput!$N$7+1,6,7.2,8.4,9.6,10.8,12)))/100))/Skills!E6))+F2551*IF(AND(Inputs!$B$38&lt;&gt;"pvp",Inputs!$B$43&gt;0),(((R2551-1)*(Skills!T17*(1+((Inputs!$B$34+(ArtifactsInput!$M$7-ArtifactsInput!$M$7)*CHOOSE(ArtifactsInput!$N$7+1,6,7.2,8.4,9.6,10.8,12)))/100))+MIN((Skills!T17*(1+((Inputs!$B$34+(ArtifactsInput!$M$7-ArtifactsInput!$M$7)*CHOOSE(ArtifactsInput!$N$7+1,6,7.2,8.4,9.6,10.8,12)))/100)),MAX(0,Inputs!$B$43-((R2551-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2553=TRUE,(1+F2553*IF(AND(Inputs!$B$38&lt;&gt;"pvp",Inputs!$B$43&gt;0),(((R2553-1)*(Skills!T19*(1+((Inputs!$B$34+(ArtifactsInput!$M$7-ArtifactsInput!$M$7)*CHOOSE(ArtifactsInput!$N$7+1,6,7.2,8.4,9.6,10.8,12)))/100))+MIN((Skills!T19*(1+((Inputs!$B$34+(ArtifactsInput!$M$7-ArtifactsInput!$M$7)*CHOOSE(ArtifactsInput!$N$7+1,6,7.2,8.4,9.6,10.8,12)))/100)),MAX(0,Inputs!$B$43-((R2553-1)*Skills!E19))))/Inputs!$B$43),IF(Inputs!$B$38="pvp",MIN((Skills!T19*(1+((Inputs!$B$34+(ArtifactsInput!$M$7-ArtifactsInput!$M$7)*CHOOSE(ArtifactsInput!$N$7+1,6,7.2,8.4,9.6,10.8,12)))/100)),15)/15,(Skills!T19*(1+((Inputs!$B$34+(ArtifactsInput!$M$7-ArtifactsInput!$M$7)*CHOOSE(ArtifactsInput!$N$7+1,6,7.2,8.4,9.6,10.8,12)))/100))/Skills!E19))/100),1)</f>
        <v/>
      </c>
    </row>
    <row r="2567">
      <c r="A2567" t="inlineStr">
        <is>
          <t>Attack Speed Buff Bonus % (Nimble Feet, averaged)</t>
        </is>
      </c>
      <c r="B2567">
        <f>F2552*IF(AND(Inputs!$B$38&lt;&gt;"pvp",Inputs!$B$43&gt;0),(((R2552-1)*(Skills!T18*(1+((Inputs!$B$34+(ArtifactsInput!$M$7-ArtifactsInput!$M$7)*CHOOSE(ArtifactsInput!$N$7+1,6,7.2,8.4,9.6,10.8,12)))/100))+MIN((Skills!T18*(1+((Inputs!$B$34+(ArtifactsInput!$M$7-ArtifactsInput!$M$7)*CHOOSE(ArtifactsInput!$N$7+1,6,7.2,8.4,9.6,10.8,12)))/100)),MAX(0,Inputs!$B$43-((R2552-1)*Skills!E18))))/Inputs!$B$43),IF(Inputs!$B$38="pvp",MIN((Skills!T18*(1+((Inputs!$B$34+(ArtifactsInput!$M$7-ArtifactsInput!$M$7)*CHOOSE(ArtifactsInput!$N$7+1,6,7.2,8.4,9.6,10.8,12)))/100)),15)/15,(Skills!T18*(1+((Inputs!$B$34+(ArtifactsInput!$M$7-ArtifactsInput!$M$7)*CHOOSE(ArtifactsInput!$N$7+1,6,7.2,8.4,9.6,10.8,12)))/100))/Skills!E18))</f>
        <v/>
      </c>
    </row>
    <row r="2568">
      <c r="A2568" t="inlineStr">
        <is>
          <t>Actions Per Second</t>
        </is>
      </c>
      <c r="B2568">
        <f>1+MIN(150,150*(1-(1-(Inputs!$B$11+(ArtifactsInput!$M$15-ArtifactsInput!$M$15)*CHOOSE(ArtifactsInput!$N$15+1,8,9.6,11.2,12.8,14.4,16))/150)*(1-B2567/150)))/100</f>
        <v/>
      </c>
    </row>
    <row r="2569">
      <c r="A2569" t="inlineStr">
        <is>
          <t>Skill + Buff Cast Rate</t>
        </is>
      </c>
      <c r="B2569">
        <f>IF(AND(Inputs!$B$38&lt;&gt;"pvp",Inputs!$B$43&gt;0),SUMPRODUCT((Skills!F2:F28=TRUE)*(C2536:C2562=TRUE)*R2536:R2562)/Inputs!$B$43,SUMPRODUCT((Skills!F2:F28=TRUE)*(C2536:C2562=TRUE)*Q2536:Q2562))</f>
        <v/>
      </c>
    </row>
    <row r="2570">
      <c r="A2570" t="inlineStr">
        <is>
          <t>Basic Attacks Per Second</t>
        </is>
      </c>
      <c r="B2570">
        <f>MAX(0,B2568-B2569)</f>
        <v/>
      </c>
    </row>
    <row r="2571">
      <c r="A2571" t="inlineStr">
        <is>
          <t>Meteor Proc — combined trigger cast rate</t>
        </is>
      </c>
      <c r="B2571">
        <f>IF(AND(Inputs!$B$38&lt;&gt;"pvp",Inputs!$B$43&gt;0),SUMPRODUCT((Skills!V2:V28=TRUE)*(C2536:C2562=TRUE)*R2536:R2562*Skills!W2:W28)/Inputs!$B$43,SUMPRODUCT((Skills!V2:V28=TRUE)*(C2536:C2562=TRUE)*Q2536:Q2562*Skills!W2:W28))+B2570</f>
        <v/>
      </c>
    </row>
    <row r="2572">
      <c r="A2572" t="inlineStr">
        <is>
          <t>Buff-Casting Startup Delay (s, fixed-duration only)</t>
        </is>
      </c>
      <c r="B2572">
        <f>IF(AND(Inputs!$B$38&lt;&gt;"pvp",Inputs!$B$43&gt;0),SUMPRODUCT((Skills!T2:T28&gt;0)*(Skills!F2:F28=TRUE)*(C2536:C2562=TRUE))/B2568,0)</f>
        <v/>
      </c>
    </row>
    <row r="2573">
      <c r="A2573" t="inlineStr">
        <is>
          <t>Boss-Only Total DPS (this block's swept value)</t>
        </is>
      </c>
      <c r="B2573">
        <f>SUM(S2536:S2562)</f>
        <v/>
      </c>
    </row>
    <row r="2574">
      <c r="A2574" t="inlineStr">
        <is>
          <t>Normal-Only Total DPS (this block's swept value)</t>
        </is>
      </c>
      <c r="B2574">
        <f>SUM(U2536:U2562)</f>
        <v/>
      </c>
    </row>
    <row r="2575">
      <c r="A2575" s="6" t="inlineStr">
        <is>
          <t>TOTAL DPS</t>
        </is>
      </c>
      <c r="B2575" s="6">
        <f>SUM(O2536:O2562)</f>
        <v/>
      </c>
    </row>
    <row r="2578">
      <c r="A2578" s="6" t="inlineStr">
        <is>
          <t>Stat: Cursed Doll (Equip)</t>
        </is>
      </c>
    </row>
    <row r="2579">
      <c r="A2579" s="5" t="inlineStr">
        <is>
          <t>Key</t>
        </is>
      </c>
      <c r="B2579" s="5" t="inlineStr">
        <is>
          <t>Name</t>
        </is>
      </c>
      <c r="C2579" s="5" t="inlineStr">
        <is>
          <t>Unlocked</t>
        </is>
      </c>
      <c r="D2579" s="5" t="inlineStr">
        <is>
          <t>InputLevel</t>
        </is>
      </c>
      <c r="E2579" s="5" t="inlineStr">
        <is>
          <t>Factor</t>
        </is>
      </c>
      <c r="F2579" s="5" t="inlineStr">
        <is>
          <t>CoefficientPercent</t>
        </is>
      </c>
      <c r="G2579" s="5" t="inlineStr">
        <is>
          <t>EffectiveHits</t>
        </is>
      </c>
      <c r="H2579" s="5" t="inlineStr">
        <is>
          <t>ProcProbability</t>
        </is>
      </c>
      <c r="I2579" s="5" t="inlineStr">
        <is>
          <t>MapleHeroMultiplier</t>
        </is>
      </c>
      <c r="J2579" s="5" t="inlineStr">
        <is>
          <t>BaseDamage</t>
        </is>
      </c>
      <c r="K2579" s="5" t="inlineStr">
        <is>
          <t>BaseHitDamage</t>
        </is>
      </c>
      <c r="L2579" s="5" t="inlineStr">
        <is>
          <t>NonCritAvg</t>
        </is>
      </c>
      <c r="M2579" s="5" t="inlineStr">
        <is>
          <t>CritAvg</t>
        </is>
      </c>
      <c r="N2579" s="5" t="inlineStr">
        <is>
          <t>ExpectedDamage(perHit)</t>
        </is>
      </c>
      <c r="O2579" s="5" t="inlineStr">
        <is>
          <t>DPS</t>
        </is>
      </c>
      <c r="P2579" s="5" t="inlineStr">
        <is>
          <t>% of Total</t>
        </is>
      </c>
      <c r="R2579" t="inlineStr">
        <is>
          <t>helpers</t>
        </is>
      </c>
    </row>
    <row r="2580">
      <c r="A2580">
        <f>Skills!A2</f>
        <v/>
      </c>
      <c r="B2580">
        <f>Skills!B2</f>
        <v/>
      </c>
      <c r="C2580">
        <f>TRUE</f>
        <v/>
      </c>
      <c r="D2580" t="inlineStr"/>
      <c r="E2580" t="inlineStr"/>
      <c r="F2580">
        <f>T2582+Skills!O2</f>
        <v/>
      </c>
      <c r="G2580">
        <f>Calc!G2</f>
        <v/>
      </c>
      <c r="H2580">
        <f>Calc!H2</f>
        <v/>
      </c>
      <c r="I2580">
        <f>IF(Skills!X2&lt;&gt;"",1+(Skills!X2/10)*(Z2581/1000)/100,1)</f>
        <v/>
      </c>
      <c r="J2580">
        <f>((Inputs!$B$6*(1+Inputs!$B$7/100))+(((Inputs!$B$12*(1+Inputs!$B$13/100))-(Inputs!$B$12*(1+Inputs!$B$13/100)))+0.25*(Inputs!$B$14-Inputs!$B$14))*(1+Inputs!$B$7/100))*(F2580/100)</f>
        <v/>
      </c>
      <c r="K2580">
        <f>J2580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2580)</f>
        <v/>
      </c>
      <c r="L2580">
        <f>K2580*(MIN(Inputs!$B$22+(F2600-Calc!F22),(Inputs!$B$23+(IF(ArtifactsInput!$M$15,CHOOSE(ArtifactsInput!$N$15+1,25,30,35,40,45,50)/100*(Inputs!$B$11-Inputs!$B$11),0))))/100+(Inputs!$B$23+(IF(ArtifactsInput!$M$15,CHOOSE(ArtifactsInput!$N$15+1,25,30,35,40,45,50)/100*(Inputs!$B$11-Inputs!$B$11),0)))/100)/2</f>
        <v/>
      </c>
      <c r="M2580">
        <f>L2580*(1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0">
        <f>L2580*(1-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2580*(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0">
        <f>(1-Summary!$B$11)*S2580+Summary!$B$11*U2580</f>
        <v/>
      </c>
      <c r="P2580">
        <f>IF(B2619=0,0,O2580/B2619)</f>
        <v/>
      </c>
      <c r="Q2580">
        <f>IFERROR(1/(IF(Inputs!$B$38="pvp",15,MAX(0.1,Skills!E2-IF(Skills!F2=TRUE,Inputs!$B$32,0)))*(1-IF(AND(ArtifactsInput!$M$27,Inputs!$B$4="Chapter Hunt"),CHOOSE(ArtifactsInput!$N$27+1,20,24,28,32,36,40),0)/100)),0)</f>
        <v/>
      </c>
      <c r="R2580" t="n">
        <v>0</v>
      </c>
      <c r="S2580">
        <f>(Skills!G2*N2580*B2614)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2580*(1-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2580*(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2580*(1-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2580*(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580">
        <f>MAX(0,(Inputs!$B$3-100)*3)+Inputs!$B$28+Inputs!$B$29</f>
        <v/>
      </c>
      <c r="U2580">
        <f>(Skills!G2*N2580*B2614)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580">
        <f>MAX(0,(Inputs!$B$3-100)*3)+Inputs!$B$28+Inputs!$B$29</f>
        <v/>
      </c>
    </row>
    <row r="2581">
      <c r="A2581">
        <f>Skills!A3</f>
        <v/>
      </c>
      <c r="B2581">
        <f>Skills!B3</f>
        <v/>
      </c>
      <c r="C2581">
        <f>TRUE</f>
        <v/>
      </c>
      <c r="D2581">
        <f>IF(Skills!C3=1,60+Inputs!$B$25+Inputs!$B$29,IF(Skills!C3=2,90+Inputs!$B$26+Inputs!$B$29,IF(Skills!C3=3,120+Inputs!$B$27+Inputs!$B$29,MAX(0,(Inputs!$B$3-100)*3)+Inputs!$B$28+Inputs!$B$29)))</f>
        <v/>
      </c>
      <c r="E2581">
        <f>INDEX(FactorTable!$B$2:$Y$301, MATCH(ROUND(MIN(300,MAX(1,D2581)),0), FactorTable!$A$2:$A$301,0), Skills!M3+1)</f>
        <v/>
      </c>
      <c r="F2581">
        <f>IF(Skills!N3=TRUE,(Skills!L3/10)*(E2581/1000),Skills!L3/10)+Skills!O3</f>
        <v/>
      </c>
      <c r="G2581">
        <f>Calc!G3</f>
        <v/>
      </c>
      <c r="H2581">
        <f>Calc!H3</f>
        <v/>
      </c>
      <c r="I2581">
        <f>IF(Skills!X3&lt;&gt;"",1+(Skills!X3/10)*(Z2581/1000)/100,1)</f>
        <v/>
      </c>
      <c r="J2581">
        <f>((Inputs!$B$6*(1+Inputs!$B$7/100))+(((Inputs!$B$12*(1+Inputs!$B$13/100))-(Inputs!$B$12*(1+Inputs!$B$13/100)))+0.25*(Inputs!$B$14-Inputs!$B$14))*(1+Inputs!$B$7/100))*(F2581/100)</f>
        <v/>
      </c>
      <c r="K2581">
        <f>J2581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2581)</f>
        <v/>
      </c>
      <c r="L2581">
        <f>K2581*(MIN(Inputs!$B$22+(F2600-Calc!F22),(Inputs!$B$23+(IF(ArtifactsInput!$M$15,CHOOSE(ArtifactsInput!$N$15+1,25,30,35,40,45,50)/100*(Inputs!$B$11-Inputs!$B$11),0))))/100+(Inputs!$B$23+(IF(ArtifactsInput!$M$15,CHOOSE(ArtifactsInput!$N$15+1,25,30,35,40,45,50)/100*(Inputs!$B$11-Inputs!$B$11),0)))/100)/2</f>
        <v/>
      </c>
      <c r="M2581">
        <f>L2581*(1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1">
        <f>L2581*(1-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1">
        <f>(1-Summary!$B$11)*S2581+Summary!$B$11*U2581</f>
        <v/>
      </c>
      <c r="P2581">
        <f>IF(B2619=0,0,O2581/B2619)</f>
        <v/>
      </c>
      <c r="Q2581">
        <f>IFERROR(1/(IF(Inputs!$B$38="pvp",15,MAX(0.1,Skills!E3-IF(Skills!F3=TRUE,Inputs!$B$32,0)))*(1-IF(AND(ArtifactsInput!$M$27,Inputs!$B$4="Chapter Hunt"),CHOOSE(ArtifactsInput!$N$27+1,20,24,28,32,36,40),0)/100)),0)</f>
        <v/>
      </c>
      <c r="R2581">
        <f>IF(AND(Inputs!$B$38&lt;&gt;"pvp",Inputs!$B$43&gt;0),IF(MAX(0,Inputs!$B$43-B2616)&lt;=0,0,(INT(MAX(0,Inputs!$B$43-B2616)/(IF(Inputs!$B$38="pvp",15,MAX(0.1,Skills!E3-IF(Skills!F3=TRUE,Inputs!$B$32,0)))*(1-IF(AND(ArtifactsInput!$M$27,Inputs!$B$4="Chapter Hunt"),CHOOSE(ArtifactsInput!$N$27+1,20,24,28,32,36,40),0)/100)))+1)),0)</f>
        <v/>
      </c>
      <c r="S2581">
        <f>IF(C2581,(H2581*N2581*IF(AND(Inputs!$B$38&lt;&gt;"pvp",Inputs!$B$43&gt;0),((Skills!G3*((R2581-1)*IF(Skills!H3&gt;0,Skills!I3/Skills!H3,1)+IF(Skills!H3&gt;0,MIN(Skills!I3,MAX(0,MAX(0,Inputs!$B$43-B2616)-((R2581-1)*(IF(Inputs!$B$38="pvp",15,MAX(0.1,Skills!E3-IF(Skills!F3=TRUE,Inputs!$B$32,0)))*(1-IF(AND(ArtifactsInput!$M$27,Inputs!$B$4="Chapter Hunt"),CHOOSE(ArtifactsInput!$N$27+1,20,24,28,32,36,40),0)/100)))))/Skills!H3,1)))/Inputs!$B$43),G2581*Q2581)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2581*(1-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2581*(1-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581">
        <f>INDEX(FactorTable!$B$2:$Y$301, MATCH(ROUND(MIN(300,MAX(1,T2580)),0), FactorTable!$A$2:$A$301,0), 22)</f>
        <v/>
      </c>
      <c r="U2581">
        <f>IF(C2581,(H2581*N2581*IF(AND(Inputs!$B$38&lt;&gt;"pvp",Inputs!$B$43&gt;0),((Skills!G3*((R2581-1)*IF(Skills!H3&gt;0,Skills!I3/Skills!H3,1)+IF(Skills!H3&gt;0,MIN(Skills!I3,MAX(0,MAX(0,Inputs!$B$43-B2616)-((R2581-1)*(IF(Inputs!$B$38="pvp",15,MAX(0.1,Skills!E3-IF(Skills!F3=TRUE,Inputs!$B$32,0)))*(1-IF(AND(ArtifactsInput!$M$27,Inputs!$B$4="Chapter Hunt"),CHOOSE(ArtifactsInput!$N$27+1,20,24,28,32,36,40),0)/100)))))/Skills!H3,1)))/Inputs!$B$43),G2581*Q2581)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581">
        <f>INDEX(FactorTable!$B$2:$Y$301, MATCH(ROUND(MIN(300,MAX(1,Z2580)),0), FactorTable!$A$2:$A$301,0), 24)</f>
        <v/>
      </c>
    </row>
    <row r="2582">
      <c r="A2582">
        <f>Skills!A4</f>
        <v/>
      </c>
      <c r="B2582">
        <f>Skills!B4</f>
        <v/>
      </c>
      <c r="C2582">
        <f>TRUE</f>
        <v/>
      </c>
      <c r="D2582">
        <f>IF(Skills!C4=1,60+Inputs!$B$25+Inputs!$B$29,IF(Skills!C4=2,90+Inputs!$B$26+Inputs!$B$29,IF(Skills!C4=3,120+Inputs!$B$27+Inputs!$B$29,MAX(0,(Inputs!$B$3-100)*3)+Inputs!$B$28+Inputs!$B$29)))</f>
        <v/>
      </c>
      <c r="E2582">
        <f>INDEX(FactorTable!$B$2:$Y$301, MATCH(ROUND(MIN(300,MAX(1,D2582)),0), FactorTable!$A$2:$A$301,0), Skills!M4+1)</f>
        <v/>
      </c>
      <c r="F2582">
        <f>IF(Skills!N4=TRUE,(Skills!L4/10)*(E2582/1000),Skills!L4/10)+Skills!O4</f>
        <v/>
      </c>
      <c r="G2582">
        <f>Calc!G4</f>
        <v/>
      </c>
      <c r="H2582">
        <f>Calc!H4</f>
        <v/>
      </c>
      <c r="I2582">
        <f>IF(Skills!X4&lt;&gt;"",1+(Skills!X4/10)*(Z2581/1000)/100,1)</f>
        <v/>
      </c>
      <c r="J2582">
        <f>((Inputs!$B$6*(1+Inputs!$B$7/100))+(((Inputs!$B$12*(1+Inputs!$B$13/100))-(Inputs!$B$12*(1+Inputs!$B$13/100)))+0.25*(Inputs!$B$14-Inputs!$B$14))*(1+Inputs!$B$7/100))*(F2582/100)</f>
        <v/>
      </c>
      <c r="K2582">
        <f>J2582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2582)</f>
        <v/>
      </c>
      <c r="L2582">
        <f>K2582*(MIN(Inputs!$B$22+(F2600-Calc!F22),(Inputs!$B$23+(IF(ArtifactsInput!$M$15,CHOOSE(ArtifactsInput!$N$15+1,25,30,35,40,45,50)/100*(Inputs!$B$11-Inputs!$B$11),0))))/100+(Inputs!$B$23+(IF(ArtifactsInput!$M$15,CHOOSE(ArtifactsInput!$N$15+1,25,30,35,40,45,50)/100*(Inputs!$B$11-Inputs!$B$11),0)))/100)/2</f>
        <v/>
      </c>
      <c r="M2582">
        <f>L2582*(1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2">
        <f>L2582*(1-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2582*(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2">
        <f>(1-Summary!$B$11)*S2582+Summary!$B$11*U2582</f>
        <v/>
      </c>
      <c r="P2582">
        <f>IF(B2619=0,0,O2582/B2619)</f>
        <v/>
      </c>
      <c r="Q2582">
        <f>IFERROR(1/(IF(Inputs!$B$38="pvp",15,MAX(0.1,Skills!E4-IF(Skills!F4=TRUE,Inputs!$B$32,0)))*(1-IF(AND(ArtifactsInput!$M$27,Inputs!$B$4="Chapter Hunt"),CHOOSE(ArtifactsInput!$N$27+1,20,24,28,32,36,40),0)/100)),0)</f>
        <v/>
      </c>
      <c r="R2582">
        <f>IF(AND(Inputs!$B$38&lt;&gt;"pvp",Inputs!$B$43&gt;0),IF(MAX(0,Inputs!$B$43-B2616)&lt;=0,0,(INT(MAX(0,Inputs!$B$43-B2616)/(IF(Inputs!$B$38="pvp",15,MAX(0.1,Skills!E4-IF(Skills!F4=TRUE,Inputs!$B$32,0)))*(1-IF(AND(ArtifactsInput!$M$27,Inputs!$B$4="Chapter Hunt"),CHOOSE(ArtifactsInput!$N$27+1,20,24,28,32,36,40),0)/100)))+1)),0)</f>
        <v/>
      </c>
      <c r="S2582">
        <f>IF(C2582,(H2582*N2582*IF(AND(Inputs!$B$38&lt;&gt;"pvp",Inputs!$B$43&gt;0),((Skills!G4*((R2582-1)*IF(Skills!H4&gt;0,Skills!I4/Skills!H4,1)+IF(Skills!H4&gt;0,MIN(Skills!I4,MAX(0,MAX(0,Inputs!$B$43-B2616)-((R2582-1)*(IF(Inputs!$B$38="pvp",15,MAX(0.1,Skills!E4-IF(Skills!F4=TRUE,Inputs!$B$32,0)))*(1-IF(AND(ArtifactsInput!$M$27,Inputs!$B$4="Chapter Hunt"),CHOOSE(ArtifactsInput!$N$27+1,20,24,28,32,36,40),0)/100)))))/Skills!H4,1)))/Inputs!$B$43),G2582*Q2582)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2582*(1-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2582*(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2582*(1-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2582*(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582">
        <f>290*T2581/1000</f>
        <v/>
      </c>
      <c r="U2582">
        <f>IF(C2582,(H2582*N2582*IF(AND(Inputs!$B$38&lt;&gt;"pvp",Inputs!$B$43&gt;0),((Skills!G4*((R2582-1)*IF(Skills!H4&gt;0,Skills!I4/Skills!H4,1)+IF(Skills!H4&gt;0,MIN(Skills!I4,MAX(0,MAX(0,Inputs!$B$43-B2616)-((R2582-1)*(IF(Inputs!$B$38="pvp",15,MAX(0.1,Skills!E4-IF(Skills!F4=TRUE,Inputs!$B$32,0)))*(1-IF(AND(ArtifactsInput!$M$27,Inputs!$B$4="Chapter Hunt"),CHOOSE(ArtifactsInput!$N$27+1,20,24,28,32,36,40),0)/100)))))/Skills!H4,1)))/Inputs!$B$43),G2582*Q2582)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3">
      <c r="A2583">
        <f>Skills!A5</f>
        <v/>
      </c>
      <c r="B2583">
        <f>Skills!B5</f>
        <v/>
      </c>
      <c r="C2583">
        <f>TRUE</f>
        <v/>
      </c>
      <c r="D2583">
        <f>IF(Skills!C5=1,60+Inputs!$B$25+Inputs!$B$29,IF(Skills!C5=2,90+Inputs!$B$26+Inputs!$B$29,IF(Skills!C5=3,120+Inputs!$B$27+Inputs!$B$29,MAX(0,(Inputs!$B$3-100)*3)+Inputs!$B$28+Inputs!$B$29)))</f>
        <v/>
      </c>
      <c r="E2583">
        <f>INDEX(FactorTable!$B$2:$Y$301, MATCH(ROUND(MIN(300,MAX(1,D2583)),0), FactorTable!$A$2:$A$301,0), Skills!M5+1)</f>
        <v/>
      </c>
      <c r="F2583">
        <f>IF(Skills!N5=TRUE,(Skills!L5/10)*(E2583/1000),Skills!L5/10)+Skills!O5</f>
        <v/>
      </c>
      <c r="G2583">
        <f>Calc!G5</f>
        <v/>
      </c>
      <c r="H2583">
        <f>Calc!H5</f>
        <v/>
      </c>
      <c r="I2583">
        <f>IF(Skills!X5&lt;&gt;"",1+(Skills!X5/10)*(Z2581/1000)/100,1)</f>
        <v/>
      </c>
      <c r="J2583">
        <f>((Inputs!$B$6*(1+Inputs!$B$7/100))+(((Inputs!$B$12*(1+Inputs!$B$13/100))-(Inputs!$B$12*(1+Inputs!$B$13/100)))+0.25*(Inputs!$B$14-Inputs!$B$14))*(1+Inputs!$B$7/100))*(F2583/100)</f>
        <v/>
      </c>
      <c r="K2583">
        <f>J2583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2583)</f>
        <v/>
      </c>
      <c r="L2583">
        <f>K2583*(MIN(Inputs!$B$22+(F2600-Calc!F22),(Inputs!$B$23+(IF(ArtifactsInput!$M$15,CHOOSE(ArtifactsInput!$N$15+1,25,30,35,40,45,50)/100*(Inputs!$B$11-Inputs!$B$11),0))))/100+(Inputs!$B$23+(IF(ArtifactsInput!$M$15,CHOOSE(ArtifactsInput!$N$15+1,25,30,35,40,45,50)/100*(Inputs!$B$11-Inputs!$B$11),0)))/100)/2</f>
        <v/>
      </c>
      <c r="M2583">
        <f>L2583*(1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3">
        <f>L2583*(1-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2583*(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3">
        <f>(1-Summary!$B$11)*S2583+Summary!$B$11*U2583</f>
        <v/>
      </c>
      <c r="P2583">
        <f>IF(B2619=0,0,O2583/B2619)</f>
        <v/>
      </c>
      <c r="Q2583">
        <f>IFERROR(1/(IF(Inputs!$B$38="pvp",15,MAX(0.1,Skills!E5-IF(Skills!F5=TRUE,Inputs!$B$32,0)))*(1-IF(AND(ArtifactsInput!$M$27,Inputs!$B$4="Chapter Hunt"),CHOOSE(ArtifactsInput!$N$27+1,20,24,28,32,36,40),0)/100)),0)</f>
        <v/>
      </c>
      <c r="R2583">
        <f>IF(AND(Inputs!$B$38&lt;&gt;"pvp",Inputs!$B$43&gt;0),IF(MAX(0,Inputs!$B$43-B2616)&lt;=0,0,(INT(MAX(0,Inputs!$B$43-B2616)/(IF(Inputs!$B$38="pvp",15,MAX(0.1,Skills!E5-IF(Skills!F5=TRUE,Inputs!$B$32,0)))*(1-IF(AND(ArtifactsInput!$M$27,Inputs!$B$4="Chapter Hunt"),CHOOSE(ArtifactsInput!$N$27+1,20,24,28,32,36,40),0)/100)))+1)),0)</f>
        <v/>
      </c>
      <c r="S2583">
        <f>IF(C2583,(H2583*N2583*IF(AND(Inputs!$B$38&lt;&gt;"pvp",Inputs!$B$43&gt;0),((Skills!G5*((R2583-1)*IF(Skills!H5&gt;0,Skills!I5/Skills!H5,1)+IF(Skills!H5&gt;0,MIN(Skills!I5,MAX(0,MAX(0,Inputs!$B$43-B2616)-((R2583-1)*(IF(Inputs!$B$38="pvp",15,MAX(0.1,Skills!E5-IF(Skills!F5=TRUE,Inputs!$B$32,0)))*(1-IF(AND(ArtifactsInput!$M$27,Inputs!$B$4="Chapter Hunt"),CHOOSE(ArtifactsInput!$N$27+1,20,24,28,32,36,40),0)/100)))))/Skills!H5,1)))/Inputs!$B$43),G2583*Q2583)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2583*(1-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2583*(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2583*(1-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2583*(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83">
        <f>IF(C2583,(H2583*N2583*IF(AND(Inputs!$B$38&lt;&gt;"pvp",Inputs!$B$43&gt;0),((Skills!G5*((R2583-1)*IF(Skills!H5&gt;0,Skills!I5/Skills!H5,1)+IF(Skills!H5&gt;0,MIN(Skills!I5,MAX(0,MAX(0,Inputs!$B$43-B2616)-((R2583-1)*(IF(Inputs!$B$38="pvp",15,MAX(0.1,Skills!E5-IF(Skills!F5=TRUE,Inputs!$B$32,0)))*(1-IF(AND(ArtifactsInput!$M$27,Inputs!$B$4="Chapter Hunt"),CHOOSE(ArtifactsInput!$N$27+1,20,24,28,32,36,40),0)/100)))))/Skills!H5,1)))/Inputs!$B$43),G2583*Q2583)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4">
      <c r="A2584">
        <f>Skills!A6</f>
        <v/>
      </c>
      <c r="B2584">
        <f>Skills!B6</f>
        <v/>
      </c>
      <c r="C2584">
        <f>TRUE</f>
        <v/>
      </c>
      <c r="D2584">
        <f>IF(Skills!C6=1,60+Inputs!$B$25+Inputs!$B$29,IF(Skills!C6=2,90+Inputs!$B$26+Inputs!$B$29,IF(Skills!C6=3,120+Inputs!$B$27+Inputs!$B$29,MAX(0,(Inputs!$B$3-100)*3)+Inputs!$B$28+Inputs!$B$29)))</f>
        <v/>
      </c>
      <c r="E2584">
        <f>INDEX(FactorTable!$B$2:$Y$301, MATCH(ROUND(MIN(300,MAX(1,D2584)),0), FactorTable!$A$2:$A$301,0), Skills!M6+1)</f>
        <v/>
      </c>
      <c r="F2584">
        <f>IF(Skills!N6=TRUE,(Skills!L6/10)*(E2584/1000),Skills!L6/10)+Skills!O6</f>
        <v/>
      </c>
      <c r="G2584">
        <f>Calc!G6</f>
        <v/>
      </c>
      <c r="H2584">
        <f>Calc!H6</f>
        <v/>
      </c>
      <c r="I2584">
        <f>IF(Skills!X6&lt;&gt;"",1+(Skills!X6/10)*(Z2581/1000)/100,1)</f>
        <v/>
      </c>
      <c r="J2584" t="inlineStr"/>
      <c r="K2584" t="inlineStr"/>
      <c r="L2584" t="inlineStr"/>
      <c r="M2584" t="inlineStr"/>
      <c r="N2584" t="inlineStr"/>
      <c r="O2584">
        <f>(1-Summary!$B$11)*S2584+Summary!$B$11*U2584</f>
        <v/>
      </c>
      <c r="P2584">
        <f>IF(B2619=0,0,O2584/B2619)</f>
        <v/>
      </c>
      <c r="Q2584">
        <f>IFERROR(1/(IF(Inputs!$B$38="pvp",15,MAX(0.1,Skills!E6-IF(Skills!F6=TRUE,Inputs!$B$32,0)))*(1-IF(AND(ArtifactsInput!$M$27,Inputs!$B$4="Chapter Hunt"),CHOOSE(ArtifactsInput!$N$27+1,20,24,28,32,36,40),0)/100)),0)</f>
        <v/>
      </c>
      <c r="R2584">
        <f>IF(AND(Inputs!$B$38&lt;&gt;"pvp",Inputs!$B$43&gt;0),IF(Inputs!$B$43&lt;=0,0,(INT(Inputs!$B$43/(IF(Inputs!$B$38="pvp",15,MAX(0.1,Skills!E6-IF(Skills!F6=TRUE,Inputs!$B$32,0)))*(1-IF(AND(ArtifactsInput!$M$27,Inputs!$B$4="Chapter Hunt"),CHOOSE(ArtifactsInput!$N$27+1,20,24,28,32,36,40),0)/100)))+1)),0)</f>
        <v/>
      </c>
      <c r="S2584" t="n">
        <v>0</v>
      </c>
      <c r="U2584" t="n">
        <v>0</v>
      </c>
    </row>
    <row r="2585">
      <c r="A2585">
        <f>Skills!A7</f>
        <v/>
      </c>
      <c r="B2585">
        <f>Skills!B7</f>
        <v/>
      </c>
      <c r="C2585">
        <f>TRUE</f>
        <v/>
      </c>
      <c r="D2585">
        <f>IF(Skills!C7=1,60+Inputs!$B$25+Inputs!$B$29,IF(Skills!C7=2,90+Inputs!$B$26+Inputs!$B$29,IF(Skills!C7=3,120+Inputs!$B$27+Inputs!$B$29,MAX(0,(Inputs!$B$3-100)*3)+Inputs!$B$28+Inputs!$B$29)))</f>
        <v/>
      </c>
      <c r="E2585">
        <f>INDEX(FactorTable!$B$2:$Y$301, MATCH(ROUND(MIN(300,MAX(1,D2585)),0), FactorTable!$A$2:$A$301,0), Skills!M7+1)</f>
        <v/>
      </c>
      <c r="F2585">
        <f>IF(Skills!N7=TRUE,(Skills!L7/10)*(E2585/1000),Skills!L7/10)+Skills!O7</f>
        <v/>
      </c>
      <c r="G2585">
        <f>Calc!G7</f>
        <v/>
      </c>
      <c r="H2585">
        <f>Calc!H7</f>
        <v/>
      </c>
      <c r="I2585">
        <f>IF(Skills!X7&lt;&gt;"",1+(Skills!X7/10)*(Z2581/1000)/100,1)</f>
        <v/>
      </c>
      <c r="J2585">
        <f>((Inputs!$B$6*(1+Inputs!$B$7/100))+(((Inputs!$B$12*(1+Inputs!$B$13/100))-(Inputs!$B$12*(1+Inputs!$B$13/100)))+0.25*(Inputs!$B$14-Inputs!$B$14))*(1+Inputs!$B$7/100))*(F2585/100)</f>
        <v/>
      </c>
      <c r="K2585">
        <f>J2585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2585)</f>
        <v/>
      </c>
      <c r="L2585">
        <f>K2585*(MIN(Inputs!$B$22+(F2600-Calc!F22),(Inputs!$B$23+(IF(ArtifactsInput!$M$15,CHOOSE(ArtifactsInput!$N$15+1,25,30,35,40,45,50)/100*(Inputs!$B$11-Inputs!$B$11),0))))/100+(Inputs!$B$23+(IF(ArtifactsInput!$M$15,CHOOSE(ArtifactsInput!$N$15+1,25,30,35,40,45,50)/100*(Inputs!$B$11-Inputs!$B$11),0)))/100)/2</f>
        <v/>
      </c>
      <c r="M2585">
        <f>L2585*(1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5">
        <f>L2585*(1-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2585*(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5">
        <f>(1-Summary!$B$11)*S2585+Summary!$B$11*U2585</f>
        <v/>
      </c>
      <c r="P2585">
        <f>IF(B2619=0,0,O2585/B2619)</f>
        <v/>
      </c>
      <c r="Q2585">
        <f>IFERROR(1/(IF(Inputs!$B$38="pvp",15,MAX(0.1,Skills!E7-IF(Skills!F7=TRUE,Inputs!$B$32,0)))*(1-IF(AND(ArtifactsInput!$M$27,Inputs!$B$4="Chapter Hunt"),CHOOSE(ArtifactsInput!$N$27+1,20,24,28,32,36,40),0)/100)),0)</f>
        <v/>
      </c>
      <c r="R2585">
        <f>IF(AND(Inputs!$B$38&lt;&gt;"pvp",Inputs!$B$43&gt;0),IF(MAX(0,Inputs!$B$43-B2616)&lt;=0,0,(INT(MAX(0,Inputs!$B$43-B2616)/(IF(Inputs!$B$38="pvp",15,MAX(0.1,Skills!E7-IF(Skills!F7=TRUE,Inputs!$B$32,0)))*(1-IF(AND(ArtifactsInput!$M$27,Inputs!$B$4="Chapter Hunt"),CHOOSE(ArtifactsInput!$N$27+1,20,24,28,32,36,40),0)/100)))+1)),0)</f>
        <v/>
      </c>
      <c r="S2585">
        <f>IF(C2585,(H2585*N2585*IF(AND(Inputs!$B$38&lt;&gt;"pvp",Inputs!$B$43&gt;0),((Skills!G7*((R2585-1)*IF(Skills!H7&gt;0,Skills!I7/Skills!H7,1)+IF(Skills!H7&gt;0,MIN(Skills!I7,MAX(0,MAX(0,Inputs!$B$43-B2616)-((R2585-1)*(IF(Inputs!$B$38="pvp",15,MAX(0.1,Skills!E7-IF(Skills!F7=TRUE,Inputs!$B$32,0)))*(1-IF(AND(ArtifactsInput!$M$27,Inputs!$B$4="Chapter Hunt"),CHOOSE(ArtifactsInput!$N$27+1,20,24,28,32,36,40),0)/100)))))/Skills!H7,1)))/Inputs!$B$43),G2585*Q2585)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2585*(1-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2585*(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2585*(1-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2585*(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85">
        <f>IF(C2585,(H2585*N2585*IF(AND(Inputs!$B$38&lt;&gt;"pvp",Inputs!$B$43&gt;0),((Skills!G7*((R2585-1)*IF(Skills!H7&gt;0,Skills!I7/Skills!H7,1)+IF(Skills!H7&gt;0,MIN(Skills!I7,MAX(0,MAX(0,Inputs!$B$43-B2616)-((R2585-1)*(IF(Inputs!$B$38="pvp",15,MAX(0.1,Skills!E7-IF(Skills!F7=TRUE,Inputs!$B$32,0)))*(1-IF(AND(ArtifactsInput!$M$27,Inputs!$B$4="Chapter Hunt"),CHOOSE(ArtifactsInput!$N$27+1,20,24,28,32,36,40),0)/100)))))/Skills!H7,1)))/Inputs!$B$43),G2585*Q2585)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6">
      <c r="A2586">
        <f>Skills!A8</f>
        <v/>
      </c>
      <c r="B2586">
        <f>Skills!B8</f>
        <v/>
      </c>
      <c r="C2586">
        <f>TRUE</f>
        <v/>
      </c>
      <c r="D2586">
        <f>IF(Skills!C8=1,60+Inputs!$B$25+Inputs!$B$29,IF(Skills!C8=2,90+Inputs!$B$26+Inputs!$B$29,IF(Skills!C8=3,120+Inputs!$B$27+Inputs!$B$29,MAX(0,(Inputs!$B$3-100)*3)+Inputs!$B$28+Inputs!$B$29)))</f>
        <v/>
      </c>
      <c r="E2586">
        <f>INDEX(FactorTable!$B$2:$Y$301, MATCH(ROUND(MIN(300,MAX(1,D2586)),0), FactorTable!$A$2:$A$301,0), Skills!M8+1)</f>
        <v/>
      </c>
      <c r="F2586">
        <f>IF(Skills!N8=TRUE,(Skills!L8/10)*(E2586/1000),Skills!L8/10)+Skills!O8</f>
        <v/>
      </c>
      <c r="G2586">
        <f>Calc!G8</f>
        <v/>
      </c>
      <c r="H2586">
        <f>Calc!H8</f>
        <v/>
      </c>
      <c r="I2586">
        <f>IF(Skills!X8&lt;&gt;"",1+(Skills!X8/10)*(Z2581/1000)/100,1)</f>
        <v/>
      </c>
      <c r="J2586">
        <f>((Inputs!$B$6*(1+Inputs!$B$7/100))+(((Inputs!$B$12*(1+Inputs!$B$13/100))-(Inputs!$B$12*(1+Inputs!$B$13/100)))+0.25*(Inputs!$B$14-Inputs!$B$14))*(1+Inputs!$B$7/100))*(F2586/100)</f>
        <v/>
      </c>
      <c r="K2586">
        <f>J2586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2586)</f>
        <v/>
      </c>
      <c r="L2586">
        <f>K2586*(MIN(Inputs!$B$22+(F2600-Calc!F22),(Inputs!$B$23+(IF(ArtifactsInput!$M$15,CHOOSE(ArtifactsInput!$N$15+1,25,30,35,40,45,50)/100*(Inputs!$B$11-Inputs!$B$11),0))))/100+(Inputs!$B$23+(IF(ArtifactsInput!$M$15,CHOOSE(ArtifactsInput!$N$15+1,25,30,35,40,45,50)/100*(Inputs!$B$11-Inputs!$B$11),0)))/100)/2</f>
        <v/>
      </c>
      <c r="M2586">
        <f>L2586*(1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6">
        <f>L2586*(1-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2586*(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6">
        <f>(1-Summary!$B$11)*S2586+Summary!$B$11*U2586</f>
        <v/>
      </c>
      <c r="P2586">
        <f>IF(B2619=0,0,O2586/B2619)</f>
        <v/>
      </c>
      <c r="Q2586">
        <f>IFERROR(1/(IF(Inputs!$B$38="pvp",15,MAX(0.1,Skills!E8-IF(Skills!F8=TRUE,Inputs!$B$32,0)))*(1-IF(AND(ArtifactsInput!$M$27,Inputs!$B$4="Chapter Hunt"),CHOOSE(ArtifactsInput!$N$27+1,20,24,28,32,36,40),0)/100)),0)</f>
        <v/>
      </c>
      <c r="R2586">
        <f>IF(AND(Inputs!$B$38&lt;&gt;"pvp",Inputs!$B$43&gt;0),IF(MAX(0,Inputs!$B$43-B2616)&lt;=0,0,(INT(MAX(0,Inputs!$B$43-B2616)/(IF(Inputs!$B$38="pvp",15,MAX(0.1,Skills!E8-IF(Skills!F8=TRUE,Inputs!$B$32,0)))*(1-IF(AND(ArtifactsInput!$M$27,Inputs!$B$4="Chapter Hunt"),CHOOSE(ArtifactsInput!$N$27+1,20,24,28,32,36,40),0)/100)))+1)),0)</f>
        <v/>
      </c>
      <c r="S2586">
        <f>IF(C2586,(H2586*N2586*IF(AND(Inputs!$B$38&lt;&gt;"pvp",Inputs!$B$43&gt;0),((Skills!G8*((R2586-1)*IF(Skills!H8&gt;0,Skills!I8/Skills!H8,1)+IF(Skills!H8&gt;0,MIN(Skills!I8,MAX(0,MAX(0,Inputs!$B$43-B2616)-((R2586-1)*(IF(Inputs!$B$38="pvp",15,MAX(0.1,Skills!E8-IF(Skills!F8=TRUE,Inputs!$B$32,0)))*(1-IF(AND(ArtifactsInput!$M$27,Inputs!$B$4="Chapter Hunt"),CHOOSE(ArtifactsInput!$N$27+1,20,24,28,32,36,40),0)/100)))))/Skills!H8,1)))/Inputs!$B$43),G2586*Q2586)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2586*(1-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2586*(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2586*(1-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2586*(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86">
        <f>IF(C2586,(H2586*N2586*IF(AND(Inputs!$B$38&lt;&gt;"pvp",Inputs!$B$43&gt;0),((Skills!G8*((R2586-1)*IF(Skills!H8&gt;0,Skills!I8/Skills!H8,1)+IF(Skills!H8&gt;0,MIN(Skills!I8,MAX(0,MAX(0,Inputs!$B$43-B2616)-((R2586-1)*(IF(Inputs!$B$38="pvp",15,MAX(0.1,Skills!E8-IF(Skills!F8=TRUE,Inputs!$B$32,0)))*(1-IF(AND(ArtifactsInput!$M$27,Inputs!$B$4="Chapter Hunt"),CHOOSE(ArtifactsInput!$N$27+1,20,24,28,32,36,40),0)/100)))))/Skills!H8,1)))/Inputs!$B$43),G2586*Q2586)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7">
      <c r="A2587">
        <f>Skills!A9</f>
        <v/>
      </c>
      <c r="B2587">
        <f>Skills!B9</f>
        <v/>
      </c>
      <c r="C2587">
        <f>Inputs!$B$3&gt;=103</f>
        <v/>
      </c>
      <c r="D2587">
        <f>IF(Skills!C9=1,60+Inputs!$B$25+Inputs!$B$29,IF(Skills!C9=2,90+Inputs!$B$26+Inputs!$B$29,IF(Skills!C9=3,120+Inputs!$B$27+Inputs!$B$29,MAX(0,(Inputs!$B$3-100)*3)+Inputs!$B$28+Inputs!$B$29)))</f>
        <v/>
      </c>
      <c r="E2587">
        <f>INDEX(FactorTable!$B$2:$Y$301, MATCH(ROUND(MIN(300,MAX(1,D2587)),0), FactorTable!$A$2:$A$301,0), Skills!M9+1)</f>
        <v/>
      </c>
      <c r="F2587">
        <f>IF(Skills!N9=TRUE,(Skills!L9/10)*(E2587/1000),Skills!L9/10)+Skills!O9</f>
        <v/>
      </c>
      <c r="G2587">
        <f>Calc!G9</f>
        <v/>
      </c>
      <c r="H2587">
        <f>Calc!H9</f>
        <v/>
      </c>
      <c r="I2587">
        <f>IF(Skills!X9&lt;&gt;"",1+(Skills!X9/10)*(Z2581/1000)/100,1)</f>
        <v/>
      </c>
      <c r="J2587">
        <f>((Inputs!$B$6*(1+Inputs!$B$7/100))+(((Inputs!$B$12*(1+Inputs!$B$13/100))-(Inputs!$B$12*(1+Inputs!$B$13/100)))+0.25*(Inputs!$B$14-Inputs!$B$14))*(1+Inputs!$B$7/100))*(F2587/100)</f>
        <v/>
      </c>
      <c r="K2587">
        <f>J2587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2587)</f>
        <v/>
      </c>
      <c r="L2587">
        <f>K2587*(MIN(Inputs!$B$22+(F2600-Calc!F22),(Inputs!$B$23+(IF(ArtifactsInput!$M$15,CHOOSE(ArtifactsInput!$N$15+1,25,30,35,40,45,50)/100*(Inputs!$B$11-Inputs!$B$11),0))))/100+(Inputs!$B$23+(IF(ArtifactsInput!$M$15,CHOOSE(ArtifactsInput!$N$15+1,25,30,35,40,45,50)/100*(Inputs!$B$11-Inputs!$B$11),0)))/100)/2</f>
        <v/>
      </c>
      <c r="M2587">
        <f>L2587*(1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7">
        <f>L2587*(1-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2587*(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7">
        <f>(1-Summary!$B$11)*S2587+Summary!$B$11*U2587</f>
        <v/>
      </c>
      <c r="P2587">
        <f>IF(B2619=0,0,O2587/B2619)</f>
        <v/>
      </c>
      <c r="Q2587">
        <f>IFERROR(1/(IF(Inputs!$B$38="pvp",15,MAX(0.1,Skills!E9-IF(Skills!F7=TRUE,Inputs!$B$32,0)))*(1-IF(AND(ArtifactsInput!$M$27,Inputs!$B$4="Chapter Hunt"),CHOOSE(ArtifactsInput!$N$27+1,20,24,28,32,36,40),0)/100)),0)</f>
        <v/>
      </c>
      <c r="R2587">
        <f>IF(AND(Inputs!$B$38&lt;&gt;"pvp",Inputs!$B$43&gt;0),IF(MAX(0,Inputs!$B$43-B2616)&lt;=0,0,(INT(MAX(0,Inputs!$B$43-B2616)/(IF(Inputs!$B$38="pvp",15,MAX(0.1,Skills!E9-IF(Skills!F7=TRUE,Inputs!$B$32,0)))*(1-IF(AND(ArtifactsInput!$M$27,Inputs!$B$4="Chapter Hunt"),CHOOSE(ArtifactsInput!$N$27+1,20,24,28,32,36,40),0)/100)))+1)),0)</f>
        <v/>
      </c>
      <c r="S2587">
        <f>IF(C2587,(H2587*N2587*IF(AND(Inputs!$B$38&lt;&gt;"pvp",Inputs!$B$43&gt;0),((Skills!G9*((R2587-1)*IF(Skills!H9&gt;0,Skills!I9/Skills!H9,1)+IF(Skills!H9&gt;0,MIN(Skills!I9,MAX(0,MAX(0,Inputs!$B$43-B2616)-((R2587-1)*(IF(Inputs!$B$38="pvp",15,MAX(0.1,Skills!E9-IF(Skills!F7=TRUE,Inputs!$B$32,0)))*(1-IF(AND(ArtifactsInput!$M$27,Inputs!$B$4="Chapter Hunt"),CHOOSE(ArtifactsInput!$N$27+1,20,24,28,32,36,40),0)/100)))))/Skills!H9,1)))/Inputs!$B$43),G2587*Q2587)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2587*(1-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2587*(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2587*(1-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2587*(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87">
        <f>IF(C2587,(H2587*N2587*IF(AND(Inputs!$B$38&lt;&gt;"pvp",Inputs!$B$43&gt;0),((Skills!G9*((R2587-1)*IF(Skills!H9&gt;0,Skills!I9/Skills!H9,1)+IF(Skills!H9&gt;0,MIN(Skills!I9,MAX(0,MAX(0,Inputs!$B$43-B2616)-((R2587-1)*(IF(Inputs!$B$38="pvp",15,MAX(0.1,Skills!E9-IF(Skills!F7=TRUE,Inputs!$B$32,0)))*(1-IF(AND(ArtifactsInput!$M$27,Inputs!$B$4="Chapter Hunt"),CHOOSE(ArtifactsInput!$N$27+1,20,24,28,32,36,40),0)/100)))))/Skills!H9,1)))/Inputs!$B$43),G2587*Q2587)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8">
      <c r="A2588">
        <f>Skills!A10</f>
        <v/>
      </c>
      <c r="B2588">
        <f>Skills!B10</f>
        <v/>
      </c>
      <c r="C2588">
        <f>TRUE</f>
        <v/>
      </c>
      <c r="D2588">
        <f>IF(Skills!C10=1,60+Inputs!$B$25+Inputs!$B$29,IF(Skills!C10=2,90+Inputs!$B$26+Inputs!$B$29,IF(Skills!C10=3,120+Inputs!$B$27+Inputs!$B$29,MAX(0,(Inputs!$B$3-100)*3)+Inputs!$B$28+Inputs!$B$29)))</f>
        <v/>
      </c>
      <c r="E2588">
        <f>INDEX(FactorTable!$B$2:$Y$301, MATCH(ROUND(MIN(300,MAX(1,D2588)),0), FactorTable!$A$2:$A$301,0), Skills!M10+1)</f>
        <v/>
      </c>
      <c r="F2588">
        <f>IF(Skills!N10=TRUE,(Skills!L10/10)*(E2588/1000),Skills!L10/10)+Skills!O10</f>
        <v/>
      </c>
      <c r="G2588">
        <f>Calc!G10</f>
        <v/>
      </c>
      <c r="H2588">
        <f>Calc!H10</f>
        <v/>
      </c>
      <c r="I2588">
        <f>IF(Skills!X10&lt;&gt;"",1+(Skills!X10/10)*(Z2581/1000)/100,1)</f>
        <v/>
      </c>
      <c r="J2588">
        <f>((Inputs!$B$6*(1+Inputs!$B$7/100))+(((Inputs!$B$12*(1+Inputs!$B$13/100))-(Inputs!$B$12*(1+Inputs!$B$13/100)))+0.25*(Inputs!$B$14-Inputs!$B$14))*(1+Inputs!$B$7/100))*(F2588/100)</f>
        <v/>
      </c>
      <c r="K2588">
        <f>J2588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2588)</f>
        <v/>
      </c>
      <c r="L2588">
        <f>K2588*(MIN(Inputs!$B$22+(F2600-Calc!F22),(Inputs!$B$23+(IF(ArtifactsInput!$M$15,CHOOSE(ArtifactsInput!$N$15+1,25,30,35,40,45,50)/100*(Inputs!$B$11-Inputs!$B$11),0))))/100+(Inputs!$B$23+(IF(ArtifactsInput!$M$15,CHOOSE(ArtifactsInput!$N$15+1,25,30,35,40,45,50)/100*(Inputs!$B$11-Inputs!$B$11),0)))/100)/2</f>
        <v/>
      </c>
      <c r="M2588">
        <f>L2588*(1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8">
        <f>L2588*(1-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2588*(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8">
        <f>(1-Summary!$B$11)*S2588+Summary!$B$11*U2588</f>
        <v/>
      </c>
      <c r="P2588">
        <f>IF(B2619=0,0,O2588/B2619)</f>
        <v/>
      </c>
      <c r="Q2588">
        <f>IFERROR(1/(IF(Inputs!$B$38="pvp",15,MAX(0.1,Skills!E10-IF(Skills!F10=TRUE,Inputs!$B$32,0)))*(1-IF(AND(ArtifactsInput!$M$27,Inputs!$B$4="Chapter Hunt"),CHOOSE(ArtifactsInput!$N$27+1,20,24,28,32,36,40),0)/100)),0)</f>
        <v/>
      </c>
      <c r="R2588">
        <f>IF(AND(Inputs!$B$38&lt;&gt;"pvp",Inputs!$B$43&gt;0),IF(MAX(0,Inputs!$B$43-B2616)&lt;=0,0,(INT(MAX(0,Inputs!$B$43-B2616)/(IF(Inputs!$B$38="pvp",15,MAX(0.1,Skills!E10-IF(Skills!F10=TRUE,Inputs!$B$32,0)))*(1-IF(AND(ArtifactsInput!$M$27,Inputs!$B$4="Chapter Hunt"),CHOOSE(ArtifactsInput!$N$27+1,20,24,28,32,36,40),0)/100)))+1)),0)</f>
        <v/>
      </c>
      <c r="S2588">
        <f>IF(C2588,(H2588*N2588*IF(AND(Inputs!$B$38&lt;&gt;"pvp",Inputs!$B$43&gt;0),((Skills!G10*((R2588-1)*IF(Skills!H10&gt;0,Skills!I10/Skills!H10,1)+IF(Skills!H10&gt;0,MIN(Skills!I10,MAX(0,MAX(0,Inputs!$B$43-B2616)-((R2588-1)*(IF(Inputs!$B$38="pvp",15,MAX(0.1,Skills!E10-IF(Skills!F10=TRUE,Inputs!$B$32,0)))*(1-IF(AND(ArtifactsInput!$M$27,Inputs!$B$4="Chapter Hunt"),CHOOSE(ArtifactsInput!$N$27+1,20,24,28,32,36,40),0)/100)))))/Skills!H10,1)))/Inputs!$B$43),G2588*Q2588)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2588*(1-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2588*(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2588*(1-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2588*(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88">
        <f>IF(C2588,(H2588*N2588*IF(AND(Inputs!$B$38&lt;&gt;"pvp",Inputs!$B$43&gt;0),((Skills!G10*((R2588-1)*IF(Skills!H10&gt;0,Skills!I10/Skills!H10,1)+IF(Skills!H10&gt;0,MIN(Skills!I10,MAX(0,MAX(0,Inputs!$B$43-B2616)-((R2588-1)*(IF(Inputs!$B$38="pvp",15,MAX(0.1,Skills!E10-IF(Skills!F10=TRUE,Inputs!$B$32,0)))*(1-IF(AND(ArtifactsInput!$M$27,Inputs!$B$4="Chapter Hunt"),CHOOSE(ArtifactsInput!$N$27+1,20,24,28,32,36,40),0)/100)))))/Skills!H10,1)))/Inputs!$B$43),G2588*Q2588)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9">
      <c r="A2589">
        <f>Skills!A11</f>
        <v/>
      </c>
      <c r="B2589">
        <f>Skills!B11</f>
        <v/>
      </c>
      <c r="C2589">
        <f>TRUE</f>
        <v/>
      </c>
      <c r="D2589">
        <f>IF(Skills!C11=1,60+Inputs!$B$25+Inputs!$B$29,IF(Skills!C11=2,90+Inputs!$B$26+Inputs!$B$29,IF(Skills!C11=3,120+Inputs!$B$27+Inputs!$B$29,MAX(0,(Inputs!$B$3-100)*3)+Inputs!$B$28+Inputs!$B$29)))</f>
        <v/>
      </c>
      <c r="E2589">
        <f>INDEX(FactorTable!$B$2:$Y$301, MATCH(ROUND(MIN(300,MAX(1,D2589)),0), FactorTable!$A$2:$A$301,0), Skills!M11+1)</f>
        <v/>
      </c>
      <c r="F2589">
        <f>IF(Skills!N11=TRUE,(Skills!L11/10)*(E2589/1000),Skills!L11/10)+Skills!O11</f>
        <v/>
      </c>
      <c r="G2589">
        <f>Calc!G11</f>
        <v/>
      </c>
      <c r="H2589">
        <f>Calc!H11</f>
        <v/>
      </c>
      <c r="I2589">
        <f>IF(Skills!X11&lt;&gt;"",1+(Skills!X11/10)*(Z2581/1000)/100,1)</f>
        <v/>
      </c>
      <c r="J2589" t="inlineStr"/>
      <c r="K2589" t="inlineStr"/>
      <c r="L2589" t="inlineStr"/>
      <c r="M2589" t="inlineStr"/>
      <c r="N2589" t="inlineStr"/>
      <c r="O2589">
        <f>(1-Summary!$B$11)*S2589+Summary!$B$11*U2589</f>
        <v/>
      </c>
      <c r="P2589">
        <f>IF(B2619=0,0,O2589/B2619)</f>
        <v/>
      </c>
      <c r="Q2589">
        <f>IFERROR(1/(IF(Inputs!$B$38="pvp",15,MAX(0.1,Skills!E11-IF(Skills!F11=TRUE,Inputs!$B$32,0)))*(1-IF(AND(ArtifactsInput!$M$27,Inputs!$B$4="Chapter Hunt"),CHOOSE(ArtifactsInput!$N$27+1,20,24,28,32,36,40),0)/100)),0)</f>
        <v/>
      </c>
      <c r="R2589" t="n">
        <v>0</v>
      </c>
      <c r="S2589" t="n">
        <v>0</v>
      </c>
      <c r="U2589" t="n">
        <v>0</v>
      </c>
    </row>
    <row r="2590">
      <c r="A2590">
        <f>Skills!A12</f>
        <v/>
      </c>
      <c r="B2590">
        <f>Skills!B12</f>
        <v/>
      </c>
      <c r="C2590">
        <f>TRUE</f>
        <v/>
      </c>
      <c r="D2590">
        <f>IF(Skills!C12=1,60+Inputs!$B$25+Inputs!$B$29,IF(Skills!C12=2,90+Inputs!$B$26+Inputs!$B$29,IF(Skills!C12=3,120+Inputs!$B$27+Inputs!$B$29,MAX(0,(Inputs!$B$3-100)*3)+Inputs!$B$28+Inputs!$B$29)))</f>
        <v/>
      </c>
      <c r="E2590">
        <f>INDEX(FactorTable!$B$2:$Y$301, MATCH(ROUND(MIN(300,MAX(1,D2590)),0), FactorTable!$A$2:$A$301,0), Skills!M12+1)</f>
        <v/>
      </c>
      <c r="F2590">
        <f>IF(Skills!N12=TRUE,(Skills!L12/10)*(E2590/1000),Skills!L12/10)+Skills!O12</f>
        <v/>
      </c>
      <c r="G2590">
        <f>Calc!G12</f>
        <v/>
      </c>
      <c r="H2590">
        <f>Calc!H12</f>
        <v/>
      </c>
      <c r="I2590">
        <f>IF(Skills!X12&lt;&gt;"",1+(Skills!X12/10)*(Z2581/1000)/100,1)</f>
        <v/>
      </c>
      <c r="J2590" t="inlineStr"/>
      <c r="K2590" t="inlineStr"/>
      <c r="L2590" t="inlineStr"/>
      <c r="M2590" t="inlineStr"/>
      <c r="N2590" t="inlineStr"/>
      <c r="O2590">
        <f>(1-Summary!$B$11)*S2590+Summary!$B$11*U2590</f>
        <v/>
      </c>
      <c r="P2590">
        <f>IF(B2619=0,0,O2590/B2619)</f>
        <v/>
      </c>
      <c r="Q2590">
        <f>IFERROR(1/(IF(Inputs!$B$38="pvp",15,MAX(0.1,Skills!E12-IF(Skills!F12=TRUE,Inputs!$B$32,0)))*(1-IF(AND(ArtifactsInput!$M$27,Inputs!$B$4="Chapter Hunt"),CHOOSE(ArtifactsInput!$N$27+1,20,24,28,32,36,40),0)/100)),0)</f>
        <v/>
      </c>
      <c r="R2590" t="n">
        <v>0</v>
      </c>
      <c r="S2590" t="n">
        <v>0</v>
      </c>
      <c r="U2590" t="n">
        <v>0</v>
      </c>
    </row>
    <row r="2591">
      <c r="A2591">
        <f>Skills!A13</f>
        <v/>
      </c>
      <c r="B2591">
        <f>Skills!B13</f>
        <v/>
      </c>
      <c r="C2591">
        <f>Inputs!$B$3&gt;=105</f>
        <v/>
      </c>
      <c r="D2591">
        <f>IF(Skills!C13=1,60+Inputs!$B$25+Inputs!$B$29,IF(Skills!C13=2,90+Inputs!$B$26+Inputs!$B$29,IF(Skills!C13=3,120+Inputs!$B$27+Inputs!$B$29,MAX(0,(Inputs!$B$3-100)*3)+Inputs!$B$28+Inputs!$B$29)))</f>
        <v/>
      </c>
      <c r="E2591">
        <f>INDEX(FactorTable!$B$2:$Y$301, MATCH(ROUND(MIN(300,MAX(1,D2591)),0), FactorTable!$A$2:$A$301,0), Skills!M13+1)</f>
        <v/>
      </c>
      <c r="F2591">
        <f>IF(Skills!N13=TRUE,(Skills!L13/10)*(E2591/1000),Skills!L13/10)+Skills!O13</f>
        <v/>
      </c>
      <c r="G2591">
        <f>Calc!G13</f>
        <v/>
      </c>
      <c r="H2591">
        <f>Calc!H13</f>
        <v/>
      </c>
      <c r="I2591">
        <f>IF(Skills!X13&lt;&gt;"",1+(Skills!X13/10)*(Z2581/1000)/100,1)</f>
        <v/>
      </c>
      <c r="J2591">
        <f>((Inputs!$B$6*(1+Inputs!$B$7/100))+(((Inputs!$B$12*(1+Inputs!$B$13/100))-(Inputs!$B$12*(1+Inputs!$B$13/100)))+0.25*(Inputs!$B$14-Inputs!$B$14))*(1+Inputs!$B$7/100))*(F2591/100)</f>
        <v/>
      </c>
      <c r="K2591">
        <f>J2591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2591)</f>
        <v/>
      </c>
      <c r="L2591">
        <f>K2591*(MIN(Inputs!$B$22+(F2600-Calc!F22),(Inputs!$B$23+(IF(ArtifactsInput!$M$15,CHOOSE(ArtifactsInput!$N$15+1,25,30,35,40,45,50)/100*(Inputs!$B$11-Inputs!$B$11),0))))/100+(Inputs!$B$23+(IF(ArtifactsInput!$M$15,CHOOSE(ArtifactsInput!$N$15+1,25,30,35,40,45,50)/100*(Inputs!$B$11-Inputs!$B$11),0)))/100)/2</f>
        <v/>
      </c>
      <c r="M2591">
        <f>L2591*(1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1">
        <f>L2591*(1-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1">
        <f>(1-Summary!$B$11)*S2591+Summary!$B$11*U2591</f>
        <v/>
      </c>
      <c r="P2591">
        <f>IF(B2619=0,0,O2591/B2619)</f>
        <v/>
      </c>
      <c r="Q2591">
        <f>IFERROR(1/(IF(Inputs!$B$38="pvp",15,MAX(0.1,Skills!E13-IF(Skills!F13=TRUE,Inputs!$B$32,0)))*(1-IF(AND(ArtifactsInput!$M$27,Inputs!$B$4="Chapter Hunt"),CHOOSE(ArtifactsInput!$N$27+1,20,24,28,32,36,40),0)/100)),0)</f>
        <v/>
      </c>
      <c r="R2591">
        <f>IF(AND(Inputs!$B$38&lt;&gt;"pvp",Inputs!$B$43&gt;0),IF(MAX(0,Inputs!$B$43-B2616)&lt;=0,0,(INT(MAX(0,Inputs!$B$43-B2616)/(IF(Inputs!$B$38="pvp",15,MAX(0.1,Skills!E13-IF(Skills!F13=TRUE,Inputs!$B$32,0)))*(1-IF(AND(ArtifactsInput!$M$27,Inputs!$B$4="Chapter Hunt"),CHOOSE(ArtifactsInput!$N$27+1,20,24,28,32,36,40),0)/100)))+1)),0)</f>
        <v/>
      </c>
      <c r="S2591">
        <f>IF(C2591,(H2591*N2591*IF(AND(Inputs!$B$38&lt;&gt;"pvp",Inputs!$B$43&gt;0),((Skills!G13*((R2591-1)*IF(Skills!H13&gt;0,Skills!I13/Skills!H13,1)+IF(Skills!H13&gt;0,MIN(Skills!I13,MAX(0,MAX(0,Inputs!$B$43-B2616)-((R2591-1)*(IF(Inputs!$B$38="pvp",15,MAX(0.1,Skills!E13-IF(Skills!F13=TRUE,Inputs!$B$32,0)))*(1-IF(AND(ArtifactsInput!$M$27,Inputs!$B$4="Chapter Hunt"),CHOOSE(ArtifactsInput!$N$27+1,20,24,28,32,36,40),0)/100)))))/Skills!H13,1)))/Inputs!$B$43),G2591*Q2591)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2591*(1-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2591*(1-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1">
        <f>IF(C2591,(H2591*N2591*IF(AND(Inputs!$B$38&lt;&gt;"pvp",Inputs!$B$43&gt;0),((Skills!G13*((R2591-1)*IF(Skills!H13&gt;0,Skills!I13/Skills!H13,1)+IF(Skills!H13&gt;0,MIN(Skills!I13,MAX(0,MAX(0,Inputs!$B$43-B2616)-((R2591-1)*(IF(Inputs!$B$38="pvp",15,MAX(0.1,Skills!E13-IF(Skills!F13=TRUE,Inputs!$B$32,0)))*(1-IF(AND(ArtifactsInput!$M$27,Inputs!$B$4="Chapter Hunt"),CHOOSE(ArtifactsInput!$N$27+1,20,24,28,32,36,40),0)/100)))))/Skills!H13,1)))/Inputs!$B$43),G2591*Q2591)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2">
      <c r="A2592">
        <f>Skills!A14</f>
        <v/>
      </c>
      <c r="B2592">
        <f>Skills!B14</f>
        <v/>
      </c>
      <c r="C2592">
        <f>Inputs!$B$3&gt;=113</f>
        <v/>
      </c>
      <c r="D2592">
        <f>IF(Skills!C14=1,60+Inputs!$B$25+Inputs!$B$29,IF(Skills!C14=2,90+Inputs!$B$26+Inputs!$B$29,IF(Skills!C14=3,120+Inputs!$B$27+Inputs!$B$29,MAX(0,(Inputs!$B$3-100)*3)+Inputs!$B$28+Inputs!$B$29)))</f>
        <v/>
      </c>
      <c r="E2592">
        <f>INDEX(FactorTable!$B$2:$Y$301, MATCH(ROUND(MIN(300,MAX(1,D2592)),0), FactorTable!$A$2:$A$301,0), Skills!M14+1)</f>
        <v/>
      </c>
      <c r="F2592">
        <f>IF(Skills!N14=TRUE,(Skills!L14/10)*(E2592/1000),Skills!L14/10)+Skills!O14</f>
        <v/>
      </c>
      <c r="G2592">
        <f>Calc!G14</f>
        <v/>
      </c>
      <c r="H2592">
        <f>Calc!H14</f>
        <v/>
      </c>
      <c r="I2592">
        <f>IF(Skills!X14&lt;&gt;"",1+(Skills!X14/10)*(Z2581/1000)/100,1)</f>
        <v/>
      </c>
      <c r="J2592">
        <f>((Inputs!$B$6*(1+Inputs!$B$7/100))+(((Inputs!$B$12*(1+Inputs!$B$13/100))-(Inputs!$B$12*(1+Inputs!$B$13/100)))+0.25*(Inputs!$B$14-Inputs!$B$14))*(1+Inputs!$B$7/100))*(F2592/100)</f>
        <v/>
      </c>
      <c r="K2592">
        <f>J2592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2592)</f>
        <v/>
      </c>
      <c r="L2592">
        <f>K2592*(MIN(Inputs!$B$22+(F2600-Calc!F22),(Inputs!$B$23+(IF(ArtifactsInput!$M$15,CHOOSE(ArtifactsInput!$N$15+1,25,30,35,40,45,50)/100*(Inputs!$B$11-Inputs!$B$11),0))))/100+(Inputs!$B$23+(IF(ArtifactsInput!$M$15,CHOOSE(ArtifactsInput!$N$15+1,25,30,35,40,45,50)/100*(Inputs!$B$11-Inputs!$B$11),0)))/100)/2</f>
        <v/>
      </c>
      <c r="M2592">
        <f>L2592*(1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2">
        <f>L2592*(1-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2592*(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2">
        <f>(1-Summary!$B$11)*S2592+Summary!$B$11*U2592</f>
        <v/>
      </c>
      <c r="P2592">
        <f>IF(B2619=0,0,O2592/B2619)</f>
        <v/>
      </c>
      <c r="Q2592">
        <f>IFERROR(1/(IF(Inputs!$B$38="pvp",15,MAX(0.1,Skills!E14-IF(Skills!F14=TRUE,Inputs!$B$32,0)))*(1-IF(AND(ArtifactsInput!$M$27,Inputs!$B$4="Chapter Hunt"),CHOOSE(ArtifactsInput!$N$27+1,20,24,28,32,36,40),0)/100)),0)</f>
        <v/>
      </c>
      <c r="R2592" t="n">
        <v>0</v>
      </c>
      <c r="S2592">
        <f>IF(C2592,((H2592*B2615)/(1+Skills!H14*H2592*B2615)*N2592)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2592*(1-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2592*(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2592*(1-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2592*(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2">
        <f>IF(C2592,((H2592*B2615)/(1+Skills!H14*H2592*B2615)*N2592)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3">
      <c r="A2593">
        <f>Skills!A15</f>
        <v/>
      </c>
      <c r="B2593">
        <f>Skills!B15</f>
        <v/>
      </c>
      <c r="C2593">
        <f>Inputs!$B$3&gt;=107</f>
        <v/>
      </c>
      <c r="D2593">
        <f>IF(Skills!C15=1,60+Inputs!$B$25+Inputs!$B$29,IF(Skills!C15=2,90+Inputs!$B$26+Inputs!$B$29,IF(Skills!C15=3,120+Inputs!$B$27+Inputs!$B$29,MAX(0,(Inputs!$B$3-100)*3)+Inputs!$B$28+Inputs!$B$29)))</f>
        <v/>
      </c>
      <c r="E2593">
        <f>INDEX(FactorTable!$B$2:$Y$301, MATCH(ROUND(MIN(300,MAX(1,D2593)),0), FactorTable!$A$2:$A$301,0), Skills!M15+1)</f>
        <v/>
      </c>
      <c r="F2593">
        <f>IF(Skills!N15=TRUE,(Skills!L15/10)*(E2593/1000),Skills!L15/10)+Skills!O15</f>
        <v/>
      </c>
      <c r="G2593">
        <f>Calc!G15</f>
        <v/>
      </c>
      <c r="H2593">
        <f>Calc!H15</f>
        <v/>
      </c>
      <c r="I2593">
        <f>IF(Skills!X15&lt;&gt;"",1+(Skills!X15/10)*(Z2581/1000)/100,1)</f>
        <v/>
      </c>
      <c r="J2593">
        <f>((Inputs!$B$6*(1+Inputs!$B$7/100))+(((Inputs!$B$12*(1+Inputs!$B$13/100))-(Inputs!$B$12*(1+Inputs!$B$13/100)))+0.25*(Inputs!$B$14-Inputs!$B$14))*(1+Inputs!$B$7/100))*(F2593/100)</f>
        <v/>
      </c>
      <c r="K2593">
        <f>J2593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2593)</f>
        <v/>
      </c>
      <c r="L2593">
        <f>K2593*(MIN(Inputs!$B$22+(F2600-Calc!F22),(Inputs!$B$23+(IF(ArtifactsInput!$M$15,CHOOSE(ArtifactsInput!$N$15+1,25,30,35,40,45,50)/100*(Inputs!$B$11-Inputs!$B$11),0))))/100+(Inputs!$B$23+(IF(ArtifactsInput!$M$15,CHOOSE(ArtifactsInput!$N$15+1,25,30,35,40,45,50)/100*(Inputs!$B$11-Inputs!$B$11),0)))/100)/2</f>
        <v/>
      </c>
      <c r="M2593">
        <f>L2593*(1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3">
        <f>L2593*(1-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2593*(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3">
        <f>(1-Summary!$B$11)*S2593+Summary!$B$11*U2593</f>
        <v/>
      </c>
      <c r="P2593">
        <f>IF(B2619=0,0,O2593/B2619)</f>
        <v/>
      </c>
      <c r="Q2593">
        <f>IFERROR(1/(IF(Inputs!$B$38="pvp",15,MAX(0.1,Skills!E15-IF(Skills!F15=TRUE,Inputs!$B$32,0)))*(1-IF(AND(ArtifactsInput!$M$27,Inputs!$B$4="Chapter Hunt"),CHOOSE(ArtifactsInput!$N$27+1,20,24,28,32,36,40),0)/100)),0)</f>
        <v/>
      </c>
      <c r="R2593">
        <f>IF(AND(Inputs!$B$38&lt;&gt;"pvp",Inputs!$B$43&gt;0),IF(MAX(0,Inputs!$B$43-B2616)&lt;=0,0,(INT(MAX(0,Inputs!$B$43-B2616)/(IF(Inputs!$B$38="pvp",15,MAX(0.1,Skills!E15-IF(Skills!F15=TRUE,Inputs!$B$32,0)))*(1-IF(AND(ArtifactsInput!$M$27,Inputs!$B$4="Chapter Hunt"),CHOOSE(ArtifactsInput!$N$27+1,20,24,28,32,36,40),0)/100)))+1)),0)</f>
        <v/>
      </c>
      <c r="S2593">
        <f>IF(C2593,(H2593*N2593*IF(AND(Inputs!$B$38&lt;&gt;"pvp",Inputs!$B$43&gt;0),((Skills!G15*((R2593-1)*IF(Skills!H15&gt;0,Skills!I15/Skills!H15,1)+IF(Skills!H15&gt;0,MIN(Skills!I15,MAX(0,MAX(0,Inputs!$B$43-B2616)-((R2593-1)*(IF(Inputs!$B$38="pvp",15,MAX(0.1,Skills!E15-IF(Skills!F15=TRUE,Inputs!$B$32,0)))*(1-IF(AND(ArtifactsInput!$M$27,Inputs!$B$4="Chapter Hunt"),CHOOSE(ArtifactsInput!$N$27+1,20,24,28,32,36,40),0)/100)))))/Skills!H15,1)))/Inputs!$B$43),G2593*Q2593)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2593*(1-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2593*(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2593*(1-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2593*(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3">
        <f>IF(C2593,(H2593*N2593*IF(AND(Inputs!$B$38&lt;&gt;"pvp",Inputs!$B$43&gt;0),((Skills!G15*((R2593-1)*IF(Skills!H15&gt;0,Skills!I15/Skills!H15,1)+IF(Skills!H15&gt;0,MIN(Skills!I15,MAX(0,MAX(0,Inputs!$B$43-B2616)-((R2593-1)*(IF(Inputs!$B$38="pvp",15,MAX(0.1,Skills!E15-IF(Skills!F15=TRUE,Inputs!$B$32,0)))*(1-IF(AND(ArtifactsInput!$M$27,Inputs!$B$4="Chapter Hunt"),CHOOSE(ArtifactsInput!$N$27+1,20,24,28,32,36,40),0)/100)))))/Skills!H15,1)))/Inputs!$B$43),G2593*Q2593)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4">
      <c r="A2594">
        <f>Skills!A16</f>
        <v/>
      </c>
      <c r="B2594">
        <f>Skills!B16</f>
        <v/>
      </c>
      <c r="C2594">
        <f>Inputs!$B$3&gt;=107</f>
        <v/>
      </c>
      <c r="D2594">
        <f>IF(Skills!C16=1,60+Inputs!$B$25+Inputs!$B$29,IF(Skills!C16=2,90+Inputs!$B$26+Inputs!$B$29,IF(Skills!C16=3,120+Inputs!$B$27+Inputs!$B$29,MAX(0,(Inputs!$B$3-100)*3)+Inputs!$B$28+Inputs!$B$29)))</f>
        <v/>
      </c>
      <c r="E2594">
        <f>INDEX(FactorTable!$B$2:$Y$301, MATCH(ROUND(MIN(300,MAX(1,D2594)),0), FactorTable!$A$2:$A$301,0), Skills!M16+1)</f>
        <v/>
      </c>
      <c r="F2594">
        <f>IF(Skills!N16=TRUE,(Skills!L16/10)*(E2594/1000),Skills!L16/10)+Skills!O16</f>
        <v/>
      </c>
      <c r="G2594">
        <f>Calc!G16</f>
        <v/>
      </c>
      <c r="H2594">
        <f>Calc!H16</f>
        <v/>
      </c>
      <c r="I2594">
        <f>IF(Skills!X16&lt;&gt;"",1+(Skills!X16/10)*(Z2581/1000)/100,1)</f>
        <v/>
      </c>
      <c r="J2594">
        <f>((Inputs!$B$6*(1+Inputs!$B$7/100))+(((Inputs!$B$12*(1+Inputs!$B$13/100))-(Inputs!$B$12*(1+Inputs!$B$13/100)))+0.25*(Inputs!$B$14-Inputs!$B$14))*(1+Inputs!$B$7/100))*(F2594/100)</f>
        <v/>
      </c>
      <c r="K2594">
        <f>J2594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2594)</f>
        <v/>
      </c>
      <c r="L2594">
        <f>K2594*(MIN(Inputs!$B$22+(F2600-Calc!F22),(Inputs!$B$23+(IF(ArtifactsInput!$M$15,CHOOSE(ArtifactsInput!$N$15+1,25,30,35,40,45,50)/100*(Inputs!$B$11-Inputs!$B$11),0))))/100+(Inputs!$B$23+(IF(ArtifactsInput!$M$15,CHOOSE(ArtifactsInput!$N$15+1,25,30,35,40,45,50)/100*(Inputs!$B$11-Inputs!$B$11),0)))/100)/2</f>
        <v/>
      </c>
      <c r="M2594">
        <f>L2594*(1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4">
        <f>L2594*(1-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2594*(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4">
        <f>(1-Summary!$B$11)*S2594+Summary!$B$11*U2594</f>
        <v/>
      </c>
      <c r="P2594">
        <f>IF(B2619=0,0,O2594/B2619)</f>
        <v/>
      </c>
      <c r="Q2594">
        <f>IFERROR(1/(IF(Inputs!$B$38="pvp",15,MAX(0.1,Skills!E16-IF(Skills!F16=TRUE,Inputs!$B$32,0)))*(1-IF(AND(ArtifactsInput!$M$27,Inputs!$B$4="Chapter Hunt"),CHOOSE(ArtifactsInput!$N$27+1,20,24,28,32,36,40),0)/100)),0)</f>
        <v/>
      </c>
      <c r="R2594">
        <f>IF(AND(Inputs!$B$38&lt;&gt;"pvp",Inputs!$B$43&gt;0),IF(MAX(0,Inputs!$B$43-B2616)&lt;=0,0,(INT(MAX(0,Inputs!$B$43-B2616)/(IF(Inputs!$B$38="pvp",15,MAX(0.1,Skills!E16-IF(Skills!F16=TRUE,Inputs!$B$32,0)))*(1-IF(AND(ArtifactsInput!$M$27,Inputs!$B$4="Chapter Hunt"),CHOOSE(ArtifactsInput!$N$27+1,20,24,28,32,36,40),0)/100)))+1)),0)</f>
        <v/>
      </c>
      <c r="S2594">
        <f>IF(C2594,(H2594*N2594*IF(AND(Inputs!$B$38&lt;&gt;"pvp",Inputs!$B$43&gt;0),((Skills!G16*((R2594-1)*IF(Skills!H16&gt;0,Skills!I16/Skills!H16,1)+IF(Skills!H16&gt;0,MIN(Skills!I16,MAX(0,MAX(0,Inputs!$B$43-B2616)-((R2594-1)*(IF(Inputs!$B$38="pvp",15,MAX(0.1,Skills!E16-IF(Skills!F16=TRUE,Inputs!$B$32,0)))*(1-IF(AND(ArtifactsInput!$M$27,Inputs!$B$4="Chapter Hunt"),CHOOSE(ArtifactsInput!$N$27+1,20,24,28,32,36,40),0)/100)))))/Skills!H16,1)))/Inputs!$B$43),G2594*Q2594)*(1+IF(Inputs!$B$3&gt;=126,0.05*(B2614+Q2591+(H2592*B2615)/(1+Skills!H14*H2592*B2615)+Q2602)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2594*(1-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2594*(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2594*(1-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2594*(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4">
        <f>IF(C2594,(H2594*N2594*IF(AND(Inputs!$B$38&lt;&gt;"pvp",Inputs!$B$43&gt;0),((Skills!G16*((R2594-1)*IF(Skills!H16&gt;0,Skills!I16/Skills!H16,1)+IF(Skills!H16&gt;0,MIN(Skills!I16,MAX(0,MAX(0,Inputs!$B$43-B2616)-((R2594-1)*(IF(Inputs!$B$38="pvp",15,MAX(0.1,Skills!E16-IF(Skills!F16=TRUE,Inputs!$B$32,0)))*(1-IF(AND(ArtifactsInput!$M$27,Inputs!$B$4="Chapter Hunt"),CHOOSE(ArtifactsInput!$N$27+1,20,24,28,32,36,40),0)/100)))))/Skills!H16,1)))/Inputs!$B$43),G2594*Q2594)*(1+IF(Inputs!$B$3&gt;=126,0.05*(B2614+Q2591+(H2592*B2615)/(1+Skills!H14*H2592*B2615)+Q2602)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5">
      <c r="A2595">
        <f>Skills!A17</f>
        <v/>
      </c>
      <c r="B2595">
        <f>Skills!B17</f>
        <v/>
      </c>
      <c r="C2595">
        <f>TRUE</f>
        <v/>
      </c>
      <c r="D2595">
        <f>IF(Skills!C17=1,60+Inputs!$B$25+Inputs!$B$29,IF(Skills!C17=2,90+Inputs!$B$26+Inputs!$B$29,IF(Skills!C17=3,120+Inputs!$B$27+Inputs!$B$29,MAX(0,(Inputs!$B$3-100)*3)+Inputs!$B$28+Inputs!$B$29)))</f>
        <v/>
      </c>
      <c r="E2595">
        <f>INDEX(FactorTable!$B$2:$Y$301, MATCH(ROUND(MIN(300,MAX(1,D2595)),0), FactorTable!$A$2:$A$301,0), Skills!M17+1)</f>
        <v/>
      </c>
      <c r="F2595">
        <f>IF(Skills!N17=TRUE,(Skills!L17/10)*(E2595/1000),Skills!L17/10)+Skills!O17</f>
        <v/>
      </c>
      <c r="G2595">
        <f>Calc!G17</f>
        <v/>
      </c>
      <c r="H2595">
        <f>Calc!H17</f>
        <v/>
      </c>
      <c r="I2595">
        <f>IF(Skills!X17&lt;&gt;"",1+(Skills!X17/10)*(Z2581/1000)/100,1)</f>
        <v/>
      </c>
      <c r="J2595" t="inlineStr"/>
      <c r="K2595" t="inlineStr"/>
      <c r="L2595" t="inlineStr"/>
      <c r="M2595" t="inlineStr"/>
      <c r="N2595" t="inlineStr"/>
      <c r="O2595">
        <f>(1-Summary!$B$11)*S2595+Summary!$B$11*U2595</f>
        <v/>
      </c>
      <c r="P2595">
        <f>IF(B2619=0,0,O2595/B2619)</f>
        <v/>
      </c>
      <c r="Q2595">
        <f>IFERROR(1/(IF(Inputs!$B$38="pvp",15,MAX(0.1,Skills!E17-IF(Skills!F17=TRUE,Inputs!$B$32,0)))*(1-IF(AND(ArtifactsInput!$M$27,Inputs!$B$4="Chapter Hunt"),CHOOSE(ArtifactsInput!$N$27+1,20,24,28,32,36,40),0)/100)),0)</f>
        <v/>
      </c>
      <c r="R2595">
        <f>IF(AND(Inputs!$B$38&lt;&gt;"pvp",Inputs!$B$43&gt;0),IF(Inputs!$B$43&lt;=0,0,(INT(Inputs!$B$43/(IF(Inputs!$B$38="pvp",15,MAX(0.1,Skills!E17-IF(Skills!F17=TRUE,Inputs!$B$32,0)))*(1-IF(AND(ArtifactsInput!$M$27,Inputs!$B$4="Chapter Hunt"),CHOOSE(ArtifactsInput!$N$27+1,20,24,28,32,36,40),0)/100)))+1)),0)</f>
        <v/>
      </c>
      <c r="S2595" t="n">
        <v>0</v>
      </c>
      <c r="U2595" t="n">
        <v>0</v>
      </c>
    </row>
    <row r="2596">
      <c r="A2596">
        <f>Skills!A18</f>
        <v/>
      </c>
      <c r="B2596">
        <f>Skills!B18</f>
        <v/>
      </c>
      <c r="C2596">
        <f>TRUE</f>
        <v/>
      </c>
      <c r="D2596">
        <f>IF(Skills!C18=1,60+Inputs!$B$25+Inputs!$B$29,IF(Skills!C18=2,90+Inputs!$B$26+Inputs!$B$29,IF(Skills!C18=3,120+Inputs!$B$27+Inputs!$B$29,MAX(0,(Inputs!$B$3-100)*3)+Inputs!$B$28+Inputs!$B$29)))</f>
        <v/>
      </c>
      <c r="E2596">
        <f>INDEX(FactorTable!$B$2:$Y$301, MATCH(ROUND(MIN(300,MAX(1,D2596)),0), FactorTable!$A$2:$A$301,0), Skills!M18+1)</f>
        <v/>
      </c>
      <c r="F2596">
        <f>IF(Skills!N18=TRUE,(Skills!L18/10)*(E2596/1000),Skills!L18/10)+Skills!O18</f>
        <v/>
      </c>
      <c r="G2596">
        <f>Calc!G18</f>
        <v/>
      </c>
      <c r="H2596">
        <f>Calc!H18</f>
        <v/>
      </c>
      <c r="I2596">
        <f>IF(Skills!X18&lt;&gt;"",1+(Skills!X18/10)*(Z2581/1000)/100,1)</f>
        <v/>
      </c>
      <c r="J2596" t="inlineStr"/>
      <c r="K2596" t="inlineStr"/>
      <c r="L2596" t="inlineStr"/>
      <c r="M2596" t="inlineStr"/>
      <c r="N2596" t="inlineStr"/>
      <c r="O2596">
        <f>(1-Summary!$B$11)*S2596+Summary!$B$11*U2596</f>
        <v/>
      </c>
      <c r="P2596">
        <f>IF(B2619=0,0,O2596/B2619)</f>
        <v/>
      </c>
      <c r="Q2596">
        <f>IFERROR(1/(IF(Inputs!$B$38="pvp",15,MAX(0.1,Skills!E18-IF(Skills!F18=TRUE,Inputs!$B$32,0)))*(1-IF(AND(ArtifactsInput!$M$27,Inputs!$B$4="Chapter Hunt"),CHOOSE(ArtifactsInput!$N$27+1,20,24,28,32,36,40),0)/100)),0)</f>
        <v/>
      </c>
      <c r="R2596">
        <f>IF(AND(Inputs!$B$38&lt;&gt;"pvp",Inputs!$B$43&gt;0),IF(Inputs!$B$43&lt;=0,0,(INT(Inputs!$B$43/(IF(Inputs!$B$38="pvp",15,MAX(0.1,Skills!E18-IF(Skills!F18=TRUE,Inputs!$B$32,0)))*(1-IF(AND(ArtifactsInput!$M$27,Inputs!$B$4="Chapter Hunt"),CHOOSE(ArtifactsInput!$N$27+1,20,24,28,32,36,40),0)/100)))+1)),0)</f>
        <v/>
      </c>
      <c r="S2596" t="n">
        <v>0</v>
      </c>
      <c r="U2596" t="n">
        <v>0</v>
      </c>
    </row>
    <row r="2597">
      <c r="A2597">
        <f>Skills!A19</f>
        <v/>
      </c>
      <c r="B2597">
        <f>Skills!B19</f>
        <v/>
      </c>
      <c r="C2597">
        <f>Inputs!$B$3&gt;=110</f>
        <v/>
      </c>
      <c r="D2597">
        <f>IF(Skills!C19=1,60+Inputs!$B$25+Inputs!$B$29,IF(Skills!C19=2,90+Inputs!$B$26+Inputs!$B$29,IF(Skills!C19=3,120+Inputs!$B$27+Inputs!$B$29,MAX(0,(Inputs!$B$3-100)*3)+Inputs!$B$28+Inputs!$B$29)))</f>
        <v/>
      </c>
      <c r="E2597">
        <f>INDEX(FactorTable!$B$2:$Y$301, MATCH(ROUND(MIN(300,MAX(1,D2597)),0), FactorTable!$A$2:$A$301,0), Skills!M19+1)</f>
        <v/>
      </c>
      <c r="F2597">
        <f>IF(Skills!N19=TRUE,(Skills!L19/10)*(E2597/1000),Skills!L19/10)+Skills!O19</f>
        <v/>
      </c>
      <c r="G2597">
        <f>Calc!G19</f>
        <v/>
      </c>
      <c r="H2597">
        <f>Calc!H19</f>
        <v/>
      </c>
      <c r="I2597">
        <f>IF(Skills!X19&lt;&gt;"",1+(Skills!X19/10)*(Z2581/1000)/100,1)</f>
        <v/>
      </c>
      <c r="J2597" t="inlineStr"/>
      <c r="K2597" t="inlineStr"/>
      <c r="L2597" t="inlineStr"/>
      <c r="M2597" t="inlineStr"/>
      <c r="N2597" t="inlineStr"/>
      <c r="O2597">
        <f>(1-Summary!$B$11)*S2597+Summary!$B$11*U2597</f>
        <v/>
      </c>
      <c r="P2597">
        <f>IF(B2619=0,0,O2597/B2619)</f>
        <v/>
      </c>
      <c r="Q2597">
        <f>IFERROR(1/(IF(Inputs!$B$38="pvp",15,MAX(0.1,Skills!E19-IF(Skills!F19=TRUE,Inputs!$B$32,0)))*(1-IF(AND(ArtifactsInput!$M$27,Inputs!$B$4="Chapter Hunt"),CHOOSE(ArtifactsInput!$N$27+1,20,24,28,32,36,40),0)/100)),0)</f>
        <v/>
      </c>
      <c r="R2597">
        <f>IF(AND(Inputs!$B$38&lt;&gt;"pvp",Inputs!$B$43&gt;0),IF(Inputs!$B$43&lt;=0,0,(INT(Inputs!$B$43/(IF(Inputs!$B$38="pvp",15,MAX(0.1,Skills!E19-IF(Skills!F19=TRUE,Inputs!$B$32,0)))*(1-IF(AND(ArtifactsInput!$M$27,Inputs!$B$4="Chapter Hunt"),CHOOSE(ArtifactsInput!$N$27+1,20,24,28,32,36,40),0)/100)))+1)),0)</f>
        <v/>
      </c>
      <c r="S2597" t="n">
        <v>0</v>
      </c>
      <c r="U2597" t="n">
        <v>0</v>
      </c>
    </row>
    <row r="2598">
      <c r="A2598">
        <f>Skills!A20</f>
        <v/>
      </c>
      <c r="B2598">
        <f>Skills!B20</f>
        <v/>
      </c>
      <c r="C2598">
        <f>TRUE</f>
        <v/>
      </c>
      <c r="D2598">
        <f>IF(Skills!C20=1,60+Inputs!$B$25+Inputs!$B$29,IF(Skills!C20=2,90+Inputs!$B$26+Inputs!$B$29,IF(Skills!C20=3,120+Inputs!$B$27+Inputs!$B$29,MAX(0,(Inputs!$B$3-100)*3)+Inputs!$B$28+Inputs!$B$29)))</f>
        <v/>
      </c>
      <c r="E2598">
        <f>INDEX(FactorTable!$B$2:$Y$301, MATCH(ROUND(MIN(300,MAX(1,D2598)),0), FactorTable!$A$2:$A$301,0), Skills!M20+1)</f>
        <v/>
      </c>
      <c r="F2598">
        <f>IF(Skills!N20=TRUE,(Skills!L20/10)*(E2598/1000),Skills!L20/10)+Skills!O20</f>
        <v/>
      </c>
      <c r="G2598">
        <f>Calc!G20</f>
        <v/>
      </c>
      <c r="H2598">
        <f>Calc!H20</f>
        <v/>
      </c>
      <c r="I2598">
        <f>IF(Skills!X20&lt;&gt;"",1+(Skills!X20/10)*(Z2581/1000)/100,1)</f>
        <v/>
      </c>
      <c r="J2598" t="inlineStr"/>
      <c r="K2598" t="inlineStr"/>
      <c r="L2598" t="inlineStr"/>
      <c r="M2598" t="inlineStr"/>
      <c r="N2598" t="inlineStr"/>
      <c r="O2598">
        <f>(1-Summary!$B$11)*S2598+Summary!$B$11*U2598</f>
        <v/>
      </c>
      <c r="P2598">
        <f>IF(B2619=0,0,O2598/B2619)</f>
        <v/>
      </c>
      <c r="Q2598">
        <f>IFERROR(1/(IF(Inputs!$B$38="pvp",15,MAX(0.1,Skills!E20-IF(Skills!F20=TRUE,Inputs!$B$32,0)))*(1-IF(AND(ArtifactsInput!$M$27,Inputs!$B$4="Chapter Hunt"),CHOOSE(ArtifactsInput!$N$27+1,20,24,28,32,36,40),0)/100)),0)</f>
        <v/>
      </c>
      <c r="R2598" t="n">
        <v>0</v>
      </c>
      <c r="S2598" t="n">
        <v>0</v>
      </c>
      <c r="U2598" t="n">
        <v>0</v>
      </c>
    </row>
    <row r="2599">
      <c r="A2599">
        <f>Skills!A21</f>
        <v/>
      </c>
      <c r="B2599">
        <f>Skills!B21</f>
        <v/>
      </c>
      <c r="C2599">
        <f>TRUE</f>
        <v/>
      </c>
      <c r="D2599">
        <f>IF(Skills!C21=1,60+Inputs!$B$25+Inputs!$B$29,IF(Skills!C21=2,90+Inputs!$B$26+Inputs!$B$29,IF(Skills!C21=3,120+Inputs!$B$27+Inputs!$B$29,MAX(0,(Inputs!$B$3-100)*3)+Inputs!$B$28+Inputs!$B$29)))</f>
        <v/>
      </c>
      <c r="E2599">
        <f>INDEX(FactorTable!$B$2:$Y$301, MATCH(ROUND(MIN(300,MAX(1,D2599)),0), FactorTable!$A$2:$A$301,0), Skills!M21+1)</f>
        <v/>
      </c>
      <c r="F2599">
        <f>IF(Skills!N21=TRUE,(Skills!L21/10)*(E2599/1000),Skills!L21/10)+Skills!O21</f>
        <v/>
      </c>
      <c r="G2599">
        <f>Calc!G21</f>
        <v/>
      </c>
      <c r="H2599">
        <f>Calc!H21</f>
        <v/>
      </c>
      <c r="I2599">
        <f>IF(Skills!X21&lt;&gt;"",1+(Skills!X21/10)*(Z2581/1000)/100,1)</f>
        <v/>
      </c>
      <c r="J2599" t="inlineStr"/>
      <c r="K2599" t="inlineStr"/>
      <c r="L2599" t="inlineStr"/>
      <c r="M2599" t="inlineStr"/>
      <c r="N2599" t="inlineStr"/>
      <c r="O2599">
        <f>(1-Summary!$B$11)*S2599+Summary!$B$11*U2599</f>
        <v/>
      </c>
      <c r="P2599">
        <f>IF(B2619=0,0,O2599/B2619)</f>
        <v/>
      </c>
      <c r="Q2599">
        <f>IFERROR(1/(IF(Inputs!$B$38="pvp",15,MAX(0.1,Skills!E21-IF(Skills!F21=TRUE,Inputs!$B$32,0)))*(1-IF(AND(ArtifactsInput!$M$27,Inputs!$B$4="Chapter Hunt"),CHOOSE(ArtifactsInput!$N$27+1,20,24,28,32,36,40),0)/100)),0)</f>
        <v/>
      </c>
      <c r="R2599" t="n">
        <v>0</v>
      </c>
      <c r="S2599" t="n">
        <v>0</v>
      </c>
      <c r="U2599" t="n">
        <v>0</v>
      </c>
    </row>
    <row r="2600">
      <c r="A2600">
        <f>Skills!A22</f>
        <v/>
      </c>
      <c r="B2600">
        <f>Skills!B22</f>
        <v/>
      </c>
      <c r="C2600">
        <f>TRUE</f>
        <v/>
      </c>
      <c r="D2600">
        <f>IF(Skills!C22=1,60+Inputs!$B$25+Inputs!$B$29,IF(Skills!C22=2,90+Inputs!$B$26+Inputs!$B$29,IF(Skills!C22=3,120+Inputs!$B$27+Inputs!$B$29,MAX(0,(Inputs!$B$3-100)*3)+Inputs!$B$28+Inputs!$B$29)))</f>
        <v/>
      </c>
      <c r="E2600">
        <f>INDEX(FactorTable!$B$2:$Y$301, MATCH(ROUND(MIN(300,MAX(1,D2600)),0), FactorTable!$A$2:$A$301,0), Skills!M22+1)</f>
        <v/>
      </c>
      <c r="F2600">
        <f>IF(Skills!N22=TRUE,(Skills!L22/10)*(E2600/1000),Skills!L22/10)+Skills!O22</f>
        <v/>
      </c>
      <c r="G2600">
        <f>Calc!G22</f>
        <v/>
      </c>
      <c r="H2600">
        <f>Calc!H22</f>
        <v/>
      </c>
      <c r="I2600">
        <f>IF(Skills!X22&lt;&gt;"",1+(Skills!X22/10)*(Z2581/1000)/100,1)</f>
        <v/>
      </c>
      <c r="J2600" t="inlineStr"/>
      <c r="K2600" t="inlineStr"/>
      <c r="L2600" t="inlineStr"/>
      <c r="M2600" t="inlineStr"/>
      <c r="N2600" t="inlineStr"/>
      <c r="O2600">
        <f>(1-Summary!$B$11)*S2600+Summary!$B$11*U2600</f>
        <v/>
      </c>
      <c r="P2600">
        <f>IF(B2619=0,0,O2600/B2619)</f>
        <v/>
      </c>
      <c r="Q2600">
        <f>IFERROR(1/(IF(Inputs!$B$38="pvp",15,MAX(0.1,Skills!E22-IF(Skills!F22=TRUE,Inputs!$B$32,0)))*(1-IF(AND(ArtifactsInput!$M$27,Inputs!$B$4="Chapter Hunt"),CHOOSE(ArtifactsInput!$N$27+1,20,24,28,32,36,40),0)/100)),0)</f>
        <v/>
      </c>
      <c r="R2600" t="n">
        <v>0</v>
      </c>
      <c r="S2600" t="n">
        <v>0</v>
      </c>
      <c r="U2600" t="n">
        <v>0</v>
      </c>
    </row>
    <row r="2601">
      <c r="A2601">
        <f>Skills!A23</f>
        <v/>
      </c>
      <c r="B2601">
        <f>Skills!B23</f>
        <v/>
      </c>
      <c r="C2601">
        <f>TRUE</f>
        <v/>
      </c>
      <c r="D2601">
        <f>IF(Skills!C23=1,60+Inputs!$B$25+Inputs!$B$29,IF(Skills!C23=2,90+Inputs!$B$26+Inputs!$B$29,IF(Skills!C23=3,120+Inputs!$B$27+Inputs!$B$29,MAX(0,(Inputs!$B$3-100)*3)+Inputs!$B$28+Inputs!$B$29)))</f>
        <v/>
      </c>
      <c r="E2601">
        <f>INDEX(FactorTable!$B$2:$Y$301, MATCH(ROUND(MIN(300,MAX(1,D2601)),0), FactorTable!$A$2:$A$301,0), Skills!M23+1)</f>
        <v/>
      </c>
      <c r="F2601">
        <f>IF(Skills!N23=TRUE,(Skills!L23/10)*(E2601/1000),Skills!L23/10)+Skills!O23</f>
        <v/>
      </c>
      <c r="G2601">
        <f>Calc!G23</f>
        <v/>
      </c>
      <c r="H2601">
        <f>Calc!H23</f>
        <v/>
      </c>
      <c r="I2601">
        <f>IF(Skills!X23&lt;&gt;"",1+(Skills!X23/10)*(Z2581/1000)/100,1)</f>
        <v/>
      </c>
      <c r="J2601" t="inlineStr"/>
      <c r="K2601" t="inlineStr"/>
      <c r="L2601" t="inlineStr"/>
      <c r="M2601" t="inlineStr"/>
      <c r="N2601" t="inlineStr"/>
      <c r="O2601">
        <f>(1-Summary!$B$11)*S2601+Summary!$B$11*U2601</f>
        <v/>
      </c>
      <c r="P2601">
        <f>IF(B2619=0,0,O2601/B2619)</f>
        <v/>
      </c>
      <c r="Q2601">
        <f>IFERROR(1/(IF(Inputs!$B$38="pvp",15,MAX(0.1,Skills!E23-IF(Skills!F23=TRUE,Inputs!$B$32,0)))*(1-IF(AND(ArtifactsInput!$M$27,Inputs!$B$4="Chapter Hunt"),CHOOSE(ArtifactsInput!$N$27+1,20,24,28,32,36,40),0)/100)),0)</f>
        <v/>
      </c>
      <c r="R2601" t="n">
        <v>0</v>
      </c>
      <c r="S2601" t="n">
        <v>0</v>
      </c>
      <c r="U2601" t="n">
        <v>0</v>
      </c>
    </row>
    <row r="2602">
      <c r="A2602">
        <f>Skills!A24</f>
        <v/>
      </c>
      <c r="B2602">
        <f>Skills!B24</f>
        <v/>
      </c>
      <c r="C2602">
        <f>Inputs!$B$3&gt;=115</f>
        <v/>
      </c>
      <c r="D2602">
        <f>IF(Skills!C24=1,60+Inputs!$B$25+Inputs!$B$29,IF(Skills!C24=2,90+Inputs!$B$26+Inputs!$B$29,IF(Skills!C24=3,120+Inputs!$B$27+Inputs!$B$29,MAX(0,(Inputs!$B$3-100)*3)+Inputs!$B$28+Inputs!$B$29)))</f>
        <v/>
      </c>
      <c r="E2602">
        <f>INDEX(FactorTable!$B$2:$Y$301, MATCH(ROUND(MIN(300,MAX(1,D2602)),0), FactorTable!$A$2:$A$301,0), Skills!M24+1)</f>
        <v/>
      </c>
      <c r="F2602">
        <f>IF(Skills!N24=TRUE,(Skills!L24/10)*(E2602/1000),Skills!L24/10)+Skills!O24</f>
        <v/>
      </c>
      <c r="G2602">
        <f>Calc!G24</f>
        <v/>
      </c>
      <c r="H2602">
        <f>Calc!H24</f>
        <v/>
      </c>
      <c r="I2602">
        <f>IF(Skills!X24&lt;&gt;"",1+(Skills!X24/10)*(Z2581/1000)/100,1)</f>
        <v/>
      </c>
      <c r="J2602">
        <f>((Inputs!$B$6*(1+Inputs!$B$7/100))+(((Inputs!$B$12*(1+Inputs!$B$13/100))-(Inputs!$B$12*(1+Inputs!$B$13/100)))+0.25*(Inputs!$B$14-Inputs!$B$14))*(1+Inputs!$B$7/100))*(F2602/100)</f>
        <v/>
      </c>
      <c r="K2602">
        <f>J2602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2602)</f>
        <v/>
      </c>
      <c r="L2602">
        <f>K2602*(MIN(Inputs!$B$22+(F2600-Calc!F22),(Inputs!$B$23+(IF(ArtifactsInput!$M$15,CHOOSE(ArtifactsInput!$N$15+1,25,30,35,40,45,50)/100*(Inputs!$B$11-Inputs!$B$11),0))))/100+(Inputs!$B$23+(IF(ArtifactsInput!$M$15,CHOOSE(ArtifactsInput!$N$15+1,25,30,35,40,45,50)/100*(Inputs!$B$11-Inputs!$B$11),0)))/100)/2</f>
        <v/>
      </c>
      <c r="M2602">
        <f>L2602*(1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2">
        <f>L2602*(1-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2602*(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2">
        <f>(1-Summary!$B$11)*S2602+Summary!$B$11*U2602</f>
        <v/>
      </c>
      <c r="P2602">
        <f>IF(B2619=0,0,O2602/B2619)</f>
        <v/>
      </c>
      <c r="Q2602">
        <f>IFERROR(1/(IF(Inputs!$B$38="pvp",15,MAX(0.1,Skills!E24-IF(Skills!F24=TRUE,Inputs!$B$32,0)))*(1-IF(AND(ArtifactsInput!$M$27,Inputs!$B$4="Chapter Hunt"),CHOOSE(ArtifactsInput!$N$27+1,20,24,28,32,36,40),0)/100)),0)</f>
        <v/>
      </c>
      <c r="R2602">
        <f>IF(AND(Inputs!$B$38&lt;&gt;"pvp",Inputs!$B$43&gt;0),IF(MAX(0,Inputs!$B$43-B2616)&lt;=0,0,(INT(MAX(0,Inputs!$B$43-B2616)/(IF(Inputs!$B$38="pvp",15,MAX(0.1,Skills!E24-IF(Skills!F24=TRUE,Inputs!$B$32,0)))*(1-IF(AND(ArtifactsInput!$M$27,Inputs!$B$4="Chapter Hunt"),CHOOSE(ArtifactsInput!$N$27+1,20,24,28,32,36,40),0)/100)))+1)),0)</f>
        <v/>
      </c>
      <c r="S2602">
        <f>IF(C2602,(H2602*N2602*IF(AND(Inputs!$B$38&lt;&gt;"pvp",Inputs!$B$43&gt;0),((Skills!G24*((R2602-1)*IF(Skills!H24&gt;0,Skills!I24/Skills!H24,1)+IF(Skills!H24&gt;0,MIN(Skills!I24,MAX(0,MAX(0,Inputs!$B$43-B2616)-((R2602-1)*(IF(Inputs!$B$38="pvp",15,MAX(0.1,Skills!E24-IF(Skills!F24=TRUE,Inputs!$B$32,0)))*(1-IF(AND(ArtifactsInput!$M$27,Inputs!$B$4="Chapter Hunt"),CHOOSE(ArtifactsInput!$N$27+1,20,24,28,32,36,40),0)/100)))))/Skills!H24,1)))/Inputs!$B$43),G2602*Q2602)*(1+IF(Inputs!$B$3&gt;=130,0.2*(Skills!I16/Skills!E15+IF(Inputs!$B$3&gt;=126,0.05*(B2614+Q2591+(H2592*B2615)/(1+Skills!H14*H2592*B2615)+Q2602)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2602*(1-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2602*(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2602*(1-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2602*(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2">
        <f>IF(C2602,(H2602*N2602*IF(AND(Inputs!$B$38&lt;&gt;"pvp",Inputs!$B$43&gt;0),((Skills!G24*((R2602-1)*IF(Skills!H24&gt;0,Skills!I24/Skills!H24,1)+IF(Skills!H24&gt;0,MIN(Skills!I24,MAX(0,MAX(0,Inputs!$B$43-B2616)-((R2602-1)*(IF(Inputs!$B$38="pvp",15,MAX(0.1,Skills!E24-IF(Skills!F24=TRUE,Inputs!$B$32,0)))*(1-IF(AND(ArtifactsInput!$M$27,Inputs!$B$4="Chapter Hunt"),CHOOSE(ArtifactsInput!$N$27+1,20,24,28,32,36,40),0)/100)))))/Skills!H24,1)))/Inputs!$B$43),G2602*Q2602)*(1+IF(Inputs!$B$3&gt;=130,0.2*(Skills!I16/Skills!E15+IF(Inputs!$B$3&gt;=126,0.05*(B2614+Q2591+(H2592*B2615)/(1+Skills!H14*H2592*B2615)+Q2602)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3">
      <c r="A2603">
        <f>Skills!A25</f>
        <v/>
      </c>
      <c r="B2603">
        <f>Skills!B25</f>
        <v/>
      </c>
      <c r="C2603">
        <f>Inputs!$B$3&gt;=117</f>
        <v/>
      </c>
      <c r="D2603">
        <f>IF(Skills!C25=1,60+Inputs!$B$25+Inputs!$B$29,IF(Skills!C25=2,90+Inputs!$B$26+Inputs!$B$29,IF(Skills!C25=3,120+Inputs!$B$27+Inputs!$B$29,MAX(0,(Inputs!$B$3-100)*3)+Inputs!$B$28+Inputs!$B$29)))</f>
        <v/>
      </c>
      <c r="E2603">
        <f>INDEX(FactorTable!$B$2:$Y$301, MATCH(ROUND(MIN(300,MAX(1,D2603)),0), FactorTable!$A$2:$A$301,0), Skills!M25+1)</f>
        <v/>
      </c>
      <c r="F2603">
        <f>IF(Skills!N25=TRUE,(Skills!L25/10)*(E2603/1000),Skills!L25/10)+Skills!O25</f>
        <v/>
      </c>
      <c r="G2603">
        <f>Calc!G25</f>
        <v/>
      </c>
      <c r="H2603">
        <f>Calc!H25</f>
        <v/>
      </c>
      <c r="I2603">
        <f>IF(Skills!X25&lt;&gt;"",1+(Skills!X25/10)*(Z2581/1000)/100,1)</f>
        <v/>
      </c>
      <c r="J2603" t="inlineStr"/>
      <c r="K2603" t="inlineStr"/>
      <c r="L2603" t="inlineStr"/>
      <c r="M2603" t="inlineStr"/>
      <c r="N2603" t="inlineStr"/>
      <c r="O2603">
        <f>(1-Summary!$B$11)*S2603+Summary!$B$11*U2603</f>
        <v/>
      </c>
      <c r="P2603">
        <f>IF(B2619=0,0,O2603/B2619)</f>
        <v/>
      </c>
      <c r="Q2603">
        <f>IFERROR(1/(IF(Inputs!$B$38="pvp",15,MAX(0.1,Skills!E25-IF(Skills!F25=TRUE,Inputs!$B$32,0)))*(1-IF(AND(ArtifactsInput!$M$27,Inputs!$B$4="Chapter Hunt"),CHOOSE(ArtifactsInput!$N$27+1,20,24,28,32,36,40),0)/100)),0)</f>
        <v/>
      </c>
      <c r="R2603" t="n">
        <v>0</v>
      </c>
      <c r="S2603" t="n">
        <v>0</v>
      </c>
      <c r="U2603" t="n">
        <v>0</v>
      </c>
    </row>
    <row r="2604">
      <c r="A2604">
        <f>Skills!A26</f>
        <v/>
      </c>
      <c r="B2604">
        <f>Skills!B26</f>
        <v/>
      </c>
      <c r="C2604">
        <f>Inputs!$B$3&gt;=120</f>
        <v/>
      </c>
      <c r="D2604">
        <f>IF(Skills!C26=1,60+Inputs!$B$25+Inputs!$B$29,IF(Skills!C26=2,90+Inputs!$B$26+Inputs!$B$29,IF(Skills!C26=3,120+Inputs!$B$27+Inputs!$B$29,MAX(0,(Inputs!$B$3-100)*3)+Inputs!$B$28+Inputs!$B$29)))</f>
        <v/>
      </c>
      <c r="E2604">
        <f>INDEX(FactorTable!$B$2:$Y$301, MATCH(ROUND(MIN(300,MAX(1,D2604)),0), FactorTable!$A$2:$A$301,0), Skills!M26+1)</f>
        <v/>
      </c>
      <c r="F2604">
        <f>IF(Skills!N26=TRUE,(Skills!L26/10)*(E2604/1000),Skills!L26/10)+Skills!O26</f>
        <v/>
      </c>
      <c r="G2604">
        <f>Calc!G26</f>
        <v/>
      </c>
      <c r="H2604">
        <f>Calc!H26</f>
        <v/>
      </c>
      <c r="I2604">
        <f>IF(Skills!X26&lt;&gt;"",1+(Skills!X26/10)*(Z2581/1000)/100,1)</f>
        <v/>
      </c>
      <c r="J2604" t="inlineStr"/>
      <c r="K2604" t="inlineStr"/>
      <c r="L2604" t="inlineStr"/>
      <c r="M2604" t="inlineStr"/>
      <c r="N2604" t="inlineStr"/>
      <c r="O2604">
        <f>(1-Summary!$B$11)*S2604+Summary!$B$11*U2604</f>
        <v/>
      </c>
      <c r="P2604">
        <f>IF(B2619=0,0,O2604/B2619)</f>
        <v/>
      </c>
      <c r="Q2604">
        <f>IFERROR(1/(IF(Inputs!$B$38="pvp",15,MAX(0.1,Skills!E26-IF(Skills!F26=TRUE,Inputs!$B$32,0)))*(1-IF(AND(ArtifactsInput!$M$27,Inputs!$B$4="Chapter Hunt"),CHOOSE(ArtifactsInput!$N$27+1,20,24,28,32,36,40),0)/100)),0)</f>
        <v/>
      </c>
      <c r="R2604" t="n">
        <v>0</v>
      </c>
      <c r="S2604" t="n">
        <v>0</v>
      </c>
      <c r="U2604" t="n">
        <v>0</v>
      </c>
    </row>
    <row r="2605">
      <c r="A2605">
        <f>Skills!A27</f>
        <v/>
      </c>
      <c r="B2605">
        <f>Skills!B27</f>
        <v/>
      </c>
      <c r="C2605">
        <f>Inputs!$B$3&gt;=125</f>
        <v/>
      </c>
      <c r="D2605">
        <f>IF(Skills!C27=1,60+Inputs!$B$25+Inputs!$B$29,IF(Skills!C27=2,90+Inputs!$B$26+Inputs!$B$29,IF(Skills!C27=3,120+Inputs!$B$27+Inputs!$B$29,MAX(0,(Inputs!$B$3-100)*3)+Inputs!$B$28+Inputs!$B$29)))</f>
        <v/>
      </c>
      <c r="E2605">
        <f>INDEX(FactorTable!$B$2:$Y$301, MATCH(ROUND(MIN(300,MAX(1,D2605)),0), FactorTable!$A$2:$A$301,0), Skills!M27+1)</f>
        <v/>
      </c>
      <c r="F2605">
        <f>IF(Skills!N27=TRUE,(Skills!L27/10)*(E2605/1000),Skills!L27/10)+Skills!O27</f>
        <v/>
      </c>
      <c r="G2605">
        <f>Calc!G27</f>
        <v/>
      </c>
      <c r="H2605">
        <f>Calc!H27</f>
        <v/>
      </c>
      <c r="I2605">
        <f>IF(Skills!X27&lt;&gt;"",1+(Skills!X27/10)*(Z2581/1000)/100,1)</f>
        <v/>
      </c>
      <c r="J2605" t="inlineStr"/>
      <c r="K2605" t="inlineStr"/>
      <c r="L2605" t="inlineStr"/>
      <c r="M2605" t="inlineStr"/>
      <c r="N2605" t="inlineStr"/>
      <c r="O2605">
        <f>(1-Summary!$B$11)*S2605+Summary!$B$11*U2605</f>
        <v/>
      </c>
      <c r="P2605">
        <f>IF(B2619=0,0,O2605/B2619)</f>
        <v/>
      </c>
      <c r="Q2605">
        <f>IFERROR(1/(IF(Inputs!$B$38="pvp",15,MAX(0.1,Skills!E27-IF(Skills!F27=TRUE,Inputs!$B$32,0)))*(1-IF(AND(ArtifactsInput!$M$27,Inputs!$B$4="Chapter Hunt"),CHOOSE(ArtifactsInput!$N$27+1,20,24,28,32,36,40),0)/100)),0)</f>
        <v/>
      </c>
      <c r="R2605" t="n">
        <v>0</v>
      </c>
      <c r="S2605" t="n">
        <v>0</v>
      </c>
      <c r="U2605" t="n">
        <v>0</v>
      </c>
    </row>
    <row r="2606">
      <c r="A2606">
        <f>Skills!A28</f>
        <v/>
      </c>
      <c r="B2606">
        <f>Skills!B28</f>
        <v/>
      </c>
      <c r="C2606">
        <f>Inputs!$B$3&gt;=118</f>
        <v/>
      </c>
      <c r="D2606">
        <f>IF(Skills!C28=1,60+Inputs!$B$25+Inputs!$B$29,IF(Skills!C28=2,90+Inputs!$B$26+Inputs!$B$29,IF(Skills!C28=3,120+Inputs!$B$27+Inputs!$B$29,MAX(0,(Inputs!$B$3-100)*3)+Inputs!$B$28+Inputs!$B$29)))</f>
        <v/>
      </c>
      <c r="E2606">
        <f>INDEX(FactorTable!$B$2:$Y$301, MATCH(ROUND(MIN(300,MAX(1,D2606)),0), FactorTable!$A$2:$A$301,0), Skills!M28+1)</f>
        <v/>
      </c>
      <c r="F2606">
        <f>IF(Skills!N28=TRUE,(Skills!L28/10)*(E2606/1000),Skills!L28/10)+Skills!O28</f>
        <v/>
      </c>
      <c r="G2606">
        <f>Calc!G28</f>
        <v/>
      </c>
      <c r="H2606">
        <f>Calc!H28</f>
        <v/>
      </c>
      <c r="I2606">
        <f>IF(Skills!X28&lt;&gt;"",1+(Skills!X28/10)*(Z2581/1000)/100,1)</f>
        <v/>
      </c>
      <c r="J2606">
        <f>((Inputs!$B$6*(1+Inputs!$B$7/100))+(((Inputs!$B$12*(1+Inputs!$B$13/100))-(Inputs!$B$12*(1+Inputs!$B$13/100)))+0.25*(Inputs!$B$14-Inputs!$B$14))*(1+Inputs!$B$7/100))*(F2606/100)</f>
        <v/>
      </c>
      <c r="K2606">
        <f>J2606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2601/100)*(1+IF(Inputs!$B$3&gt;=120,F2604,0)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2605*5,0)))/100)*(B2608*B2609*B2610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2606)</f>
        <v/>
      </c>
      <c r="L2606">
        <f>K2606*(MIN(Inputs!$B$22+(F2600-Calc!F22),(Inputs!$B$23+(IF(ArtifactsInput!$M$15,CHOOSE(ArtifactsInput!$N$15+1,25,30,35,40,45,50)/100*(Inputs!$B$11-Inputs!$B$11),0))))/100+(Inputs!$B$23+(IF(ArtifactsInput!$M$15,CHOOSE(ArtifactsInput!$N$15+1,25,30,35,40,45,50)/100*(Inputs!$B$11-Inputs!$B$11),0)))/100)/2</f>
        <v/>
      </c>
      <c r="M2606">
        <f>L2606*(1+(Inputs!$B$10+(F2599-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6">
        <f>L2606*(1-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2606*(MIN((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6">
        <f>(1-Summary!$B$11)*S2606+Summary!$B$11*U2606</f>
        <v/>
      </c>
      <c r="P2606">
        <f>IF(B2619=0,0,O2606/B2619)</f>
        <v/>
      </c>
      <c r="Q2606">
        <f>IFERROR(1/(IF(Inputs!$B$38="pvp",15,MAX(0.1,Skills!E28-IF(Skills!F28=TRUE,Inputs!$B$32,0)))*(1-IF(AND(ArtifactsInput!$M$27,Inputs!$B$4="Chapter Hunt"),CHOOSE(ArtifactsInput!$N$27+1,20,24,28,32,36,40),0)/100)),0)</f>
        <v/>
      </c>
      <c r="R2606">
        <f>IF(AND(Inputs!$B$38&lt;&gt;"pvp",Inputs!$B$43&gt;0),IF(MAX(0,Inputs!$B$43-B2616)&lt;=0,0,(INT(MAX(0,Inputs!$B$43-B2616)/(IF(Inputs!$B$38="pvp",15,MAX(0.1,Skills!E28-IF(Skills!F28=TRUE,Inputs!$B$32,0)))*(1-IF(AND(ArtifactsInput!$M$27,Inputs!$B$4="Chapter Hunt"),CHOOSE(ArtifactsInput!$N$27+1,20,24,28,32,36,40),0)/100)))+1)),0)</f>
        <v/>
      </c>
      <c r="S2606">
        <f>IF(C2606,(H2606*N2606*IF(AND(Inputs!$B$38&lt;&gt;"pvp",Inputs!$B$43&gt;0),((Skills!G28*((R2606-1)*IF(Skills!H28&gt;0,Skills!I28/Skills!H28,1)+IF(Skills!H28&gt;0,MIN(Skills!I28,MAX(0,MAX(0,Inputs!$B$43-B2616)-((R2606-1)*(IF(Inputs!$B$38="pvp",15,MAX(0.1,Skills!E28-IF(Skills!F28=TRUE,Inputs!$B$32,0)))*(1-IF(AND(ArtifactsInput!$M$27,Inputs!$B$4="Chapter Hunt"),CHOOSE(ArtifactsInput!$N$27+1,20,24,28,32,36,40),0)/100)))))/Skills!H28,1)))/Inputs!$B$43),G2606*Q2606)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2606*(1-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2606*(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2606*(1-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2606*(MIN(100,(Inputs!$B$9+(F2598-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6">
        <f>IF(C2606,(H2606*N2606*IF(AND(Inputs!$B$38&lt;&gt;"pvp",Inputs!$B$43&gt;0),((Skills!G28*((R2606-1)*IF(Skills!H28&gt;0,Skills!I28/Skills!H28,1)+IF(Skills!H28&gt;0,MIN(Skills!I28,MAX(0,MAX(0,Inputs!$B$43-B2616)-((R2606-1)*(IF(Inputs!$B$38="pvp",15,MAX(0.1,Skills!E28-IF(Skills!F28=TRUE,Inputs!$B$32,0)))*(1-IF(AND(ArtifactsInput!$M$27,Inputs!$B$4="Chapter Hunt"),CHOOSE(ArtifactsInput!$N$27+1,20,24,28,32,36,40),0)/100)))))/Skills!H28,1)))/Inputs!$B$43),G2606*Q2606)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8">
      <c r="A2608" t="inlineStr">
        <is>
          <t>Burning Magic Multiplier</t>
        </is>
      </c>
      <c r="B2608">
        <f>1+(F2589*Skills!Z11)/100</f>
        <v/>
      </c>
    </row>
    <row r="2609">
      <c r="A2609" t="inlineStr">
        <is>
          <t>Elemental Decrease Multiplier (always-on)</t>
        </is>
      </c>
      <c r="B2609">
        <f>1+(F2590+(IF(AND(ArtifactsInput!$M$35,Inputs!$B$4&lt;&gt;"Chapter Hunt"),CHOOSE(ArtifactsInput!$N$35+1,15,18,21,24,27,30)*(1-EXP(-(0.2*B2612)*5)),0)+IF(AND(ArtifactsInput!$M$22,Inputs!$B$4&lt;&gt;"Chapter Hunt"),CHOOSE(ArtifactsInput!$N$22+1,10,12,14,16,18,20)*((0*(((0.15*B2612*5))^0/1)+1*(((0.15*B2612*5))^1/1)+2*(((0.15*B2612*5))^2/2)+3*(((0.15*B2612*5))^3/6)+4*(((0.15*B2612*5))^4/24)+5*(((0.15*B2612*5))^5/120))/((((0.15*B2612*5))^0/1)+(((0.15*B2612*5))^1/1)+(((0.15*B2612*5))^2/2)+(((0.15*B2612*5))^3/6)+(((0.15*B2612*5))^4/24)+(((0.15*B2612*5))^5/120))),0)))/100</f>
        <v/>
      </c>
    </row>
    <row r="2610">
      <c r="A2610" t="inlineStr">
        <is>
          <t>Average Buff Multiplier (Magic Guard + Meditation + Artifact Attack%, summed; then Infinity)</t>
        </is>
      </c>
      <c r="B2610">
        <f>(1+(F2584*IF(AND(Inputs!$B$38&lt;&gt;"pvp",Inputs!$B$43&gt;0),(((R2584-1)*(Skills!T6*(1+((Inputs!$B$34+(ArtifactsInput!$M$7-ArtifactsInput!$M$7)*CHOOSE(ArtifactsInput!$N$7+1,6,7.2,8.4,9.6,10.8,12)))/100))+MIN((Skills!T6*(1+((Inputs!$B$34+(ArtifactsInput!$M$7-ArtifactsInput!$M$7)*CHOOSE(ArtifactsInput!$N$7+1,6,7.2,8.4,9.6,10.8,12)))/100)),MAX(0,Inputs!$B$43-((R2584-1)*Skills!E6))))/Inputs!$B$43),IF(Inputs!$B$38="pvp",MIN((Skills!T6*(1+((Inputs!$B$34+(ArtifactsInput!$M$7-ArtifactsInput!$M$7)*CHOOSE(ArtifactsInput!$N$7+1,6,7.2,8.4,9.6,10.8,12)))/100)),15)/15,(Skills!T6*(1+((Inputs!$B$34+(ArtifactsInput!$M$7-ArtifactsInput!$M$7)*CHOOSE(ArtifactsInput!$N$7+1,6,7.2,8.4,9.6,10.8,12)))/100))/Skills!E6))+F2595*IF(AND(Inputs!$B$38&lt;&gt;"pvp",Inputs!$B$43&gt;0),(((R2595-1)*(Skills!T17*(1+((Inputs!$B$34+(ArtifactsInput!$M$7-ArtifactsInput!$M$7)*CHOOSE(ArtifactsInput!$N$7+1,6,7.2,8.4,9.6,10.8,12)))/100))+MIN((Skills!T17*(1+((Inputs!$B$34+(ArtifactsInput!$M$7-ArtifactsInput!$M$7)*CHOOSE(ArtifactsInput!$N$7+1,6,7.2,8.4,9.6,10.8,12)))/100)),MAX(0,Inputs!$B$43-((R2595-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2597=TRUE,(1+F2597*IF(AND(Inputs!$B$38&lt;&gt;"pvp",Inputs!$B$43&gt;0),(((R2597-1)*(Skills!T19*(1+((Inputs!$B$34+(ArtifactsInput!$M$7-ArtifactsInput!$M$7)*CHOOSE(ArtifactsInput!$N$7+1,6,7.2,8.4,9.6,10.8,12)))/100))+MIN((Skills!T19*(1+((Inputs!$B$34+(ArtifactsInput!$M$7-ArtifactsInput!$M$7)*CHOOSE(ArtifactsInput!$N$7+1,6,7.2,8.4,9.6,10.8,12)))/100)),MAX(0,Inputs!$B$43-((R2597-1)*Skills!E19))))/Inputs!$B$43),IF(Inputs!$B$38="pvp",MIN((Skills!T19*(1+((Inputs!$B$34+(ArtifactsInput!$M$7-ArtifactsInput!$M$7)*CHOOSE(ArtifactsInput!$N$7+1,6,7.2,8.4,9.6,10.8,12)))/100)),15)/15,(Skills!T19*(1+((Inputs!$B$34+(ArtifactsInput!$M$7-ArtifactsInput!$M$7)*CHOOSE(ArtifactsInput!$N$7+1,6,7.2,8.4,9.6,10.8,12)))/100))/Skills!E19))/100),1)</f>
        <v/>
      </c>
    </row>
    <row r="2611">
      <c r="A2611" t="inlineStr">
        <is>
          <t>Attack Speed Buff Bonus % (Nimble Feet, averaged)</t>
        </is>
      </c>
      <c r="B2611">
        <f>F2596*IF(AND(Inputs!$B$38&lt;&gt;"pvp",Inputs!$B$43&gt;0),(((R2596-1)*(Skills!T18*(1+((Inputs!$B$34+(ArtifactsInput!$M$7-ArtifactsInput!$M$7)*CHOOSE(ArtifactsInput!$N$7+1,6,7.2,8.4,9.6,10.8,12)))/100))+MIN((Skills!T18*(1+((Inputs!$B$34+(ArtifactsInput!$M$7-ArtifactsInput!$M$7)*CHOOSE(ArtifactsInput!$N$7+1,6,7.2,8.4,9.6,10.8,12)))/100)),MAX(0,Inputs!$B$43-((R2596-1)*Skills!E18))))/Inputs!$B$43),IF(Inputs!$B$38="pvp",MIN((Skills!T18*(1+((Inputs!$B$34+(ArtifactsInput!$M$7-ArtifactsInput!$M$7)*CHOOSE(ArtifactsInput!$N$7+1,6,7.2,8.4,9.6,10.8,12)))/100)),15)/15,(Skills!T18*(1+((Inputs!$B$34+(ArtifactsInput!$M$7-ArtifactsInput!$M$7)*CHOOSE(ArtifactsInput!$N$7+1,6,7.2,8.4,9.6,10.8,12)))/100))/Skills!E18))</f>
        <v/>
      </c>
    </row>
    <row r="2612">
      <c r="A2612" t="inlineStr">
        <is>
          <t>Actions Per Second</t>
        </is>
      </c>
      <c r="B2612">
        <f>1+MIN(150,150*(1-(1-(Inputs!$B$11+(ArtifactsInput!$M$15-ArtifactsInput!$M$15)*CHOOSE(ArtifactsInput!$N$15+1,8,9.6,11.2,12.8,14.4,16))/150)*(1-B2611/150)))/100</f>
        <v/>
      </c>
    </row>
    <row r="2613">
      <c r="A2613" t="inlineStr">
        <is>
          <t>Skill + Buff Cast Rate</t>
        </is>
      </c>
      <c r="B2613">
        <f>IF(AND(Inputs!$B$38&lt;&gt;"pvp",Inputs!$B$43&gt;0),SUMPRODUCT((Skills!F2:F28=TRUE)*(C2580:C2606=TRUE)*R2580:R2606)/Inputs!$B$43,SUMPRODUCT((Skills!F2:F28=TRUE)*(C2580:C2606=TRUE)*Q2580:Q2606))</f>
        <v/>
      </c>
    </row>
    <row r="2614">
      <c r="A2614" t="inlineStr">
        <is>
          <t>Basic Attacks Per Second</t>
        </is>
      </c>
      <c r="B2614">
        <f>MAX(0,B2612-B2613)</f>
        <v/>
      </c>
    </row>
    <row r="2615">
      <c r="A2615" t="inlineStr">
        <is>
          <t>Meteor Proc — combined trigger cast rate</t>
        </is>
      </c>
      <c r="B2615">
        <f>IF(AND(Inputs!$B$38&lt;&gt;"pvp",Inputs!$B$43&gt;0),SUMPRODUCT((Skills!V2:V28=TRUE)*(C2580:C2606=TRUE)*R2580:R2606*Skills!W2:W28)/Inputs!$B$43,SUMPRODUCT((Skills!V2:V28=TRUE)*(C2580:C2606=TRUE)*Q2580:Q2606*Skills!W2:W28))+B2614</f>
        <v/>
      </c>
    </row>
    <row r="2616">
      <c r="A2616" t="inlineStr">
        <is>
          <t>Buff-Casting Startup Delay (s, fixed-duration only)</t>
        </is>
      </c>
      <c r="B2616">
        <f>IF(AND(Inputs!$B$38&lt;&gt;"pvp",Inputs!$B$43&gt;0),SUMPRODUCT((Skills!T2:T28&gt;0)*(Skills!F2:F28=TRUE)*(C2580:C2606=TRUE))/B2612,0)</f>
        <v/>
      </c>
    </row>
    <row r="2617">
      <c r="A2617" t="inlineStr">
        <is>
          <t>Boss-Only Total DPS (this block's swept value)</t>
        </is>
      </c>
      <c r="B2617">
        <f>SUM(S2580:S2606)</f>
        <v/>
      </c>
    </row>
    <row r="2618">
      <c r="A2618" t="inlineStr">
        <is>
          <t>Normal-Only Total DPS (this block's swept value)</t>
        </is>
      </c>
      <c r="B2618">
        <f>SUM(U2580:U2606)</f>
        <v/>
      </c>
    </row>
    <row r="2619">
      <c r="A2619" s="6" t="inlineStr">
        <is>
          <t>TOTAL DPS</t>
        </is>
      </c>
      <c r="B2619" s="6">
        <f>SUM(O2580:O2606)</f>
        <v/>
      </c>
    </row>
    <row r="2622">
      <c r="A2622" s="6" t="inlineStr">
        <is>
          <t>Stat: Reindeer's Spear (Equip)</t>
        </is>
      </c>
    </row>
    <row r="2623">
      <c r="A2623" s="5" t="inlineStr">
        <is>
          <t>Key</t>
        </is>
      </c>
      <c r="B2623" s="5" t="inlineStr">
        <is>
          <t>Name</t>
        </is>
      </c>
      <c r="C2623" s="5" t="inlineStr">
        <is>
          <t>Unlocked</t>
        </is>
      </c>
      <c r="D2623" s="5" t="inlineStr">
        <is>
          <t>InputLevel</t>
        </is>
      </c>
      <c r="E2623" s="5" t="inlineStr">
        <is>
          <t>Factor</t>
        </is>
      </c>
      <c r="F2623" s="5" t="inlineStr">
        <is>
          <t>CoefficientPercent</t>
        </is>
      </c>
      <c r="G2623" s="5" t="inlineStr">
        <is>
          <t>EffectiveHits</t>
        </is>
      </c>
      <c r="H2623" s="5" t="inlineStr">
        <is>
          <t>ProcProbability</t>
        </is>
      </c>
      <c r="I2623" s="5" t="inlineStr">
        <is>
          <t>MapleHeroMultiplier</t>
        </is>
      </c>
      <c r="J2623" s="5" t="inlineStr">
        <is>
          <t>BaseDamage</t>
        </is>
      </c>
      <c r="K2623" s="5" t="inlineStr">
        <is>
          <t>BaseHitDamage</t>
        </is>
      </c>
      <c r="L2623" s="5" t="inlineStr">
        <is>
          <t>NonCritAvg</t>
        </is>
      </c>
      <c r="M2623" s="5" t="inlineStr">
        <is>
          <t>CritAvg</t>
        </is>
      </c>
      <c r="N2623" s="5" t="inlineStr">
        <is>
          <t>ExpectedDamage(perHit)</t>
        </is>
      </c>
      <c r="O2623" s="5" t="inlineStr">
        <is>
          <t>DPS</t>
        </is>
      </c>
      <c r="P2623" s="5" t="inlineStr">
        <is>
          <t>% of Total</t>
        </is>
      </c>
      <c r="R2623" t="inlineStr">
        <is>
          <t>helpers</t>
        </is>
      </c>
    </row>
    <row r="2624">
      <c r="A2624">
        <f>Skills!A2</f>
        <v/>
      </c>
      <c r="B2624">
        <f>Skills!B2</f>
        <v/>
      </c>
      <c r="C2624">
        <f>TRUE</f>
        <v/>
      </c>
      <c r="D2624" t="inlineStr"/>
      <c r="E2624" t="inlineStr"/>
      <c r="F2624">
        <f>T2626+Skills!O2</f>
        <v/>
      </c>
      <c r="G2624">
        <f>Calc!G2</f>
        <v/>
      </c>
      <c r="H2624">
        <f>Calc!H2</f>
        <v/>
      </c>
      <c r="I2624">
        <f>IF(Skills!X2&lt;&gt;"",1+(Skills!X2/10)*(Z2625/1000)/100,1)</f>
        <v/>
      </c>
      <c r="J2624">
        <f>((Inputs!$B$6*(1+Inputs!$B$7/100))+(((Inputs!$B$12*(1+Inputs!$B$13/100))-(Inputs!$B$12*(1+Inputs!$B$13/100)))+0.25*(Inputs!$B$14-Inputs!$B$14))*(1+Inputs!$B$7/100))*(F2624/100)</f>
        <v/>
      </c>
      <c r="K2624">
        <f>J2624*(1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2624)</f>
        <v/>
      </c>
      <c r="L2624">
        <f>K2624*(MIN(Inputs!$B$22+(F2644-Calc!F22),(Inputs!$B$23+(IF(ArtifactsInput!$M$15,CHOOSE(ArtifactsInput!$N$15+1,25,30,35,40,45,50)/100*(Inputs!$B$11-Inputs!$B$11),0))))/100+(Inputs!$B$23+(IF(ArtifactsInput!$M$15,CHOOSE(ArtifactsInput!$N$15+1,25,30,35,40,45,50)/100*(Inputs!$B$11-Inputs!$B$11),0)))/100)/2</f>
        <v/>
      </c>
      <c r="M2624">
        <f>L2624*(1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4">
        <f>L2624*(1-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2624*(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4">
        <f>(1-Summary!$B$11)*S2624+Summary!$B$11*U2624</f>
        <v/>
      </c>
      <c r="P2624">
        <f>IF(B2663=0,0,O2624/B2663)</f>
        <v/>
      </c>
      <c r="Q2624">
        <f>IFERROR(1/(IF(Inputs!$B$38="pvp",15,MAX(0.1,Skills!E2-IF(Skills!F2=TRUE,Inputs!$B$32,0)))*(1-IF(AND(ArtifactsInput!$M$27,Inputs!$B$4="Chapter Hunt"),CHOOSE(ArtifactsInput!$N$27+1,20,24,28,32,36,40),0)/100)),0)</f>
        <v/>
      </c>
      <c r="R2624" t="n">
        <v>0</v>
      </c>
      <c r="S2624">
        <f>(Skills!G2*N2624*B2658)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2624*(1-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2624*(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2624*(1-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2624*(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624">
        <f>MAX(0,(Inputs!$B$3-100)*3)+Inputs!$B$28+Inputs!$B$29</f>
        <v/>
      </c>
      <c r="U2624">
        <f>(Skills!G2*N2624*B2658)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624">
        <f>MAX(0,(Inputs!$B$3-100)*3)+Inputs!$B$28+Inputs!$B$29</f>
        <v/>
      </c>
    </row>
    <row r="2625">
      <c r="A2625">
        <f>Skills!A3</f>
        <v/>
      </c>
      <c r="B2625">
        <f>Skills!B3</f>
        <v/>
      </c>
      <c r="C2625">
        <f>TRUE</f>
        <v/>
      </c>
      <c r="D2625">
        <f>IF(Skills!C3=1,60+Inputs!$B$25+Inputs!$B$29,IF(Skills!C3=2,90+Inputs!$B$26+Inputs!$B$29,IF(Skills!C3=3,120+Inputs!$B$27+Inputs!$B$29,MAX(0,(Inputs!$B$3-100)*3)+Inputs!$B$28+Inputs!$B$29)))</f>
        <v/>
      </c>
      <c r="E2625">
        <f>INDEX(FactorTable!$B$2:$Y$301, MATCH(ROUND(MIN(300,MAX(1,D2625)),0), FactorTable!$A$2:$A$301,0), Skills!M3+1)</f>
        <v/>
      </c>
      <c r="F2625">
        <f>IF(Skills!N3=TRUE,(Skills!L3/10)*(E2625/1000),Skills!L3/10)+Skills!O3</f>
        <v/>
      </c>
      <c r="G2625">
        <f>Calc!G3</f>
        <v/>
      </c>
      <c r="H2625">
        <f>Calc!H3</f>
        <v/>
      </c>
      <c r="I2625">
        <f>IF(Skills!X3&lt;&gt;"",1+(Skills!X3/10)*(Z2625/1000)/100,1)</f>
        <v/>
      </c>
      <c r="J2625">
        <f>((Inputs!$B$6*(1+Inputs!$B$7/100))+(((Inputs!$B$12*(1+Inputs!$B$13/100))-(Inputs!$B$12*(1+Inputs!$B$13/100)))+0.25*(Inputs!$B$14-Inputs!$B$14))*(1+Inputs!$B$7/100))*(F2625/100)</f>
        <v/>
      </c>
      <c r="K2625">
        <f>J2625*(1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2625)</f>
        <v/>
      </c>
      <c r="L2625">
        <f>K2625*(MIN(Inputs!$B$22+(F2644-Calc!F22),(Inputs!$B$23+(IF(ArtifactsInput!$M$15,CHOOSE(ArtifactsInput!$N$15+1,25,30,35,40,45,50)/100*(Inputs!$B$11-Inputs!$B$11),0))))/100+(Inputs!$B$23+(IF(ArtifactsInput!$M$15,CHOOSE(ArtifactsInput!$N$15+1,25,30,35,40,45,50)/100*(Inputs!$B$11-Inputs!$B$11),0)))/100)/2</f>
        <v/>
      </c>
      <c r="M2625">
        <f>L2625*(1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5">
        <f>L2625*(1-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2625*(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5">
        <f>(1-Summary!$B$11)*S2625+Summary!$B$11*U2625</f>
        <v/>
      </c>
      <c r="P2625">
        <f>IF(B2663=0,0,O2625/B2663)</f>
        <v/>
      </c>
      <c r="Q2625">
        <f>IFERROR(1/(IF(Inputs!$B$38="pvp",15,MAX(0.1,Skills!E3-IF(Skills!F3=TRUE,Inputs!$B$32,0)))*(1-IF(AND(ArtifactsInput!$M$27,Inputs!$B$4="Chapter Hunt"),CHOOSE(ArtifactsInput!$N$27+1,20,24,28,32,36,40),0)/100)),0)</f>
        <v/>
      </c>
      <c r="R2625">
        <f>IF(AND(Inputs!$B$38&lt;&gt;"pvp",Inputs!$B$43&gt;0),IF(MAX(0,Inputs!$B$43-B2660)&lt;=0,0,(INT(MAX(0,Inputs!$B$43-B2660)/(IF(Inputs!$B$38="pvp",15,MAX(0.1,Skills!E3-IF(Skills!F3=TRUE,Inputs!$B$32,0)))*(1-IF(AND(ArtifactsInput!$M$27,Inputs!$B$4="Chapter Hunt"),CHOOSE(ArtifactsInput!$N$27+1,20,24,28,32,36,40),0)/100)))+1)),0)</f>
        <v/>
      </c>
      <c r="S2625">
        <f>IF(C2625,(H2625*N2625*IF(AND(Inputs!$B$38&lt;&gt;"pvp",Inputs!$B$43&gt;0),((Skills!G3*((R2625-1)*IF(Skills!H3&gt;0,Skills!I3/Skills!H3,1)+IF(Skills!H3&gt;0,MIN(Skills!I3,MAX(0,MAX(0,Inputs!$B$43-B2660)-((R2625-1)*(IF(Inputs!$B$38="pvp",15,MAX(0.1,Skills!E3-IF(Skills!F3=TRUE,Inputs!$B$32,0)))*(1-IF(AND(ArtifactsInput!$M$27,Inputs!$B$4="Chapter Hunt"),CHOOSE(ArtifactsInput!$N$27+1,20,24,28,32,36,40),0)/100)))))/Skills!H3,1)))/Inputs!$B$43),G2625*Q2625)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2625*(1-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2625*(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2625*(1-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2625*(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625">
        <f>INDEX(FactorTable!$B$2:$Y$301, MATCH(ROUND(MIN(300,MAX(1,T2624)),0), FactorTable!$A$2:$A$301,0), 22)</f>
        <v/>
      </c>
      <c r="U2625">
        <f>IF(C2625,(H2625*N2625*IF(AND(Inputs!$B$38&lt;&gt;"pvp",Inputs!$B$43&gt;0),((Skills!G3*((R2625-1)*IF(Skills!H3&gt;0,Skills!I3/Skills!H3,1)+IF(Skills!H3&gt;0,MIN(Skills!I3,MAX(0,MAX(0,Inputs!$B$43-B2660)-((R2625-1)*(IF(Inputs!$B$38="pvp",15,MAX(0.1,Skills!E3-IF(Skills!F3=TRUE,Inputs!$B$32,0)))*(1-IF(AND(ArtifactsInput!$M$27,Inputs!$B$4="Chapter Hunt"),CHOOSE(ArtifactsInput!$N$27+1,20,24,28,32,36,40),0)/100)))))/Skills!H3,1)))/Inputs!$B$43),G2625*Q2625)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625">
        <f>INDEX(FactorTable!$B$2:$Y$301, MATCH(ROUND(MIN(300,MAX(1,Z2624)),0), FactorTable!$A$2:$A$301,0), 24)</f>
        <v/>
      </c>
    </row>
    <row r="2626">
      <c r="A2626">
        <f>Skills!A4</f>
        <v/>
      </c>
      <c r="B2626">
        <f>Skills!B4</f>
        <v/>
      </c>
      <c r="C2626">
        <f>TRUE</f>
        <v/>
      </c>
      <c r="D2626">
        <f>IF(Skills!C4=1,60+Inputs!$B$25+Inputs!$B$29,IF(Skills!C4=2,90+Inputs!$B$26+Inputs!$B$29,IF(Skills!C4=3,120+Inputs!$B$27+Inputs!$B$29,MAX(0,(Inputs!$B$3-100)*3)+Inputs!$B$28+Inputs!$B$29)))</f>
        <v/>
      </c>
      <c r="E2626">
        <f>INDEX(FactorTable!$B$2:$Y$301, MATCH(ROUND(MIN(300,MAX(1,D2626)),0), FactorTable!$A$2:$A$301,0), Skills!M4+1)</f>
        <v/>
      </c>
      <c r="F2626">
        <f>IF(Skills!N4=TRUE,(Skills!L4/10)*(E2626/1000),Skills!L4/10)+Skills!O4</f>
        <v/>
      </c>
      <c r="G2626">
        <f>Calc!G4</f>
        <v/>
      </c>
      <c r="H2626">
        <f>Calc!H4</f>
        <v/>
      </c>
      <c r="I2626">
        <f>IF(Skills!X4&lt;&gt;"",1+(Skills!X4/10)*(Z2625/1000)/100,1)</f>
        <v/>
      </c>
      <c r="J2626">
        <f>((Inputs!$B$6*(1+Inputs!$B$7/100))+(((Inputs!$B$12*(1+Inputs!$B$13/100))-(Inputs!$B$12*(1+Inputs!$B$13/100)))+0.25*(Inputs!$B$14-Inputs!$B$14))*(1+Inputs!$B$7/100))*(F2626/100)</f>
        <v/>
      </c>
      <c r="K2626">
        <f>J2626*(1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2626)</f>
        <v/>
      </c>
      <c r="L2626">
        <f>K2626*(MIN(Inputs!$B$22+(F2644-Calc!F22),(Inputs!$B$23+(IF(ArtifactsInput!$M$15,CHOOSE(ArtifactsInput!$N$15+1,25,30,35,40,45,50)/100*(Inputs!$B$11-Inputs!$B$11),0))))/100+(Inputs!$B$23+(IF(ArtifactsInput!$M$15,CHOOSE(ArtifactsInput!$N$15+1,25,30,35,40,45,50)/100*(Inputs!$B$11-Inputs!$B$11),0)))/100)/2</f>
        <v/>
      </c>
      <c r="M2626">
        <f>L2626*(1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6">
        <f>L2626*(1-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2626*(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6">
        <f>(1-Summary!$B$11)*S2626+Summary!$B$11*U2626</f>
        <v/>
      </c>
      <c r="P2626">
        <f>IF(B2663=0,0,O2626/B2663)</f>
        <v/>
      </c>
      <c r="Q2626">
        <f>IFERROR(1/(IF(Inputs!$B$38="pvp",15,MAX(0.1,Skills!E4-IF(Skills!F4=TRUE,Inputs!$B$32,0)))*(1-IF(AND(ArtifactsInput!$M$27,Inputs!$B$4="Chapter Hunt"),CHOOSE(ArtifactsInput!$N$27+1,20,24,28,32,36,40),0)/100)),0)</f>
        <v/>
      </c>
      <c r="R2626">
        <f>IF(AND(Inputs!$B$38&lt;&gt;"pvp",Inputs!$B$43&gt;0),IF(MAX(0,Inputs!$B$43-B2660)&lt;=0,0,(INT(MAX(0,Inputs!$B$43-B2660)/(IF(Inputs!$B$38="pvp",15,MAX(0.1,Skills!E4-IF(Skills!F4=TRUE,Inputs!$B$32,0)))*(1-IF(AND(ArtifactsInput!$M$27,Inputs!$B$4="Chapter Hunt"),CHOOSE(ArtifactsInput!$N$27+1,20,24,28,32,36,40),0)/100)))+1)),0)</f>
        <v/>
      </c>
      <c r="S2626">
        <f>IF(C2626,(H2626*N2626*IF(AND(Inputs!$B$38&lt;&gt;"pvp",Inputs!$B$43&gt;0),((Skills!G4*((R2626-1)*IF(Skills!H4&gt;0,Skills!I4/Skills!H4,1)+IF(Skills!H4&gt;0,MIN(Skills!I4,MAX(0,MAX(0,Inputs!$B$43-B2660)-((R2626-1)*(IF(Inputs!$B$38="pvp",15,MAX(0.1,Skills!E4-IF(Skills!F4=TRUE,Inputs!$B$32,0)))*(1-IF(AND(ArtifactsInput!$M$27,Inputs!$B$4="Chapter Hunt"),CHOOSE(ArtifactsInput!$N$27+1,20,24,28,32,36,40),0)/100)))))/Skills!H4,1)))/Inputs!$B$43),G2626*Q2626)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2626*(1-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2626*(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2626*(1-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2626*(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626">
        <f>290*T2625/1000</f>
        <v/>
      </c>
      <c r="U2626">
        <f>IF(C2626,(H2626*N2626*IF(AND(Inputs!$B$38&lt;&gt;"pvp",Inputs!$B$43&gt;0),((Skills!G4*((R2626-1)*IF(Skills!H4&gt;0,Skills!I4/Skills!H4,1)+IF(Skills!H4&gt;0,MIN(Skills!I4,MAX(0,MAX(0,Inputs!$B$43-B2660)-((R2626-1)*(IF(Inputs!$B$38="pvp",15,MAX(0.1,Skills!E4-IF(Skills!F4=TRUE,Inputs!$B$32,0)))*(1-IF(AND(ArtifactsInput!$M$27,Inputs!$B$4="Chapter Hunt"),CHOOSE(ArtifactsInput!$N$27+1,20,24,28,32,36,40),0)/100)))))/Skills!H4,1)))/Inputs!$B$43),G2626*Q2626)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7">
      <c r="A2627">
        <f>Skills!A5</f>
        <v/>
      </c>
      <c r="B2627">
        <f>Skills!B5</f>
        <v/>
      </c>
      <c r="C2627">
        <f>TRUE</f>
        <v/>
      </c>
      <c r="D2627">
        <f>IF(Skills!C5=1,60+Inputs!$B$25+Inputs!$B$29,IF(Skills!C5=2,90+Inputs!$B$26+Inputs!$B$29,IF(Skills!C5=3,120+Inputs!$B$27+Inputs!$B$29,MAX(0,(Inputs!$B$3-100)*3)+Inputs!$B$28+Inputs!$B$29)))</f>
        <v/>
      </c>
      <c r="E2627">
        <f>INDEX(FactorTable!$B$2:$Y$301, MATCH(ROUND(MIN(300,MAX(1,D2627)),0), FactorTable!$A$2:$A$301,0), Skills!M5+1)</f>
        <v/>
      </c>
      <c r="F2627">
        <f>IF(Skills!N5=TRUE,(Skills!L5/10)*(E2627/1000),Skills!L5/10)+Skills!O5</f>
        <v/>
      </c>
      <c r="G2627">
        <f>Calc!G5</f>
        <v/>
      </c>
      <c r="H2627">
        <f>Calc!H5</f>
        <v/>
      </c>
      <c r="I2627">
        <f>IF(Skills!X5&lt;&gt;"",1+(Skills!X5/10)*(Z2625/1000)/100,1)</f>
        <v/>
      </c>
      <c r="J2627">
        <f>((Inputs!$B$6*(1+Inputs!$B$7/100))+(((Inputs!$B$12*(1+Inputs!$B$13/100))-(Inputs!$B$12*(1+Inputs!$B$13/100)))+0.25*(Inputs!$B$14-Inputs!$B$14))*(1+Inputs!$B$7/100))*(F2627/100)</f>
        <v/>
      </c>
      <c r="K2627">
        <f>J2627*(1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2627)</f>
        <v/>
      </c>
      <c r="L2627">
        <f>K2627*(MIN(Inputs!$B$22+(F2644-Calc!F22),(Inputs!$B$23+(IF(ArtifactsInput!$M$15,CHOOSE(ArtifactsInput!$N$15+1,25,30,35,40,45,50)/100*(Inputs!$B$11-Inputs!$B$11),0))))/100+(Inputs!$B$23+(IF(ArtifactsInput!$M$15,CHOOSE(ArtifactsInput!$N$15+1,25,30,35,40,45,50)/100*(Inputs!$B$11-Inputs!$B$11),0)))/100)/2</f>
        <v/>
      </c>
      <c r="M2627">
        <f>L2627*(1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7">
        <f>L2627*(1-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2627*(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7">
        <f>(1-Summary!$B$11)*S2627+Summary!$B$11*U2627</f>
        <v/>
      </c>
      <c r="P2627">
        <f>IF(B2663=0,0,O2627/B2663)</f>
        <v/>
      </c>
      <c r="Q2627">
        <f>IFERROR(1/(IF(Inputs!$B$38="pvp",15,MAX(0.1,Skills!E5-IF(Skills!F5=TRUE,Inputs!$B$32,0)))*(1-IF(AND(ArtifactsInput!$M$27,Inputs!$B$4="Chapter Hunt"),CHOOSE(ArtifactsInput!$N$27+1,20,24,28,32,36,40),0)/100)),0)</f>
        <v/>
      </c>
      <c r="R2627">
        <f>IF(AND(Inputs!$B$38&lt;&gt;"pvp",Inputs!$B$43&gt;0),IF(MAX(0,Inputs!$B$43-B2660)&lt;=0,0,(INT(MAX(0,Inputs!$B$43-B2660)/(IF(Inputs!$B$38="pvp",15,MAX(0.1,Skills!E5-IF(Skills!F5=TRUE,Inputs!$B$32,0)))*(1-IF(AND(ArtifactsInput!$M$27,Inputs!$B$4="Chapter Hunt"),CHOOSE(ArtifactsInput!$N$27+1,20,24,28,32,36,40),0)/100)))+1)),0)</f>
        <v/>
      </c>
      <c r="S2627">
        <f>IF(C2627,(H2627*N2627*IF(AND(Inputs!$B$38&lt;&gt;"pvp",Inputs!$B$43&gt;0),((Skills!G5*((R2627-1)*IF(Skills!H5&gt;0,Skills!I5/Skills!H5,1)+IF(Skills!H5&gt;0,MIN(Skills!I5,MAX(0,MAX(0,Inputs!$B$43-B2660)-((R2627-1)*(IF(Inputs!$B$38="pvp",15,MAX(0.1,Skills!E5-IF(Skills!F5=TRUE,Inputs!$B$32,0)))*(1-IF(AND(ArtifactsInput!$M$27,Inputs!$B$4="Chapter Hunt"),CHOOSE(ArtifactsInput!$N$27+1,20,24,28,32,36,40),0)/100)))))/Skills!H5,1)))/Inputs!$B$43),G2627*Q2627)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2627*(1-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2627*(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2627*(1-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2627*(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27">
        <f>IF(C2627,(H2627*N2627*IF(AND(Inputs!$B$38&lt;&gt;"pvp",Inputs!$B$43&gt;0),((Skills!G5*((R2627-1)*IF(Skills!H5&gt;0,Skills!I5/Skills!H5,1)+IF(Skills!H5&gt;0,MIN(Skills!I5,MAX(0,MAX(0,Inputs!$B$43-B2660)-((R2627-1)*(IF(Inputs!$B$38="pvp",15,MAX(0.1,Skills!E5-IF(Skills!F5=TRUE,Inputs!$B$32,0)))*(1-IF(AND(ArtifactsInput!$M$27,Inputs!$B$4="Chapter Hunt"),CHOOSE(ArtifactsInput!$N$27+1,20,24,28,32,36,40),0)/100)))))/Skills!H5,1)))/Inputs!$B$43),G2627*Q2627)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8">
      <c r="A2628">
        <f>Skills!A6</f>
        <v/>
      </c>
      <c r="B2628">
        <f>Skills!B6</f>
        <v/>
      </c>
      <c r="C2628">
        <f>TRUE</f>
        <v/>
      </c>
      <c r="D2628">
        <f>IF(Skills!C6=1,60+Inputs!$B$25+Inputs!$B$29,IF(Skills!C6=2,90+Inputs!$B$26+Inputs!$B$29,IF(Skills!C6=3,120+Inputs!$B$27+Inputs!$B$29,MAX(0,(Inputs!$B$3-100)*3)+Inputs!$B$28+Inputs!$B$29)))</f>
        <v/>
      </c>
      <c r="E2628">
        <f>INDEX(FactorTable!$B$2:$Y$301, MATCH(ROUND(MIN(300,MAX(1,D2628)),0), FactorTable!$A$2:$A$301,0), Skills!M6+1)</f>
        <v/>
      </c>
      <c r="F2628">
        <f>IF(Skills!N6=TRUE,(Skills!L6/10)*(E2628/1000),Skills!L6/10)+Skills!O6</f>
        <v/>
      </c>
      <c r="G2628">
        <f>Calc!G6</f>
        <v/>
      </c>
      <c r="H2628">
        <f>Calc!H6</f>
        <v/>
      </c>
      <c r="I2628">
        <f>IF(Skills!X6&lt;&gt;"",1+(Skills!X6/10)*(Z2625/1000)/100,1)</f>
        <v/>
      </c>
      <c r="J2628" t="inlineStr"/>
      <c r="K2628" t="inlineStr"/>
      <c r="L2628" t="inlineStr"/>
      <c r="M2628" t="inlineStr"/>
      <c r="N2628" t="inlineStr"/>
      <c r="O2628">
        <f>(1-Summary!$B$11)*S2628+Summary!$B$11*U2628</f>
        <v/>
      </c>
      <c r="P2628">
        <f>IF(B2663=0,0,O2628/B2663)</f>
        <v/>
      </c>
      <c r="Q2628">
        <f>IFERROR(1/(IF(Inputs!$B$38="pvp",15,MAX(0.1,Skills!E6-IF(Skills!F6=TRUE,Inputs!$B$32,0)))*(1-IF(AND(ArtifactsInput!$M$27,Inputs!$B$4="Chapter Hunt"),CHOOSE(ArtifactsInput!$N$27+1,20,24,28,32,36,40),0)/100)),0)</f>
        <v/>
      </c>
      <c r="R2628">
        <f>IF(AND(Inputs!$B$38&lt;&gt;"pvp",Inputs!$B$43&gt;0),IF(Inputs!$B$43&lt;=0,0,(INT(Inputs!$B$43/(IF(Inputs!$B$38="pvp",15,MAX(0.1,Skills!E6-IF(Skills!F6=TRUE,Inputs!$B$32,0)))*(1-IF(AND(ArtifactsInput!$M$27,Inputs!$B$4="Chapter Hunt"),CHOOSE(ArtifactsInput!$N$27+1,20,24,28,32,36,40),0)/100)))+1)),0)</f>
        <v/>
      </c>
      <c r="S2628" t="n">
        <v>0</v>
      </c>
      <c r="U2628" t="n">
        <v>0</v>
      </c>
    </row>
    <row r="2629">
      <c r="A2629">
        <f>Skills!A7</f>
        <v/>
      </c>
      <c r="B2629">
        <f>Skills!B7</f>
        <v/>
      </c>
      <c r="C2629">
        <f>TRUE</f>
        <v/>
      </c>
      <c r="D2629">
        <f>IF(Skills!C7=1,60+Inputs!$B$25+Inputs!$B$29,IF(Skills!C7=2,90+Inputs!$B$26+Inputs!$B$29,IF(Skills!C7=3,120+Inputs!$B$27+Inputs!$B$29,MAX(0,(Inputs!$B$3-100)*3)+Inputs!$B$28+Inputs!$B$29)))</f>
        <v/>
      </c>
      <c r="E2629">
        <f>INDEX(FactorTable!$B$2:$Y$301, MATCH(ROUND(MIN(300,MAX(1,D2629)),0), FactorTable!$A$2:$A$301,0), Skills!M7+1)</f>
        <v/>
      </c>
      <c r="F2629">
        <f>IF(Skills!N7=TRUE,(Skills!L7/10)*(E2629/1000),Skills!L7/10)+Skills!O7</f>
        <v/>
      </c>
      <c r="G2629">
        <f>Calc!G7</f>
        <v/>
      </c>
      <c r="H2629">
        <f>Calc!H7</f>
        <v/>
      </c>
      <c r="I2629">
        <f>IF(Skills!X7&lt;&gt;"",1+(Skills!X7/10)*(Z2625/1000)/100,1)</f>
        <v/>
      </c>
      <c r="J2629">
        <f>((Inputs!$B$6*(1+Inputs!$B$7/100))+(((Inputs!$B$12*(1+Inputs!$B$13/100))-(Inputs!$B$12*(1+Inputs!$B$13/100)))+0.25*(Inputs!$B$14-Inputs!$B$14))*(1+Inputs!$B$7/100))*(F2629/100)</f>
        <v/>
      </c>
      <c r="K2629">
        <f>J2629*(1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2629)</f>
        <v/>
      </c>
      <c r="L2629">
        <f>K2629*(MIN(Inputs!$B$22+(F2644-Calc!F22),(Inputs!$B$23+(IF(ArtifactsInput!$M$15,CHOOSE(ArtifactsInput!$N$15+1,25,30,35,40,45,50)/100*(Inputs!$B$11-Inputs!$B$11),0))))/100+(Inputs!$B$23+(IF(ArtifactsInput!$M$15,CHOOSE(ArtifactsInput!$N$15+1,25,30,35,40,45,50)/100*(Inputs!$B$11-Inputs!$B$11),0)))/100)/2</f>
        <v/>
      </c>
      <c r="M2629">
        <f>L2629*(1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9">
        <f>L2629*(1-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2629*(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9">
        <f>(1-Summary!$B$11)*S2629+Summary!$B$11*U2629</f>
        <v/>
      </c>
      <c r="P2629">
        <f>IF(B2663=0,0,O2629/B2663)</f>
        <v/>
      </c>
      <c r="Q2629">
        <f>IFERROR(1/(IF(Inputs!$B$38="pvp",15,MAX(0.1,Skills!E7-IF(Skills!F7=TRUE,Inputs!$B$32,0)))*(1-IF(AND(ArtifactsInput!$M$27,Inputs!$B$4="Chapter Hunt"),CHOOSE(ArtifactsInput!$N$27+1,20,24,28,32,36,40),0)/100)),0)</f>
        <v/>
      </c>
      <c r="R2629">
        <f>IF(AND(Inputs!$B$38&lt;&gt;"pvp",Inputs!$B$43&gt;0),IF(MAX(0,Inputs!$B$43-B2660)&lt;=0,0,(INT(MAX(0,Inputs!$B$43-B2660)/(IF(Inputs!$B$38="pvp",15,MAX(0.1,Skills!E7-IF(Skills!F7=TRUE,Inputs!$B$32,0)))*(1-IF(AND(ArtifactsInput!$M$27,Inputs!$B$4="Chapter Hunt"),CHOOSE(ArtifactsInput!$N$27+1,20,24,28,32,36,40),0)/100)))+1)),0)</f>
        <v/>
      </c>
      <c r="S2629">
        <f>IF(C2629,(H2629*N2629*IF(AND(Inputs!$B$38&lt;&gt;"pvp",Inputs!$B$43&gt;0),((Skills!G7*((R2629-1)*IF(Skills!H7&gt;0,Skills!I7/Skills!H7,1)+IF(Skills!H7&gt;0,MIN(Skills!I7,MAX(0,MAX(0,Inputs!$B$43-B2660)-((R2629-1)*(IF(Inputs!$B$38="pvp",15,MAX(0.1,Skills!E7-IF(Skills!F7=TRUE,Inputs!$B$32,0)))*(1-IF(AND(ArtifactsInput!$M$27,Inputs!$B$4="Chapter Hunt"),CHOOSE(ArtifactsInput!$N$27+1,20,24,28,32,36,40),0)/100)))))/Skills!H7,1)))/Inputs!$B$43),G2629*Q2629)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2629*(1-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2629*(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2629*(1-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2629*(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29">
        <f>IF(C2629,(H2629*N2629*IF(AND(Inputs!$B$38&lt;&gt;"pvp",Inputs!$B$43&gt;0),((Skills!G7*((R2629-1)*IF(Skills!H7&gt;0,Skills!I7/Skills!H7,1)+IF(Skills!H7&gt;0,MIN(Skills!I7,MAX(0,MAX(0,Inputs!$B$43-B2660)-((R2629-1)*(IF(Inputs!$B$38="pvp",15,MAX(0.1,Skills!E7-IF(Skills!F7=TRUE,Inputs!$B$32,0)))*(1-IF(AND(ArtifactsInput!$M$27,Inputs!$B$4="Chapter Hunt"),CHOOSE(ArtifactsInput!$N$27+1,20,24,28,32,36,40),0)/100)))))/Skills!H7,1)))/Inputs!$B$43),G2629*Q2629)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0">
      <c r="A2630">
        <f>Skills!A8</f>
        <v/>
      </c>
      <c r="B2630">
        <f>Skills!B8</f>
        <v/>
      </c>
      <c r="C2630">
        <f>TRUE</f>
        <v/>
      </c>
      <c r="D2630">
        <f>IF(Skills!C8=1,60+Inputs!$B$25+Inputs!$B$29,IF(Skills!C8=2,90+Inputs!$B$26+Inputs!$B$29,IF(Skills!C8=3,120+Inputs!$B$27+Inputs!$B$29,MAX(0,(Inputs!$B$3-100)*3)+Inputs!$B$28+Inputs!$B$29)))</f>
        <v/>
      </c>
      <c r="E2630">
        <f>INDEX(FactorTable!$B$2:$Y$301, MATCH(ROUND(MIN(300,MAX(1,D2630)),0), FactorTable!$A$2:$A$301,0), Skills!M8+1)</f>
        <v/>
      </c>
      <c r="F2630">
        <f>IF(Skills!N8=TRUE,(Skills!L8/10)*(E2630/1000),Skills!L8/10)+Skills!O8</f>
        <v/>
      </c>
      <c r="G2630">
        <f>Calc!G8</f>
        <v/>
      </c>
      <c r="H2630">
        <f>Calc!H8</f>
        <v/>
      </c>
      <c r="I2630">
        <f>IF(Skills!X8&lt;&gt;"",1+(Skills!X8/10)*(Z2625/1000)/100,1)</f>
        <v/>
      </c>
      <c r="J2630">
        <f>((Inputs!$B$6*(1+Inputs!$B$7/100))+(((Inputs!$B$12*(1+Inputs!$B$13/100))-(Inputs!$B$12*(1+Inputs!$B$13/100)))+0.25*(Inputs!$B$14-Inputs!$B$14))*(1+Inputs!$B$7/100))*(F2630/100)</f>
        <v/>
      </c>
      <c r="K2630">
        <f>J2630*(1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2630)</f>
        <v/>
      </c>
      <c r="L2630">
        <f>K2630*(MIN(Inputs!$B$22+(F2644-Calc!F22),(Inputs!$B$23+(IF(ArtifactsInput!$M$15,CHOOSE(ArtifactsInput!$N$15+1,25,30,35,40,45,50)/100*(Inputs!$B$11-Inputs!$B$11),0))))/100+(Inputs!$B$23+(IF(ArtifactsInput!$M$15,CHOOSE(ArtifactsInput!$N$15+1,25,30,35,40,45,50)/100*(Inputs!$B$11-Inputs!$B$11),0)))/100)/2</f>
        <v/>
      </c>
      <c r="M2630">
        <f>L2630*(1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0">
        <f>L2630*(1-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2630*(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0">
        <f>(1-Summary!$B$11)*S2630+Summary!$B$11*U2630</f>
        <v/>
      </c>
      <c r="P2630">
        <f>IF(B2663=0,0,O2630/B2663)</f>
        <v/>
      </c>
      <c r="Q2630">
        <f>IFERROR(1/(IF(Inputs!$B$38="pvp",15,MAX(0.1,Skills!E8-IF(Skills!F8=TRUE,Inputs!$B$32,0)))*(1-IF(AND(ArtifactsInput!$M$27,Inputs!$B$4="Chapter Hunt"),CHOOSE(ArtifactsInput!$N$27+1,20,24,28,32,36,40),0)/100)),0)</f>
        <v/>
      </c>
      <c r="R2630">
        <f>IF(AND(Inputs!$B$38&lt;&gt;"pvp",Inputs!$B$43&gt;0),IF(MAX(0,Inputs!$B$43-B2660)&lt;=0,0,(INT(MAX(0,Inputs!$B$43-B2660)/(IF(Inputs!$B$38="pvp",15,MAX(0.1,Skills!E8-IF(Skills!F8=TRUE,Inputs!$B$32,0)))*(1-IF(AND(ArtifactsInput!$M$27,Inputs!$B$4="Chapter Hunt"),CHOOSE(ArtifactsInput!$N$27+1,20,24,28,32,36,40),0)/100)))+1)),0)</f>
        <v/>
      </c>
      <c r="S2630">
        <f>IF(C2630,(H2630*N2630*IF(AND(Inputs!$B$38&lt;&gt;"pvp",Inputs!$B$43&gt;0),((Skills!G8*((R2630-1)*IF(Skills!H8&gt;0,Skills!I8/Skills!H8,1)+IF(Skills!H8&gt;0,MIN(Skills!I8,MAX(0,MAX(0,Inputs!$B$43-B2660)-((R2630-1)*(IF(Inputs!$B$38="pvp",15,MAX(0.1,Skills!E8-IF(Skills!F8=TRUE,Inputs!$B$32,0)))*(1-IF(AND(ArtifactsInput!$M$27,Inputs!$B$4="Chapter Hunt"),CHOOSE(ArtifactsInput!$N$27+1,20,24,28,32,36,40),0)/100)))))/Skills!H8,1)))/Inputs!$B$43),G2630*Q2630)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2630*(1-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2630*(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2630*(1-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2630*(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0">
        <f>IF(C2630,(H2630*N2630*IF(AND(Inputs!$B$38&lt;&gt;"pvp",Inputs!$B$43&gt;0),((Skills!G8*((R2630-1)*IF(Skills!H8&gt;0,Skills!I8/Skills!H8,1)+IF(Skills!H8&gt;0,MIN(Skills!I8,MAX(0,MAX(0,Inputs!$B$43-B2660)-((R2630-1)*(IF(Inputs!$B$38="pvp",15,MAX(0.1,Skills!E8-IF(Skills!F8=TRUE,Inputs!$B$32,0)))*(1-IF(AND(ArtifactsInput!$M$27,Inputs!$B$4="Chapter Hunt"),CHOOSE(ArtifactsInput!$N$27+1,20,24,28,32,36,40),0)/100)))))/Skills!H8,1)))/Inputs!$B$43),G2630*Q2630)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1">
      <c r="A2631">
        <f>Skills!A9</f>
        <v/>
      </c>
      <c r="B2631">
        <f>Skills!B9</f>
        <v/>
      </c>
      <c r="C2631">
        <f>Inputs!$B$3&gt;=103</f>
        <v/>
      </c>
      <c r="D2631">
        <f>IF(Skills!C9=1,60+Inputs!$B$25+Inputs!$B$29,IF(Skills!C9=2,90+Inputs!$B$26+Inputs!$B$29,IF(Skills!C9=3,120+Inputs!$B$27+Inputs!$B$29,MAX(0,(Inputs!$B$3-100)*3)+Inputs!$B$28+Inputs!$B$29)))</f>
        <v/>
      </c>
      <c r="E2631">
        <f>INDEX(FactorTable!$B$2:$Y$301, MATCH(ROUND(MIN(300,MAX(1,D2631)),0), FactorTable!$A$2:$A$301,0), Skills!M9+1)</f>
        <v/>
      </c>
      <c r="F2631">
        <f>IF(Skills!N9=TRUE,(Skills!L9/10)*(E2631/1000),Skills!L9/10)+Skills!O9</f>
        <v/>
      </c>
      <c r="G2631">
        <f>Calc!G9</f>
        <v/>
      </c>
      <c r="H2631">
        <f>Calc!H9</f>
        <v/>
      </c>
      <c r="I2631">
        <f>IF(Skills!X9&lt;&gt;"",1+(Skills!X9/10)*(Z2625/1000)/100,1)</f>
        <v/>
      </c>
      <c r="J2631">
        <f>((Inputs!$B$6*(1+Inputs!$B$7/100))+(((Inputs!$B$12*(1+Inputs!$B$13/100))-(Inputs!$B$12*(1+Inputs!$B$13/100)))+0.25*(Inputs!$B$14-Inputs!$B$14))*(1+Inputs!$B$7/100))*(F2631/100)</f>
        <v/>
      </c>
      <c r="K2631">
        <f>J2631*(1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2631)</f>
        <v/>
      </c>
      <c r="L2631">
        <f>K2631*(MIN(Inputs!$B$22+(F2644-Calc!F22),(Inputs!$B$23+(IF(ArtifactsInput!$M$15,CHOOSE(ArtifactsInput!$N$15+1,25,30,35,40,45,50)/100*(Inputs!$B$11-Inputs!$B$11),0))))/100+(Inputs!$B$23+(IF(ArtifactsInput!$M$15,CHOOSE(ArtifactsInput!$N$15+1,25,30,35,40,45,50)/100*(Inputs!$B$11-Inputs!$B$11),0)))/100)/2</f>
        <v/>
      </c>
      <c r="M2631">
        <f>L2631*(1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1">
        <f>L2631*(1-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1">
        <f>(1-Summary!$B$11)*S2631+Summary!$B$11*U2631</f>
        <v/>
      </c>
      <c r="P2631">
        <f>IF(B2663=0,0,O2631/B2663)</f>
        <v/>
      </c>
      <c r="Q2631">
        <f>IFERROR(1/(IF(Inputs!$B$38="pvp",15,MAX(0.1,Skills!E9-IF(Skills!F7=TRUE,Inputs!$B$32,0)))*(1-IF(AND(ArtifactsInput!$M$27,Inputs!$B$4="Chapter Hunt"),CHOOSE(ArtifactsInput!$N$27+1,20,24,28,32,36,40),0)/100)),0)</f>
        <v/>
      </c>
      <c r="R2631">
        <f>IF(AND(Inputs!$B$38&lt;&gt;"pvp",Inputs!$B$43&gt;0),IF(MAX(0,Inputs!$B$43-B2660)&lt;=0,0,(INT(MAX(0,Inputs!$B$43-B2660)/(IF(Inputs!$B$38="pvp",15,MAX(0.1,Skills!E9-IF(Skills!F7=TRUE,Inputs!$B$32,0)))*(1-IF(AND(ArtifactsInput!$M$27,Inputs!$B$4="Chapter Hunt"),CHOOSE(ArtifactsInput!$N$27+1,20,24,28,32,36,40),0)/100)))+1)),0)</f>
        <v/>
      </c>
      <c r="S2631">
        <f>IF(C2631,(H2631*N2631*IF(AND(Inputs!$B$38&lt;&gt;"pvp",Inputs!$B$43&gt;0),((Skills!G9*((R2631-1)*IF(Skills!H9&gt;0,Skills!I9/Skills!H9,1)+IF(Skills!H9&gt;0,MIN(Skills!I9,MAX(0,MAX(0,Inputs!$B$43-B2660)-((R2631-1)*(IF(Inputs!$B$38="pvp",15,MAX(0.1,Skills!E9-IF(Skills!F7=TRUE,Inputs!$B$32,0)))*(1-IF(AND(ArtifactsInput!$M$27,Inputs!$B$4="Chapter Hunt"),CHOOSE(ArtifactsInput!$N$27+1,20,24,28,32,36,40),0)/100)))))/Skills!H9,1)))/Inputs!$B$43),G2631*Q2631)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2631*(1-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2631*(1-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1">
        <f>IF(C2631,(H2631*N2631*IF(AND(Inputs!$B$38&lt;&gt;"pvp",Inputs!$B$43&gt;0),((Skills!G9*((R2631-1)*IF(Skills!H9&gt;0,Skills!I9/Skills!H9,1)+IF(Skills!H9&gt;0,MIN(Skills!I9,MAX(0,MAX(0,Inputs!$B$43-B2660)-((R2631-1)*(IF(Inputs!$B$38="pvp",15,MAX(0.1,Skills!E9-IF(Skills!F7=TRUE,Inputs!$B$32,0)))*(1-IF(AND(ArtifactsInput!$M$27,Inputs!$B$4="Chapter Hunt"),CHOOSE(ArtifactsInput!$N$27+1,20,24,28,32,36,40),0)/100)))))/Skills!H9,1)))/Inputs!$B$43),G2631*Q2631)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2">
      <c r="A2632">
        <f>Skills!A10</f>
        <v/>
      </c>
      <c r="B2632">
        <f>Skills!B10</f>
        <v/>
      </c>
      <c r="C2632">
        <f>TRUE</f>
        <v/>
      </c>
      <c r="D2632">
        <f>IF(Skills!C10=1,60+Inputs!$B$25+Inputs!$B$29,IF(Skills!C10=2,90+Inputs!$B$26+Inputs!$B$29,IF(Skills!C10=3,120+Inputs!$B$27+Inputs!$B$29,MAX(0,(Inputs!$B$3-100)*3)+Inputs!$B$28+Inputs!$B$29)))</f>
        <v/>
      </c>
      <c r="E2632">
        <f>INDEX(FactorTable!$B$2:$Y$301, MATCH(ROUND(MIN(300,MAX(1,D2632)),0), FactorTable!$A$2:$A$301,0), Skills!M10+1)</f>
        <v/>
      </c>
      <c r="F2632">
        <f>IF(Skills!N10=TRUE,(Skills!L10/10)*(E2632/1000),Skills!L10/10)+Skills!O10</f>
        <v/>
      </c>
      <c r="G2632">
        <f>Calc!G10</f>
        <v/>
      </c>
      <c r="H2632">
        <f>Calc!H10</f>
        <v/>
      </c>
      <c r="I2632">
        <f>IF(Skills!X10&lt;&gt;"",1+(Skills!X10/10)*(Z2625/1000)/100,1)</f>
        <v/>
      </c>
      <c r="J2632">
        <f>((Inputs!$B$6*(1+Inputs!$B$7/100))+(((Inputs!$B$12*(1+Inputs!$B$13/100))-(Inputs!$B$12*(1+Inputs!$B$13/100)))+0.25*(Inputs!$B$14-Inputs!$B$14))*(1+Inputs!$B$7/100))*(F2632/100)</f>
        <v/>
      </c>
      <c r="K2632">
        <f>J2632*(1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2632)</f>
        <v/>
      </c>
      <c r="L2632">
        <f>K2632*(MIN(Inputs!$B$22+(F2644-Calc!F22),(Inputs!$B$23+(IF(ArtifactsInput!$M$15,CHOOSE(ArtifactsInput!$N$15+1,25,30,35,40,45,50)/100*(Inputs!$B$11-Inputs!$B$11),0))))/100+(Inputs!$B$23+(IF(ArtifactsInput!$M$15,CHOOSE(ArtifactsInput!$N$15+1,25,30,35,40,45,50)/100*(Inputs!$B$11-Inputs!$B$11),0)))/100)/2</f>
        <v/>
      </c>
      <c r="M2632">
        <f>L2632*(1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2">
        <f>L2632*(1-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2632*(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2">
        <f>(1-Summary!$B$11)*S2632+Summary!$B$11*U2632</f>
        <v/>
      </c>
      <c r="P2632">
        <f>IF(B2663=0,0,O2632/B2663)</f>
        <v/>
      </c>
      <c r="Q2632">
        <f>IFERROR(1/(IF(Inputs!$B$38="pvp",15,MAX(0.1,Skills!E10-IF(Skills!F10=TRUE,Inputs!$B$32,0)))*(1-IF(AND(ArtifactsInput!$M$27,Inputs!$B$4="Chapter Hunt"),CHOOSE(ArtifactsInput!$N$27+1,20,24,28,32,36,40),0)/100)),0)</f>
        <v/>
      </c>
      <c r="R2632">
        <f>IF(AND(Inputs!$B$38&lt;&gt;"pvp",Inputs!$B$43&gt;0),IF(MAX(0,Inputs!$B$43-B2660)&lt;=0,0,(INT(MAX(0,Inputs!$B$43-B2660)/(IF(Inputs!$B$38="pvp",15,MAX(0.1,Skills!E10-IF(Skills!F10=TRUE,Inputs!$B$32,0)))*(1-IF(AND(ArtifactsInput!$M$27,Inputs!$B$4="Chapter Hunt"),CHOOSE(ArtifactsInput!$N$27+1,20,24,28,32,36,40),0)/100)))+1)),0)</f>
        <v/>
      </c>
      <c r="S2632">
        <f>IF(C2632,(H2632*N2632*IF(AND(Inputs!$B$38&lt;&gt;"pvp",Inputs!$B$43&gt;0),((Skills!G10*((R2632-1)*IF(Skills!H10&gt;0,Skills!I10/Skills!H10,1)+IF(Skills!H10&gt;0,MIN(Skills!I10,MAX(0,MAX(0,Inputs!$B$43-B2660)-((R2632-1)*(IF(Inputs!$B$38="pvp",15,MAX(0.1,Skills!E10-IF(Skills!F10=TRUE,Inputs!$B$32,0)))*(1-IF(AND(ArtifactsInput!$M$27,Inputs!$B$4="Chapter Hunt"),CHOOSE(ArtifactsInput!$N$27+1,20,24,28,32,36,40),0)/100)))))/Skills!H10,1)))/Inputs!$B$43),G2632*Q2632)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2632*(1-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2632*(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2632*(1-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2632*(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2">
        <f>IF(C2632,(H2632*N2632*IF(AND(Inputs!$B$38&lt;&gt;"pvp",Inputs!$B$43&gt;0),((Skills!G10*((R2632-1)*IF(Skills!H10&gt;0,Skills!I10/Skills!H10,1)+IF(Skills!H10&gt;0,MIN(Skills!I10,MAX(0,MAX(0,Inputs!$B$43-B2660)-((R2632-1)*(IF(Inputs!$B$38="pvp",15,MAX(0.1,Skills!E10-IF(Skills!F10=TRUE,Inputs!$B$32,0)))*(1-IF(AND(ArtifactsInput!$M$27,Inputs!$B$4="Chapter Hunt"),CHOOSE(ArtifactsInput!$N$27+1,20,24,28,32,36,40),0)/100)))))/Skills!H10,1)))/Inputs!$B$43),G2632*Q2632)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3">
      <c r="A2633">
        <f>Skills!A11</f>
        <v/>
      </c>
      <c r="B2633">
        <f>Skills!B11</f>
        <v/>
      </c>
      <c r="C2633">
        <f>TRUE</f>
        <v/>
      </c>
      <c r="D2633">
        <f>IF(Skills!C11=1,60+Inputs!$B$25+Inputs!$B$29,IF(Skills!C11=2,90+Inputs!$B$26+Inputs!$B$29,IF(Skills!C11=3,120+Inputs!$B$27+Inputs!$B$29,MAX(0,(Inputs!$B$3-100)*3)+Inputs!$B$28+Inputs!$B$29)))</f>
        <v/>
      </c>
      <c r="E2633">
        <f>INDEX(FactorTable!$B$2:$Y$301, MATCH(ROUND(MIN(300,MAX(1,D2633)),0), FactorTable!$A$2:$A$301,0), Skills!M11+1)</f>
        <v/>
      </c>
      <c r="F2633">
        <f>IF(Skills!N11=TRUE,(Skills!L11/10)*(E2633/1000),Skills!L11/10)+Skills!O11</f>
        <v/>
      </c>
      <c r="G2633">
        <f>Calc!G11</f>
        <v/>
      </c>
      <c r="H2633">
        <f>Calc!H11</f>
        <v/>
      </c>
      <c r="I2633">
        <f>IF(Skills!X11&lt;&gt;"",1+(Skills!X11/10)*(Z2625/1000)/100,1)</f>
        <v/>
      </c>
      <c r="J2633" t="inlineStr"/>
      <c r="K2633" t="inlineStr"/>
      <c r="L2633" t="inlineStr"/>
      <c r="M2633" t="inlineStr"/>
      <c r="N2633" t="inlineStr"/>
      <c r="O2633">
        <f>(1-Summary!$B$11)*S2633+Summary!$B$11*U2633</f>
        <v/>
      </c>
      <c r="P2633">
        <f>IF(B2663=0,0,O2633/B2663)</f>
        <v/>
      </c>
      <c r="Q2633">
        <f>IFERROR(1/(IF(Inputs!$B$38="pvp",15,MAX(0.1,Skills!E11-IF(Skills!F11=TRUE,Inputs!$B$32,0)))*(1-IF(AND(ArtifactsInput!$M$27,Inputs!$B$4="Chapter Hunt"),CHOOSE(ArtifactsInput!$N$27+1,20,24,28,32,36,40),0)/100)),0)</f>
        <v/>
      </c>
      <c r="R2633" t="n">
        <v>0</v>
      </c>
      <c r="S2633" t="n">
        <v>0</v>
      </c>
      <c r="U2633" t="n">
        <v>0</v>
      </c>
    </row>
    <row r="2634">
      <c r="A2634">
        <f>Skills!A12</f>
        <v/>
      </c>
      <c r="B2634">
        <f>Skills!B12</f>
        <v/>
      </c>
      <c r="C2634">
        <f>TRUE</f>
        <v/>
      </c>
      <c r="D2634">
        <f>IF(Skills!C12=1,60+Inputs!$B$25+Inputs!$B$29,IF(Skills!C12=2,90+Inputs!$B$26+Inputs!$B$29,IF(Skills!C12=3,120+Inputs!$B$27+Inputs!$B$29,MAX(0,(Inputs!$B$3-100)*3)+Inputs!$B$28+Inputs!$B$29)))</f>
        <v/>
      </c>
      <c r="E2634">
        <f>INDEX(FactorTable!$B$2:$Y$301, MATCH(ROUND(MIN(300,MAX(1,D2634)),0), FactorTable!$A$2:$A$301,0), Skills!M12+1)</f>
        <v/>
      </c>
      <c r="F2634">
        <f>IF(Skills!N12=TRUE,(Skills!L12/10)*(E2634/1000),Skills!L12/10)+Skills!O12</f>
        <v/>
      </c>
      <c r="G2634">
        <f>Calc!G12</f>
        <v/>
      </c>
      <c r="H2634">
        <f>Calc!H12</f>
        <v/>
      </c>
      <c r="I2634">
        <f>IF(Skills!X12&lt;&gt;"",1+(Skills!X12/10)*(Z2625/1000)/100,1)</f>
        <v/>
      </c>
      <c r="J2634" t="inlineStr"/>
      <c r="K2634" t="inlineStr"/>
      <c r="L2634" t="inlineStr"/>
      <c r="M2634" t="inlineStr"/>
      <c r="N2634" t="inlineStr"/>
      <c r="O2634">
        <f>(1-Summary!$B$11)*S2634+Summary!$B$11*U2634</f>
        <v/>
      </c>
      <c r="P2634">
        <f>IF(B2663=0,0,O2634/B2663)</f>
        <v/>
      </c>
      <c r="Q2634">
        <f>IFERROR(1/(IF(Inputs!$B$38="pvp",15,MAX(0.1,Skills!E12-IF(Skills!F12=TRUE,Inputs!$B$32,0)))*(1-IF(AND(ArtifactsInput!$M$27,Inputs!$B$4="Chapter Hunt"),CHOOSE(ArtifactsInput!$N$27+1,20,24,28,32,36,40),0)/100)),0)</f>
        <v/>
      </c>
      <c r="R2634" t="n">
        <v>0</v>
      </c>
      <c r="S2634" t="n">
        <v>0</v>
      </c>
      <c r="U2634" t="n">
        <v>0</v>
      </c>
    </row>
    <row r="2635">
      <c r="A2635">
        <f>Skills!A13</f>
        <v/>
      </c>
      <c r="B2635">
        <f>Skills!B13</f>
        <v/>
      </c>
      <c r="C2635">
        <f>Inputs!$B$3&gt;=105</f>
        <v/>
      </c>
      <c r="D2635">
        <f>IF(Skills!C13=1,60+Inputs!$B$25+Inputs!$B$29,IF(Skills!C13=2,90+Inputs!$B$26+Inputs!$B$29,IF(Skills!C13=3,120+Inputs!$B$27+Inputs!$B$29,MAX(0,(Inputs!$B$3-100)*3)+Inputs!$B$28+Inputs!$B$29)))</f>
        <v/>
      </c>
      <c r="E2635">
        <f>INDEX(FactorTable!$B$2:$Y$301, MATCH(ROUND(MIN(300,MAX(1,D2635)),0), FactorTable!$A$2:$A$301,0), Skills!M13+1)</f>
        <v/>
      </c>
      <c r="F2635">
        <f>IF(Skills!N13=TRUE,(Skills!L13/10)*(E2635/1000),Skills!L13/10)+Skills!O13</f>
        <v/>
      </c>
      <c r="G2635">
        <f>Calc!G13</f>
        <v/>
      </c>
      <c r="H2635">
        <f>Calc!H13</f>
        <v/>
      </c>
      <c r="I2635">
        <f>IF(Skills!X13&lt;&gt;"",1+(Skills!X13/10)*(Z2625/1000)/100,1)</f>
        <v/>
      </c>
      <c r="J2635">
        <f>((Inputs!$B$6*(1+Inputs!$B$7/100))+(((Inputs!$B$12*(1+Inputs!$B$13/100))-(Inputs!$B$12*(1+Inputs!$B$13/100)))+0.25*(Inputs!$B$14-Inputs!$B$14))*(1+Inputs!$B$7/100))*(F2635/100)</f>
        <v/>
      </c>
      <c r="K2635">
        <f>J2635*(1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2635)</f>
        <v/>
      </c>
      <c r="L2635">
        <f>K2635*(MIN(Inputs!$B$22+(F2644-Calc!F22),(Inputs!$B$23+(IF(ArtifactsInput!$M$15,CHOOSE(ArtifactsInput!$N$15+1,25,30,35,40,45,50)/100*(Inputs!$B$11-Inputs!$B$11),0))))/100+(Inputs!$B$23+(IF(ArtifactsInput!$M$15,CHOOSE(ArtifactsInput!$N$15+1,25,30,35,40,45,50)/100*(Inputs!$B$11-Inputs!$B$11),0)))/100)/2</f>
        <v/>
      </c>
      <c r="M2635">
        <f>L2635*(1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5">
        <f>L2635*(1-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2635*(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5">
        <f>(1-Summary!$B$11)*S2635+Summary!$B$11*U2635</f>
        <v/>
      </c>
      <c r="P2635">
        <f>IF(B2663=0,0,O2635/B2663)</f>
        <v/>
      </c>
      <c r="Q2635">
        <f>IFERROR(1/(IF(Inputs!$B$38="pvp",15,MAX(0.1,Skills!E13-IF(Skills!F13=TRUE,Inputs!$B$32,0)))*(1-IF(AND(ArtifactsInput!$M$27,Inputs!$B$4="Chapter Hunt"),CHOOSE(ArtifactsInput!$N$27+1,20,24,28,32,36,40),0)/100)),0)</f>
        <v/>
      </c>
      <c r="R2635">
        <f>IF(AND(Inputs!$B$38&lt;&gt;"pvp",Inputs!$B$43&gt;0),IF(MAX(0,Inputs!$B$43-B2660)&lt;=0,0,(INT(MAX(0,Inputs!$B$43-B2660)/(IF(Inputs!$B$38="pvp",15,MAX(0.1,Skills!E13-IF(Skills!F13=TRUE,Inputs!$B$32,0)))*(1-IF(AND(ArtifactsInput!$M$27,Inputs!$B$4="Chapter Hunt"),CHOOSE(ArtifactsInput!$N$27+1,20,24,28,32,36,40),0)/100)))+1)),0)</f>
        <v/>
      </c>
      <c r="S2635">
        <f>IF(C2635,(H2635*N2635*IF(AND(Inputs!$B$38&lt;&gt;"pvp",Inputs!$B$43&gt;0),((Skills!G13*((R2635-1)*IF(Skills!H13&gt;0,Skills!I13/Skills!H13,1)+IF(Skills!H13&gt;0,MIN(Skills!I13,MAX(0,MAX(0,Inputs!$B$43-B2660)-((R2635-1)*(IF(Inputs!$B$38="pvp",15,MAX(0.1,Skills!E13-IF(Skills!F13=TRUE,Inputs!$B$32,0)))*(1-IF(AND(ArtifactsInput!$M$27,Inputs!$B$4="Chapter Hunt"),CHOOSE(ArtifactsInput!$N$27+1,20,24,28,32,36,40),0)/100)))))/Skills!H13,1)))/Inputs!$B$43),G2635*Q2635)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2635*(1-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2635*(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2635*(1-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2635*(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5">
        <f>IF(C2635,(H2635*N2635*IF(AND(Inputs!$B$38&lt;&gt;"pvp",Inputs!$B$43&gt;0),((Skills!G13*((R2635-1)*IF(Skills!H13&gt;0,Skills!I13/Skills!H13,1)+IF(Skills!H13&gt;0,MIN(Skills!I13,MAX(0,MAX(0,Inputs!$B$43-B2660)-((R2635-1)*(IF(Inputs!$B$38="pvp",15,MAX(0.1,Skills!E13-IF(Skills!F13=TRUE,Inputs!$B$32,0)))*(1-IF(AND(ArtifactsInput!$M$27,Inputs!$B$4="Chapter Hunt"),CHOOSE(ArtifactsInput!$N$27+1,20,24,28,32,36,40),0)/100)))))/Skills!H13,1)))/Inputs!$B$43),G2635*Q2635)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6">
      <c r="A2636">
        <f>Skills!A14</f>
        <v/>
      </c>
      <c r="B2636">
        <f>Skills!B14</f>
        <v/>
      </c>
      <c r="C2636">
        <f>Inputs!$B$3&gt;=113</f>
        <v/>
      </c>
      <c r="D2636">
        <f>IF(Skills!C14=1,60+Inputs!$B$25+Inputs!$B$29,IF(Skills!C14=2,90+Inputs!$B$26+Inputs!$B$29,IF(Skills!C14=3,120+Inputs!$B$27+Inputs!$B$29,MAX(0,(Inputs!$B$3-100)*3)+Inputs!$B$28+Inputs!$B$29)))</f>
        <v/>
      </c>
      <c r="E2636">
        <f>INDEX(FactorTable!$B$2:$Y$301, MATCH(ROUND(MIN(300,MAX(1,D2636)),0), FactorTable!$A$2:$A$301,0), Skills!M14+1)</f>
        <v/>
      </c>
      <c r="F2636">
        <f>IF(Skills!N14=TRUE,(Skills!L14/10)*(E2636/1000),Skills!L14/10)+Skills!O14</f>
        <v/>
      </c>
      <c r="G2636">
        <f>Calc!G14</f>
        <v/>
      </c>
      <c r="H2636">
        <f>Calc!H14</f>
        <v/>
      </c>
      <c r="I2636">
        <f>IF(Skills!X14&lt;&gt;"",1+(Skills!X14/10)*(Z2625/1000)/100,1)</f>
        <v/>
      </c>
      <c r="J2636">
        <f>((Inputs!$B$6*(1+Inputs!$B$7/100))+(((Inputs!$B$12*(1+Inputs!$B$13/100))-(Inputs!$B$12*(1+Inputs!$B$13/100)))+0.25*(Inputs!$B$14-Inputs!$B$14))*(1+Inputs!$B$7/100))*(F2636/100)</f>
        <v/>
      </c>
      <c r="K2636">
        <f>J2636*(1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2636)</f>
        <v/>
      </c>
      <c r="L2636">
        <f>K2636*(MIN(Inputs!$B$22+(F2644-Calc!F22),(Inputs!$B$23+(IF(ArtifactsInput!$M$15,CHOOSE(ArtifactsInput!$N$15+1,25,30,35,40,45,50)/100*(Inputs!$B$11-Inputs!$B$11),0))))/100+(Inputs!$B$23+(IF(ArtifactsInput!$M$15,CHOOSE(ArtifactsInput!$N$15+1,25,30,35,40,45,50)/100*(Inputs!$B$11-Inputs!$B$11),0)))/100)/2</f>
        <v/>
      </c>
      <c r="M2636">
        <f>L2636*(1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6">
        <f>L2636*(1-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2636*(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6">
        <f>(1-Summary!$B$11)*S2636+Summary!$B$11*U2636</f>
        <v/>
      </c>
      <c r="P2636">
        <f>IF(B2663=0,0,O2636/B2663)</f>
        <v/>
      </c>
      <c r="Q2636">
        <f>IFERROR(1/(IF(Inputs!$B$38="pvp",15,MAX(0.1,Skills!E14-IF(Skills!F14=TRUE,Inputs!$B$32,0)))*(1-IF(AND(ArtifactsInput!$M$27,Inputs!$B$4="Chapter Hunt"),CHOOSE(ArtifactsInput!$N$27+1,20,24,28,32,36,40),0)/100)),0)</f>
        <v/>
      </c>
      <c r="R2636" t="n">
        <v>0</v>
      </c>
      <c r="S2636">
        <f>IF(C2636,((H2636*B2659)/(1+Skills!H14*H2636*B2659)*N2636)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2636*(1-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2636*(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2636*(1-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2636*(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6">
        <f>IF(C2636,((H2636*B2659)/(1+Skills!H14*H2636*B2659)*N2636)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7">
      <c r="A2637">
        <f>Skills!A15</f>
        <v/>
      </c>
      <c r="B2637">
        <f>Skills!B15</f>
        <v/>
      </c>
      <c r="C2637">
        <f>Inputs!$B$3&gt;=107</f>
        <v/>
      </c>
      <c r="D2637">
        <f>IF(Skills!C15=1,60+Inputs!$B$25+Inputs!$B$29,IF(Skills!C15=2,90+Inputs!$B$26+Inputs!$B$29,IF(Skills!C15=3,120+Inputs!$B$27+Inputs!$B$29,MAX(0,(Inputs!$B$3-100)*3)+Inputs!$B$28+Inputs!$B$29)))</f>
        <v/>
      </c>
      <c r="E2637">
        <f>INDEX(FactorTable!$B$2:$Y$301, MATCH(ROUND(MIN(300,MAX(1,D2637)),0), FactorTable!$A$2:$A$301,0), Skills!M15+1)</f>
        <v/>
      </c>
      <c r="F2637">
        <f>IF(Skills!N15=TRUE,(Skills!L15/10)*(E2637/1000),Skills!L15/10)+Skills!O15</f>
        <v/>
      </c>
      <c r="G2637">
        <f>Calc!G15</f>
        <v/>
      </c>
      <c r="H2637">
        <f>Calc!H15</f>
        <v/>
      </c>
      <c r="I2637">
        <f>IF(Skills!X15&lt;&gt;"",1+(Skills!X15/10)*(Z2625/1000)/100,1)</f>
        <v/>
      </c>
      <c r="J2637">
        <f>((Inputs!$B$6*(1+Inputs!$B$7/100))+(((Inputs!$B$12*(1+Inputs!$B$13/100))-(Inputs!$B$12*(1+Inputs!$B$13/100)))+0.25*(Inputs!$B$14-Inputs!$B$14))*(1+Inputs!$B$7/100))*(F2637/100)</f>
        <v/>
      </c>
      <c r="K2637">
        <f>J2637*(1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2637)</f>
        <v/>
      </c>
      <c r="L2637">
        <f>K2637*(MIN(Inputs!$B$22+(F2644-Calc!F22),(Inputs!$B$23+(IF(ArtifactsInput!$M$15,CHOOSE(ArtifactsInput!$N$15+1,25,30,35,40,45,50)/100*(Inputs!$B$11-Inputs!$B$11),0))))/100+(Inputs!$B$23+(IF(ArtifactsInput!$M$15,CHOOSE(ArtifactsInput!$N$15+1,25,30,35,40,45,50)/100*(Inputs!$B$11-Inputs!$B$11),0)))/100)/2</f>
        <v/>
      </c>
      <c r="M2637">
        <f>L2637*(1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7">
        <f>L2637*(1-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2637*(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7">
        <f>(1-Summary!$B$11)*S2637+Summary!$B$11*U2637</f>
        <v/>
      </c>
      <c r="P2637">
        <f>IF(B2663=0,0,O2637/B2663)</f>
        <v/>
      </c>
      <c r="Q2637">
        <f>IFERROR(1/(IF(Inputs!$B$38="pvp",15,MAX(0.1,Skills!E15-IF(Skills!F15=TRUE,Inputs!$B$32,0)))*(1-IF(AND(ArtifactsInput!$M$27,Inputs!$B$4="Chapter Hunt"),CHOOSE(ArtifactsInput!$N$27+1,20,24,28,32,36,40),0)/100)),0)</f>
        <v/>
      </c>
      <c r="R2637">
        <f>IF(AND(Inputs!$B$38&lt;&gt;"pvp",Inputs!$B$43&gt;0),IF(MAX(0,Inputs!$B$43-B2660)&lt;=0,0,(INT(MAX(0,Inputs!$B$43-B2660)/(IF(Inputs!$B$38="pvp",15,MAX(0.1,Skills!E15-IF(Skills!F15=TRUE,Inputs!$B$32,0)))*(1-IF(AND(ArtifactsInput!$M$27,Inputs!$B$4="Chapter Hunt"),CHOOSE(ArtifactsInput!$N$27+1,20,24,28,32,36,40),0)/100)))+1)),0)</f>
        <v/>
      </c>
      <c r="S2637">
        <f>IF(C2637,(H2637*N2637*IF(AND(Inputs!$B$38&lt;&gt;"pvp",Inputs!$B$43&gt;0),((Skills!G15*((R2637-1)*IF(Skills!H15&gt;0,Skills!I15/Skills!H15,1)+IF(Skills!H15&gt;0,MIN(Skills!I15,MAX(0,MAX(0,Inputs!$B$43-B2660)-((R2637-1)*(IF(Inputs!$B$38="pvp",15,MAX(0.1,Skills!E15-IF(Skills!F15=TRUE,Inputs!$B$32,0)))*(1-IF(AND(ArtifactsInput!$M$27,Inputs!$B$4="Chapter Hunt"),CHOOSE(ArtifactsInput!$N$27+1,20,24,28,32,36,40),0)/100)))))/Skills!H15,1)))/Inputs!$B$43),G2637*Q2637)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2637*(1-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2637*(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2637*(1-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2637*(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7">
        <f>IF(C2637,(H2637*N2637*IF(AND(Inputs!$B$38&lt;&gt;"pvp",Inputs!$B$43&gt;0),((Skills!G15*((R2637-1)*IF(Skills!H15&gt;0,Skills!I15/Skills!H15,1)+IF(Skills!H15&gt;0,MIN(Skills!I15,MAX(0,MAX(0,Inputs!$B$43-B2660)-((R2637-1)*(IF(Inputs!$B$38="pvp",15,MAX(0.1,Skills!E15-IF(Skills!F15=TRUE,Inputs!$B$32,0)))*(1-IF(AND(ArtifactsInput!$M$27,Inputs!$B$4="Chapter Hunt"),CHOOSE(ArtifactsInput!$N$27+1,20,24,28,32,36,40),0)/100)))))/Skills!H15,1)))/Inputs!$B$43),G2637*Q2637)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8">
      <c r="A2638">
        <f>Skills!A16</f>
        <v/>
      </c>
      <c r="B2638">
        <f>Skills!B16</f>
        <v/>
      </c>
      <c r="C2638">
        <f>Inputs!$B$3&gt;=107</f>
        <v/>
      </c>
      <c r="D2638">
        <f>IF(Skills!C16=1,60+Inputs!$B$25+Inputs!$B$29,IF(Skills!C16=2,90+Inputs!$B$26+Inputs!$B$29,IF(Skills!C16=3,120+Inputs!$B$27+Inputs!$B$29,MAX(0,(Inputs!$B$3-100)*3)+Inputs!$B$28+Inputs!$B$29)))</f>
        <v/>
      </c>
      <c r="E2638">
        <f>INDEX(FactorTable!$B$2:$Y$301, MATCH(ROUND(MIN(300,MAX(1,D2638)),0), FactorTable!$A$2:$A$301,0), Skills!M16+1)</f>
        <v/>
      </c>
      <c r="F2638">
        <f>IF(Skills!N16=TRUE,(Skills!L16/10)*(E2638/1000),Skills!L16/10)+Skills!O16</f>
        <v/>
      </c>
      <c r="G2638">
        <f>Calc!G16</f>
        <v/>
      </c>
      <c r="H2638">
        <f>Calc!H16</f>
        <v/>
      </c>
      <c r="I2638">
        <f>IF(Skills!X16&lt;&gt;"",1+(Skills!X16/10)*(Z2625/1000)/100,1)</f>
        <v/>
      </c>
      <c r="J2638">
        <f>((Inputs!$B$6*(1+Inputs!$B$7/100))+(((Inputs!$B$12*(1+Inputs!$B$13/100))-(Inputs!$B$12*(1+Inputs!$B$13/100)))+0.25*(Inputs!$B$14-Inputs!$B$14))*(1+Inputs!$B$7/100))*(F2638/100)</f>
        <v/>
      </c>
      <c r="K2638">
        <f>J2638*(1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2638)</f>
        <v/>
      </c>
      <c r="L2638">
        <f>K2638*(MIN(Inputs!$B$22+(F2644-Calc!F22),(Inputs!$B$23+(IF(ArtifactsInput!$M$15,CHOOSE(ArtifactsInput!$N$15+1,25,30,35,40,45,50)/100*(Inputs!$B$11-Inputs!$B$11),0))))/100+(Inputs!$B$23+(IF(ArtifactsInput!$M$15,CHOOSE(ArtifactsInput!$N$15+1,25,30,35,40,45,50)/100*(Inputs!$B$11-Inputs!$B$11),0)))/100)/2</f>
        <v/>
      </c>
      <c r="M2638">
        <f>L2638*(1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8">
        <f>L2638*(1-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2638*(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8">
        <f>(1-Summary!$B$11)*S2638+Summary!$B$11*U2638</f>
        <v/>
      </c>
      <c r="P2638">
        <f>IF(B2663=0,0,O2638/B2663)</f>
        <v/>
      </c>
      <c r="Q2638">
        <f>IFERROR(1/(IF(Inputs!$B$38="pvp",15,MAX(0.1,Skills!E16-IF(Skills!F16=TRUE,Inputs!$B$32,0)))*(1-IF(AND(ArtifactsInput!$M$27,Inputs!$B$4="Chapter Hunt"),CHOOSE(ArtifactsInput!$N$27+1,20,24,28,32,36,40),0)/100)),0)</f>
        <v/>
      </c>
      <c r="R2638">
        <f>IF(AND(Inputs!$B$38&lt;&gt;"pvp",Inputs!$B$43&gt;0),IF(MAX(0,Inputs!$B$43-B2660)&lt;=0,0,(INT(MAX(0,Inputs!$B$43-B2660)/(IF(Inputs!$B$38="pvp",15,MAX(0.1,Skills!E16-IF(Skills!F16=TRUE,Inputs!$B$32,0)))*(1-IF(AND(ArtifactsInput!$M$27,Inputs!$B$4="Chapter Hunt"),CHOOSE(ArtifactsInput!$N$27+1,20,24,28,32,36,40),0)/100)))+1)),0)</f>
        <v/>
      </c>
      <c r="S2638">
        <f>IF(C2638,(H2638*N2638*IF(AND(Inputs!$B$38&lt;&gt;"pvp",Inputs!$B$43&gt;0),((Skills!G16*((R2638-1)*IF(Skills!H16&gt;0,Skills!I16/Skills!H16,1)+IF(Skills!H16&gt;0,MIN(Skills!I16,MAX(0,MAX(0,Inputs!$B$43-B2660)-((R2638-1)*(IF(Inputs!$B$38="pvp",15,MAX(0.1,Skills!E16-IF(Skills!F16=TRUE,Inputs!$B$32,0)))*(1-IF(AND(ArtifactsInput!$M$27,Inputs!$B$4="Chapter Hunt"),CHOOSE(ArtifactsInput!$N$27+1,20,24,28,32,36,40),0)/100)))))/Skills!H16,1)))/Inputs!$B$43),G2638*Q2638)*(1+IF(Inputs!$B$3&gt;=126,0.05*(B2658+Q2635+(H2636*B2659)/(1+Skills!H14*H2636*B2659)+Q2646)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2638*(1-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2638*(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2638*(1-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2638*(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8">
        <f>IF(C2638,(H2638*N2638*IF(AND(Inputs!$B$38&lt;&gt;"pvp",Inputs!$B$43&gt;0),((Skills!G16*((R2638-1)*IF(Skills!H16&gt;0,Skills!I16/Skills!H16,1)+IF(Skills!H16&gt;0,MIN(Skills!I16,MAX(0,MAX(0,Inputs!$B$43-B2660)-((R2638-1)*(IF(Inputs!$B$38="pvp",15,MAX(0.1,Skills!E16-IF(Skills!F16=TRUE,Inputs!$B$32,0)))*(1-IF(AND(ArtifactsInput!$M$27,Inputs!$B$4="Chapter Hunt"),CHOOSE(ArtifactsInput!$N$27+1,20,24,28,32,36,40),0)/100)))))/Skills!H16,1)))/Inputs!$B$43),G2638*Q2638)*(1+IF(Inputs!$B$3&gt;=126,0.05*(B2658+Q2635+(H2636*B2659)/(1+Skills!H14*H2636*B2659)+Q2646)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9">
      <c r="A2639">
        <f>Skills!A17</f>
        <v/>
      </c>
      <c r="B2639">
        <f>Skills!B17</f>
        <v/>
      </c>
      <c r="C2639">
        <f>TRUE</f>
        <v/>
      </c>
      <c r="D2639">
        <f>IF(Skills!C17=1,60+Inputs!$B$25+Inputs!$B$29,IF(Skills!C17=2,90+Inputs!$B$26+Inputs!$B$29,IF(Skills!C17=3,120+Inputs!$B$27+Inputs!$B$29,MAX(0,(Inputs!$B$3-100)*3)+Inputs!$B$28+Inputs!$B$29)))</f>
        <v/>
      </c>
      <c r="E2639">
        <f>INDEX(FactorTable!$B$2:$Y$301, MATCH(ROUND(MIN(300,MAX(1,D2639)),0), FactorTable!$A$2:$A$301,0), Skills!M17+1)</f>
        <v/>
      </c>
      <c r="F2639">
        <f>IF(Skills!N17=TRUE,(Skills!L17/10)*(E2639/1000),Skills!L17/10)+Skills!O17</f>
        <v/>
      </c>
      <c r="G2639">
        <f>Calc!G17</f>
        <v/>
      </c>
      <c r="H2639">
        <f>Calc!H17</f>
        <v/>
      </c>
      <c r="I2639">
        <f>IF(Skills!X17&lt;&gt;"",1+(Skills!X17/10)*(Z2625/1000)/100,1)</f>
        <v/>
      </c>
      <c r="J2639" t="inlineStr"/>
      <c r="K2639" t="inlineStr"/>
      <c r="L2639" t="inlineStr"/>
      <c r="M2639" t="inlineStr"/>
      <c r="N2639" t="inlineStr"/>
      <c r="O2639">
        <f>(1-Summary!$B$11)*S2639+Summary!$B$11*U2639</f>
        <v/>
      </c>
      <c r="P2639">
        <f>IF(B2663=0,0,O2639/B2663)</f>
        <v/>
      </c>
      <c r="Q2639">
        <f>IFERROR(1/(IF(Inputs!$B$38="pvp",15,MAX(0.1,Skills!E17-IF(Skills!F17=TRUE,Inputs!$B$32,0)))*(1-IF(AND(ArtifactsInput!$M$27,Inputs!$B$4="Chapter Hunt"),CHOOSE(ArtifactsInput!$N$27+1,20,24,28,32,36,40),0)/100)),0)</f>
        <v/>
      </c>
      <c r="R2639">
        <f>IF(AND(Inputs!$B$38&lt;&gt;"pvp",Inputs!$B$43&gt;0),IF(Inputs!$B$43&lt;=0,0,(INT(Inputs!$B$43/(IF(Inputs!$B$38="pvp",15,MAX(0.1,Skills!E17-IF(Skills!F17=TRUE,Inputs!$B$32,0)))*(1-IF(AND(ArtifactsInput!$M$27,Inputs!$B$4="Chapter Hunt"),CHOOSE(ArtifactsInput!$N$27+1,20,24,28,32,36,40),0)/100)))+1)),0)</f>
        <v/>
      </c>
      <c r="S2639" t="n">
        <v>0</v>
      </c>
      <c r="U2639" t="n">
        <v>0</v>
      </c>
    </row>
    <row r="2640">
      <c r="A2640">
        <f>Skills!A18</f>
        <v/>
      </c>
      <c r="B2640">
        <f>Skills!B18</f>
        <v/>
      </c>
      <c r="C2640">
        <f>TRUE</f>
        <v/>
      </c>
      <c r="D2640">
        <f>IF(Skills!C18=1,60+Inputs!$B$25+Inputs!$B$29,IF(Skills!C18=2,90+Inputs!$B$26+Inputs!$B$29,IF(Skills!C18=3,120+Inputs!$B$27+Inputs!$B$29,MAX(0,(Inputs!$B$3-100)*3)+Inputs!$B$28+Inputs!$B$29)))</f>
        <v/>
      </c>
      <c r="E2640">
        <f>INDEX(FactorTable!$B$2:$Y$301, MATCH(ROUND(MIN(300,MAX(1,D2640)),0), FactorTable!$A$2:$A$301,0), Skills!M18+1)</f>
        <v/>
      </c>
      <c r="F2640">
        <f>IF(Skills!N18=TRUE,(Skills!L18/10)*(E2640/1000),Skills!L18/10)+Skills!O18</f>
        <v/>
      </c>
      <c r="G2640">
        <f>Calc!G18</f>
        <v/>
      </c>
      <c r="H2640">
        <f>Calc!H18</f>
        <v/>
      </c>
      <c r="I2640">
        <f>IF(Skills!X18&lt;&gt;"",1+(Skills!X18/10)*(Z2625/1000)/100,1)</f>
        <v/>
      </c>
      <c r="J2640" t="inlineStr"/>
      <c r="K2640" t="inlineStr"/>
      <c r="L2640" t="inlineStr"/>
      <c r="M2640" t="inlineStr"/>
      <c r="N2640" t="inlineStr"/>
      <c r="O2640">
        <f>(1-Summary!$B$11)*S2640+Summary!$B$11*U2640</f>
        <v/>
      </c>
      <c r="P2640">
        <f>IF(B2663=0,0,O2640/B2663)</f>
        <v/>
      </c>
      <c r="Q2640">
        <f>IFERROR(1/(IF(Inputs!$B$38="pvp",15,MAX(0.1,Skills!E18-IF(Skills!F18=TRUE,Inputs!$B$32,0)))*(1-IF(AND(ArtifactsInput!$M$27,Inputs!$B$4="Chapter Hunt"),CHOOSE(ArtifactsInput!$N$27+1,20,24,28,32,36,40),0)/100)),0)</f>
        <v/>
      </c>
      <c r="R2640">
        <f>IF(AND(Inputs!$B$38&lt;&gt;"pvp",Inputs!$B$43&gt;0),IF(Inputs!$B$43&lt;=0,0,(INT(Inputs!$B$43/(IF(Inputs!$B$38="pvp",15,MAX(0.1,Skills!E18-IF(Skills!F18=TRUE,Inputs!$B$32,0)))*(1-IF(AND(ArtifactsInput!$M$27,Inputs!$B$4="Chapter Hunt"),CHOOSE(ArtifactsInput!$N$27+1,20,24,28,32,36,40),0)/100)))+1)),0)</f>
        <v/>
      </c>
      <c r="S2640" t="n">
        <v>0</v>
      </c>
      <c r="U2640" t="n">
        <v>0</v>
      </c>
    </row>
    <row r="2641">
      <c r="A2641">
        <f>Skills!A19</f>
        <v/>
      </c>
      <c r="B2641">
        <f>Skills!B19</f>
        <v/>
      </c>
      <c r="C2641">
        <f>Inputs!$B$3&gt;=110</f>
        <v/>
      </c>
      <c r="D2641">
        <f>IF(Skills!C19=1,60+Inputs!$B$25+Inputs!$B$29,IF(Skills!C19=2,90+Inputs!$B$26+Inputs!$B$29,IF(Skills!C19=3,120+Inputs!$B$27+Inputs!$B$29,MAX(0,(Inputs!$B$3-100)*3)+Inputs!$B$28+Inputs!$B$29)))</f>
        <v/>
      </c>
      <c r="E2641">
        <f>INDEX(FactorTable!$B$2:$Y$301, MATCH(ROUND(MIN(300,MAX(1,D2641)),0), FactorTable!$A$2:$A$301,0), Skills!M19+1)</f>
        <v/>
      </c>
      <c r="F2641">
        <f>IF(Skills!N19=TRUE,(Skills!L19/10)*(E2641/1000),Skills!L19/10)+Skills!O19</f>
        <v/>
      </c>
      <c r="G2641">
        <f>Calc!G19</f>
        <v/>
      </c>
      <c r="H2641">
        <f>Calc!H19</f>
        <v/>
      </c>
      <c r="I2641">
        <f>IF(Skills!X19&lt;&gt;"",1+(Skills!X19/10)*(Z2625/1000)/100,1)</f>
        <v/>
      </c>
      <c r="J2641" t="inlineStr"/>
      <c r="K2641" t="inlineStr"/>
      <c r="L2641" t="inlineStr"/>
      <c r="M2641" t="inlineStr"/>
      <c r="N2641" t="inlineStr"/>
      <c r="O2641">
        <f>(1-Summary!$B$11)*S2641+Summary!$B$11*U2641</f>
        <v/>
      </c>
      <c r="P2641">
        <f>IF(B2663=0,0,O2641/B2663)</f>
        <v/>
      </c>
      <c r="Q2641">
        <f>IFERROR(1/(IF(Inputs!$B$38="pvp",15,MAX(0.1,Skills!E19-IF(Skills!F19=TRUE,Inputs!$B$32,0)))*(1-IF(AND(ArtifactsInput!$M$27,Inputs!$B$4="Chapter Hunt"),CHOOSE(ArtifactsInput!$N$27+1,20,24,28,32,36,40),0)/100)),0)</f>
        <v/>
      </c>
      <c r="R2641">
        <f>IF(AND(Inputs!$B$38&lt;&gt;"pvp",Inputs!$B$43&gt;0),IF(Inputs!$B$43&lt;=0,0,(INT(Inputs!$B$43/(IF(Inputs!$B$38="pvp",15,MAX(0.1,Skills!E19-IF(Skills!F19=TRUE,Inputs!$B$32,0)))*(1-IF(AND(ArtifactsInput!$M$27,Inputs!$B$4="Chapter Hunt"),CHOOSE(ArtifactsInput!$N$27+1,20,24,28,32,36,40),0)/100)))+1)),0)</f>
        <v/>
      </c>
      <c r="S2641" t="n">
        <v>0</v>
      </c>
      <c r="U2641" t="n">
        <v>0</v>
      </c>
    </row>
    <row r="2642">
      <c r="A2642">
        <f>Skills!A20</f>
        <v/>
      </c>
      <c r="B2642">
        <f>Skills!B20</f>
        <v/>
      </c>
      <c r="C2642">
        <f>TRUE</f>
        <v/>
      </c>
      <c r="D2642">
        <f>IF(Skills!C20=1,60+Inputs!$B$25+Inputs!$B$29,IF(Skills!C20=2,90+Inputs!$B$26+Inputs!$B$29,IF(Skills!C20=3,120+Inputs!$B$27+Inputs!$B$29,MAX(0,(Inputs!$B$3-100)*3)+Inputs!$B$28+Inputs!$B$29)))</f>
        <v/>
      </c>
      <c r="E2642">
        <f>INDEX(FactorTable!$B$2:$Y$301, MATCH(ROUND(MIN(300,MAX(1,D2642)),0), FactorTable!$A$2:$A$301,0), Skills!M20+1)</f>
        <v/>
      </c>
      <c r="F2642">
        <f>IF(Skills!N20=TRUE,(Skills!L20/10)*(E2642/1000),Skills!L20/10)+Skills!O20</f>
        <v/>
      </c>
      <c r="G2642">
        <f>Calc!G20</f>
        <v/>
      </c>
      <c r="H2642">
        <f>Calc!H20</f>
        <v/>
      </c>
      <c r="I2642">
        <f>IF(Skills!X20&lt;&gt;"",1+(Skills!X20/10)*(Z2625/1000)/100,1)</f>
        <v/>
      </c>
      <c r="J2642" t="inlineStr"/>
      <c r="K2642" t="inlineStr"/>
      <c r="L2642" t="inlineStr"/>
      <c r="M2642" t="inlineStr"/>
      <c r="N2642" t="inlineStr"/>
      <c r="O2642">
        <f>(1-Summary!$B$11)*S2642+Summary!$B$11*U2642</f>
        <v/>
      </c>
      <c r="P2642">
        <f>IF(B2663=0,0,O2642/B2663)</f>
        <v/>
      </c>
      <c r="Q2642">
        <f>IFERROR(1/(IF(Inputs!$B$38="pvp",15,MAX(0.1,Skills!E20-IF(Skills!F20=TRUE,Inputs!$B$32,0)))*(1-IF(AND(ArtifactsInput!$M$27,Inputs!$B$4="Chapter Hunt"),CHOOSE(ArtifactsInput!$N$27+1,20,24,28,32,36,40),0)/100)),0)</f>
        <v/>
      </c>
      <c r="R2642" t="n">
        <v>0</v>
      </c>
      <c r="S2642" t="n">
        <v>0</v>
      </c>
      <c r="U2642" t="n">
        <v>0</v>
      </c>
    </row>
    <row r="2643">
      <c r="A2643">
        <f>Skills!A21</f>
        <v/>
      </c>
      <c r="B2643">
        <f>Skills!B21</f>
        <v/>
      </c>
      <c r="C2643">
        <f>TRUE</f>
        <v/>
      </c>
      <c r="D2643">
        <f>IF(Skills!C21=1,60+Inputs!$B$25+Inputs!$B$29,IF(Skills!C21=2,90+Inputs!$B$26+Inputs!$B$29,IF(Skills!C21=3,120+Inputs!$B$27+Inputs!$B$29,MAX(0,(Inputs!$B$3-100)*3)+Inputs!$B$28+Inputs!$B$29)))</f>
        <v/>
      </c>
      <c r="E2643">
        <f>INDEX(FactorTable!$B$2:$Y$301, MATCH(ROUND(MIN(300,MAX(1,D2643)),0), FactorTable!$A$2:$A$301,0), Skills!M21+1)</f>
        <v/>
      </c>
      <c r="F2643">
        <f>IF(Skills!N21=TRUE,(Skills!L21/10)*(E2643/1000),Skills!L21/10)+Skills!O21</f>
        <v/>
      </c>
      <c r="G2643">
        <f>Calc!G21</f>
        <v/>
      </c>
      <c r="H2643">
        <f>Calc!H21</f>
        <v/>
      </c>
      <c r="I2643">
        <f>IF(Skills!X21&lt;&gt;"",1+(Skills!X21/10)*(Z2625/1000)/100,1)</f>
        <v/>
      </c>
      <c r="J2643" t="inlineStr"/>
      <c r="K2643" t="inlineStr"/>
      <c r="L2643" t="inlineStr"/>
      <c r="M2643" t="inlineStr"/>
      <c r="N2643" t="inlineStr"/>
      <c r="O2643">
        <f>(1-Summary!$B$11)*S2643+Summary!$B$11*U2643</f>
        <v/>
      </c>
      <c r="P2643">
        <f>IF(B2663=0,0,O2643/B2663)</f>
        <v/>
      </c>
      <c r="Q2643">
        <f>IFERROR(1/(IF(Inputs!$B$38="pvp",15,MAX(0.1,Skills!E21-IF(Skills!F21=TRUE,Inputs!$B$32,0)))*(1-IF(AND(ArtifactsInput!$M$27,Inputs!$B$4="Chapter Hunt"),CHOOSE(ArtifactsInput!$N$27+1,20,24,28,32,36,40),0)/100)),0)</f>
        <v/>
      </c>
      <c r="R2643" t="n">
        <v>0</v>
      </c>
      <c r="S2643" t="n">
        <v>0</v>
      </c>
      <c r="U2643" t="n">
        <v>0</v>
      </c>
    </row>
    <row r="2644">
      <c r="A2644">
        <f>Skills!A22</f>
        <v/>
      </c>
      <c r="B2644">
        <f>Skills!B22</f>
        <v/>
      </c>
      <c r="C2644">
        <f>TRUE</f>
        <v/>
      </c>
      <c r="D2644">
        <f>IF(Skills!C22=1,60+Inputs!$B$25+Inputs!$B$29,IF(Skills!C22=2,90+Inputs!$B$26+Inputs!$B$29,IF(Skills!C22=3,120+Inputs!$B$27+Inputs!$B$29,MAX(0,(Inputs!$B$3-100)*3)+Inputs!$B$28+Inputs!$B$29)))</f>
        <v/>
      </c>
      <c r="E2644">
        <f>INDEX(FactorTable!$B$2:$Y$301, MATCH(ROUND(MIN(300,MAX(1,D2644)),0), FactorTable!$A$2:$A$301,0), Skills!M22+1)</f>
        <v/>
      </c>
      <c r="F2644">
        <f>IF(Skills!N22=TRUE,(Skills!L22/10)*(E2644/1000),Skills!L22/10)+Skills!O22</f>
        <v/>
      </c>
      <c r="G2644">
        <f>Calc!G22</f>
        <v/>
      </c>
      <c r="H2644">
        <f>Calc!H22</f>
        <v/>
      </c>
      <c r="I2644">
        <f>IF(Skills!X22&lt;&gt;"",1+(Skills!X22/10)*(Z2625/1000)/100,1)</f>
        <v/>
      </c>
      <c r="J2644" t="inlineStr"/>
      <c r="K2644" t="inlineStr"/>
      <c r="L2644" t="inlineStr"/>
      <c r="M2644" t="inlineStr"/>
      <c r="N2644" t="inlineStr"/>
      <c r="O2644">
        <f>(1-Summary!$B$11)*S2644+Summary!$B$11*U2644</f>
        <v/>
      </c>
      <c r="P2644">
        <f>IF(B2663=0,0,O2644/B2663)</f>
        <v/>
      </c>
      <c r="Q2644">
        <f>IFERROR(1/(IF(Inputs!$B$38="pvp",15,MAX(0.1,Skills!E22-IF(Skills!F22=TRUE,Inputs!$B$32,0)))*(1-IF(AND(ArtifactsInput!$M$27,Inputs!$B$4="Chapter Hunt"),CHOOSE(ArtifactsInput!$N$27+1,20,24,28,32,36,40),0)/100)),0)</f>
        <v/>
      </c>
      <c r="R2644" t="n">
        <v>0</v>
      </c>
      <c r="S2644" t="n">
        <v>0</v>
      </c>
      <c r="U2644" t="n">
        <v>0</v>
      </c>
    </row>
    <row r="2645">
      <c r="A2645">
        <f>Skills!A23</f>
        <v/>
      </c>
      <c r="B2645">
        <f>Skills!B23</f>
        <v/>
      </c>
      <c r="C2645">
        <f>TRUE</f>
        <v/>
      </c>
      <c r="D2645">
        <f>IF(Skills!C23=1,60+Inputs!$B$25+Inputs!$B$29,IF(Skills!C23=2,90+Inputs!$B$26+Inputs!$B$29,IF(Skills!C23=3,120+Inputs!$B$27+Inputs!$B$29,MAX(0,(Inputs!$B$3-100)*3)+Inputs!$B$28+Inputs!$B$29)))</f>
        <v/>
      </c>
      <c r="E2645">
        <f>INDEX(FactorTable!$B$2:$Y$301, MATCH(ROUND(MIN(300,MAX(1,D2645)),0), FactorTable!$A$2:$A$301,0), Skills!M23+1)</f>
        <v/>
      </c>
      <c r="F2645">
        <f>IF(Skills!N23=TRUE,(Skills!L23/10)*(E2645/1000),Skills!L23/10)+Skills!O23</f>
        <v/>
      </c>
      <c r="G2645">
        <f>Calc!G23</f>
        <v/>
      </c>
      <c r="H2645">
        <f>Calc!H23</f>
        <v/>
      </c>
      <c r="I2645">
        <f>IF(Skills!X23&lt;&gt;"",1+(Skills!X23/10)*(Z2625/1000)/100,1)</f>
        <v/>
      </c>
      <c r="J2645" t="inlineStr"/>
      <c r="K2645" t="inlineStr"/>
      <c r="L2645" t="inlineStr"/>
      <c r="M2645" t="inlineStr"/>
      <c r="N2645" t="inlineStr"/>
      <c r="O2645">
        <f>(1-Summary!$B$11)*S2645+Summary!$B$11*U2645</f>
        <v/>
      </c>
      <c r="P2645">
        <f>IF(B2663=0,0,O2645/B2663)</f>
        <v/>
      </c>
      <c r="Q2645">
        <f>IFERROR(1/(IF(Inputs!$B$38="pvp",15,MAX(0.1,Skills!E23-IF(Skills!F23=TRUE,Inputs!$B$32,0)))*(1-IF(AND(ArtifactsInput!$M$27,Inputs!$B$4="Chapter Hunt"),CHOOSE(ArtifactsInput!$N$27+1,20,24,28,32,36,40),0)/100)),0)</f>
        <v/>
      </c>
      <c r="R2645" t="n">
        <v>0</v>
      </c>
      <c r="S2645" t="n">
        <v>0</v>
      </c>
      <c r="U2645" t="n">
        <v>0</v>
      </c>
    </row>
    <row r="2646">
      <c r="A2646">
        <f>Skills!A24</f>
        <v/>
      </c>
      <c r="B2646">
        <f>Skills!B24</f>
        <v/>
      </c>
      <c r="C2646">
        <f>Inputs!$B$3&gt;=115</f>
        <v/>
      </c>
      <c r="D2646">
        <f>IF(Skills!C24=1,60+Inputs!$B$25+Inputs!$B$29,IF(Skills!C24=2,90+Inputs!$B$26+Inputs!$B$29,IF(Skills!C24=3,120+Inputs!$B$27+Inputs!$B$29,MAX(0,(Inputs!$B$3-100)*3)+Inputs!$B$28+Inputs!$B$29)))</f>
        <v/>
      </c>
      <c r="E2646">
        <f>INDEX(FactorTable!$B$2:$Y$301, MATCH(ROUND(MIN(300,MAX(1,D2646)),0), FactorTable!$A$2:$A$301,0), Skills!M24+1)</f>
        <v/>
      </c>
      <c r="F2646">
        <f>IF(Skills!N24=TRUE,(Skills!L24/10)*(E2646/1000),Skills!L24/10)+Skills!O24</f>
        <v/>
      </c>
      <c r="G2646">
        <f>Calc!G24</f>
        <v/>
      </c>
      <c r="H2646">
        <f>Calc!H24</f>
        <v/>
      </c>
      <c r="I2646">
        <f>IF(Skills!X24&lt;&gt;"",1+(Skills!X24/10)*(Z2625/1000)/100,1)</f>
        <v/>
      </c>
      <c r="J2646">
        <f>((Inputs!$B$6*(1+Inputs!$B$7/100))+(((Inputs!$B$12*(1+Inputs!$B$13/100))-(Inputs!$B$12*(1+Inputs!$B$13/100)))+0.25*(Inputs!$B$14-Inputs!$B$14))*(1+Inputs!$B$7/100))*(F2646/100)</f>
        <v/>
      </c>
      <c r="K2646">
        <f>J2646*(1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2646)</f>
        <v/>
      </c>
      <c r="L2646">
        <f>K2646*(MIN(Inputs!$B$22+(F2644-Calc!F22),(Inputs!$B$23+(IF(ArtifactsInput!$M$15,CHOOSE(ArtifactsInput!$N$15+1,25,30,35,40,45,50)/100*(Inputs!$B$11-Inputs!$B$11),0))))/100+(Inputs!$B$23+(IF(ArtifactsInput!$M$15,CHOOSE(ArtifactsInput!$N$15+1,25,30,35,40,45,50)/100*(Inputs!$B$11-Inputs!$B$11),0)))/100)/2</f>
        <v/>
      </c>
      <c r="M2646">
        <f>L2646*(1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6">
        <f>L2646*(1-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2646*(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6">
        <f>(1-Summary!$B$11)*S2646+Summary!$B$11*U2646</f>
        <v/>
      </c>
      <c r="P2646">
        <f>IF(B2663=0,0,O2646/B2663)</f>
        <v/>
      </c>
      <c r="Q2646">
        <f>IFERROR(1/(IF(Inputs!$B$38="pvp",15,MAX(0.1,Skills!E24-IF(Skills!F24=TRUE,Inputs!$B$32,0)))*(1-IF(AND(ArtifactsInput!$M$27,Inputs!$B$4="Chapter Hunt"),CHOOSE(ArtifactsInput!$N$27+1,20,24,28,32,36,40),0)/100)),0)</f>
        <v/>
      </c>
      <c r="R2646">
        <f>IF(AND(Inputs!$B$38&lt;&gt;"pvp",Inputs!$B$43&gt;0),IF(MAX(0,Inputs!$B$43-B2660)&lt;=0,0,(INT(MAX(0,Inputs!$B$43-B2660)/(IF(Inputs!$B$38="pvp",15,MAX(0.1,Skills!E24-IF(Skills!F24=TRUE,Inputs!$B$32,0)))*(1-IF(AND(ArtifactsInput!$M$27,Inputs!$B$4="Chapter Hunt"),CHOOSE(ArtifactsInput!$N$27+1,20,24,28,32,36,40),0)/100)))+1)),0)</f>
        <v/>
      </c>
      <c r="S2646">
        <f>IF(C2646,(H2646*N2646*IF(AND(Inputs!$B$38&lt;&gt;"pvp",Inputs!$B$43&gt;0),((Skills!G24*((R2646-1)*IF(Skills!H24&gt;0,Skills!I24/Skills!H24,1)+IF(Skills!H24&gt;0,MIN(Skills!I24,MAX(0,MAX(0,Inputs!$B$43-B2660)-((R2646-1)*(IF(Inputs!$B$38="pvp",15,MAX(0.1,Skills!E24-IF(Skills!F24=TRUE,Inputs!$B$32,0)))*(1-IF(AND(ArtifactsInput!$M$27,Inputs!$B$4="Chapter Hunt"),CHOOSE(ArtifactsInput!$N$27+1,20,24,28,32,36,40),0)/100)))))/Skills!H24,1)))/Inputs!$B$43),G2646*Q2646)*(1+IF(Inputs!$B$3&gt;=130,0.2*(Skills!I16/Skills!E15+IF(Inputs!$B$3&gt;=126,0.05*(B2658+Q2635+(H2636*B2659)/(1+Skills!H14*H2636*B2659)+Q2646)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2646*(1-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2646*(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2646*(1-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2646*(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46">
        <f>IF(C2646,(H2646*N2646*IF(AND(Inputs!$B$38&lt;&gt;"pvp",Inputs!$B$43&gt;0),((Skills!G24*((R2646-1)*IF(Skills!H24&gt;0,Skills!I24/Skills!H24,1)+IF(Skills!H24&gt;0,MIN(Skills!I24,MAX(0,MAX(0,Inputs!$B$43-B2660)-((R2646-1)*(IF(Inputs!$B$38="pvp",15,MAX(0.1,Skills!E24-IF(Skills!F24=TRUE,Inputs!$B$32,0)))*(1-IF(AND(ArtifactsInput!$M$27,Inputs!$B$4="Chapter Hunt"),CHOOSE(ArtifactsInput!$N$27+1,20,24,28,32,36,40),0)/100)))))/Skills!H24,1)))/Inputs!$B$43),G2646*Q2646)*(1+IF(Inputs!$B$3&gt;=130,0.2*(Skills!I16/Skills!E15+IF(Inputs!$B$3&gt;=126,0.05*(B2658+Q2635+(H2636*B2659)/(1+Skills!H14*H2636*B2659)+Q2646)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7">
      <c r="A2647">
        <f>Skills!A25</f>
        <v/>
      </c>
      <c r="B2647">
        <f>Skills!B25</f>
        <v/>
      </c>
      <c r="C2647">
        <f>Inputs!$B$3&gt;=117</f>
        <v/>
      </c>
      <c r="D2647">
        <f>IF(Skills!C25=1,60+Inputs!$B$25+Inputs!$B$29,IF(Skills!C25=2,90+Inputs!$B$26+Inputs!$B$29,IF(Skills!C25=3,120+Inputs!$B$27+Inputs!$B$29,MAX(0,(Inputs!$B$3-100)*3)+Inputs!$B$28+Inputs!$B$29)))</f>
        <v/>
      </c>
      <c r="E2647">
        <f>INDEX(FactorTable!$B$2:$Y$301, MATCH(ROUND(MIN(300,MAX(1,D2647)),0), FactorTable!$A$2:$A$301,0), Skills!M25+1)</f>
        <v/>
      </c>
      <c r="F2647">
        <f>IF(Skills!N25=TRUE,(Skills!L25/10)*(E2647/1000),Skills!L25/10)+Skills!O25</f>
        <v/>
      </c>
      <c r="G2647">
        <f>Calc!G25</f>
        <v/>
      </c>
      <c r="H2647">
        <f>Calc!H25</f>
        <v/>
      </c>
      <c r="I2647">
        <f>IF(Skills!X25&lt;&gt;"",1+(Skills!X25/10)*(Z2625/1000)/100,1)</f>
        <v/>
      </c>
      <c r="J2647" t="inlineStr"/>
      <c r="K2647" t="inlineStr"/>
      <c r="L2647" t="inlineStr"/>
      <c r="M2647" t="inlineStr"/>
      <c r="N2647" t="inlineStr"/>
      <c r="O2647">
        <f>(1-Summary!$B$11)*S2647+Summary!$B$11*U2647</f>
        <v/>
      </c>
      <c r="P2647">
        <f>IF(B2663=0,0,O2647/B2663)</f>
        <v/>
      </c>
      <c r="Q2647">
        <f>IFERROR(1/(IF(Inputs!$B$38="pvp",15,MAX(0.1,Skills!E25-IF(Skills!F25=TRUE,Inputs!$B$32,0)))*(1-IF(AND(ArtifactsInput!$M$27,Inputs!$B$4="Chapter Hunt"),CHOOSE(ArtifactsInput!$N$27+1,20,24,28,32,36,40),0)/100)),0)</f>
        <v/>
      </c>
      <c r="R2647" t="n">
        <v>0</v>
      </c>
      <c r="S2647" t="n">
        <v>0</v>
      </c>
      <c r="U2647" t="n">
        <v>0</v>
      </c>
    </row>
    <row r="2648">
      <c r="A2648">
        <f>Skills!A26</f>
        <v/>
      </c>
      <c r="B2648">
        <f>Skills!B26</f>
        <v/>
      </c>
      <c r="C2648">
        <f>Inputs!$B$3&gt;=120</f>
        <v/>
      </c>
      <c r="D2648">
        <f>IF(Skills!C26=1,60+Inputs!$B$25+Inputs!$B$29,IF(Skills!C26=2,90+Inputs!$B$26+Inputs!$B$29,IF(Skills!C26=3,120+Inputs!$B$27+Inputs!$B$29,MAX(0,(Inputs!$B$3-100)*3)+Inputs!$B$28+Inputs!$B$29)))</f>
        <v/>
      </c>
      <c r="E2648">
        <f>INDEX(FactorTable!$B$2:$Y$301, MATCH(ROUND(MIN(300,MAX(1,D2648)),0), FactorTable!$A$2:$A$301,0), Skills!M26+1)</f>
        <v/>
      </c>
      <c r="F2648">
        <f>IF(Skills!N26=TRUE,(Skills!L26/10)*(E2648/1000),Skills!L26/10)+Skills!O26</f>
        <v/>
      </c>
      <c r="G2648">
        <f>Calc!G26</f>
        <v/>
      </c>
      <c r="H2648">
        <f>Calc!H26</f>
        <v/>
      </c>
      <c r="I2648">
        <f>IF(Skills!X26&lt;&gt;"",1+(Skills!X26/10)*(Z2625/1000)/100,1)</f>
        <v/>
      </c>
      <c r="J2648" t="inlineStr"/>
      <c r="K2648" t="inlineStr"/>
      <c r="L2648" t="inlineStr"/>
      <c r="M2648" t="inlineStr"/>
      <c r="N2648" t="inlineStr"/>
      <c r="O2648">
        <f>(1-Summary!$B$11)*S2648+Summary!$B$11*U2648</f>
        <v/>
      </c>
      <c r="P2648">
        <f>IF(B2663=0,0,O2648/B2663)</f>
        <v/>
      </c>
      <c r="Q2648">
        <f>IFERROR(1/(IF(Inputs!$B$38="pvp",15,MAX(0.1,Skills!E26-IF(Skills!F26=TRUE,Inputs!$B$32,0)))*(1-IF(AND(ArtifactsInput!$M$27,Inputs!$B$4="Chapter Hunt"),CHOOSE(ArtifactsInput!$N$27+1,20,24,28,32,36,40),0)/100)),0)</f>
        <v/>
      </c>
      <c r="R2648" t="n">
        <v>0</v>
      </c>
      <c r="S2648" t="n">
        <v>0</v>
      </c>
      <c r="U2648" t="n">
        <v>0</v>
      </c>
    </row>
    <row r="2649">
      <c r="A2649">
        <f>Skills!A27</f>
        <v/>
      </c>
      <c r="B2649">
        <f>Skills!B27</f>
        <v/>
      </c>
      <c r="C2649">
        <f>Inputs!$B$3&gt;=125</f>
        <v/>
      </c>
      <c r="D2649">
        <f>IF(Skills!C27=1,60+Inputs!$B$25+Inputs!$B$29,IF(Skills!C27=2,90+Inputs!$B$26+Inputs!$B$29,IF(Skills!C27=3,120+Inputs!$B$27+Inputs!$B$29,MAX(0,(Inputs!$B$3-100)*3)+Inputs!$B$28+Inputs!$B$29)))</f>
        <v/>
      </c>
      <c r="E2649">
        <f>INDEX(FactorTable!$B$2:$Y$301, MATCH(ROUND(MIN(300,MAX(1,D2649)),0), FactorTable!$A$2:$A$301,0), Skills!M27+1)</f>
        <v/>
      </c>
      <c r="F2649">
        <f>IF(Skills!N27=TRUE,(Skills!L27/10)*(E2649/1000),Skills!L27/10)+Skills!O27</f>
        <v/>
      </c>
      <c r="G2649">
        <f>Calc!G27</f>
        <v/>
      </c>
      <c r="H2649">
        <f>Calc!H27</f>
        <v/>
      </c>
      <c r="I2649">
        <f>IF(Skills!X27&lt;&gt;"",1+(Skills!X27/10)*(Z2625/1000)/100,1)</f>
        <v/>
      </c>
      <c r="J2649" t="inlineStr"/>
      <c r="K2649" t="inlineStr"/>
      <c r="L2649" t="inlineStr"/>
      <c r="M2649" t="inlineStr"/>
      <c r="N2649" t="inlineStr"/>
      <c r="O2649">
        <f>(1-Summary!$B$11)*S2649+Summary!$B$11*U2649</f>
        <v/>
      </c>
      <c r="P2649">
        <f>IF(B2663=0,0,O2649/B2663)</f>
        <v/>
      </c>
      <c r="Q2649">
        <f>IFERROR(1/(IF(Inputs!$B$38="pvp",15,MAX(0.1,Skills!E27-IF(Skills!F27=TRUE,Inputs!$B$32,0)))*(1-IF(AND(ArtifactsInput!$M$27,Inputs!$B$4="Chapter Hunt"),CHOOSE(ArtifactsInput!$N$27+1,20,24,28,32,36,40),0)/100)),0)</f>
        <v/>
      </c>
      <c r="R2649" t="n">
        <v>0</v>
      </c>
      <c r="S2649" t="n">
        <v>0</v>
      </c>
      <c r="U2649" t="n">
        <v>0</v>
      </c>
    </row>
    <row r="2650">
      <c r="A2650">
        <f>Skills!A28</f>
        <v/>
      </c>
      <c r="B2650">
        <f>Skills!B28</f>
        <v/>
      </c>
      <c r="C2650">
        <f>Inputs!$B$3&gt;=118</f>
        <v/>
      </c>
      <c r="D2650">
        <f>IF(Skills!C28=1,60+Inputs!$B$25+Inputs!$B$29,IF(Skills!C28=2,90+Inputs!$B$26+Inputs!$B$29,IF(Skills!C28=3,120+Inputs!$B$27+Inputs!$B$29,MAX(0,(Inputs!$B$3-100)*3)+Inputs!$B$28+Inputs!$B$29)))</f>
        <v/>
      </c>
      <c r="E2650">
        <f>INDEX(FactorTable!$B$2:$Y$301, MATCH(ROUND(MIN(300,MAX(1,D2650)),0), FactorTable!$A$2:$A$301,0), Skills!M28+1)</f>
        <v/>
      </c>
      <c r="F2650">
        <f>IF(Skills!N28=TRUE,(Skills!L28/10)*(E2650/1000),Skills!L28/10)+Skills!O28</f>
        <v/>
      </c>
      <c r="G2650">
        <f>Calc!G28</f>
        <v/>
      </c>
      <c r="H2650">
        <f>Calc!H28</f>
        <v/>
      </c>
      <c r="I2650">
        <f>IF(Skills!X28&lt;&gt;"",1+(Skills!X28/10)*(Z2625/1000)/100,1)</f>
        <v/>
      </c>
      <c r="J2650">
        <f>((Inputs!$B$6*(1+Inputs!$B$7/100))+(((Inputs!$B$12*(1+Inputs!$B$13/100))-(Inputs!$B$12*(1+Inputs!$B$13/100)))+0.25*(Inputs!$B$14-Inputs!$B$14))*(1+Inputs!$B$7/100))*(F2650/100)</f>
        <v/>
      </c>
      <c r="K2650">
        <f>J2650*(1+((Inputs!$B$12*(1+Inputs!$B$13/100))*0.01+Inputs!$B$14*0.0025)/100)*(1+Inputs!$B$15/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2645/100)*(1+IF(Inputs!$B$3&gt;=120,F2648,0)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2649*5,0)))/100)*(B2652*B2653*B2654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2650)</f>
        <v/>
      </c>
      <c r="L2650">
        <f>K2650*(MIN(Inputs!$B$22+(F2644-Calc!F22),(Inputs!$B$23+(IF(ArtifactsInput!$M$15,CHOOSE(ArtifactsInput!$N$15+1,25,30,35,40,45,50)/100*(Inputs!$B$11-Inputs!$B$11),0))))/100+(Inputs!$B$23+(IF(ArtifactsInput!$M$15,CHOOSE(ArtifactsInput!$N$15+1,25,30,35,40,45,50)/100*(Inputs!$B$11-Inputs!$B$11),0)))/100)/2</f>
        <v/>
      </c>
      <c r="M2650">
        <f>L2650*(1+(Inputs!$B$10+(F2643-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0">
        <f>L2650*(1-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2650*(MIN((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0">
        <f>(1-Summary!$B$11)*S2650+Summary!$B$11*U2650</f>
        <v/>
      </c>
      <c r="P2650">
        <f>IF(B2663=0,0,O2650/B2663)</f>
        <v/>
      </c>
      <c r="Q2650">
        <f>IFERROR(1/(IF(Inputs!$B$38="pvp",15,MAX(0.1,Skills!E28-IF(Skills!F28=TRUE,Inputs!$B$32,0)))*(1-IF(AND(ArtifactsInput!$M$27,Inputs!$B$4="Chapter Hunt"),CHOOSE(ArtifactsInput!$N$27+1,20,24,28,32,36,40),0)/100)),0)</f>
        <v/>
      </c>
      <c r="R2650">
        <f>IF(AND(Inputs!$B$38&lt;&gt;"pvp",Inputs!$B$43&gt;0),IF(MAX(0,Inputs!$B$43-B2660)&lt;=0,0,(INT(MAX(0,Inputs!$B$43-B2660)/(IF(Inputs!$B$38="pvp",15,MAX(0.1,Skills!E28-IF(Skills!F28=TRUE,Inputs!$B$32,0)))*(1-IF(AND(ArtifactsInput!$M$27,Inputs!$B$4="Chapter Hunt"),CHOOSE(ArtifactsInput!$N$27+1,20,24,28,32,36,40),0)/100)))+1)),0)</f>
        <v/>
      </c>
      <c r="S2650">
        <f>IF(C2650,(H2650*N2650*IF(AND(Inputs!$B$38&lt;&gt;"pvp",Inputs!$B$43&gt;0),((Skills!G28*((R2650-1)*IF(Skills!H28&gt;0,Skills!I28/Skills!H28,1)+IF(Skills!H28&gt;0,MIN(Skills!I28,MAX(0,MAX(0,Inputs!$B$43-B2660)-((R2650-1)*(IF(Inputs!$B$38="pvp",15,MAX(0.1,Skills!E28-IF(Skills!F28=TRUE,Inputs!$B$32,0)))*(1-IF(AND(ArtifactsInput!$M$27,Inputs!$B$4="Chapter Hunt"),CHOOSE(ArtifactsInput!$N$27+1,20,24,28,32,36,40),0)/100)))))/Skills!H28,1)))/Inputs!$B$43),G2650*Q2650)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2650*(1-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2650*(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2650*(1-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2650*(MIN(100,(Inputs!$B$9+(F2642-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50">
        <f>IF(C2650,(H2650*N2650*IF(AND(Inputs!$B$38&lt;&gt;"pvp",Inputs!$B$43&gt;0),((Skills!G28*((R2650-1)*IF(Skills!H28&gt;0,Skills!I28/Skills!H28,1)+IF(Skills!H28&gt;0,MIN(Skills!I28,MAX(0,MAX(0,Inputs!$B$43-B2660)-((R2650-1)*(IF(Inputs!$B$38="pvp",15,MAX(0.1,Skills!E28-IF(Skills!F28=TRUE,Inputs!$B$32,0)))*(1-IF(AND(ArtifactsInput!$M$27,Inputs!$B$4="Chapter Hunt"),CHOOSE(ArtifactsInput!$N$27+1,20,24,28,32,36,40),0)/100)))))/Skills!H28,1)))/Inputs!$B$43),G2650*Q2650)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2">
      <c r="A2652" t="inlineStr">
        <is>
          <t>Burning Magic Multiplier</t>
        </is>
      </c>
      <c r="B2652">
        <f>1+(F2633*Skills!Z11)/100</f>
        <v/>
      </c>
    </row>
    <row r="2653">
      <c r="A2653" t="inlineStr">
        <is>
          <t>Elemental Decrease Multiplier (always-on)</t>
        </is>
      </c>
      <c r="B2653">
        <f>1+(F2634+(IF(AND(ArtifactsInput!$M$35,Inputs!$B$4&lt;&gt;"Chapter Hunt"),CHOOSE(ArtifactsInput!$N$35+1,15,18,21,24,27,30)*(1-EXP(-(0.2*B2656)*5)),0)+IF(AND(ArtifactsInput!$M$22,Inputs!$B$4&lt;&gt;"Chapter Hunt"),CHOOSE(ArtifactsInput!$N$22+1,10,12,14,16,18,20)*((0*(((0.15*B2656*5))^0/1)+1*(((0.15*B2656*5))^1/1)+2*(((0.15*B2656*5))^2/2)+3*(((0.15*B2656*5))^3/6)+4*(((0.15*B2656*5))^4/24)+5*(((0.15*B2656*5))^5/120))/((((0.15*B2656*5))^0/1)+(((0.15*B2656*5))^1/1)+(((0.15*B2656*5))^2/2)+(((0.15*B2656*5))^3/6)+(((0.15*B2656*5))^4/24)+(((0.15*B2656*5))^5/120))),0)))/100</f>
        <v/>
      </c>
    </row>
    <row r="2654">
      <c r="A2654" t="inlineStr">
        <is>
          <t>Average Buff Multiplier (Magic Guard + Meditation + Artifact Attack%, summed; then Infinity)</t>
        </is>
      </c>
      <c r="B2654">
        <f>(1+(F2628*IF(AND(Inputs!$B$38&lt;&gt;"pvp",Inputs!$B$43&gt;0),(((R2628-1)*(Skills!T6*(1+((Inputs!$B$34+(ArtifactsInput!$M$7-ArtifactsInput!$M$7)*CHOOSE(ArtifactsInput!$N$7+1,6,7.2,8.4,9.6,10.8,12)))/100))+MIN((Skills!T6*(1+((Inputs!$B$34+(ArtifactsInput!$M$7-ArtifactsInput!$M$7)*CHOOSE(ArtifactsInput!$N$7+1,6,7.2,8.4,9.6,10.8,12)))/100)),MAX(0,Inputs!$B$43-((R2628-1)*Skills!E6))))/Inputs!$B$43),IF(Inputs!$B$38="pvp",MIN((Skills!T6*(1+((Inputs!$B$34+(ArtifactsInput!$M$7-ArtifactsInput!$M$7)*CHOOSE(ArtifactsInput!$N$7+1,6,7.2,8.4,9.6,10.8,12)))/100)),15)/15,(Skills!T6*(1+((Inputs!$B$34+(ArtifactsInput!$M$7-ArtifactsInput!$M$7)*CHOOSE(ArtifactsInput!$N$7+1,6,7.2,8.4,9.6,10.8,12)))/100))/Skills!E6))+F2639*IF(AND(Inputs!$B$38&lt;&gt;"pvp",Inputs!$B$43&gt;0),(((R2639-1)*(Skills!T17*(1+((Inputs!$B$34+(ArtifactsInput!$M$7-ArtifactsInput!$M$7)*CHOOSE(ArtifactsInput!$N$7+1,6,7.2,8.4,9.6,10.8,12)))/100))+MIN((Skills!T17*(1+((Inputs!$B$34+(ArtifactsInput!$M$7-ArtifactsInput!$M$7)*CHOOSE(ArtifactsInput!$N$7+1,6,7.2,8.4,9.6,10.8,12)))/100)),MAX(0,Inputs!$B$43-((R2639-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2641=TRUE,(1+F2641*IF(AND(Inputs!$B$38&lt;&gt;"pvp",Inputs!$B$43&gt;0),(((R2641-1)*(Skills!T19*(1+((Inputs!$B$34+(ArtifactsInput!$M$7-ArtifactsInput!$M$7)*CHOOSE(ArtifactsInput!$N$7+1,6,7.2,8.4,9.6,10.8,12)))/100))+MIN((Skills!T19*(1+((Inputs!$B$34+(ArtifactsInput!$M$7-ArtifactsInput!$M$7)*CHOOSE(ArtifactsInput!$N$7+1,6,7.2,8.4,9.6,10.8,12)))/100)),MAX(0,Inputs!$B$43-((R2641-1)*Skills!E19))))/Inputs!$B$43),IF(Inputs!$B$38="pvp",MIN((Skills!T19*(1+((Inputs!$B$34+(ArtifactsInput!$M$7-ArtifactsInput!$M$7)*CHOOSE(ArtifactsInput!$N$7+1,6,7.2,8.4,9.6,10.8,12)))/100)),15)/15,(Skills!T19*(1+((Inputs!$B$34+(ArtifactsInput!$M$7-ArtifactsInput!$M$7)*CHOOSE(ArtifactsInput!$N$7+1,6,7.2,8.4,9.6,10.8,12)))/100))/Skills!E19))/100),1)</f>
        <v/>
      </c>
    </row>
    <row r="2655">
      <c r="A2655" t="inlineStr">
        <is>
          <t>Attack Speed Buff Bonus % (Nimble Feet, averaged)</t>
        </is>
      </c>
      <c r="B2655">
        <f>F2640*IF(AND(Inputs!$B$38&lt;&gt;"pvp",Inputs!$B$43&gt;0),(((R2640-1)*(Skills!T18*(1+((Inputs!$B$34+(ArtifactsInput!$M$7-ArtifactsInput!$M$7)*CHOOSE(ArtifactsInput!$N$7+1,6,7.2,8.4,9.6,10.8,12)))/100))+MIN((Skills!T18*(1+((Inputs!$B$34+(ArtifactsInput!$M$7-ArtifactsInput!$M$7)*CHOOSE(ArtifactsInput!$N$7+1,6,7.2,8.4,9.6,10.8,12)))/100)),MAX(0,Inputs!$B$43-((R2640-1)*Skills!E18))))/Inputs!$B$43),IF(Inputs!$B$38="pvp",MIN((Skills!T18*(1+((Inputs!$B$34+(ArtifactsInput!$M$7-ArtifactsInput!$M$7)*CHOOSE(ArtifactsInput!$N$7+1,6,7.2,8.4,9.6,10.8,12)))/100)),15)/15,(Skills!T18*(1+((Inputs!$B$34+(ArtifactsInput!$M$7-ArtifactsInput!$M$7)*CHOOSE(ArtifactsInput!$N$7+1,6,7.2,8.4,9.6,10.8,12)))/100))/Skills!E18))</f>
        <v/>
      </c>
    </row>
    <row r="2656">
      <c r="A2656" t="inlineStr">
        <is>
          <t>Actions Per Second</t>
        </is>
      </c>
      <c r="B2656">
        <f>1+MIN(150,150*(1-(1-(Inputs!$B$11+(ArtifactsInput!$M$15-ArtifactsInput!$M$15)*CHOOSE(ArtifactsInput!$N$15+1,8,9.6,11.2,12.8,14.4,16))/150)*(1-B2655/150)))/100</f>
        <v/>
      </c>
    </row>
    <row r="2657">
      <c r="A2657" t="inlineStr">
        <is>
          <t>Skill + Buff Cast Rate</t>
        </is>
      </c>
      <c r="B2657">
        <f>IF(AND(Inputs!$B$38&lt;&gt;"pvp",Inputs!$B$43&gt;0),SUMPRODUCT((Skills!F2:F28=TRUE)*(C2624:C2650=TRUE)*R2624:R2650)/Inputs!$B$43,SUMPRODUCT((Skills!F2:F28=TRUE)*(C2624:C2650=TRUE)*Q2624:Q2650))</f>
        <v/>
      </c>
    </row>
    <row r="2658">
      <c r="A2658" t="inlineStr">
        <is>
          <t>Basic Attacks Per Second</t>
        </is>
      </c>
      <c r="B2658">
        <f>MAX(0,B2656-B2657)</f>
        <v/>
      </c>
    </row>
    <row r="2659">
      <c r="A2659" t="inlineStr">
        <is>
          <t>Meteor Proc — combined trigger cast rate</t>
        </is>
      </c>
      <c r="B2659">
        <f>IF(AND(Inputs!$B$38&lt;&gt;"pvp",Inputs!$B$43&gt;0),SUMPRODUCT((Skills!V2:V28=TRUE)*(C2624:C2650=TRUE)*R2624:R2650*Skills!W2:W28)/Inputs!$B$43,SUMPRODUCT((Skills!V2:V28=TRUE)*(C2624:C2650=TRUE)*Q2624:Q2650*Skills!W2:W28))+B2658</f>
        <v/>
      </c>
    </row>
    <row r="2660">
      <c r="A2660" t="inlineStr">
        <is>
          <t>Buff-Casting Startup Delay (s, fixed-duration only)</t>
        </is>
      </c>
      <c r="B2660">
        <f>IF(AND(Inputs!$B$38&lt;&gt;"pvp",Inputs!$B$43&gt;0),SUMPRODUCT((Skills!T2:T28&gt;0)*(Skills!F2:F28=TRUE)*(C2624:C2650=TRUE))/B2656,0)</f>
        <v/>
      </c>
    </row>
    <row r="2661">
      <c r="A2661" t="inlineStr">
        <is>
          <t>Boss-Only Total DPS (this block's swept value)</t>
        </is>
      </c>
      <c r="B2661">
        <f>SUM(S2624:S2650)</f>
        <v/>
      </c>
    </row>
    <row r="2662">
      <c r="A2662" t="inlineStr">
        <is>
          <t>Normal-Only Total DPS (this block's swept value)</t>
        </is>
      </c>
      <c r="B2662">
        <f>SUM(U2624:U2650)</f>
        <v/>
      </c>
    </row>
    <row r="2663">
      <c r="A2663" s="6" t="inlineStr">
        <is>
          <t>TOTAL DPS</t>
        </is>
      </c>
      <c r="B2663" s="6">
        <f>SUM(O2624:O2650)</f>
        <v/>
      </c>
    </row>
    <row r="2666">
      <c r="A2666" s="6" t="inlineStr">
        <is>
          <t>Stat: Secret Map (Equip)</t>
        </is>
      </c>
    </row>
    <row r="2667">
      <c r="A2667" s="5" t="inlineStr">
        <is>
          <t>Key</t>
        </is>
      </c>
      <c r="B2667" s="5" t="inlineStr">
        <is>
          <t>Name</t>
        </is>
      </c>
      <c r="C2667" s="5" t="inlineStr">
        <is>
          <t>Unlocked</t>
        </is>
      </c>
      <c r="D2667" s="5" t="inlineStr">
        <is>
          <t>InputLevel</t>
        </is>
      </c>
      <c r="E2667" s="5" t="inlineStr">
        <is>
          <t>Factor</t>
        </is>
      </c>
      <c r="F2667" s="5" t="inlineStr">
        <is>
          <t>CoefficientPercent</t>
        </is>
      </c>
      <c r="G2667" s="5" t="inlineStr">
        <is>
          <t>EffectiveHits</t>
        </is>
      </c>
      <c r="H2667" s="5" t="inlineStr">
        <is>
          <t>ProcProbability</t>
        </is>
      </c>
      <c r="I2667" s="5" t="inlineStr">
        <is>
          <t>MapleHeroMultiplier</t>
        </is>
      </c>
      <c r="J2667" s="5" t="inlineStr">
        <is>
          <t>BaseDamage</t>
        </is>
      </c>
      <c r="K2667" s="5" t="inlineStr">
        <is>
          <t>BaseHitDamage</t>
        </is>
      </c>
      <c r="L2667" s="5" t="inlineStr">
        <is>
          <t>NonCritAvg</t>
        </is>
      </c>
      <c r="M2667" s="5" t="inlineStr">
        <is>
          <t>CritAvg</t>
        </is>
      </c>
      <c r="N2667" s="5" t="inlineStr">
        <is>
          <t>ExpectedDamage(perHit)</t>
        </is>
      </c>
      <c r="O2667" s="5" t="inlineStr">
        <is>
          <t>DPS</t>
        </is>
      </c>
      <c r="P2667" s="5" t="inlineStr">
        <is>
          <t>% of Total</t>
        </is>
      </c>
      <c r="R2667" t="inlineStr">
        <is>
          <t>helpers</t>
        </is>
      </c>
    </row>
    <row r="2668">
      <c r="A2668">
        <f>Skills!A2</f>
        <v/>
      </c>
      <c r="B2668">
        <f>Skills!B2</f>
        <v/>
      </c>
      <c r="C2668">
        <f>TRUE</f>
        <v/>
      </c>
      <c r="D2668" t="inlineStr"/>
      <c r="E2668" t="inlineStr"/>
      <c r="F2668">
        <f>T2670+Skills!O2</f>
        <v/>
      </c>
      <c r="G2668">
        <f>Calc!G2</f>
        <v/>
      </c>
      <c r="H2668">
        <f>Calc!H2</f>
        <v/>
      </c>
      <c r="I2668">
        <f>IF(Skills!X2&lt;&gt;"",1+(Skills!X2/10)*(Z2669/1000)/100,1)</f>
        <v/>
      </c>
      <c r="J2668">
        <f>((Inputs!$B$6*(1+Inputs!$B$7/100))+(((Inputs!$B$12*(1+Inputs!$B$13/100))-(Inputs!$B$12*(1+Inputs!$B$13/100)))+0.25*(Inputs!$B$14-Inputs!$B$14))*(1+Inputs!$B$7/100))*(F2668/100)</f>
        <v/>
      </c>
      <c r="K2668">
        <f>J2668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2668)</f>
        <v/>
      </c>
      <c r="L2668">
        <f>K2668*(MIN(Inputs!$B$22+(F2688-Calc!F22),(Inputs!$B$23+(IF(ArtifactsInput!$M$15,CHOOSE(ArtifactsInput!$N$15+1,25,30,35,40,45,50)/100*(Inputs!$B$11-Inputs!$B$11),0))))/100+(Inputs!$B$23+(IF(ArtifactsInput!$M$15,CHOOSE(ArtifactsInput!$N$15+1,25,30,35,40,45,50)/100*(Inputs!$B$11-Inputs!$B$11),0)))/100)/2</f>
        <v/>
      </c>
      <c r="M2668">
        <f>L2668*(1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8">
        <f>L2668*(1-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2668*(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8">
        <f>(1-Summary!$B$11)*S2668+Summary!$B$11*U2668</f>
        <v/>
      </c>
      <c r="P2668">
        <f>IF(B2707=0,0,O2668/B2707)</f>
        <v/>
      </c>
      <c r="Q2668">
        <f>IFERROR(1/(IF(Inputs!$B$38="pvp",15,MAX(0.1,Skills!E2-IF(Skills!F2=TRUE,Inputs!$B$32,0)))*(1-IF(AND(ArtifactsInput!$M$27,Inputs!$B$4="Chapter Hunt"),CHOOSE(ArtifactsInput!$N$27+1,20,24,28,32,36,40),0)/100)),0)</f>
        <v/>
      </c>
      <c r="R2668" t="n">
        <v>0</v>
      </c>
      <c r="S2668">
        <f>(Skills!G2*N2668*B2702)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2668*(1-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2668*(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2668*(1-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2668*(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668">
        <f>MAX(0,(Inputs!$B$3-100)*3)+Inputs!$B$28+Inputs!$B$29</f>
        <v/>
      </c>
      <c r="U2668">
        <f>(Skills!G2*N2668*B2702)*IF(Inputs!$B$38="pvp",1,(1+(Inputs!$B$21+Skills!Q2+(IF(ArtifactsInput!$M$33,CHOOSE(ArtifactsInput!$N$33+1,30,36,42,48,54,60),0)))/100)*(MIN((6+Inputs!$B$33+IF(Inputs!$B$3&gt;=136,1,0)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668">
        <f>MAX(0,(Inputs!$B$3-100)*3)+Inputs!$B$28+Inputs!$B$29</f>
        <v/>
      </c>
    </row>
    <row r="2669">
      <c r="A2669">
        <f>Skills!A3</f>
        <v/>
      </c>
      <c r="B2669">
        <f>Skills!B3</f>
        <v/>
      </c>
      <c r="C2669">
        <f>TRUE</f>
        <v/>
      </c>
      <c r="D2669">
        <f>IF(Skills!C3=1,60+Inputs!$B$25+Inputs!$B$29,IF(Skills!C3=2,90+Inputs!$B$26+Inputs!$B$29,IF(Skills!C3=3,120+Inputs!$B$27+Inputs!$B$29,MAX(0,(Inputs!$B$3-100)*3)+Inputs!$B$28+Inputs!$B$29)))</f>
        <v/>
      </c>
      <c r="E2669">
        <f>INDEX(FactorTable!$B$2:$Y$301, MATCH(ROUND(MIN(300,MAX(1,D2669)),0), FactorTable!$A$2:$A$301,0), Skills!M3+1)</f>
        <v/>
      </c>
      <c r="F2669">
        <f>IF(Skills!N3=TRUE,(Skills!L3/10)*(E2669/1000),Skills!L3/10)+Skills!O3</f>
        <v/>
      </c>
      <c r="G2669">
        <f>Calc!G3</f>
        <v/>
      </c>
      <c r="H2669">
        <f>Calc!H3</f>
        <v/>
      </c>
      <c r="I2669">
        <f>IF(Skills!X3&lt;&gt;"",1+(Skills!X3/10)*(Z2669/1000)/100,1)</f>
        <v/>
      </c>
      <c r="J2669">
        <f>((Inputs!$B$6*(1+Inputs!$B$7/100))+(((Inputs!$B$12*(1+Inputs!$B$13/100))-(Inputs!$B$12*(1+Inputs!$B$13/100)))+0.25*(Inputs!$B$14-Inputs!$B$14))*(1+Inputs!$B$7/100))*(F2669/100)</f>
        <v/>
      </c>
      <c r="K2669">
        <f>J2669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2669)</f>
        <v/>
      </c>
      <c r="L2669">
        <f>K2669*(MIN(Inputs!$B$22+(F2688-Calc!F22),(Inputs!$B$23+(IF(ArtifactsInput!$M$15,CHOOSE(ArtifactsInput!$N$15+1,25,30,35,40,45,50)/100*(Inputs!$B$11-Inputs!$B$11),0))))/100+(Inputs!$B$23+(IF(ArtifactsInput!$M$15,CHOOSE(ArtifactsInput!$N$15+1,25,30,35,40,45,50)/100*(Inputs!$B$11-Inputs!$B$11),0)))/100)/2</f>
        <v/>
      </c>
      <c r="M2669">
        <f>L2669*(1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9">
        <f>L2669*(1-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2669*(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9">
        <f>(1-Summary!$B$11)*S2669+Summary!$B$11*U2669</f>
        <v/>
      </c>
      <c r="P2669">
        <f>IF(B2707=0,0,O2669/B2707)</f>
        <v/>
      </c>
      <c r="Q2669">
        <f>IFERROR(1/(IF(Inputs!$B$38="pvp",15,MAX(0.1,Skills!E3-IF(Skills!F3=TRUE,Inputs!$B$32,0)))*(1-IF(AND(ArtifactsInput!$M$27,Inputs!$B$4="Chapter Hunt"),CHOOSE(ArtifactsInput!$N$27+1,20,24,28,32,36,40),0)/100)),0)</f>
        <v/>
      </c>
      <c r="R2669">
        <f>IF(AND(Inputs!$B$38&lt;&gt;"pvp",Inputs!$B$43&gt;0),IF(MAX(0,Inputs!$B$43-B2704)&lt;=0,0,(INT(MAX(0,Inputs!$B$43-B2704)/(IF(Inputs!$B$38="pvp",15,MAX(0.1,Skills!E3-IF(Skills!F3=TRUE,Inputs!$B$32,0)))*(1-IF(AND(ArtifactsInput!$M$27,Inputs!$B$4="Chapter Hunt"),CHOOSE(ArtifactsInput!$N$27+1,20,24,28,32,36,40),0)/100)))+1)),0)</f>
        <v/>
      </c>
      <c r="S2669">
        <f>IF(C2669,(H2669*N2669*IF(AND(Inputs!$B$38&lt;&gt;"pvp",Inputs!$B$43&gt;0),((Skills!G3*((R2669-1)*IF(Skills!H3&gt;0,Skills!I3/Skills!H3,1)+IF(Skills!H3&gt;0,MIN(Skills!I3,MAX(0,MAX(0,Inputs!$B$43-B2704)-((R2669-1)*(IF(Inputs!$B$38="pvp",15,MAX(0.1,Skills!E3-IF(Skills!F3=TRUE,Inputs!$B$32,0)))*(1-IF(AND(ArtifactsInput!$M$27,Inputs!$B$4="Chapter Hunt"),CHOOSE(ArtifactsInput!$N$27+1,20,24,28,32,36,40),0)/100)))))/Skills!H3,1)))/Inputs!$B$43),G2669*Q2669)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2669*(1-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2669*(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2669*(1-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2669*(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669">
        <f>INDEX(FactorTable!$B$2:$Y$301, MATCH(ROUND(MIN(300,MAX(1,T2668)),0), FactorTable!$A$2:$A$301,0), 22)</f>
        <v/>
      </c>
      <c r="U2669">
        <f>IF(C2669,(H2669*N2669*IF(AND(Inputs!$B$38&lt;&gt;"pvp",Inputs!$B$43&gt;0),((Skills!G3*((R2669-1)*IF(Skills!H3&gt;0,Skills!I3/Skills!H3,1)+IF(Skills!H3&gt;0,MIN(Skills!I3,MAX(0,MAX(0,Inputs!$B$43-B2704)-((R2669-1)*(IF(Inputs!$B$38="pvp",15,MAX(0.1,Skills!E3-IF(Skills!F3=TRUE,Inputs!$B$32,0)))*(1-IF(AND(ArtifactsInput!$M$27,Inputs!$B$4="Chapter Hunt"),CHOOSE(ArtifactsInput!$N$27+1,20,24,28,32,36,40),0)/100)))))/Skills!H3,1)))/Inputs!$B$43),G2669*Q2669))*IF(Inputs!$B$38="pvp",1,(1+(Inputs!$B$21+Skills!Q3+(IF(ArtifactsInput!$M$33,CHOOSE(ArtifactsInput!$N$33+1,30,36,42,48,54,60),0)))/100)*(MIN(Skills!R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669">
        <f>INDEX(FactorTable!$B$2:$Y$301, MATCH(ROUND(MIN(300,MAX(1,Z2668)),0), FactorTable!$A$2:$A$301,0), 24)</f>
        <v/>
      </c>
    </row>
    <row r="2670">
      <c r="A2670">
        <f>Skills!A4</f>
        <v/>
      </c>
      <c r="B2670">
        <f>Skills!B4</f>
        <v/>
      </c>
      <c r="C2670">
        <f>TRUE</f>
        <v/>
      </c>
      <c r="D2670">
        <f>IF(Skills!C4=1,60+Inputs!$B$25+Inputs!$B$29,IF(Skills!C4=2,90+Inputs!$B$26+Inputs!$B$29,IF(Skills!C4=3,120+Inputs!$B$27+Inputs!$B$29,MAX(0,(Inputs!$B$3-100)*3)+Inputs!$B$28+Inputs!$B$29)))</f>
        <v/>
      </c>
      <c r="E2670">
        <f>INDEX(FactorTable!$B$2:$Y$301, MATCH(ROUND(MIN(300,MAX(1,D2670)),0), FactorTable!$A$2:$A$301,0), Skills!M4+1)</f>
        <v/>
      </c>
      <c r="F2670">
        <f>IF(Skills!N4=TRUE,(Skills!L4/10)*(E2670/1000),Skills!L4/10)+Skills!O4</f>
        <v/>
      </c>
      <c r="G2670">
        <f>Calc!G4</f>
        <v/>
      </c>
      <c r="H2670">
        <f>Calc!H4</f>
        <v/>
      </c>
      <c r="I2670">
        <f>IF(Skills!X4&lt;&gt;"",1+(Skills!X4/10)*(Z2669/1000)/100,1)</f>
        <v/>
      </c>
      <c r="J2670">
        <f>((Inputs!$B$6*(1+Inputs!$B$7/100))+(((Inputs!$B$12*(1+Inputs!$B$13/100))-(Inputs!$B$12*(1+Inputs!$B$13/100)))+0.25*(Inputs!$B$14-Inputs!$B$14))*(1+Inputs!$B$7/100))*(F2670/100)</f>
        <v/>
      </c>
      <c r="K2670">
        <f>J2670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2670)</f>
        <v/>
      </c>
      <c r="L2670">
        <f>K2670*(MIN(Inputs!$B$22+(F2688-Calc!F22),(Inputs!$B$23+(IF(ArtifactsInput!$M$15,CHOOSE(ArtifactsInput!$N$15+1,25,30,35,40,45,50)/100*(Inputs!$B$11-Inputs!$B$11),0))))/100+(Inputs!$B$23+(IF(ArtifactsInput!$M$15,CHOOSE(ArtifactsInput!$N$15+1,25,30,35,40,45,50)/100*(Inputs!$B$11-Inputs!$B$11),0)))/100)/2</f>
        <v/>
      </c>
      <c r="M2670">
        <f>L2670*(1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0">
        <f>L2670*(1-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2670*(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0">
        <f>(1-Summary!$B$11)*S2670+Summary!$B$11*U2670</f>
        <v/>
      </c>
      <c r="P2670">
        <f>IF(B2707=0,0,O2670/B2707)</f>
        <v/>
      </c>
      <c r="Q2670">
        <f>IFERROR(1/(IF(Inputs!$B$38="pvp",15,MAX(0.1,Skills!E4-IF(Skills!F4=TRUE,Inputs!$B$32,0)))*(1-IF(AND(ArtifactsInput!$M$27,Inputs!$B$4="Chapter Hunt"),CHOOSE(ArtifactsInput!$N$27+1,20,24,28,32,36,40),0)/100)),0)</f>
        <v/>
      </c>
      <c r="R2670">
        <f>IF(AND(Inputs!$B$38&lt;&gt;"pvp",Inputs!$B$43&gt;0),IF(MAX(0,Inputs!$B$43-B2704)&lt;=0,0,(INT(MAX(0,Inputs!$B$43-B2704)/(IF(Inputs!$B$38="pvp",15,MAX(0.1,Skills!E4-IF(Skills!F4=TRUE,Inputs!$B$32,0)))*(1-IF(AND(ArtifactsInput!$M$27,Inputs!$B$4="Chapter Hunt"),CHOOSE(ArtifactsInput!$N$27+1,20,24,28,32,36,40),0)/100)))+1)),0)</f>
        <v/>
      </c>
      <c r="S2670">
        <f>IF(C2670,(H2670*N2670*IF(AND(Inputs!$B$38&lt;&gt;"pvp",Inputs!$B$43&gt;0),((Skills!G4*((R2670-1)*IF(Skills!H4&gt;0,Skills!I4/Skills!H4,1)+IF(Skills!H4&gt;0,MIN(Skills!I4,MAX(0,MAX(0,Inputs!$B$43-B2704)-((R2670-1)*(IF(Inputs!$B$38="pvp",15,MAX(0.1,Skills!E4-IF(Skills!F4=TRUE,Inputs!$B$32,0)))*(1-IF(AND(ArtifactsInput!$M$27,Inputs!$B$4="Chapter Hunt"),CHOOSE(ArtifactsInput!$N$27+1,20,24,28,32,36,40),0)/100)))))/Skills!H4,1)))/Inputs!$B$43),G2670*Q2670)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2670*(1-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2670*(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2670*(1-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2670*(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670">
        <f>290*T2669/1000</f>
        <v/>
      </c>
      <c r="U2670">
        <f>IF(C2670,(H2670*N2670*IF(AND(Inputs!$B$38&lt;&gt;"pvp",Inputs!$B$43&gt;0),((Skills!G4*((R2670-1)*IF(Skills!H4&gt;0,Skills!I4/Skills!H4,1)+IF(Skills!H4&gt;0,MIN(Skills!I4,MAX(0,MAX(0,Inputs!$B$43-B2704)-((R2670-1)*(IF(Inputs!$B$38="pvp",15,MAX(0.1,Skills!E4-IF(Skills!F4=TRUE,Inputs!$B$32,0)))*(1-IF(AND(ArtifactsInput!$M$27,Inputs!$B$4="Chapter Hunt"),CHOOSE(ArtifactsInput!$N$27+1,20,24,28,32,36,40),0)/100)))))/Skills!H4,1)))/Inputs!$B$43),G2670*Q2670))*IF(Inputs!$B$38="pvp",1,(1+(Inputs!$B$21+Skills!Q4+(IF(ArtifactsInput!$M$33,CHOOSE(ArtifactsInput!$N$33+1,30,36,42,48,54,60),0)))/100)*(MIN(Skills!R4,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1">
      <c r="A2671">
        <f>Skills!A5</f>
        <v/>
      </c>
      <c r="B2671">
        <f>Skills!B5</f>
        <v/>
      </c>
      <c r="C2671">
        <f>TRUE</f>
        <v/>
      </c>
      <c r="D2671">
        <f>IF(Skills!C5=1,60+Inputs!$B$25+Inputs!$B$29,IF(Skills!C5=2,90+Inputs!$B$26+Inputs!$B$29,IF(Skills!C5=3,120+Inputs!$B$27+Inputs!$B$29,MAX(0,(Inputs!$B$3-100)*3)+Inputs!$B$28+Inputs!$B$29)))</f>
        <v/>
      </c>
      <c r="E2671">
        <f>INDEX(FactorTable!$B$2:$Y$301, MATCH(ROUND(MIN(300,MAX(1,D2671)),0), FactorTable!$A$2:$A$301,0), Skills!M5+1)</f>
        <v/>
      </c>
      <c r="F2671">
        <f>IF(Skills!N5=TRUE,(Skills!L5/10)*(E2671/1000),Skills!L5/10)+Skills!O5</f>
        <v/>
      </c>
      <c r="G2671">
        <f>Calc!G5</f>
        <v/>
      </c>
      <c r="H2671">
        <f>Calc!H5</f>
        <v/>
      </c>
      <c r="I2671">
        <f>IF(Skills!X5&lt;&gt;"",1+(Skills!X5/10)*(Z2669/1000)/100,1)</f>
        <v/>
      </c>
      <c r="J2671">
        <f>((Inputs!$B$6*(1+Inputs!$B$7/100))+(((Inputs!$B$12*(1+Inputs!$B$13/100))-(Inputs!$B$12*(1+Inputs!$B$13/100)))+0.25*(Inputs!$B$14-Inputs!$B$14))*(1+Inputs!$B$7/100))*(F2671/100)</f>
        <v/>
      </c>
      <c r="K2671">
        <f>J2671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2671)</f>
        <v/>
      </c>
      <c r="L2671">
        <f>K2671*(MIN(Inputs!$B$22+(F2688-Calc!F22),(Inputs!$B$23+(IF(ArtifactsInput!$M$15,CHOOSE(ArtifactsInput!$N$15+1,25,30,35,40,45,50)/100*(Inputs!$B$11-Inputs!$B$11),0))))/100+(Inputs!$B$23+(IF(ArtifactsInput!$M$15,CHOOSE(ArtifactsInput!$N$15+1,25,30,35,40,45,50)/100*(Inputs!$B$11-Inputs!$B$11),0)))/100)/2</f>
        <v/>
      </c>
      <c r="M2671">
        <f>L2671*(1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1">
        <f>L2671*(1-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1">
        <f>(1-Summary!$B$11)*S2671+Summary!$B$11*U2671</f>
        <v/>
      </c>
      <c r="P2671">
        <f>IF(B2707=0,0,O2671/B2707)</f>
        <v/>
      </c>
      <c r="Q2671">
        <f>IFERROR(1/(IF(Inputs!$B$38="pvp",15,MAX(0.1,Skills!E5-IF(Skills!F5=TRUE,Inputs!$B$32,0)))*(1-IF(AND(ArtifactsInput!$M$27,Inputs!$B$4="Chapter Hunt"),CHOOSE(ArtifactsInput!$N$27+1,20,24,28,32,36,40),0)/100)),0)</f>
        <v/>
      </c>
      <c r="R2671">
        <f>IF(AND(Inputs!$B$38&lt;&gt;"pvp",Inputs!$B$43&gt;0),IF(MAX(0,Inputs!$B$43-B2704)&lt;=0,0,(INT(MAX(0,Inputs!$B$43-B2704)/(IF(Inputs!$B$38="pvp",15,MAX(0.1,Skills!E5-IF(Skills!F5=TRUE,Inputs!$B$32,0)))*(1-IF(AND(ArtifactsInput!$M$27,Inputs!$B$4="Chapter Hunt"),CHOOSE(ArtifactsInput!$N$27+1,20,24,28,32,36,40),0)/100)))+1)),0)</f>
        <v/>
      </c>
      <c r="S2671">
        <f>IF(C2671,(H2671*N2671*IF(AND(Inputs!$B$38&lt;&gt;"pvp",Inputs!$B$43&gt;0),((Skills!G5*((R2671-1)*IF(Skills!H5&gt;0,Skills!I5/Skills!H5,1)+IF(Skills!H5&gt;0,MIN(Skills!I5,MAX(0,MAX(0,Inputs!$B$43-B2704)-((R2671-1)*(IF(Inputs!$B$38="pvp",15,MAX(0.1,Skills!E5-IF(Skills!F5=TRUE,Inputs!$B$32,0)))*(1-IF(AND(ArtifactsInput!$M$27,Inputs!$B$4="Chapter Hunt"),CHOOSE(ArtifactsInput!$N$27+1,20,24,28,32,36,40),0)/100)))))/Skills!H5,1)))/Inputs!$B$43),G2671*Q2671)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2671*(1-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2671*(1-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1">
        <f>IF(C2671,(H2671*N2671*IF(AND(Inputs!$B$38&lt;&gt;"pvp",Inputs!$B$43&gt;0),((Skills!G5*((R2671-1)*IF(Skills!H5&gt;0,Skills!I5/Skills!H5,1)+IF(Skills!H5&gt;0,MIN(Skills!I5,MAX(0,MAX(0,Inputs!$B$43-B2704)-((R2671-1)*(IF(Inputs!$B$38="pvp",15,MAX(0.1,Skills!E5-IF(Skills!F5=TRUE,Inputs!$B$32,0)))*(1-IF(AND(ArtifactsInput!$M$27,Inputs!$B$4="Chapter Hunt"),CHOOSE(ArtifactsInput!$N$27+1,20,24,28,32,36,40),0)/100)))))/Skills!H5,1)))/Inputs!$B$43),G2671*Q2671))*IF(Inputs!$B$38="pvp",1,(1+(Inputs!$B$21+Skills!Q5+(IF(ArtifactsInput!$M$33,CHOOSE(ArtifactsInput!$N$33+1,30,36,42,48,54,60),0)))/100)*(MIN(Skills!R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2">
      <c r="A2672">
        <f>Skills!A6</f>
        <v/>
      </c>
      <c r="B2672">
        <f>Skills!B6</f>
        <v/>
      </c>
      <c r="C2672">
        <f>TRUE</f>
        <v/>
      </c>
      <c r="D2672">
        <f>IF(Skills!C6=1,60+Inputs!$B$25+Inputs!$B$29,IF(Skills!C6=2,90+Inputs!$B$26+Inputs!$B$29,IF(Skills!C6=3,120+Inputs!$B$27+Inputs!$B$29,MAX(0,(Inputs!$B$3-100)*3)+Inputs!$B$28+Inputs!$B$29)))</f>
        <v/>
      </c>
      <c r="E2672">
        <f>INDEX(FactorTable!$B$2:$Y$301, MATCH(ROUND(MIN(300,MAX(1,D2672)),0), FactorTable!$A$2:$A$301,0), Skills!M6+1)</f>
        <v/>
      </c>
      <c r="F2672">
        <f>IF(Skills!N6=TRUE,(Skills!L6/10)*(E2672/1000),Skills!L6/10)+Skills!O6</f>
        <v/>
      </c>
      <c r="G2672">
        <f>Calc!G6</f>
        <v/>
      </c>
      <c r="H2672">
        <f>Calc!H6</f>
        <v/>
      </c>
      <c r="I2672">
        <f>IF(Skills!X6&lt;&gt;"",1+(Skills!X6/10)*(Z2669/1000)/100,1)</f>
        <v/>
      </c>
      <c r="J2672" t="inlineStr"/>
      <c r="K2672" t="inlineStr"/>
      <c r="L2672" t="inlineStr"/>
      <c r="M2672" t="inlineStr"/>
      <c r="N2672" t="inlineStr"/>
      <c r="O2672">
        <f>(1-Summary!$B$11)*S2672+Summary!$B$11*U2672</f>
        <v/>
      </c>
      <c r="P2672">
        <f>IF(B2707=0,0,O2672/B2707)</f>
        <v/>
      </c>
      <c r="Q2672">
        <f>IFERROR(1/(IF(Inputs!$B$38="pvp",15,MAX(0.1,Skills!E6-IF(Skills!F6=TRUE,Inputs!$B$32,0)))*(1-IF(AND(ArtifactsInput!$M$27,Inputs!$B$4="Chapter Hunt"),CHOOSE(ArtifactsInput!$N$27+1,20,24,28,32,36,40),0)/100)),0)</f>
        <v/>
      </c>
      <c r="R2672">
        <f>IF(AND(Inputs!$B$38&lt;&gt;"pvp",Inputs!$B$43&gt;0),IF(Inputs!$B$43&lt;=0,0,(INT(Inputs!$B$43/(IF(Inputs!$B$38="pvp",15,MAX(0.1,Skills!E6-IF(Skills!F6=TRUE,Inputs!$B$32,0)))*(1-IF(AND(ArtifactsInput!$M$27,Inputs!$B$4="Chapter Hunt"),CHOOSE(ArtifactsInput!$N$27+1,20,24,28,32,36,40),0)/100)))+1)),0)</f>
        <v/>
      </c>
      <c r="S2672" t="n">
        <v>0</v>
      </c>
      <c r="U2672" t="n">
        <v>0</v>
      </c>
    </row>
    <row r="2673">
      <c r="A2673">
        <f>Skills!A7</f>
        <v/>
      </c>
      <c r="B2673">
        <f>Skills!B7</f>
        <v/>
      </c>
      <c r="C2673">
        <f>TRUE</f>
        <v/>
      </c>
      <c r="D2673">
        <f>IF(Skills!C7=1,60+Inputs!$B$25+Inputs!$B$29,IF(Skills!C7=2,90+Inputs!$B$26+Inputs!$B$29,IF(Skills!C7=3,120+Inputs!$B$27+Inputs!$B$29,MAX(0,(Inputs!$B$3-100)*3)+Inputs!$B$28+Inputs!$B$29)))</f>
        <v/>
      </c>
      <c r="E2673">
        <f>INDEX(FactorTable!$B$2:$Y$301, MATCH(ROUND(MIN(300,MAX(1,D2673)),0), FactorTable!$A$2:$A$301,0), Skills!M7+1)</f>
        <v/>
      </c>
      <c r="F2673">
        <f>IF(Skills!N7=TRUE,(Skills!L7/10)*(E2673/1000),Skills!L7/10)+Skills!O7</f>
        <v/>
      </c>
      <c r="G2673">
        <f>Calc!G7</f>
        <v/>
      </c>
      <c r="H2673">
        <f>Calc!H7</f>
        <v/>
      </c>
      <c r="I2673">
        <f>IF(Skills!X7&lt;&gt;"",1+(Skills!X7/10)*(Z2669/1000)/100,1)</f>
        <v/>
      </c>
      <c r="J2673">
        <f>((Inputs!$B$6*(1+Inputs!$B$7/100))+(((Inputs!$B$12*(1+Inputs!$B$13/100))-(Inputs!$B$12*(1+Inputs!$B$13/100)))+0.25*(Inputs!$B$14-Inputs!$B$14))*(1+Inputs!$B$7/100))*(F2673/100)</f>
        <v/>
      </c>
      <c r="K2673">
        <f>J2673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2673)</f>
        <v/>
      </c>
      <c r="L2673">
        <f>K2673*(MIN(Inputs!$B$22+(F2688-Calc!F22),(Inputs!$B$23+(IF(ArtifactsInput!$M$15,CHOOSE(ArtifactsInput!$N$15+1,25,30,35,40,45,50)/100*(Inputs!$B$11-Inputs!$B$11),0))))/100+(Inputs!$B$23+(IF(ArtifactsInput!$M$15,CHOOSE(ArtifactsInput!$N$15+1,25,30,35,40,45,50)/100*(Inputs!$B$11-Inputs!$B$11),0)))/100)/2</f>
        <v/>
      </c>
      <c r="M2673">
        <f>L2673*(1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3">
        <f>L2673*(1-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2673*(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3">
        <f>(1-Summary!$B$11)*S2673+Summary!$B$11*U2673</f>
        <v/>
      </c>
      <c r="P2673">
        <f>IF(B2707=0,0,O2673/B2707)</f>
        <v/>
      </c>
      <c r="Q2673">
        <f>IFERROR(1/(IF(Inputs!$B$38="pvp",15,MAX(0.1,Skills!E7-IF(Skills!F7=TRUE,Inputs!$B$32,0)))*(1-IF(AND(ArtifactsInput!$M$27,Inputs!$B$4="Chapter Hunt"),CHOOSE(ArtifactsInput!$N$27+1,20,24,28,32,36,40),0)/100)),0)</f>
        <v/>
      </c>
      <c r="R2673">
        <f>IF(AND(Inputs!$B$38&lt;&gt;"pvp",Inputs!$B$43&gt;0),IF(MAX(0,Inputs!$B$43-B2704)&lt;=0,0,(INT(MAX(0,Inputs!$B$43-B2704)/(IF(Inputs!$B$38="pvp",15,MAX(0.1,Skills!E7-IF(Skills!F7=TRUE,Inputs!$B$32,0)))*(1-IF(AND(ArtifactsInput!$M$27,Inputs!$B$4="Chapter Hunt"),CHOOSE(ArtifactsInput!$N$27+1,20,24,28,32,36,40),0)/100)))+1)),0)</f>
        <v/>
      </c>
      <c r="S2673">
        <f>IF(C2673,(H2673*N2673*IF(AND(Inputs!$B$38&lt;&gt;"pvp",Inputs!$B$43&gt;0),((Skills!G7*((R2673-1)*IF(Skills!H7&gt;0,Skills!I7/Skills!H7,1)+IF(Skills!H7&gt;0,MIN(Skills!I7,MAX(0,MAX(0,Inputs!$B$43-B2704)-((R2673-1)*(IF(Inputs!$B$38="pvp",15,MAX(0.1,Skills!E7-IF(Skills!F7=TRUE,Inputs!$B$32,0)))*(1-IF(AND(ArtifactsInput!$M$27,Inputs!$B$4="Chapter Hunt"),CHOOSE(ArtifactsInput!$N$27+1,20,24,28,32,36,40),0)/100)))))/Skills!H7,1)))/Inputs!$B$43),G2673*Q2673)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2673*(1-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2673*(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2673*(1-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2673*(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3">
        <f>IF(C2673,(H2673*N2673*IF(AND(Inputs!$B$38&lt;&gt;"pvp",Inputs!$B$43&gt;0),((Skills!G7*((R2673-1)*IF(Skills!H7&gt;0,Skills!I7/Skills!H7,1)+IF(Skills!H7&gt;0,MIN(Skills!I7,MAX(0,MAX(0,Inputs!$B$43-B2704)-((R2673-1)*(IF(Inputs!$B$38="pvp",15,MAX(0.1,Skills!E7-IF(Skills!F7=TRUE,Inputs!$B$32,0)))*(1-IF(AND(ArtifactsInput!$M$27,Inputs!$B$4="Chapter Hunt"),CHOOSE(ArtifactsInput!$N$27+1,20,24,28,32,36,40),0)/100)))))/Skills!H7,1)))/Inputs!$B$43),G2673*Q2673))*IF(Inputs!$B$38="pvp",1,(1+(Inputs!$B$21+Skills!Q7+(IF(ArtifactsInput!$M$33,CHOOSE(ArtifactsInput!$N$33+1,30,36,42,48,54,60),0)))/100)*(MIN(Skills!R7,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4">
      <c r="A2674">
        <f>Skills!A8</f>
        <v/>
      </c>
      <c r="B2674">
        <f>Skills!B8</f>
        <v/>
      </c>
      <c r="C2674">
        <f>TRUE</f>
        <v/>
      </c>
      <c r="D2674">
        <f>IF(Skills!C8=1,60+Inputs!$B$25+Inputs!$B$29,IF(Skills!C8=2,90+Inputs!$B$26+Inputs!$B$29,IF(Skills!C8=3,120+Inputs!$B$27+Inputs!$B$29,MAX(0,(Inputs!$B$3-100)*3)+Inputs!$B$28+Inputs!$B$29)))</f>
        <v/>
      </c>
      <c r="E2674">
        <f>INDEX(FactorTable!$B$2:$Y$301, MATCH(ROUND(MIN(300,MAX(1,D2674)),0), FactorTable!$A$2:$A$301,0), Skills!M8+1)</f>
        <v/>
      </c>
      <c r="F2674">
        <f>IF(Skills!N8=TRUE,(Skills!L8/10)*(E2674/1000),Skills!L8/10)+Skills!O8</f>
        <v/>
      </c>
      <c r="G2674">
        <f>Calc!G8</f>
        <v/>
      </c>
      <c r="H2674">
        <f>Calc!H8</f>
        <v/>
      </c>
      <c r="I2674">
        <f>IF(Skills!X8&lt;&gt;"",1+(Skills!X8/10)*(Z2669/1000)/100,1)</f>
        <v/>
      </c>
      <c r="J2674">
        <f>((Inputs!$B$6*(1+Inputs!$B$7/100))+(((Inputs!$B$12*(1+Inputs!$B$13/100))-(Inputs!$B$12*(1+Inputs!$B$13/100)))+0.25*(Inputs!$B$14-Inputs!$B$14))*(1+Inputs!$B$7/100))*(F2674/100)</f>
        <v/>
      </c>
      <c r="K2674">
        <f>J2674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2674)</f>
        <v/>
      </c>
      <c r="L2674">
        <f>K2674*(MIN(Inputs!$B$22+(F2688-Calc!F22),(Inputs!$B$23+(IF(ArtifactsInput!$M$15,CHOOSE(ArtifactsInput!$N$15+1,25,30,35,40,45,50)/100*(Inputs!$B$11-Inputs!$B$11),0))))/100+(Inputs!$B$23+(IF(ArtifactsInput!$M$15,CHOOSE(ArtifactsInput!$N$15+1,25,30,35,40,45,50)/100*(Inputs!$B$11-Inputs!$B$11),0)))/100)/2</f>
        <v/>
      </c>
      <c r="M2674">
        <f>L2674*(1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4">
        <f>L2674*(1-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2674*(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4">
        <f>(1-Summary!$B$11)*S2674+Summary!$B$11*U2674</f>
        <v/>
      </c>
      <c r="P2674">
        <f>IF(B2707=0,0,O2674/B2707)</f>
        <v/>
      </c>
      <c r="Q2674">
        <f>IFERROR(1/(IF(Inputs!$B$38="pvp",15,MAX(0.1,Skills!E8-IF(Skills!F8=TRUE,Inputs!$B$32,0)))*(1-IF(AND(ArtifactsInput!$M$27,Inputs!$B$4="Chapter Hunt"),CHOOSE(ArtifactsInput!$N$27+1,20,24,28,32,36,40),0)/100)),0)</f>
        <v/>
      </c>
      <c r="R2674">
        <f>IF(AND(Inputs!$B$38&lt;&gt;"pvp",Inputs!$B$43&gt;0),IF(MAX(0,Inputs!$B$43-B2704)&lt;=0,0,(INT(MAX(0,Inputs!$B$43-B2704)/(IF(Inputs!$B$38="pvp",15,MAX(0.1,Skills!E8-IF(Skills!F8=TRUE,Inputs!$B$32,0)))*(1-IF(AND(ArtifactsInput!$M$27,Inputs!$B$4="Chapter Hunt"),CHOOSE(ArtifactsInput!$N$27+1,20,24,28,32,36,40),0)/100)))+1)),0)</f>
        <v/>
      </c>
      <c r="S2674">
        <f>IF(C2674,(H2674*N2674*IF(AND(Inputs!$B$38&lt;&gt;"pvp",Inputs!$B$43&gt;0),((Skills!G8*((R2674-1)*IF(Skills!H8&gt;0,Skills!I8/Skills!H8,1)+IF(Skills!H8&gt;0,MIN(Skills!I8,MAX(0,MAX(0,Inputs!$B$43-B2704)-((R2674-1)*(IF(Inputs!$B$38="pvp",15,MAX(0.1,Skills!E8-IF(Skills!F8=TRUE,Inputs!$B$32,0)))*(1-IF(AND(ArtifactsInput!$M$27,Inputs!$B$4="Chapter Hunt"),CHOOSE(ArtifactsInput!$N$27+1,20,24,28,32,36,40),0)/100)))))/Skills!H8,1)))/Inputs!$B$43),G2674*Q2674)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2674*(1-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2674*(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2674*(1-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2674*(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4">
        <f>IF(C2674,(H2674*N2674*IF(AND(Inputs!$B$38&lt;&gt;"pvp",Inputs!$B$43&gt;0),((Skills!G8*((R2674-1)*IF(Skills!H8&gt;0,Skills!I8/Skills!H8,1)+IF(Skills!H8&gt;0,MIN(Skills!I8,MAX(0,MAX(0,Inputs!$B$43-B2704)-((R2674-1)*(IF(Inputs!$B$38="pvp",15,MAX(0.1,Skills!E8-IF(Skills!F8=TRUE,Inputs!$B$32,0)))*(1-IF(AND(ArtifactsInput!$M$27,Inputs!$B$4="Chapter Hunt"),CHOOSE(ArtifactsInput!$N$27+1,20,24,28,32,36,40),0)/100)))))/Skills!H8,1)))/Inputs!$B$43),G2674*Q2674))*IF(Inputs!$B$38="pvp",1,(1+(Inputs!$B$21+Skills!Q8+(IF(ArtifactsInput!$M$33,CHOOSE(ArtifactsInput!$N$33+1,30,36,42,48,54,60),0)))/100)*(MIN(Skills!R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5">
      <c r="A2675">
        <f>Skills!A9</f>
        <v/>
      </c>
      <c r="B2675">
        <f>Skills!B9</f>
        <v/>
      </c>
      <c r="C2675">
        <f>Inputs!$B$3&gt;=103</f>
        <v/>
      </c>
      <c r="D2675">
        <f>IF(Skills!C9=1,60+Inputs!$B$25+Inputs!$B$29,IF(Skills!C9=2,90+Inputs!$B$26+Inputs!$B$29,IF(Skills!C9=3,120+Inputs!$B$27+Inputs!$B$29,MAX(0,(Inputs!$B$3-100)*3)+Inputs!$B$28+Inputs!$B$29)))</f>
        <v/>
      </c>
      <c r="E2675">
        <f>INDEX(FactorTable!$B$2:$Y$301, MATCH(ROUND(MIN(300,MAX(1,D2675)),0), FactorTable!$A$2:$A$301,0), Skills!M9+1)</f>
        <v/>
      </c>
      <c r="F2675">
        <f>IF(Skills!N9=TRUE,(Skills!L9/10)*(E2675/1000),Skills!L9/10)+Skills!O9</f>
        <v/>
      </c>
      <c r="G2675">
        <f>Calc!G9</f>
        <v/>
      </c>
      <c r="H2675">
        <f>Calc!H9</f>
        <v/>
      </c>
      <c r="I2675">
        <f>IF(Skills!X9&lt;&gt;"",1+(Skills!X9/10)*(Z2669/1000)/100,1)</f>
        <v/>
      </c>
      <c r="J2675">
        <f>((Inputs!$B$6*(1+Inputs!$B$7/100))+(((Inputs!$B$12*(1+Inputs!$B$13/100))-(Inputs!$B$12*(1+Inputs!$B$13/100)))+0.25*(Inputs!$B$14-Inputs!$B$14))*(1+Inputs!$B$7/100))*(F2675/100)</f>
        <v/>
      </c>
      <c r="K2675">
        <f>J2675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2675)</f>
        <v/>
      </c>
      <c r="L2675">
        <f>K2675*(MIN(Inputs!$B$22+(F2688-Calc!F22),(Inputs!$B$23+(IF(ArtifactsInput!$M$15,CHOOSE(ArtifactsInput!$N$15+1,25,30,35,40,45,50)/100*(Inputs!$B$11-Inputs!$B$11),0))))/100+(Inputs!$B$23+(IF(ArtifactsInput!$M$15,CHOOSE(ArtifactsInput!$N$15+1,25,30,35,40,45,50)/100*(Inputs!$B$11-Inputs!$B$11),0)))/100)/2</f>
        <v/>
      </c>
      <c r="M2675">
        <f>L2675*(1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5">
        <f>L2675*(1-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2675*(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5">
        <f>(1-Summary!$B$11)*S2675+Summary!$B$11*U2675</f>
        <v/>
      </c>
      <c r="P2675">
        <f>IF(B2707=0,0,O2675/B2707)</f>
        <v/>
      </c>
      <c r="Q2675">
        <f>IFERROR(1/(IF(Inputs!$B$38="pvp",15,MAX(0.1,Skills!E9-IF(Skills!F7=TRUE,Inputs!$B$32,0)))*(1-IF(AND(ArtifactsInput!$M$27,Inputs!$B$4="Chapter Hunt"),CHOOSE(ArtifactsInput!$N$27+1,20,24,28,32,36,40),0)/100)),0)</f>
        <v/>
      </c>
      <c r="R2675">
        <f>IF(AND(Inputs!$B$38&lt;&gt;"pvp",Inputs!$B$43&gt;0),IF(MAX(0,Inputs!$B$43-B2704)&lt;=0,0,(INT(MAX(0,Inputs!$B$43-B2704)/(IF(Inputs!$B$38="pvp",15,MAX(0.1,Skills!E9-IF(Skills!F7=TRUE,Inputs!$B$32,0)))*(1-IF(AND(ArtifactsInput!$M$27,Inputs!$B$4="Chapter Hunt"),CHOOSE(ArtifactsInput!$N$27+1,20,24,28,32,36,40),0)/100)))+1)),0)</f>
        <v/>
      </c>
      <c r="S2675">
        <f>IF(C2675,(H2675*N2675*IF(AND(Inputs!$B$38&lt;&gt;"pvp",Inputs!$B$43&gt;0),((Skills!G9*((R2675-1)*IF(Skills!H9&gt;0,Skills!I9/Skills!H9,1)+IF(Skills!H9&gt;0,MIN(Skills!I9,MAX(0,MAX(0,Inputs!$B$43-B2704)-((R2675-1)*(IF(Inputs!$B$38="pvp",15,MAX(0.1,Skills!E9-IF(Skills!F7=TRUE,Inputs!$B$32,0)))*(1-IF(AND(ArtifactsInput!$M$27,Inputs!$B$4="Chapter Hunt"),CHOOSE(ArtifactsInput!$N$27+1,20,24,28,32,36,40),0)/100)))))/Skills!H9,1)))/Inputs!$B$43),G2675*Q2675)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2675*(1-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2675*(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2675*(1-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2675*(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5">
        <f>IF(C2675,(H2675*N2675*IF(AND(Inputs!$B$38&lt;&gt;"pvp",Inputs!$B$43&gt;0),((Skills!G9*((R2675-1)*IF(Skills!H9&gt;0,Skills!I9/Skills!H9,1)+IF(Skills!H9&gt;0,MIN(Skills!I9,MAX(0,MAX(0,Inputs!$B$43-B2704)-((R2675-1)*(IF(Inputs!$B$38="pvp",15,MAX(0.1,Skills!E9-IF(Skills!F7=TRUE,Inputs!$B$32,0)))*(1-IF(AND(ArtifactsInput!$M$27,Inputs!$B$4="Chapter Hunt"),CHOOSE(ArtifactsInput!$N$27+1,20,24,28,32,36,40),0)/100)))))/Skills!H9,1)))/Inputs!$B$43),G2675*Q2675))*IF(Inputs!$B$38="pvp",1,(1+(Inputs!$B$21+Skills!Q9+(IF(ArtifactsInput!$M$33,CHOOSE(ArtifactsInput!$N$33+1,30,36,42,48,54,60),0)))/100)*(MIN(Skills!R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6">
      <c r="A2676">
        <f>Skills!A10</f>
        <v/>
      </c>
      <c r="B2676">
        <f>Skills!B10</f>
        <v/>
      </c>
      <c r="C2676">
        <f>TRUE</f>
        <v/>
      </c>
      <c r="D2676">
        <f>IF(Skills!C10=1,60+Inputs!$B$25+Inputs!$B$29,IF(Skills!C10=2,90+Inputs!$B$26+Inputs!$B$29,IF(Skills!C10=3,120+Inputs!$B$27+Inputs!$B$29,MAX(0,(Inputs!$B$3-100)*3)+Inputs!$B$28+Inputs!$B$29)))</f>
        <v/>
      </c>
      <c r="E2676">
        <f>INDEX(FactorTable!$B$2:$Y$301, MATCH(ROUND(MIN(300,MAX(1,D2676)),0), FactorTable!$A$2:$A$301,0), Skills!M10+1)</f>
        <v/>
      </c>
      <c r="F2676">
        <f>IF(Skills!N10=TRUE,(Skills!L10/10)*(E2676/1000),Skills!L10/10)+Skills!O10</f>
        <v/>
      </c>
      <c r="G2676">
        <f>Calc!G10</f>
        <v/>
      </c>
      <c r="H2676">
        <f>Calc!H10</f>
        <v/>
      </c>
      <c r="I2676">
        <f>IF(Skills!X10&lt;&gt;"",1+(Skills!X10/10)*(Z2669/1000)/100,1)</f>
        <v/>
      </c>
      <c r="J2676">
        <f>((Inputs!$B$6*(1+Inputs!$B$7/100))+(((Inputs!$B$12*(1+Inputs!$B$13/100))-(Inputs!$B$12*(1+Inputs!$B$13/100)))+0.25*(Inputs!$B$14-Inputs!$B$14))*(1+Inputs!$B$7/100))*(F2676/100)</f>
        <v/>
      </c>
      <c r="K2676">
        <f>J2676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2676)</f>
        <v/>
      </c>
      <c r="L2676">
        <f>K2676*(MIN(Inputs!$B$22+(F2688-Calc!F22),(Inputs!$B$23+(IF(ArtifactsInput!$M$15,CHOOSE(ArtifactsInput!$N$15+1,25,30,35,40,45,50)/100*(Inputs!$B$11-Inputs!$B$11),0))))/100+(Inputs!$B$23+(IF(ArtifactsInput!$M$15,CHOOSE(ArtifactsInput!$N$15+1,25,30,35,40,45,50)/100*(Inputs!$B$11-Inputs!$B$11),0)))/100)/2</f>
        <v/>
      </c>
      <c r="M2676">
        <f>L2676*(1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6">
        <f>L2676*(1-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2676*(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6">
        <f>(1-Summary!$B$11)*S2676+Summary!$B$11*U2676</f>
        <v/>
      </c>
      <c r="P2676">
        <f>IF(B2707=0,0,O2676/B2707)</f>
        <v/>
      </c>
      <c r="Q2676">
        <f>IFERROR(1/(IF(Inputs!$B$38="pvp",15,MAX(0.1,Skills!E10-IF(Skills!F10=TRUE,Inputs!$B$32,0)))*(1-IF(AND(ArtifactsInput!$M$27,Inputs!$B$4="Chapter Hunt"),CHOOSE(ArtifactsInput!$N$27+1,20,24,28,32,36,40),0)/100)),0)</f>
        <v/>
      </c>
      <c r="R2676">
        <f>IF(AND(Inputs!$B$38&lt;&gt;"pvp",Inputs!$B$43&gt;0),IF(MAX(0,Inputs!$B$43-B2704)&lt;=0,0,(INT(MAX(0,Inputs!$B$43-B2704)/(IF(Inputs!$B$38="pvp",15,MAX(0.1,Skills!E10-IF(Skills!F10=TRUE,Inputs!$B$32,0)))*(1-IF(AND(ArtifactsInput!$M$27,Inputs!$B$4="Chapter Hunt"),CHOOSE(ArtifactsInput!$N$27+1,20,24,28,32,36,40),0)/100)))+1)),0)</f>
        <v/>
      </c>
      <c r="S2676">
        <f>IF(C2676,(H2676*N2676*IF(AND(Inputs!$B$38&lt;&gt;"pvp",Inputs!$B$43&gt;0),((Skills!G10*((R2676-1)*IF(Skills!H10&gt;0,Skills!I10/Skills!H10,1)+IF(Skills!H10&gt;0,MIN(Skills!I10,MAX(0,MAX(0,Inputs!$B$43-B2704)-((R2676-1)*(IF(Inputs!$B$38="pvp",15,MAX(0.1,Skills!E10-IF(Skills!F10=TRUE,Inputs!$B$32,0)))*(1-IF(AND(ArtifactsInput!$M$27,Inputs!$B$4="Chapter Hunt"),CHOOSE(ArtifactsInput!$N$27+1,20,24,28,32,36,40),0)/100)))))/Skills!H10,1)))/Inputs!$B$43),G2676*Q2676)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2676*(1-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2676*(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2676*(1-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2676*(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6">
        <f>IF(C2676,(H2676*N2676*IF(AND(Inputs!$B$38&lt;&gt;"pvp",Inputs!$B$43&gt;0),((Skills!G10*((R2676-1)*IF(Skills!H10&gt;0,Skills!I10/Skills!H10,1)+IF(Skills!H10&gt;0,MIN(Skills!I10,MAX(0,MAX(0,Inputs!$B$43-B2704)-((R2676-1)*(IF(Inputs!$B$38="pvp",15,MAX(0.1,Skills!E10-IF(Skills!F10=TRUE,Inputs!$B$32,0)))*(1-IF(AND(ArtifactsInput!$M$27,Inputs!$B$4="Chapter Hunt"),CHOOSE(ArtifactsInput!$N$27+1,20,24,28,32,36,40),0)/100)))))/Skills!H10,1)))/Inputs!$B$43),G2676*Q2676))*IF(Inputs!$B$38="pvp",1,(1+(Inputs!$B$21+Skills!Q10+(IF(ArtifactsInput!$M$33,CHOOSE(ArtifactsInput!$N$33+1,30,36,42,48,54,60),0)))/100)*(MIN(Skills!R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7">
      <c r="A2677">
        <f>Skills!A11</f>
        <v/>
      </c>
      <c r="B2677">
        <f>Skills!B11</f>
        <v/>
      </c>
      <c r="C2677">
        <f>TRUE</f>
        <v/>
      </c>
      <c r="D2677">
        <f>IF(Skills!C11=1,60+Inputs!$B$25+Inputs!$B$29,IF(Skills!C11=2,90+Inputs!$B$26+Inputs!$B$29,IF(Skills!C11=3,120+Inputs!$B$27+Inputs!$B$29,MAX(0,(Inputs!$B$3-100)*3)+Inputs!$B$28+Inputs!$B$29)))</f>
        <v/>
      </c>
      <c r="E2677">
        <f>INDEX(FactorTable!$B$2:$Y$301, MATCH(ROUND(MIN(300,MAX(1,D2677)),0), FactorTable!$A$2:$A$301,0), Skills!M11+1)</f>
        <v/>
      </c>
      <c r="F2677">
        <f>IF(Skills!N11=TRUE,(Skills!L11/10)*(E2677/1000),Skills!L11/10)+Skills!O11</f>
        <v/>
      </c>
      <c r="G2677">
        <f>Calc!G11</f>
        <v/>
      </c>
      <c r="H2677">
        <f>Calc!H11</f>
        <v/>
      </c>
      <c r="I2677">
        <f>IF(Skills!X11&lt;&gt;"",1+(Skills!X11/10)*(Z2669/1000)/100,1)</f>
        <v/>
      </c>
      <c r="J2677" t="inlineStr"/>
      <c r="K2677" t="inlineStr"/>
      <c r="L2677" t="inlineStr"/>
      <c r="M2677" t="inlineStr"/>
      <c r="N2677" t="inlineStr"/>
      <c r="O2677">
        <f>(1-Summary!$B$11)*S2677+Summary!$B$11*U2677</f>
        <v/>
      </c>
      <c r="P2677">
        <f>IF(B2707=0,0,O2677/B2707)</f>
        <v/>
      </c>
      <c r="Q2677">
        <f>IFERROR(1/(IF(Inputs!$B$38="pvp",15,MAX(0.1,Skills!E11-IF(Skills!F11=TRUE,Inputs!$B$32,0)))*(1-IF(AND(ArtifactsInput!$M$27,Inputs!$B$4="Chapter Hunt"),CHOOSE(ArtifactsInput!$N$27+1,20,24,28,32,36,40),0)/100)),0)</f>
        <v/>
      </c>
      <c r="R2677" t="n">
        <v>0</v>
      </c>
      <c r="S2677" t="n">
        <v>0</v>
      </c>
      <c r="U2677" t="n">
        <v>0</v>
      </c>
    </row>
    <row r="2678">
      <c r="A2678">
        <f>Skills!A12</f>
        <v/>
      </c>
      <c r="B2678">
        <f>Skills!B12</f>
        <v/>
      </c>
      <c r="C2678">
        <f>TRUE</f>
        <v/>
      </c>
      <c r="D2678">
        <f>IF(Skills!C12=1,60+Inputs!$B$25+Inputs!$B$29,IF(Skills!C12=2,90+Inputs!$B$26+Inputs!$B$29,IF(Skills!C12=3,120+Inputs!$B$27+Inputs!$B$29,MAX(0,(Inputs!$B$3-100)*3)+Inputs!$B$28+Inputs!$B$29)))</f>
        <v/>
      </c>
      <c r="E2678">
        <f>INDEX(FactorTable!$B$2:$Y$301, MATCH(ROUND(MIN(300,MAX(1,D2678)),0), FactorTable!$A$2:$A$301,0), Skills!M12+1)</f>
        <v/>
      </c>
      <c r="F2678">
        <f>IF(Skills!N12=TRUE,(Skills!L12/10)*(E2678/1000),Skills!L12/10)+Skills!O12</f>
        <v/>
      </c>
      <c r="G2678">
        <f>Calc!G12</f>
        <v/>
      </c>
      <c r="H2678">
        <f>Calc!H12</f>
        <v/>
      </c>
      <c r="I2678">
        <f>IF(Skills!X12&lt;&gt;"",1+(Skills!X12/10)*(Z2669/1000)/100,1)</f>
        <v/>
      </c>
      <c r="J2678" t="inlineStr"/>
      <c r="K2678" t="inlineStr"/>
      <c r="L2678" t="inlineStr"/>
      <c r="M2678" t="inlineStr"/>
      <c r="N2678" t="inlineStr"/>
      <c r="O2678">
        <f>(1-Summary!$B$11)*S2678+Summary!$B$11*U2678</f>
        <v/>
      </c>
      <c r="P2678">
        <f>IF(B2707=0,0,O2678/B2707)</f>
        <v/>
      </c>
      <c r="Q2678">
        <f>IFERROR(1/(IF(Inputs!$B$38="pvp",15,MAX(0.1,Skills!E12-IF(Skills!F12=TRUE,Inputs!$B$32,0)))*(1-IF(AND(ArtifactsInput!$M$27,Inputs!$B$4="Chapter Hunt"),CHOOSE(ArtifactsInput!$N$27+1,20,24,28,32,36,40),0)/100)),0)</f>
        <v/>
      </c>
      <c r="R2678" t="n">
        <v>0</v>
      </c>
      <c r="S2678" t="n">
        <v>0</v>
      </c>
      <c r="U2678" t="n">
        <v>0</v>
      </c>
    </row>
    <row r="2679">
      <c r="A2679">
        <f>Skills!A13</f>
        <v/>
      </c>
      <c r="B2679">
        <f>Skills!B13</f>
        <v/>
      </c>
      <c r="C2679">
        <f>Inputs!$B$3&gt;=105</f>
        <v/>
      </c>
      <c r="D2679">
        <f>IF(Skills!C13=1,60+Inputs!$B$25+Inputs!$B$29,IF(Skills!C13=2,90+Inputs!$B$26+Inputs!$B$29,IF(Skills!C13=3,120+Inputs!$B$27+Inputs!$B$29,MAX(0,(Inputs!$B$3-100)*3)+Inputs!$B$28+Inputs!$B$29)))</f>
        <v/>
      </c>
      <c r="E2679">
        <f>INDEX(FactorTable!$B$2:$Y$301, MATCH(ROUND(MIN(300,MAX(1,D2679)),0), FactorTable!$A$2:$A$301,0), Skills!M13+1)</f>
        <v/>
      </c>
      <c r="F2679">
        <f>IF(Skills!N13=TRUE,(Skills!L13/10)*(E2679/1000),Skills!L13/10)+Skills!O13</f>
        <v/>
      </c>
      <c r="G2679">
        <f>Calc!G13</f>
        <v/>
      </c>
      <c r="H2679">
        <f>Calc!H13</f>
        <v/>
      </c>
      <c r="I2679">
        <f>IF(Skills!X13&lt;&gt;"",1+(Skills!X13/10)*(Z2669/1000)/100,1)</f>
        <v/>
      </c>
      <c r="J2679">
        <f>((Inputs!$B$6*(1+Inputs!$B$7/100))+(((Inputs!$B$12*(1+Inputs!$B$13/100))-(Inputs!$B$12*(1+Inputs!$B$13/100)))+0.25*(Inputs!$B$14-Inputs!$B$14))*(1+Inputs!$B$7/100))*(F2679/100)</f>
        <v/>
      </c>
      <c r="K2679">
        <f>J2679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2679)</f>
        <v/>
      </c>
      <c r="L2679">
        <f>K2679*(MIN(Inputs!$B$22+(F2688-Calc!F22),(Inputs!$B$23+(IF(ArtifactsInput!$M$15,CHOOSE(ArtifactsInput!$N$15+1,25,30,35,40,45,50)/100*(Inputs!$B$11-Inputs!$B$11),0))))/100+(Inputs!$B$23+(IF(ArtifactsInput!$M$15,CHOOSE(ArtifactsInput!$N$15+1,25,30,35,40,45,50)/100*(Inputs!$B$11-Inputs!$B$11),0)))/100)/2</f>
        <v/>
      </c>
      <c r="M2679">
        <f>L2679*(1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9">
        <f>L2679*(1-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2679*(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9">
        <f>(1-Summary!$B$11)*S2679+Summary!$B$11*U2679</f>
        <v/>
      </c>
      <c r="P2679">
        <f>IF(B2707=0,0,O2679/B2707)</f>
        <v/>
      </c>
      <c r="Q2679">
        <f>IFERROR(1/(IF(Inputs!$B$38="pvp",15,MAX(0.1,Skills!E13-IF(Skills!F13=TRUE,Inputs!$B$32,0)))*(1-IF(AND(ArtifactsInput!$M$27,Inputs!$B$4="Chapter Hunt"),CHOOSE(ArtifactsInput!$N$27+1,20,24,28,32,36,40),0)/100)),0)</f>
        <v/>
      </c>
      <c r="R2679">
        <f>IF(AND(Inputs!$B$38&lt;&gt;"pvp",Inputs!$B$43&gt;0),IF(MAX(0,Inputs!$B$43-B2704)&lt;=0,0,(INT(MAX(0,Inputs!$B$43-B2704)/(IF(Inputs!$B$38="pvp",15,MAX(0.1,Skills!E13-IF(Skills!F13=TRUE,Inputs!$B$32,0)))*(1-IF(AND(ArtifactsInput!$M$27,Inputs!$B$4="Chapter Hunt"),CHOOSE(ArtifactsInput!$N$27+1,20,24,28,32,36,40),0)/100)))+1)),0)</f>
        <v/>
      </c>
      <c r="S2679">
        <f>IF(C2679,(H2679*N2679*IF(AND(Inputs!$B$38&lt;&gt;"pvp",Inputs!$B$43&gt;0),((Skills!G13*((R2679-1)*IF(Skills!H13&gt;0,Skills!I13/Skills!H13,1)+IF(Skills!H13&gt;0,MIN(Skills!I13,MAX(0,MAX(0,Inputs!$B$43-B2704)-((R2679-1)*(IF(Inputs!$B$38="pvp",15,MAX(0.1,Skills!E13-IF(Skills!F13=TRUE,Inputs!$B$32,0)))*(1-IF(AND(ArtifactsInput!$M$27,Inputs!$B$4="Chapter Hunt"),CHOOSE(ArtifactsInput!$N$27+1,20,24,28,32,36,40),0)/100)))))/Skills!H13,1)))/Inputs!$B$43),G2679*Q2679)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2679*(1-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2679*(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2679*(1-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2679*(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9">
        <f>IF(C2679,(H2679*N2679*IF(AND(Inputs!$B$38&lt;&gt;"pvp",Inputs!$B$43&gt;0),((Skills!G13*((R2679-1)*IF(Skills!H13&gt;0,Skills!I13/Skills!H13,1)+IF(Skills!H13&gt;0,MIN(Skills!I13,MAX(0,MAX(0,Inputs!$B$43-B2704)-((R2679-1)*(IF(Inputs!$B$38="pvp",15,MAX(0.1,Skills!E13-IF(Skills!F13=TRUE,Inputs!$B$32,0)))*(1-IF(AND(ArtifactsInput!$M$27,Inputs!$B$4="Chapter Hunt"),CHOOSE(ArtifactsInput!$N$27+1,20,24,28,32,36,40),0)/100)))))/Skills!H13,1)))/Inputs!$B$43),G2679*Q2679))*IF(Inputs!$B$38="pvp",1,(1+(Inputs!$B$21+Skills!Q13+(IF(ArtifactsInput!$M$33,CHOOSE(ArtifactsInput!$N$33+1,30,36,42,48,54,60),0)))/100)*(MIN(Skills!R13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0">
      <c r="A2680">
        <f>Skills!A14</f>
        <v/>
      </c>
      <c r="B2680">
        <f>Skills!B14</f>
        <v/>
      </c>
      <c r="C2680">
        <f>Inputs!$B$3&gt;=113</f>
        <v/>
      </c>
      <c r="D2680">
        <f>IF(Skills!C14=1,60+Inputs!$B$25+Inputs!$B$29,IF(Skills!C14=2,90+Inputs!$B$26+Inputs!$B$29,IF(Skills!C14=3,120+Inputs!$B$27+Inputs!$B$29,MAX(0,(Inputs!$B$3-100)*3)+Inputs!$B$28+Inputs!$B$29)))</f>
        <v/>
      </c>
      <c r="E2680">
        <f>INDEX(FactorTable!$B$2:$Y$301, MATCH(ROUND(MIN(300,MAX(1,D2680)),0), FactorTable!$A$2:$A$301,0), Skills!M14+1)</f>
        <v/>
      </c>
      <c r="F2680">
        <f>IF(Skills!N14=TRUE,(Skills!L14/10)*(E2680/1000),Skills!L14/10)+Skills!O14</f>
        <v/>
      </c>
      <c r="G2680">
        <f>Calc!G14</f>
        <v/>
      </c>
      <c r="H2680">
        <f>Calc!H14</f>
        <v/>
      </c>
      <c r="I2680">
        <f>IF(Skills!X14&lt;&gt;"",1+(Skills!X14/10)*(Z2669/1000)/100,1)</f>
        <v/>
      </c>
      <c r="J2680">
        <f>((Inputs!$B$6*(1+Inputs!$B$7/100))+(((Inputs!$B$12*(1+Inputs!$B$13/100))-(Inputs!$B$12*(1+Inputs!$B$13/100)))+0.25*(Inputs!$B$14-Inputs!$B$14))*(1+Inputs!$B$7/100))*(F2680/100)</f>
        <v/>
      </c>
      <c r="K2680">
        <f>J2680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2680)</f>
        <v/>
      </c>
      <c r="L2680">
        <f>K2680*(MIN(Inputs!$B$22+(F2688-Calc!F22),(Inputs!$B$23+(IF(ArtifactsInput!$M$15,CHOOSE(ArtifactsInput!$N$15+1,25,30,35,40,45,50)/100*(Inputs!$B$11-Inputs!$B$11),0))))/100+(Inputs!$B$23+(IF(ArtifactsInput!$M$15,CHOOSE(ArtifactsInput!$N$15+1,25,30,35,40,45,50)/100*(Inputs!$B$11-Inputs!$B$11),0)))/100)/2</f>
        <v/>
      </c>
      <c r="M2680">
        <f>L2680*(1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0">
        <f>L2680*(1-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2680*(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0">
        <f>(1-Summary!$B$11)*S2680+Summary!$B$11*U2680</f>
        <v/>
      </c>
      <c r="P2680">
        <f>IF(B2707=0,0,O2680/B2707)</f>
        <v/>
      </c>
      <c r="Q2680">
        <f>IFERROR(1/(IF(Inputs!$B$38="pvp",15,MAX(0.1,Skills!E14-IF(Skills!F14=TRUE,Inputs!$B$32,0)))*(1-IF(AND(ArtifactsInput!$M$27,Inputs!$B$4="Chapter Hunt"),CHOOSE(ArtifactsInput!$N$27+1,20,24,28,32,36,40),0)/100)),0)</f>
        <v/>
      </c>
      <c r="R2680" t="n">
        <v>0</v>
      </c>
      <c r="S2680">
        <f>IF(C2680,((H2680*B2703)/(1+Skills!H14*H2680*B2703)*N2680)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2680*(1-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2680*(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2680*(1-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2680*(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0">
        <f>IF(C2680,((H2680*B2703)/(1+Skills!H14*H2680*B2703)*N2680)*IF(Inputs!$B$38="pvp",1,(1+(Inputs!$B$21+Skills!Q14+(IF(ArtifactsInput!$M$33,CHOOSE(ArtifactsInput!$N$33+1,30,36,42,48,54,60),0)))/100)*(MIN(Skills!R14,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1">
      <c r="A2681">
        <f>Skills!A15</f>
        <v/>
      </c>
      <c r="B2681">
        <f>Skills!B15</f>
        <v/>
      </c>
      <c r="C2681">
        <f>Inputs!$B$3&gt;=107</f>
        <v/>
      </c>
      <c r="D2681">
        <f>IF(Skills!C15=1,60+Inputs!$B$25+Inputs!$B$29,IF(Skills!C15=2,90+Inputs!$B$26+Inputs!$B$29,IF(Skills!C15=3,120+Inputs!$B$27+Inputs!$B$29,MAX(0,(Inputs!$B$3-100)*3)+Inputs!$B$28+Inputs!$B$29)))</f>
        <v/>
      </c>
      <c r="E2681">
        <f>INDEX(FactorTable!$B$2:$Y$301, MATCH(ROUND(MIN(300,MAX(1,D2681)),0), FactorTable!$A$2:$A$301,0), Skills!M15+1)</f>
        <v/>
      </c>
      <c r="F2681">
        <f>IF(Skills!N15=TRUE,(Skills!L15/10)*(E2681/1000),Skills!L15/10)+Skills!O15</f>
        <v/>
      </c>
      <c r="G2681">
        <f>Calc!G15</f>
        <v/>
      </c>
      <c r="H2681">
        <f>Calc!H15</f>
        <v/>
      </c>
      <c r="I2681">
        <f>IF(Skills!X15&lt;&gt;"",1+(Skills!X15/10)*(Z2669/1000)/100,1)</f>
        <v/>
      </c>
      <c r="J2681">
        <f>((Inputs!$B$6*(1+Inputs!$B$7/100))+(((Inputs!$B$12*(1+Inputs!$B$13/100))-(Inputs!$B$12*(1+Inputs!$B$13/100)))+0.25*(Inputs!$B$14-Inputs!$B$14))*(1+Inputs!$B$7/100))*(F2681/100)</f>
        <v/>
      </c>
      <c r="K2681">
        <f>J2681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2681)</f>
        <v/>
      </c>
      <c r="L2681">
        <f>K2681*(MIN(Inputs!$B$22+(F2688-Calc!F22),(Inputs!$B$23+(IF(ArtifactsInput!$M$15,CHOOSE(ArtifactsInput!$N$15+1,25,30,35,40,45,50)/100*(Inputs!$B$11-Inputs!$B$11),0))))/100+(Inputs!$B$23+(IF(ArtifactsInput!$M$15,CHOOSE(ArtifactsInput!$N$15+1,25,30,35,40,45,50)/100*(Inputs!$B$11-Inputs!$B$11),0)))/100)/2</f>
        <v/>
      </c>
      <c r="M2681">
        <f>L2681*(1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1">
        <f>L2681*(1-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1">
        <f>(1-Summary!$B$11)*S2681+Summary!$B$11*U2681</f>
        <v/>
      </c>
      <c r="P2681">
        <f>IF(B2707=0,0,O2681/B2707)</f>
        <v/>
      </c>
      <c r="Q2681">
        <f>IFERROR(1/(IF(Inputs!$B$38="pvp",15,MAX(0.1,Skills!E15-IF(Skills!F15=TRUE,Inputs!$B$32,0)))*(1-IF(AND(ArtifactsInput!$M$27,Inputs!$B$4="Chapter Hunt"),CHOOSE(ArtifactsInput!$N$27+1,20,24,28,32,36,40),0)/100)),0)</f>
        <v/>
      </c>
      <c r="R2681">
        <f>IF(AND(Inputs!$B$38&lt;&gt;"pvp",Inputs!$B$43&gt;0),IF(MAX(0,Inputs!$B$43-B2704)&lt;=0,0,(INT(MAX(0,Inputs!$B$43-B2704)/(IF(Inputs!$B$38="pvp",15,MAX(0.1,Skills!E15-IF(Skills!F15=TRUE,Inputs!$B$32,0)))*(1-IF(AND(ArtifactsInput!$M$27,Inputs!$B$4="Chapter Hunt"),CHOOSE(ArtifactsInput!$N$27+1,20,24,28,32,36,40),0)/100)))+1)),0)</f>
        <v/>
      </c>
      <c r="S2681">
        <f>IF(C2681,(H2681*N2681*IF(AND(Inputs!$B$38&lt;&gt;"pvp",Inputs!$B$43&gt;0),((Skills!G15*((R2681-1)*IF(Skills!H15&gt;0,Skills!I15/Skills!H15,1)+IF(Skills!H15&gt;0,MIN(Skills!I15,MAX(0,MAX(0,Inputs!$B$43-B2704)-((R2681-1)*(IF(Inputs!$B$38="pvp",15,MAX(0.1,Skills!E15-IF(Skills!F15=TRUE,Inputs!$B$32,0)))*(1-IF(AND(ArtifactsInput!$M$27,Inputs!$B$4="Chapter Hunt"),CHOOSE(ArtifactsInput!$N$27+1,20,24,28,32,36,40),0)/100)))))/Skills!H15,1)))/Inputs!$B$43),G2681*Q2681)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2681*(1-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2681*(1-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1">
        <f>IF(C2681,(H2681*N2681*IF(AND(Inputs!$B$38&lt;&gt;"pvp",Inputs!$B$43&gt;0),((Skills!G15*((R2681-1)*IF(Skills!H15&gt;0,Skills!I15/Skills!H15,1)+IF(Skills!H15&gt;0,MIN(Skills!I15,MAX(0,MAX(0,Inputs!$B$43-B2704)-((R2681-1)*(IF(Inputs!$B$38="pvp",15,MAX(0.1,Skills!E15-IF(Skills!F15=TRUE,Inputs!$B$32,0)))*(1-IF(AND(ArtifactsInput!$M$27,Inputs!$B$4="Chapter Hunt"),CHOOSE(ArtifactsInput!$N$27+1,20,24,28,32,36,40),0)/100)))))/Skills!H15,1)))/Inputs!$B$43),G2681*Q2681))*IF(Inputs!$B$38="pvp",1,(1+(Inputs!$B$21+Skills!Q15+(IF(ArtifactsInput!$M$33,CHOOSE(ArtifactsInput!$N$33+1,30,36,42,48,54,60),0)))/100)*(MIN(Skills!R15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2">
      <c r="A2682">
        <f>Skills!A16</f>
        <v/>
      </c>
      <c r="B2682">
        <f>Skills!B16</f>
        <v/>
      </c>
      <c r="C2682">
        <f>Inputs!$B$3&gt;=107</f>
        <v/>
      </c>
      <c r="D2682">
        <f>IF(Skills!C16=1,60+Inputs!$B$25+Inputs!$B$29,IF(Skills!C16=2,90+Inputs!$B$26+Inputs!$B$29,IF(Skills!C16=3,120+Inputs!$B$27+Inputs!$B$29,MAX(0,(Inputs!$B$3-100)*3)+Inputs!$B$28+Inputs!$B$29)))</f>
        <v/>
      </c>
      <c r="E2682">
        <f>INDEX(FactorTable!$B$2:$Y$301, MATCH(ROUND(MIN(300,MAX(1,D2682)),0), FactorTable!$A$2:$A$301,0), Skills!M16+1)</f>
        <v/>
      </c>
      <c r="F2682">
        <f>IF(Skills!N16=TRUE,(Skills!L16/10)*(E2682/1000),Skills!L16/10)+Skills!O16</f>
        <v/>
      </c>
      <c r="G2682">
        <f>Calc!G16</f>
        <v/>
      </c>
      <c r="H2682">
        <f>Calc!H16</f>
        <v/>
      </c>
      <c r="I2682">
        <f>IF(Skills!X16&lt;&gt;"",1+(Skills!X16/10)*(Z2669/1000)/100,1)</f>
        <v/>
      </c>
      <c r="J2682">
        <f>((Inputs!$B$6*(1+Inputs!$B$7/100))+(((Inputs!$B$12*(1+Inputs!$B$13/100))-(Inputs!$B$12*(1+Inputs!$B$13/100)))+0.25*(Inputs!$B$14-Inputs!$B$14))*(1+Inputs!$B$7/100))*(F2682/100)</f>
        <v/>
      </c>
      <c r="K2682">
        <f>J2682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2682)</f>
        <v/>
      </c>
      <c r="L2682">
        <f>K2682*(MIN(Inputs!$B$22+(F2688-Calc!F22),(Inputs!$B$23+(IF(ArtifactsInput!$M$15,CHOOSE(ArtifactsInput!$N$15+1,25,30,35,40,45,50)/100*(Inputs!$B$11-Inputs!$B$11),0))))/100+(Inputs!$B$23+(IF(ArtifactsInput!$M$15,CHOOSE(ArtifactsInput!$N$15+1,25,30,35,40,45,50)/100*(Inputs!$B$11-Inputs!$B$11),0)))/100)/2</f>
        <v/>
      </c>
      <c r="M2682">
        <f>L2682*(1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2">
        <f>L2682*(1-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2682*(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2">
        <f>(1-Summary!$B$11)*S2682+Summary!$B$11*U2682</f>
        <v/>
      </c>
      <c r="P2682">
        <f>IF(B2707=0,0,O2682/B2707)</f>
        <v/>
      </c>
      <c r="Q2682">
        <f>IFERROR(1/(IF(Inputs!$B$38="pvp",15,MAX(0.1,Skills!E16-IF(Skills!F16=TRUE,Inputs!$B$32,0)))*(1-IF(AND(ArtifactsInput!$M$27,Inputs!$B$4="Chapter Hunt"),CHOOSE(ArtifactsInput!$N$27+1,20,24,28,32,36,40),0)/100)),0)</f>
        <v/>
      </c>
      <c r="R2682">
        <f>IF(AND(Inputs!$B$38&lt;&gt;"pvp",Inputs!$B$43&gt;0),IF(MAX(0,Inputs!$B$43-B2704)&lt;=0,0,(INT(MAX(0,Inputs!$B$43-B2704)/(IF(Inputs!$B$38="pvp",15,MAX(0.1,Skills!E16-IF(Skills!F16=TRUE,Inputs!$B$32,0)))*(1-IF(AND(ArtifactsInput!$M$27,Inputs!$B$4="Chapter Hunt"),CHOOSE(ArtifactsInput!$N$27+1,20,24,28,32,36,40),0)/100)))+1)),0)</f>
        <v/>
      </c>
      <c r="S2682">
        <f>IF(C2682,(H2682*N2682*IF(AND(Inputs!$B$38&lt;&gt;"pvp",Inputs!$B$43&gt;0),((Skills!G16*((R2682-1)*IF(Skills!H16&gt;0,Skills!I16/Skills!H16,1)+IF(Skills!H16&gt;0,MIN(Skills!I16,MAX(0,MAX(0,Inputs!$B$43-B2704)-((R2682-1)*(IF(Inputs!$B$38="pvp",15,MAX(0.1,Skills!E16-IF(Skills!F16=TRUE,Inputs!$B$32,0)))*(1-IF(AND(ArtifactsInput!$M$27,Inputs!$B$4="Chapter Hunt"),CHOOSE(ArtifactsInput!$N$27+1,20,24,28,32,36,40),0)/100)))))/Skills!H16,1)))/Inputs!$B$43),G2682*Q2682)*(1+IF(Inputs!$B$3&gt;=126,0.05*(B2702+Q2679+(H2680*B2703)/(1+Skills!H14*H2680*B2703)+Q2690)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2682*(1-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2682*(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2682*(1-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2682*(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2">
        <f>IF(C2682,(H2682*N2682*IF(AND(Inputs!$B$38&lt;&gt;"pvp",Inputs!$B$43&gt;0),((Skills!G16*((R2682-1)*IF(Skills!H16&gt;0,Skills!I16/Skills!H16,1)+IF(Skills!H16&gt;0,MIN(Skills!I16,MAX(0,MAX(0,Inputs!$B$43-B2704)-((R2682-1)*(IF(Inputs!$B$38="pvp",15,MAX(0.1,Skills!E16-IF(Skills!F16=TRUE,Inputs!$B$32,0)))*(1-IF(AND(ArtifactsInput!$M$27,Inputs!$B$4="Chapter Hunt"),CHOOSE(ArtifactsInput!$N$27+1,20,24,28,32,36,40),0)/100)))))/Skills!H16,1)))/Inputs!$B$43),G2682*Q2682)*(1+IF(Inputs!$B$3&gt;=126,0.05*(B2702+Q2679+(H2680*B2703)/(1+Skills!H14*H2680*B2703)+Q2690),0)*Skills!E15))*IF(Inputs!$B$38="pvp",1,(1+(Inputs!$B$21+Skills!Q16+(IF(ArtifactsInput!$M$33,CHOOSE(ArtifactsInput!$N$33+1,30,36,42,48,54,60),0)))/100)*(MIN(Skills!R16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3">
      <c r="A2683">
        <f>Skills!A17</f>
        <v/>
      </c>
      <c r="B2683">
        <f>Skills!B17</f>
        <v/>
      </c>
      <c r="C2683">
        <f>TRUE</f>
        <v/>
      </c>
      <c r="D2683">
        <f>IF(Skills!C17=1,60+Inputs!$B$25+Inputs!$B$29,IF(Skills!C17=2,90+Inputs!$B$26+Inputs!$B$29,IF(Skills!C17=3,120+Inputs!$B$27+Inputs!$B$29,MAX(0,(Inputs!$B$3-100)*3)+Inputs!$B$28+Inputs!$B$29)))</f>
        <v/>
      </c>
      <c r="E2683">
        <f>INDEX(FactorTable!$B$2:$Y$301, MATCH(ROUND(MIN(300,MAX(1,D2683)),0), FactorTable!$A$2:$A$301,0), Skills!M17+1)</f>
        <v/>
      </c>
      <c r="F2683">
        <f>IF(Skills!N17=TRUE,(Skills!L17/10)*(E2683/1000),Skills!L17/10)+Skills!O17</f>
        <v/>
      </c>
      <c r="G2683">
        <f>Calc!G17</f>
        <v/>
      </c>
      <c r="H2683">
        <f>Calc!H17</f>
        <v/>
      </c>
      <c r="I2683">
        <f>IF(Skills!X17&lt;&gt;"",1+(Skills!X17/10)*(Z2669/1000)/100,1)</f>
        <v/>
      </c>
      <c r="J2683" t="inlineStr"/>
      <c r="K2683" t="inlineStr"/>
      <c r="L2683" t="inlineStr"/>
      <c r="M2683" t="inlineStr"/>
      <c r="N2683" t="inlineStr"/>
      <c r="O2683">
        <f>(1-Summary!$B$11)*S2683+Summary!$B$11*U2683</f>
        <v/>
      </c>
      <c r="P2683">
        <f>IF(B2707=0,0,O2683/B2707)</f>
        <v/>
      </c>
      <c r="Q2683">
        <f>IFERROR(1/(IF(Inputs!$B$38="pvp",15,MAX(0.1,Skills!E17-IF(Skills!F17=TRUE,Inputs!$B$32,0)))*(1-IF(AND(ArtifactsInput!$M$27,Inputs!$B$4="Chapter Hunt"),CHOOSE(ArtifactsInput!$N$27+1,20,24,28,32,36,40),0)/100)),0)</f>
        <v/>
      </c>
      <c r="R2683">
        <f>IF(AND(Inputs!$B$38&lt;&gt;"pvp",Inputs!$B$43&gt;0),IF(Inputs!$B$43&lt;=0,0,(INT(Inputs!$B$43/(IF(Inputs!$B$38="pvp",15,MAX(0.1,Skills!E17-IF(Skills!F17=TRUE,Inputs!$B$32,0)))*(1-IF(AND(ArtifactsInput!$M$27,Inputs!$B$4="Chapter Hunt"),CHOOSE(ArtifactsInput!$N$27+1,20,24,28,32,36,40),0)/100)))+1)),0)</f>
        <v/>
      </c>
      <c r="S2683" t="n">
        <v>0</v>
      </c>
      <c r="U2683" t="n">
        <v>0</v>
      </c>
    </row>
    <row r="2684">
      <c r="A2684">
        <f>Skills!A18</f>
        <v/>
      </c>
      <c r="B2684">
        <f>Skills!B18</f>
        <v/>
      </c>
      <c r="C2684">
        <f>TRUE</f>
        <v/>
      </c>
      <c r="D2684">
        <f>IF(Skills!C18=1,60+Inputs!$B$25+Inputs!$B$29,IF(Skills!C18=2,90+Inputs!$B$26+Inputs!$B$29,IF(Skills!C18=3,120+Inputs!$B$27+Inputs!$B$29,MAX(0,(Inputs!$B$3-100)*3)+Inputs!$B$28+Inputs!$B$29)))</f>
        <v/>
      </c>
      <c r="E2684">
        <f>INDEX(FactorTable!$B$2:$Y$301, MATCH(ROUND(MIN(300,MAX(1,D2684)),0), FactorTable!$A$2:$A$301,0), Skills!M18+1)</f>
        <v/>
      </c>
      <c r="F2684">
        <f>IF(Skills!N18=TRUE,(Skills!L18/10)*(E2684/1000),Skills!L18/10)+Skills!O18</f>
        <v/>
      </c>
      <c r="G2684">
        <f>Calc!G18</f>
        <v/>
      </c>
      <c r="H2684">
        <f>Calc!H18</f>
        <v/>
      </c>
      <c r="I2684">
        <f>IF(Skills!X18&lt;&gt;"",1+(Skills!X18/10)*(Z2669/1000)/100,1)</f>
        <v/>
      </c>
      <c r="J2684" t="inlineStr"/>
      <c r="K2684" t="inlineStr"/>
      <c r="L2684" t="inlineStr"/>
      <c r="M2684" t="inlineStr"/>
      <c r="N2684" t="inlineStr"/>
      <c r="O2684">
        <f>(1-Summary!$B$11)*S2684+Summary!$B$11*U2684</f>
        <v/>
      </c>
      <c r="P2684">
        <f>IF(B2707=0,0,O2684/B2707)</f>
        <v/>
      </c>
      <c r="Q2684">
        <f>IFERROR(1/(IF(Inputs!$B$38="pvp",15,MAX(0.1,Skills!E18-IF(Skills!F18=TRUE,Inputs!$B$32,0)))*(1-IF(AND(ArtifactsInput!$M$27,Inputs!$B$4="Chapter Hunt"),CHOOSE(ArtifactsInput!$N$27+1,20,24,28,32,36,40),0)/100)),0)</f>
        <v/>
      </c>
      <c r="R2684">
        <f>IF(AND(Inputs!$B$38&lt;&gt;"pvp",Inputs!$B$43&gt;0),IF(Inputs!$B$43&lt;=0,0,(INT(Inputs!$B$43/(IF(Inputs!$B$38="pvp",15,MAX(0.1,Skills!E18-IF(Skills!F18=TRUE,Inputs!$B$32,0)))*(1-IF(AND(ArtifactsInput!$M$27,Inputs!$B$4="Chapter Hunt"),CHOOSE(ArtifactsInput!$N$27+1,20,24,28,32,36,40),0)/100)))+1)),0)</f>
        <v/>
      </c>
      <c r="S2684" t="n">
        <v>0</v>
      </c>
      <c r="U2684" t="n">
        <v>0</v>
      </c>
    </row>
    <row r="2685">
      <c r="A2685">
        <f>Skills!A19</f>
        <v/>
      </c>
      <c r="B2685">
        <f>Skills!B19</f>
        <v/>
      </c>
      <c r="C2685">
        <f>Inputs!$B$3&gt;=110</f>
        <v/>
      </c>
      <c r="D2685">
        <f>IF(Skills!C19=1,60+Inputs!$B$25+Inputs!$B$29,IF(Skills!C19=2,90+Inputs!$B$26+Inputs!$B$29,IF(Skills!C19=3,120+Inputs!$B$27+Inputs!$B$29,MAX(0,(Inputs!$B$3-100)*3)+Inputs!$B$28+Inputs!$B$29)))</f>
        <v/>
      </c>
      <c r="E2685">
        <f>INDEX(FactorTable!$B$2:$Y$301, MATCH(ROUND(MIN(300,MAX(1,D2685)),0), FactorTable!$A$2:$A$301,0), Skills!M19+1)</f>
        <v/>
      </c>
      <c r="F2685">
        <f>IF(Skills!N19=TRUE,(Skills!L19/10)*(E2685/1000),Skills!L19/10)+Skills!O19</f>
        <v/>
      </c>
      <c r="G2685">
        <f>Calc!G19</f>
        <v/>
      </c>
      <c r="H2685">
        <f>Calc!H19</f>
        <v/>
      </c>
      <c r="I2685">
        <f>IF(Skills!X19&lt;&gt;"",1+(Skills!X19/10)*(Z2669/1000)/100,1)</f>
        <v/>
      </c>
      <c r="J2685" t="inlineStr"/>
      <c r="K2685" t="inlineStr"/>
      <c r="L2685" t="inlineStr"/>
      <c r="M2685" t="inlineStr"/>
      <c r="N2685" t="inlineStr"/>
      <c r="O2685">
        <f>(1-Summary!$B$11)*S2685+Summary!$B$11*U2685</f>
        <v/>
      </c>
      <c r="P2685">
        <f>IF(B2707=0,0,O2685/B2707)</f>
        <v/>
      </c>
      <c r="Q2685">
        <f>IFERROR(1/(IF(Inputs!$B$38="pvp",15,MAX(0.1,Skills!E19-IF(Skills!F19=TRUE,Inputs!$B$32,0)))*(1-IF(AND(ArtifactsInput!$M$27,Inputs!$B$4="Chapter Hunt"),CHOOSE(ArtifactsInput!$N$27+1,20,24,28,32,36,40),0)/100)),0)</f>
        <v/>
      </c>
      <c r="R2685">
        <f>IF(AND(Inputs!$B$38&lt;&gt;"pvp",Inputs!$B$43&gt;0),IF(Inputs!$B$43&lt;=0,0,(INT(Inputs!$B$43/(IF(Inputs!$B$38="pvp",15,MAX(0.1,Skills!E19-IF(Skills!F19=TRUE,Inputs!$B$32,0)))*(1-IF(AND(ArtifactsInput!$M$27,Inputs!$B$4="Chapter Hunt"),CHOOSE(ArtifactsInput!$N$27+1,20,24,28,32,36,40),0)/100)))+1)),0)</f>
        <v/>
      </c>
      <c r="S2685" t="n">
        <v>0</v>
      </c>
      <c r="U2685" t="n">
        <v>0</v>
      </c>
    </row>
    <row r="2686">
      <c r="A2686">
        <f>Skills!A20</f>
        <v/>
      </c>
      <c r="B2686">
        <f>Skills!B20</f>
        <v/>
      </c>
      <c r="C2686">
        <f>TRUE</f>
        <v/>
      </c>
      <c r="D2686">
        <f>IF(Skills!C20=1,60+Inputs!$B$25+Inputs!$B$29,IF(Skills!C20=2,90+Inputs!$B$26+Inputs!$B$29,IF(Skills!C20=3,120+Inputs!$B$27+Inputs!$B$29,MAX(0,(Inputs!$B$3-100)*3)+Inputs!$B$28+Inputs!$B$29)))</f>
        <v/>
      </c>
      <c r="E2686">
        <f>INDEX(FactorTable!$B$2:$Y$301, MATCH(ROUND(MIN(300,MAX(1,D2686)),0), FactorTable!$A$2:$A$301,0), Skills!M20+1)</f>
        <v/>
      </c>
      <c r="F2686">
        <f>IF(Skills!N20=TRUE,(Skills!L20/10)*(E2686/1000),Skills!L20/10)+Skills!O20</f>
        <v/>
      </c>
      <c r="G2686">
        <f>Calc!G20</f>
        <v/>
      </c>
      <c r="H2686">
        <f>Calc!H20</f>
        <v/>
      </c>
      <c r="I2686">
        <f>IF(Skills!X20&lt;&gt;"",1+(Skills!X20/10)*(Z2669/1000)/100,1)</f>
        <v/>
      </c>
      <c r="J2686" t="inlineStr"/>
      <c r="K2686" t="inlineStr"/>
      <c r="L2686" t="inlineStr"/>
      <c r="M2686" t="inlineStr"/>
      <c r="N2686" t="inlineStr"/>
      <c r="O2686">
        <f>(1-Summary!$B$11)*S2686+Summary!$B$11*U2686</f>
        <v/>
      </c>
      <c r="P2686">
        <f>IF(B2707=0,0,O2686/B2707)</f>
        <v/>
      </c>
      <c r="Q2686">
        <f>IFERROR(1/(IF(Inputs!$B$38="pvp",15,MAX(0.1,Skills!E20-IF(Skills!F20=TRUE,Inputs!$B$32,0)))*(1-IF(AND(ArtifactsInput!$M$27,Inputs!$B$4="Chapter Hunt"),CHOOSE(ArtifactsInput!$N$27+1,20,24,28,32,36,40),0)/100)),0)</f>
        <v/>
      </c>
      <c r="R2686" t="n">
        <v>0</v>
      </c>
      <c r="S2686" t="n">
        <v>0</v>
      </c>
      <c r="U2686" t="n">
        <v>0</v>
      </c>
    </row>
    <row r="2687">
      <c r="A2687">
        <f>Skills!A21</f>
        <v/>
      </c>
      <c r="B2687">
        <f>Skills!B21</f>
        <v/>
      </c>
      <c r="C2687">
        <f>TRUE</f>
        <v/>
      </c>
      <c r="D2687">
        <f>IF(Skills!C21=1,60+Inputs!$B$25+Inputs!$B$29,IF(Skills!C21=2,90+Inputs!$B$26+Inputs!$B$29,IF(Skills!C21=3,120+Inputs!$B$27+Inputs!$B$29,MAX(0,(Inputs!$B$3-100)*3)+Inputs!$B$28+Inputs!$B$29)))</f>
        <v/>
      </c>
      <c r="E2687">
        <f>INDEX(FactorTable!$B$2:$Y$301, MATCH(ROUND(MIN(300,MAX(1,D2687)),0), FactorTable!$A$2:$A$301,0), Skills!M21+1)</f>
        <v/>
      </c>
      <c r="F2687">
        <f>IF(Skills!N21=TRUE,(Skills!L21/10)*(E2687/1000),Skills!L21/10)+Skills!O21</f>
        <v/>
      </c>
      <c r="G2687">
        <f>Calc!G21</f>
        <v/>
      </c>
      <c r="H2687">
        <f>Calc!H21</f>
        <v/>
      </c>
      <c r="I2687">
        <f>IF(Skills!X21&lt;&gt;"",1+(Skills!X21/10)*(Z2669/1000)/100,1)</f>
        <v/>
      </c>
      <c r="J2687" t="inlineStr"/>
      <c r="K2687" t="inlineStr"/>
      <c r="L2687" t="inlineStr"/>
      <c r="M2687" t="inlineStr"/>
      <c r="N2687" t="inlineStr"/>
      <c r="O2687">
        <f>(1-Summary!$B$11)*S2687+Summary!$B$11*U2687</f>
        <v/>
      </c>
      <c r="P2687">
        <f>IF(B2707=0,0,O2687/B2707)</f>
        <v/>
      </c>
      <c r="Q2687">
        <f>IFERROR(1/(IF(Inputs!$B$38="pvp",15,MAX(0.1,Skills!E21-IF(Skills!F21=TRUE,Inputs!$B$32,0)))*(1-IF(AND(ArtifactsInput!$M$27,Inputs!$B$4="Chapter Hunt"),CHOOSE(ArtifactsInput!$N$27+1,20,24,28,32,36,40),0)/100)),0)</f>
        <v/>
      </c>
      <c r="R2687" t="n">
        <v>0</v>
      </c>
      <c r="S2687" t="n">
        <v>0</v>
      </c>
      <c r="U2687" t="n">
        <v>0</v>
      </c>
    </row>
    <row r="2688">
      <c r="A2688">
        <f>Skills!A22</f>
        <v/>
      </c>
      <c r="B2688">
        <f>Skills!B22</f>
        <v/>
      </c>
      <c r="C2688">
        <f>TRUE</f>
        <v/>
      </c>
      <c r="D2688">
        <f>IF(Skills!C22=1,60+Inputs!$B$25+Inputs!$B$29,IF(Skills!C22=2,90+Inputs!$B$26+Inputs!$B$29,IF(Skills!C22=3,120+Inputs!$B$27+Inputs!$B$29,MAX(0,(Inputs!$B$3-100)*3)+Inputs!$B$28+Inputs!$B$29)))</f>
        <v/>
      </c>
      <c r="E2688">
        <f>INDEX(FactorTable!$B$2:$Y$301, MATCH(ROUND(MIN(300,MAX(1,D2688)),0), FactorTable!$A$2:$A$301,0), Skills!M22+1)</f>
        <v/>
      </c>
      <c r="F2688">
        <f>IF(Skills!N22=TRUE,(Skills!L22/10)*(E2688/1000),Skills!L22/10)+Skills!O22</f>
        <v/>
      </c>
      <c r="G2688">
        <f>Calc!G22</f>
        <v/>
      </c>
      <c r="H2688">
        <f>Calc!H22</f>
        <v/>
      </c>
      <c r="I2688">
        <f>IF(Skills!X22&lt;&gt;"",1+(Skills!X22/10)*(Z2669/1000)/100,1)</f>
        <v/>
      </c>
      <c r="J2688" t="inlineStr"/>
      <c r="K2688" t="inlineStr"/>
      <c r="L2688" t="inlineStr"/>
      <c r="M2688" t="inlineStr"/>
      <c r="N2688" t="inlineStr"/>
      <c r="O2688">
        <f>(1-Summary!$B$11)*S2688+Summary!$B$11*U2688</f>
        <v/>
      </c>
      <c r="P2688">
        <f>IF(B2707=0,0,O2688/B2707)</f>
        <v/>
      </c>
      <c r="Q2688">
        <f>IFERROR(1/(IF(Inputs!$B$38="pvp",15,MAX(0.1,Skills!E22-IF(Skills!F22=TRUE,Inputs!$B$32,0)))*(1-IF(AND(ArtifactsInput!$M$27,Inputs!$B$4="Chapter Hunt"),CHOOSE(ArtifactsInput!$N$27+1,20,24,28,32,36,40),0)/100)),0)</f>
        <v/>
      </c>
      <c r="R2688" t="n">
        <v>0</v>
      </c>
      <c r="S2688" t="n">
        <v>0</v>
      </c>
      <c r="U2688" t="n">
        <v>0</v>
      </c>
    </row>
    <row r="2689">
      <c r="A2689">
        <f>Skills!A23</f>
        <v/>
      </c>
      <c r="B2689">
        <f>Skills!B23</f>
        <v/>
      </c>
      <c r="C2689">
        <f>TRUE</f>
        <v/>
      </c>
      <c r="D2689">
        <f>IF(Skills!C23=1,60+Inputs!$B$25+Inputs!$B$29,IF(Skills!C23=2,90+Inputs!$B$26+Inputs!$B$29,IF(Skills!C23=3,120+Inputs!$B$27+Inputs!$B$29,MAX(0,(Inputs!$B$3-100)*3)+Inputs!$B$28+Inputs!$B$29)))</f>
        <v/>
      </c>
      <c r="E2689">
        <f>INDEX(FactorTable!$B$2:$Y$301, MATCH(ROUND(MIN(300,MAX(1,D2689)),0), FactorTable!$A$2:$A$301,0), Skills!M23+1)</f>
        <v/>
      </c>
      <c r="F2689">
        <f>IF(Skills!N23=TRUE,(Skills!L23/10)*(E2689/1000),Skills!L23/10)+Skills!O23</f>
        <v/>
      </c>
      <c r="G2689">
        <f>Calc!G23</f>
        <v/>
      </c>
      <c r="H2689">
        <f>Calc!H23</f>
        <v/>
      </c>
      <c r="I2689">
        <f>IF(Skills!X23&lt;&gt;"",1+(Skills!X23/10)*(Z2669/1000)/100,1)</f>
        <v/>
      </c>
      <c r="J2689" t="inlineStr"/>
      <c r="K2689" t="inlineStr"/>
      <c r="L2689" t="inlineStr"/>
      <c r="M2689" t="inlineStr"/>
      <c r="N2689" t="inlineStr"/>
      <c r="O2689">
        <f>(1-Summary!$B$11)*S2689+Summary!$B$11*U2689</f>
        <v/>
      </c>
      <c r="P2689">
        <f>IF(B2707=0,0,O2689/B2707)</f>
        <v/>
      </c>
      <c r="Q2689">
        <f>IFERROR(1/(IF(Inputs!$B$38="pvp",15,MAX(0.1,Skills!E23-IF(Skills!F23=TRUE,Inputs!$B$32,0)))*(1-IF(AND(ArtifactsInput!$M$27,Inputs!$B$4="Chapter Hunt"),CHOOSE(ArtifactsInput!$N$27+1,20,24,28,32,36,40),0)/100)),0)</f>
        <v/>
      </c>
      <c r="R2689" t="n">
        <v>0</v>
      </c>
      <c r="S2689" t="n">
        <v>0</v>
      </c>
      <c r="U2689" t="n">
        <v>0</v>
      </c>
    </row>
    <row r="2690">
      <c r="A2690">
        <f>Skills!A24</f>
        <v/>
      </c>
      <c r="B2690">
        <f>Skills!B24</f>
        <v/>
      </c>
      <c r="C2690">
        <f>Inputs!$B$3&gt;=115</f>
        <v/>
      </c>
      <c r="D2690">
        <f>IF(Skills!C24=1,60+Inputs!$B$25+Inputs!$B$29,IF(Skills!C24=2,90+Inputs!$B$26+Inputs!$B$29,IF(Skills!C24=3,120+Inputs!$B$27+Inputs!$B$29,MAX(0,(Inputs!$B$3-100)*3)+Inputs!$B$28+Inputs!$B$29)))</f>
        <v/>
      </c>
      <c r="E2690">
        <f>INDEX(FactorTable!$B$2:$Y$301, MATCH(ROUND(MIN(300,MAX(1,D2690)),0), FactorTable!$A$2:$A$301,0), Skills!M24+1)</f>
        <v/>
      </c>
      <c r="F2690">
        <f>IF(Skills!N24=TRUE,(Skills!L24/10)*(E2690/1000),Skills!L24/10)+Skills!O24</f>
        <v/>
      </c>
      <c r="G2690">
        <f>Calc!G24</f>
        <v/>
      </c>
      <c r="H2690">
        <f>Calc!H24</f>
        <v/>
      </c>
      <c r="I2690">
        <f>IF(Skills!X24&lt;&gt;"",1+(Skills!X24/10)*(Z2669/1000)/100,1)</f>
        <v/>
      </c>
      <c r="J2690">
        <f>((Inputs!$B$6*(1+Inputs!$B$7/100))+(((Inputs!$B$12*(1+Inputs!$B$13/100))-(Inputs!$B$12*(1+Inputs!$B$13/100)))+0.25*(Inputs!$B$14-Inputs!$B$14))*(1+Inputs!$B$7/100))*(F2690/100)</f>
        <v/>
      </c>
      <c r="K2690">
        <f>J2690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2690)</f>
        <v/>
      </c>
      <c r="L2690">
        <f>K2690*(MIN(Inputs!$B$22+(F2688-Calc!F22),(Inputs!$B$23+(IF(ArtifactsInput!$M$15,CHOOSE(ArtifactsInput!$N$15+1,25,30,35,40,45,50)/100*(Inputs!$B$11-Inputs!$B$11),0))))/100+(Inputs!$B$23+(IF(ArtifactsInput!$M$15,CHOOSE(ArtifactsInput!$N$15+1,25,30,35,40,45,50)/100*(Inputs!$B$11-Inputs!$B$11),0)))/100)/2</f>
        <v/>
      </c>
      <c r="M2690">
        <f>L2690*(1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0">
        <f>L2690*(1-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2690*(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0">
        <f>(1-Summary!$B$11)*S2690+Summary!$B$11*U2690</f>
        <v/>
      </c>
      <c r="P2690">
        <f>IF(B2707=0,0,O2690/B2707)</f>
        <v/>
      </c>
      <c r="Q2690">
        <f>IFERROR(1/(IF(Inputs!$B$38="pvp",15,MAX(0.1,Skills!E24-IF(Skills!F24=TRUE,Inputs!$B$32,0)))*(1-IF(AND(ArtifactsInput!$M$27,Inputs!$B$4="Chapter Hunt"),CHOOSE(ArtifactsInput!$N$27+1,20,24,28,32,36,40),0)/100)),0)</f>
        <v/>
      </c>
      <c r="R2690">
        <f>IF(AND(Inputs!$B$38&lt;&gt;"pvp",Inputs!$B$43&gt;0),IF(MAX(0,Inputs!$B$43-B2704)&lt;=0,0,(INT(MAX(0,Inputs!$B$43-B2704)/(IF(Inputs!$B$38="pvp",15,MAX(0.1,Skills!E24-IF(Skills!F24=TRUE,Inputs!$B$32,0)))*(1-IF(AND(ArtifactsInput!$M$27,Inputs!$B$4="Chapter Hunt"),CHOOSE(ArtifactsInput!$N$27+1,20,24,28,32,36,40),0)/100)))+1)),0)</f>
        <v/>
      </c>
      <c r="S2690">
        <f>IF(C2690,(H2690*N2690*IF(AND(Inputs!$B$38&lt;&gt;"pvp",Inputs!$B$43&gt;0),((Skills!G24*((R2690-1)*IF(Skills!H24&gt;0,Skills!I24/Skills!H24,1)+IF(Skills!H24&gt;0,MIN(Skills!I24,MAX(0,MAX(0,Inputs!$B$43-B2704)-((R2690-1)*(IF(Inputs!$B$38="pvp",15,MAX(0.1,Skills!E24-IF(Skills!F24=TRUE,Inputs!$B$32,0)))*(1-IF(AND(ArtifactsInput!$M$27,Inputs!$B$4="Chapter Hunt"),CHOOSE(ArtifactsInput!$N$27+1,20,24,28,32,36,40),0)/100)))))/Skills!H24,1)))/Inputs!$B$43),G2690*Q2690)*(1+IF(Inputs!$B$3&gt;=130,0.2*(Skills!I16/Skills!E15+IF(Inputs!$B$3&gt;=126,0.05*(B2702+Q2679+(H2680*B2703)/(1+Skills!H14*H2680*B2703)+Q2690)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2690*(1-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2690*(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2690*(1-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2690*(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90">
        <f>IF(C2690,(H2690*N2690*IF(AND(Inputs!$B$38&lt;&gt;"pvp",Inputs!$B$43&gt;0),((Skills!G24*((R2690-1)*IF(Skills!H24&gt;0,Skills!I24/Skills!H24,1)+IF(Skills!H24&gt;0,MIN(Skills!I24,MAX(0,MAX(0,Inputs!$B$43-B2704)-((R2690-1)*(IF(Inputs!$B$38="pvp",15,MAX(0.1,Skills!E24-IF(Skills!F24=TRUE,Inputs!$B$32,0)))*(1-IF(AND(ArtifactsInput!$M$27,Inputs!$B$4="Chapter Hunt"),CHOOSE(ArtifactsInput!$N$27+1,20,24,28,32,36,40),0)/100)))))/Skills!H24,1)))/Inputs!$B$43),G2690*Q2690)*(1+IF(Inputs!$B$3&gt;=130,0.2*(Skills!I16/Skills!E15+IF(Inputs!$B$3&gt;=126,0.05*(B2702+Q2679+(H2680*B2703)/(1+Skills!H14*H2680*B2703)+Q2690),0)*Skills!I16),0)))*IF(Inputs!$B$38="pvp",1,(1+(Inputs!$B$21+Skills!Q24+(IF(ArtifactsInput!$M$33,CHOOSE(ArtifactsInput!$N$33+1,30,36,42,48,54,60),0)))/100)*(MIN(Skills!R24,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1">
      <c r="A2691">
        <f>Skills!A25</f>
        <v/>
      </c>
      <c r="B2691">
        <f>Skills!B25</f>
        <v/>
      </c>
      <c r="C2691">
        <f>Inputs!$B$3&gt;=117</f>
        <v/>
      </c>
      <c r="D2691">
        <f>IF(Skills!C25=1,60+Inputs!$B$25+Inputs!$B$29,IF(Skills!C25=2,90+Inputs!$B$26+Inputs!$B$29,IF(Skills!C25=3,120+Inputs!$B$27+Inputs!$B$29,MAX(0,(Inputs!$B$3-100)*3)+Inputs!$B$28+Inputs!$B$29)))</f>
        <v/>
      </c>
      <c r="E2691">
        <f>INDEX(FactorTable!$B$2:$Y$301, MATCH(ROUND(MIN(300,MAX(1,D2691)),0), FactorTable!$A$2:$A$301,0), Skills!M25+1)</f>
        <v/>
      </c>
      <c r="F2691">
        <f>IF(Skills!N25=TRUE,(Skills!L25/10)*(E2691/1000),Skills!L25/10)+Skills!O25</f>
        <v/>
      </c>
      <c r="G2691">
        <f>Calc!G25</f>
        <v/>
      </c>
      <c r="H2691">
        <f>Calc!H25</f>
        <v/>
      </c>
      <c r="I2691">
        <f>IF(Skills!X25&lt;&gt;"",1+(Skills!X25/10)*(Z2669/1000)/100,1)</f>
        <v/>
      </c>
      <c r="J2691" t="inlineStr"/>
      <c r="K2691" t="inlineStr"/>
      <c r="L2691" t="inlineStr"/>
      <c r="M2691" t="inlineStr"/>
      <c r="N2691" t="inlineStr"/>
      <c r="O2691">
        <f>(1-Summary!$B$11)*S2691+Summary!$B$11*U2691</f>
        <v/>
      </c>
      <c r="P2691">
        <f>IF(B2707=0,0,O2691/B2707)</f>
        <v/>
      </c>
      <c r="Q2691">
        <f>IFERROR(1/(IF(Inputs!$B$38="pvp",15,MAX(0.1,Skills!E25-IF(Skills!F25=TRUE,Inputs!$B$32,0)))*(1-IF(AND(ArtifactsInput!$M$27,Inputs!$B$4="Chapter Hunt"),CHOOSE(ArtifactsInput!$N$27+1,20,24,28,32,36,40),0)/100)),0)</f>
        <v/>
      </c>
      <c r="R2691" t="n">
        <v>0</v>
      </c>
      <c r="S2691" t="n">
        <v>0</v>
      </c>
      <c r="U2691" t="n">
        <v>0</v>
      </c>
    </row>
    <row r="2692">
      <c r="A2692">
        <f>Skills!A26</f>
        <v/>
      </c>
      <c r="B2692">
        <f>Skills!B26</f>
        <v/>
      </c>
      <c r="C2692">
        <f>Inputs!$B$3&gt;=120</f>
        <v/>
      </c>
      <c r="D2692">
        <f>IF(Skills!C26=1,60+Inputs!$B$25+Inputs!$B$29,IF(Skills!C26=2,90+Inputs!$B$26+Inputs!$B$29,IF(Skills!C26=3,120+Inputs!$B$27+Inputs!$B$29,MAX(0,(Inputs!$B$3-100)*3)+Inputs!$B$28+Inputs!$B$29)))</f>
        <v/>
      </c>
      <c r="E2692">
        <f>INDEX(FactorTable!$B$2:$Y$301, MATCH(ROUND(MIN(300,MAX(1,D2692)),0), FactorTable!$A$2:$A$301,0), Skills!M26+1)</f>
        <v/>
      </c>
      <c r="F2692">
        <f>IF(Skills!N26=TRUE,(Skills!L26/10)*(E2692/1000),Skills!L26/10)+Skills!O26</f>
        <v/>
      </c>
      <c r="G2692">
        <f>Calc!G26</f>
        <v/>
      </c>
      <c r="H2692">
        <f>Calc!H26</f>
        <v/>
      </c>
      <c r="I2692">
        <f>IF(Skills!X26&lt;&gt;"",1+(Skills!X26/10)*(Z2669/1000)/100,1)</f>
        <v/>
      </c>
      <c r="J2692" t="inlineStr"/>
      <c r="K2692" t="inlineStr"/>
      <c r="L2692" t="inlineStr"/>
      <c r="M2692" t="inlineStr"/>
      <c r="N2692" t="inlineStr"/>
      <c r="O2692">
        <f>(1-Summary!$B$11)*S2692+Summary!$B$11*U2692</f>
        <v/>
      </c>
      <c r="P2692">
        <f>IF(B2707=0,0,O2692/B2707)</f>
        <v/>
      </c>
      <c r="Q2692">
        <f>IFERROR(1/(IF(Inputs!$B$38="pvp",15,MAX(0.1,Skills!E26-IF(Skills!F26=TRUE,Inputs!$B$32,0)))*(1-IF(AND(ArtifactsInput!$M$27,Inputs!$B$4="Chapter Hunt"),CHOOSE(ArtifactsInput!$N$27+1,20,24,28,32,36,40),0)/100)),0)</f>
        <v/>
      </c>
      <c r="R2692" t="n">
        <v>0</v>
      </c>
      <c r="S2692" t="n">
        <v>0</v>
      </c>
      <c r="U2692" t="n">
        <v>0</v>
      </c>
    </row>
    <row r="2693">
      <c r="A2693">
        <f>Skills!A27</f>
        <v/>
      </c>
      <c r="B2693">
        <f>Skills!B27</f>
        <v/>
      </c>
      <c r="C2693">
        <f>Inputs!$B$3&gt;=125</f>
        <v/>
      </c>
      <c r="D2693">
        <f>IF(Skills!C27=1,60+Inputs!$B$25+Inputs!$B$29,IF(Skills!C27=2,90+Inputs!$B$26+Inputs!$B$29,IF(Skills!C27=3,120+Inputs!$B$27+Inputs!$B$29,MAX(0,(Inputs!$B$3-100)*3)+Inputs!$B$28+Inputs!$B$29)))</f>
        <v/>
      </c>
      <c r="E2693">
        <f>INDEX(FactorTable!$B$2:$Y$301, MATCH(ROUND(MIN(300,MAX(1,D2693)),0), FactorTable!$A$2:$A$301,0), Skills!M27+1)</f>
        <v/>
      </c>
      <c r="F2693">
        <f>IF(Skills!N27=TRUE,(Skills!L27/10)*(E2693/1000),Skills!L27/10)+Skills!O27</f>
        <v/>
      </c>
      <c r="G2693">
        <f>Calc!G27</f>
        <v/>
      </c>
      <c r="H2693">
        <f>Calc!H27</f>
        <v/>
      </c>
      <c r="I2693">
        <f>IF(Skills!X27&lt;&gt;"",1+(Skills!X27/10)*(Z2669/1000)/100,1)</f>
        <v/>
      </c>
      <c r="J2693" t="inlineStr"/>
      <c r="K2693" t="inlineStr"/>
      <c r="L2693" t="inlineStr"/>
      <c r="M2693" t="inlineStr"/>
      <c r="N2693" t="inlineStr"/>
      <c r="O2693">
        <f>(1-Summary!$B$11)*S2693+Summary!$B$11*U2693</f>
        <v/>
      </c>
      <c r="P2693">
        <f>IF(B2707=0,0,O2693/B2707)</f>
        <v/>
      </c>
      <c r="Q2693">
        <f>IFERROR(1/(IF(Inputs!$B$38="pvp",15,MAX(0.1,Skills!E27-IF(Skills!F27=TRUE,Inputs!$B$32,0)))*(1-IF(AND(ArtifactsInput!$M$27,Inputs!$B$4="Chapter Hunt"),CHOOSE(ArtifactsInput!$N$27+1,20,24,28,32,36,40),0)/100)),0)</f>
        <v/>
      </c>
      <c r="R2693" t="n">
        <v>0</v>
      </c>
      <c r="S2693" t="n">
        <v>0</v>
      </c>
      <c r="U2693" t="n">
        <v>0</v>
      </c>
    </row>
    <row r="2694">
      <c r="A2694">
        <f>Skills!A28</f>
        <v/>
      </c>
      <c r="B2694">
        <f>Skills!B28</f>
        <v/>
      </c>
      <c r="C2694">
        <f>Inputs!$B$3&gt;=118</f>
        <v/>
      </c>
      <c r="D2694">
        <f>IF(Skills!C28=1,60+Inputs!$B$25+Inputs!$B$29,IF(Skills!C28=2,90+Inputs!$B$26+Inputs!$B$29,IF(Skills!C28=3,120+Inputs!$B$27+Inputs!$B$29,MAX(0,(Inputs!$B$3-100)*3)+Inputs!$B$28+Inputs!$B$29)))</f>
        <v/>
      </c>
      <c r="E2694">
        <f>INDEX(FactorTable!$B$2:$Y$301, MATCH(ROUND(MIN(300,MAX(1,D2694)),0), FactorTable!$A$2:$A$301,0), Skills!M28+1)</f>
        <v/>
      </c>
      <c r="F2694">
        <f>IF(Skills!N28=TRUE,(Skills!L28/10)*(E2694/1000),Skills!L28/10)+Skills!O28</f>
        <v/>
      </c>
      <c r="G2694">
        <f>Calc!G28</f>
        <v/>
      </c>
      <c r="H2694">
        <f>Calc!H28</f>
        <v/>
      </c>
      <c r="I2694">
        <f>IF(Skills!X28&lt;&gt;"",1+(Skills!X28/10)*(Z2669/1000)/100,1)</f>
        <v/>
      </c>
      <c r="J2694">
        <f>((Inputs!$B$6*(1+Inputs!$B$7/100))+(((Inputs!$B$12*(1+Inputs!$B$13/100))-(Inputs!$B$12*(1+Inputs!$B$13/100)))+0.25*(Inputs!$B$14-Inputs!$B$14))*(1+Inputs!$B$7/100))*(F2694/100)</f>
        <v/>
      </c>
      <c r="K2694">
        <f>J2694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2689/100)*(1+IF(Inputs!$B$3&gt;=120,F2692,0)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2693*5,0)))/100)*(B2696*B2697*B2698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2694)</f>
        <v/>
      </c>
      <c r="L2694">
        <f>K2694*(MIN(Inputs!$B$22+(F2688-Calc!F22),(Inputs!$B$23+(IF(ArtifactsInput!$M$15,CHOOSE(ArtifactsInput!$N$15+1,25,30,35,40,45,50)/100*(Inputs!$B$11-Inputs!$B$11),0))))/100+(Inputs!$B$23+(IF(ArtifactsInput!$M$15,CHOOSE(ArtifactsInput!$N$15+1,25,30,35,40,45,50)/100*(Inputs!$B$11-Inputs!$B$11),0)))/100)/2</f>
        <v/>
      </c>
      <c r="M2694">
        <f>L2694*(1+(Inputs!$B$10+(F2687-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4">
        <f>L2694*(1-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2694*(MIN((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4">
        <f>(1-Summary!$B$11)*S2694+Summary!$B$11*U2694</f>
        <v/>
      </c>
      <c r="P2694">
        <f>IF(B2707=0,0,O2694/B2707)</f>
        <v/>
      </c>
      <c r="Q2694">
        <f>IFERROR(1/(IF(Inputs!$B$38="pvp",15,MAX(0.1,Skills!E28-IF(Skills!F28=TRUE,Inputs!$B$32,0)))*(1-IF(AND(ArtifactsInput!$M$27,Inputs!$B$4="Chapter Hunt"),CHOOSE(ArtifactsInput!$N$27+1,20,24,28,32,36,40),0)/100)),0)</f>
        <v/>
      </c>
      <c r="R2694">
        <f>IF(AND(Inputs!$B$38&lt;&gt;"pvp",Inputs!$B$43&gt;0),IF(MAX(0,Inputs!$B$43-B2704)&lt;=0,0,(INT(MAX(0,Inputs!$B$43-B2704)/(IF(Inputs!$B$38="pvp",15,MAX(0.1,Skills!E28-IF(Skills!F28=TRUE,Inputs!$B$32,0)))*(1-IF(AND(ArtifactsInput!$M$27,Inputs!$B$4="Chapter Hunt"),CHOOSE(ArtifactsInput!$N$27+1,20,24,28,32,36,40),0)/100)))+1)),0)</f>
        <v/>
      </c>
      <c r="S2694">
        <f>IF(C2694,(H2694*N2694*IF(AND(Inputs!$B$38&lt;&gt;"pvp",Inputs!$B$43&gt;0),((Skills!G28*((R2694-1)*IF(Skills!H28&gt;0,Skills!I28/Skills!H28,1)+IF(Skills!H28&gt;0,MIN(Skills!I28,MAX(0,MAX(0,Inputs!$B$43-B2704)-((R2694-1)*(IF(Inputs!$B$38="pvp",15,MAX(0.1,Skills!E28-IF(Skills!F28=TRUE,Inputs!$B$32,0)))*(1-IF(AND(ArtifactsInput!$M$27,Inputs!$B$4="Chapter Hunt"),CHOOSE(ArtifactsInput!$N$27+1,20,24,28,32,36,40),0)/100)))))/Skills!H28,1)))/Inputs!$B$43),G2694*Q2694)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2694*(1-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2694*(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2694*(1-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2694*(MIN(100,(Inputs!$B$9+(F2686-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94">
        <f>IF(C2694,(H2694*N2694*IF(AND(Inputs!$B$38&lt;&gt;"pvp",Inputs!$B$43&gt;0),((Skills!G28*((R2694-1)*IF(Skills!H28&gt;0,Skills!I28/Skills!H28,1)+IF(Skills!H28&gt;0,MIN(Skills!I28,MAX(0,MAX(0,Inputs!$B$43-B2704)-((R2694-1)*(IF(Inputs!$B$38="pvp",15,MAX(0.1,Skills!E28-IF(Skills!F28=TRUE,Inputs!$B$32,0)))*(1-IF(AND(ArtifactsInput!$M$27,Inputs!$B$4="Chapter Hunt"),CHOOSE(ArtifactsInput!$N$27+1,20,24,28,32,36,40),0)/100)))))/Skills!H28,1)))/Inputs!$B$43),G2694*Q2694))*IF(Inputs!$B$38="pvp",1,(1+(Inputs!$B$21+Skills!Q28+(IF(ArtifactsInput!$M$33,CHOOSE(ArtifactsInput!$N$33+1,30,36,42,48,54,60),0)))/100)*(MIN(Skills!R28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6">
      <c r="A2696" t="inlineStr">
        <is>
          <t>Burning Magic Multiplier</t>
        </is>
      </c>
      <c r="B2696">
        <f>1+(F2677*Skills!Z11)/100</f>
        <v/>
      </c>
    </row>
    <row r="2697">
      <c r="A2697" t="inlineStr">
        <is>
          <t>Elemental Decrease Multiplier (always-on)</t>
        </is>
      </c>
      <c r="B2697">
        <f>1+(F2678+(IF(AND(ArtifactsInput!$M$35,Inputs!$B$4&lt;&gt;"Chapter Hunt"),CHOOSE(ArtifactsInput!$N$35+1,15,18,21,24,27,30)*(1-EXP(-(0.2*B2700)*5)),0)+IF(AND(ArtifactsInput!$M$22,Inputs!$B$4&lt;&gt;"Chapter Hunt"),CHOOSE(ArtifactsInput!$N$22+1,10,12,14,16,18,20)*((0*(((0.15*B2700*5))^0/1)+1*(((0.15*B2700*5))^1/1)+2*(((0.15*B2700*5))^2/2)+3*(((0.15*B2700*5))^3/6)+4*(((0.15*B2700*5))^4/24)+5*(((0.15*B2700*5))^5/120))/((((0.15*B2700*5))^0/1)+(((0.15*B2700*5))^1/1)+(((0.15*B2700*5))^2/2)+(((0.15*B2700*5))^3/6)+(((0.15*B2700*5))^4/24)+(((0.15*B2700*5))^5/120))),0)))/100</f>
        <v/>
      </c>
    </row>
    <row r="2698">
      <c r="A2698" t="inlineStr">
        <is>
          <t>Average Buff Multiplier (Magic Guard + Meditation + Artifact Attack%, summed; then Infinity)</t>
        </is>
      </c>
      <c r="B2698">
        <f>(1+(F2672*IF(AND(Inputs!$B$38&lt;&gt;"pvp",Inputs!$B$43&gt;0),(((R2672-1)*(Skills!T6*(1+((Inputs!$B$34+(ArtifactsInput!$M$7-ArtifactsInput!$M$7)*CHOOSE(ArtifactsInput!$N$7+1,6,7.2,8.4,9.6,10.8,12)))/100))+MIN((Skills!T6*(1+((Inputs!$B$34+(ArtifactsInput!$M$7-ArtifactsInput!$M$7)*CHOOSE(ArtifactsInput!$N$7+1,6,7.2,8.4,9.6,10.8,12)))/100)),MAX(0,Inputs!$B$43-((R2672-1)*Skills!E6))))/Inputs!$B$43),IF(Inputs!$B$38="pvp",MIN((Skills!T6*(1+((Inputs!$B$34+(ArtifactsInput!$M$7-ArtifactsInput!$M$7)*CHOOSE(ArtifactsInput!$N$7+1,6,7.2,8.4,9.6,10.8,12)))/100)),15)/15,(Skills!T6*(1+((Inputs!$B$34+(ArtifactsInput!$M$7-ArtifactsInput!$M$7)*CHOOSE(ArtifactsInput!$N$7+1,6,7.2,8.4,9.6,10.8,12)))/100))/Skills!E6))+F2683*IF(AND(Inputs!$B$38&lt;&gt;"pvp",Inputs!$B$43&gt;0),(((R2683-1)*(Skills!T17*(1+((Inputs!$B$34+(ArtifactsInput!$M$7-ArtifactsInput!$M$7)*CHOOSE(ArtifactsInput!$N$7+1,6,7.2,8.4,9.6,10.8,12)))/100))+MIN((Skills!T17*(1+((Inputs!$B$34+(ArtifactsInput!$M$7-ArtifactsInput!$M$7)*CHOOSE(ArtifactsInput!$N$7+1,6,7.2,8.4,9.6,10.8,12)))/100)),MAX(0,Inputs!$B$43-((R2683-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2685=TRUE,(1+F2685*IF(AND(Inputs!$B$38&lt;&gt;"pvp",Inputs!$B$43&gt;0),(((R2685-1)*(Skills!T19*(1+((Inputs!$B$34+(ArtifactsInput!$M$7-ArtifactsInput!$M$7)*CHOOSE(ArtifactsInput!$N$7+1,6,7.2,8.4,9.6,10.8,12)))/100))+MIN((Skills!T19*(1+((Inputs!$B$34+(ArtifactsInput!$M$7-ArtifactsInput!$M$7)*CHOOSE(ArtifactsInput!$N$7+1,6,7.2,8.4,9.6,10.8,12)))/100)),MAX(0,Inputs!$B$43-((R2685-1)*Skills!E19))))/Inputs!$B$43),IF(Inputs!$B$38="pvp",MIN((Skills!T19*(1+((Inputs!$B$34+(ArtifactsInput!$M$7-ArtifactsInput!$M$7)*CHOOSE(ArtifactsInput!$N$7+1,6,7.2,8.4,9.6,10.8,12)))/100)),15)/15,(Skills!T19*(1+((Inputs!$B$34+(ArtifactsInput!$M$7-ArtifactsInput!$M$7)*CHOOSE(ArtifactsInput!$N$7+1,6,7.2,8.4,9.6,10.8,12)))/100))/Skills!E19))/100),1)</f>
        <v/>
      </c>
    </row>
    <row r="2699">
      <c r="A2699" t="inlineStr">
        <is>
          <t>Attack Speed Buff Bonus % (Nimble Feet, averaged)</t>
        </is>
      </c>
      <c r="B2699">
        <f>F2684*IF(AND(Inputs!$B$38&lt;&gt;"pvp",Inputs!$B$43&gt;0),(((R2684-1)*(Skills!T18*(1+((Inputs!$B$34+(ArtifactsInput!$M$7-ArtifactsInput!$M$7)*CHOOSE(ArtifactsInput!$N$7+1,6,7.2,8.4,9.6,10.8,12)))/100))+MIN((Skills!T18*(1+((Inputs!$B$34+(ArtifactsInput!$M$7-ArtifactsInput!$M$7)*CHOOSE(ArtifactsInput!$N$7+1,6,7.2,8.4,9.6,10.8,12)))/100)),MAX(0,Inputs!$B$43-((R2684-1)*Skills!E18))))/Inputs!$B$43),IF(Inputs!$B$38="pvp",MIN((Skills!T18*(1+((Inputs!$B$34+(ArtifactsInput!$M$7-ArtifactsInput!$M$7)*CHOOSE(ArtifactsInput!$N$7+1,6,7.2,8.4,9.6,10.8,12)))/100)),15)/15,(Skills!T18*(1+((Inputs!$B$34+(ArtifactsInput!$M$7-ArtifactsInput!$M$7)*CHOOSE(ArtifactsInput!$N$7+1,6,7.2,8.4,9.6,10.8,12)))/100))/Skills!E18))</f>
        <v/>
      </c>
    </row>
    <row r="2700">
      <c r="A2700" t="inlineStr">
        <is>
          <t>Actions Per Second</t>
        </is>
      </c>
      <c r="B2700">
        <f>1+MIN(150,150*(1-(1-(Inputs!$B$11+(ArtifactsInput!$M$15-ArtifactsInput!$M$15)*CHOOSE(ArtifactsInput!$N$15+1,8,9.6,11.2,12.8,14.4,16))/150)*(1-B2699/150)))/100</f>
        <v/>
      </c>
    </row>
    <row r="2701">
      <c r="A2701" t="inlineStr">
        <is>
          <t>Skill + Buff Cast Rate</t>
        </is>
      </c>
      <c r="B2701">
        <f>IF(AND(Inputs!$B$38&lt;&gt;"pvp",Inputs!$B$43&gt;0),SUMPRODUCT((Skills!F2:F28=TRUE)*(C2668:C2694=TRUE)*R2668:R2694)/Inputs!$B$43,SUMPRODUCT((Skills!F2:F28=TRUE)*(C2668:C2694=TRUE)*Q2668:Q2694))</f>
        <v/>
      </c>
    </row>
    <row r="2702">
      <c r="A2702" t="inlineStr">
        <is>
          <t>Basic Attacks Per Second</t>
        </is>
      </c>
      <c r="B2702">
        <f>MAX(0,B2700-B2701)</f>
        <v/>
      </c>
    </row>
    <row r="2703">
      <c r="A2703" t="inlineStr">
        <is>
          <t>Meteor Proc — combined trigger cast rate</t>
        </is>
      </c>
      <c r="B2703">
        <f>IF(AND(Inputs!$B$38&lt;&gt;"pvp",Inputs!$B$43&gt;0),SUMPRODUCT((Skills!V2:V28=TRUE)*(C2668:C2694=TRUE)*R2668:R2694*Skills!W2:W28)/Inputs!$B$43,SUMPRODUCT((Skills!V2:V28=TRUE)*(C2668:C2694=TRUE)*Q2668:Q2694*Skills!W2:W28))+B2702</f>
        <v/>
      </c>
    </row>
    <row r="2704">
      <c r="A2704" t="inlineStr">
        <is>
          <t>Buff-Casting Startup Delay (s, fixed-duration only)</t>
        </is>
      </c>
      <c r="B2704">
        <f>IF(AND(Inputs!$B$38&lt;&gt;"pvp",Inputs!$B$43&gt;0),SUMPRODUCT((Skills!T2:T28&gt;0)*(Skills!F2:F28=TRUE)*(C2668:C2694=TRUE))/B2700,0)</f>
        <v/>
      </c>
    </row>
    <row r="2705">
      <c r="A2705" t="inlineStr">
        <is>
          <t>Boss-Only Total DPS (this block's swept value)</t>
        </is>
      </c>
      <c r="B2705">
        <f>SUM(S2668:S2694)</f>
        <v/>
      </c>
    </row>
    <row r="2706">
      <c r="A2706" t="inlineStr">
        <is>
          <t>Normal-Only Total DPS (this block's swept value)</t>
        </is>
      </c>
      <c r="B2706">
        <f>SUM(U2668:U2694)</f>
        <v/>
      </c>
    </row>
    <row r="2707">
      <c r="A2707" s="6" t="inlineStr">
        <is>
          <t>TOTAL DPS</t>
        </is>
      </c>
      <c r="B2707" s="6">
        <f>SUM(O2668:O2694)</f>
        <v/>
      </c>
    </row>
    <row r="2710">
      <c r="A2710" s="6" t="inlineStr">
        <is>
          <t>Stat: Ring of Cycles (Equip)</t>
        </is>
      </c>
    </row>
    <row r="2711">
      <c r="A2711" s="5" t="inlineStr">
        <is>
          <t>Key</t>
        </is>
      </c>
      <c r="B2711" s="5" t="inlineStr">
        <is>
          <t>Name</t>
        </is>
      </c>
      <c r="C2711" s="5" t="inlineStr">
        <is>
          <t>Unlocked</t>
        </is>
      </c>
      <c r="D2711" s="5" t="inlineStr">
        <is>
          <t>InputLevel</t>
        </is>
      </c>
      <c r="E2711" s="5" t="inlineStr">
        <is>
          <t>Factor</t>
        </is>
      </c>
      <c r="F2711" s="5" t="inlineStr">
        <is>
          <t>CoefficientPercent</t>
        </is>
      </c>
      <c r="G2711" s="5" t="inlineStr">
        <is>
          <t>EffectiveHits</t>
        </is>
      </c>
      <c r="H2711" s="5" t="inlineStr">
        <is>
          <t>ProcProbability</t>
        </is>
      </c>
      <c r="I2711" s="5" t="inlineStr">
        <is>
          <t>MapleHeroMultiplier</t>
        </is>
      </c>
      <c r="J2711" s="5" t="inlineStr">
        <is>
          <t>BaseDamage</t>
        </is>
      </c>
      <c r="K2711" s="5" t="inlineStr">
        <is>
          <t>BaseHitDamage</t>
        </is>
      </c>
      <c r="L2711" s="5" t="inlineStr">
        <is>
          <t>NonCritAvg</t>
        </is>
      </c>
      <c r="M2711" s="5" t="inlineStr">
        <is>
          <t>CritAvg</t>
        </is>
      </c>
      <c r="N2711" s="5" t="inlineStr">
        <is>
          <t>ExpectedDamage(perHit)</t>
        </is>
      </c>
      <c r="O2711" s="5" t="inlineStr">
        <is>
          <t>DPS</t>
        </is>
      </c>
      <c r="P2711" s="5" t="inlineStr">
        <is>
          <t>% of Total</t>
        </is>
      </c>
      <c r="R2711" t="inlineStr">
        <is>
          <t>helpers</t>
        </is>
      </c>
    </row>
    <row r="2712">
      <c r="A2712">
        <f>Skills!A2</f>
        <v/>
      </c>
      <c r="B2712">
        <f>Skills!B2</f>
        <v/>
      </c>
      <c r="C2712">
        <f>TRUE</f>
        <v/>
      </c>
      <c r="D2712" t="inlineStr"/>
      <c r="E2712" t="inlineStr"/>
      <c r="F2712">
        <f>T2714+Skills!O2</f>
        <v/>
      </c>
      <c r="G2712">
        <f>Calc!G2</f>
        <v/>
      </c>
      <c r="H2712">
        <f>Calc!H2</f>
        <v/>
      </c>
      <c r="I2712">
        <f>IF(Skills!X2&lt;&gt;"",1+(Skills!X2/10)*(Z2713/1000)/100,1)</f>
        <v/>
      </c>
      <c r="J2712">
        <f>((Inputs!$B$6*(1+Inputs!$B$7/100))+(((Inputs!$B$12*(1+Inputs!$B$13/100))-(Inputs!$B$12*(1+Inputs!$B$13/100)))+0.25*(Inputs!$B$14-Inputs!$B$14))*(1+Inputs!$B$7/100))*(F2712/100)</f>
        <v/>
      </c>
      <c r="K2712">
        <f>J2712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2="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2712)</f>
        <v/>
      </c>
      <c r="L2712">
        <f>K2712*(MIN(Inputs!$B$22+(F2732-Calc!F22),(Inputs!$B$23+(IF(ArtifactsInput!$M$15,CHOOSE(ArtifactsInput!$N$15+1,25,30,35,40,45,50)/100*(Inputs!$B$11-Inputs!$B$11),0))))/100+(Inputs!$B$23+(IF(ArtifactsInput!$M$15,CHOOSE(ArtifactsInput!$N$15+1,25,30,35,40,45,50)/100*(Inputs!$B$11-Inputs!$B$11),0)))/100)/2</f>
        <v/>
      </c>
      <c r="M2712">
        <f>L2712*(1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2">
        <f>L2712*(1-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2712*(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2">
        <f>(1-Summary!$B$11)*S2712+Summary!$B$11*U2712</f>
        <v/>
      </c>
      <c r="P2712">
        <f>IF(B2751=0,0,O2712/B2751)</f>
        <v/>
      </c>
      <c r="Q2712">
        <f>IFERROR(1/(IF(Inputs!$B$38="pvp",15,MAX(0.1,Skills!E2-IF(Skills!F2=TRUE,Inputs!$B$32,0)))*(1-IF(AND(ArtifactsInput!$M$27,Inputs!$B$4="Chapter Hunt"),CHOOSE(ArtifactsInput!$N$27+1,20,24,28,32,36,40),0)/100)),0)</f>
        <v/>
      </c>
      <c r="R2712" t="n">
        <v>0</v>
      </c>
      <c r="S2712">
        <f>(Skills!G2*N2712*B2746)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2712*(1-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2712*(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2712*(1-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2712*(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712">
        <f>MAX(0,(Inputs!$B$3-100)*3)+Inputs!$B$28+Inputs!$B$29</f>
        <v/>
      </c>
      <c r="U2712">
        <f>(Skills!G2*N2712*B2746)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712">
        <f>MAX(0,(Inputs!$B$3-100)*3)+Inputs!$B$28+Inputs!$B$29</f>
        <v/>
      </c>
    </row>
    <row r="2713">
      <c r="A2713">
        <f>Skills!A3</f>
        <v/>
      </c>
      <c r="B2713">
        <f>Skills!B3</f>
        <v/>
      </c>
      <c r="C2713">
        <f>TRUE</f>
        <v/>
      </c>
      <c r="D2713">
        <f>IF(Skills!C3=1,60+Inputs!$B$25+Inputs!$B$29,IF(Skills!C3=2,90+Inputs!$B$26+Inputs!$B$29,IF(Skills!C3=3,120+Inputs!$B$27+Inputs!$B$29,MAX(0,(Inputs!$B$3-100)*3)+Inputs!$B$28+Inputs!$B$29)))</f>
        <v/>
      </c>
      <c r="E2713">
        <f>INDEX(FactorTable!$B$2:$Y$301, MATCH(ROUND(MIN(300,MAX(1,D2713)),0), FactorTable!$A$2:$A$301,0), Skills!M3+1)</f>
        <v/>
      </c>
      <c r="F2713">
        <f>IF(Skills!N3=TRUE,(Skills!L3/10)*(E2713/1000),Skills!L3/10)+Skills!O3</f>
        <v/>
      </c>
      <c r="G2713">
        <f>Calc!G3</f>
        <v/>
      </c>
      <c r="H2713">
        <f>Calc!H3</f>
        <v/>
      </c>
      <c r="I2713">
        <f>IF(Skills!X3&lt;&gt;"",1+(Skills!X3/10)*(Z2713/1000)/100,1)</f>
        <v/>
      </c>
      <c r="J2713">
        <f>((Inputs!$B$6*(1+Inputs!$B$7/100))+(((Inputs!$B$12*(1+Inputs!$B$13/100))-(Inputs!$B$12*(1+Inputs!$B$13/100)))+0.25*(Inputs!$B$14-Inputs!$B$14))*(1+Inputs!$B$7/100))*(F2713/100)</f>
        <v/>
      </c>
      <c r="K2713">
        <f>J2713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3="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2713)</f>
        <v/>
      </c>
      <c r="L2713">
        <f>K2713*(MIN(Inputs!$B$22+(F2732-Calc!F22),(Inputs!$B$23+(IF(ArtifactsInput!$M$15,CHOOSE(ArtifactsInput!$N$15+1,25,30,35,40,45,50)/100*(Inputs!$B$11-Inputs!$B$11),0))))/100+(Inputs!$B$23+(IF(ArtifactsInput!$M$15,CHOOSE(ArtifactsInput!$N$15+1,25,30,35,40,45,50)/100*(Inputs!$B$11-Inputs!$B$11),0)))/100)/2</f>
        <v/>
      </c>
      <c r="M2713">
        <f>L2713*(1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3">
        <f>L2713*(1-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2713*(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3">
        <f>(1-Summary!$B$11)*S2713+Summary!$B$11*U2713</f>
        <v/>
      </c>
      <c r="P2713">
        <f>IF(B2751=0,0,O2713/B2751)</f>
        <v/>
      </c>
      <c r="Q2713">
        <f>IFERROR(1/(IF(Inputs!$B$38="pvp",15,MAX(0.1,Skills!E3-IF(Skills!F3=TRUE,Inputs!$B$32,0)))*(1-IF(AND(ArtifactsInput!$M$27,Inputs!$B$4="Chapter Hunt"),CHOOSE(ArtifactsInput!$N$27+1,20,24,28,32,36,40),0)/100)),0)</f>
        <v/>
      </c>
      <c r="R2713">
        <f>IF(AND(Inputs!$B$38&lt;&gt;"pvp",Inputs!$B$43&gt;0),IF(MAX(0,Inputs!$B$43-B2748)&lt;=0,0,(INT(MAX(0,Inputs!$B$43-B2748)/(IF(Inputs!$B$38="pvp",15,MAX(0.1,Skills!E3-IF(Skills!F3=TRUE,Inputs!$B$32,0)))*(1-IF(AND(ArtifactsInput!$M$27,Inputs!$B$4="Chapter Hunt"),CHOOSE(ArtifactsInput!$N$27+1,20,24,28,32,36,40),0)/100)))+1)),0)</f>
        <v/>
      </c>
      <c r="S2713">
        <f>IF(C2713,(H2713*N2713*IF(AND(Inputs!$B$38&lt;&gt;"pvp",Inputs!$B$43&gt;0),((Skills!G3*((R2713-1)*IF(Skills!H3&gt;0,Skills!I3/Skills!H3,1)+IF(Skills!H3&gt;0,MIN(Skills!I3,MAX(0,MAX(0,Inputs!$B$43-B2748)-((R2713-1)*(IF(Inputs!$B$38="pvp",15,MAX(0.1,Skills!E3-IF(Skills!F3=TRUE,Inputs!$B$32,0)))*(1-IF(AND(ArtifactsInput!$M$27,Inputs!$B$4="Chapter Hunt"),CHOOSE(ArtifactsInput!$N$27+1,20,24,28,32,36,40),0)/100)))))/Skills!H3,1)))/Inputs!$B$43),G2713*Q2713)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2713*(1-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2713*(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2713*(1-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2713*(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13">
        <f>INDEX(FactorTable!$B$2:$Y$301, MATCH(ROUND(MIN(300,MAX(1,T2712)),0), FactorTable!$A$2:$A$301,0), 22)</f>
        <v/>
      </c>
      <c r="U2713">
        <f>IF(C2713,(H2713*N2713*IF(AND(Inputs!$B$38&lt;&gt;"pvp",Inputs!$B$43&gt;0),((Skills!G3*((R2713-1)*IF(Skills!H3&gt;0,Skills!I3/Skills!H3,1)+IF(Skills!H3&gt;0,MIN(Skills!I3,MAX(0,MAX(0,Inputs!$B$43-B2748)-((R2713-1)*(IF(Inputs!$B$38="pvp",15,MAX(0.1,Skills!E3-IF(Skills!F3=TRUE,Inputs!$B$32,0)))*(1-IF(AND(ArtifactsInput!$M$27,Inputs!$B$4="Chapter Hunt"),CHOOSE(ArtifactsInput!$N$27+1,20,24,28,32,36,40),0)/100)))))/Skills!H3,1)))/Inputs!$B$43),G2713*Q2713)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713">
        <f>INDEX(FactorTable!$B$2:$Y$301, MATCH(ROUND(MIN(300,MAX(1,Z2712)),0), FactorTable!$A$2:$A$301,0), 24)</f>
        <v/>
      </c>
    </row>
    <row r="2714">
      <c r="A2714">
        <f>Skills!A4</f>
        <v/>
      </c>
      <c r="B2714">
        <f>Skills!B4</f>
        <v/>
      </c>
      <c r="C2714">
        <f>TRUE</f>
        <v/>
      </c>
      <c r="D2714">
        <f>IF(Skills!C4=1,60+Inputs!$B$25+Inputs!$B$29,IF(Skills!C4=2,90+Inputs!$B$26+Inputs!$B$29,IF(Skills!C4=3,120+Inputs!$B$27+Inputs!$B$29,MAX(0,(Inputs!$B$3-100)*3)+Inputs!$B$28+Inputs!$B$29)))</f>
        <v/>
      </c>
      <c r="E2714">
        <f>INDEX(FactorTable!$B$2:$Y$301, MATCH(ROUND(MIN(300,MAX(1,D2714)),0), FactorTable!$A$2:$A$301,0), Skills!M4+1)</f>
        <v/>
      </c>
      <c r="F2714">
        <f>IF(Skills!N4=TRUE,(Skills!L4/10)*(E2714/1000),Skills!L4/10)+Skills!O4</f>
        <v/>
      </c>
      <c r="G2714">
        <f>Calc!G4</f>
        <v/>
      </c>
      <c r="H2714">
        <f>Calc!H4</f>
        <v/>
      </c>
      <c r="I2714">
        <f>IF(Skills!X4&lt;&gt;"",1+(Skills!X4/10)*(Z2713/1000)/100,1)</f>
        <v/>
      </c>
      <c r="J2714">
        <f>((Inputs!$B$6*(1+Inputs!$B$7/100))+(((Inputs!$B$12*(1+Inputs!$B$13/100))-(Inputs!$B$12*(1+Inputs!$B$13/100)))+0.25*(Inputs!$B$14-Inputs!$B$14))*(1+Inputs!$B$7/100))*(F2714/100)</f>
        <v/>
      </c>
      <c r="K2714">
        <f>J2714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4="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2714)</f>
        <v/>
      </c>
      <c r="L2714">
        <f>K2714*(MIN(Inputs!$B$22+(F2732-Calc!F22),(Inputs!$B$23+(IF(ArtifactsInput!$M$15,CHOOSE(ArtifactsInput!$N$15+1,25,30,35,40,45,50)/100*(Inputs!$B$11-Inputs!$B$11),0))))/100+(Inputs!$B$23+(IF(ArtifactsInput!$M$15,CHOOSE(ArtifactsInput!$N$15+1,25,30,35,40,45,50)/100*(Inputs!$B$11-Inputs!$B$11),0)))/100)/2</f>
        <v/>
      </c>
      <c r="M2714">
        <f>L2714*(1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4">
        <f>L2714*(1-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2714*(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4">
        <f>(1-Summary!$B$11)*S2714+Summary!$B$11*U2714</f>
        <v/>
      </c>
      <c r="P2714">
        <f>IF(B2751=0,0,O2714/B2751)</f>
        <v/>
      </c>
      <c r="Q2714">
        <f>IFERROR(1/(IF(Inputs!$B$38="pvp",15,MAX(0.1,Skills!E4-IF(Skills!F4=TRUE,Inputs!$B$32,0)))*(1-IF(AND(ArtifactsInput!$M$27,Inputs!$B$4="Chapter Hunt"),CHOOSE(ArtifactsInput!$N$27+1,20,24,28,32,36,40),0)/100)),0)</f>
        <v/>
      </c>
      <c r="R2714">
        <f>IF(AND(Inputs!$B$38&lt;&gt;"pvp",Inputs!$B$43&gt;0),IF(MAX(0,Inputs!$B$43-B2748)&lt;=0,0,(INT(MAX(0,Inputs!$B$43-B2748)/(IF(Inputs!$B$38="pvp",15,MAX(0.1,Skills!E4-IF(Skills!F4=TRUE,Inputs!$B$32,0)))*(1-IF(AND(ArtifactsInput!$M$27,Inputs!$B$4="Chapter Hunt"),CHOOSE(ArtifactsInput!$N$27+1,20,24,28,32,36,40),0)/100)))+1)),0)</f>
        <v/>
      </c>
      <c r="S2714">
        <f>IF(C2714,(H2714*N2714*IF(AND(Inputs!$B$38&lt;&gt;"pvp",Inputs!$B$43&gt;0),((Skills!G4*((R2714-1)*IF(Skills!H4&gt;0,Skills!I4/Skills!H4,1)+IF(Skills!H4&gt;0,MIN(Skills!I4,MAX(0,MAX(0,Inputs!$B$43-B2748)-((R2714-1)*(IF(Inputs!$B$38="pvp",15,MAX(0.1,Skills!E4-IF(Skills!F4=TRUE,Inputs!$B$32,0)))*(1-IF(AND(ArtifactsInput!$M$27,Inputs!$B$4="Chapter Hunt"),CHOOSE(ArtifactsInput!$N$27+1,20,24,28,32,36,40),0)/100)))))/Skills!H4,1)))/Inputs!$B$43),G2714*Q2714)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2714*(1-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2714*(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2714*(1-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2714*(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14">
        <f>290*T2713/1000</f>
        <v/>
      </c>
      <c r="U2714">
        <f>IF(C2714,(H2714*N2714*IF(AND(Inputs!$B$38&lt;&gt;"pvp",Inputs!$B$43&gt;0),((Skills!G4*((R2714-1)*IF(Skills!H4&gt;0,Skills!I4/Skills!H4,1)+IF(Skills!H4&gt;0,MIN(Skills!I4,MAX(0,MAX(0,Inputs!$B$43-B2748)-((R2714-1)*(IF(Inputs!$B$38="pvp",15,MAX(0.1,Skills!E4-IF(Skills!F4=TRUE,Inputs!$B$32,0)))*(1-IF(AND(ArtifactsInput!$M$27,Inputs!$B$4="Chapter Hunt"),CHOOSE(ArtifactsInput!$N$27+1,20,24,28,32,36,40),0)/100)))))/Skills!H4,1)))/Inputs!$B$43),G2714*Q2714)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5">
      <c r="A2715">
        <f>Skills!A5</f>
        <v/>
      </c>
      <c r="B2715">
        <f>Skills!B5</f>
        <v/>
      </c>
      <c r="C2715">
        <f>TRUE</f>
        <v/>
      </c>
      <c r="D2715">
        <f>IF(Skills!C5=1,60+Inputs!$B$25+Inputs!$B$29,IF(Skills!C5=2,90+Inputs!$B$26+Inputs!$B$29,IF(Skills!C5=3,120+Inputs!$B$27+Inputs!$B$29,MAX(0,(Inputs!$B$3-100)*3)+Inputs!$B$28+Inputs!$B$29)))</f>
        <v/>
      </c>
      <c r="E2715">
        <f>INDEX(FactorTable!$B$2:$Y$301, MATCH(ROUND(MIN(300,MAX(1,D2715)),0), FactorTable!$A$2:$A$301,0), Skills!M5+1)</f>
        <v/>
      </c>
      <c r="F2715">
        <f>IF(Skills!N5=TRUE,(Skills!L5/10)*(E2715/1000),Skills!L5/10)+Skills!O5</f>
        <v/>
      </c>
      <c r="G2715">
        <f>Calc!G5</f>
        <v/>
      </c>
      <c r="H2715">
        <f>Calc!H5</f>
        <v/>
      </c>
      <c r="I2715">
        <f>IF(Skills!X5&lt;&gt;"",1+(Skills!X5/10)*(Z2713/1000)/100,1)</f>
        <v/>
      </c>
      <c r="J2715">
        <f>((Inputs!$B$6*(1+Inputs!$B$7/100))+(((Inputs!$B$12*(1+Inputs!$B$13/100))-(Inputs!$B$12*(1+Inputs!$B$13/100)))+0.25*(Inputs!$B$14-Inputs!$B$14))*(1+Inputs!$B$7/100))*(F2715/100)</f>
        <v/>
      </c>
      <c r="K2715">
        <f>J2715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5="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2715)</f>
        <v/>
      </c>
      <c r="L2715">
        <f>K2715*(MIN(Inputs!$B$22+(F2732-Calc!F22),(Inputs!$B$23+(IF(ArtifactsInput!$M$15,CHOOSE(ArtifactsInput!$N$15+1,25,30,35,40,45,50)/100*(Inputs!$B$11-Inputs!$B$11),0))))/100+(Inputs!$B$23+(IF(ArtifactsInput!$M$15,CHOOSE(ArtifactsInput!$N$15+1,25,30,35,40,45,50)/100*(Inputs!$B$11-Inputs!$B$11),0)))/100)/2</f>
        <v/>
      </c>
      <c r="M2715">
        <f>L2715*(1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5">
        <f>L2715*(1-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2715*(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5">
        <f>(1-Summary!$B$11)*S2715+Summary!$B$11*U2715</f>
        <v/>
      </c>
      <c r="P2715">
        <f>IF(B2751=0,0,O2715/B2751)</f>
        <v/>
      </c>
      <c r="Q2715">
        <f>IFERROR(1/(IF(Inputs!$B$38="pvp",15,MAX(0.1,Skills!E5-IF(Skills!F5=TRUE,Inputs!$B$32,0)))*(1-IF(AND(ArtifactsInput!$M$27,Inputs!$B$4="Chapter Hunt"),CHOOSE(ArtifactsInput!$N$27+1,20,24,28,32,36,40),0)/100)),0)</f>
        <v/>
      </c>
      <c r="R2715">
        <f>IF(AND(Inputs!$B$38&lt;&gt;"pvp",Inputs!$B$43&gt;0),IF(MAX(0,Inputs!$B$43-B2748)&lt;=0,0,(INT(MAX(0,Inputs!$B$43-B2748)/(IF(Inputs!$B$38="pvp",15,MAX(0.1,Skills!E5-IF(Skills!F5=TRUE,Inputs!$B$32,0)))*(1-IF(AND(ArtifactsInput!$M$27,Inputs!$B$4="Chapter Hunt"),CHOOSE(ArtifactsInput!$N$27+1,20,24,28,32,36,40),0)/100)))+1)),0)</f>
        <v/>
      </c>
      <c r="S2715">
        <f>IF(C2715,(H2715*N2715*IF(AND(Inputs!$B$38&lt;&gt;"pvp",Inputs!$B$43&gt;0),((Skills!G5*((R2715-1)*IF(Skills!H5&gt;0,Skills!I5/Skills!H5,1)+IF(Skills!H5&gt;0,MIN(Skills!I5,MAX(0,MAX(0,Inputs!$B$43-B2748)-((R2715-1)*(IF(Inputs!$B$38="pvp",15,MAX(0.1,Skills!E5-IF(Skills!F5=TRUE,Inputs!$B$32,0)))*(1-IF(AND(ArtifactsInput!$M$27,Inputs!$B$4="Chapter Hunt"),CHOOSE(ArtifactsInput!$N$27+1,20,24,28,32,36,40),0)/100)))))/Skills!H5,1)))/Inputs!$B$43),G2715*Q2715)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2715*(1-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2715*(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2715*(1-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2715*(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5">
        <f>IF(C2715,(H2715*N2715*IF(AND(Inputs!$B$38&lt;&gt;"pvp",Inputs!$B$43&gt;0),((Skills!G5*((R2715-1)*IF(Skills!H5&gt;0,Skills!I5/Skills!H5,1)+IF(Skills!H5&gt;0,MIN(Skills!I5,MAX(0,MAX(0,Inputs!$B$43-B2748)-((R2715-1)*(IF(Inputs!$B$38="pvp",15,MAX(0.1,Skills!E5-IF(Skills!F5=TRUE,Inputs!$B$32,0)))*(1-IF(AND(ArtifactsInput!$M$27,Inputs!$B$4="Chapter Hunt"),CHOOSE(ArtifactsInput!$N$27+1,20,24,28,32,36,40),0)/100)))))/Skills!H5,1)))/Inputs!$B$43),G2715*Q2715)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6">
      <c r="A2716">
        <f>Skills!A6</f>
        <v/>
      </c>
      <c r="B2716">
        <f>Skills!B6</f>
        <v/>
      </c>
      <c r="C2716">
        <f>TRUE</f>
        <v/>
      </c>
      <c r="D2716">
        <f>IF(Skills!C6=1,60+Inputs!$B$25+Inputs!$B$29,IF(Skills!C6=2,90+Inputs!$B$26+Inputs!$B$29,IF(Skills!C6=3,120+Inputs!$B$27+Inputs!$B$29,MAX(0,(Inputs!$B$3-100)*3)+Inputs!$B$28+Inputs!$B$29)))</f>
        <v/>
      </c>
      <c r="E2716">
        <f>INDEX(FactorTable!$B$2:$Y$301, MATCH(ROUND(MIN(300,MAX(1,D2716)),0), FactorTable!$A$2:$A$301,0), Skills!M6+1)</f>
        <v/>
      </c>
      <c r="F2716">
        <f>IF(Skills!N6=TRUE,(Skills!L6/10)*(E2716/1000),Skills!L6/10)+Skills!O6</f>
        <v/>
      </c>
      <c r="G2716">
        <f>Calc!G6</f>
        <v/>
      </c>
      <c r="H2716">
        <f>Calc!H6</f>
        <v/>
      </c>
      <c r="I2716">
        <f>IF(Skills!X6&lt;&gt;"",1+(Skills!X6/10)*(Z2713/1000)/100,1)</f>
        <v/>
      </c>
      <c r="J2716" t="inlineStr"/>
      <c r="K2716" t="inlineStr"/>
      <c r="L2716" t="inlineStr"/>
      <c r="M2716" t="inlineStr"/>
      <c r="N2716" t="inlineStr"/>
      <c r="O2716">
        <f>(1-Summary!$B$11)*S2716+Summary!$B$11*U2716</f>
        <v/>
      </c>
      <c r="P2716">
        <f>IF(B2751=0,0,O2716/B2751)</f>
        <v/>
      </c>
      <c r="Q2716">
        <f>IFERROR(1/(IF(Inputs!$B$38="pvp",15,MAX(0.1,Skills!E6-IF(Skills!F6=TRUE,Inputs!$B$32,0)))*(1-IF(AND(ArtifactsInput!$M$27,Inputs!$B$4="Chapter Hunt"),CHOOSE(ArtifactsInput!$N$27+1,20,24,28,32,36,40),0)/100)),0)</f>
        <v/>
      </c>
      <c r="R2716">
        <f>IF(AND(Inputs!$B$38&lt;&gt;"pvp",Inputs!$B$43&gt;0),IF(Inputs!$B$43&lt;=0,0,(INT(Inputs!$B$43/(IF(Inputs!$B$38="pvp",15,MAX(0.1,Skills!E6-IF(Skills!F6=TRUE,Inputs!$B$32,0)))*(1-IF(AND(ArtifactsInput!$M$27,Inputs!$B$4="Chapter Hunt"),CHOOSE(ArtifactsInput!$N$27+1,20,24,28,32,36,40),0)/100)))+1)),0)</f>
        <v/>
      </c>
      <c r="S2716" t="n">
        <v>0</v>
      </c>
      <c r="U2716" t="n">
        <v>0</v>
      </c>
    </row>
    <row r="2717">
      <c r="A2717">
        <f>Skills!A7</f>
        <v/>
      </c>
      <c r="B2717">
        <f>Skills!B7</f>
        <v/>
      </c>
      <c r="C2717">
        <f>TRUE</f>
        <v/>
      </c>
      <c r="D2717">
        <f>IF(Skills!C7=1,60+Inputs!$B$25+Inputs!$B$29,IF(Skills!C7=2,90+Inputs!$B$26+Inputs!$B$29,IF(Skills!C7=3,120+Inputs!$B$27+Inputs!$B$29,MAX(0,(Inputs!$B$3-100)*3)+Inputs!$B$28+Inputs!$B$29)))</f>
        <v/>
      </c>
      <c r="E2717">
        <f>INDEX(FactorTable!$B$2:$Y$301, MATCH(ROUND(MIN(300,MAX(1,D2717)),0), FactorTable!$A$2:$A$301,0), Skills!M7+1)</f>
        <v/>
      </c>
      <c r="F2717">
        <f>IF(Skills!N7=TRUE,(Skills!L7/10)*(E2717/1000),Skills!L7/10)+Skills!O7</f>
        <v/>
      </c>
      <c r="G2717">
        <f>Calc!G7</f>
        <v/>
      </c>
      <c r="H2717">
        <f>Calc!H7</f>
        <v/>
      </c>
      <c r="I2717">
        <f>IF(Skills!X7&lt;&gt;"",1+(Skills!X7/10)*(Z2713/1000)/100,1)</f>
        <v/>
      </c>
      <c r="J2717">
        <f>((Inputs!$B$6*(1+Inputs!$B$7/100))+(((Inputs!$B$12*(1+Inputs!$B$13/100))-(Inputs!$B$12*(1+Inputs!$B$13/100)))+0.25*(Inputs!$B$14-Inputs!$B$14))*(1+Inputs!$B$7/100))*(F2717/100)</f>
        <v/>
      </c>
      <c r="K2717">
        <f>J2717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7="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2717)</f>
        <v/>
      </c>
      <c r="L2717">
        <f>K2717*(MIN(Inputs!$B$22+(F2732-Calc!F22),(Inputs!$B$23+(IF(ArtifactsInput!$M$15,CHOOSE(ArtifactsInput!$N$15+1,25,30,35,40,45,50)/100*(Inputs!$B$11-Inputs!$B$11),0))))/100+(Inputs!$B$23+(IF(ArtifactsInput!$M$15,CHOOSE(ArtifactsInput!$N$15+1,25,30,35,40,45,50)/100*(Inputs!$B$11-Inputs!$B$11),0)))/100)/2</f>
        <v/>
      </c>
      <c r="M2717">
        <f>L2717*(1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7">
        <f>L2717*(1-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2717*(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7">
        <f>(1-Summary!$B$11)*S2717+Summary!$B$11*U2717</f>
        <v/>
      </c>
      <c r="P2717">
        <f>IF(B2751=0,0,O2717/B2751)</f>
        <v/>
      </c>
      <c r="Q2717">
        <f>IFERROR(1/(IF(Inputs!$B$38="pvp",15,MAX(0.1,Skills!E7-IF(Skills!F7=TRUE,Inputs!$B$32,0)))*(1-IF(AND(ArtifactsInput!$M$27,Inputs!$B$4="Chapter Hunt"),CHOOSE(ArtifactsInput!$N$27+1,20,24,28,32,36,40),0)/100)),0)</f>
        <v/>
      </c>
      <c r="R2717">
        <f>IF(AND(Inputs!$B$38&lt;&gt;"pvp",Inputs!$B$43&gt;0),IF(MAX(0,Inputs!$B$43-B2748)&lt;=0,0,(INT(MAX(0,Inputs!$B$43-B2748)/(IF(Inputs!$B$38="pvp",15,MAX(0.1,Skills!E7-IF(Skills!F7=TRUE,Inputs!$B$32,0)))*(1-IF(AND(ArtifactsInput!$M$27,Inputs!$B$4="Chapter Hunt"),CHOOSE(ArtifactsInput!$N$27+1,20,24,28,32,36,40),0)/100)))+1)),0)</f>
        <v/>
      </c>
      <c r="S2717">
        <f>IF(C2717,(H2717*N2717*IF(AND(Inputs!$B$38&lt;&gt;"pvp",Inputs!$B$43&gt;0),((Skills!G7*((R2717-1)*IF(Skills!H7&gt;0,Skills!I7/Skills!H7,1)+IF(Skills!H7&gt;0,MIN(Skills!I7,MAX(0,MAX(0,Inputs!$B$43-B2748)-((R2717-1)*(IF(Inputs!$B$38="pvp",15,MAX(0.1,Skills!E7-IF(Skills!F7=TRUE,Inputs!$B$32,0)))*(1-IF(AND(ArtifactsInput!$M$27,Inputs!$B$4="Chapter Hunt"),CHOOSE(ArtifactsInput!$N$27+1,20,24,28,32,36,40),0)/100)))))/Skills!H7,1)))/Inputs!$B$43),G2717*Q2717)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2717*(1-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2717*(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2717*(1-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2717*(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7">
        <f>IF(C2717,(H2717*N2717*IF(AND(Inputs!$B$38&lt;&gt;"pvp",Inputs!$B$43&gt;0),((Skills!G7*((R2717-1)*IF(Skills!H7&gt;0,Skills!I7/Skills!H7,1)+IF(Skills!H7&gt;0,MIN(Skills!I7,MAX(0,MAX(0,Inputs!$B$43-B2748)-((R2717-1)*(IF(Inputs!$B$38="pvp",15,MAX(0.1,Skills!E7-IF(Skills!F7=TRUE,Inputs!$B$32,0)))*(1-IF(AND(ArtifactsInput!$M$27,Inputs!$B$4="Chapter Hunt"),CHOOSE(ArtifactsInput!$N$27+1,20,24,28,32,36,40),0)/100)))))/Skills!H7,1)))/Inputs!$B$43),G2717*Q2717)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8">
      <c r="A2718">
        <f>Skills!A8</f>
        <v/>
      </c>
      <c r="B2718">
        <f>Skills!B8</f>
        <v/>
      </c>
      <c r="C2718">
        <f>TRUE</f>
        <v/>
      </c>
      <c r="D2718">
        <f>IF(Skills!C8=1,60+Inputs!$B$25+Inputs!$B$29,IF(Skills!C8=2,90+Inputs!$B$26+Inputs!$B$29,IF(Skills!C8=3,120+Inputs!$B$27+Inputs!$B$29,MAX(0,(Inputs!$B$3-100)*3)+Inputs!$B$28+Inputs!$B$29)))</f>
        <v/>
      </c>
      <c r="E2718">
        <f>INDEX(FactorTable!$B$2:$Y$301, MATCH(ROUND(MIN(300,MAX(1,D2718)),0), FactorTable!$A$2:$A$301,0), Skills!M8+1)</f>
        <v/>
      </c>
      <c r="F2718">
        <f>IF(Skills!N8=TRUE,(Skills!L8/10)*(E2718/1000),Skills!L8/10)+Skills!O8</f>
        <v/>
      </c>
      <c r="G2718">
        <f>Calc!G8</f>
        <v/>
      </c>
      <c r="H2718">
        <f>Calc!H8</f>
        <v/>
      </c>
      <c r="I2718">
        <f>IF(Skills!X8&lt;&gt;"",1+(Skills!X8/10)*(Z2713/1000)/100,1)</f>
        <v/>
      </c>
      <c r="J2718">
        <f>((Inputs!$B$6*(1+Inputs!$B$7/100))+(((Inputs!$B$12*(1+Inputs!$B$13/100))-(Inputs!$B$12*(1+Inputs!$B$13/100)))+0.25*(Inputs!$B$14-Inputs!$B$14))*(1+Inputs!$B$7/100))*(F2718/100)</f>
        <v/>
      </c>
      <c r="K2718">
        <f>J2718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8="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2718)</f>
        <v/>
      </c>
      <c r="L2718">
        <f>K2718*(MIN(Inputs!$B$22+(F2732-Calc!F22),(Inputs!$B$23+(IF(ArtifactsInput!$M$15,CHOOSE(ArtifactsInput!$N$15+1,25,30,35,40,45,50)/100*(Inputs!$B$11-Inputs!$B$11),0))))/100+(Inputs!$B$23+(IF(ArtifactsInput!$M$15,CHOOSE(ArtifactsInput!$N$15+1,25,30,35,40,45,50)/100*(Inputs!$B$11-Inputs!$B$11),0)))/100)/2</f>
        <v/>
      </c>
      <c r="M2718">
        <f>L2718*(1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8">
        <f>L2718*(1-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2718*(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8">
        <f>(1-Summary!$B$11)*S2718+Summary!$B$11*U2718</f>
        <v/>
      </c>
      <c r="P2718">
        <f>IF(B2751=0,0,O2718/B2751)</f>
        <v/>
      </c>
      <c r="Q2718">
        <f>IFERROR(1/(IF(Inputs!$B$38="pvp",15,MAX(0.1,Skills!E8-IF(Skills!F8=TRUE,Inputs!$B$32,0)))*(1-IF(AND(ArtifactsInput!$M$27,Inputs!$B$4="Chapter Hunt"),CHOOSE(ArtifactsInput!$N$27+1,20,24,28,32,36,40),0)/100)),0)</f>
        <v/>
      </c>
      <c r="R2718">
        <f>IF(AND(Inputs!$B$38&lt;&gt;"pvp",Inputs!$B$43&gt;0),IF(MAX(0,Inputs!$B$43-B2748)&lt;=0,0,(INT(MAX(0,Inputs!$B$43-B2748)/(IF(Inputs!$B$38="pvp",15,MAX(0.1,Skills!E8-IF(Skills!F8=TRUE,Inputs!$B$32,0)))*(1-IF(AND(ArtifactsInput!$M$27,Inputs!$B$4="Chapter Hunt"),CHOOSE(ArtifactsInput!$N$27+1,20,24,28,32,36,40),0)/100)))+1)),0)</f>
        <v/>
      </c>
      <c r="S2718">
        <f>IF(C2718,(H2718*N2718*IF(AND(Inputs!$B$38&lt;&gt;"pvp",Inputs!$B$43&gt;0),((Skills!G8*((R2718-1)*IF(Skills!H8&gt;0,Skills!I8/Skills!H8,1)+IF(Skills!H8&gt;0,MIN(Skills!I8,MAX(0,MAX(0,Inputs!$B$43-B2748)-((R2718-1)*(IF(Inputs!$B$38="pvp",15,MAX(0.1,Skills!E8-IF(Skills!F8=TRUE,Inputs!$B$32,0)))*(1-IF(AND(ArtifactsInput!$M$27,Inputs!$B$4="Chapter Hunt"),CHOOSE(ArtifactsInput!$N$27+1,20,24,28,32,36,40),0)/100)))))/Skills!H8,1)))/Inputs!$B$43),G2718*Q2718)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2718*(1-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2718*(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2718*(1-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2718*(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8">
        <f>IF(C2718,(H2718*N2718*IF(AND(Inputs!$B$38&lt;&gt;"pvp",Inputs!$B$43&gt;0),((Skills!G8*((R2718-1)*IF(Skills!H8&gt;0,Skills!I8/Skills!H8,1)+IF(Skills!H8&gt;0,MIN(Skills!I8,MAX(0,MAX(0,Inputs!$B$43-B2748)-((R2718-1)*(IF(Inputs!$B$38="pvp",15,MAX(0.1,Skills!E8-IF(Skills!F8=TRUE,Inputs!$B$32,0)))*(1-IF(AND(ArtifactsInput!$M$27,Inputs!$B$4="Chapter Hunt"),CHOOSE(ArtifactsInput!$N$27+1,20,24,28,32,36,40),0)/100)))))/Skills!H8,1)))/Inputs!$B$43),G2718*Q2718)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9">
      <c r="A2719">
        <f>Skills!A9</f>
        <v/>
      </c>
      <c r="B2719">
        <f>Skills!B9</f>
        <v/>
      </c>
      <c r="C2719">
        <f>Inputs!$B$3&gt;=103</f>
        <v/>
      </c>
      <c r="D2719">
        <f>IF(Skills!C9=1,60+Inputs!$B$25+Inputs!$B$29,IF(Skills!C9=2,90+Inputs!$B$26+Inputs!$B$29,IF(Skills!C9=3,120+Inputs!$B$27+Inputs!$B$29,MAX(0,(Inputs!$B$3-100)*3)+Inputs!$B$28+Inputs!$B$29)))</f>
        <v/>
      </c>
      <c r="E2719">
        <f>INDEX(FactorTable!$B$2:$Y$301, MATCH(ROUND(MIN(300,MAX(1,D2719)),0), FactorTable!$A$2:$A$301,0), Skills!M9+1)</f>
        <v/>
      </c>
      <c r="F2719">
        <f>IF(Skills!N9=TRUE,(Skills!L9/10)*(E2719/1000),Skills!L9/10)+Skills!O9</f>
        <v/>
      </c>
      <c r="G2719">
        <f>Calc!G9</f>
        <v/>
      </c>
      <c r="H2719">
        <f>Calc!H9</f>
        <v/>
      </c>
      <c r="I2719">
        <f>IF(Skills!X9&lt;&gt;"",1+(Skills!X9/10)*(Z2713/1000)/100,1)</f>
        <v/>
      </c>
      <c r="J2719">
        <f>((Inputs!$B$6*(1+Inputs!$B$7/100))+(((Inputs!$B$12*(1+Inputs!$B$13/100))-(Inputs!$B$12*(1+Inputs!$B$13/100)))+0.25*(Inputs!$B$14-Inputs!$B$14))*(1+Inputs!$B$7/100))*(F2719/100)</f>
        <v/>
      </c>
      <c r="K2719">
        <f>J2719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9="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2719)</f>
        <v/>
      </c>
      <c r="L2719">
        <f>K2719*(MIN(Inputs!$B$22+(F2732-Calc!F22),(Inputs!$B$23+(IF(ArtifactsInput!$M$15,CHOOSE(ArtifactsInput!$N$15+1,25,30,35,40,45,50)/100*(Inputs!$B$11-Inputs!$B$11),0))))/100+(Inputs!$B$23+(IF(ArtifactsInput!$M$15,CHOOSE(ArtifactsInput!$N$15+1,25,30,35,40,45,50)/100*(Inputs!$B$11-Inputs!$B$11),0)))/100)/2</f>
        <v/>
      </c>
      <c r="M2719">
        <f>L2719*(1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9">
        <f>L2719*(1-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2719*(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9">
        <f>(1-Summary!$B$11)*S2719+Summary!$B$11*U2719</f>
        <v/>
      </c>
      <c r="P2719">
        <f>IF(B2751=0,0,O2719/B2751)</f>
        <v/>
      </c>
      <c r="Q2719">
        <f>IFERROR(1/(IF(Inputs!$B$38="pvp",15,MAX(0.1,Skills!E9-IF(Skills!F7=TRUE,Inputs!$B$32,0)))*(1-IF(AND(ArtifactsInput!$M$27,Inputs!$B$4="Chapter Hunt"),CHOOSE(ArtifactsInput!$N$27+1,20,24,28,32,36,40),0)/100)),0)</f>
        <v/>
      </c>
      <c r="R2719">
        <f>IF(AND(Inputs!$B$38&lt;&gt;"pvp",Inputs!$B$43&gt;0),IF(MAX(0,Inputs!$B$43-B2748)&lt;=0,0,(INT(MAX(0,Inputs!$B$43-B2748)/(IF(Inputs!$B$38="pvp",15,MAX(0.1,Skills!E9-IF(Skills!F7=TRUE,Inputs!$B$32,0)))*(1-IF(AND(ArtifactsInput!$M$27,Inputs!$B$4="Chapter Hunt"),CHOOSE(ArtifactsInput!$N$27+1,20,24,28,32,36,40),0)/100)))+1)),0)</f>
        <v/>
      </c>
      <c r="S2719">
        <f>IF(C2719,(H2719*N2719*IF(AND(Inputs!$B$38&lt;&gt;"pvp",Inputs!$B$43&gt;0),((Skills!G9*((R2719-1)*IF(Skills!H9&gt;0,Skills!I9/Skills!H9,1)+IF(Skills!H9&gt;0,MIN(Skills!I9,MAX(0,MAX(0,Inputs!$B$43-B2748)-((R2719-1)*(IF(Inputs!$B$38="pvp",15,MAX(0.1,Skills!E9-IF(Skills!F7=TRUE,Inputs!$B$32,0)))*(1-IF(AND(ArtifactsInput!$M$27,Inputs!$B$4="Chapter Hunt"),CHOOSE(ArtifactsInput!$N$27+1,20,24,28,32,36,40),0)/100)))))/Skills!H9,1)))/Inputs!$B$43),G2719*Q2719)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2719*(1-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2719*(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2719*(1-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2719*(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9">
        <f>IF(C2719,(H2719*N2719*IF(AND(Inputs!$B$38&lt;&gt;"pvp",Inputs!$B$43&gt;0),((Skills!G9*((R2719-1)*IF(Skills!H9&gt;0,Skills!I9/Skills!H9,1)+IF(Skills!H9&gt;0,MIN(Skills!I9,MAX(0,MAX(0,Inputs!$B$43-B2748)-((R2719-1)*(IF(Inputs!$B$38="pvp",15,MAX(0.1,Skills!E9-IF(Skills!F7=TRUE,Inputs!$B$32,0)))*(1-IF(AND(ArtifactsInput!$M$27,Inputs!$B$4="Chapter Hunt"),CHOOSE(ArtifactsInput!$N$27+1,20,24,28,32,36,40),0)/100)))))/Skills!H9,1)))/Inputs!$B$43),G2719*Q2719)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0">
      <c r="A2720">
        <f>Skills!A10</f>
        <v/>
      </c>
      <c r="B2720">
        <f>Skills!B10</f>
        <v/>
      </c>
      <c r="C2720">
        <f>TRUE</f>
        <v/>
      </c>
      <c r="D2720">
        <f>IF(Skills!C10=1,60+Inputs!$B$25+Inputs!$B$29,IF(Skills!C10=2,90+Inputs!$B$26+Inputs!$B$29,IF(Skills!C10=3,120+Inputs!$B$27+Inputs!$B$29,MAX(0,(Inputs!$B$3-100)*3)+Inputs!$B$28+Inputs!$B$29)))</f>
        <v/>
      </c>
      <c r="E2720">
        <f>INDEX(FactorTable!$B$2:$Y$301, MATCH(ROUND(MIN(300,MAX(1,D2720)),0), FactorTable!$A$2:$A$301,0), Skills!M10+1)</f>
        <v/>
      </c>
      <c r="F2720">
        <f>IF(Skills!N10=TRUE,(Skills!L10/10)*(E2720/1000),Skills!L10/10)+Skills!O10</f>
        <v/>
      </c>
      <c r="G2720">
        <f>Calc!G10</f>
        <v/>
      </c>
      <c r="H2720">
        <f>Calc!H10</f>
        <v/>
      </c>
      <c r="I2720">
        <f>IF(Skills!X10&lt;&gt;"",1+(Skills!X10/10)*(Z2713/1000)/100,1)</f>
        <v/>
      </c>
      <c r="J2720">
        <f>((Inputs!$B$6*(1+Inputs!$B$7/100))+(((Inputs!$B$12*(1+Inputs!$B$13/100))-(Inputs!$B$12*(1+Inputs!$B$13/100)))+0.25*(Inputs!$B$14-Inputs!$B$14))*(1+Inputs!$B$7/100))*(F2720/100)</f>
        <v/>
      </c>
      <c r="K2720">
        <f>J2720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10="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2720)</f>
        <v/>
      </c>
      <c r="L2720">
        <f>K2720*(MIN(Inputs!$B$22+(F2732-Calc!F22),(Inputs!$B$23+(IF(ArtifactsInput!$M$15,CHOOSE(ArtifactsInput!$N$15+1,25,30,35,40,45,50)/100*(Inputs!$B$11-Inputs!$B$11),0))))/100+(Inputs!$B$23+(IF(ArtifactsInput!$M$15,CHOOSE(ArtifactsInput!$N$15+1,25,30,35,40,45,50)/100*(Inputs!$B$11-Inputs!$B$11),0)))/100)/2</f>
        <v/>
      </c>
      <c r="M2720">
        <f>L2720*(1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0">
        <f>L2720*(1-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2720*(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0">
        <f>(1-Summary!$B$11)*S2720+Summary!$B$11*U2720</f>
        <v/>
      </c>
      <c r="P2720">
        <f>IF(B2751=0,0,O2720/B2751)</f>
        <v/>
      </c>
      <c r="Q2720">
        <f>IFERROR(1/(IF(Inputs!$B$38="pvp",15,MAX(0.1,Skills!E10-IF(Skills!F10=TRUE,Inputs!$B$32,0)))*(1-IF(AND(ArtifactsInput!$M$27,Inputs!$B$4="Chapter Hunt"),CHOOSE(ArtifactsInput!$N$27+1,20,24,28,32,36,40),0)/100)),0)</f>
        <v/>
      </c>
      <c r="R2720">
        <f>IF(AND(Inputs!$B$38&lt;&gt;"pvp",Inputs!$B$43&gt;0),IF(MAX(0,Inputs!$B$43-B2748)&lt;=0,0,(INT(MAX(0,Inputs!$B$43-B2748)/(IF(Inputs!$B$38="pvp",15,MAX(0.1,Skills!E10-IF(Skills!F10=TRUE,Inputs!$B$32,0)))*(1-IF(AND(ArtifactsInput!$M$27,Inputs!$B$4="Chapter Hunt"),CHOOSE(ArtifactsInput!$N$27+1,20,24,28,32,36,40),0)/100)))+1)),0)</f>
        <v/>
      </c>
      <c r="S2720">
        <f>IF(C2720,(H2720*N2720*IF(AND(Inputs!$B$38&lt;&gt;"pvp",Inputs!$B$43&gt;0),((Skills!G10*((R2720-1)*IF(Skills!H10&gt;0,Skills!I10/Skills!H10,1)+IF(Skills!H10&gt;0,MIN(Skills!I10,MAX(0,MAX(0,Inputs!$B$43-B2748)-((R2720-1)*(IF(Inputs!$B$38="pvp",15,MAX(0.1,Skills!E10-IF(Skills!F10=TRUE,Inputs!$B$32,0)))*(1-IF(AND(ArtifactsInput!$M$27,Inputs!$B$4="Chapter Hunt"),CHOOSE(ArtifactsInput!$N$27+1,20,24,28,32,36,40),0)/100)))))/Skills!H10,1)))/Inputs!$B$43),G2720*Q2720)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2720*(1-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2720*(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2720*(1-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2720*(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0">
        <f>IF(C2720,(H2720*N2720*IF(AND(Inputs!$B$38&lt;&gt;"pvp",Inputs!$B$43&gt;0),((Skills!G10*((R2720-1)*IF(Skills!H10&gt;0,Skills!I10/Skills!H10,1)+IF(Skills!H10&gt;0,MIN(Skills!I10,MAX(0,MAX(0,Inputs!$B$43-B2748)-((R2720-1)*(IF(Inputs!$B$38="pvp",15,MAX(0.1,Skills!E10-IF(Skills!F10=TRUE,Inputs!$B$32,0)))*(1-IF(AND(ArtifactsInput!$M$27,Inputs!$B$4="Chapter Hunt"),CHOOSE(ArtifactsInput!$N$27+1,20,24,28,32,36,40),0)/100)))))/Skills!H10,1)))/Inputs!$B$43),G2720*Q2720)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1">
      <c r="A2721">
        <f>Skills!A11</f>
        <v/>
      </c>
      <c r="B2721">
        <f>Skills!B11</f>
        <v/>
      </c>
      <c r="C2721">
        <f>TRUE</f>
        <v/>
      </c>
      <c r="D2721">
        <f>IF(Skills!C11=1,60+Inputs!$B$25+Inputs!$B$29,IF(Skills!C11=2,90+Inputs!$B$26+Inputs!$B$29,IF(Skills!C11=3,120+Inputs!$B$27+Inputs!$B$29,MAX(0,(Inputs!$B$3-100)*3)+Inputs!$B$28+Inputs!$B$29)))</f>
        <v/>
      </c>
      <c r="E2721">
        <f>INDEX(FactorTable!$B$2:$Y$301, MATCH(ROUND(MIN(300,MAX(1,D2721)),0), FactorTable!$A$2:$A$301,0), Skills!M11+1)</f>
        <v/>
      </c>
      <c r="F2721">
        <f>IF(Skills!N11=TRUE,(Skills!L11/10)*(E2721/1000),Skills!L11/10)+Skills!O11</f>
        <v/>
      </c>
      <c r="G2721">
        <f>Calc!G11</f>
        <v/>
      </c>
      <c r="H2721">
        <f>Calc!H11</f>
        <v/>
      </c>
      <c r="I2721">
        <f>IF(Skills!X11&lt;&gt;"",1+(Skills!X11/10)*(Z2713/1000)/100,1)</f>
        <v/>
      </c>
      <c r="J2721" t="inlineStr"/>
      <c r="K2721" t="inlineStr"/>
      <c r="L2721" t="inlineStr"/>
      <c r="M2721" t="inlineStr"/>
      <c r="N2721" t="inlineStr"/>
      <c r="O2721">
        <f>(1-Summary!$B$11)*S2721+Summary!$B$11*U2721</f>
        <v/>
      </c>
      <c r="P2721">
        <f>IF(B2751=0,0,O2721/B2751)</f>
        <v/>
      </c>
      <c r="Q2721">
        <f>IFERROR(1/(IF(Inputs!$B$38="pvp",15,MAX(0.1,Skills!E11-IF(Skills!F11=TRUE,Inputs!$B$32,0)))*(1-IF(AND(ArtifactsInput!$M$27,Inputs!$B$4="Chapter Hunt"),CHOOSE(ArtifactsInput!$N$27+1,20,24,28,32,36,40),0)/100)),0)</f>
        <v/>
      </c>
      <c r="R2721" t="n">
        <v>0</v>
      </c>
      <c r="S2721" t="n">
        <v>0</v>
      </c>
      <c r="U2721" t="n">
        <v>0</v>
      </c>
    </row>
    <row r="2722">
      <c r="A2722">
        <f>Skills!A12</f>
        <v/>
      </c>
      <c r="B2722">
        <f>Skills!B12</f>
        <v/>
      </c>
      <c r="C2722">
        <f>TRUE</f>
        <v/>
      </c>
      <c r="D2722">
        <f>IF(Skills!C12=1,60+Inputs!$B$25+Inputs!$B$29,IF(Skills!C12=2,90+Inputs!$B$26+Inputs!$B$29,IF(Skills!C12=3,120+Inputs!$B$27+Inputs!$B$29,MAX(0,(Inputs!$B$3-100)*3)+Inputs!$B$28+Inputs!$B$29)))</f>
        <v/>
      </c>
      <c r="E2722">
        <f>INDEX(FactorTable!$B$2:$Y$301, MATCH(ROUND(MIN(300,MAX(1,D2722)),0), FactorTable!$A$2:$A$301,0), Skills!M12+1)</f>
        <v/>
      </c>
      <c r="F2722">
        <f>IF(Skills!N12=TRUE,(Skills!L12/10)*(E2722/1000),Skills!L12/10)+Skills!O12</f>
        <v/>
      </c>
      <c r="G2722">
        <f>Calc!G12</f>
        <v/>
      </c>
      <c r="H2722">
        <f>Calc!H12</f>
        <v/>
      </c>
      <c r="I2722">
        <f>IF(Skills!X12&lt;&gt;"",1+(Skills!X12/10)*(Z2713/1000)/100,1)</f>
        <v/>
      </c>
      <c r="J2722" t="inlineStr"/>
      <c r="K2722" t="inlineStr"/>
      <c r="L2722" t="inlineStr"/>
      <c r="M2722" t="inlineStr"/>
      <c r="N2722" t="inlineStr"/>
      <c r="O2722">
        <f>(1-Summary!$B$11)*S2722+Summary!$B$11*U2722</f>
        <v/>
      </c>
      <c r="P2722">
        <f>IF(B2751=0,0,O2722/B2751)</f>
        <v/>
      </c>
      <c r="Q2722">
        <f>IFERROR(1/(IF(Inputs!$B$38="pvp",15,MAX(0.1,Skills!E12-IF(Skills!F12=TRUE,Inputs!$B$32,0)))*(1-IF(AND(ArtifactsInput!$M$27,Inputs!$B$4="Chapter Hunt"),CHOOSE(ArtifactsInput!$N$27+1,20,24,28,32,36,40),0)/100)),0)</f>
        <v/>
      </c>
      <c r="R2722" t="n">
        <v>0</v>
      </c>
      <c r="S2722" t="n">
        <v>0</v>
      </c>
      <c r="U2722" t="n">
        <v>0</v>
      </c>
    </row>
    <row r="2723">
      <c r="A2723">
        <f>Skills!A13</f>
        <v/>
      </c>
      <c r="B2723">
        <f>Skills!B13</f>
        <v/>
      </c>
      <c r="C2723">
        <f>Inputs!$B$3&gt;=105</f>
        <v/>
      </c>
      <c r="D2723">
        <f>IF(Skills!C13=1,60+Inputs!$B$25+Inputs!$B$29,IF(Skills!C13=2,90+Inputs!$B$26+Inputs!$B$29,IF(Skills!C13=3,120+Inputs!$B$27+Inputs!$B$29,MAX(0,(Inputs!$B$3-100)*3)+Inputs!$B$28+Inputs!$B$29)))</f>
        <v/>
      </c>
      <c r="E2723">
        <f>INDEX(FactorTable!$B$2:$Y$301, MATCH(ROUND(MIN(300,MAX(1,D2723)),0), FactorTable!$A$2:$A$301,0), Skills!M13+1)</f>
        <v/>
      </c>
      <c r="F2723">
        <f>IF(Skills!N13=TRUE,(Skills!L13/10)*(E2723/1000),Skills!L13/10)+Skills!O13</f>
        <v/>
      </c>
      <c r="G2723">
        <f>Calc!G13</f>
        <v/>
      </c>
      <c r="H2723">
        <f>Calc!H13</f>
        <v/>
      </c>
      <c r="I2723">
        <f>IF(Skills!X13&lt;&gt;"",1+(Skills!X13/10)*(Z2713/1000)/100,1)</f>
        <v/>
      </c>
      <c r="J2723">
        <f>((Inputs!$B$6*(1+Inputs!$B$7/100))+(((Inputs!$B$12*(1+Inputs!$B$13/100))-(Inputs!$B$12*(1+Inputs!$B$13/100)))+0.25*(Inputs!$B$14-Inputs!$B$14))*(1+Inputs!$B$7/100))*(F2723/100)</f>
        <v/>
      </c>
      <c r="K2723">
        <f>J2723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13="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2723)</f>
        <v/>
      </c>
      <c r="L2723">
        <f>K2723*(MIN(Inputs!$B$22+(F2732-Calc!F22),(Inputs!$B$23+(IF(ArtifactsInput!$M$15,CHOOSE(ArtifactsInput!$N$15+1,25,30,35,40,45,50)/100*(Inputs!$B$11-Inputs!$B$11),0))))/100+(Inputs!$B$23+(IF(ArtifactsInput!$M$15,CHOOSE(ArtifactsInput!$N$15+1,25,30,35,40,45,50)/100*(Inputs!$B$11-Inputs!$B$11),0)))/100)/2</f>
        <v/>
      </c>
      <c r="M2723">
        <f>L2723*(1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3">
        <f>L2723*(1-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2723*(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3">
        <f>(1-Summary!$B$11)*S2723+Summary!$B$11*U2723</f>
        <v/>
      </c>
      <c r="P2723">
        <f>IF(B2751=0,0,O2723/B2751)</f>
        <v/>
      </c>
      <c r="Q2723">
        <f>IFERROR(1/(IF(Inputs!$B$38="pvp",15,MAX(0.1,Skills!E13-IF(Skills!F13=TRUE,Inputs!$B$32,0)))*(1-IF(AND(ArtifactsInput!$M$27,Inputs!$B$4="Chapter Hunt"),CHOOSE(ArtifactsInput!$N$27+1,20,24,28,32,36,40),0)/100)),0)</f>
        <v/>
      </c>
      <c r="R2723">
        <f>IF(AND(Inputs!$B$38&lt;&gt;"pvp",Inputs!$B$43&gt;0),IF(MAX(0,Inputs!$B$43-B2748)&lt;=0,0,(INT(MAX(0,Inputs!$B$43-B2748)/(IF(Inputs!$B$38="pvp",15,MAX(0.1,Skills!E13-IF(Skills!F13=TRUE,Inputs!$B$32,0)))*(1-IF(AND(ArtifactsInput!$M$27,Inputs!$B$4="Chapter Hunt"),CHOOSE(ArtifactsInput!$N$27+1,20,24,28,32,36,40),0)/100)))+1)),0)</f>
        <v/>
      </c>
      <c r="S2723">
        <f>IF(C2723,(H2723*N2723*IF(AND(Inputs!$B$38&lt;&gt;"pvp",Inputs!$B$43&gt;0),((Skills!G13*((R2723-1)*IF(Skills!H13&gt;0,Skills!I13/Skills!H13,1)+IF(Skills!H13&gt;0,MIN(Skills!I13,MAX(0,MAX(0,Inputs!$B$43-B2748)-((R2723-1)*(IF(Inputs!$B$38="pvp",15,MAX(0.1,Skills!E13-IF(Skills!F13=TRUE,Inputs!$B$32,0)))*(1-IF(AND(ArtifactsInput!$M$27,Inputs!$B$4="Chapter Hunt"),CHOOSE(ArtifactsInput!$N$27+1,20,24,28,32,36,40),0)/100)))))/Skills!H13,1)))/Inputs!$B$43),G2723*Q2723)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2723*(1-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2723*(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2723*(1-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2723*(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3">
        <f>IF(C2723,(H2723*N2723*IF(AND(Inputs!$B$38&lt;&gt;"pvp",Inputs!$B$43&gt;0),((Skills!G13*((R2723-1)*IF(Skills!H13&gt;0,Skills!I13/Skills!H13,1)+IF(Skills!H13&gt;0,MIN(Skills!I13,MAX(0,MAX(0,Inputs!$B$43-B2748)-((R2723-1)*(IF(Inputs!$B$38="pvp",15,MAX(0.1,Skills!E13-IF(Skills!F13=TRUE,Inputs!$B$32,0)))*(1-IF(AND(ArtifactsInput!$M$27,Inputs!$B$4="Chapter Hunt"),CHOOSE(ArtifactsInput!$N$27+1,20,24,28,32,36,40),0)/100)))))/Skills!H13,1)))/Inputs!$B$43),G2723*Q2723)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4">
      <c r="A2724">
        <f>Skills!A14</f>
        <v/>
      </c>
      <c r="B2724">
        <f>Skills!B14</f>
        <v/>
      </c>
      <c r="C2724">
        <f>Inputs!$B$3&gt;=113</f>
        <v/>
      </c>
      <c r="D2724">
        <f>IF(Skills!C14=1,60+Inputs!$B$25+Inputs!$B$29,IF(Skills!C14=2,90+Inputs!$B$26+Inputs!$B$29,IF(Skills!C14=3,120+Inputs!$B$27+Inputs!$B$29,MAX(0,(Inputs!$B$3-100)*3)+Inputs!$B$28+Inputs!$B$29)))</f>
        <v/>
      </c>
      <c r="E2724">
        <f>INDEX(FactorTable!$B$2:$Y$301, MATCH(ROUND(MIN(300,MAX(1,D2724)),0), FactorTable!$A$2:$A$301,0), Skills!M14+1)</f>
        <v/>
      </c>
      <c r="F2724">
        <f>IF(Skills!N14=TRUE,(Skills!L14/10)*(E2724/1000),Skills!L14/10)+Skills!O14</f>
        <v/>
      </c>
      <c r="G2724">
        <f>Calc!G14</f>
        <v/>
      </c>
      <c r="H2724">
        <f>Calc!H14</f>
        <v/>
      </c>
      <c r="I2724">
        <f>IF(Skills!X14&lt;&gt;"",1+(Skills!X14/10)*(Z2713/1000)/100,1)</f>
        <v/>
      </c>
      <c r="J2724">
        <f>((Inputs!$B$6*(1+Inputs!$B$7/100))+(((Inputs!$B$12*(1+Inputs!$B$13/100))-(Inputs!$B$12*(1+Inputs!$B$13/100)))+0.25*(Inputs!$B$14-Inputs!$B$14))*(1+Inputs!$B$7/100))*(F2724/100)</f>
        <v/>
      </c>
      <c r="K2724">
        <f>J2724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14="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2724)</f>
        <v/>
      </c>
      <c r="L2724">
        <f>K2724*(MIN(Inputs!$B$22+(F2732-Calc!F22),(Inputs!$B$23+(IF(ArtifactsInput!$M$15,CHOOSE(ArtifactsInput!$N$15+1,25,30,35,40,45,50)/100*(Inputs!$B$11-Inputs!$B$11),0))))/100+(Inputs!$B$23+(IF(ArtifactsInput!$M$15,CHOOSE(ArtifactsInput!$N$15+1,25,30,35,40,45,50)/100*(Inputs!$B$11-Inputs!$B$11),0)))/100)/2</f>
        <v/>
      </c>
      <c r="M2724">
        <f>L2724*(1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4">
        <f>L2724*(1-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2724*(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4">
        <f>(1-Summary!$B$11)*S2724+Summary!$B$11*U2724</f>
        <v/>
      </c>
      <c r="P2724">
        <f>IF(B2751=0,0,O2724/B2751)</f>
        <v/>
      </c>
      <c r="Q2724">
        <f>IFERROR(1/(IF(Inputs!$B$38="pvp",15,MAX(0.1,Skills!E14-IF(Skills!F14=TRUE,Inputs!$B$32,0)))*(1-IF(AND(ArtifactsInput!$M$27,Inputs!$B$4="Chapter Hunt"),CHOOSE(ArtifactsInput!$N$27+1,20,24,28,32,36,40),0)/100)),0)</f>
        <v/>
      </c>
      <c r="R2724" t="n">
        <v>0</v>
      </c>
      <c r="S2724">
        <f>IF(C2724,((H2724*B2747)/(1+Skills!H14*H2724*B2747)*N2724)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2724*(1-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2724*(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2724*(1-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2724*(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4">
        <f>IF(C2724,((H2724*B2747)/(1+Skills!H14*H2724*B2747)*N2724)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5">
      <c r="A2725">
        <f>Skills!A15</f>
        <v/>
      </c>
      <c r="B2725">
        <f>Skills!B15</f>
        <v/>
      </c>
      <c r="C2725">
        <f>Inputs!$B$3&gt;=107</f>
        <v/>
      </c>
      <c r="D2725">
        <f>IF(Skills!C15=1,60+Inputs!$B$25+Inputs!$B$29,IF(Skills!C15=2,90+Inputs!$B$26+Inputs!$B$29,IF(Skills!C15=3,120+Inputs!$B$27+Inputs!$B$29,MAX(0,(Inputs!$B$3-100)*3)+Inputs!$B$28+Inputs!$B$29)))</f>
        <v/>
      </c>
      <c r="E2725">
        <f>INDEX(FactorTable!$B$2:$Y$301, MATCH(ROUND(MIN(300,MAX(1,D2725)),0), FactorTable!$A$2:$A$301,0), Skills!M15+1)</f>
        <v/>
      </c>
      <c r="F2725">
        <f>IF(Skills!N15=TRUE,(Skills!L15/10)*(E2725/1000),Skills!L15/10)+Skills!O15</f>
        <v/>
      </c>
      <c r="G2725">
        <f>Calc!G15</f>
        <v/>
      </c>
      <c r="H2725">
        <f>Calc!H15</f>
        <v/>
      </c>
      <c r="I2725">
        <f>IF(Skills!X15&lt;&gt;"",1+(Skills!X15/10)*(Z2713/1000)/100,1)</f>
        <v/>
      </c>
      <c r="J2725">
        <f>((Inputs!$B$6*(1+Inputs!$B$7/100))+(((Inputs!$B$12*(1+Inputs!$B$13/100))-(Inputs!$B$12*(1+Inputs!$B$13/100)))+0.25*(Inputs!$B$14-Inputs!$B$14))*(1+Inputs!$B$7/100))*(F2725/100)</f>
        <v/>
      </c>
      <c r="K2725">
        <f>J2725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15="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2725)</f>
        <v/>
      </c>
      <c r="L2725">
        <f>K2725*(MIN(Inputs!$B$22+(F2732-Calc!F22),(Inputs!$B$23+(IF(ArtifactsInput!$M$15,CHOOSE(ArtifactsInput!$N$15+1,25,30,35,40,45,50)/100*(Inputs!$B$11-Inputs!$B$11),0))))/100+(Inputs!$B$23+(IF(ArtifactsInput!$M$15,CHOOSE(ArtifactsInput!$N$15+1,25,30,35,40,45,50)/100*(Inputs!$B$11-Inputs!$B$11),0)))/100)/2</f>
        <v/>
      </c>
      <c r="M2725">
        <f>L2725*(1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5">
        <f>L2725*(1-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2725*(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5">
        <f>(1-Summary!$B$11)*S2725+Summary!$B$11*U2725</f>
        <v/>
      </c>
      <c r="P2725">
        <f>IF(B2751=0,0,O2725/B2751)</f>
        <v/>
      </c>
      <c r="Q2725">
        <f>IFERROR(1/(IF(Inputs!$B$38="pvp",15,MAX(0.1,Skills!E15-IF(Skills!F15=TRUE,Inputs!$B$32,0)))*(1-IF(AND(ArtifactsInput!$M$27,Inputs!$B$4="Chapter Hunt"),CHOOSE(ArtifactsInput!$N$27+1,20,24,28,32,36,40),0)/100)),0)</f>
        <v/>
      </c>
      <c r="R2725">
        <f>IF(AND(Inputs!$B$38&lt;&gt;"pvp",Inputs!$B$43&gt;0),IF(MAX(0,Inputs!$B$43-B2748)&lt;=0,0,(INT(MAX(0,Inputs!$B$43-B2748)/(IF(Inputs!$B$38="pvp",15,MAX(0.1,Skills!E15-IF(Skills!F15=TRUE,Inputs!$B$32,0)))*(1-IF(AND(ArtifactsInput!$M$27,Inputs!$B$4="Chapter Hunt"),CHOOSE(ArtifactsInput!$N$27+1,20,24,28,32,36,40),0)/100)))+1)),0)</f>
        <v/>
      </c>
      <c r="S2725">
        <f>IF(C2725,(H2725*N2725*IF(AND(Inputs!$B$38&lt;&gt;"pvp",Inputs!$B$43&gt;0),((Skills!G15*((R2725-1)*IF(Skills!H15&gt;0,Skills!I15/Skills!H15,1)+IF(Skills!H15&gt;0,MIN(Skills!I15,MAX(0,MAX(0,Inputs!$B$43-B2748)-((R2725-1)*(IF(Inputs!$B$38="pvp",15,MAX(0.1,Skills!E15-IF(Skills!F15=TRUE,Inputs!$B$32,0)))*(1-IF(AND(ArtifactsInput!$M$27,Inputs!$B$4="Chapter Hunt"),CHOOSE(ArtifactsInput!$N$27+1,20,24,28,32,36,40),0)/100)))))/Skills!H15,1)))/Inputs!$B$43),G2725*Q2725)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2725*(1-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2725*(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2725*(1-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2725*(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5">
        <f>IF(C2725,(H2725*N2725*IF(AND(Inputs!$B$38&lt;&gt;"pvp",Inputs!$B$43&gt;0),((Skills!G15*((R2725-1)*IF(Skills!H15&gt;0,Skills!I15/Skills!H15,1)+IF(Skills!H15&gt;0,MIN(Skills!I15,MAX(0,MAX(0,Inputs!$B$43-B2748)-((R2725-1)*(IF(Inputs!$B$38="pvp",15,MAX(0.1,Skills!E15-IF(Skills!F15=TRUE,Inputs!$B$32,0)))*(1-IF(AND(ArtifactsInput!$M$27,Inputs!$B$4="Chapter Hunt"),CHOOSE(ArtifactsInput!$N$27+1,20,24,28,32,36,40),0)/100)))))/Skills!H15,1)))/Inputs!$B$43),G2725*Q2725)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6">
      <c r="A2726">
        <f>Skills!A16</f>
        <v/>
      </c>
      <c r="B2726">
        <f>Skills!B16</f>
        <v/>
      </c>
      <c r="C2726">
        <f>Inputs!$B$3&gt;=107</f>
        <v/>
      </c>
      <c r="D2726">
        <f>IF(Skills!C16=1,60+Inputs!$B$25+Inputs!$B$29,IF(Skills!C16=2,90+Inputs!$B$26+Inputs!$B$29,IF(Skills!C16=3,120+Inputs!$B$27+Inputs!$B$29,MAX(0,(Inputs!$B$3-100)*3)+Inputs!$B$28+Inputs!$B$29)))</f>
        <v/>
      </c>
      <c r="E2726">
        <f>INDEX(FactorTable!$B$2:$Y$301, MATCH(ROUND(MIN(300,MAX(1,D2726)),0), FactorTable!$A$2:$A$301,0), Skills!M16+1)</f>
        <v/>
      </c>
      <c r="F2726">
        <f>IF(Skills!N16=TRUE,(Skills!L16/10)*(E2726/1000),Skills!L16/10)+Skills!O16</f>
        <v/>
      </c>
      <c r="G2726">
        <f>Calc!G16</f>
        <v/>
      </c>
      <c r="H2726">
        <f>Calc!H16</f>
        <v/>
      </c>
      <c r="I2726">
        <f>IF(Skills!X16&lt;&gt;"",1+(Skills!X16/10)*(Z2713/1000)/100,1)</f>
        <v/>
      </c>
      <c r="J2726">
        <f>((Inputs!$B$6*(1+Inputs!$B$7/100))+(((Inputs!$B$12*(1+Inputs!$B$13/100))-(Inputs!$B$12*(1+Inputs!$B$13/100)))+0.25*(Inputs!$B$14-Inputs!$B$14))*(1+Inputs!$B$7/100))*(F2726/100)</f>
        <v/>
      </c>
      <c r="K2726">
        <f>J2726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16="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2726)</f>
        <v/>
      </c>
      <c r="L2726">
        <f>K2726*(MIN(Inputs!$B$22+(F2732-Calc!F22),(Inputs!$B$23+(IF(ArtifactsInput!$M$15,CHOOSE(ArtifactsInput!$N$15+1,25,30,35,40,45,50)/100*(Inputs!$B$11-Inputs!$B$11),0))))/100+(Inputs!$B$23+(IF(ArtifactsInput!$M$15,CHOOSE(ArtifactsInput!$N$15+1,25,30,35,40,45,50)/100*(Inputs!$B$11-Inputs!$B$11),0)))/100)/2</f>
        <v/>
      </c>
      <c r="M2726">
        <f>L2726*(1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6">
        <f>L2726*(1-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2726*(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6">
        <f>(1-Summary!$B$11)*S2726+Summary!$B$11*U2726</f>
        <v/>
      </c>
      <c r="P2726">
        <f>IF(B2751=0,0,O2726/B2751)</f>
        <v/>
      </c>
      <c r="Q2726">
        <f>IFERROR(1/(IF(Inputs!$B$38="pvp",15,MAX(0.1,Skills!E16-IF(Skills!F16=TRUE,Inputs!$B$32,0)))*(1-IF(AND(ArtifactsInput!$M$27,Inputs!$B$4="Chapter Hunt"),CHOOSE(ArtifactsInput!$N$27+1,20,24,28,32,36,40),0)/100)),0)</f>
        <v/>
      </c>
      <c r="R2726">
        <f>IF(AND(Inputs!$B$38&lt;&gt;"pvp",Inputs!$B$43&gt;0),IF(MAX(0,Inputs!$B$43-B2748)&lt;=0,0,(INT(MAX(0,Inputs!$B$43-B2748)/(IF(Inputs!$B$38="pvp",15,MAX(0.1,Skills!E16-IF(Skills!F16=TRUE,Inputs!$B$32,0)))*(1-IF(AND(ArtifactsInput!$M$27,Inputs!$B$4="Chapter Hunt"),CHOOSE(ArtifactsInput!$N$27+1,20,24,28,32,36,40),0)/100)))+1)),0)</f>
        <v/>
      </c>
      <c r="S2726">
        <f>IF(C2726,(H2726*N2726*IF(AND(Inputs!$B$38&lt;&gt;"pvp",Inputs!$B$43&gt;0),((Skills!G16*((R2726-1)*IF(Skills!H16&gt;0,Skills!I16/Skills!H16,1)+IF(Skills!H16&gt;0,MIN(Skills!I16,MAX(0,MAX(0,Inputs!$B$43-B2748)-((R2726-1)*(IF(Inputs!$B$38="pvp",15,MAX(0.1,Skills!E16-IF(Skills!F16=TRUE,Inputs!$B$32,0)))*(1-IF(AND(ArtifactsInput!$M$27,Inputs!$B$4="Chapter Hunt"),CHOOSE(ArtifactsInput!$N$27+1,20,24,28,32,36,40),0)/100)))))/Skills!H16,1)))/Inputs!$B$43),G2726*Q2726)*(1+IF(Inputs!$B$3&gt;=126,0.05*(B2746+Q2723+(H2724*B2747)/(1+Skills!H14*H2724*B2747)+Q2734)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2726*(1-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2726*(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2726*(1-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2726*(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6">
        <f>IF(C2726,(H2726*N2726*IF(AND(Inputs!$B$38&lt;&gt;"pvp",Inputs!$B$43&gt;0),((Skills!G16*((R2726-1)*IF(Skills!H16&gt;0,Skills!I16/Skills!H16,1)+IF(Skills!H16&gt;0,MIN(Skills!I16,MAX(0,MAX(0,Inputs!$B$43-B2748)-((R2726-1)*(IF(Inputs!$B$38="pvp",15,MAX(0.1,Skills!E16-IF(Skills!F16=TRUE,Inputs!$B$32,0)))*(1-IF(AND(ArtifactsInput!$M$27,Inputs!$B$4="Chapter Hunt"),CHOOSE(ArtifactsInput!$N$27+1,20,24,28,32,36,40),0)/100)))))/Skills!H16,1)))/Inputs!$B$43),G2726*Q2726)*(1+IF(Inputs!$B$3&gt;=126,0.05*(B2746+Q2723+(H2724*B2747)/(1+Skills!H14*H2724*B2747)+Q2734)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7">
      <c r="A2727">
        <f>Skills!A17</f>
        <v/>
      </c>
      <c r="B2727">
        <f>Skills!B17</f>
        <v/>
      </c>
      <c r="C2727">
        <f>TRUE</f>
        <v/>
      </c>
      <c r="D2727">
        <f>IF(Skills!C17=1,60+Inputs!$B$25+Inputs!$B$29,IF(Skills!C17=2,90+Inputs!$B$26+Inputs!$B$29,IF(Skills!C17=3,120+Inputs!$B$27+Inputs!$B$29,MAX(0,(Inputs!$B$3-100)*3)+Inputs!$B$28+Inputs!$B$29)))</f>
        <v/>
      </c>
      <c r="E2727">
        <f>INDEX(FactorTable!$B$2:$Y$301, MATCH(ROUND(MIN(300,MAX(1,D2727)),0), FactorTable!$A$2:$A$301,0), Skills!M17+1)</f>
        <v/>
      </c>
      <c r="F2727">
        <f>IF(Skills!N17=TRUE,(Skills!L17/10)*(E2727/1000),Skills!L17/10)+Skills!O17</f>
        <v/>
      </c>
      <c r="G2727">
        <f>Calc!G17</f>
        <v/>
      </c>
      <c r="H2727">
        <f>Calc!H17</f>
        <v/>
      </c>
      <c r="I2727">
        <f>IF(Skills!X17&lt;&gt;"",1+(Skills!X17/10)*(Z2713/1000)/100,1)</f>
        <v/>
      </c>
      <c r="J2727" t="inlineStr"/>
      <c r="K2727" t="inlineStr"/>
      <c r="L2727" t="inlineStr"/>
      <c r="M2727" t="inlineStr"/>
      <c r="N2727" t="inlineStr"/>
      <c r="O2727">
        <f>(1-Summary!$B$11)*S2727+Summary!$B$11*U2727</f>
        <v/>
      </c>
      <c r="P2727">
        <f>IF(B2751=0,0,O2727/B2751)</f>
        <v/>
      </c>
      <c r="Q2727">
        <f>IFERROR(1/(IF(Inputs!$B$38="pvp",15,MAX(0.1,Skills!E17-IF(Skills!F17=TRUE,Inputs!$B$32,0)))*(1-IF(AND(ArtifactsInput!$M$27,Inputs!$B$4="Chapter Hunt"),CHOOSE(ArtifactsInput!$N$27+1,20,24,28,32,36,40),0)/100)),0)</f>
        <v/>
      </c>
      <c r="R2727">
        <f>IF(AND(Inputs!$B$38&lt;&gt;"pvp",Inputs!$B$43&gt;0),IF(Inputs!$B$43&lt;=0,0,(INT(Inputs!$B$43/(IF(Inputs!$B$38="pvp",15,MAX(0.1,Skills!E17-IF(Skills!F17=TRUE,Inputs!$B$32,0)))*(1-IF(AND(ArtifactsInput!$M$27,Inputs!$B$4="Chapter Hunt"),CHOOSE(ArtifactsInput!$N$27+1,20,24,28,32,36,40),0)/100)))+1)),0)</f>
        <v/>
      </c>
      <c r="S2727" t="n">
        <v>0</v>
      </c>
      <c r="U2727" t="n">
        <v>0</v>
      </c>
    </row>
    <row r="2728">
      <c r="A2728">
        <f>Skills!A18</f>
        <v/>
      </c>
      <c r="B2728">
        <f>Skills!B18</f>
        <v/>
      </c>
      <c r="C2728">
        <f>TRUE</f>
        <v/>
      </c>
      <c r="D2728">
        <f>IF(Skills!C18=1,60+Inputs!$B$25+Inputs!$B$29,IF(Skills!C18=2,90+Inputs!$B$26+Inputs!$B$29,IF(Skills!C18=3,120+Inputs!$B$27+Inputs!$B$29,MAX(0,(Inputs!$B$3-100)*3)+Inputs!$B$28+Inputs!$B$29)))</f>
        <v/>
      </c>
      <c r="E2728">
        <f>INDEX(FactorTable!$B$2:$Y$301, MATCH(ROUND(MIN(300,MAX(1,D2728)),0), FactorTable!$A$2:$A$301,0), Skills!M18+1)</f>
        <v/>
      </c>
      <c r="F2728">
        <f>IF(Skills!N18=TRUE,(Skills!L18/10)*(E2728/1000),Skills!L18/10)+Skills!O18</f>
        <v/>
      </c>
      <c r="G2728">
        <f>Calc!G18</f>
        <v/>
      </c>
      <c r="H2728">
        <f>Calc!H18</f>
        <v/>
      </c>
      <c r="I2728">
        <f>IF(Skills!X18&lt;&gt;"",1+(Skills!X18/10)*(Z2713/1000)/100,1)</f>
        <v/>
      </c>
      <c r="J2728" t="inlineStr"/>
      <c r="K2728" t="inlineStr"/>
      <c r="L2728" t="inlineStr"/>
      <c r="M2728" t="inlineStr"/>
      <c r="N2728" t="inlineStr"/>
      <c r="O2728">
        <f>(1-Summary!$B$11)*S2728+Summary!$B$11*U2728</f>
        <v/>
      </c>
      <c r="P2728">
        <f>IF(B2751=0,0,O2728/B2751)</f>
        <v/>
      </c>
      <c r="Q2728">
        <f>IFERROR(1/(IF(Inputs!$B$38="pvp",15,MAX(0.1,Skills!E18-IF(Skills!F18=TRUE,Inputs!$B$32,0)))*(1-IF(AND(ArtifactsInput!$M$27,Inputs!$B$4="Chapter Hunt"),CHOOSE(ArtifactsInput!$N$27+1,20,24,28,32,36,40),0)/100)),0)</f>
        <v/>
      </c>
      <c r="R2728">
        <f>IF(AND(Inputs!$B$38&lt;&gt;"pvp",Inputs!$B$43&gt;0),IF(Inputs!$B$43&lt;=0,0,(INT(Inputs!$B$43/(IF(Inputs!$B$38="pvp",15,MAX(0.1,Skills!E18-IF(Skills!F18=TRUE,Inputs!$B$32,0)))*(1-IF(AND(ArtifactsInput!$M$27,Inputs!$B$4="Chapter Hunt"),CHOOSE(ArtifactsInput!$N$27+1,20,24,28,32,36,40),0)/100)))+1)),0)</f>
        <v/>
      </c>
      <c r="S2728" t="n">
        <v>0</v>
      </c>
      <c r="U2728" t="n">
        <v>0</v>
      </c>
    </row>
    <row r="2729">
      <c r="A2729">
        <f>Skills!A19</f>
        <v/>
      </c>
      <c r="B2729">
        <f>Skills!B19</f>
        <v/>
      </c>
      <c r="C2729">
        <f>Inputs!$B$3&gt;=110</f>
        <v/>
      </c>
      <c r="D2729">
        <f>IF(Skills!C19=1,60+Inputs!$B$25+Inputs!$B$29,IF(Skills!C19=2,90+Inputs!$B$26+Inputs!$B$29,IF(Skills!C19=3,120+Inputs!$B$27+Inputs!$B$29,MAX(0,(Inputs!$B$3-100)*3)+Inputs!$B$28+Inputs!$B$29)))</f>
        <v/>
      </c>
      <c r="E2729">
        <f>INDEX(FactorTable!$B$2:$Y$301, MATCH(ROUND(MIN(300,MAX(1,D2729)),0), FactorTable!$A$2:$A$301,0), Skills!M19+1)</f>
        <v/>
      </c>
      <c r="F2729">
        <f>IF(Skills!N19=TRUE,(Skills!L19/10)*(E2729/1000),Skills!L19/10)+Skills!O19</f>
        <v/>
      </c>
      <c r="G2729">
        <f>Calc!G19</f>
        <v/>
      </c>
      <c r="H2729">
        <f>Calc!H19</f>
        <v/>
      </c>
      <c r="I2729">
        <f>IF(Skills!X19&lt;&gt;"",1+(Skills!X19/10)*(Z2713/1000)/100,1)</f>
        <v/>
      </c>
      <c r="J2729" t="inlineStr"/>
      <c r="K2729" t="inlineStr"/>
      <c r="L2729" t="inlineStr"/>
      <c r="M2729" t="inlineStr"/>
      <c r="N2729" t="inlineStr"/>
      <c r="O2729">
        <f>(1-Summary!$B$11)*S2729+Summary!$B$11*U2729</f>
        <v/>
      </c>
      <c r="P2729">
        <f>IF(B2751=0,0,O2729/B2751)</f>
        <v/>
      </c>
      <c r="Q2729">
        <f>IFERROR(1/(IF(Inputs!$B$38="pvp",15,MAX(0.1,Skills!E19-IF(Skills!F19=TRUE,Inputs!$B$32,0)))*(1-IF(AND(ArtifactsInput!$M$27,Inputs!$B$4="Chapter Hunt"),CHOOSE(ArtifactsInput!$N$27+1,20,24,28,32,36,40),0)/100)),0)</f>
        <v/>
      </c>
      <c r="R2729">
        <f>IF(AND(Inputs!$B$38&lt;&gt;"pvp",Inputs!$B$43&gt;0),IF(Inputs!$B$43&lt;=0,0,(INT(Inputs!$B$43/(IF(Inputs!$B$38="pvp",15,MAX(0.1,Skills!E19-IF(Skills!F19=TRUE,Inputs!$B$32,0)))*(1-IF(AND(ArtifactsInput!$M$27,Inputs!$B$4="Chapter Hunt"),CHOOSE(ArtifactsInput!$N$27+1,20,24,28,32,36,40),0)/100)))+1)),0)</f>
        <v/>
      </c>
      <c r="S2729" t="n">
        <v>0</v>
      </c>
      <c r="U2729" t="n">
        <v>0</v>
      </c>
    </row>
    <row r="2730">
      <c r="A2730">
        <f>Skills!A20</f>
        <v/>
      </c>
      <c r="B2730">
        <f>Skills!B20</f>
        <v/>
      </c>
      <c r="C2730">
        <f>TRUE</f>
        <v/>
      </c>
      <c r="D2730">
        <f>IF(Skills!C20=1,60+Inputs!$B$25+Inputs!$B$29,IF(Skills!C20=2,90+Inputs!$B$26+Inputs!$B$29,IF(Skills!C20=3,120+Inputs!$B$27+Inputs!$B$29,MAX(0,(Inputs!$B$3-100)*3)+Inputs!$B$28+Inputs!$B$29)))</f>
        <v/>
      </c>
      <c r="E2730">
        <f>INDEX(FactorTable!$B$2:$Y$301, MATCH(ROUND(MIN(300,MAX(1,D2730)),0), FactorTable!$A$2:$A$301,0), Skills!M20+1)</f>
        <v/>
      </c>
      <c r="F2730">
        <f>IF(Skills!N20=TRUE,(Skills!L20/10)*(E2730/1000),Skills!L20/10)+Skills!O20</f>
        <v/>
      </c>
      <c r="G2730">
        <f>Calc!G20</f>
        <v/>
      </c>
      <c r="H2730">
        <f>Calc!H20</f>
        <v/>
      </c>
      <c r="I2730">
        <f>IF(Skills!X20&lt;&gt;"",1+(Skills!X20/10)*(Z2713/1000)/100,1)</f>
        <v/>
      </c>
      <c r="J2730" t="inlineStr"/>
      <c r="K2730" t="inlineStr"/>
      <c r="L2730" t="inlineStr"/>
      <c r="M2730" t="inlineStr"/>
      <c r="N2730" t="inlineStr"/>
      <c r="O2730">
        <f>(1-Summary!$B$11)*S2730+Summary!$B$11*U2730</f>
        <v/>
      </c>
      <c r="P2730">
        <f>IF(B2751=0,0,O2730/B2751)</f>
        <v/>
      </c>
      <c r="Q2730">
        <f>IFERROR(1/(IF(Inputs!$B$38="pvp",15,MAX(0.1,Skills!E20-IF(Skills!F20=TRUE,Inputs!$B$32,0)))*(1-IF(AND(ArtifactsInput!$M$27,Inputs!$B$4="Chapter Hunt"),CHOOSE(ArtifactsInput!$N$27+1,20,24,28,32,36,40),0)/100)),0)</f>
        <v/>
      </c>
      <c r="R2730" t="n">
        <v>0</v>
      </c>
      <c r="S2730" t="n">
        <v>0</v>
      </c>
      <c r="U2730" t="n">
        <v>0</v>
      </c>
    </row>
    <row r="2731">
      <c r="A2731">
        <f>Skills!A21</f>
        <v/>
      </c>
      <c r="B2731">
        <f>Skills!B21</f>
        <v/>
      </c>
      <c r="C2731">
        <f>TRUE</f>
        <v/>
      </c>
      <c r="D2731">
        <f>IF(Skills!C21=1,60+Inputs!$B$25+Inputs!$B$29,IF(Skills!C21=2,90+Inputs!$B$26+Inputs!$B$29,IF(Skills!C21=3,120+Inputs!$B$27+Inputs!$B$29,MAX(0,(Inputs!$B$3-100)*3)+Inputs!$B$28+Inputs!$B$29)))</f>
        <v/>
      </c>
      <c r="E2731">
        <f>INDEX(FactorTable!$B$2:$Y$301, MATCH(ROUND(MIN(300,MAX(1,D2731)),0), FactorTable!$A$2:$A$301,0), Skills!M21+1)</f>
        <v/>
      </c>
      <c r="F2731">
        <f>IF(Skills!N21=TRUE,(Skills!L21/10)*(E2731/1000),Skills!L21/10)+Skills!O21</f>
        <v/>
      </c>
      <c r="G2731">
        <f>Calc!G21</f>
        <v/>
      </c>
      <c r="H2731">
        <f>Calc!H21</f>
        <v/>
      </c>
      <c r="I2731">
        <f>IF(Skills!X21&lt;&gt;"",1+(Skills!X21/10)*(Z2713/1000)/100,1)</f>
        <v/>
      </c>
      <c r="J2731" t="inlineStr"/>
      <c r="K2731" t="inlineStr"/>
      <c r="L2731" t="inlineStr"/>
      <c r="M2731" t="inlineStr"/>
      <c r="N2731" t="inlineStr"/>
      <c r="O2731">
        <f>(1-Summary!$B$11)*S2731+Summary!$B$11*U2731</f>
        <v/>
      </c>
      <c r="P2731">
        <f>IF(B2751=0,0,O2731/B2751)</f>
        <v/>
      </c>
      <c r="Q2731">
        <f>IFERROR(1/(IF(Inputs!$B$38="pvp",15,MAX(0.1,Skills!E21-IF(Skills!F21=TRUE,Inputs!$B$32,0)))*(1-IF(AND(ArtifactsInput!$M$27,Inputs!$B$4="Chapter Hunt"),CHOOSE(ArtifactsInput!$N$27+1,20,24,28,32,36,40),0)/100)),0)</f>
        <v/>
      </c>
      <c r="R2731" t="n">
        <v>0</v>
      </c>
      <c r="S2731" t="n">
        <v>0</v>
      </c>
      <c r="U2731" t="n">
        <v>0</v>
      </c>
    </row>
    <row r="2732">
      <c r="A2732">
        <f>Skills!A22</f>
        <v/>
      </c>
      <c r="B2732">
        <f>Skills!B22</f>
        <v/>
      </c>
      <c r="C2732">
        <f>TRUE</f>
        <v/>
      </c>
      <c r="D2732">
        <f>IF(Skills!C22=1,60+Inputs!$B$25+Inputs!$B$29,IF(Skills!C22=2,90+Inputs!$B$26+Inputs!$B$29,IF(Skills!C22=3,120+Inputs!$B$27+Inputs!$B$29,MAX(0,(Inputs!$B$3-100)*3)+Inputs!$B$28+Inputs!$B$29)))</f>
        <v/>
      </c>
      <c r="E2732">
        <f>INDEX(FactorTable!$B$2:$Y$301, MATCH(ROUND(MIN(300,MAX(1,D2732)),0), FactorTable!$A$2:$A$301,0), Skills!M22+1)</f>
        <v/>
      </c>
      <c r="F2732">
        <f>IF(Skills!N22=TRUE,(Skills!L22/10)*(E2732/1000),Skills!L22/10)+Skills!O22</f>
        <v/>
      </c>
      <c r="G2732">
        <f>Calc!G22</f>
        <v/>
      </c>
      <c r="H2732">
        <f>Calc!H22</f>
        <v/>
      </c>
      <c r="I2732">
        <f>IF(Skills!X22&lt;&gt;"",1+(Skills!X22/10)*(Z2713/1000)/100,1)</f>
        <v/>
      </c>
      <c r="J2732" t="inlineStr"/>
      <c r="K2732" t="inlineStr"/>
      <c r="L2732" t="inlineStr"/>
      <c r="M2732" t="inlineStr"/>
      <c r="N2732" t="inlineStr"/>
      <c r="O2732">
        <f>(1-Summary!$B$11)*S2732+Summary!$B$11*U2732</f>
        <v/>
      </c>
      <c r="P2732">
        <f>IF(B2751=0,0,O2732/B2751)</f>
        <v/>
      </c>
      <c r="Q2732">
        <f>IFERROR(1/(IF(Inputs!$B$38="pvp",15,MAX(0.1,Skills!E22-IF(Skills!F22=TRUE,Inputs!$B$32,0)))*(1-IF(AND(ArtifactsInput!$M$27,Inputs!$B$4="Chapter Hunt"),CHOOSE(ArtifactsInput!$N$27+1,20,24,28,32,36,40),0)/100)),0)</f>
        <v/>
      </c>
      <c r="R2732" t="n">
        <v>0</v>
      </c>
      <c r="S2732" t="n">
        <v>0</v>
      </c>
      <c r="U2732" t="n">
        <v>0</v>
      </c>
    </row>
    <row r="2733">
      <c r="A2733">
        <f>Skills!A23</f>
        <v/>
      </c>
      <c r="B2733">
        <f>Skills!B23</f>
        <v/>
      </c>
      <c r="C2733">
        <f>TRUE</f>
        <v/>
      </c>
      <c r="D2733">
        <f>IF(Skills!C23=1,60+Inputs!$B$25+Inputs!$B$29,IF(Skills!C23=2,90+Inputs!$B$26+Inputs!$B$29,IF(Skills!C23=3,120+Inputs!$B$27+Inputs!$B$29,MAX(0,(Inputs!$B$3-100)*3)+Inputs!$B$28+Inputs!$B$29)))</f>
        <v/>
      </c>
      <c r="E2733">
        <f>INDEX(FactorTable!$B$2:$Y$301, MATCH(ROUND(MIN(300,MAX(1,D2733)),0), FactorTable!$A$2:$A$301,0), Skills!M23+1)</f>
        <v/>
      </c>
      <c r="F2733">
        <f>IF(Skills!N23=TRUE,(Skills!L23/10)*(E2733/1000),Skills!L23/10)+Skills!O23</f>
        <v/>
      </c>
      <c r="G2733">
        <f>Calc!G23</f>
        <v/>
      </c>
      <c r="H2733">
        <f>Calc!H23</f>
        <v/>
      </c>
      <c r="I2733">
        <f>IF(Skills!X23&lt;&gt;"",1+(Skills!X23/10)*(Z2713/1000)/100,1)</f>
        <v/>
      </c>
      <c r="J2733" t="inlineStr"/>
      <c r="K2733" t="inlineStr"/>
      <c r="L2733" t="inlineStr"/>
      <c r="M2733" t="inlineStr"/>
      <c r="N2733" t="inlineStr"/>
      <c r="O2733">
        <f>(1-Summary!$B$11)*S2733+Summary!$B$11*U2733</f>
        <v/>
      </c>
      <c r="P2733">
        <f>IF(B2751=0,0,O2733/B2751)</f>
        <v/>
      </c>
      <c r="Q2733">
        <f>IFERROR(1/(IF(Inputs!$B$38="pvp",15,MAX(0.1,Skills!E23-IF(Skills!F23=TRUE,Inputs!$B$32,0)))*(1-IF(AND(ArtifactsInput!$M$27,Inputs!$B$4="Chapter Hunt"),CHOOSE(ArtifactsInput!$N$27+1,20,24,28,32,36,40),0)/100)),0)</f>
        <v/>
      </c>
      <c r="R2733" t="n">
        <v>0</v>
      </c>
      <c r="S2733" t="n">
        <v>0</v>
      </c>
      <c r="U2733" t="n">
        <v>0</v>
      </c>
    </row>
    <row r="2734">
      <c r="A2734">
        <f>Skills!A24</f>
        <v/>
      </c>
      <c r="B2734">
        <f>Skills!B24</f>
        <v/>
      </c>
      <c r="C2734">
        <f>Inputs!$B$3&gt;=115</f>
        <v/>
      </c>
      <c r="D2734">
        <f>IF(Skills!C24=1,60+Inputs!$B$25+Inputs!$B$29,IF(Skills!C24=2,90+Inputs!$B$26+Inputs!$B$29,IF(Skills!C24=3,120+Inputs!$B$27+Inputs!$B$29,MAX(0,(Inputs!$B$3-100)*3)+Inputs!$B$28+Inputs!$B$29)))</f>
        <v/>
      </c>
      <c r="E2734">
        <f>INDEX(FactorTable!$B$2:$Y$301, MATCH(ROUND(MIN(300,MAX(1,D2734)),0), FactorTable!$A$2:$A$301,0), Skills!M24+1)</f>
        <v/>
      </c>
      <c r="F2734">
        <f>IF(Skills!N24=TRUE,(Skills!L24/10)*(E2734/1000),Skills!L24/10)+Skills!O24</f>
        <v/>
      </c>
      <c r="G2734">
        <f>Calc!G24</f>
        <v/>
      </c>
      <c r="H2734">
        <f>Calc!H24</f>
        <v/>
      </c>
      <c r="I2734">
        <f>IF(Skills!X24&lt;&gt;"",1+(Skills!X24/10)*(Z2713/1000)/100,1)</f>
        <v/>
      </c>
      <c r="J2734">
        <f>((Inputs!$B$6*(1+Inputs!$B$7/100))+(((Inputs!$B$12*(1+Inputs!$B$13/100))-(Inputs!$B$12*(1+Inputs!$B$13/100)))+0.25*(Inputs!$B$14-Inputs!$B$14))*(1+Inputs!$B$7/100))*(F2734/100)</f>
        <v/>
      </c>
      <c r="K2734">
        <f>J2734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24="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2734)</f>
        <v/>
      </c>
      <c r="L2734">
        <f>K2734*(MIN(Inputs!$B$22+(F2732-Calc!F22),(Inputs!$B$23+(IF(ArtifactsInput!$M$15,CHOOSE(ArtifactsInput!$N$15+1,25,30,35,40,45,50)/100*(Inputs!$B$11-Inputs!$B$11),0))))/100+(Inputs!$B$23+(IF(ArtifactsInput!$M$15,CHOOSE(ArtifactsInput!$N$15+1,25,30,35,40,45,50)/100*(Inputs!$B$11-Inputs!$B$11),0)))/100)/2</f>
        <v/>
      </c>
      <c r="M2734">
        <f>L2734*(1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4">
        <f>L2734*(1-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2734*(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4">
        <f>(1-Summary!$B$11)*S2734+Summary!$B$11*U2734</f>
        <v/>
      </c>
      <c r="P2734">
        <f>IF(B2751=0,0,O2734/B2751)</f>
        <v/>
      </c>
      <c r="Q2734">
        <f>IFERROR(1/(IF(Inputs!$B$38="pvp",15,MAX(0.1,Skills!E24-IF(Skills!F24=TRUE,Inputs!$B$32,0)))*(1-IF(AND(ArtifactsInput!$M$27,Inputs!$B$4="Chapter Hunt"),CHOOSE(ArtifactsInput!$N$27+1,20,24,28,32,36,40),0)/100)),0)</f>
        <v/>
      </c>
      <c r="R2734">
        <f>IF(AND(Inputs!$B$38&lt;&gt;"pvp",Inputs!$B$43&gt;0),IF(MAX(0,Inputs!$B$43-B2748)&lt;=0,0,(INT(MAX(0,Inputs!$B$43-B2748)/(IF(Inputs!$B$38="pvp",15,MAX(0.1,Skills!E24-IF(Skills!F24=TRUE,Inputs!$B$32,0)))*(1-IF(AND(ArtifactsInput!$M$27,Inputs!$B$4="Chapter Hunt"),CHOOSE(ArtifactsInput!$N$27+1,20,24,28,32,36,40),0)/100)))+1)),0)</f>
        <v/>
      </c>
      <c r="S2734">
        <f>IF(C2734,(H2734*N2734*IF(AND(Inputs!$B$38&lt;&gt;"pvp",Inputs!$B$43&gt;0),((Skills!G24*((R2734-1)*IF(Skills!H24&gt;0,Skills!I24/Skills!H24,1)+IF(Skills!H24&gt;0,MIN(Skills!I24,MAX(0,MAX(0,Inputs!$B$43-B2748)-((R2734-1)*(IF(Inputs!$B$38="pvp",15,MAX(0.1,Skills!E24-IF(Skills!F24=TRUE,Inputs!$B$32,0)))*(1-IF(AND(ArtifactsInput!$M$27,Inputs!$B$4="Chapter Hunt"),CHOOSE(ArtifactsInput!$N$27+1,20,24,28,32,36,40),0)/100)))))/Skills!H24,1)))/Inputs!$B$43),G2734*Q2734)*(1+IF(Inputs!$B$3&gt;=130,0.2*(Skills!I16/Skills!E15+IF(Inputs!$B$3&gt;=126,0.05*(B2746+Q2723+(H2724*B2747)/(1+Skills!H14*H2724*B2747)+Q2734)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2734*(1-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2734*(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2734*(1-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2734*(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34">
        <f>IF(C2734,(H2734*N2734*IF(AND(Inputs!$B$38&lt;&gt;"pvp",Inputs!$B$43&gt;0),((Skills!G24*((R2734-1)*IF(Skills!H24&gt;0,Skills!I24/Skills!H24,1)+IF(Skills!H24&gt;0,MIN(Skills!I24,MAX(0,MAX(0,Inputs!$B$43-B2748)-((R2734-1)*(IF(Inputs!$B$38="pvp",15,MAX(0.1,Skills!E24-IF(Skills!F24=TRUE,Inputs!$B$32,0)))*(1-IF(AND(ArtifactsInput!$M$27,Inputs!$B$4="Chapter Hunt"),CHOOSE(ArtifactsInput!$N$27+1,20,24,28,32,36,40),0)/100)))))/Skills!H24,1)))/Inputs!$B$43),G2734*Q2734)*(1+IF(Inputs!$B$3&gt;=130,0.2*(Skills!I16/Skills!E15+IF(Inputs!$B$3&gt;=126,0.05*(B2746+Q2723+(H2724*B2747)/(1+Skills!H14*H2724*B2747)+Q2734)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5">
      <c r="A2735">
        <f>Skills!A25</f>
        <v/>
      </c>
      <c r="B2735">
        <f>Skills!B25</f>
        <v/>
      </c>
      <c r="C2735">
        <f>Inputs!$B$3&gt;=117</f>
        <v/>
      </c>
      <c r="D2735">
        <f>IF(Skills!C25=1,60+Inputs!$B$25+Inputs!$B$29,IF(Skills!C25=2,90+Inputs!$B$26+Inputs!$B$29,IF(Skills!C25=3,120+Inputs!$B$27+Inputs!$B$29,MAX(0,(Inputs!$B$3-100)*3)+Inputs!$B$28+Inputs!$B$29)))</f>
        <v/>
      </c>
      <c r="E2735">
        <f>INDEX(FactorTable!$B$2:$Y$301, MATCH(ROUND(MIN(300,MAX(1,D2735)),0), FactorTable!$A$2:$A$301,0), Skills!M25+1)</f>
        <v/>
      </c>
      <c r="F2735">
        <f>IF(Skills!N25=TRUE,(Skills!L25/10)*(E2735/1000),Skills!L25/10)+Skills!O25</f>
        <v/>
      </c>
      <c r="G2735">
        <f>Calc!G25</f>
        <v/>
      </c>
      <c r="H2735">
        <f>Calc!H25</f>
        <v/>
      </c>
      <c r="I2735">
        <f>IF(Skills!X25&lt;&gt;"",1+(Skills!X25/10)*(Z2713/1000)/100,1)</f>
        <v/>
      </c>
      <c r="J2735" t="inlineStr"/>
      <c r="K2735" t="inlineStr"/>
      <c r="L2735" t="inlineStr"/>
      <c r="M2735" t="inlineStr"/>
      <c r="N2735" t="inlineStr"/>
      <c r="O2735">
        <f>(1-Summary!$B$11)*S2735+Summary!$B$11*U2735</f>
        <v/>
      </c>
      <c r="P2735">
        <f>IF(B2751=0,0,O2735/B2751)</f>
        <v/>
      </c>
      <c r="Q2735">
        <f>IFERROR(1/(IF(Inputs!$B$38="pvp",15,MAX(0.1,Skills!E25-IF(Skills!F25=TRUE,Inputs!$B$32,0)))*(1-IF(AND(ArtifactsInput!$M$27,Inputs!$B$4="Chapter Hunt"),CHOOSE(ArtifactsInput!$N$27+1,20,24,28,32,36,40),0)/100)),0)</f>
        <v/>
      </c>
      <c r="R2735" t="n">
        <v>0</v>
      </c>
      <c r="S2735" t="n">
        <v>0</v>
      </c>
      <c r="U2735" t="n">
        <v>0</v>
      </c>
    </row>
    <row r="2736">
      <c r="A2736">
        <f>Skills!A26</f>
        <v/>
      </c>
      <c r="B2736">
        <f>Skills!B26</f>
        <v/>
      </c>
      <c r="C2736">
        <f>Inputs!$B$3&gt;=120</f>
        <v/>
      </c>
      <c r="D2736">
        <f>IF(Skills!C26=1,60+Inputs!$B$25+Inputs!$B$29,IF(Skills!C26=2,90+Inputs!$B$26+Inputs!$B$29,IF(Skills!C26=3,120+Inputs!$B$27+Inputs!$B$29,MAX(0,(Inputs!$B$3-100)*3)+Inputs!$B$28+Inputs!$B$29)))</f>
        <v/>
      </c>
      <c r="E2736">
        <f>INDEX(FactorTable!$B$2:$Y$301, MATCH(ROUND(MIN(300,MAX(1,D2736)),0), FactorTable!$A$2:$A$301,0), Skills!M26+1)</f>
        <v/>
      </c>
      <c r="F2736">
        <f>IF(Skills!N26=TRUE,(Skills!L26/10)*(E2736/1000),Skills!L26/10)+Skills!O26</f>
        <v/>
      </c>
      <c r="G2736">
        <f>Calc!G26</f>
        <v/>
      </c>
      <c r="H2736">
        <f>Calc!H26</f>
        <v/>
      </c>
      <c r="I2736">
        <f>IF(Skills!X26&lt;&gt;"",1+(Skills!X26/10)*(Z2713/1000)/100,1)</f>
        <v/>
      </c>
      <c r="J2736" t="inlineStr"/>
      <c r="K2736" t="inlineStr"/>
      <c r="L2736" t="inlineStr"/>
      <c r="M2736" t="inlineStr"/>
      <c r="N2736" t="inlineStr"/>
      <c r="O2736">
        <f>(1-Summary!$B$11)*S2736+Summary!$B$11*U2736</f>
        <v/>
      </c>
      <c r="P2736">
        <f>IF(B2751=0,0,O2736/B2751)</f>
        <v/>
      </c>
      <c r="Q2736">
        <f>IFERROR(1/(IF(Inputs!$B$38="pvp",15,MAX(0.1,Skills!E26-IF(Skills!F26=TRUE,Inputs!$B$32,0)))*(1-IF(AND(ArtifactsInput!$M$27,Inputs!$B$4="Chapter Hunt"),CHOOSE(ArtifactsInput!$N$27+1,20,24,28,32,36,40),0)/100)),0)</f>
        <v/>
      </c>
      <c r="R2736" t="n">
        <v>0</v>
      </c>
      <c r="S2736" t="n">
        <v>0</v>
      </c>
      <c r="U2736" t="n">
        <v>0</v>
      </c>
    </row>
    <row r="2737">
      <c r="A2737">
        <f>Skills!A27</f>
        <v/>
      </c>
      <c r="B2737">
        <f>Skills!B27</f>
        <v/>
      </c>
      <c r="C2737">
        <f>Inputs!$B$3&gt;=125</f>
        <v/>
      </c>
      <c r="D2737">
        <f>IF(Skills!C27=1,60+Inputs!$B$25+Inputs!$B$29,IF(Skills!C27=2,90+Inputs!$B$26+Inputs!$B$29,IF(Skills!C27=3,120+Inputs!$B$27+Inputs!$B$29,MAX(0,(Inputs!$B$3-100)*3)+Inputs!$B$28+Inputs!$B$29)))</f>
        <v/>
      </c>
      <c r="E2737">
        <f>INDEX(FactorTable!$B$2:$Y$301, MATCH(ROUND(MIN(300,MAX(1,D2737)),0), FactorTable!$A$2:$A$301,0), Skills!M27+1)</f>
        <v/>
      </c>
      <c r="F2737">
        <f>IF(Skills!N27=TRUE,(Skills!L27/10)*(E2737/1000),Skills!L27/10)+Skills!O27</f>
        <v/>
      </c>
      <c r="G2737">
        <f>Calc!G27</f>
        <v/>
      </c>
      <c r="H2737">
        <f>Calc!H27</f>
        <v/>
      </c>
      <c r="I2737">
        <f>IF(Skills!X27&lt;&gt;"",1+(Skills!X27/10)*(Z2713/1000)/100,1)</f>
        <v/>
      </c>
      <c r="J2737" t="inlineStr"/>
      <c r="K2737" t="inlineStr"/>
      <c r="L2737" t="inlineStr"/>
      <c r="M2737" t="inlineStr"/>
      <c r="N2737" t="inlineStr"/>
      <c r="O2737">
        <f>(1-Summary!$B$11)*S2737+Summary!$B$11*U2737</f>
        <v/>
      </c>
      <c r="P2737">
        <f>IF(B2751=0,0,O2737/B2751)</f>
        <v/>
      </c>
      <c r="Q2737">
        <f>IFERROR(1/(IF(Inputs!$B$38="pvp",15,MAX(0.1,Skills!E27-IF(Skills!F27=TRUE,Inputs!$B$32,0)))*(1-IF(AND(ArtifactsInput!$M$27,Inputs!$B$4="Chapter Hunt"),CHOOSE(ArtifactsInput!$N$27+1,20,24,28,32,36,40),0)/100)),0)</f>
        <v/>
      </c>
      <c r="R2737" t="n">
        <v>0</v>
      </c>
      <c r="S2737" t="n">
        <v>0</v>
      </c>
      <c r="U2737" t="n">
        <v>0</v>
      </c>
    </row>
    <row r="2738">
      <c r="A2738">
        <f>Skills!A28</f>
        <v/>
      </c>
      <c r="B2738">
        <f>Skills!B28</f>
        <v/>
      </c>
      <c r="C2738">
        <f>Inputs!$B$3&gt;=118</f>
        <v/>
      </c>
      <c r="D2738">
        <f>IF(Skills!C28=1,60+Inputs!$B$25+Inputs!$B$29,IF(Skills!C28=2,90+Inputs!$B$26+Inputs!$B$29,IF(Skills!C28=3,120+Inputs!$B$27+Inputs!$B$29,MAX(0,(Inputs!$B$3-100)*3)+Inputs!$B$28+Inputs!$B$29)))</f>
        <v/>
      </c>
      <c r="E2738">
        <f>INDEX(FactorTable!$B$2:$Y$301, MATCH(ROUND(MIN(300,MAX(1,D2738)),0), FactorTable!$A$2:$A$301,0), Skills!M28+1)</f>
        <v/>
      </c>
      <c r="F2738">
        <f>IF(Skills!N28=TRUE,(Skills!L28/10)*(E2738/1000),Skills!L28/10)+Skills!O28</f>
        <v/>
      </c>
      <c r="G2738">
        <f>Calc!G28</f>
        <v/>
      </c>
      <c r="H2738">
        <f>Calc!H28</f>
        <v/>
      </c>
      <c r="I2738">
        <f>IF(Skills!X28&lt;&gt;"",1+(Skills!X28/10)*(Z2713/1000)/100,1)</f>
        <v/>
      </c>
      <c r="J2738">
        <f>((Inputs!$B$6*(1+Inputs!$B$7/100))+(((Inputs!$B$12*(1+Inputs!$B$13/100))-(Inputs!$B$12*(1+Inputs!$B$13/100)))+0.25*(Inputs!$B$14-Inputs!$B$14))*(1+Inputs!$B$7/100))*(F2738/100)</f>
        <v/>
      </c>
      <c r="K2738">
        <f>J2738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2733/100)*(1+IF(Inputs!$B$3&gt;=120,F2736,0)/100)^5*(1+(IF(Skills!A28="BASIC_ATTACK",Inputs!$B$17+(((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IF(Inputs!$B$3&gt;=125,F2737*5,0)))/100)*(B2740*B2741*B2742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2738)</f>
        <v/>
      </c>
      <c r="L2738">
        <f>K2738*(MIN(Inputs!$B$22+(F2732-Calc!F22),(Inputs!$B$23+(IF(ArtifactsInput!$M$15,CHOOSE(ArtifactsInput!$N$15+1,25,30,35,40,45,50)/100*(Inputs!$B$11-Inputs!$B$11),0))))/100+(Inputs!$B$23+(IF(ArtifactsInput!$M$15,CHOOSE(ArtifactsInput!$N$15+1,25,30,35,40,45,50)/100*(Inputs!$B$11-Inputs!$B$11),0)))/100)/2</f>
        <v/>
      </c>
      <c r="M2738">
        <f>L2738*(1+(Inputs!$B$10+(F2731-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8">
        <f>L2738*(1-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2738*(MIN((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8">
        <f>(1-Summary!$B$11)*S2738+Summary!$B$11*U2738</f>
        <v/>
      </c>
      <c r="P2738">
        <f>IF(B2751=0,0,O2738/B2751)</f>
        <v/>
      </c>
      <c r="Q2738">
        <f>IFERROR(1/(IF(Inputs!$B$38="pvp",15,MAX(0.1,Skills!E28-IF(Skills!F28=TRUE,Inputs!$B$32,0)))*(1-IF(AND(ArtifactsInput!$M$27,Inputs!$B$4="Chapter Hunt"),CHOOSE(ArtifactsInput!$N$27+1,20,24,28,32,36,40),0)/100)),0)</f>
        <v/>
      </c>
      <c r="R2738">
        <f>IF(AND(Inputs!$B$38&lt;&gt;"pvp",Inputs!$B$43&gt;0),IF(MAX(0,Inputs!$B$43-B2748)&lt;=0,0,(INT(MAX(0,Inputs!$B$43-B2748)/(IF(Inputs!$B$38="pvp",15,MAX(0.1,Skills!E28-IF(Skills!F28=TRUE,Inputs!$B$32,0)))*(1-IF(AND(ArtifactsInput!$M$27,Inputs!$B$4="Chapter Hunt"),CHOOSE(ArtifactsInput!$N$27+1,20,24,28,32,36,40),0)/100)))+1)),0)</f>
        <v/>
      </c>
      <c r="S2738">
        <f>IF(C2738,(H2738*N2738*IF(AND(Inputs!$B$38&lt;&gt;"pvp",Inputs!$B$43&gt;0),((Skills!G28*((R2738-1)*IF(Skills!H28&gt;0,Skills!I28/Skills!H28,1)+IF(Skills!H28&gt;0,MIN(Skills!I28,MAX(0,MAX(0,Inputs!$B$43-B2748)-((R2738-1)*(IF(Inputs!$B$38="pvp",15,MAX(0.1,Skills!E28-IF(Skills!F28=TRUE,Inputs!$B$32,0)))*(1-IF(AND(ArtifactsInput!$M$27,Inputs!$B$4="Chapter Hunt"),CHOOSE(ArtifactsInput!$N$27+1,20,24,28,32,36,40),0)/100)))))/Skills!H28,1)))/Inputs!$B$43),G2738*Q2738)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2738*(1-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2738*(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2738*(1-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2738*(MIN(100,(Inputs!$B$9+(F2730-Calc!F20)+(ArtifactsInput!$M$24-ArtifactsInput!$M$24)*CHOOSE(ArtifactsInput!$N$24+1,10,12,14,16,18,20)+(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38">
        <f>IF(C2738,(H2738*N2738*IF(AND(Inputs!$B$38&lt;&gt;"pvp",Inputs!$B$43&gt;0),((Skills!G28*((R2738-1)*IF(Skills!H28&gt;0,Skills!I28/Skills!H28,1)+IF(Skills!H28&gt;0,MIN(Skills!I28,MAX(0,MAX(0,Inputs!$B$43-B2748)-((R2738-1)*(IF(Inputs!$B$38="pvp",15,MAX(0.1,Skills!E28-IF(Skills!F28=TRUE,Inputs!$B$32,0)))*(1-IF(AND(ArtifactsInput!$M$27,Inputs!$B$4="Chapter Hunt"),CHOOSE(ArtifactsInput!$N$27+1,20,24,28,32,36,40),0)/100)))))/Skills!H28,1)))/Inputs!$B$43),G2738*Q2738)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0">
      <c r="A2740" t="inlineStr">
        <is>
          <t>Burning Magic Multiplier</t>
        </is>
      </c>
      <c r="B2740">
        <f>1+(F2721*Skills!Z11)/100</f>
        <v/>
      </c>
    </row>
    <row r="2741">
      <c r="A2741" t="inlineStr">
        <is>
          <t>Elemental Decrease Multiplier (always-on)</t>
        </is>
      </c>
      <c r="B2741">
        <f>1+(F2722+(IF(AND(ArtifactsInput!$M$35,Inputs!$B$4&lt;&gt;"Chapter Hunt"),CHOOSE(ArtifactsInput!$N$35+1,15,18,21,24,27,30)*(1-EXP(-(0.2*B2744)*5)),0)+IF(AND(ArtifactsInput!$M$22,Inputs!$B$4&lt;&gt;"Chapter Hunt"),CHOOSE(ArtifactsInput!$N$22+1,10,12,14,16,18,20)*((0*(((0.15*B2744*5))^0/1)+1*(((0.15*B2744*5))^1/1)+2*(((0.15*B2744*5))^2/2)+3*(((0.15*B2744*5))^3/6)+4*(((0.15*B2744*5))^4/24)+5*(((0.15*B2744*5))^5/120))/((((0.15*B2744*5))^0/1)+(((0.15*B2744*5))^1/1)+(((0.15*B2744*5))^2/2)+(((0.15*B2744*5))^3/6)+(((0.15*B2744*5))^4/24)+(((0.15*B2744*5))^5/120))),0)))/100</f>
        <v/>
      </c>
    </row>
    <row r="2742">
      <c r="A2742" t="inlineStr">
        <is>
          <t>Average Buff Multiplier (Magic Guard + Meditation + Artifact Attack%, summed; then Infinity)</t>
        </is>
      </c>
      <c r="B2742">
        <f>(1+(F2716*IF(AND(Inputs!$B$38&lt;&gt;"pvp",Inputs!$B$43&gt;0),(((R2716-1)*(Skills!T6*(1+((Inputs!$B$34+(ArtifactsInput!$M$7-ArtifactsInput!$M$7)*CHOOSE(ArtifactsInput!$N$7+1,6,7.2,8.4,9.6,10.8,12)))/100))+MIN((Skills!T6*(1+((Inputs!$B$34+(ArtifactsInput!$M$7-ArtifactsInput!$M$7)*CHOOSE(ArtifactsInput!$N$7+1,6,7.2,8.4,9.6,10.8,12)))/100)),MAX(0,Inputs!$B$43-((R2716-1)*Skills!E6))))/Inputs!$B$43),IF(Inputs!$B$38="pvp",MIN((Skills!T6*(1+((Inputs!$B$34+(ArtifactsInput!$M$7-ArtifactsInput!$M$7)*CHOOSE(ArtifactsInput!$N$7+1,6,7.2,8.4,9.6,10.8,12)))/100)),15)/15,(Skills!T6*(1+((Inputs!$B$34+(ArtifactsInput!$M$7-ArtifactsInput!$M$7)*CHOOSE(ArtifactsInput!$N$7+1,6,7.2,8.4,9.6,10.8,12)))/100))/Skills!E6))+F2727*IF(AND(Inputs!$B$38&lt;&gt;"pvp",Inputs!$B$43&gt;0),(((R2727-1)*(Skills!T17*(1+((Inputs!$B$34+(ArtifactsInput!$M$7-ArtifactsInput!$M$7)*CHOOSE(ArtifactsInput!$N$7+1,6,7.2,8.4,9.6,10.8,12)))/100))+MIN((Skills!T17*(1+((Inputs!$B$34+(ArtifactsInput!$M$7-ArtifactsInput!$M$7)*CHOOSE(ArtifactsInput!$N$7+1,6,7.2,8.4,9.6,10.8,12)))/100)),MAX(0,Inputs!$B$43-((R2727-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2729=TRUE,(1+F2729*IF(AND(Inputs!$B$38&lt;&gt;"pvp",Inputs!$B$43&gt;0),(((R2729-1)*(Skills!T19*(1+((Inputs!$B$34+(ArtifactsInput!$M$7-ArtifactsInput!$M$7)*CHOOSE(ArtifactsInput!$N$7+1,6,7.2,8.4,9.6,10.8,12)))/100))+MIN((Skills!T19*(1+((Inputs!$B$34+(ArtifactsInput!$M$7-ArtifactsInput!$M$7)*CHOOSE(ArtifactsInput!$N$7+1,6,7.2,8.4,9.6,10.8,12)))/100)),MAX(0,Inputs!$B$43-((R2729-1)*Skills!E19))))/Inputs!$B$43),IF(Inputs!$B$38="pvp",MIN((Skills!T19*(1+((Inputs!$B$34+(ArtifactsInput!$M$7-ArtifactsInput!$M$7)*CHOOSE(ArtifactsInput!$N$7+1,6,7.2,8.4,9.6,10.8,12)))/100)),15)/15,(Skills!T19*(1+((Inputs!$B$34+(ArtifactsInput!$M$7-ArtifactsInput!$M$7)*CHOOSE(ArtifactsInput!$N$7+1,6,7.2,8.4,9.6,10.8,12)))/100))/Skills!E19))/100),1)</f>
        <v/>
      </c>
    </row>
    <row r="2743">
      <c r="A2743" t="inlineStr">
        <is>
          <t>Attack Speed Buff Bonus % (Nimble Feet, averaged)</t>
        </is>
      </c>
      <c r="B2743">
        <f>F2728*IF(AND(Inputs!$B$38&lt;&gt;"pvp",Inputs!$B$43&gt;0),(((R2728-1)*(Skills!T18*(1+((Inputs!$B$34+(ArtifactsInput!$M$7-ArtifactsInput!$M$7)*CHOOSE(ArtifactsInput!$N$7+1,6,7.2,8.4,9.6,10.8,12)))/100))+MIN((Skills!T18*(1+((Inputs!$B$34+(ArtifactsInput!$M$7-ArtifactsInput!$M$7)*CHOOSE(ArtifactsInput!$N$7+1,6,7.2,8.4,9.6,10.8,12)))/100)),MAX(0,Inputs!$B$43-((R2728-1)*Skills!E18))))/Inputs!$B$43),IF(Inputs!$B$38="pvp",MIN((Skills!T18*(1+((Inputs!$B$34+(ArtifactsInput!$M$7-ArtifactsInput!$M$7)*CHOOSE(ArtifactsInput!$N$7+1,6,7.2,8.4,9.6,10.8,12)))/100)),15)/15,(Skills!T18*(1+((Inputs!$B$34+(ArtifactsInput!$M$7-ArtifactsInput!$M$7)*CHOOSE(ArtifactsInput!$N$7+1,6,7.2,8.4,9.6,10.8,12)))/100))/Skills!E18))</f>
        <v/>
      </c>
    </row>
    <row r="2744">
      <c r="A2744" t="inlineStr">
        <is>
          <t>Actions Per Second</t>
        </is>
      </c>
      <c r="B2744">
        <f>1+MIN(150,150*(1-(1-(Inputs!$B$11+(ArtifactsInput!$M$15-ArtifactsInput!$M$15)*CHOOSE(ArtifactsInput!$N$15+1,8,9.6,11.2,12.8,14.4,16))/150)*(1-B2743/150)))/100</f>
        <v/>
      </c>
    </row>
    <row r="2745">
      <c r="A2745" t="inlineStr">
        <is>
          <t>Skill + Buff Cast Rate</t>
        </is>
      </c>
      <c r="B2745">
        <f>IF(AND(Inputs!$B$38&lt;&gt;"pvp",Inputs!$B$43&gt;0),SUMPRODUCT((Skills!F2:F28=TRUE)*(C2712:C2738=TRUE)*R2712:R2738)/Inputs!$B$43,SUMPRODUCT((Skills!F2:F28=TRUE)*(C2712:C2738=TRUE)*Q2712:Q2738))</f>
        <v/>
      </c>
    </row>
    <row r="2746">
      <c r="A2746" t="inlineStr">
        <is>
          <t>Basic Attacks Per Second</t>
        </is>
      </c>
      <c r="B2746">
        <f>MAX(0,B2744-B2745)</f>
        <v/>
      </c>
    </row>
    <row r="2747">
      <c r="A2747" t="inlineStr">
        <is>
          <t>Meteor Proc — combined trigger cast rate</t>
        </is>
      </c>
      <c r="B2747">
        <f>IF(AND(Inputs!$B$38&lt;&gt;"pvp",Inputs!$B$43&gt;0),SUMPRODUCT((Skills!V2:V28=TRUE)*(C2712:C2738=TRUE)*R2712:R2738*Skills!W2:W28)/Inputs!$B$43,SUMPRODUCT((Skills!V2:V28=TRUE)*(C2712:C2738=TRUE)*Q2712:Q2738*Skills!W2:W28))+B2746</f>
        <v/>
      </c>
    </row>
    <row r="2748">
      <c r="A2748" t="inlineStr">
        <is>
          <t>Buff-Casting Startup Delay (s, fixed-duration only)</t>
        </is>
      </c>
      <c r="B2748">
        <f>IF(AND(Inputs!$B$38&lt;&gt;"pvp",Inputs!$B$43&gt;0),SUMPRODUCT((Skills!T2:T28&gt;0)*(Skills!F2:F28=TRUE)*(C2712:C2738=TRUE))/B2744,0)</f>
        <v/>
      </c>
    </row>
    <row r="2749">
      <c r="A2749" t="inlineStr">
        <is>
          <t>Boss-Only Total DPS (this block's swept value)</t>
        </is>
      </c>
      <c r="B2749">
        <f>SUM(S2712:S2738)</f>
        <v/>
      </c>
    </row>
    <row r="2750">
      <c r="A2750" t="inlineStr">
        <is>
          <t>Normal-Only Total DPS (this block's swept value)</t>
        </is>
      </c>
      <c r="B2750">
        <f>SUM(U2712:U2738)</f>
        <v/>
      </c>
    </row>
    <row r="2751">
      <c r="A2751" s="6" t="inlineStr">
        <is>
          <t>TOTAL DPS</t>
        </is>
      </c>
      <c r="B2751" s="6">
        <f>SUM(O2712:O2738)</f>
        <v/>
      </c>
    </row>
    <row r="2754">
      <c r="A2754" s="9" t="inlineStr">
        <is>
          <t>Cooldown Reduction Milestone Sweep (absolute CDR seconds, fixed-duration content only)</t>
        </is>
      </c>
    </row>
    <row r="2755">
      <c r="A2755" s="5" t="inlineStr">
        <is>
          <t>CDR (s)</t>
        </is>
      </c>
      <c r="B2755" s="5" t="inlineStr">
        <is>
          <t>Total DPS</t>
        </is>
      </c>
      <c r="C2755" s="5" t="inlineStr">
        <is>
          <t>DPS Gain (vs prior step)</t>
        </is>
      </c>
      <c r="D2755" s="5" t="inlineStr">
        <is>
          <t>% Gain (vs current CDR)</t>
        </is>
      </c>
    </row>
    <row r="2756">
      <c r="A2756" t="n">
        <v>0.5</v>
      </c>
      <c r="B2756">
        <f>B2809</f>
        <v/>
      </c>
      <c r="C2756" t="n">
        <v>0</v>
      </c>
      <c r="D2756">
        <f>IF(Summary!$B$3=0,0,(B2756-Summary!$B$3)/Summary!$B$3*100)</f>
        <v/>
      </c>
    </row>
    <row r="2757">
      <c r="A2757" t="n">
        <v>1</v>
      </c>
      <c r="B2757">
        <f>B2853</f>
        <v/>
      </c>
      <c r="C2757">
        <f>B2757-B2756</f>
        <v/>
      </c>
      <c r="D2757">
        <f>IF(Summary!$B$3=0,0,(B2757-Summary!$B$3)/Summary!$B$3*100)</f>
        <v/>
      </c>
    </row>
    <row r="2758">
      <c r="A2758" t="n">
        <v>1.5</v>
      </c>
      <c r="B2758">
        <f>B2897</f>
        <v/>
      </c>
      <c r="C2758">
        <f>B2758-B2757</f>
        <v/>
      </c>
      <c r="D2758">
        <f>IF(Summary!$B$3=0,0,(B2758-Summary!$B$3)/Summary!$B$3*100)</f>
        <v/>
      </c>
    </row>
    <row r="2759">
      <c r="A2759" t="n">
        <v>2</v>
      </c>
      <c r="B2759">
        <f>B2941</f>
        <v/>
      </c>
      <c r="C2759">
        <f>B2759-B2758</f>
        <v/>
      </c>
      <c r="D2759">
        <f>IF(Summary!$B$3=0,0,(B2759-Summary!$B$3)/Summary!$B$3*100)</f>
        <v/>
      </c>
    </row>
    <row r="2760">
      <c r="A2760" t="n">
        <v>2.5</v>
      </c>
      <c r="B2760">
        <f>B2985</f>
        <v/>
      </c>
      <c r="C2760">
        <f>B2760-B2759</f>
        <v/>
      </c>
      <c r="D2760">
        <f>IF(Summary!$B$3=0,0,(B2760-Summary!$B$3)/Summary!$B$3*100)</f>
        <v/>
      </c>
    </row>
    <row r="2761">
      <c r="A2761" t="n">
        <v>3</v>
      </c>
      <c r="B2761">
        <f>B3029</f>
        <v/>
      </c>
      <c r="C2761">
        <f>B2761-B2760</f>
        <v/>
      </c>
      <c r="D2761">
        <f>IF(Summary!$B$3=0,0,(B2761-Summary!$B$3)/Summary!$B$3*100)</f>
        <v/>
      </c>
    </row>
    <row r="2762">
      <c r="A2762" t="n">
        <v>3.5</v>
      </c>
      <c r="B2762">
        <f>B3073</f>
        <v/>
      </c>
      <c r="C2762">
        <f>B2762-B2761</f>
        <v/>
      </c>
      <c r="D2762">
        <f>IF(Summary!$B$3=0,0,(B2762-Summary!$B$3)/Summary!$B$3*100)</f>
        <v/>
      </c>
    </row>
    <row r="2763">
      <c r="A2763" t="n">
        <v>4</v>
      </c>
      <c r="B2763">
        <f>B3117</f>
        <v/>
      </c>
      <c r="C2763">
        <f>B2763-B2762</f>
        <v/>
      </c>
      <c r="D2763">
        <f>IF(Summary!$B$3=0,0,(B2763-Summary!$B$3)/Summary!$B$3*100)</f>
        <v/>
      </c>
    </row>
    <row r="2764">
      <c r="A2764" t="n">
        <v>4.5</v>
      </c>
      <c r="B2764">
        <f>B3161</f>
        <v/>
      </c>
      <c r="C2764">
        <f>B2764-B2763</f>
        <v/>
      </c>
      <c r="D2764">
        <f>IF(Summary!$B$3=0,0,(B2764-Summary!$B$3)/Summary!$B$3*100)</f>
        <v/>
      </c>
    </row>
    <row r="2765">
      <c r="A2765" t="n">
        <v>5</v>
      </c>
      <c r="B2765">
        <f>B3205</f>
        <v/>
      </c>
      <c r="C2765">
        <f>B2765-B2764</f>
        <v/>
      </c>
      <c r="D2765">
        <f>IF(Summary!$B$3=0,0,(B2765-Summary!$B$3)/Summary!$B$3*100)</f>
        <v/>
      </c>
    </row>
    <row r="2768">
      <c r="A2768" s="6" t="inlineStr">
        <is>
          <t>Stat: CDR = 0.5s</t>
        </is>
      </c>
    </row>
    <row r="2769">
      <c r="A2769" s="5" t="inlineStr">
        <is>
          <t>Key</t>
        </is>
      </c>
      <c r="B2769" s="5" t="inlineStr">
        <is>
          <t>Name</t>
        </is>
      </c>
      <c r="C2769" s="5" t="inlineStr">
        <is>
          <t>Unlocked</t>
        </is>
      </c>
      <c r="D2769" s="5" t="inlineStr">
        <is>
          <t>InputLevel</t>
        </is>
      </c>
      <c r="E2769" s="5" t="inlineStr">
        <is>
          <t>Factor</t>
        </is>
      </c>
      <c r="F2769" s="5" t="inlineStr">
        <is>
          <t>CoefficientPercent</t>
        </is>
      </c>
      <c r="G2769" s="5" t="inlineStr">
        <is>
          <t>EffectiveHits</t>
        </is>
      </c>
      <c r="H2769" s="5" t="inlineStr">
        <is>
          <t>ProcProbability</t>
        </is>
      </c>
      <c r="I2769" s="5" t="inlineStr">
        <is>
          <t>MapleHeroMultiplier</t>
        </is>
      </c>
      <c r="J2769" s="5" t="inlineStr">
        <is>
          <t>BaseDamage</t>
        </is>
      </c>
      <c r="K2769" s="5" t="inlineStr">
        <is>
          <t>BaseHitDamage</t>
        </is>
      </c>
      <c r="L2769" s="5" t="inlineStr">
        <is>
          <t>NonCritAvg</t>
        </is>
      </c>
      <c r="M2769" s="5" t="inlineStr">
        <is>
          <t>CritAvg</t>
        </is>
      </c>
      <c r="N2769" s="5" t="inlineStr">
        <is>
          <t>ExpectedDamage(perHit)</t>
        </is>
      </c>
      <c r="O2769" s="5" t="inlineStr">
        <is>
          <t>DPS</t>
        </is>
      </c>
      <c r="P2769" s="5" t="inlineStr">
        <is>
          <t>% of Total</t>
        </is>
      </c>
      <c r="R2769" t="inlineStr">
        <is>
          <t>helpers</t>
        </is>
      </c>
    </row>
    <row r="2770">
      <c r="A2770">
        <f>Skills!A2</f>
        <v/>
      </c>
      <c r="B2770">
        <f>Skills!B2</f>
        <v/>
      </c>
      <c r="C2770">
        <f>TRUE</f>
        <v/>
      </c>
      <c r="D2770" t="inlineStr"/>
      <c r="E2770" t="inlineStr"/>
      <c r="F2770">
        <f>T2772+Skills!O2</f>
        <v/>
      </c>
      <c r="G2770">
        <f>Calc!G2</f>
        <v/>
      </c>
      <c r="H2770">
        <f>Calc!H2</f>
        <v/>
      </c>
      <c r="I2770">
        <f>IF(Skills!X2&lt;&gt;"",1+(Skills!X2/10)*(Z2771/1000)/100,1)</f>
        <v/>
      </c>
      <c r="J2770">
        <f>((Inputs!$B$6*(1+Inputs!$B$7/100))+(((Inputs!$B$12*(1+Inputs!$B$13/100))-(Inputs!$B$12*(1+Inputs!$B$13/100)))+0.25*(Inputs!$B$14-Inputs!$B$14))*(1+Inputs!$B$7/100))*(F2770/100)</f>
        <v/>
      </c>
      <c r="K2770">
        <f>J2770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2770)</f>
        <v/>
      </c>
      <c r="L2770">
        <f>K2770*(MIN(Inputs!$B$22+(F2790-Calc!F22),(Inputs!$B$23+(IF(ArtifactsInput!$M$15,CHOOSE(ArtifactsInput!$N$15+1,25,30,35,40,45,50)/100*(Inputs!$B$11-Inputs!$B$11),0))))/100+(Inputs!$B$23+(IF(ArtifactsInput!$M$15,CHOOSE(ArtifactsInput!$N$15+1,25,30,35,40,45,50)/100*(Inputs!$B$11-Inputs!$B$11),0)))/100)/2</f>
        <v/>
      </c>
      <c r="M2770">
        <f>L2770*(1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0">
        <f>L2770*(1-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2770*(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0">
        <f>(1-Summary!$B$11)*S2770+Summary!$B$11*U2770</f>
        <v/>
      </c>
      <c r="P2770">
        <f>IF(B2809=0,0,O2770/B2809)</f>
        <v/>
      </c>
      <c r="Q2770">
        <f>IFERROR(1/(IF(Inputs!$B$38="pvp",15,MAX(0.1,Skills!E2-IF(Skills!F2=TRUE,0.5,0)))*(1-IF(AND(ArtifactsInput!$M$27,Inputs!$B$4="Chapter Hunt"),CHOOSE(ArtifactsInput!$N$27+1,20,24,28,32,36,40),0)/100)),0)</f>
        <v/>
      </c>
      <c r="R2770" t="n">
        <v>0</v>
      </c>
      <c r="S2770">
        <f>(Skills!G2*N2770*B2804)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2770*(1-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2770*(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2770*(1-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2770*(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770">
        <f>MAX(0,(Inputs!$B$3-100)*3)+Inputs!$B$28+Inputs!$B$29</f>
        <v/>
      </c>
      <c r="U2770">
        <f>(Skills!G2*N2770*B2804)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770">
        <f>MAX(0,(Inputs!$B$3-100)*3)+Inputs!$B$28+Inputs!$B$29</f>
        <v/>
      </c>
    </row>
    <row r="2771">
      <c r="A2771">
        <f>Skills!A3</f>
        <v/>
      </c>
      <c r="B2771">
        <f>Skills!B3</f>
        <v/>
      </c>
      <c r="C2771">
        <f>TRUE</f>
        <v/>
      </c>
      <c r="D2771">
        <f>IF(Skills!C3=1,60+Inputs!$B$25+Inputs!$B$29,IF(Skills!C3=2,90+Inputs!$B$26+Inputs!$B$29,IF(Skills!C3=3,120+Inputs!$B$27+Inputs!$B$29,MAX(0,(Inputs!$B$3-100)*3)+Inputs!$B$28+Inputs!$B$29)))</f>
        <v/>
      </c>
      <c r="E2771">
        <f>INDEX(FactorTable!$B$2:$Y$301, MATCH(ROUND(MIN(300,MAX(1,D2771)),0), FactorTable!$A$2:$A$301,0), Skills!M3+1)</f>
        <v/>
      </c>
      <c r="F2771">
        <f>IF(Skills!N3=TRUE,(Skills!L3/10)*(E2771/1000),Skills!L3/10)+Skills!O3</f>
        <v/>
      </c>
      <c r="G2771">
        <f>Calc!G3</f>
        <v/>
      </c>
      <c r="H2771">
        <f>Calc!H3</f>
        <v/>
      </c>
      <c r="I2771">
        <f>IF(Skills!X3&lt;&gt;"",1+(Skills!X3/10)*(Z2771/1000)/100,1)</f>
        <v/>
      </c>
      <c r="J2771">
        <f>((Inputs!$B$6*(1+Inputs!$B$7/100))+(((Inputs!$B$12*(1+Inputs!$B$13/100))-(Inputs!$B$12*(1+Inputs!$B$13/100)))+0.25*(Inputs!$B$14-Inputs!$B$14))*(1+Inputs!$B$7/100))*(F2771/100)</f>
        <v/>
      </c>
      <c r="K2771">
        <f>J2771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2771)</f>
        <v/>
      </c>
      <c r="L2771">
        <f>K2771*(MIN(Inputs!$B$22+(F2790-Calc!F22),(Inputs!$B$23+(IF(ArtifactsInput!$M$15,CHOOSE(ArtifactsInput!$N$15+1,25,30,35,40,45,50)/100*(Inputs!$B$11-Inputs!$B$11),0))))/100+(Inputs!$B$23+(IF(ArtifactsInput!$M$15,CHOOSE(ArtifactsInput!$N$15+1,25,30,35,40,45,50)/100*(Inputs!$B$11-Inputs!$B$11),0)))/100)/2</f>
        <v/>
      </c>
      <c r="M2771">
        <f>L2771*(1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1">
        <f>L2771*(1-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1">
        <f>(1-Summary!$B$11)*S2771+Summary!$B$11*U2771</f>
        <v/>
      </c>
      <c r="P2771">
        <f>IF(B2809=0,0,O2771/B2809)</f>
        <v/>
      </c>
      <c r="Q2771">
        <f>IFERROR(1/(IF(Inputs!$B$38="pvp",15,MAX(0.1,Skills!E3-IF(Skills!F3=TRUE,0.5,0)))*(1-IF(AND(ArtifactsInput!$M$27,Inputs!$B$4="Chapter Hunt"),CHOOSE(ArtifactsInput!$N$27+1,20,24,28,32,36,40),0)/100)),0)</f>
        <v/>
      </c>
      <c r="R2771">
        <f>IF(AND(Inputs!$B$38&lt;&gt;"pvp",Inputs!$B$43&gt;0),IF(MAX(0,Inputs!$B$43-B2806)&lt;=0,0,(INT(MAX(0,Inputs!$B$43-B2806)/(IF(Inputs!$B$38="pvp",15,MAX(0.1,Skills!E3-IF(Skills!F3=TRUE,0.5,0)))*(1-IF(AND(ArtifactsInput!$M$27,Inputs!$B$4="Chapter Hunt"),CHOOSE(ArtifactsInput!$N$27+1,20,24,28,32,36,40),0)/100)))+1)),0)</f>
        <v/>
      </c>
      <c r="S2771">
        <f>IF(C2771,(H2771*N2771*IF(AND(Inputs!$B$38&lt;&gt;"pvp",Inputs!$B$43&gt;0),((Skills!G3*((R2771-1)*IF(Skills!H3&gt;0,Skills!I3/Skills!H3,1)+IF(Skills!H3&gt;0,MIN(Skills!I3,MAX(0,MAX(0,Inputs!$B$43-B2806)-((R2771-1)*(IF(Inputs!$B$38="pvp",15,MAX(0.1,Skills!E3-IF(Skills!F3=TRUE,0.5,0)))*(1-IF(AND(ArtifactsInput!$M$27,Inputs!$B$4="Chapter Hunt"),CHOOSE(ArtifactsInput!$N$27+1,20,24,28,32,36,40),0)/100)))))/Skills!H3,1)))/Inputs!$B$43),G2771*Q2771)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2771*(1-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2771*(1-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71">
        <f>INDEX(FactorTable!$B$2:$Y$301, MATCH(ROUND(MIN(300,MAX(1,T2770)),0), FactorTable!$A$2:$A$301,0), 22)</f>
        <v/>
      </c>
      <c r="U2771">
        <f>IF(C2771,(H2771*N2771*IF(AND(Inputs!$B$38&lt;&gt;"pvp",Inputs!$B$43&gt;0),((Skills!G3*((R2771-1)*IF(Skills!H3&gt;0,Skills!I3/Skills!H3,1)+IF(Skills!H3&gt;0,MIN(Skills!I3,MAX(0,MAX(0,Inputs!$B$43-B2806)-((R2771-1)*(IF(Inputs!$B$38="pvp",15,MAX(0.1,Skills!E3-IF(Skills!F3=TRUE,0.5,0)))*(1-IF(AND(ArtifactsInput!$M$27,Inputs!$B$4="Chapter Hunt"),CHOOSE(ArtifactsInput!$N$27+1,20,24,28,32,36,40),0)/100)))))/Skills!H3,1)))/Inputs!$B$43),G2771*Q2771)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771">
        <f>INDEX(FactorTable!$B$2:$Y$301, MATCH(ROUND(MIN(300,MAX(1,Z2770)),0), FactorTable!$A$2:$A$301,0), 24)</f>
        <v/>
      </c>
    </row>
    <row r="2772">
      <c r="A2772">
        <f>Skills!A4</f>
        <v/>
      </c>
      <c r="B2772">
        <f>Skills!B4</f>
        <v/>
      </c>
      <c r="C2772">
        <f>TRUE</f>
        <v/>
      </c>
      <c r="D2772">
        <f>IF(Skills!C4=1,60+Inputs!$B$25+Inputs!$B$29,IF(Skills!C4=2,90+Inputs!$B$26+Inputs!$B$29,IF(Skills!C4=3,120+Inputs!$B$27+Inputs!$B$29,MAX(0,(Inputs!$B$3-100)*3)+Inputs!$B$28+Inputs!$B$29)))</f>
        <v/>
      </c>
      <c r="E2772">
        <f>INDEX(FactorTable!$B$2:$Y$301, MATCH(ROUND(MIN(300,MAX(1,D2772)),0), FactorTable!$A$2:$A$301,0), Skills!M4+1)</f>
        <v/>
      </c>
      <c r="F2772">
        <f>IF(Skills!N4=TRUE,(Skills!L4/10)*(E2772/1000),Skills!L4/10)+Skills!O4</f>
        <v/>
      </c>
      <c r="G2772">
        <f>Calc!G4</f>
        <v/>
      </c>
      <c r="H2772">
        <f>Calc!H4</f>
        <v/>
      </c>
      <c r="I2772">
        <f>IF(Skills!X4&lt;&gt;"",1+(Skills!X4/10)*(Z2771/1000)/100,1)</f>
        <v/>
      </c>
      <c r="J2772">
        <f>((Inputs!$B$6*(1+Inputs!$B$7/100))+(((Inputs!$B$12*(1+Inputs!$B$13/100))-(Inputs!$B$12*(1+Inputs!$B$13/100)))+0.25*(Inputs!$B$14-Inputs!$B$14))*(1+Inputs!$B$7/100))*(F2772/100)</f>
        <v/>
      </c>
      <c r="K2772">
        <f>J2772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2772)</f>
        <v/>
      </c>
      <c r="L2772">
        <f>K2772*(MIN(Inputs!$B$22+(F2790-Calc!F22),(Inputs!$B$23+(IF(ArtifactsInput!$M$15,CHOOSE(ArtifactsInput!$N$15+1,25,30,35,40,45,50)/100*(Inputs!$B$11-Inputs!$B$11),0))))/100+(Inputs!$B$23+(IF(ArtifactsInput!$M$15,CHOOSE(ArtifactsInput!$N$15+1,25,30,35,40,45,50)/100*(Inputs!$B$11-Inputs!$B$11),0)))/100)/2</f>
        <v/>
      </c>
      <c r="M2772">
        <f>L2772*(1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2">
        <f>L2772*(1-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2772*(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2">
        <f>(1-Summary!$B$11)*S2772+Summary!$B$11*U2772</f>
        <v/>
      </c>
      <c r="P2772">
        <f>IF(B2809=0,0,O2772/B2809)</f>
        <v/>
      </c>
      <c r="Q2772">
        <f>IFERROR(1/(IF(Inputs!$B$38="pvp",15,MAX(0.1,Skills!E4-IF(Skills!F4=TRUE,0.5,0)))*(1-IF(AND(ArtifactsInput!$M$27,Inputs!$B$4="Chapter Hunt"),CHOOSE(ArtifactsInput!$N$27+1,20,24,28,32,36,40),0)/100)),0)</f>
        <v/>
      </c>
      <c r="R2772">
        <f>IF(AND(Inputs!$B$38&lt;&gt;"pvp",Inputs!$B$43&gt;0),IF(MAX(0,Inputs!$B$43-B2806)&lt;=0,0,(INT(MAX(0,Inputs!$B$43-B2806)/(IF(Inputs!$B$38="pvp",15,MAX(0.1,Skills!E4-IF(Skills!F4=TRUE,0.5,0)))*(1-IF(AND(ArtifactsInput!$M$27,Inputs!$B$4="Chapter Hunt"),CHOOSE(ArtifactsInput!$N$27+1,20,24,28,32,36,40),0)/100)))+1)),0)</f>
        <v/>
      </c>
      <c r="S2772">
        <f>IF(C2772,(H2772*N2772*IF(AND(Inputs!$B$38&lt;&gt;"pvp",Inputs!$B$43&gt;0),((Skills!G4*((R2772-1)*IF(Skills!H4&gt;0,Skills!I4/Skills!H4,1)+IF(Skills!H4&gt;0,MIN(Skills!I4,MAX(0,MAX(0,Inputs!$B$43-B2806)-((R2772-1)*(IF(Inputs!$B$38="pvp",15,MAX(0.1,Skills!E4-IF(Skills!F4=TRUE,0.5,0)))*(1-IF(AND(ArtifactsInput!$M$27,Inputs!$B$4="Chapter Hunt"),CHOOSE(ArtifactsInput!$N$27+1,20,24,28,32,36,40),0)/100)))))/Skills!H4,1)))/Inputs!$B$43),G2772*Q2772)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2772*(1-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2772*(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2772*(1-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2772*(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72">
        <f>290*T2771/1000</f>
        <v/>
      </c>
      <c r="U2772">
        <f>IF(C2772,(H2772*N2772*IF(AND(Inputs!$B$38&lt;&gt;"pvp",Inputs!$B$43&gt;0),((Skills!G4*((R2772-1)*IF(Skills!H4&gt;0,Skills!I4/Skills!H4,1)+IF(Skills!H4&gt;0,MIN(Skills!I4,MAX(0,MAX(0,Inputs!$B$43-B2806)-((R2772-1)*(IF(Inputs!$B$38="pvp",15,MAX(0.1,Skills!E4-IF(Skills!F4=TRUE,0.5,0)))*(1-IF(AND(ArtifactsInput!$M$27,Inputs!$B$4="Chapter Hunt"),CHOOSE(ArtifactsInput!$N$27+1,20,24,28,32,36,40),0)/100)))))/Skills!H4,1)))/Inputs!$B$43),G2772*Q2772)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3">
      <c r="A2773">
        <f>Skills!A5</f>
        <v/>
      </c>
      <c r="B2773">
        <f>Skills!B5</f>
        <v/>
      </c>
      <c r="C2773">
        <f>TRUE</f>
        <v/>
      </c>
      <c r="D2773">
        <f>IF(Skills!C5=1,60+Inputs!$B$25+Inputs!$B$29,IF(Skills!C5=2,90+Inputs!$B$26+Inputs!$B$29,IF(Skills!C5=3,120+Inputs!$B$27+Inputs!$B$29,MAX(0,(Inputs!$B$3-100)*3)+Inputs!$B$28+Inputs!$B$29)))</f>
        <v/>
      </c>
      <c r="E2773">
        <f>INDEX(FactorTable!$B$2:$Y$301, MATCH(ROUND(MIN(300,MAX(1,D2773)),0), FactorTable!$A$2:$A$301,0), Skills!M5+1)</f>
        <v/>
      </c>
      <c r="F2773">
        <f>IF(Skills!N5=TRUE,(Skills!L5/10)*(E2773/1000),Skills!L5/10)+Skills!O5</f>
        <v/>
      </c>
      <c r="G2773">
        <f>Calc!G5</f>
        <v/>
      </c>
      <c r="H2773">
        <f>Calc!H5</f>
        <v/>
      </c>
      <c r="I2773">
        <f>IF(Skills!X5&lt;&gt;"",1+(Skills!X5/10)*(Z2771/1000)/100,1)</f>
        <v/>
      </c>
      <c r="J2773">
        <f>((Inputs!$B$6*(1+Inputs!$B$7/100))+(((Inputs!$B$12*(1+Inputs!$B$13/100))-(Inputs!$B$12*(1+Inputs!$B$13/100)))+0.25*(Inputs!$B$14-Inputs!$B$14))*(1+Inputs!$B$7/100))*(F2773/100)</f>
        <v/>
      </c>
      <c r="K2773">
        <f>J2773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2773)</f>
        <v/>
      </c>
      <c r="L2773">
        <f>K2773*(MIN(Inputs!$B$22+(F2790-Calc!F22),(Inputs!$B$23+(IF(ArtifactsInput!$M$15,CHOOSE(ArtifactsInput!$N$15+1,25,30,35,40,45,50)/100*(Inputs!$B$11-Inputs!$B$11),0))))/100+(Inputs!$B$23+(IF(ArtifactsInput!$M$15,CHOOSE(ArtifactsInput!$N$15+1,25,30,35,40,45,50)/100*(Inputs!$B$11-Inputs!$B$11),0)))/100)/2</f>
        <v/>
      </c>
      <c r="M2773">
        <f>L2773*(1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3">
        <f>L2773*(1-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2773*(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3">
        <f>(1-Summary!$B$11)*S2773+Summary!$B$11*U2773</f>
        <v/>
      </c>
      <c r="P2773">
        <f>IF(B2809=0,0,O2773/B2809)</f>
        <v/>
      </c>
      <c r="Q2773">
        <f>IFERROR(1/(IF(Inputs!$B$38="pvp",15,MAX(0.1,Skills!E5-IF(Skills!F5=TRUE,0.5,0)))*(1-IF(AND(ArtifactsInput!$M$27,Inputs!$B$4="Chapter Hunt"),CHOOSE(ArtifactsInput!$N$27+1,20,24,28,32,36,40),0)/100)),0)</f>
        <v/>
      </c>
      <c r="R2773">
        <f>IF(AND(Inputs!$B$38&lt;&gt;"pvp",Inputs!$B$43&gt;0),IF(MAX(0,Inputs!$B$43-B2806)&lt;=0,0,(INT(MAX(0,Inputs!$B$43-B2806)/(IF(Inputs!$B$38="pvp",15,MAX(0.1,Skills!E5-IF(Skills!F5=TRUE,0.5,0)))*(1-IF(AND(ArtifactsInput!$M$27,Inputs!$B$4="Chapter Hunt"),CHOOSE(ArtifactsInput!$N$27+1,20,24,28,32,36,40),0)/100)))+1)),0)</f>
        <v/>
      </c>
      <c r="S2773">
        <f>IF(C2773,(H2773*N2773*IF(AND(Inputs!$B$38&lt;&gt;"pvp",Inputs!$B$43&gt;0),((Skills!G5*((R2773-1)*IF(Skills!H5&gt;0,Skills!I5/Skills!H5,1)+IF(Skills!H5&gt;0,MIN(Skills!I5,MAX(0,MAX(0,Inputs!$B$43-B2806)-((R2773-1)*(IF(Inputs!$B$38="pvp",15,MAX(0.1,Skills!E5-IF(Skills!F5=TRUE,0.5,0)))*(1-IF(AND(ArtifactsInput!$M$27,Inputs!$B$4="Chapter Hunt"),CHOOSE(ArtifactsInput!$N$27+1,20,24,28,32,36,40),0)/100)))))/Skills!H5,1)))/Inputs!$B$43),G2773*Q2773)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2773*(1-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2773*(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2773*(1-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2773*(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3">
        <f>IF(C2773,(H2773*N2773*IF(AND(Inputs!$B$38&lt;&gt;"pvp",Inputs!$B$43&gt;0),((Skills!G5*((R2773-1)*IF(Skills!H5&gt;0,Skills!I5/Skills!H5,1)+IF(Skills!H5&gt;0,MIN(Skills!I5,MAX(0,MAX(0,Inputs!$B$43-B2806)-((R2773-1)*(IF(Inputs!$B$38="pvp",15,MAX(0.1,Skills!E5-IF(Skills!F5=TRUE,0.5,0)))*(1-IF(AND(ArtifactsInput!$M$27,Inputs!$B$4="Chapter Hunt"),CHOOSE(ArtifactsInput!$N$27+1,20,24,28,32,36,40),0)/100)))))/Skills!H5,1)))/Inputs!$B$43),G2773*Q2773)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4">
      <c r="A2774">
        <f>Skills!A6</f>
        <v/>
      </c>
      <c r="B2774">
        <f>Skills!B6</f>
        <v/>
      </c>
      <c r="C2774">
        <f>TRUE</f>
        <v/>
      </c>
      <c r="D2774">
        <f>IF(Skills!C6=1,60+Inputs!$B$25+Inputs!$B$29,IF(Skills!C6=2,90+Inputs!$B$26+Inputs!$B$29,IF(Skills!C6=3,120+Inputs!$B$27+Inputs!$B$29,MAX(0,(Inputs!$B$3-100)*3)+Inputs!$B$28+Inputs!$B$29)))</f>
        <v/>
      </c>
      <c r="E2774">
        <f>INDEX(FactorTable!$B$2:$Y$301, MATCH(ROUND(MIN(300,MAX(1,D2774)),0), FactorTable!$A$2:$A$301,0), Skills!M6+1)</f>
        <v/>
      </c>
      <c r="F2774">
        <f>IF(Skills!N6=TRUE,(Skills!L6/10)*(E2774/1000),Skills!L6/10)+Skills!O6</f>
        <v/>
      </c>
      <c r="G2774">
        <f>Calc!G6</f>
        <v/>
      </c>
      <c r="H2774">
        <f>Calc!H6</f>
        <v/>
      </c>
      <c r="I2774">
        <f>IF(Skills!X6&lt;&gt;"",1+(Skills!X6/10)*(Z2771/1000)/100,1)</f>
        <v/>
      </c>
      <c r="J2774" t="inlineStr"/>
      <c r="K2774" t="inlineStr"/>
      <c r="L2774" t="inlineStr"/>
      <c r="M2774" t="inlineStr"/>
      <c r="N2774" t="inlineStr"/>
      <c r="O2774">
        <f>(1-Summary!$B$11)*S2774+Summary!$B$11*U2774</f>
        <v/>
      </c>
      <c r="P2774">
        <f>IF(B2809=0,0,O2774/B2809)</f>
        <v/>
      </c>
      <c r="Q2774">
        <f>IFERROR(1/(IF(Inputs!$B$38="pvp",15,MAX(0.1,Skills!E6-IF(Skills!F6=TRUE,0.5,0)))*(1-IF(AND(ArtifactsInput!$M$27,Inputs!$B$4="Chapter Hunt"),CHOOSE(ArtifactsInput!$N$27+1,20,24,28,32,36,40),0)/100)),0)</f>
        <v/>
      </c>
      <c r="R2774">
        <f>IF(AND(Inputs!$B$38&lt;&gt;"pvp",Inputs!$B$43&gt;0),IF(Inputs!$B$43&lt;=0,0,(INT(Inputs!$B$43/(IF(Inputs!$B$38="pvp",15,MAX(0.1,Skills!E6-IF(Skills!F6=TRUE,0.5,0)))*(1-IF(AND(ArtifactsInput!$M$27,Inputs!$B$4="Chapter Hunt"),CHOOSE(ArtifactsInput!$N$27+1,20,24,28,32,36,40),0)/100)))+1)),0)</f>
        <v/>
      </c>
      <c r="S2774" t="n">
        <v>0</v>
      </c>
      <c r="U2774" t="n">
        <v>0</v>
      </c>
    </row>
    <row r="2775">
      <c r="A2775">
        <f>Skills!A7</f>
        <v/>
      </c>
      <c r="B2775">
        <f>Skills!B7</f>
        <v/>
      </c>
      <c r="C2775">
        <f>TRUE</f>
        <v/>
      </c>
      <c r="D2775">
        <f>IF(Skills!C7=1,60+Inputs!$B$25+Inputs!$B$29,IF(Skills!C7=2,90+Inputs!$B$26+Inputs!$B$29,IF(Skills!C7=3,120+Inputs!$B$27+Inputs!$B$29,MAX(0,(Inputs!$B$3-100)*3)+Inputs!$B$28+Inputs!$B$29)))</f>
        <v/>
      </c>
      <c r="E2775">
        <f>INDEX(FactorTable!$B$2:$Y$301, MATCH(ROUND(MIN(300,MAX(1,D2775)),0), FactorTable!$A$2:$A$301,0), Skills!M7+1)</f>
        <v/>
      </c>
      <c r="F2775">
        <f>IF(Skills!N7=TRUE,(Skills!L7/10)*(E2775/1000),Skills!L7/10)+Skills!O7</f>
        <v/>
      </c>
      <c r="G2775">
        <f>Calc!G7</f>
        <v/>
      </c>
      <c r="H2775">
        <f>Calc!H7</f>
        <v/>
      </c>
      <c r="I2775">
        <f>IF(Skills!X7&lt;&gt;"",1+(Skills!X7/10)*(Z2771/1000)/100,1)</f>
        <v/>
      </c>
      <c r="J2775">
        <f>((Inputs!$B$6*(1+Inputs!$B$7/100))+(((Inputs!$B$12*(1+Inputs!$B$13/100))-(Inputs!$B$12*(1+Inputs!$B$13/100)))+0.25*(Inputs!$B$14-Inputs!$B$14))*(1+Inputs!$B$7/100))*(F2775/100)</f>
        <v/>
      </c>
      <c r="K2775">
        <f>J2775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2775)</f>
        <v/>
      </c>
      <c r="L2775">
        <f>K2775*(MIN(Inputs!$B$22+(F2790-Calc!F22),(Inputs!$B$23+(IF(ArtifactsInput!$M$15,CHOOSE(ArtifactsInput!$N$15+1,25,30,35,40,45,50)/100*(Inputs!$B$11-Inputs!$B$11),0))))/100+(Inputs!$B$23+(IF(ArtifactsInput!$M$15,CHOOSE(ArtifactsInput!$N$15+1,25,30,35,40,45,50)/100*(Inputs!$B$11-Inputs!$B$11),0)))/100)/2</f>
        <v/>
      </c>
      <c r="M2775">
        <f>L2775*(1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5">
        <f>L2775*(1-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2775*(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5">
        <f>(1-Summary!$B$11)*S2775+Summary!$B$11*U2775</f>
        <v/>
      </c>
      <c r="P2775">
        <f>IF(B2809=0,0,O2775/B2809)</f>
        <v/>
      </c>
      <c r="Q2775">
        <f>IFERROR(1/(IF(Inputs!$B$38="pvp",15,MAX(0.1,Skills!E7-IF(Skills!F7=TRUE,0.5,0)))*(1-IF(AND(ArtifactsInput!$M$27,Inputs!$B$4="Chapter Hunt"),CHOOSE(ArtifactsInput!$N$27+1,20,24,28,32,36,40),0)/100)),0)</f>
        <v/>
      </c>
      <c r="R2775">
        <f>IF(AND(Inputs!$B$38&lt;&gt;"pvp",Inputs!$B$43&gt;0),IF(MAX(0,Inputs!$B$43-B2806)&lt;=0,0,(INT(MAX(0,Inputs!$B$43-B2806)/(IF(Inputs!$B$38="pvp",15,MAX(0.1,Skills!E7-IF(Skills!F7=TRUE,0.5,0)))*(1-IF(AND(ArtifactsInput!$M$27,Inputs!$B$4="Chapter Hunt"),CHOOSE(ArtifactsInput!$N$27+1,20,24,28,32,36,40),0)/100)))+1)),0)</f>
        <v/>
      </c>
      <c r="S2775">
        <f>IF(C2775,(H2775*N2775*IF(AND(Inputs!$B$38&lt;&gt;"pvp",Inputs!$B$43&gt;0),((Skills!G7*((R2775-1)*IF(Skills!H7&gt;0,Skills!I7/Skills!H7,1)+IF(Skills!H7&gt;0,MIN(Skills!I7,MAX(0,MAX(0,Inputs!$B$43-B2806)-((R2775-1)*(IF(Inputs!$B$38="pvp",15,MAX(0.1,Skills!E7-IF(Skills!F7=TRUE,0.5,0)))*(1-IF(AND(ArtifactsInput!$M$27,Inputs!$B$4="Chapter Hunt"),CHOOSE(ArtifactsInput!$N$27+1,20,24,28,32,36,40),0)/100)))))/Skills!H7,1)))/Inputs!$B$43),G2775*Q2775)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2775*(1-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2775*(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2775*(1-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2775*(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5">
        <f>IF(C2775,(H2775*N2775*IF(AND(Inputs!$B$38&lt;&gt;"pvp",Inputs!$B$43&gt;0),((Skills!G7*((R2775-1)*IF(Skills!H7&gt;0,Skills!I7/Skills!H7,1)+IF(Skills!H7&gt;0,MIN(Skills!I7,MAX(0,MAX(0,Inputs!$B$43-B2806)-((R2775-1)*(IF(Inputs!$B$38="pvp",15,MAX(0.1,Skills!E7-IF(Skills!F7=TRUE,0.5,0)))*(1-IF(AND(ArtifactsInput!$M$27,Inputs!$B$4="Chapter Hunt"),CHOOSE(ArtifactsInput!$N$27+1,20,24,28,32,36,40),0)/100)))))/Skills!H7,1)))/Inputs!$B$43),G2775*Q2775)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6">
      <c r="A2776">
        <f>Skills!A8</f>
        <v/>
      </c>
      <c r="B2776">
        <f>Skills!B8</f>
        <v/>
      </c>
      <c r="C2776">
        <f>TRUE</f>
        <v/>
      </c>
      <c r="D2776">
        <f>IF(Skills!C8=1,60+Inputs!$B$25+Inputs!$B$29,IF(Skills!C8=2,90+Inputs!$B$26+Inputs!$B$29,IF(Skills!C8=3,120+Inputs!$B$27+Inputs!$B$29,MAX(0,(Inputs!$B$3-100)*3)+Inputs!$B$28+Inputs!$B$29)))</f>
        <v/>
      </c>
      <c r="E2776">
        <f>INDEX(FactorTable!$B$2:$Y$301, MATCH(ROUND(MIN(300,MAX(1,D2776)),0), FactorTable!$A$2:$A$301,0), Skills!M8+1)</f>
        <v/>
      </c>
      <c r="F2776">
        <f>IF(Skills!N8=TRUE,(Skills!L8/10)*(E2776/1000),Skills!L8/10)+Skills!O8</f>
        <v/>
      </c>
      <c r="G2776">
        <f>Calc!G8</f>
        <v/>
      </c>
      <c r="H2776">
        <f>Calc!H8</f>
        <v/>
      </c>
      <c r="I2776">
        <f>IF(Skills!X8&lt;&gt;"",1+(Skills!X8/10)*(Z2771/1000)/100,1)</f>
        <v/>
      </c>
      <c r="J2776">
        <f>((Inputs!$B$6*(1+Inputs!$B$7/100))+(((Inputs!$B$12*(1+Inputs!$B$13/100))-(Inputs!$B$12*(1+Inputs!$B$13/100)))+0.25*(Inputs!$B$14-Inputs!$B$14))*(1+Inputs!$B$7/100))*(F2776/100)</f>
        <v/>
      </c>
      <c r="K2776">
        <f>J2776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2776)</f>
        <v/>
      </c>
      <c r="L2776">
        <f>K2776*(MIN(Inputs!$B$22+(F2790-Calc!F22),(Inputs!$B$23+(IF(ArtifactsInput!$M$15,CHOOSE(ArtifactsInput!$N$15+1,25,30,35,40,45,50)/100*(Inputs!$B$11-Inputs!$B$11),0))))/100+(Inputs!$B$23+(IF(ArtifactsInput!$M$15,CHOOSE(ArtifactsInput!$N$15+1,25,30,35,40,45,50)/100*(Inputs!$B$11-Inputs!$B$11),0)))/100)/2</f>
        <v/>
      </c>
      <c r="M2776">
        <f>L2776*(1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6">
        <f>L2776*(1-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2776*(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6">
        <f>(1-Summary!$B$11)*S2776+Summary!$B$11*U2776</f>
        <v/>
      </c>
      <c r="P2776">
        <f>IF(B2809=0,0,O2776/B2809)</f>
        <v/>
      </c>
      <c r="Q2776">
        <f>IFERROR(1/(IF(Inputs!$B$38="pvp",15,MAX(0.1,Skills!E8-IF(Skills!F8=TRUE,0.5,0)))*(1-IF(AND(ArtifactsInput!$M$27,Inputs!$B$4="Chapter Hunt"),CHOOSE(ArtifactsInput!$N$27+1,20,24,28,32,36,40),0)/100)),0)</f>
        <v/>
      </c>
      <c r="R2776">
        <f>IF(AND(Inputs!$B$38&lt;&gt;"pvp",Inputs!$B$43&gt;0),IF(MAX(0,Inputs!$B$43-B2806)&lt;=0,0,(INT(MAX(0,Inputs!$B$43-B2806)/(IF(Inputs!$B$38="pvp",15,MAX(0.1,Skills!E8-IF(Skills!F8=TRUE,0.5,0)))*(1-IF(AND(ArtifactsInput!$M$27,Inputs!$B$4="Chapter Hunt"),CHOOSE(ArtifactsInput!$N$27+1,20,24,28,32,36,40),0)/100)))+1)),0)</f>
        <v/>
      </c>
      <c r="S2776">
        <f>IF(C2776,(H2776*N2776*IF(AND(Inputs!$B$38&lt;&gt;"pvp",Inputs!$B$43&gt;0),((Skills!G8*((R2776-1)*IF(Skills!H8&gt;0,Skills!I8/Skills!H8,1)+IF(Skills!H8&gt;0,MIN(Skills!I8,MAX(0,MAX(0,Inputs!$B$43-B2806)-((R2776-1)*(IF(Inputs!$B$38="pvp",15,MAX(0.1,Skills!E8-IF(Skills!F8=TRUE,0.5,0)))*(1-IF(AND(ArtifactsInput!$M$27,Inputs!$B$4="Chapter Hunt"),CHOOSE(ArtifactsInput!$N$27+1,20,24,28,32,36,40),0)/100)))))/Skills!H8,1)))/Inputs!$B$43),G2776*Q2776)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2776*(1-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2776*(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2776*(1-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2776*(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6">
        <f>IF(C2776,(H2776*N2776*IF(AND(Inputs!$B$38&lt;&gt;"pvp",Inputs!$B$43&gt;0),((Skills!G8*((R2776-1)*IF(Skills!H8&gt;0,Skills!I8/Skills!H8,1)+IF(Skills!H8&gt;0,MIN(Skills!I8,MAX(0,MAX(0,Inputs!$B$43-B2806)-((R2776-1)*(IF(Inputs!$B$38="pvp",15,MAX(0.1,Skills!E8-IF(Skills!F8=TRUE,0.5,0)))*(1-IF(AND(ArtifactsInput!$M$27,Inputs!$B$4="Chapter Hunt"),CHOOSE(ArtifactsInput!$N$27+1,20,24,28,32,36,40),0)/100)))))/Skills!H8,1)))/Inputs!$B$43),G2776*Q2776)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7">
      <c r="A2777">
        <f>Skills!A9</f>
        <v/>
      </c>
      <c r="B2777">
        <f>Skills!B9</f>
        <v/>
      </c>
      <c r="C2777">
        <f>Inputs!$B$3&gt;=103</f>
        <v/>
      </c>
      <c r="D2777">
        <f>IF(Skills!C9=1,60+Inputs!$B$25+Inputs!$B$29,IF(Skills!C9=2,90+Inputs!$B$26+Inputs!$B$29,IF(Skills!C9=3,120+Inputs!$B$27+Inputs!$B$29,MAX(0,(Inputs!$B$3-100)*3)+Inputs!$B$28+Inputs!$B$29)))</f>
        <v/>
      </c>
      <c r="E2777">
        <f>INDEX(FactorTable!$B$2:$Y$301, MATCH(ROUND(MIN(300,MAX(1,D2777)),0), FactorTable!$A$2:$A$301,0), Skills!M9+1)</f>
        <v/>
      </c>
      <c r="F2777">
        <f>IF(Skills!N9=TRUE,(Skills!L9/10)*(E2777/1000),Skills!L9/10)+Skills!O9</f>
        <v/>
      </c>
      <c r="G2777">
        <f>Calc!G9</f>
        <v/>
      </c>
      <c r="H2777">
        <f>Calc!H9</f>
        <v/>
      </c>
      <c r="I2777">
        <f>IF(Skills!X9&lt;&gt;"",1+(Skills!X9/10)*(Z2771/1000)/100,1)</f>
        <v/>
      </c>
      <c r="J2777">
        <f>((Inputs!$B$6*(1+Inputs!$B$7/100))+(((Inputs!$B$12*(1+Inputs!$B$13/100))-(Inputs!$B$12*(1+Inputs!$B$13/100)))+0.25*(Inputs!$B$14-Inputs!$B$14))*(1+Inputs!$B$7/100))*(F2777/100)</f>
        <v/>
      </c>
      <c r="K2777">
        <f>J2777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2777)</f>
        <v/>
      </c>
      <c r="L2777">
        <f>K2777*(MIN(Inputs!$B$22+(F2790-Calc!F22),(Inputs!$B$23+(IF(ArtifactsInput!$M$15,CHOOSE(ArtifactsInput!$N$15+1,25,30,35,40,45,50)/100*(Inputs!$B$11-Inputs!$B$11),0))))/100+(Inputs!$B$23+(IF(ArtifactsInput!$M$15,CHOOSE(ArtifactsInput!$N$15+1,25,30,35,40,45,50)/100*(Inputs!$B$11-Inputs!$B$11),0)))/100)/2</f>
        <v/>
      </c>
      <c r="M2777">
        <f>L2777*(1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7">
        <f>L2777*(1-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2777*(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7">
        <f>(1-Summary!$B$11)*S2777+Summary!$B$11*U2777</f>
        <v/>
      </c>
      <c r="P2777">
        <f>IF(B2809=0,0,O2777/B2809)</f>
        <v/>
      </c>
      <c r="Q2777">
        <f>IFERROR(1/(IF(Inputs!$B$38="pvp",15,MAX(0.1,Skills!E9-IF(Skills!F7=TRUE,0.5,0)))*(1-IF(AND(ArtifactsInput!$M$27,Inputs!$B$4="Chapter Hunt"),CHOOSE(ArtifactsInput!$N$27+1,20,24,28,32,36,40),0)/100)),0)</f>
        <v/>
      </c>
      <c r="R2777">
        <f>IF(AND(Inputs!$B$38&lt;&gt;"pvp",Inputs!$B$43&gt;0),IF(MAX(0,Inputs!$B$43-B2806)&lt;=0,0,(INT(MAX(0,Inputs!$B$43-B2806)/(IF(Inputs!$B$38="pvp",15,MAX(0.1,Skills!E9-IF(Skills!F7=TRUE,0.5,0)))*(1-IF(AND(ArtifactsInput!$M$27,Inputs!$B$4="Chapter Hunt"),CHOOSE(ArtifactsInput!$N$27+1,20,24,28,32,36,40),0)/100)))+1)),0)</f>
        <v/>
      </c>
      <c r="S2777">
        <f>IF(C2777,(H2777*N2777*IF(AND(Inputs!$B$38&lt;&gt;"pvp",Inputs!$B$43&gt;0),((Skills!G9*((R2777-1)*IF(Skills!H9&gt;0,Skills!I9/Skills!H9,1)+IF(Skills!H9&gt;0,MIN(Skills!I9,MAX(0,MAX(0,Inputs!$B$43-B2806)-((R2777-1)*(IF(Inputs!$B$38="pvp",15,MAX(0.1,Skills!E9-IF(Skills!F7=TRUE,0.5,0)))*(1-IF(AND(ArtifactsInput!$M$27,Inputs!$B$4="Chapter Hunt"),CHOOSE(ArtifactsInput!$N$27+1,20,24,28,32,36,40),0)/100)))))/Skills!H9,1)))/Inputs!$B$43),G2777*Q2777)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2777*(1-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2777*(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2777*(1-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2777*(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7">
        <f>IF(C2777,(H2777*N2777*IF(AND(Inputs!$B$38&lt;&gt;"pvp",Inputs!$B$43&gt;0),((Skills!G9*((R2777-1)*IF(Skills!H9&gt;0,Skills!I9/Skills!H9,1)+IF(Skills!H9&gt;0,MIN(Skills!I9,MAX(0,MAX(0,Inputs!$B$43-B2806)-((R2777-1)*(IF(Inputs!$B$38="pvp",15,MAX(0.1,Skills!E9-IF(Skills!F7=TRUE,0.5,0)))*(1-IF(AND(ArtifactsInput!$M$27,Inputs!$B$4="Chapter Hunt"),CHOOSE(ArtifactsInput!$N$27+1,20,24,28,32,36,40),0)/100)))))/Skills!H9,1)))/Inputs!$B$43),G2777*Q2777)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8">
      <c r="A2778">
        <f>Skills!A10</f>
        <v/>
      </c>
      <c r="B2778">
        <f>Skills!B10</f>
        <v/>
      </c>
      <c r="C2778">
        <f>TRUE</f>
        <v/>
      </c>
      <c r="D2778">
        <f>IF(Skills!C10=1,60+Inputs!$B$25+Inputs!$B$29,IF(Skills!C10=2,90+Inputs!$B$26+Inputs!$B$29,IF(Skills!C10=3,120+Inputs!$B$27+Inputs!$B$29,MAX(0,(Inputs!$B$3-100)*3)+Inputs!$B$28+Inputs!$B$29)))</f>
        <v/>
      </c>
      <c r="E2778">
        <f>INDEX(FactorTable!$B$2:$Y$301, MATCH(ROUND(MIN(300,MAX(1,D2778)),0), FactorTable!$A$2:$A$301,0), Skills!M10+1)</f>
        <v/>
      </c>
      <c r="F2778">
        <f>IF(Skills!N10=TRUE,(Skills!L10/10)*(E2778/1000),Skills!L10/10)+Skills!O10</f>
        <v/>
      </c>
      <c r="G2778">
        <f>Calc!G10</f>
        <v/>
      </c>
      <c r="H2778">
        <f>Calc!H10</f>
        <v/>
      </c>
      <c r="I2778">
        <f>IF(Skills!X10&lt;&gt;"",1+(Skills!X10/10)*(Z2771/1000)/100,1)</f>
        <v/>
      </c>
      <c r="J2778">
        <f>((Inputs!$B$6*(1+Inputs!$B$7/100))+(((Inputs!$B$12*(1+Inputs!$B$13/100))-(Inputs!$B$12*(1+Inputs!$B$13/100)))+0.25*(Inputs!$B$14-Inputs!$B$14))*(1+Inputs!$B$7/100))*(F2778/100)</f>
        <v/>
      </c>
      <c r="K2778">
        <f>J2778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2778)</f>
        <v/>
      </c>
      <c r="L2778">
        <f>K2778*(MIN(Inputs!$B$22+(F2790-Calc!F22),(Inputs!$B$23+(IF(ArtifactsInput!$M$15,CHOOSE(ArtifactsInput!$N$15+1,25,30,35,40,45,50)/100*(Inputs!$B$11-Inputs!$B$11),0))))/100+(Inputs!$B$23+(IF(ArtifactsInput!$M$15,CHOOSE(ArtifactsInput!$N$15+1,25,30,35,40,45,50)/100*(Inputs!$B$11-Inputs!$B$11),0)))/100)/2</f>
        <v/>
      </c>
      <c r="M2778">
        <f>L2778*(1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8">
        <f>L2778*(1-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2778*(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8">
        <f>(1-Summary!$B$11)*S2778+Summary!$B$11*U2778</f>
        <v/>
      </c>
      <c r="P2778">
        <f>IF(B2809=0,0,O2778/B2809)</f>
        <v/>
      </c>
      <c r="Q2778">
        <f>IFERROR(1/(IF(Inputs!$B$38="pvp",15,MAX(0.1,Skills!E10-IF(Skills!F10=TRUE,0.5,0)))*(1-IF(AND(ArtifactsInput!$M$27,Inputs!$B$4="Chapter Hunt"),CHOOSE(ArtifactsInput!$N$27+1,20,24,28,32,36,40),0)/100)),0)</f>
        <v/>
      </c>
      <c r="R2778">
        <f>IF(AND(Inputs!$B$38&lt;&gt;"pvp",Inputs!$B$43&gt;0),IF(MAX(0,Inputs!$B$43-B2806)&lt;=0,0,(INT(MAX(0,Inputs!$B$43-B2806)/(IF(Inputs!$B$38="pvp",15,MAX(0.1,Skills!E10-IF(Skills!F10=TRUE,0.5,0)))*(1-IF(AND(ArtifactsInput!$M$27,Inputs!$B$4="Chapter Hunt"),CHOOSE(ArtifactsInput!$N$27+1,20,24,28,32,36,40),0)/100)))+1)),0)</f>
        <v/>
      </c>
      <c r="S2778">
        <f>IF(C2778,(H2778*N2778*IF(AND(Inputs!$B$38&lt;&gt;"pvp",Inputs!$B$43&gt;0),((Skills!G10*((R2778-1)*IF(Skills!H10&gt;0,Skills!I10/Skills!H10,1)+IF(Skills!H10&gt;0,MIN(Skills!I10,MAX(0,MAX(0,Inputs!$B$43-B2806)-((R2778-1)*(IF(Inputs!$B$38="pvp",15,MAX(0.1,Skills!E10-IF(Skills!F10=TRUE,0.5,0)))*(1-IF(AND(ArtifactsInput!$M$27,Inputs!$B$4="Chapter Hunt"),CHOOSE(ArtifactsInput!$N$27+1,20,24,28,32,36,40),0)/100)))))/Skills!H10,1)))/Inputs!$B$43),G2778*Q2778)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2778*(1-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2778*(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2778*(1-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2778*(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8">
        <f>IF(C2778,(H2778*N2778*IF(AND(Inputs!$B$38&lt;&gt;"pvp",Inputs!$B$43&gt;0),((Skills!G10*((R2778-1)*IF(Skills!H10&gt;0,Skills!I10/Skills!H10,1)+IF(Skills!H10&gt;0,MIN(Skills!I10,MAX(0,MAX(0,Inputs!$B$43-B2806)-((R2778-1)*(IF(Inputs!$B$38="pvp",15,MAX(0.1,Skills!E10-IF(Skills!F10=TRUE,0.5,0)))*(1-IF(AND(ArtifactsInput!$M$27,Inputs!$B$4="Chapter Hunt"),CHOOSE(ArtifactsInput!$N$27+1,20,24,28,32,36,40),0)/100)))))/Skills!H10,1)))/Inputs!$B$43),G2778*Q2778)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9">
      <c r="A2779">
        <f>Skills!A11</f>
        <v/>
      </c>
      <c r="B2779">
        <f>Skills!B11</f>
        <v/>
      </c>
      <c r="C2779">
        <f>TRUE</f>
        <v/>
      </c>
      <c r="D2779">
        <f>IF(Skills!C11=1,60+Inputs!$B$25+Inputs!$B$29,IF(Skills!C11=2,90+Inputs!$B$26+Inputs!$B$29,IF(Skills!C11=3,120+Inputs!$B$27+Inputs!$B$29,MAX(0,(Inputs!$B$3-100)*3)+Inputs!$B$28+Inputs!$B$29)))</f>
        <v/>
      </c>
      <c r="E2779">
        <f>INDEX(FactorTable!$B$2:$Y$301, MATCH(ROUND(MIN(300,MAX(1,D2779)),0), FactorTable!$A$2:$A$301,0), Skills!M11+1)</f>
        <v/>
      </c>
      <c r="F2779">
        <f>IF(Skills!N11=TRUE,(Skills!L11/10)*(E2779/1000),Skills!L11/10)+Skills!O11</f>
        <v/>
      </c>
      <c r="G2779">
        <f>Calc!G11</f>
        <v/>
      </c>
      <c r="H2779">
        <f>Calc!H11</f>
        <v/>
      </c>
      <c r="I2779">
        <f>IF(Skills!X11&lt;&gt;"",1+(Skills!X11/10)*(Z2771/1000)/100,1)</f>
        <v/>
      </c>
      <c r="J2779" t="inlineStr"/>
      <c r="K2779" t="inlineStr"/>
      <c r="L2779" t="inlineStr"/>
      <c r="M2779" t="inlineStr"/>
      <c r="N2779" t="inlineStr"/>
      <c r="O2779">
        <f>(1-Summary!$B$11)*S2779+Summary!$B$11*U2779</f>
        <v/>
      </c>
      <c r="P2779">
        <f>IF(B2809=0,0,O2779/B2809)</f>
        <v/>
      </c>
      <c r="Q2779">
        <f>IFERROR(1/(IF(Inputs!$B$38="pvp",15,MAX(0.1,Skills!E11-IF(Skills!F11=TRUE,0.5,0)))*(1-IF(AND(ArtifactsInput!$M$27,Inputs!$B$4="Chapter Hunt"),CHOOSE(ArtifactsInput!$N$27+1,20,24,28,32,36,40),0)/100)),0)</f>
        <v/>
      </c>
      <c r="R2779" t="n">
        <v>0</v>
      </c>
      <c r="S2779" t="n">
        <v>0</v>
      </c>
      <c r="U2779" t="n">
        <v>0</v>
      </c>
    </row>
    <row r="2780">
      <c r="A2780">
        <f>Skills!A12</f>
        <v/>
      </c>
      <c r="B2780">
        <f>Skills!B12</f>
        <v/>
      </c>
      <c r="C2780">
        <f>TRUE</f>
        <v/>
      </c>
      <c r="D2780">
        <f>IF(Skills!C12=1,60+Inputs!$B$25+Inputs!$B$29,IF(Skills!C12=2,90+Inputs!$B$26+Inputs!$B$29,IF(Skills!C12=3,120+Inputs!$B$27+Inputs!$B$29,MAX(0,(Inputs!$B$3-100)*3)+Inputs!$B$28+Inputs!$B$29)))</f>
        <v/>
      </c>
      <c r="E2780">
        <f>INDEX(FactorTable!$B$2:$Y$301, MATCH(ROUND(MIN(300,MAX(1,D2780)),0), FactorTable!$A$2:$A$301,0), Skills!M12+1)</f>
        <v/>
      </c>
      <c r="F2780">
        <f>IF(Skills!N12=TRUE,(Skills!L12/10)*(E2780/1000),Skills!L12/10)+Skills!O12</f>
        <v/>
      </c>
      <c r="G2780">
        <f>Calc!G12</f>
        <v/>
      </c>
      <c r="H2780">
        <f>Calc!H12</f>
        <v/>
      </c>
      <c r="I2780">
        <f>IF(Skills!X12&lt;&gt;"",1+(Skills!X12/10)*(Z2771/1000)/100,1)</f>
        <v/>
      </c>
      <c r="J2780" t="inlineStr"/>
      <c r="K2780" t="inlineStr"/>
      <c r="L2780" t="inlineStr"/>
      <c r="M2780" t="inlineStr"/>
      <c r="N2780" t="inlineStr"/>
      <c r="O2780">
        <f>(1-Summary!$B$11)*S2780+Summary!$B$11*U2780</f>
        <v/>
      </c>
      <c r="P2780">
        <f>IF(B2809=0,0,O2780/B2809)</f>
        <v/>
      </c>
      <c r="Q2780">
        <f>IFERROR(1/(IF(Inputs!$B$38="pvp",15,MAX(0.1,Skills!E12-IF(Skills!F12=TRUE,0.5,0)))*(1-IF(AND(ArtifactsInput!$M$27,Inputs!$B$4="Chapter Hunt"),CHOOSE(ArtifactsInput!$N$27+1,20,24,28,32,36,40),0)/100)),0)</f>
        <v/>
      </c>
      <c r="R2780" t="n">
        <v>0</v>
      </c>
      <c r="S2780" t="n">
        <v>0</v>
      </c>
      <c r="U2780" t="n">
        <v>0</v>
      </c>
    </row>
    <row r="2781">
      <c r="A2781">
        <f>Skills!A13</f>
        <v/>
      </c>
      <c r="B2781">
        <f>Skills!B13</f>
        <v/>
      </c>
      <c r="C2781">
        <f>Inputs!$B$3&gt;=105</f>
        <v/>
      </c>
      <c r="D2781">
        <f>IF(Skills!C13=1,60+Inputs!$B$25+Inputs!$B$29,IF(Skills!C13=2,90+Inputs!$B$26+Inputs!$B$29,IF(Skills!C13=3,120+Inputs!$B$27+Inputs!$B$29,MAX(0,(Inputs!$B$3-100)*3)+Inputs!$B$28+Inputs!$B$29)))</f>
        <v/>
      </c>
      <c r="E2781">
        <f>INDEX(FactorTable!$B$2:$Y$301, MATCH(ROUND(MIN(300,MAX(1,D2781)),0), FactorTable!$A$2:$A$301,0), Skills!M13+1)</f>
        <v/>
      </c>
      <c r="F2781">
        <f>IF(Skills!N13=TRUE,(Skills!L13/10)*(E2781/1000),Skills!L13/10)+Skills!O13</f>
        <v/>
      </c>
      <c r="G2781">
        <f>Calc!G13</f>
        <v/>
      </c>
      <c r="H2781">
        <f>Calc!H13</f>
        <v/>
      </c>
      <c r="I2781">
        <f>IF(Skills!X13&lt;&gt;"",1+(Skills!X13/10)*(Z2771/1000)/100,1)</f>
        <v/>
      </c>
      <c r="J2781">
        <f>((Inputs!$B$6*(1+Inputs!$B$7/100))+(((Inputs!$B$12*(1+Inputs!$B$13/100))-(Inputs!$B$12*(1+Inputs!$B$13/100)))+0.25*(Inputs!$B$14-Inputs!$B$14))*(1+Inputs!$B$7/100))*(F2781/100)</f>
        <v/>
      </c>
      <c r="K2781">
        <f>J2781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2781)</f>
        <v/>
      </c>
      <c r="L2781">
        <f>K2781*(MIN(Inputs!$B$22+(F2790-Calc!F22),(Inputs!$B$23+(IF(ArtifactsInput!$M$15,CHOOSE(ArtifactsInput!$N$15+1,25,30,35,40,45,50)/100*(Inputs!$B$11-Inputs!$B$11),0))))/100+(Inputs!$B$23+(IF(ArtifactsInput!$M$15,CHOOSE(ArtifactsInput!$N$15+1,25,30,35,40,45,50)/100*(Inputs!$B$11-Inputs!$B$11),0)))/100)/2</f>
        <v/>
      </c>
      <c r="M2781">
        <f>L2781*(1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1">
        <f>L2781*(1-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1">
        <f>(1-Summary!$B$11)*S2781+Summary!$B$11*U2781</f>
        <v/>
      </c>
      <c r="P2781">
        <f>IF(B2809=0,0,O2781/B2809)</f>
        <v/>
      </c>
      <c r="Q2781">
        <f>IFERROR(1/(IF(Inputs!$B$38="pvp",15,MAX(0.1,Skills!E13-IF(Skills!F13=TRUE,0.5,0)))*(1-IF(AND(ArtifactsInput!$M$27,Inputs!$B$4="Chapter Hunt"),CHOOSE(ArtifactsInput!$N$27+1,20,24,28,32,36,40),0)/100)),0)</f>
        <v/>
      </c>
      <c r="R2781">
        <f>IF(AND(Inputs!$B$38&lt;&gt;"pvp",Inputs!$B$43&gt;0),IF(MAX(0,Inputs!$B$43-B2806)&lt;=0,0,(INT(MAX(0,Inputs!$B$43-B2806)/(IF(Inputs!$B$38="pvp",15,MAX(0.1,Skills!E13-IF(Skills!F13=TRUE,0.5,0)))*(1-IF(AND(ArtifactsInput!$M$27,Inputs!$B$4="Chapter Hunt"),CHOOSE(ArtifactsInput!$N$27+1,20,24,28,32,36,40),0)/100)))+1)),0)</f>
        <v/>
      </c>
      <c r="S2781">
        <f>IF(C2781,(H2781*N2781*IF(AND(Inputs!$B$38&lt;&gt;"pvp",Inputs!$B$43&gt;0),((Skills!G13*((R2781-1)*IF(Skills!H13&gt;0,Skills!I13/Skills!H13,1)+IF(Skills!H13&gt;0,MIN(Skills!I13,MAX(0,MAX(0,Inputs!$B$43-B2806)-((R2781-1)*(IF(Inputs!$B$38="pvp",15,MAX(0.1,Skills!E13-IF(Skills!F13=TRUE,0.5,0)))*(1-IF(AND(ArtifactsInput!$M$27,Inputs!$B$4="Chapter Hunt"),CHOOSE(ArtifactsInput!$N$27+1,20,24,28,32,36,40),0)/100)))))/Skills!H13,1)))/Inputs!$B$43),G2781*Q2781)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2781*(1-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2781*(1-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81">
        <f>IF(C2781,(H2781*N2781*IF(AND(Inputs!$B$38&lt;&gt;"pvp",Inputs!$B$43&gt;0),((Skills!G13*((R2781-1)*IF(Skills!H13&gt;0,Skills!I13/Skills!H13,1)+IF(Skills!H13&gt;0,MIN(Skills!I13,MAX(0,MAX(0,Inputs!$B$43-B2806)-((R2781-1)*(IF(Inputs!$B$38="pvp",15,MAX(0.1,Skills!E13-IF(Skills!F13=TRUE,0.5,0)))*(1-IF(AND(ArtifactsInput!$M$27,Inputs!$B$4="Chapter Hunt"),CHOOSE(ArtifactsInput!$N$27+1,20,24,28,32,36,40),0)/100)))))/Skills!H13,1)))/Inputs!$B$43),G2781*Q2781)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2">
      <c r="A2782">
        <f>Skills!A14</f>
        <v/>
      </c>
      <c r="B2782">
        <f>Skills!B14</f>
        <v/>
      </c>
      <c r="C2782">
        <f>Inputs!$B$3&gt;=113</f>
        <v/>
      </c>
      <c r="D2782">
        <f>IF(Skills!C14=1,60+Inputs!$B$25+Inputs!$B$29,IF(Skills!C14=2,90+Inputs!$B$26+Inputs!$B$29,IF(Skills!C14=3,120+Inputs!$B$27+Inputs!$B$29,MAX(0,(Inputs!$B$3-100)*3)+Inputs!$B$28+Inputs!$B$29)))</f>
        <v/>
      </c>
      <c r="E2782">
        <f>INDEX(FactorTable!$B$2:$Y$301, MATCH(ROUND(MIN(300,MAX(1,D2782)),0), FactorTable!$A$2:$A$301,0), Skills!M14+1)</f>
        <v/>
      </c>
      <c r="F2782">
        <f>IF(Skills!N14=TRUE,(Skills!L14/10)*(E2782/1000),Skills!L14/10)+Skills!O14</f>
        <v/>
      </c>
      <c r="G2782">
        <f>Calc!G14</f>
        <v/>
      </c>
      <c r="H2782">
        <f>Calc!H14</f>
        <v/>
      </c>
      <c r="I2782">
        <f>IF(Skills!X14&lt;&gt;"",1+(Skills!X14/10)*(Z2771/1000)/100,1)</f>
        <v/>
      </c>
      <c r="J2782">
        <f>((Inputs!$B$6*(1+Inputs!$B$7/100))+(((Inputs!$B$12*(1+Inputs!$B$13/100))-(Inputs!$B$12*(1+Inputs!$B$13/100)))+0.25*(Inputs!$B$14-Inputs!$B$14))*(1+Inputs!$B$7/100))*(F2782/100)</f>
        <v/>
      </c>
      <c r="K2782">
        <f>J2782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2782)</f>
        <v/>
      </c>
      <c r="L2782">
        <f>K2782*(MIN(Inputs!$B$22+(F2790-Calc!F22),(Inputs!$B$23+(IF(ArtifactsInput!$M$15,CHOOSE(ArtifactsInput!$N$15+1,25,30,35,40,45,50)/100*(Inputs!$B$11-Inputs!$B$11),0))))/100+(Inputs!$B$23+(IF(ArtifactsInput!$M$15,CHOOSE(ArtifactsInput!$N$15+1,25,30,35,40,45,50)/100*(Inputs!$B$11-Inputs!$B$11),0)))/100)/2</f>
        <v/>
      </c>
      <c r="M2782">
        <f>L2782*(1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2">
        <f>L2782*(1-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2782*(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2">
        <f>(1-Summary!$B$11)*S2782+Summary!$B$11*U2782</f>
        <v/>
      </c>
      <c r="P2782">
        <f>IF(B2809=0,0,O2782/B2809)</f>
        <v/>
      </c>
      <c r="Q2782">
        <f>IFERROR(1/(IF(Inputs!$B$38="pvp",15,MAX(0.1,Skills!E14-IF(Skills!F14=TRUE,0.5,0)))*(1-IF(AND(ArtifactsInput!$M$27,Inputs!$B$4="Chapter Hunt"),CHOOSE(ArtifactsInput!$N$27+1,20,24,28,32,36,40),0)/100)),0)</f>
        <v/>
      </c>
      <c r="R2782" t="n">
        <v>0</v>
      </c>
      <c r="S2782">
        <f>IF(C2782,((H2782*B2805)/(1+Skills!H14*H2782*B2805)*N2782)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2782*(1-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2782*(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2782*(1-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2782*(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82">
        <f>IF(C2782,((H2782*B2805)/(1+Skills!H14*H2782*B2805)*N2782)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3">
      <c r="A2783">
        <f>Skills!A15</f>
        <v/>
      </c>
      <c r="B2783">
        <f>Skills!B15</f>
        <v/>
      </c>
      <c r="C2783">
        <f>Inputs!$B$3&gt;=107</f>
        <v/>
      </c>
      <c r="D2783">
        <f>IF(Skills!C15=1,60+Inputs!$B$25+Inputs!$B$29,IF(Skills!C15=2,90+Inputs!$B$26+Inputs!$B$29,IF(Skills!C15=3,120+Inputs!$B$27+Inputs!$B$29,MAX(0,(Inputs!$B$3-100)*3)+Inputs!$B$28+Inputs!$B$29)))</f>
        <v/>
      </c>
      <c r="E2783">
        <f>INDEX(FactorTable!$B$2:$Y$301, MATCH(ROUND(MIN(300,MAX(1,D2783)),0), FactorTable!$A$2:$A$301,0), Skills!M15+1)</f>
        <v/>
      </c>
      <c r="F2783">
        <f>IF(Skills!N15=TRUE,(Skills!L15/10)*(E2783/1000),Skills!L15/10)+Skills!O15</f>
        <v/>
      </c>
      <c r="G2783">
        <f>Calc!G15</f>
        <v/>
      </c>
      <c r="H2783">
        <f>Calc!H15</f>
        <v/>
      </c>
      <c r="I2783">
        <f>IF(Skills!X15&lt;&gt;"",1+(Skills!X15/10)*(Z2771/1000)/100,1)</f>
        <v/>
      </c>
      <c r="J2783">
        <f>((Inputs!$B$6*(1+Inputs!$B$7/100))+(((Inputs!$B$12*(1+Inputs!$B$13/100))-(Inputs!$B$12*(1+Inputs!$B$13/100)))+0.25*(Inputs!$B$14-Inputs!$B$14))*(1+Inputs!$B$7/100))*(F2783/100)</f>
        <v/>
      </c>
      <c r="K2783">
        <f>J2783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2783)</f>
        <v/>
      </c>
      <c r="L2783">
        <f>K2783*(MIN(Inputs!$B$22+(F2790-Calc!F22),(Inputs!$B$23+(IF(ArtifactsInput!$M$15,CHOOSE(ArtifactsInput!$N$15+1,25,30,35,40,45,50)/100*(Inputs!$B$11-Inputs!$B$11),0))))/100+(Inputs!$B$23+(IF(ArtifactsInput!$M$15,CHOOSE(ArtifactsInput!$N$15+1,25,30,35,40,45,50)/100*(Inputs!$B$11-Inputs!$B$11),0)))/100)/2</f>
        <v/>
      </c>
      <c r="M2783">
        <f>L2783*(1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3">
        <f>L2783*(1-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2783*(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3">
        <f>(1-Summary!$B$11)*S2783+Summary!$B$11*U2783</f>
        <v/>
      </c>
      <c r="P2783">
        <f>IF(B2809=0,0,O2783/B2809)</f>
        <v/>
      </c>
      <c r="Q2783">
        <f>IFERROR(1/(IF(Inputs!$B$38="pvp",15,MAX(0.1,Skills!E15-IF(Skills!F15=TRUE,0.5,0)))*(1-IF(AND(ArtifactsInput!$M$27,Inputs!$B$4="Chapter Hunt"),CHOOSE(ArtifactsInput!$N$27+1,20,24,28,32,36,40),0)/100)),0)</f>
        <v/>
      </c>
      <c r="R2783">
        <f>IF(AND(Inputs!$B$38&lt;&gt;"pvp",Inputs!$B$43&gt;0),IF(MAX(0,Inputs!$B$43-B2806)&lt;=0,0,(INT(MAX(0,Inputs!$B$43-B2806)/(IF(Inputs!$B$38="pvp",15,MAX(0.1,Skills!E15-IF(Skills!F15=TRUE,0.5,0)))*(1-IF(AND(ArtifactsInput!$M$27,Inputs!$B$4="Chapter Hunt"),CHOOSE(ArtifactsInput!$N$27+1,20,24,28,32,36,40),0)/100)))+1)),0)</f>
        <v/>
      </c>
      <c r="S2783">
        <f>IF(C2783,(H2783*N2783*IF(AND(Inputs!$B$38&lt;&gt;"pvp",Inputs!$B$43&gt;0),((Skills!G15*((R2783-1)*IF(Skills!H15&gt;0,Skills!I15/Skills!H15,1)+IF(Skills!H15&gt;0,MIN(Skills!I15,MAX(0,MAX(0,Inputs!$B$43-B2806)-((R2783-1)*(IF(Inputs!$B$38="pvp",15,MAX(0.1,Skills!E15-IF(Skills!F15=TRUE,0.5,0)))*(1-IF(AND(ArtifactsInput!$M$27,Inputs!$B$4="Chapter Hunt"),CHOOSE(ArtifactsInput!$N$27+1,20,24,28,32,36,40),0)/100)))))/Skills!H15,1)))/Inputs!$B$43),G2783*Q2783)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2783*(1-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2783*(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2783*(1-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2783*(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83">
        <f>IF(C2783,(H2783*N2783*IF(AND(Inputs!$B$38&lt;&gt;"pvp",Inputs!$B$43&gt;0),((Skills!G15*((R2783-1)*IF(Skills!H15&gt;0,Skills!I15/Skills!H15,1)+IF(Skills!H15&gt;0,MIN(Skills!I15,MAX(0,MAX(0,Inputs!$B$43-B2806)-((R2783-1)*(IF(Inputs!$B$38="pvp",15,MAX(0.1,Skills!E15-IF(Skills!F15=TRUE,0.5,0)))*(1-IF(AND(ArtifactsInput!$M$27,Inputs!$B$4="Chapter Hunt"),CHOOSE(ArtifactsInput!$N$27+1,20,24,28,32,36,40),0)/100)))))/Skills!H15,1)))/Inputs!$B$43),G2783*Q2783)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4">
      <c r="A2784">
        <f>Skills!A16</f>
        <v/>
      </c>
      <c r="B2784">
        <f>Skills!B16</f>
        <v/>
      </c>
      <c r="C2784">
        <f>Inputs!$B$3&gt;=107</f>
        <v/>
      </c>
      <c r="D2784">
        <f>IF(Skills!C16=1,60+Inputs!$B$25+Inputs!$B$29,IF(Skills!C16=2,90+Inputs!$B$26+Inputs!$B$29,IF(Skills!C16=3,120+Inputs!$B$27+Inputs!$B$29,MAX(0,(Inputs!$B$3-100)*3)+Inputs!$B$28+Inputs!$B$29)))</f>
        <v/>
      </c>
      <c r="E2784">
        <f>INDEX(FactorTable!$B$2:$Y$301, MATCH(ROUND(MIN(300,MAX(1,D2784)),0), FactorTable!$A$2:$A$301,0), Skills!M16+1)</f>
        <v/>
      </c>
      <c r="F2784">
        <f>IF(Skills!N16=TRUE,(Skills!L16/10)*(E2784/1000),Skills!L16/10)+Skills!O16</f>
        <v/>
      </c>
      <c r="G2784">
        <f>Calc!G16</f>
        <v/>
      </c>
      <c r="H2784">
        <f>Calc!H16</f>
        <v/>
      </c>
      <c r="I2784">
        <f>IF(Skills!X16&lt;&gt;"",1+(Skills!X16/10)*(Z2771/1000)/100,1)</f>
        <v/>
      </c>
      <c r="J2784">
        <f>((Inputs!$B$6*(1+Inputs!$B$7/100))+(((Inputs!$B$12*(1+Inputs!$B$13/100))-(Inputs!$B$12*(1+Inputs!$B$13/100)))+0.25*(Inputs!$B$14-Inputs!$B$14))*(1+Inputs!$B$7/100))*(F2784/100)</f>
        <v/>
      </c>
      <c r="K2784">
        <f>J2784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2784)</f>
        <v/>
      </c>
      <c r="L2784">
        <f>K2784*(MIN(Inputs!$B$22+(F2790-Calc!F22),(Inputs!$B$23+(IF(ArtifactsInput!$M$15,CHOOSE(ArtifactsInput!$N$15+1,25,30,35,40,45,50)/100*(Inputs!$B$11-Inputs!$B$11),0))))/100+(Inputs!$B$23+(IF(ArtifactsInput!$M$15,CHOOSE(ArtifactsInput!$N$15+1,25,30,35,40,45,50)/100*(Inputs!$B$11-Inputs!$B$11),0)))/100)/2</f>
        <v/>
      </c>
      <c r="M2784">
        <f>L2784*(1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4">
        <f>L2784*(1-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2784*(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4">
        <f>(1-Summary!$B$11)*S2784+Summary!$B$11*U2784</f>
        <v/>
      </c>
      <c r="P2784">
        <f>IF(B2809=0,0,O2784/B2809)</f>
        <v/>
      </c>
      <c r="Q2784">
        <f>IFERROR(1/(IF(Inputs!$B$38="pvp",15,MAX(0.1,Skills!E16-IF(Skills!F16=TRUE,0.5,0)))*(1-IF(AND(ArtifactsInput!$M$27,Inputs!$B$4="Chapter Hunt"),CHOOSE(ArtifactsInput!$N$27+1,20,24,28,32,36,40),0)/100)),0)</f>
        <v/>
      </c>
      <c r="R2784">
        <f>IF(AND(Inputs!$B$38&lt;&gt;"pvp",Inputs!$B$43&gt;0),IF(MAX(0,Inputs!$B$43-B2806)&lt;=0,0,(INT(MAX(0,Inputs!$B$43-B2806)/(IF(Inputs!$B$38="pvp",15,MAX(0.1,Skills!E16-IF(Skills!F16=TRUE,0.5,0)))*(1-IF(AND(ArtifactsInput!$M$27,Inputs!$B$4="Chapter Hunt"),CHOOSE(ArtifactsInput!$N$27+1,20,24,28,32,36,40),0)/100)))+1)),0)</f>
        <v/>
      </c>
      <c r="S2784">
        <f>IF(C2784,(H2784*N2784*IF(AND(Inputs!$B$38&lt;&gt;"pvp",Inputs!$B$43&gt;0),((Skills!G16*((R2784-1)*IF(Skills!H16&gt;0,Skills!I16/Skills!H16,1)+IF(Skills!H16&gt;0,MIN(Skills!I16,MAX(0,MAX(0,Inputs!$B$43-B2806)-((R2784-1)*(IF(Inputs!$B$38="pvp",15,MAX(0.1,Skills!E16-IF(Skills!F16=TRUE,0.5,0)))*(1-IF(AND(ArtifactsInput!$M$27,Inputs!$B$4="Chapter Hunt"),CHOOSE(ArtifactsInput!$N$27+1,20,24,28,32,36,40),0)/100)))))/Skills!H16,1)))/Inputs!$B$43),G2784*Q2784)*(1+IF(Inputs!$B$3&gt;=126,0.05*(B2804+Q2781+(H2782*B2805)/(1+Skills!H14*H2782*B2805)+Q2792)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2784*(1-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2784*(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2784*(1-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2784*(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84">
        <f>IF(C2784,(H2784*N2784*IF(AND(Inputs!$B$38&lt;&gt;"pvp",Inputs!$B$43&gt;0),((Skills!G16*((R2784-1)*IF(Skills!H16&gt;0,Skills!I16/Skills!H16,1)+IF(Skills!H16&gt;0,MIN(Skills!I16,MAX(0,MAX(0,Inputs!$B$43-B2806)-((R2784-1)*(IF(Inputs!$B$38="pvp",15,MAX(0.1,Skills!E16-IF(Skills!F16=TRUE,0.5,0)))*(1-IF(AND(ArtifactsInput!$M$27,Inputs!$B$4="Chapter Hunt"),CHOOSE(ArtifactsInput!$N$27+1,20,24,28,32,36,40),0)/100)))))/Skills!H16,1)))/Inputs!$B$43),G2784*Q2784)*(1+IF(Inputs!$B$3&gt;=126,0.05*(B2804+Q2781+(H2782*B2805)/(1+Skills!H14*H2782*B2805)+Q2792)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5">
      <c r="A2785">
        <f>Skills!A17</f>
        <v/>
      </c>
      <c r="B2785">
        <f>Skills!B17</f>
        <v/>
      </c>
      <c r="C2785">
        <f>TRUE</f>
        <v/>
      </c>
      <c r="D2785">
        <f>IF(Skills!C17=1,60+Inputs!$B$25+Inputs!$B$29,IF(Skills!C17=2,90+Inputs!$B$26+Inputs!$B$29,IF(Skills!C17=3,120+Inputs!$B$27+Inputs!$B$29,MAX(0,(Inputs!$B$3-100)*3)+Inputs!$B$28+Inputs!$B$29)))</f>
        <v/>
      </c>
      <c r="E2785">
        <f>INDEX(FactorTable!$B$2:$Y$301, MATCH(ROUND(MIN(300,MAX(1,D2785)),0), FactorTable!$A$2:$A$301,0), Skills!M17+1)</f>
        <v/>
      </c>
      <c r="F2785">
        <f>IF(Skills!N17=TRUE,(Skills!L17/10)*(E2785/1000),Skills!L17/10)+Skills!O17</f>
        <v/>
      </c>
      <c r="G2785">
        <f>Calc!G17</f>
        <v/>
      </c>
      <c r="H2785">
        <f>Calc!H17</f>
        <v/>
      </c>
      <c r="I2785">
        <f>IF(Skills!X17&lt;&gt;"",1+(Skills!X17/10)*(Z2771/1000)/100,1)</f>
        <v/>
      </c>
      <c r="J2785" t="inlineStr"/>
      <c r="K2785" t="inlineStr"/>
      <c r="L2785" t="inlineStr"/>
      <c r="M2785" t="inlineStr"/>
      <c r="N2785" t="inlineStr"/>
      <c r="O2785">
        <f>(1-Summary!$B$11)*S2785+Summary!$B$11*U2785</f>
        <v/>
      </c>
      <c r="P2785">
        <f>IF(B2809=0,0,O2785/B2809)</f>
        <v/>
      </c>
      <c r="Q2785">
        <f>IFERROR(1/(IF(Inputs!$B$38="pvp",15,MAX(0.1,Skills!E17-IF(Skills!F17=TRUE,0.5,0)))*(1-IF(AND(ArtifactsInput!$M$27,Inputs!$B$4="Chapter Hunt"),CHOOSE(ArtifactsInput!$N$27+1,20,24,28,32,36,40),0)/100)),0)</f>
        <v/>
      </c>
      <c r="R2785">
        <f>IF(AND(Inputs!$B$38&lt;&gt;"pvp",Inputs!$B$43&gt;0),IF(Inputs!$B$43&lt;=0,0,(INT(Inputs!$B$43/(IF(Inputs!$B$38="pvp",15,MAX(0.1,Skills!E17-IF(Skills!F17=TRUE,0.5,0)))*(1-IF(AND(ArtifactsInput!$M$27,Inputs!$B$4="Chapter Hunt"),CHOOSE(ArtifactsInput!$N$27+1,20,24,28,32,36,40),0)/100)))+1)),0)</f>
        <v/>
      </c>
      <c r="S2785" t="n">
        <v>0</v>
      </c>
      <c r="U2785" t="n">
        <v>0</v>
      </c>
    </row>
    <row r="2786">
      <c r="A2786">
        <f>Skills!A18</f>
        <v/>
      </c>
      <c r="B2786">
        <f>Skills!B18</f>
        <v/>
      </c>
      <c r="C2786">
        <f>TRUE</f>
        <v/>
      </c>
      <c r="D2786">
        <f>IF(Skills!C18=1,60+Inputs!$B$25+Inputs!$B$29,IF(Skills!C18=2,90+Inputs!$B$26+Inputs!$B$29,IF(Skills!C18=3,120+Inputs!$B$27+Inputs!$B$29,MAX(0,(Inputs!$B$3-100)*3)+Inputs!$B$28+Inputs!$B$29)))</f>
        <v/>
      </c>
      <c r="E2786">
        <f>INDEX(FactorTable!$B$2:$Y$301, MATCH(ROUND(MIN(300,MAX(1,D2786)),0), FactorTable!$A$2:$A$301,0), Skills!M18+1)</f>
        <v/>
      </c>
      <c r="F2786">
        <f>IF(Skills!N18=TRUE,(Skills!L18/10)*(E2786/1000),Skills!L18/10)+Skills!O18</f>
        <v/>
      </c>
      <c r="G2786">
        <f>Calc!G18</f>
        <v/>
      </c>
      <c r="H2786">
        <f>Calc!H18</f>
        <v/>
      </c>
      <c r="I2786">
        <f>IF(Skills!X18&lt;&gt;"",1+(Skills!X18/10)*(Z2771/1000)/100,1)</f>
        <v/>
      </c>
      <c r="J2786" t="inlineStr"/>
      <c r="K2786" t="inlineStr"/>
      <c r="L2786" t="inlineStr"/>
      <c r="M2786" t="inlineStr"/>
      <c r="N2786" t="inlineStr"/>
      <c r="O2786">
        <f>(1-Summary!$B$11)*S2786+Summary!$B$11*U2786</f>
        <v/>
      </c>
      <c r="P2786">
        <f>IF(B2809=0,0,O2786/B2809)</f>
        <v/>
      </c>
      <c r="Q2786">
        <f>IFERROR(1/(IF(Inputs!$B$38="pvp",15,MAX(0.1,Skills!E18-IF(Skills!F18=TRUE,0.5,0)))*(1-IF(AND(ArtifactsInput!$M$27,Inputs!$B$4="Chapter Hunt"),CHOOSE(ArtifactsInput!$N$27+1,20,24,28,32,36,40),0)/100)),0)</f>
        <v/>
      </c>
      <c r="R2786">
        <f>IF(AND(Inputs!$B$38&lt;&gt;"pvp",Inputs!$B$43&gt;0),IF(Inputs!$B$43&lt;=0,0,(INT(Inputs!$B$43/(IF(Inputs!$B$38="pvp",15,MAX(0.1,Skills!E18-IF(Skills!F18=TRUE,0.5,0)))*(1-IF(AND(ArtifactsInput!$M$27,Inputs!$B$4="Chapter Hunt"),CHOOSE(ArtifactsInput!$N$27+1,20,24,28,32,36,40),0)/100)))+1)),0)</f>
        <v/>
      </c>
      <c r="S2786" t="n">
        <v>0</v>
      </c>
      <c r="U2786" t="n">
        <v>0</v>
      </c>
    </row>
    <row r="2787">
      <c r="A2787">
        <f>Skills!A19</f>
        <v/>
      </c>
      <c r="B2787">
        <f>Skills!B19</f>
        <v/>
      </c>
      <c r="C2787">
        <f>Inputs!$B$3&gt;=110</f>
        <v/>
      </c>
      <c r="D2787">
        <f>IF(Skills!C19=1,60+Inputs!$B$25+Inputs!$B$29,IF(Skills!C19=2,90+Inputs!$B$26+Inputs!$B$29,IF(Skills!C19=3,120+Inputs!$B$27+Inputs!$B$29,MAX(0,(Inputs!$B$3-100)*3)+Inputs!$B$28+Inputs!$B$29)))</f>
        <v/>
      </c>
      <c r="E2787">
        <f>INDEX(FactorTable!$B$2:$Y$301, MATCH(ROUND(MIN(300,MAX(1,D2787)),0), FactorTable!$A$2:$A$301,0), Skills!M19+1)</f>
        <v/>
      </c>
      <c r="F2787">
        <f>IF(Skills!N19=TRUE,(Skills!L19/10)*(E2787/1000),Skills!L19/10)+Skills!O19</f>
        <v/>
      </c>
      <c r="G2787">
        <f>Calc!G19</f>
        <v/>
      </c>
      <c r="H2787">
        <f>Calc!H19</f>
        <v/>
      </c>
      <c r="I2787">
        <f>IF(Skills!X19&lt;&gt;"",1+(Skills!X19/10)*(Z2771/1000)/100,1)</f>
        <v/>
      </c>
      <c r="J2787" t="inlineStr"/>
      <c r="K2787" t="inlineStr"/>
      <c r="L2787" t="inlineStr"/>
      <c r="M2787" t="inlineStr"/>
      <c r="N2787" t="inlineStr"/>
      <c r="O2787">
        <f>(1-Summary!$B$11)*S2787+Summary!$B$11*U2787</f>
        <v/>
      </c>
      <c r="P2787">
        <f>IF(B2809=0,0,O2787/B2809)</f>
        <v/>
      </c>
      <c r="Q2787">
        <f>IFERROR(1/(IF(Inputs!$B$38="pvp",15,MAX(0.1,Skills!E19-IF(Skills!F19=TRUE,0.5,0)))*(1-IF(AND(ArtifactsInput!$M$27,Inputs!$B$4="Chapter Hunt"),CHOOSE(ArtifactsInput!$N$27+1,20,24,28,32,36,40),0)/100)),0)</f>
        <v/>
      </c>
      <c r="R2787">
        <f>IF(AND(Inputs!$B$38&lt;&gt;"pvp",Inputs!$B$43&gt;0),IF(Inputs!$B$43&lt;=0,0,(INT(Inputs!$B$43/(IF(Inputs!$B$38="pvp",15,MAX(0.1,Skills!E19-IF(Skills!F19=TRUE,0.5,0)))*(1-IF(AND(ArtifactsInput!$M$27,Inputs!$B$4="Chapter Hunt"),CHOOSE(ArtifactsInput!$N$27+1,20,24,28,32,36,40),0)/100)))+1)),0)</f>
        <v/>
      </c>
      <c r="S2787" t="n">
        <v>0</v>
      </c>
      <c r="U2787" t="n">
        <v>0</v>
      </c>
    </row>
    <row r="2788">
      <c r="A2788">
        <f>Skills!A20</f>
        <v/>
      </c>
      <c r="B2788">
        <f>Skills!B20</f>
        <v/>
      </c>
      <c r="C2788">
        <f>TRUE</f>
        <v/>
      </c>
      <c r="D2788">
        <f>IF(Skills!C20=1,60+Inputs!$B$25+Inputs!$B$29,IF(Skills!C20=2,90+Inputs!$B$26+Inputs!$B$29,IF(Skills!C20=3,120+Inputs!$B$27+Inputs!$B$29,MAX(0,(Inputs!$B$3-100)*3)+Inputs!$B$28+Inputs!$B$29)))</f>
        <v/>
      </c>
      <c r="E2788">
        <f>INDEX(FactorTable!$B$2:$Y$301, MATCH(ROUND(MIN(300,MAX(1,D2788)),0), FactorTable!$A$2:$A$301,0), Skills!M20+1)</f>
        <v/>
      </c>
      <c r="F2788">
        <f>IF(Skills!N20=TRUE,(Skills!L20/10)*(E2788/1000),Skills!L20/10)+Skills!O20</f>
        <v/>
      </c>
      <c r="G2788">
        <f>Calc!G20</f>
        <v/>
      </c>
      <c r="H2788">
        <f>Calc!H20</f>
        <v/>
      </c>
      <c r="I2788">
        <f>IF(Skills!X20&lt;&gt;"",1+(Skills!X20/10)*(Z2771/1000)/100,1)</f>
        <v/>
      </c>
      <c r="J2788" t="inlineStr"/>
      <c r="K2788" t="inlineStr"/>
      <c r="L2788" t="inlineStr"/>
      <c r="M2788" t="inlineStr"/>
      <c r="N2788" t="inlineStr"/>
      <c r="O2788">
        <f>(1-Summary!$B$11)*S2788+Summary!$B$11*U2788</f>
        <v/>
      </c>
      <c r="P2788">
        <f>IF(B2809=0,0,O2788/B2809)</f>
        <v/>
      </c>
      <c r="Q2788">
        <f>IFERROR(1/(IF(Inputs!$B$38="pvp",15,MAX(0.1,Skills!E20-IF(Skills!F20=TRUE,0.5,0)))*(1-IF(AND(ArtifactsInput!$M$27,Inputs!$B$4="Chapter Hunt"),CHOOSE(ArtifactsInput!$N$27+1,20,24,28,32,36,40),0)/100)),0)</f>
        <v/>
      </c>
      <c r="R2788" t="n">
        <v>0</v>
      </c>
      <c r="S2788" t="n">
        <v>0</v>
      </c>
      <c r="U2788" t="n">
        <v>0</v>
      </c>
    </row>
    <row r="2789">
      <c r="A2789">
        <f>Skills!A21</f>
        <v/>
      </c>
      <c r="B2789">
        <f>Skills!B21</f>
        <v/>
      </c>
      <c r="C2789">
        <f>TRUE</f>
        <v/>
      </c>
      <c r="D2789">
        <f>IF(Skills!C21=1,60+Inputs!$B$25+Inputs!$B$29,IF(Skills!C21=2,90+Inputs!$B$26+Inputs!$B$29,IF(Skills!C21=3,120+Inputs!$B$27+Inputs!$B$29,MAX(0,(Inputs!$B$3-100)*3)+Inputs!$B$28+Inputs!$B$29)))</f>
        <v/>
      </c>
      <c r="E2789">
        <f>INDEX(FactorTable!$B$2:$Y$301, MATCH(ROUND(MIN(300,MAX(1,D2789)),0), FactorTable!$A$2:$A$301,0), Skills!M21+1)</f>
        <v/>
      </c>
      <c r="F2789">
        <f>IF(Skills!N21=TRUE,(Skills!L21/10)*(E2789/1000),Skills!L21/10)+Skills!O21</f>
        <v/>
      </c>
      <c r="G2789">
        <f>Calc!G21</f>
        <v/>
      </c>
      <c r="H2789">
        <f>Calc!H21</f>
        <v/>
      </c>
      <c r="I2789">
        <f>IF(Skills!X21&lt;&gt;"",1+(Skills!X21/10)*(Z2771/1000)/100,1)</f>
        <v/>
      </c>
      <c r="J2789" t="inlineStr"/>
      <c r="K2789" t="inlineStr"/>
      <c r="L2789" t="inlineStr"/>
      <c r="M2789" t="inlineStr"/>
      <c r="N2789" t="inlineStr"/>
      <c r="O2789">
        <f>(1-Summary!$B$11)*S2789+Summary!$B$11*U2789</f>
        <v/>
      </c>
      <c r="P2789">
        <f>IF(B2809=0,0,O2789/B2809)</f>
        <v/>
      </c>
      <c r="Q2789">
        <f>IFERROR(1/(IF(Inputs!$B$38="pvp",15,MAX(0.1,Skills!E21-IF(Skills!F21=TRUE,0.5,0)))*(1-IF(AND(ArtifactsInput!$M$27,Inputs!$B$4="Chapter Hunt"),CHOOSE(ArtifactsInput!$N$27+1,20,24,28,32,36,40),0)/100)),0)</f>
        <v/>
      </c>
      <c r="R2789" t="n">
        <v>0</v>
      </c>
      <c r="S2789" t="n">
        <v>0</v>
      </c>
      <c r="U2789" t="n">
        <v>0</v>
      </c>
    </row>
    <row r="2790">
      <c r="A2790">
        <f>Skills!A22</f>
        <v/>
      </c>
      <c r="B2790">
        <f>Skills!B22</f>
        <v/>
      </c>
      <c r="C2790">
        <f>TRUE</f>
        <v/>
      </c>
      <c r="D2790">
        <f>IF(Skills!C22=1,60+Inputs!$B$25+Inputs!$B$29,IF(Skills!C22=2,90+Inputs!$B$26+Inputs!$B$29,IF(Skills!C22=3,120+Inputs!$B$27+Inputs!$B$29,MAX(0,(Inputs!$B$3-100)*3)+Inputs!$B$28+Inputs!$B$29)))</f>
        <v/>
      </c>
      <c r="E2790">
        <f>INDEX(FactorTable!$B$2:$Y$301, MATCH(ROUND(MIN(300,MAX(1,D2790)),0), FactorTable!$A$2:$A$301,0), Skills!M22+1)</f>
        <v/>
      </c>
      <c r="F2790">
        <f>IF(Skills!N22=TRUE,(Skills!L22/10)*(E2790/1000),Skills!L22/10)+Skills!O22</f>
        <v/>
      </c>
      <c r="G2790">
        <f>Calc!G22</f>
        <v/>
      </c>
      <c r="H2790">
        <f>Calc!H22</f>
        <v/>
      </c>
      <c r="I2790">
        <f>IF(Skills!X22&lt;&gt;"",1+(Skills!X22/10)*(Z2771/1000)/100,1)</f>
        <v/>
      </c>
      <c r="J2790" t="inlineStr"/>
      <c r="K2790" t="inlineStr"/>
      <c r="L2790" t="inlineStr"/>
      <c r="M2790" t="inlineStr"/>
      <c r="N2790" t="inlineStr"/>
      <c r="O2790">
        <f>(1-Summary!$B$11)*S2790+Summary!$B$11*U2790</f>
        <v/>
      </c>
      <c r="P2790">
        <f>IF(B2809=0,0,O2790/B2809)</f>
        <v/>
      </c>
      <c r="Q2790">
        <f>IFERROR(1/(IF(Inputs!$B$38="pvp",15,MAX(0.1,Skills!E22-IF(Skills!F22=TRUE,0.5,0)))*(1-IF(AND(ArtifactsInput!$M$27,Inputs!$B$4="Chapter Hunt"),CHOOSE(ArtifactsInput!$N$27+1,20,24,28,32,36,40),0)/100)),0)</f>
        <v/>
      </c>
      <c r="R2790" t="n">
        <v>0</v>
      </c>
      <c r="S2790" t="n">
        <v>0</v>
      </c>
      <c r="U2790" t="n">
        <v>0</v>
      </c>
    </row>
    <row r="2791">
      <c r="A2791">
        <f>Skills!A23</f>
        <v/>
      </c>
      <c r="B2791">
        <f>Skills!B23</f>
        <v/>
      </c>
      <c r="C2791">
        <f>TRUE</f>
        <v/>
      </c>
      <c r="D2791">
        <f>IF(Skills!C23=1,60+Inputs!$B$25+Inputs!$B$29,IF(Skills!C23=2,90+Inputs!$B$26+Inputs!$B$29,IF(Skills!C23=3,120+Inputs!$B$27+Inputs!$B$29,MAX(0,(Inputs!$B$3-100)*3)+Inputs!$B$28+Inputs!$B$29)))</f>
        <v/>
      </c>
      <c r="E2791">
        <f>INDEX(FactorTable!$B$2:$Y$301, MATCH(ROUND(MIN(300,MAX(1,D2791)),0), FactorTable!$A$2:$A$301,0), Skills!M23+1)</f>
        <v/>
      </c>
      <c r="F2791">
        <f>IF(Skills!N23=TRUE,(Skills!L23/10)*(E2791/1000),Skills!L23/10)+Skills!O23</f>
        <v/>
      </c>
      <c r="G2791">
        <f>Calc!G23</f>
        <v/>
      </c>
      <c r="H2791">
        <f>Calc!H23</f>
        <v/>
      </c>
      <c r="I2791">
        <f>IF(Skills!X23&lt;&gt;"",1+(Skills!X23/10)*(Z2771/1000)/100,1)</f>
        <v/>
      </c>
      <c r="J2791" t="inlineStr"/>
      <c r="K2791" t="inlineStr"/>
      <c r="L2791" t="inlineStr"/>
      <c r="M2791" t="inlineStr"/>
      <c r="N2791" t="inlineStr"/>
      <c r="O2791">
        <f>(1-Summary!$B$11)*S2791+Summary!$B$11*U2791</f>
        <v/>
      </c>
      <c r="P2791">
        <f>IF(B2809=0,0,O2791/B2809)</f>
        <v/>
      </c>
      <c r="Q2791">
        <f>IFERROR(1/(IF(Inputs!$B$38="pvp",15,MAX(0.1,Skills!E23-IF(Skills!F23=TRUE,0.5,0)))*(1-IF(AND(ArtifactsInput!$M$27,Inputs!$B$4="Chapter Hunt"),CHOOSE(ArtifactsInput!$N$27+1,20,24,28,32,36,40),0)/100)),0)</f>
        <v/>
      </c>
      <c r="R2791" t="n">
        <v>0</v>
      </c>
      <c r="S2791" t="n">
        <v>0</v>
      </c>
      <c r="U2791" t="n">
        <v>0</v>
      </c>
    </row>
    <row r="2792">
      <c r="A2792">
        <f>Skills!A24</f>
        <v/>
      </c>
      <c r="B2792">
        <f>Skills!B24</f>
        <v/>
      </c>
      <c r="C2792">
        <f>Inputs!$B$3&gt;=115</f>
        <v/>
      </c>
      <c r="D2792">
        <f>IF(Skills!C24=1,60+Inputs!$B$25+Inputs!$B$29,IF(Skills!C24=2,90+Inputs!$B$26+Inputs!$B$29,IF(Skills!C24=3,120+Inputs!$B$27+Inputs!$B$29,MAX(0,(Inputs!$B$3-100)*3)+Inputs!$B$28+Inputs!$B$29)))</f>
        <v/>
      </c>
      <c r="E2792">
        <f>INDEX(FactorTable!$B$2:$Y$301, MATCH(ROUND(MIN(300,MAX(1,D2792)),0), FactorTable!$A$2:$A$301,0), Skills!M24+1)</f>
        <v/>
      </c>
      <c r="F2792">
        <f>IF(Skills!N24=TRUE,(Skills!L24/10)*(E2792/1000),Skills!L24/10)+Skills!O24</f>
        <v/>
      </c>
      <c r="G2792">
        <f>Calc!G24</f>
        <v/>
      </c>
      <c r="H2792">
        <f>Calc!H24</f>
        <v/>
      </c>
      <c r="I2792">
        <f>IF(Skills!X24&lt;&gt;"",1+(Skills!X24/10)*(Z2771/1000)/100,1)</f>
        <v/>
      </c>
      <c r="J2792">
        <f>((Inputs!$B$6*(1+Inputs!$B$7/100))+(((Inputs!$B$12*(1+Inputs!$B$13/100))-(Inputs!$B$12*(1+Inputs!$B$13/100)))+0.25*(Inputs!$B$14-Inputs!$B$14))*(1+Inputs!$B$7/100))*(F2792/100)</f>
        <v/>
      </c>
      <c r="K2792">
        <f>J2792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2792)</f>
        <v/>
      </c>
      <c r="L2792">
        <f>K2792*(MIN(Inputs!$B$22+(F2790-Calc!F22),(Inputs!$B$23+(IF(ArtifactsInput!$M$15,CHOOSE(ArtifactsInput!$N$15+1,25,30,35,40,45,50)/100*(Inputs!$B$11-Inputs!$B$11),0))))/100+(Inputs!$B$23+(IF(ArtifactsInput!$M$15,CHOOSE(ArtifactsInput!$N$15+1,25,30,35,40,45,50)/100*(Inputs!$B$11-Inputs!$B$11),0)))/100)/2</f>
        <v/>
      </c>
      <c r="M2792">
        <f>L2792*(1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2">
        <f>L2792*(1-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2792*(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2">
        <f>(1-Summary!$B$11)*S2792+Summary!$B$11*U2792</f>
        <v/>
      </c>
      <c r="P2792">
        <f>IF(B2809=0,0,O2792/B2809)</f>
        <v/>
      </c>
      <c r="Q2792">
        <f>IFERROR(1/(IF(Inputs!$B$38="pvp",15,MAX(0.1,Skills!E24-IF(Skills!F24=TRUE,0.5,0)))*(1-IF(AND(ArtifactsInput!$M$27,Inputs!$B$4="Chapter Hunt"),CHOOSE(ArtifactsInput!$N$27+1,20,24,28,32,36,40),0)/100)),0)</f>
        <v/>
      </c>
      <c r="R2792">
        <f>IF(AND(Inputs!$B$38&lt;&gt;"pvp",Inputs!$B$43&gt;0),IF(MAX(0,Inputs!$B$43-B2806)&lt;=0,0,(INT(MAX(0,Inputs!$B$43-B2806)/(IF(Inputs!$B$38="pvp",15,MAX(0.1,Skills!E24-IF(Skills!F24=TRUE,0.5,0)))*(1-IF(AND(ArtifactsInput!$M$27,Inputs!$B$4="Chapter Hunt"),CHOOSE(ArtifactsInput!$N$27+1,20,24,28,32,36,40),0)/100)))+1)),0)</f>
        <v/>
      </c>
      <c r="S2792">
        <f>IF(C2792,(H2792*N2792*IF(AND(Inputs!$B$38&lt;&gt;"pvp",Inputs!$B$43&gt;0),((Skills!G24*((R2792-1)*IF(Skills!H24&gt;0,Skills!I24/Skills!H24,1)+IF(Skills!H24&gt;0,MIN(Skills!I24,MAX(0,MAX(0,Inputs!$B$43-B2806)-((R2792-1)*(IF(Inputs!$B$38="pvp",15,MAX(0.1,Skills!E24-IF(Skills!F24=TRUE,0.5,0)))*(1-IF(AND(ArtifactsInput!$M$27,Inputs!$B$4="Chapter Hunt"),CHOOSE(ArtifactsInput!$N$27+1,20,24,28,32,36,40),0)/100)))))/Skills!H24,1)))/Inputs!$B$43),G2792*Q2792)*(1+IF(Inputs!$B$3&gt;=130,0.2*(Skills!I16/Skills!E15+IF(Inputs!$B$3&gt;=126,0.05*(B2804+Q2781+(H2782*B2805)/(1+Skills!H14*H2782*B2805)+Q2792)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2792*(1-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2792*(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2792*(1-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2792*(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2">
        <f>IF(C2792,(H2792*N2792*IF(AND(Inputs!$B$38&lt;&gt;"pvp",Inputs!$B$43&gt;0),((Skills!G24*((R2792-1)*IF(Skills!H24&gt;0,Skills!I24/Skills!H24,1)+IF(Skills!H24&gt;0,MIN(Skills!I24,MAX(0,MAX(0,Inputs!$B$43-B2806)-((R2792-1)*(IF(Inputs!$B$38="pvp",15,MAX(0.1,Skills!E24-IF(Skills!F24=TRUE,0.5,0)))*(1-IF(AND(ArtifactsInput!$M$27,Inputs!$B$4="Chapter Hunt"),CHOOSE(ArtifactsInput!$N$27+1,20,24,28,32,36,40),0)/100)))))/Skills!H24,1)))/Inputs!$B$43),G2792*Q2792)*(1+IF(Inputs!$B$3&gt;=130,0.2*(Skills!I16/Skills!E15+IF(Inputs!$B$3&gt;=126,0.05*(B2804+Q2781+(H2782*B2805)/(1+Skills!H14*H2782*B2805)+Q2792)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3">
      <c r="A2793">
        <f>Skills!A25</f>
        <v/>
      </c>
      <c r="B2793">
        <f>Skills!B25</f>
        <v/>
      </c>
      <c r="C2793">
        <f>Inputs!$B$3&gt;=117</f>
        <v/>
      </c>
      <c r="D2793">
        <f>IF(Skills!C25=1,60+Inputs!$B$25+Inputs!$B$29,IF(Skills!C25=2,90+Inputs!$B$26+Inputs!$B$29,IF(Skills!C25=3,120+Inputs!$B$27+Inputs!$B$29,MAX(0,(Inputs!$B$3-100)*3)+Inputs!$B$28+Inputs!$B$29)))</f>
        <v/>
      </c>
      <c r="E2793">
        <f>INDEX(FactorTable!$B$2:$Y$301, MATCH(ROUND(MIN(300,MAX(1,D2793)),0), FactorTable!$A$2:$A$301,0), Skills!M25+1)</f>
        <v/>
      </c>
      <c r="F2793">
        <f>IF(Skills!N25=TRUE,(Skills!L25/10)*(E2793/1000),Skills!L25/10)+Skills!O25</f>
        <v/>
      </c>
      <c r="G2793">
        <f>Calc!G25</f>
        <v/>
      </c>
      <c r="H2793">
        <f>Calc!H25</f>
        <v/>
      </c>
      <c r="I2793">
        <f>IF(Skills!X25&lt;&gt;"",1+(Skills!X25/10)*(Z2771/1000)/100,1)</f>
        <v/>
      </c>
      <c r="J2793" t="inlineStr"/>
      <c r="K2793" t="inlineStr"/>
      <c r="L2793" t="inlineStr"/>
      <c r="M2793" t="inlineStr"/>
      <c r="N2793" t="inlineStr"/>
      <c r="O2793">
        <f>(1-Summary!$B$11)*S2793+Summary!$B$11*U2793</f>
        <v/>
      </c>
      <c r="P2793">
        <f>IF(B2809=0,0,O2793/B2809)</f>
        <v/>
      </c>
      <c r="Q2793">
        <f>IFERROR(1/(IF(Inputs!$B$38="pvp",15,MAX(0.1,Skills!E25-IF(Skills!F25=TRUE,0.5,0)))*(1-IF(AND(ArtifactsInput!$M$27,Inputs!$B$4="Chapter Hunt"),CHOOSE(ArtifactsInput!$N$27+1,20,24,28,32,36,40),0)/100)),0)</f>
        <v/>
      </c>
      <c r="R2793" t="n">
        <v>0</v>
      </c>
      <c r="S2793" t="n">
        <v>0</v>
      </c>
      <c r="U2793" t="n">
        <v>0</v>
      </c>
    </row>
    <row r="2794">
      <c r="A2794">
        <f>Skills!A26</f>
        <v/>
      </c>
      <c r="B2794">
        <f>Skills!B26</f>
        <v/>
      </c>
      <c r="C2794">
        <f>Inputs!$B$3&gt;=120</f>
        <v/>
      </c>
      <c r="D2794">
        <f>IF(Skills!C26=1,60+Inputs!$B$25+Inputs!$B$29,IF(Skills!C26=2,90+Inputs!$B$26+Inputs!$B$29,IF(Skills!C26=3,120+Inputs!$B$27+Inputs!$B$29,MAX(0,(Inputs!$B$3-100)*3)+Inputs!$B$28+Inputs!$B$29)))</f>
        <v/>
      </c>
      <c r="E2794">
        <f>INDEX(FactorTable!$B$2:$Y$301, MATCH(ROUND(MIN(300,MAX(1,D2794)),0), FactorTable!$A$2:$A$301,0), Skills!M26+1)</f>
        <v/>
      </c>
      <c r="F2794">
        <f>IF(Skills!N26=TRUE,(Skills!L26/10)*(E2794/1000),Skills!L26/10)+Skills!O26</f>
        <v/>
      </c>
      <c r="G2794">
        <f>Calc!G26</f>
        <v/>
      </c>
      <c r="H2794">
        <f>Calc!H26</f>
        <v/>
      </c>
      <c r="I2794">
        <f>IF(Skills!X26&lt;&gt;"",1+(Skills!X26/10)*(Z2771/1000)/100,1)</f>
        <v/>
      </c>
      <c r="J2794" t="inlineStr"/>
      <c r="K2794" t="inlineStr"/>
      <c r="L2794" t="inlineStr"/>
      <c r="M2794" t="inlineStr"/>
      <c r="N2794" t="inlineStr"/>
      <c r="O2794">
        <f>(1-Summary!$B$11)*S2794+Summary!$B$11*U2794</f>
        <v/>
      </c>
      <c r="P2794">
        <f>IF(B2809=0,0,O2794/B2809)</f>
        <v/>
      </c>
      <c r="Q2794">
        <f>IFERROR(1/(IF(Inputs!$B$38="pvp",15,MAX(0.1,Skills!E26-IF(Skills!F26=TRUE,0.5,0)))*(1-IF(AND(ArtifactsInput!$M$27,Inputs!$B$4="Chapter Hunt"),CHOOSE(ArtifactsInput!$N$27+1,20,24,28,32,36,40),0)/100)),0)</f>
        <v/>
      </c>
      <c r="R2794" t="n">
        <v>0</v>
      </c>
      <c r="S2794" t="n">
        <v>0</v>
      </c>
      <c r="U2794" t="n">
        <v>0</v>
      </c>
    </row>
    <row r="2795">
      <c r="A2795">
        <f>Skills!A27</f>
        <v/>
      </c>
      <c r="B2795">
        <f>Skills!B27</f>
        <v/>
      </c>
      <c r="C2795">
        <f>Inputs!$B$3&gt;=125</f>
        <v/>
      </c>
      <c r="D2795">
        <f>IF(Skills!C27=1,60+Inputs!$B$25+Inputs!$B$29,IF(Skills!C27=2,90+Inputs!$B$26+Inputs!$B$29,IF(Skills!C27=3,120+Inputs!$B$27+Inputs!$B$29,MAX(0,(Inputs!$B$3-100)*3)+Inputs!$B$28+Inputs!$B$29)))</f>
        <v/>
      </c>
      <c r="E2795">
        <f>INDEX(FactorTable!$B$2:$Y$301, MATCH(ROUND(MIN(300,MAX(1,D2795)),0), FactorTable!$A$2:$A$301,0), Skills!M27+1)</f>
        <v/>
      </c>
      <c r="F2795">
        <f>IF(Skills!N27=TRUE,(Skills!L27/10)*(E2795/1000),Skills!L27/10)+Skills!O27</f>
        <v/>
      </c>
      <c r="G2795">
        <f>Calc!G27</f>
        <v/>
      </c>
      <c r="H2795">
        <f>Calc!H27</f>
        <v/>
      </c>
      <c r="I2795">
        <f>IF(Skills!X27&lt;&gt;"",1+(Skills!X27/10)*(Z2771/1000)/100,1)</f>
        <v/>
      </c>
      <c r="J2795" t="inlineStr"/>
      <c r="K2795" t="inlineStr"/>
      <c r="L2795" t="inlineStr"/>
      <c r="M2795" t="inlineStr"/>
      <c r="N2795" t="inlineStr"/>
      <c r="O2795">
        <f>(1-Summary!$B$11)*S2795+Summary!$B$11*U2795</f>
        <v/>
      </c>
      <c r="P2795">
        <f>IF(B2809=0,0,O2795/B2809)</f>
        <v/>
      </c>
      <c r="Q2795">
        <f>IFERROR(1/(IF(Inputs!$B$38="pvp",15,MAX(0.1,Skills!E27-IF(Skills!F27=TRUE,0.5,0)))*(1-IF(AND(ArtifactsInput!$M$27,Inputs!$B$4="Chapter Hunt"),CHOOSE(ArtifactsInput!$N$27+1,20,24,28,32,36,40),0)/100)),0)</f>
        <v/>
      </c>
      <c r="R2795" t="n">
        <v>0</v>
      </c>
      <c r="S2795" t="n">
        <v>0</v>
      </c>
      <c r="U2795" t="n">
        <v>0</v>
      </c>
    </row>
    <row r="2796">
      <c r="A2796">
        <f>Skills!A28</f>
        <v/>
      </c>
      <c r="B2796">
        <f>Skills!B28</f>
        <v/>
      </c>
      <c r="C2796">
        <f>Inputs!$B$3&gt;=118</f>
        <v/>
      </c>
      <c r="D2796">
        <f>IF(Skills!C28=1,60+Inputs!$B$25+Inputs!$B$29,IF(Skills!C28=2,90+Inputs!$B$26+Inputs!$B$29,IF(Skills!C28=3,120+Inputs!$B$27+Inputs!$B$29,MAX(0,(Inputs!$B$3-100)*3)+Inputs!$B$28+Inputs!$B$29)))</f>
        <v/>
      </c>
      <c r="E2796">
        <f>INDEX(FactorTable!$B$2:$Y$301, MATCH(ROUND(MIN(300,MAX(1,D2796)),0), FactorTable!$A$2:$A$301,0), Skills!M28+1)</f>
        <v/>
      </c>
      <c r="F2796">
        <f>IF(Skills!N28=TRUE,(Skills!L28/10)*(E2796/1000),Skills!L28/10)+Skills!O28</f>
        <v/>
      </c>
      <c r="G2796">
        <f>Calc!G28</f>
        <v/>
      </c>
      <c r="H2796">
        <f>Calc!H28</f>
        <v/>
      </c>
      <c r="I2796">
        <f>IF(Skills!X28&lt;&gt;"",1+(Skills!X28/10)*(Z2771/1000)/100,1)</f>
        <v/>
      </c>
      <c r="J2796">
        <f>((Inputs!$B$6*(1+Inputs!$B$7/100))+(((Inputs!$B$12*(1+Inputs!$B$13/100))-(Inputs!$B$12*(1+Inputs!$B$13/100)))+0.25*(Inputs!$B$14-Inputs!$B$14))*(1+Inputs!$B$7/100))*(F2796/100)</f>
        <v/>
      </c>
      <c r="K2796">
        <f>J2796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2791/100)*(1+IF(Inputs!$B$3&gt;=120,F2794,0)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2795*5,0)))/100)*(B2798*B2799*B2800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2796)</f>
        <v/>
      </c>
      <c r="L2796">
        <f>K2796*(MIN(Inputs!$B$22+(F2790-Calc!F22),(Inputs!$B$23+(IF(ArtifactsInput!$M$15,CHOOSE(ArtifactsInput!$N$15+1,25,30,35,40,45,50)/100*(Inputs!$B$11-Inputs!$B$11),0))))/100+(Inputs!$B$23+(IF(ArtifactsInput!$M$15,CHOOSE(ArtifactsInput!$N$15+1,25,30,35,40,45,50)/100*(Inputs!$B$11-Inputs!$B$11),0)))/100)/2</f>
        <v/>
      </c>
      <c r="M2796">
        <f>L2796*(1+(Inputs!$B$10+(F2789-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6">
        <f>L2796*(1-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2796*(MIN((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6">
        <f>(1-Summary!$B$11)*S2796+Summary!$B$11*U2796</f>
        <v/>
      </c>
      <c r="P2796">
        <f>IF(B2809=0,0,O2796/B2809)</f>
        <v/>
      </c>
      <c r="Q2796">
        <f>IFERROR(1/(IF(Inputs!$B$38="pvp",15,MAX(0.1,Skills!E28-IF(Skills!F28=TRUE,0.5,0)))*(1-IF(AND(ArtifactsInput!$M$27,Inputs!$B$4="Chapter Hunt"),CHOOSE(ArtifactsInput!$N$27+1,20,24,28,32,36,40),0)/100)),0)</f>
        <v/>
      </c>
      <c r="R2796">
        <f>IF(AND(Inputs!$B$38&lt;&gt;"pvp",Inputs!$B$43&gt;0),IF(MAX(0,Inputs!$B$43-B2806)&lt;=0,0,(INT(MAX(0,Inputs!$B$43-B2806)/(IF(Inputs!$B$38="pvp",15,MAX(0.1,Skills!E28-IF(Skills!F28=TRUE,0.5,0)))*(1-IF(AND(ArtifactsInput!$M$27,Inputs!$B$4="Chapter Hunt"),CHOOSE(ArtifactsInput!$N$27+1,20,24,28,32,36,40),0)/100)))+1)),0)</f>
        <v/>
      </c>
      <c r="S2796">
        <f>IF(C2796,(H2796*N2796*IF(AND(Inputs!$B$38&lt;&gt;"pvp",Inputs!$B$43&gt;0),((Skills!G28*((R2796-1)*IF(Skills!H28&gt;0,Skills!I28/Skills!H28,1)+IF(Skills!H28&gt;0,MIN(Skills!I28,MAX(0,MAX(0,Inputs!$B$43-B2806)-((R2796-1)*(IF(Inputs!$B$38="pvp",15,MAX(0.1,Skills!E28-IF(Skills!F28=TRUE,0.5,0)))*(1-IF(AND(ArtifactsInput!$M$27,Inputs!$B$4="Chapter Hunt"),CHOOSE(ArtifactsInput!$N$27+1,20,24,28,32,36,40),0)/100)))))/Skills!H28,1)))/Inputs!$B$43),G2796*Q2796)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2796*(1-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2796*(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2796*(1-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2796*(MIN(100,(Inputs!$B$9+(F2788-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6">
        <f>IF(C2796,(H2796*N2796*IF(AND(Inputs!$B$38&lt;&gt;"pvp",Inputs!$B$43&gt;0),((Skills!G28*((R2796-1)*IF(Skills!H28&gt;0,Skills!I28/Skills!H28,1)+IF(Skills!H28&gt;0,MIN(Skills!I28,MAX(0,MAX(0,Inputs!$B$43-B2806)-((R2796-1)*(IF(Inputs!$B$38="pvp",15,MAX(0.1,Skills!E28-IF(Skills!F28=TRUE,0.5,0)))*(1-IF(AND(ArtifactsInput!$M$27,Inputs!$B$4="Chapter Hunt"),CHOOSE(ArtifactsInput!$N$27+1,20,24,28,32,36,40),0)/100)))))/Skills!H28,1)))/Inputs!$B$43),G2796*Q2796)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8">
      <c r="A2798" t="inlineStr">
        <is>
          <t>Burning Magic Multiplier</t>
        </is>
      </c>
      <c r="B2798">
        <f>1+(F2779*Skills!Z11)/100</f>
        <v/>
      </c>
    </row>
    <row r="2799">
      <c r="A2799" t="inlineStr">
        <is>
          <t>Elemental Decrease Multiplier (always-on)</t>
        </is>
      </c>
      <c r="B2799">
        <f>1+(F2780+(IF(AND(ArtifactsInput!$M$35,Inputs!$B$4&lt;&gt;"Chapter Hunt"),CHOOSE(ArtifactsInput!$N$35+1,15,18,21,24,27,30)*(1-EXP(-(0.2*B2802)*5)),0)+IF(AND(ArtifactsInput!$M$22,Inputs!$B$4&lt;&gt;"Chapter Hunt"),CHOOSE(ArtifactsInput!$N$22+1,10,12,14,16,18,20)*((0*(((0.15*B2802*5))^0/1)+1*(((0.15*B2802*5))^1/1)+2*(((0.15*B2802*5))^2/2)+3*(((0.15*B2802*5))^3/6)+4*(((0.15*B2802*5))^4/24)+5*(((0.15*B2802*5))^5/120))/((((0.15*B2802*5))^0/1)+(((0.15*B2802*5))^1/1)+(((0.15*B2802*5))^2/2)+(((0.15*B2802*5))^3/6)+(((0.15*B2802*5))^4/24)+(((0.15*B2802*5))^5/120))),0)))/100</f>
        <v/>
      </c>
    </row>
    <row r="2800">
      <c r="A2800" t="inlineStr">
        <is>
          <t>Average Buff Multiplier (Magic Guard + Meditation + Artifact Attack%, summed; then Infinity)</t>
        </is>
      </c>
      <c r="B2800">
        <f>(1+(F2774*IF(AND(Inputs!$B$38&lt;&gt;"pvp",Inputs!$B$43&gt;0),(((R2774-1)*(Skills!T6*(1+((Inputs!$B$34+(ArtifactsInput!$M$7-ArtifactsInput!$M$7)*CHOOSE(ArtifactsInput!$N$7+1,6,7.2,8.4,9.6,10.8,12)))/100))+MIN((Skills!T6*(1+((Inputs!$B$34+(ArtifactsInput!$M$7-ArtifactsInput!$M$7)*CHOOSE(ArtifactsInput!$N$7+1,6,7.2,8.4,9.6,10.8,12)))/100)),MAX(0,Inputs!$B$43-((R2774-1)*Skills!E6))))/Inputs!$B$43),IF(Inputs!$B$38="pvp",MIN((Skills!T6*(1+((Inputs!$B$34+(ArtifactsInput!$M$7-ArtifactsInput!$M$7)*CHOOSE(ArtifactsInput!$N$7+1,6,7.2,8.4,9.6,10.8,12)))/100)),15)/15,(Skills!T6*(1+((Inputs!$B$34+(ArtifactsInput!$M$7-ArtifactsInput!$M$7)*CHOOSE(ArtifactsInput!$N$7+1,6,7.2,8.4,9.6,10.8,12)))/100))/Skills!E6))+F2785*IF(AND(Inputs!$B$38&lt;&gt;"pvp",Inputs!$B$43&gt;0),(((R2785-1)*(Skills!T17*(1+((Inputs!$B$34+(ArtifactsInput!$M$7-ArtifactsInput!$M$7)*CHOOSE(ArtifactsInput!$N$7+1,6,7.2,8.4,9.6,10.8,12)))/100))+MIN((Skills!T17*(1+((Inputs!$B$34+(ArtifactsInput!$M$7-ArtifactsInput!$M$7)*CHOOSE(ArtifactsInput!$N$7+1,6,7.2,8.4,9.6,10.8,12)))/100)),MAX(0,Inputs!$B$43-((R2785-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2787=TRUE,(1+F2787*IF(AND(Inputs!$B$38&lt;&gt;"pvp",Inputs!$B$43&gt;0),(((R2787-1)*(Skills!T19*(1+((Inputs!$B$34+(ArtifactsInput!$M$7-ArtifactsInput!$M$7)*CHOOSE(ArtifactsInput!$N$7+1,6,7.2,8.4,9.6,10.8,12)))/100))+MIN((Skills!T19*(1+((Inputs!$B$34+(ArtifactsInput!$M$7-ArtifactsInput!$M$7)*CHOOSE(ArtifactsInput!$N$7+1,6,7.2,8.4,9.6,10.8,12)))/100)),MAX(0,Inputs!$B$43-((R2787-1)*Skills!E19))))/Inputs!$B$43),IF(Inputs!$B$38="pvp",MIN((Skills!T19*(1+((Inputs!$B$34+(ArtifactsInput!$M$7-ArtifactsInput!$M$7)*CHOOSE(ArtifactsInput!$N$7+1,6,7.2,8.4,9.6,10.8,12)))/100)),15)/15,(Skills!T19*(1+((Inputs!$B$34+(ArtifactsInput!$M$7-ArtifactsInput!$M$7)*CHOOSE(ArtifactsInput!$N$7+1,6,7.2,8.4,9.6,10.8,12)))/100))/Skills!E19))/100),1)</f>
        <v/>
      </c>
    </row>
    <row r="2801">
      <c r="A2801" t="inlineStr">
        <is>
          <t>Attack Speed Buff Bonus % (Nimble Feet, averaged)</t>
        </is>
      </c>
      <c r="B2801">
        <f>F2786*IF(AND(Inputs!$B$38&lt;&gt;"pvp",Inputs!$B$43&gt;0),(((R2786-1)*(Skills!T18*(1+((Inputs!$B$34+(ArtifactsInput!$M$7-ArtifactsInput!$M$7)*CHOOSE(ArtifactsInput!$N$7+1,6,7.2,8.4,9.6,10.8,12)))/100))+MIN((Skills!T18*(1+((Inputs!$B$34+(ArtifactsInput!$M$7-ArtifactsInput!$M$7)*CHOOSE(ArtifactsInput!$N$7+1,6,7.2,8.4,9.6,10.8,12)))/100)),MAX(0,Inputs!$B$43-((R2786-1)*Skills!E18))))/Inputs!$B$43),IF(Inputs!$B$38="pvp",MIN((Skills!T18*(1+((Inputs!$B$34+(ArtifactsInput!$M$7-ArtifactsInput!$M$7)*CHOOSE(ArtifactsInput!$N$7+1,6,7.2,8.4,9.6,10.8,12)))/100)),15)/15,(Skills!T18*(1+((Inputs!$B$34+(ArtifactsInput!$M$7-ArtifactsInput!$M$7)*CHOOSE(ArtifactsInput!$N$7+1,6,7.2,8.4,9.6,10.8,12)))/100))/Skills!E18))</f>
        <v/>
      </c>
    </row>
    <row r="2802">
      <c r="A2802" t="inlineStr">
        <is>
          <t>Actions Per Second</t>
        </is>
      </c>
      <c r="B2802">
        <f>1+MIN(150,150*(1-(1-(Inputs!$B$11+(ArtifactsInput!$M$15-ArtifactsInput!$M$15)*CHOOSE(ArtifactsInput!$N$15+1,8,9.6,11.2,12.8,14.4,16))/150)*(1-B2801/150)))/100</f>
        <v/>
      </c>
    </row>
    <row r="2803">
      <c r="A2803" t="inlineStr">
        <is>
          <t>Skill + Buff Cast Rate</t>
        </is>
      </c>
      <c r="B2803">
        <f>IF(AND(Inputs!$B$38&lt;&gt;"pvp",Inputs!$B$43&gt;0),SUMPRODUCT((Skills!F2:F28=TRUE)*(C2770:C2796=TRUE)*R2770:R2796)/Inputs!$B$43,SUMPRODUCT((Skills!F2:F28=TRUE)*(C2770:C2796=TRUE)*Q2770:Q2796))</f>
        <v/>
      </c>
    </row>
    <row r="2804">
      <c r="A2804" t="inlineStr">
        <is>
          <t>Basic Attacks Per Second</t>
        </is>
      </c>
      <c r="B2804">
        <f>MAX(0,B2802-B2803)</f>
        <v/>
      </c>
    </row>
    <row r="2805">
      <c r="A2805" t="inlineStr">
        <is>
          <t>Meteor Proc — combined trigger cast rate</t>
        </is>
      </c>
      <c r="B2805">
        <f>IF(AND(Inputs!$B$38&lt;&gt;"pvp",Inputs!$B$43&gt;0),SUMPRODUCT((Skills!V2:V28=TRUE)*(C2770:C2796=TRUE)*R2770:R2796*Skills!W2:W28)/Inputs!$B$43,SUMPRODUCT((Skills!V2:V28=TRUE)*(C2770:C2796=TRUE)*Q2770:Q2796*Skills!W2:W28))+B2804</f>
        <v/>
      </c>
    </row>
    <row r="2806">
      <c r="A2806" t="inlineStr">
        <is>
          <t>Buff-Casting Startup Delay (s, fixed-duration only)</t>
        </is>
      </c>
      <c r="B2806">
        <f>IF(AND(Inputs!$B$38&lt;&gt;"pvp",Inputs!$B$43&gt;0),SUMPRODUCT((Skills!T2:T28&gt;0)*(Skills!F2:F28=TRUE)*(C2770:C2796=TRUE))/B2802,0)</f>
        <v/>
      </c>
    </row>
    <row r="2807">
      <c r="A2807" t="inlineStr">
        <is>
          <t>Boss-Only Total DPS (this block's swept value)</t>
        </is>
      </c>
      <c r="B2807">
        <f>SUM(S2770:S2796)</f>
        <v/>
      </c>
    </row>
    <row r="2808">
      <c r="A2808" t="inlineStr">
        <is>
          <t>Normal-Only Total DPS (this block's swept value)</t>
        </is>
      </c>
      <c r="B2808">
        <f>SUM(U2770:U2796)</f>
        <v/>
      </c>
    </row>
    <row r="2809">
      <c r="A2809" s="6" t="inlineStr">
        <is>
          <t>TOTAL DPS</t>
        </is>
      </c>
      <c r="B2809" s="6">
        <f>SUM(O2770:O2796)</f>
        <v/>
      </c>
    </row>
    <row r="2812">
      <c r="A2812" s="6" t="inlineStr">
        <is>
          <t>Stat: CDR = 1.0s</t>
        </is>
      </c>
    </row>
    <row r="2813">
      <c r="A2813" s="5" t="inlineStr">
        <is>
          <t>Key</t>
        </is>
      </c>
      <c r="B2813" s="5" t="inlineStr">
        <is>
          <t>Name</t>
        </is>
      </c>
      <c r="C2813" s="5" t="inlineStr">
        <is>
          <t>Unlocked</t>
        </is>
      </c>
      <c r="D2813" s="5" t="inlineStr">
        <is>
          <t>InputLevel</t>
        </is>
      </c>
      <c r="E2813" s="5" t="inlineStr">
        <is>
          <t>Factor</t>
        </is>
      </c>
      <c r="F2813" s="5" t="inlineStr">
        <is>
          <t>CoefficientPercent</t>
        </is>
      </c>
      <c r="G2813" s="5" t="inlineStr">
        <is>
          <t>EffectiveHits</t>
        </is>
      </c>
      <c r="H2813" s="5" t="inlineStr">
        <is>
          <t>ProcProbability</t>
        </is>
      </c>
      <c r="I2813" s="5" t="inlineStr">
        <is>
          <t>MapleHeroMultiplier</t>
        </is>
      </c>
      <c r="J2813" s="5" t="inlineStr">
        <is>
          <t>BaseDamage</t>
        </is>
      </c>
      <c r="K2813" s="5" t="inlineStr">
        <is>
          <t>BaseHitDamage</t>
        </is>
      </c>
      <c r="L2813" s="5" t="inlineStr">
        <is>
          <t>NonCritAvg</t>
        </is>
      </c>
      <c r="M2813" s="5" t="inlineStr">
        <is>
          <t>CritAvg</t>
        </is>
      </c>
      <c r="N2813" s="5" t="inlineStr">
        <is>
          <t>ExpectedDamage(perHit)</t>
        </is>
      </c>
      <c r="O2813" s="5" t="inlineStr">
        <is>
          <t>DPS</t>
        </is>
      </c>
      <c r="P2813" s="5" t="inlineStr">
        <is>
          <t>% of Total</t>
        </is>
      </c>
      <c r="R2813" t="inlineStr">
        <is>
          <t>helpers</t>
        </is>
      </c>
    </row>
    <row r="2814">
      <c r="A2814">
        <f>Skills!A2</f>
        <v/>
      </c>
      <c r="B2814">
        <f>Skills!B2</f>
        <v/>
      </c>
      <c r="C2814">
        <f>TRUE</f>
        <v/>
      </c>
      <c r="D2814" t="inlineStr"/>
      <c r="E2814" t="inlineStr"/>
      <c r="F2814">
        <f>T2816+Skills!O2</f>
        <v/>
      </c>
      <c r="G2814">
        <f>Calc!G2</f>
        <v/>
      </c>
      <c r="H2814">
        <f>Calc!H2</f>
        <v/>
      </c>
      <c r="I2814">
        <f>IF(Skills!X2&lt;&gt;"",1+(Skills!X2/10)*(Z2815/1000)/100,1)</f>
        <v/>
      </c>
      <c r="J2814">
        <f>((Inputs!$B$6*(1+Inputs!$B$7/100))+(((Inputs!$B$12*(1+Inputs!$B$13/100))-(Inputs!$B$12*(1+Inputs!$B$13/100)))+0.25*(Inputs!$B$14-Inputs!$B$14))*(1+Inputs!$B$7/100))*(F2814/100)</f>
        <v/>
      </c>
      <c r="K2814">
        <f>J2814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2814)</f>
        <v/>
      </c>
      <c r="L2814">
        <f>K2814*(MIN(Inputs!$B$22+(F2834-Calc!F22),(Inputs!$B$23+(IF(ArtifactsInput!$M$15,CHOOSE(ArtifactsInput!$N$15+1,25,30,35,40,45,50)/100*(Inputs!$B$11-Inputs!$B$11),0))))/100+(Inputs!$B$23+(IF(ArtifactsInput!$M$15,CHOOSE(ArtifactsInput!$N$15+1,25,30,35,40,45,50)/100*(Inputs!$B$11-Inputs!$B$11),0)))/100)/2</f>
        <v/>
      </c>
      <c r="M2814">
        <f>L2814*(1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4">
        <f>L2814*(1-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2814*(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4">
        <f>(1-Summary!$B$11)*S2814+Summary!$B$11*U2814</f>
        <v/>
      </c>
      <c r="P2814">
        <f>IF(B2853=0,0,O2814/B2853)</f>
        <v/>
      </c>
      <c r="Q2814">
        <f>IFERROR(1/(IF(Inputs!$B$38="pvp",15,MAX(0.1,Skills!E2-IF(Skills!F2=TRUE,1.0,0)))*(1-IF(AND(ArtifactsInput!$M$27,Inputs!$B$4="Chapter Hunt"),CHOOSE(ArtifactsInput!$N$27+1,20,24,28,32,36,40),0)/100)),0)</f>
        <v/>
      </c>
      <c r="R2814" t="n">
        <v>0</v>
      </c>
      <c r="S2814">
        <f>(Skills!G2*N2814*B2848)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2814*(1-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2814*(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2814*(1-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2814*(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814">
        <f>MAX(0,(Inputs!$B$3-100)*3)+Inputs!$B$28+Inputs!$B$29</f>
        <v/>
      </c>
      <c r="U2814">
        <f>(Skills!G2*N2814*B2848)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814">
        <f>MAX(0,(Inputs!$B$3-100)*3)+Inputs!$B$28+Inputs!$B$29</f>
        <v/>
      </c>
    </row>
    <row r="2815">
      <c r="A2815">
        <f>Skills!A3</f>
        <v/>
      </c>
      <c r="B2815">
        <f>Skills!B3</f>
        <v/>
      </c>
      <c r="C2815">
        <f>TRUE</f>
        <v/>
      </c>
      <c r="D2815">
        <f>IF(Skills!C3=1,60+Inputs!$B$25+Inputs!$B$29,IF(Skills!C3=2,90+Inputs!$B$26+Inputs!$B$29,IF(Skills!C3=3,120+Inputs!$B$27+Inputs!$B$29,MAX(0,(Inputs!$B$3-100)*3)+Inputs!$B$28+Inputs!$B$29)))</f>
        <v/>
      </c>
      <c r="E2815">
        <f>INDEX(FactorTable!$B$2:$Y$301, MATCH(ROUND(MIN(300,MAX(1,D2815)),0), FactorTable!$A$2:$A$301,0), Skills!M3+1)</f>
        <v/>
      </c>
      <c r="F2815">
        <f>IF(Skills!N3=TRUE,(Skills!L3/10)*(E2815/1000),Skills!L3/10)+Skills!O3</f>
        <v/>
      </c>
      <c r="G2815">
        <f>Calc!G3</f>
        <v/>
      </c>
      <c r="H2815">
        <f>Calc!H3</f>
        <v/>
      </c>
      <c r="I2815">
        <f>IF(Skills!X3&lt;&gt;"",1+(Skills!X3/10)*(Z2815/1000)/100,1)</f>
        <v/>
      </c>
      <c r="J2815">
        <f>((Inputs!$B$6*(1+Inputs!$B$7/100))+(((Inputs!$B$12*(1+Inputs!$B$13/100))-(Inputs!$B$12*(1+Inputs!$B$13/100)))+0.25*(Inputs!$B$14-Inputs!$B$14))*(1+Inputs!$B$7/100))*(F2815/100)</f>
        <v/>
      </c>
      <c r="K2815">
        <f>J2815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2815)</f>
        <v/>
      </c>
      <c r="L2815">
        <f>K2815*(MIN(Inputs!$B$22+(F2834-Calc!F22),(Inputs!$B$23+(IF(ArtifactsInput!$M$15,CHOOSE(ArtifactsInput!$N$15+1,25,30,35,40,45,50)/100*(Inputs!$B$11-Inputs!$B$11),0))))/100+(Inputs!$B$23+(IF(ArtifactsInput!$M$15,CHOOSE(ArtifactsInput!$N$15+1,25,30,35,40,45,50)/100*(Inputs!$B$11-Inputs!$B$11),0)))/100)/2</f>
        <v/>
      </c>
      <c r="M2815">
        <f>L2815*(1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5">
        <f>L2815*(1-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2815*(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5">
        <f>(1-Summary!$B$11)*S2815+Summary!$B$11*U2815</f>
        <v/>
      </c>
      <c r="P2815">
        <f>IF(B2853=0,0,O2815/B2853)</f>
        <v/>
      </c>
      <c r="Q2815">
        <f>IFERROR(1/(IF(Inputs!$B$38="pvp",15,MAX(0.1,Skills!E3-IF(Skills!F3=TRUE,1.0,0)))*(1-IF(AND(ArtifactsInput!$M$27,Inputs!$B$4="Chapter Hunt"),CHOOSE(ArtifactsInput!$N$27+1,20,24,28,32,36,40),0)/100)),0)</f>
        <v/>
      </c>
      <c r="R2815">
        <f>IF(AND(Inputs!$B$38&lt;&gt;"pvp",Inputs!$B$43&gt;0),IF(MAX(0,Inputs!$B$43-B2850)&lt;=0,0,(INT(MAX(0,Inputs!$B$43-B2850)/(IF(Inputs!$B$38="pvp",15,MAX(0.1,Skills!E3-IF(Skills!F3=TRUE,1.0,0)))*(1-IF(AND(ArtifactsInput!$M$27,Inputs!$B$4="Chapter Hunt"),CHOOSE(ArtifactsInput!$N$27+1,20,24,28,32,36,40),0)/100)))+1)),0)</f>
        <v/>
      </c>
      <c r="S2815">
        <f>IF(C2815,(H2815*N2815*IF(AND(Inputs!$B$38&lt;&gt;"pvp",Inputs!$B$43&gt;0),((Skills!G3*((R2815-1)*IF(Skills!H3&gt;0,Skills!I3/Skills!H3,1)+IF(Skills!H3&gt;0,MIN(Skills!I3,MAX(0,MAX(0,Inputs!$B$43-B2850)-((R2815-1)*(IF(Inputs!$B$38="pvp",15,MAX(0.1,Skills!E3-IF(Skills!F3=TRUE,1.0,0)))*(1-IF(AND(ArtifactsInput!$M$27,Inputs!$B$4="Chapter Hunt"),CHOOSE(ArtifactsInput!$N$27+1,20,24,28,32,36,40),0)/100)))))/Skills!H3,1)))/Inputs!$B$43),G2815*Q2815)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2815*(1-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2815*(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2815*(1-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2815*(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815">
        <f>INDEX(FactorTable!$B$2:$Y$301, MATCH(ROUND(MIN(300,MAX(1,T2814)),0), FactorTable!$A$2:$A$301,0), 22)</f>
        <v/>
      </c>
      <c r="U2815">
        <f>IF(C2815,(H2815*N2815*IF(AND(Inputs!$B$38&lt;&gt;"pvp",Inputs!$B$43&gt;0),((Skills!G3*((R2815-1)*IF(Skills!H3&gt;0,Skills!I3/Skills!H3,1)+IF(Skills!H3&gt;0,MIN(Skills!I3,MAX(0,MAX(0,Inputs!$B$43-B2850)-((R2815-1)*(IF(Inputs!$B$38="pvp",15,MAX(0.1,Skills!E3-IF(Skills!F3=TRUE,1.0,0)))*(1-IF(AND(ArtifactsInput!$M$27,Inputs!$B$4="Chapter Hunt"),CHOOSE(ArtifactsInput!$N$27+1,20,24,28,32,36,40),0)/100)))))/Skills!H3,1)))/Inputs!$B$43),G2815*Q2815)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815">
        <f>INDEX(FactorTable!$B$2:$Y$301, MATCH(ROUND(MIN(300,MAX(1,Z2814)),0), FactorTable!$A$2:$A$301,0), 24)</f>
        <v/>
      </c>
    </row>
    <row r="2816">
      <c r="A2816">
        <f>Skills!A4</f>
        <v/>
      </c>
      <c r="B2816">
        <f>Skills!B4</f>
        <v/>
      </c>
      <c r="C2816">
        <f>TRUE</f>
        <v/>
      </c>
      <c r="D2816">
        <f>IF(Skills!C4=1,60+Inputs!$B$25+Inputs!$B$29,IF(Skills!C4=2,90+Inputs!$B$26+Inputs!$B$29,IF(Skills!C4=3,120+Inputs!$B$27+Inputs!$B$29,MAX(0,(Inputs!$B$3-100)*3)+Inputs!$B$28+Inputs!$B$29)))</f>
        <v/>
      </c>
      <c r="E2816">
        <f>INDEX(FactorTable!$B$2:$Y$301, MATCH(ROUND(MIN(300,MAX(1,D2816)),0), FactorTable!$A$2:$A$301,0), Skills!M4+1)</f>
        <v/>
      </c>
      <c r="F2816">
        <f>IF(Skills!N4=TRUE,(Skills!L4/10)*(E2816/1000),Skills!L4/10)+Skills!O4</f>
        <v/>
      </c>
      <c r="G2816">
        <f>Calc!G4</f>
        <v/>
      </c>
      <c r="H2816">
        <f>Calc!H4</f>
        <v/>
      </c>
      <c r="I2816">
        <f>IF(Skills!X4&lt;&gt;"",1+(Skills!X4/10)*(Z2815/1000)/100,1)</f>
        <v/>
      </c>
      <c r="J2816">
        <f>((Inputs!$B$6*(1+Inputs!$B$7/100))+(((Inputs!$B$12*(1+Inputs!$B$13/100))-(Inputs!$B$12*(1+Inputs!$B$13/100)))+0.25*(Inputs!$B$14-Inputs!$B$14))*(1+Inputs!$B$7/100))*(F2816/100)</f>
        <v/>
      </c>
      <c r="K2816">
        <f>J2816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2816)</f>
        <v/>
      </c>
      <c r="L2816">
        <f>K2816*(MIN(Inputs!$B$22+(F2834-Calc!F22),(Inputs!$B$23+(IF(ArtifactsInput!$M$15,CHOOSE(ArtifactsInput!$N$15+1,25,30,35,40,45,50)/100*(Inputs!$B$11-Inputs!$B$11),0))))/100+(Inputs!$B$23+(IF(ArtifactsInput!$M$15,CHOOSE(ArtifactsInput!$N$15+1,25,30,35,40,45,50)/100*(Inputs!$B$11-Inputs!$B$11),0)))/100)/2</f>
        <v/>
      </c>
      <c r="M2816">
        <f>L2816*(1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6">
        <f>L2816*(1-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2816*(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6">
        <f>(1-Summary!$B$11)*S2816+Summary!$B$11*U2816</f>
        <v/>
      </c>
      <c r="P2816">
        <f>IF(B2853=0,0,O2816/B2853)</f>
        <v/>
      </c>
      <c r="Q2816">
        <f>IFERROR(1/(IF(Inputs!$B$38="pvp",15,MAX(0.1,Skills!E4-IF(Skills!F4=TRUE,1.0,0)))*(1-IF(AND(ArtifactsInput!$M$27,Inputs!$B$4="Chapter Hunt"),CHOOSE(ArtifactsInput!$N$27+1,20,24,28,32,36,40),0)/100)),0)</f>
        <v/>
      </c>
      <c r="R2816">
        <f>IF(AND(Inputs!$B$38&lt;&gt;"pvp",Inputs!$B$43&gt;0),IF(MAX(0,Inputs!$B$43-B2850)&lt;=0,0,(INT(MAX(0,Inputs!$B$43-B2850)/(IF(Inputs!$B$38="pvp",15,MAX(0.1,Skills!E4-IF(Skills!F4=TRUE,1.0,0)))*(1-IF(AND(ArtifactsInput!$M$27,Inputs!$B$4="Chapter Hunt"),CHOOSE(ArtifactsInput!$N$27+1,20,24,28,32,36,40),0)/100)))+1)),0)</f>
        <v/>
      </c>
      <c r="S2816">
        <f>IF(C2816,(H2816*N2816*IF(AND(Inputs!$B$38&lt;&gt;"pvp",Inputs!$B$43&gt;0),((Skills!G4*((R2816-1)*IF(Skills!H4&gt;0,Skills!I4/Skills!H4,1)+IF(Skills!H4&gt;0,MIN(Skills!I4,MAX(0,MAX(0,Inputs!$B$43-B2850)-((R2816-1)*(IF(Inputs!$B$38="pvp",15,MAX(0.1,Skills!E4-IF(Skills!F4=TRUE,1.0,0)))*(1-IF(AND(ArtifactsInput!$M$27,Inputs!$B$4="Chapter Hunt"),CHOOSE(ArtifactsInput!$N$27+1,20,24,28,32,36,40),0)/100)))))/Skills!H4,1)))/Inputs!$B$43),G2816*Q2816)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2816*(1-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2816*(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2816*(1-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2816*(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816">
        <f>290*T2815/1000</f>
        <v/>
      </c>
      <c r="U2816">
        <f>IF(C2816,(H2816*N2816*IF(AND(Inputs!$B$38&lt;&gt;"pvp",Inputs!$B$43&gt;0),((Skills!G4*((R2816-1)*IF(Skills!H4&gt;0,Skills!I4/Skills!H4,1)+IF(Skills!H4&gt;0,MIN(Skills!I4,MAX(0,MAX(0,Inputs!$B$43-B2850)-((R2816-1)*(IF(Inputs!$B$38="pvp",15,MAX(0.1,Skills!E4-IF(Skills!F4=TRUE,1.0,0)))*(1-IF(AND(ArtifactsInput!$M$27,Inputs!$B$4="Chapter Hunt"),CHOOSE(ArtifactsInput!$N$27+1,20,24,28,32,36,40),0)/100)))))/Skills!H4,1)))/Inputs!$B$43),G2816*Q2816)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7">
      <c r="A2817">
        <f>Skills!A5</f>
        <v/>
      </c>
      <c r="B2817">
        <f>Skills!B5</f>
        <v/>
      </c>
      <c r="C2817">
        <f>TRUE</f>
        <v/>
      </c>
      <c r="D2817">
        <f>IF(Skills!C5=1,60+Inputs!$B$25+Inputs!$B$29,IF(Skills!C5=2,90+Inputs!$B$26+Inputs!$B$29,IF(Skills!C5=3,120+Inputs!$B$27+Inputs!$B$29,MAX(0,(Inputs!$B$3-100)*3)+Inputs!$B$28+Inputs!$B$29)))</f>
        <v/>
      </c>
      <c r="E2817">
        <f>INDEX(FactorTable!$B$2:$Y$301, MATCH(ROUND(MIN(300,MAX(1,D2817)),0), FactorTable!$A$2:$A$301,0), Skills!M5+1)</f>
        <v/>
      </c>
      <c r="F2817">
        <f>IF(Skills!N5=TRUE,(Skills!L5/10)*(E2817/1000),Skills!L5/10)+Skills!O5</f>
        <v/>
      </c>
      <c r="G2817">
        <f>Calc!G5</f>
        <v/>
      </c>
      <c r="H2817">
        <f>Calc!H5</f>
        <v/>
      </c>
      <c r="I2817">
        <f>IF(Skills!X5&lt;&gt;"",1+(Skills!X5/10)*(Z2815/1000)/100,1)</f>
        <v/>
      </c>
      <c r="J2817">
        <f>((Inputs!$B$6*(1+Inputs!$B$7/100))+(((Inputs!$B$12*(1+Inputs!$B$13/100))-(Inputs!$B$12*(1+Inputs!$B$13/100)))+0.25*(Inputs!$B$14-Inputs!$B$14))*(1+Inputs!$B$7/100))*(F2817/100)</f>
        <v/>
      </c>
      <c r="K2817">
        <f>J2817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2817)</f>
        <v/>
      </c>
      <c r="L2817">
        <f>K2817*(MIN(Inputs!$B$22+(F2834-Calc!F22),(Inputs!$B$23+(IF(ArtifactsInput!$M$15,CHOOSE(ArtifactsInput!$N$15+1,25,30,35,40,45,50)/100*(Inputs!$B$11-Inputs!$B$11),0))))/100+(Inputs!$B$23+(IF(ArtifactsInput!$M$15,CHOOSE(ArtifactsInput!$N$15+1,25,30,35,40,45,50)/100*(Inputs!$B$11-Inputs!$B$11),0)))/100)/2</f>
        <v/>
      </c>
      <c r="M2817">
        <f>L2817*(1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7">
        <f>L2817*(1-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2817*(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7">
        <f>(1-Summary!$B$11)*S2817+Summary!$B$11*U2817</f>
        <v/>
      </c>
      <c r="P2817">
        <f>IF(B2853=0,0,O2817/B2853)</f>
        <v/>
      </c>
      <c r="Q2817">
        <f>IFERROR(1/(IF(Inputs!$B$38="pvp",15,MAX(0.1,Skills!E5-IF(Skills!F5=TRUE,1.0,0)))*(1-IF(AND(ArtifactsInput!$M$27,Inputs!$B$4="Chapter Hunt"),CHOOSE(ArtifactsInput!$N$27+1,20,24,28,32,36,40),0)/100)),0)</f>
        <v/>
      </c>
      <c r="R2817">
        <f>IF(AND(Inputs!$B$38&lt;&gt;"pvp",Inputs!$B$43&gt;0),IF(MAX(0,Inputs!$B$43-B2850)&lt;=0,0,(INT(MAX(0,Inputs!$B$43-B2850)/(IF(Inputs!$B$38="pvp",15,MAX(0.1,Skills!E5-IF(Skills!F5=TRUE,1.0,0)))*(1-IF(AND(ArtifactsInput!$M$27,Inputs!$B$4="Chapter Hunt"),CHOOSE(ArtifactsInput!$N$27+1,20,24,28,32,36,40),0)/100)))+1)),0)</f>
        <v/>
      </c>
      <c r="S2817">
        <f>IF(C2817,(H2817*N2817*IF(AND(Inputs!$B$38&lt;&gt;"pvp",Inputs!$B$43&gt;0),((Skills!G5*((R2817-1)*IF(Skills!H5&gt;0,Skills!I5/Skills!H5,1)+IF(Skills!H5&gt;0,MIN(Skills!I5,MAX(0,MAX(0,Inputs!$B$43-B2850)-((R2817-1)*(IF(Inputs!$B$38="pvp",15,MAX(0.1,Skills!E5-IF(Skills!F5=TRUE,1.0,0)))*(1-IF(AND(ArtifactsInput!$M$27,Inputs!$B$4="Chapter Hunt"),CHOOSE(ArtifactsInput!$N$27+1,20,24,28,32,36,40),0)/100)))))/Skills!H5,1)))/Inputs!$B$43),G2817*Q2817)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2817*(1-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2817*(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2817*(1-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2817*(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17">
        <f>IF(C2817,(H2817*N2817*IF(AND(Inputs!$B$38&lt;&gt;"pvp",Inputs!$B$43&gt;0),((Skills!G5*((R2817-1)*IF(Skills!H5&gt;0,Skills!I5/Skills!H5,1)+IF(Skills!H5&gt;0,MIN(Skills!I5,MAX(0,MAX(0,Inputs!$B$43-B2850)-((R2817-1)*(IF(Inputs!$B$38="pvp",15,MAX(0.1,Skills!E5-IF(Skills!F5=TRUE,1.0,0)))*(1-IF(AND(ArtifactsInput!$M$27,Inputs!$B$4="Chapter Hunt"),CHOOSE(ArtifactsInput!$N$27+1,20,24,28,32,36,40),0)/100)))))/Skills!H5,1)))/Inputs!$B$43),G2817*Q2817)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8">
      <c r="A2818">
        <f>Skills!A6</f>
        <v/>
      </c>
      <c r="B2818">
        <f>Skills!B6</f>
        <v/>
      </c>
      <c r="C2818">
        <f>TRUE</f>
        <v/>
      </c>
      <c r="D2818">
        <f>IF(Skills!C6=1,60+Inputs!$B$25+Inputs!$B$29,IF(Skills!C6=2,90+Inputs!$B$26+Inputs!$B$29,IF(Skills!C6=3,120+Inputs!$B$27+Inputs!$B$29,MAX(0,(Inputs!$B$3-100)*3)+Inputs!$B$28+Inputs!$B$29)))</f>
        <v/>
      </c>
      <c r="E2818">
        <f>INDEX(FactorTable!$B$2:$Y$301, MATCH(ROUND(MIN(300,MAX(1,D2818)),0), FactorTable!$A$2:$A$301,0), Skills!M6+1)</f>
        <v/>
      </c>
      <c r="F2818">
        <f>IF(Skills!N6=TRUE,(Skills!L6/10)*(E2818/1000),Skills!L6/10)+Skills!O6</f>
        <v/>
      </c>
      <c r="G2818">
        <f>Calc!G6</f>
        <v/>
      </c>
      <c r="H2818">
        <f>Calc!H6</f>
        <v/>
      </c>
      <c r="I2818">
        <f>IF(Skills!X6&lt;&gt;"",1+(Skills!X6/10)*(Z2815/1000)/100,1)</f>
        <v/>
      </c>
      <c r="J2818" t="inlineStr"/>
      <c r="K2818" t="inlineStr"/>
      <c r="L2818" t="inlineStr"/>
      <c r="M2818" t="inlineStr"/>
      <c r="N2818" t="inlineStr"/>
      <c r="O2818">
        <f>(1-Summary!$B$11)*S2818+Summary!$B$11*U2818</f>
        <v/>
      </c>
      <c r="P2818">
        <f>IF(B2853=0,0,O2818/B2853)</f>
        <v/>
      </c>
      <c r="Q2818">
        <f>IFERROR(1/(IF(Inputs!$B$38="pvp",15,MAX(0.1,Skills!E6-IF(Skills!F6=TRUE,1.0,0)))*(1-IF(AND(ArtifactsInput!$M$27,Inputs!$B$4="Chapter Hunt"),CHOOSE(ArtifactsInput!$N$27+1,20,24,28,32,36,40),0)/100)),0)</f>
        <v/>
      </c>
      <c r="R2818">
        <f>IF(AND(Inputs!$B$38&lt;&gt;"pvp",Inputs!$B$43&gt;0),IF(Inputs!$B$43&lt;=0,0,(INT(Inputs!$B$43/(IF(Inputs!$B$38="pvp",15,MAX(0.1,Skills!E6-IF(Skills!F6=TRUE,1.0,0)))*(1-IF(AND(ArtifactsInput!$M$27,Inputs!$B$4="Chapter Hunt"),CHOOSE(ArtifactsInput!$N$27+1,20,24,28,32,36,40),0)/100)))+1)),0)</f>
        <v/>
      </c>
      <c r="S2818" t="n">
        <v>0</v>
      </c>
      <c r="U2818" t="n">
        <v>0</v>
      </c>
    </row>
    <row r="2819">
      <c r="A2819">
        <f>Skills!A7</f>
        <v/>
      </c>
      <c r="B2819">
        <f>Skills!B7</f>
        <v/>
      </c>
      <c r="C2819">
        <f>TRUE</f>
        <v/>
      </c>
      <c r="D2819">
        <f>IF(Skills!C7=1,60+Inputs!$B$25+Inputs!$B$29,IF(Skills!C7=2,90+Inputs!$B$26+Inputs!$B$29,IF(Skills!C7=3,120+Inputs!$B$27+Inputs!$B$29,MAX(0,(Inputs!$B$3-100)*3)+Inputs!$B$28+Inputs!$B$29)))</f>
        <v/>
      </c>
      <c r="E2819">
        <f>INDEX(FactorTable!$B$2:$Y$301, MATCH(ROUND(MIN(300,MAX(1,D2819)),0), FactorTable!$A$2:$A$301,0), Skills!M7+1)</f>
        <v/>
      </c>
      <c r="F2819">
        <f>IF(Skills!N7=TRUE,(Skills!L7/10)*(E2819/1000),Skills!L7/10)+Skills!O7</f>
        <v/>
      </c>
      <c r="G2819">
        <f>Calc!G7</f>
        <v/>
      </c>
      <c r="H2819">
        <f>Calc!H7</f>
        <v/>
      </c>
      <c r="I2819">
        <f>IF(Skills!X7&lt;&gt;"",1+(Skills!X7/10)*(Z2815/1000)/100,1)</f>
        <v/>
      </c>
      <c r="J2819">
        <f>((Inputs!$B$6*(1+Inputs!$B$7/100))+(((Inputs!$B$12*(1+Inputs!$B$13/100))-(Inputs!$B$12*(1+Inputs!$B$13/100)))+0.25*(Inputs!$B$14-Inputs!$B$14))*(1+Inputs!$B$7/100))*(F2819/100)</f>
        <v/>
      </c>
      <c r="K2819">
        <f>J2819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2819)</f>
        <v/>
      </c>
      <c r="L2819">
        <f>K2819*(MIN(Inputs!$B$22+(F2834-Calc!F22),(Inputs!$B$23+(IF(ArtifactsInput!$M$15,CHOOSE(ArtifactsInput!$N$15+1,25,30,35,40,45,50)/100*(Inputs!$B$11-Inputs!$B$11),0))))/100+(Inputs!$B$23+(IF(ArtifactsInput!$M$15,CHOOSE(ArtifactsInput!$N$15+1,25,30,35,40,45,50)/100*(Inputs!$B$11-Inputs!$B$11),0)))/100)/2</f>
        <v/>
      </c>
      <c r="M2819">
        <f>L2819*(1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9">
        <f>L2819*(1-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2819*(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9">
        <f>(1-Summary!$B$11)*S2819+Summary!$B$11*U2819</f>
        <v/>
      </c>
      <c r="P2819">
        <f>IF(B2853=0,0,O2819/B2853)</f>
        <v/>
      </c>
      <c r="Q2819">
        <f>IFERROR(1/(IF(Inputs!$B$38="pvp",15,MAX(0.1,Skills!E7-IF(Skills!F7=TRUE,1.0,0)))*(1-IF(AND(ArtifactsInput!$M$27,Inputs!$B$4="Chapter Hunt"),CHOOSE(ArtifactsInput!$N$27+1,20,24,28,32,36,40),0)/100)),0)</f>
        <v/>
      </c>
      <c r="R2819">
        <f>IF(AND(Inputs!$B$38&lt;&gt;"pvp",Inputs!$B$43&gt;0),IF(MAX(0,Inputs!$B$43-B2850)&lt;=0,0,(INT(MAX(0,Inputs!$B$43-B2850)/(IF(Inputs!$B$38="pvp",15,MAX(0.1,Skills!E7-IF(Skills!F7=TRUE,1.0,0)))*(1-IF(AND(ArtifactsInput!$M$27,Inputs!$B$4="Chapter Hunt"),CHOOSE(ArtifactsInput!$N$27+1,20,24,28,32,36,40),0)/100)))+1)),0)</f>
        <v/>
      </c>
      <c r="S2819">
        <f>IF(C2819,(H2819*N2819*IF(AND(Inputs!$B$38&lt;&gt;"pvp",Inputs!$B$43&gt;0),((Skills!G7*((R2819-1)*IF(Skills!H7&gt;0,Skills!I7/Skills!H7,1)+IF(Skills!H7&gt;0,MIN(Skills!I7,MAX(0,MAX(0,Inputs!$B$43-B2850)-((R2819-1)*(IF(Inputs!$B$38="pvp",15,MAX(0.1,Skills!E7-IF(Skills!F7=TRUE,1.0,0)))*(1-IF(AND(ArtifactsInput!$M$27,Inputs!$B$4="Chapter Hunt"),CHOOSE(ArtifactsInput!$N$27+1,20,24,28,32,36,40),0)/100)))))/Skills!H7,1)))/Inputs!$B$43),G2819*Q2819)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2819*(1-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2819*(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2819*(1-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2819*(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19">
        <f>IF(C2819,(H2819*N2819*IF(AND(Inputs!$B$38&lt;&gt;"pvp",Inputs!$B$43&gt;0),((Skills!G7*((R2819-1)*IF(Skills!H7&gt;0,Skills!I7/Skills!H7,1)+IF(Skills!H7&gt;0,MIN(Skills!I7,MAX(0,MAX(0,Inputs!$B$43-B2850)-((R2819-1)*(IF(Inputs!$B$38="pvp",15,MAX(0.1,Skills!E7-IF(Skills!F7=TRUE,1.0,0)))*(1-IF(AND(ArtifactsInput!$M$27,Inputs!$B$4="Chapter Hunt"),CHOOSE(ArtifactsInput!$N$27+1,20,24,28,32,36,40),0)/100)))))/Skills!H7,1)))/Inputs!$B$43),G2819*Q2819)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0">
      <c r="A2820">
        <f>Skills!A8</f>
        <v/>
      </c>
      <c r="B2820">
        <f>Skills!B8</f>
        <v/>
      </c>
      <c r="C2820">
        <f>TRUE</f>
        <v/>
      </c>
      <c r="D2820">
        <f>IF(Skills!C8=1,60+Inputs!$B$25+Inputs!$B$29,IF(Skills!C8=2,90+Inputs!$B$26+Inputs!$B$29,IF(Skills!C8=3,120+Inputs!$B$27+Inputs!$B$29,MAX(0,(Inputs!$B$3-100)*3)+Inputs!$B$28+Inputs!$B$29)))</f>
        <v/>
      </c>
      <c r="E2820">
        <f>INDEX(FactorTable!$B$2:$Y$301, MATCH(ROUND(MIN(300,MAX(1,D2820)),0), FactorTable!$A$2:$A$301,0), Skills!M8+1)</f>
        <v/>
      </c>
      <c r="F2820">
        <f>IF(Skills!N8=TRUE,(Skills!L8/10)*(E2820/1000),Skills!L8/10)+Skills!O8</f>
        <v/>
      </c>
      <c r="G2820">
        <f>Calc!G8</f>
        <v/>
      </c>
      <c r="H2820">
        <f>Calc!H8</f>
        <v/>
      </c>
      <c r="I2820">
        <f>IF(Skills!X8&lt;&gt;"",1+(Skills!X8/10)*(Z2815/1000)/100,1)</f>
        <v/>
      </c>
      <c r="J2820">
        <f>((Inputs!$B$6*(1+Inputs!$B$7/100))+(((Inputs!$B$12*(1+Inputs!$B$13/100))-(Inputs!$B$12*(1+Inputs!$B$13/100)))+0.25*(Inputs!$B$14-Inputs!$B$14))*(1+Inputs!$B$7/100))*(F2820/100)</f>
        <v/>
      </c>
      <c r="K2820">
        <f>J2820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2820)</f>
        <v/>
      </c>
      <c r="L2820">
        <f>K2820*(MIN(Inputs!$B$22+(F2834-Calc!F22),(Inputs!$B$23+(IF(ArtifactsInput!$M$15,CHOOSE(ArtifactsInput!$N$15+1,25,30,35,40,45,50)/100*(Inputs!$B$11-Inputs!$B$11),0))))/100+(Inputs!$B$23+(IF(ArtifactsInput!$M$15,CHOOSE(ArtifactsInput!$N$15+1,25,30,35,40,45,50)/100*(Inputs!$B$11-Inputs!$B$11),0)))/100)/2</f>
        <v/>
      </c>
      <c r="M2820">
        <f>L2820*(1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0">
        <f>L2820*(1-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2820*(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0">
        <f>(1-Summary!$B$11)*S2820+Summary!$B$11*U2820</f>
        <v/>
      </c>
      <c r="P2820">
        <f>IF(B2853=0,0,O2820/B2853)</f>
        <v/>
      </c>
      <c r="Q2820">
        <f>IFERROR(1/(IF(Inputs!$B$38="pvp",15,MAX(0.1,Skills!E8-IF(Skills!F8=TRUE,1.0,0)))*(1-IF(AND(ArtifactsInput!$M$27,Inputs!$B$4="Chapter Hunt"),CHOOSE(ArtifactsInput!$N$27+1,20,24,28,32,36,40),0)/100)),0)</f>
        <v/>
      </c>
      <c r="R2820">
        <f>IF(AND(Inputs!$B$38&lt;&gt;"pvp",Inputs!$B$43&gt;0),IF(MAX(0,Inputs!$B$43-B2850)&lt;=0,0,(INT(MAX(0,Inputs!$B$43-B2850)/(IF(Inputs!$B$38="pvp",15,MAX(0.1,Skills!E8-IF(Skills!F8=TRUE,1.0,0)))*(1-IF(AND(ArtifactsInput!$M$27,Inputs!$B$4="Chapter Hunt"),CHOOSE(ArtifactsInput!$N$27+1,20,24,28,32,36,40),0)/100)))+1)),0)</f>
        <v/>
      </c>
      <c r="S2820">
        <f>IF(C2820,(H2820*N2820*IF(AND(Inputs!$B$38&lt;&gt;"pvp",Inputs!$B$43&gt;0),((Skills!G8*((R2820-1)*IF(Skills!H8&gt;0,Skills!I8/Skills!H8,1)+IF(Skills!H8&gt;0,MIN(Skills!I8,MAX(0,MAX(0,Inputs!$B$43-B2850)-((R2820-1)*(IF(Inputs!$B$38="pvp",15,MAX(0.1,Skills!E8-IF(Skills!F8=TRUE,1.0,0)))*(1-IF(AND(ArtifactsInput!$M$27,Inputs!$B$4="Chapter Hunt"),CHOOSE(ArtifactsInput!$N$27+1,20,24,28,32,36,40),0)/100)))))/Skills!H8,1)))/Inputs!$B$43),G2820*Q2820)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2820*(1-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2820*(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2820*(1-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2820*(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0">
        <f>IF(C2820,(H2820*N2820*IF(AND(Inputs!$B$38&lt;&gt;"pvp",Inputs!$B$43&gt;0),((Skills!G8*((R2820-1)*IF(Skills!H8&gt;0,Skills!I8/Skills!H8,1)+IF(Skills!H8&gt;0,MIN(Skills!I8,MAX(0,MAX(0,Inputs!$B$43-B2850)-((R2820-1)*(IF(Inputs!$B$38="pvp",15,MAX(0.1,Skills!E8-IF(Skills!F8=TRUE,1.0,0)))*(1-IF(AND(ArtifactsInput!$M$27,Inputs!$B$4="Chapter Hunt"),CHOOSE(ArtifactsInput!$N$27+1,20,24,28,32,36,40),0)/100)))))/Skills!H8,1)))/Inputs!$B$43),G2820*Q2820)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1">
      <c r="A2821">
        <f>Skills!A9</f>
        <v/>
      </c>
      <c r="B2821">
        <f>Skills!B9</f>
        <v/>
      </c>
      <c r="C2821">
        <f>Inputs!$B$3&gt;=103</f>
        <v/>
      </c>
      <c r="D2821">
        <f>IF(Skills!C9=1,60+Inputs!$B$25+Inputs!$B$29,IF(Skills!C9=2,90+Inputs!$B$26+Inputs!$B$29,IF(Skills!C9=3,120+Inputs!$B$27+Inputs!$B$29,MAX(0,(Inputs!$B$3-100)*3)+Inputs!$B$28+Inputs!$B$29)))</f>
        <v/>
      </c>
      <c r="E2821">
        <f>INDEX(FactorTable!$B$2:$Y$301, MATCH(ROUND(MIN(300,MAX(1,D2821)),0), FactorTable!$A$2:$A$301,0), Skills!M9+1)</f>
        <v/>
      </c>
      <c r="F2821">
        <f>IF(Skills!N9=TRUE,(Skills!L9/10)*(E2821/1000),Skills!L9/10)+Skills!O9</f>
        <v/>
      </c>
      <c r="G2821">
        <f>Calc!G9</f>
        <v/>
      </c>
      <c r="H2821">
        <f>Calc!H9</f>
        <v/>
      </c>
      <c r="I2821">
        <f>IF(Skills!X9&lt;&gt;"",1+(Skills!X9/10)*(Z2815/1000)/100,1)</f>
        <v/>
      </c>
      <c r="J2821">
        <f>((Inputs!$B$6*(1+Inputs!$B$7/100))+(((Inputs!$B$12*(1+Inputs!$B$13/100))-(Inputs!$B$12*(1+Inputs!$B$13/100)))+0.25*(Inputs!$B$14-Inputs!$B$14))*(1+Inputs!$B$7/100))*(F2821/100)</f>
        <v/>
      </c>
      <c r="K2821">
        <f>J2821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2821)</f>
        <v/>
      </c>
      <c r="L2821">
        <f>K2821*(MIN(Inputs!$B$22+(F2834-Calc!F22),(Inputs!$B$23+(IF(ArtifactsInput!$M$15,CHOOSE(ArtifactsInput!$N$15+1,25,30,35,40,45,50)/100*(Inputs!$B$11-Inputs!$B$11),0))))/100+(Inputs!$B$23+(IF(ArtifactsInput!$M$15,CHOOSE(ArtifactsInput!$N$15+1,25,30,35,40,45,50)/100*(Inputs!$B$11-Inputs!$B$11),0)))/100)/2</f>
        <v/>
      </c>
      <c r="M2821">
        <f>L2821*(1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1">
        <f>L2821*(1-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1">
        <f>(1-Summary!$B$11)*S2821+Summary!$B$11*U2821</f>
        <v/>
      </c>
      <c r="P2821">
        <f>IF(B2853=0,0,O2821/B2853)</f>
        <v/>
      </c>
      <c r="Q2821">
        <f>IFERROR(1/(IF(Inputs!$B$38="pvp",15,MAX(0.1,Skills!E9-IF(Skills!F7=TRUE,1.0,0)))*(1-IF(AND(ArtifactsInput!$M$27,Inputs!$B$4="Chapter Hunt"),CHOOSE(ArtifactsInput!$N$27+1,20,24,28,32,36,40),0)/100)),0)</f>
        <v/>
      </c>
      <c r="R2821">
        <f>IF(AND(Inputs!$B$38&lt;&gt;"pvp",Inputs!$B$43&gt;0),IF(MAX(0,Inputs!$B$43-B2850)&lt;=0,0,(INT(MAX(0,Inputs!$B$43-B2850)/(IF(Inputs!$B$38="pvp",15,MAX(0.1,Skills!E9-IF(Skills!F7=TRUE,1.0,0)))*(1-IF(AND(ArtifactsInput!$M$27,Inputs!$B$4="Chapter Hunt"),CHOOSE(ArtifactsInput!$N$27+1,20,24,28,32,36,40),0)/100)))+1)),0)</f>
        <v/>
      </c>
      <c r="S2821">
        <f>IF(C2821,(H2821*N2821*IF(AND(Inputs!$B$38&lt;&gt;"pvp",Inputs!$B$43&gt;0),((Skills!G9*((R2821-1)*IF(Skills!H9&gt;0,Skills!I9/Skills!H9,1)+IF(Skills!H9&gt;0,MIN(Skills!I9,MAX(0,MAX(0,Inputs!$B$43-B2850)-((R2821-1)*(IF(Inputs!$B$38="pvp",15,MAX(0.1,Skills!E9-IF(Skills!F7=TRUE,1.0,0)))*(1-IF(AND(ArtifactsInput!$M$27,Inputs!$B$4="Chapter Hunt"),CHOOSE(ArtifactsInput!$N$27+1,20,24,28,32,36,40),0)/100)))))/Skills!H9,1)))/Inputs!$B$43),G2821*Q2821)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2821*(1-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2821*(1-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1">
        <f>IF(C2821,(H2821*N2821*IF(AND(Inputs!$B$38&lt;&gt;"pvp",Inputs!$B$43&gt;0),((Skills!G9*((R2821-1)*IF(Skills!H9&gt;0,Skills!I9/Skills!H9,1)+IF(Skills!H9&gt;0,MIN(Skills!I9,MAX(0,MAX(0,Inputs!$B$43-B2850)-((R2821-1)*(IF(Inputs!$B$38="pvp",15,MAX(0.1,Skills!E9-IF(Skills!F7=TRUE,1.0,0)))*(1-IF(AND(ArtifactsInput!$M$27,Inputs!$B$4="Chapter Hunt"),CHOOSE(ArtifactsInput!$N$27+1,20,24,28,32,36,40),0)/100)))))/Skills!H9,1)))/Inputs!$B$43),G2821*Q2821)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2">
      <c r="A2822">
        <f>Skills!A10</f>
        <v/>
      </c>
      <c r="B2822">
        <f>Skills!B10</f>
        <v/>
      </c>
      <c r="C2822">
        <f>TRUE</f>
        <v/>
      </c>
      <c r="D2822">
        <f>IF(Skills!C10=1,60+Inputs!$B$25+Inputs!$B$29,IF(Skills!C10=2,90+Inputs!$B$26+Inputs!$B$29,IF(Skills!C10=3,120+Inputs!$B$27+Inputs!$B$29,MAX(0,(Inputs!$B$3-100)*3)+Inputs!$B$28+Inputs!$B$29)))</f>
        <v/>
      </c>
      <c r="E2822">
        <f>INDEX(FactorTable!$B$2:$Y$301, MATCH(ROUND(MIN(300,MAX(1,D2822)),0), FactorTable!$A$2:$A$301,0), Skills!M10+1)</f>
        <v/>
      </c>
      <c r="F2822">
        <f>IF(Skills!N10=TRUE,(Skills!L10/10)*(E2822/1000),Skills!L10/10)+Skills!O10</f>
        <v/>
      </c>
      <c r="G2822">
        <f>Calc!G10</f>
        <v/>
      </c>
      <c r="H2822">
        <f>Calc!H10</f>
        <v/>
      </c>
      <c r="I2822">
        <f>IF(Skills!X10&lt;&gt;"",1+(Skills!X10/10)*(Z2815/1000)/100,1)</f>
        <v/>
      </c>
      <c r="J2822">
        <f>((Inputs!$B$6*(1+Inputs!$B$7/100))+(((Inputs!$B$12*(1+Inputs!$B$13/100))-(Inputs!$B$12*(1+Inputs!$B$13/100)))+0.25*(Inputs!$B$14-Inputs!$B$14))*(1+Inputs!$B$7/100))*(F2822/100)</f>
        <v/>
      </c>
      <c r="K2822">
        <f>J2822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2822)</f>
        <v/>
      </c>
      <c r="L2822">
        <f>K2822*(MIN(Inputs!$B$22+(F2834-Calc!F22),(Inputs!$B$23+(IF(ArtifactsInput!$M$15,CHOOSE(ArtifactsInput!$N$15+1,25,30,35,40,45,50)/100*(Inputs!$B$11-Inputs!$B$11),0))))/100+(Inputs!$B$23+(IF(ArtifactsInput!$M$15,CHOOSE(ArtifactsInput!$N$15+1,25,30,35,40,45,50)/100*(Inputs!$B$11-Inputs!$B$11),0)))/100)/2</f>
        <v/>
      </c>
      <c r="M2822">
        <f>L2822*(1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2">
        <f>L2822*(1-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2822*(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2">
        <f>(1-Summary!$B$11)*S2822+Summary!$B$11*U2822</f>
        <v/>
      </c>
      <c r="P2822">
        <f>IF(B2853=0,0,O2822/B2853)</f>
        <v/>
      </c>
      <c r="Q2822">
        <f>IFERROR(1/(IF(Inputs!$B$38="pvp",15,MAX(0.1,Skills!E10-IF(Skills!F10=TRUE,1.0,0)))*(1-IF(AND(ArtifactsInput!$M$27,Inputs!$B$4="Chapter Hunt"),CHOOSE(ArtifactsInput!$N$27+1,20,24,28,32,36,40),0)/100)),0)</f>
        <v/>
      </c>
      <c r="R2822">
        <f>IF(AND(Inputs!$B$38&lt;&gt;"pvp",Inputs!$B$43&gt;0),IF(MAX(0,Inputs!$B$43-B2850)&lt;=0,0,(INT(MAX(0,Inputs!$B$43-B2850)/(IF(Inputs!$B$38="pvp",15,MAX(0.1,Skills!E10-IF(Skills!F10=TRUE,1.0,0)))*(1-IF(AND(ArtifactsInput!$M$27,Inputs!$B$4="Chapter Hunt"),CHOOSE(ArtifactsInput!$N$27+1,20,24,28,32,36,40),0)/100)))+1)),0)</f>
        <v/>
      </c>
      <c r="S2822">
        <f>IF(C2822,(H2822*N2822*IF(AND(Inputs!$B$38&lt;&gt;"pvp",Inputs!$B$43&gt;0),((Skills!G10*((R2822-1)*IF(Skills!H10&gt;0,Skills!I10/Skills!H10,1)+IF(Skills!H10&gt;0,MIN(Skills!I10,MAX(0,MAX(0,Inputs!$B$43-B2850)-((R2822-1)*(IF(Inputs!$B$38="pvp",15,MAX(0.1,Skills!E10-IF(Skills!F10=TRUE,1.0,0)))*(1-IF(AND(ArtifactsInput!$M$27,Inputs!$B$4="Chapter Hunt"),CHOOSE(ArtifactsInput!$N$27+1,20,24,28,32,36,40),0)/100)))))/Skills!H10,1)))/Inputs!$B$43),G2822*Q2822)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2822*(1-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2822*(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2822*(1-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2822*(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2">
        <f>IF(C2822,(H2822*N2822*IF(AND(Inputs!$B$38&lt;&gt;"pvp",Inputs!$B$43&gt;0),((Skills!G10*((R2822-1)*IF(Skills!H10&gt;0,Skills!I10/Skills!H10,1)+IF(Skills!H10&gt;0,MIN(Skills!I10,MAX(0,MAX(0,Inputs!$B$43-B2850)-((R2822-1)*(IF(Inputs!$B$38="pvp",15,MAX(0.1,Skills!E10-IF(Skills!F10=TRUE,1.0,0)))*(1-IF(AND(ArtifactsInput!$M$27,Inputs!$B$4="Chapter Hunt"),CHOOSE(ArtifactsInput!$N$27+1,20,24,28,32,36,40),0)/100)))))/Skills!H10,1)))/Inputs!$B$43),G2822*Q2822)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3">
      <c r="A2823">
        <f>Skills!A11</f>
        <v/>
      </c>
      <c r="B2823">
        <f>Skills!B11</f>
        <v/>
      </c>
      <c r="C2823">
        <f>TRUE</f>
        <v/>
      </c>
      <c r="D2823">
        <f>IF(Skills!C11=1,60+Inputs!$B$25+Inputs!$B$29,IF(Skills!C11=2,90+Inputs!$B$26+Inputs!$B$29,IF(Skills!C11=3,120+Inputs!$B$27+Inputs!$B$29,MAX(0,(Inputs!$B$3-100)*3)+Inputs!$B$28+Inputs!$B$29)))</f>
        <v/>
      </c>
      <c r="E2823">
        <f>INDEX(FactorTable!$B$2:$Y$301, MATCH(ROUND(MIN(300,MAX(1,D2823)),0), FactorTable!$A$2:$A$301,0), Skills!M11+1)</f>
        <v/>
      </c>
      <c r="F2823">
        <f>IF(Skills!N11=TRUE,(Skills!L11/10)*(E2823/1000),Skills!L11/10)+Skills!O11</f>
        <v/>
      </c>
      <c r="G2823">
        <f>Calc!G11</f>
        <v/>
      </c>
      <c r="H2823">
        <f>Calc!H11</f>
        <v/>
      </c>
      <c r="I2823">
        <f>IF(Skills!X11&lt;&gt;"",1+(Skills!X11/10)*(Z2815/1000)/100,1)</f>
        <v/>
      </c>
      <c r="J2823" t="inlineStr"/>
      <c r="K2823" t="inlineStr"/>
      <c r="L2823" t="inlineStr"/>
      <c r="M2823" t="inlineStr"/>
      <c r="N2823" t="inlineStr"/>
      <c r="O2823">
        <f>(1-Summary!$B$11)*S2823+Summary!$B$11*U2823</f>
        <v/>
      </c>
      <c r="P2823">
        <f>IF(B2853=0,0,O2823/B2853)</f>
        <v/>
      </c>
      <c r="Q2823">
        <f>IFERROR(1/(IF(Inputs!$B$38="pvp",15,MAX(0.1,Skills!E11-IF(Skills!F11=TRUE,1.0,0)))*(1-IF(AND(ArtifactsInput!$M$27,Inputs!$B$4="Chapter Hunt"),CHOOSE(ArtifactsInput!$N$27+1,20,24,28,32,36,40),0)/100)),0)</f>
        <v/>
      </c>
      <c r="R2823" t="n">
        <v>0</v>
      </c>
      <c r="S2823" t="n">
        <v>0</v>
      </c>
      <c r="U2823" t="n">
        <v>0</v>
      </c>
    </row>
    <row r="2824">
      <c r="A2824">
        <f>Skills!A12</f>
        <v/>
      </c>
      <c r="B2824">
        <f>Skills!B12</f>
        <v/>
      </c>
      <c r="C2824">
        <f>TRUE</f>
        <v/>
      </c>
      <c r="D2824">
        <f>IF(Skills!C12=1,60+Inputs!$B$25+Inputs!$B$29,IF(Skills!C12=2,90+Inputs!$B$26+Inputs!$B$29,IF(Skills!C12=3,120+Inputs!$B$27+Inputs!$B$29,MAX(0,(Inputs!$B$3-100)*3)+Inputs!$B$28+Inputs!$B$29)))</f>
        <v/>
      </c>
      <c r="E2824">
        <f>INDEX(FactorTable!$B$2:$Y$301, MATCH(ROUND(MIN(300,MAX(1,D2824)),0), FactorTable!$A$2:$A$301,0), Skills!M12+1)</f>
        <v/>
      </c>
      <c r="F2824">
        <f>IF(Skills!N12=TRUE,(Skills!L12/10)*(E2824/1000),Skills!L12/10)+Skills!O12</f>
        <v/>
      </c>
      <c r="G2824">
        <f>Calc!G12</f>
        <v/>
      </c>
      <c r="H2824">
        <f>Calc!H12</f>
        <v/>
      </c>
      <c r="I2824">
        <f>IF(Skills!X12&lt;&gt;"",1+(Skills!X12/10)*(Z2815/1000)/100,1)</f>
        <v/>
      </c>
      <c r="J2824" t="inlineStr"/>
      <c r="K2824" t="inlineStr"/>
      <c r="L2824" t="inlineStr"/>
      <c r="M2824" t="inlineStr"/>
      <c r="N2824" t="inlineStr"/>
      <c r="O2824">
        <f>(1-Summary!$B$11)*S2824+Summary!$B$11*U2824</f>
        <v/>
      </c>
      <c r="P2824">
        <f>IF(B2853=0,0,O2824/B2853)</f>
        <v/>
      </c>
      <c r="Q2824">
        <f>IFERROR(1/(IF(Inputs!$B$38="pvp",15,MAX(0.1,Skills!E12-IF(Skills!F12=TRUE,1.0,0)))*(1-IF(AND(ArtifactsInput!$M$27,Inputs!$B$4="Chapter Hunt"),CHOOSE(ArtifactsInput!$N$27+1,20,24,28,32,36,40),0)/100)),0)</f>
        <v/>
      </c>
      <c r="R2824" t="n">
        <v>0</v>
      </c>
      <c r="S2824" t="n">
        <v>0</v>
      </c>
      <c r="U2824" t="n">
        <v>0</v>
      </c>
    </row>
    <row r="2825">
      <c r="A2825">
        <f>Skills!A13</f>
        <v/>
      </c>
      <c r="B2825">
        <f>Skills!B13</f>
        <v/>
      </c>
      <c r="C2825">
        <f>Inputs!$B$3&gt;=105</f>
        <v/>
      </c>
      <c r="D2825">
        <f>IF(Skills!C13=1,60+Inputs!$B$25+Inputs!$B$29,IF(Skills!C13=2,90+Inputs!$B$26+Inputs!$B$29,IF(Skills!C13=3,120+Inputs!$B$27+Inputs!$B$29,MAX(0,(Inputs!$B$3-100)*3)+Inputs!$B$28+Inputs!$B$29)))</f>
        <v/>
      </c>
      <c r="E2825">
        <f>INDEX(FactorTable!$B$2:$Y$301, MATCH(ROUND(MIN(300,MAX(1,D2825)),0), FactorTable!$A$2:$A$301,0), Skills!M13+1)</f>
        <v/>
      </c>
      <c r="F2825">
        <f>IF(Skills!N13=TRUE,(Skills!L13/10)*(E2825/1000),Skills!L13/10)+Skills!O13</f>
        <v/>
      </c>
      <c r="G2825">
        <f>Calc!G13</f>
        <v/>
      </c>
      <c r="H2825">
        <f>Calc!H13</f>
        <v/>
      </c>
      <c r="I2825">
        <f>IF(Skills!X13&lt;&gt;"",1+(Skills!X13/10)*(Z2815/1000)/100,1)</f>
        <v/>
      </c>
      <c r="J2825">
        <f>((Inputs!$B$6*(1+Inputs!$B$7/100))+(((Inputs!$B$12*(1+Inputs!$B$13/100))-(Inputs!$B$12*(1+Inputs!$B$13/100)))+0.25*(Inputs!$B$14-Inputs!$B$14))*(1+Inputs!$B$7/100))*(F2825/100)</f>
        <v/>
      </c>
      <c r="K2825">
        <f>J2825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2825)</f>
        <v/>
      </c>
      <c r="L2825">
        <f>K2825*(MIN(Inputs!$B$22+(F2834-Calc!F22),(Inputs!$B$23+(IF(ArtifactsInput!$M$15,CHOOSE(ArtifactsInput!$N$15+1,25,30,35,40,45,50)/100*(Inputs!$B$11-Inputs!$B$11),0))))/100+(Inputs!$B$23+(IF(ArtifactsInput!$M$15,CHOOSE(ArtifactsInput!$N$15+1,25,30,35,40,45,50)/100*(Inputs!$B$11-Inputs!$B$11),0)))/100)/2</f>
        <v/>
      </c>
      <c r="M2825">
        <f>L2825*(1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5">
        <f>L2825*(1-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2825*(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5">
        <f>(1-Summary!$B$11)*S2825+Summary!$B$11*U2825</f>
        <v/>
      </c>
      <c r="P2825">
        <f>IF(B2853=0,0,O2825/B2853)</f>
        <v/>
      </c>
      <c r="Q2825">
        <f>IFERROR(1/(IF(Inputs!$B$38="pvp",15,MAX(0.1,Skills!E13-IF(Skills!F13=TRUE,1.0,0)))*(1-IF(AND(ArtifactsInput!$M$27,Inputs!$B$4="Chapter Hunt"),CHOOSE(ArtifactsInput!$N$27+1,20,24,28,32,36,40),0)/100)),0)</f>
        <v/>
      </c>
      <c r="R2825">
        <f>IF(AND(Inputs!$B$38&lt;&gt;"pvp",Inputs!$B$43&gt;0),IF(MAX(0,Inputs!$B$43-B2850)&lt;=0,0,(INT(MAX(0,Inputs!$B$43-B2850)/(IF(Inputs!$B$38="pvp",15,MAX(0.1,Skills!E13-IF(Skills!F13=TRUE,1.0,0)))*(1-IF(AND(ArtifactsInput!$M$27,Inputs!$B$4="Chapter Hunt"),CHOOSE(ArtifactsInput!$N$27+1,20,24,28,32,36,40),0)/100)))+1)),0)</f>
        <v/>
      </c>
      <c r="S2825">
        <f>IF(C2825,(H2825*N2825*IF(AND(Inputs!$B$38&lt;&gt;"pvp",Inputs!$B$43&gt;0),((Skills!G13*((R2825-1)*IF(Skills!H13&gt;0,Skills!I13/Skills!H13,1)+IF(Skills!H13&gt;0,MIN(Skills!I13,MAX(0,MAX(0,Inputs!$B$43-B2850)-((R2825-1)*(IF(Inputs!$B$38="pvp",15,MAX(0.1,Skills!E13-IF(Skills!F13=TRUE,1.0,0)))*(1-IF(AND(ArtifactsInput!$M$27,Inputs!$B$4="Chapter Hunt"),CHOOSE(ArtifactsInput!$N$27+1,20,24,28,32,36,40),0)/100)))))/Skills!H13,1)))/Inputs!$B$43),G2825*Q2825)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2825*(1-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2825*(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2825*(1-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2825*(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5">
        <f>IF(C2825,(H2825*N2825*IF(AND(Inputs!$B$38&lt;&gt;"pvp",Inputs!$B$43&gt;0),((Skills!G13*((R2825-1)*IF(Skills!H13&gt;0,Skills!I13/Skills!H13,1)+IF(Skills!H13&gt;0,MIN(Skills!I13,MAX(0,MAX(0,Inputs!$B$43-B2850)-((R2825-1)*(IF(Inputs!$B$38="pvp",15,MAX(0.1,Skills!E13-IF(Skills!F13=TRUE,1.0,0)))*(1-IF(AND(ArtifactsInput!$M$27,Inputs!$B$4="Chapter Hunt"),CHOOSE(ArtifactsInput!$N$27+1,20,24,28,32,36,40),0)/100)))))/Skills!H13,1)))/Inputs!$B$43),G2825*Q2825)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6">
      <c r="A2826">
        <f>Skills!A14</f>
        <v/>
      </c>
      <c r="B2826">
        <f>Skills!B14</f>
        <v/>
      </c>
      <c r="C2826">
        <f>Inputs!$B$3&gt;=113</f>
        <v/>
      </c>
      <c r="D2826">
        <f>IF(Skills!C14=1,60+Inputs!$B$25+Inputs!$B$29,IF(Skills!C14=2,90+Inputs!$B$26+Inputs!$B$29,IF(Skills!C14=3,120+Inputs!$B$27+Inputs!$B$29,MAX(0,(Inputs!$B$3-100)*3)+Inputs!$B$28+Inputs!$B$29)))</f>
        <v/>
      </c>
      <c r="E2826">
        <f>INDEX(FactorTable!$B$2:$Y$301, MATCH(ROUND(MIN(300,MAX(1,D2826)),0), FactorTable!$A$2:$A$301,0), Skills!M14+1)</f>
        <v/>
      </c>
      <c r="F2826">
        <f>IF(Skills!N14=TRUE,(Skills!L14/10)*(E2826/1000),Skills!L14/10)+Skills!O14</f>
        <v/>
      </c>
      <c r="G2826">
        <f>Calc!G14</f>
        <v/>
      </c>
      <c r="H2826">
        <f>Calc!H14</f>
        <v/>
      </c>
      <c r="I2826">
        <f>IF(Skills!X14&lt;&gt;"",1+(Skills!X14/10)*(Z2815/1000)/100,1)</f>
        <v/>
      </c>
      <c r="J2826">
        <f>((Inputs!$B$6*(1+Inputs!$B$7/100))+(((Inputs!$B$12*(1+Inputs!$B$13/100))-(Inputs!$B$12*(1+Inputs!$B$13/100)))+0.25*(Inputs!$B$14-Inputs!$B$14))*(1+Inputs!$B$7/100))*(F2826/100)</f>
        <v/>
      </c>
      <c r="K2826">
        <f>J2826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2826)</f>
        <v/>
      </c>
      <c r="L2826">
        <f>K2826*(MIN(Inputs!$B$22+(F2834-Calc!F22),(Inputs!$B$23+(IF(ArtifactsInput!$M$15,CHOOSE(ArtifactsInput!$N$15+1,25,30,35,40,45,50)/100*(Inputs!$B$11-Inputs!$B$11),0))))/100+(Inputs!$B$23+(IF(ArtifactsInput!$M$15,CHOOSE(ArtifactsInput!$N$15+1,25,30,35,40,45,50)/100*(Inputs!$B$11-Inputs!$B$11),0)))/100)/2</f>
        <v/>
      </c>
      <c r="M2826">
        <f>L2826*(1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6">
        <f>L2826*(1-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2826*(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6">
        <f>(1-Summary!$B$11)*S2826+Summary!$B$11*U2826</f>
        <v/>
      </c>
      <c r="P2826">
        <f>IF(B2853=0,0,O2826/B2853)</f>
        <v/>
      </c>
      <c r="Q2826">
        <f>IFERROR(1/(IF(Inputs!$B$38="pvp",15,MAX(0.1,Skills!E14-IF(Skills!F14=TRUE,1.0,0)))*(1-IF(AND(ArtifactsInput!$M$27,Inputs!$B$4="Chapter Hunt"),CHOOSE(ArtifactsInput!$N$27+1,20,24,28,32,36,40),0)/100)),0)</f>
        <v/>
      </c>
      <c r="R2826" t="n">
        <v>0</v>
      </c>
      <c r="S2826">
        <f>IF(C2826,((H2826*B2849)/(1+Skills!H14*H2826*B2849)*N2826)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2826*(1-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2826*(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2826*(1-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2826*(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6">
        <f>IF(C2826,((H2826*B2849)/(1+Skills!H14*H2826*B2849)*N2826)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7">
      <c r="A2827">
        <f>Skills!A15</f>
        <v/>
      </c>
      <c r="B2827">
        <f>Skills!B15</f>
        <v/>
      </c>
      <c r="C2827">
        <f>Inputs!$B$3&gt;=107</f>
        <v/>
      </c>
      <c r="D2827">
        <f>IF(Skills!C15=1,60+Inputs!$B$25+Inputs!$B$29,IF(Skills!C15=2,90+Inputs!$B$26+Inputs!$B$29,IF(Skills!C15=3,120+Inputs!$B$27+Inputs!$B$29,MAX(0,(Inputs!$B$3-100)*3)+Inputs!$B$28+Inputs!$B$29)))</f>
        <v/>
      </c>
      <c r="E2827">
        <f>INDEX(FactorTable!$B$2:$Y$301, MATCH(ROUND(MIN(300,MAX(1,D2827)),0), FactorTable!$A$2:$A$301,0), Skills!M15+1)</f>
        <v/>
      </c>
      <c r="F2827">
        <f>IF(Skills!N15=TRUE,(Skills!L15/10)*(E2827/1000),Skills!L15/10)+Skills!O15</f>
        <v/>
      </c>
      <c r="G2827">
        <f>Calc!G15</f>
        <v/>
      </c>
      <c r="H2827">
        <f>Calc!H15</f>
        <v/>
      </c>
      <c r="I2827">
        <f>IF(Skills!X15&lt;&gt;"",1+(Skills!X15/10)*(Z2815/1000)/100,1)</f>
        <v/>
      </c>
      <c r="J2827">
        <f>((Inputs!$B$6*(1+Inputs!$B$7/100))+(((Inputs!$B$12*(1+Inputs!$B$13/100))-(Inputs!$B$12*(1+Inputs!$B$13/100)))+0.25*(Inputs!$B$14-Inputs!$B$14))*(1+Inputs!$B$7/100))*(F2827/100)</f>
        <v/>
      </c>
      <c r="K2827">
        <f>J2827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2827)</f>
        <v/>
      </c>
      <c r="L2827">
        <f>K2827*(MIN(Inputs!$B$22+(F2834-Calc!F22),(Inputs!$B$23+(IF(ArtifactsInput!$M$15,CHOOSE(ArtifactsInput!$N$15+1,25,30,35,40,45,50)/100*(Inputs!$B$11-Inputs!$B$11),0))))/100+(Inputs!$B$23+(IF(ArtifactsInput!$M$15,CHOOSE(ArtifactsInput!$N$15+1,25,30,35,40,45,50)/100*(Inputs!$B$11-Inputs!$B$11),0)))/100)/2</f>
        <v/>
      </c>
      <c r="M2827">
        <f>L2827*(1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7">
        <f>L2827*(1-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2827*(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7">
        <f>(1-Summary!$B$11)*S2827+Summary!$B$11*U2827</f>
        <v/>
      </c>
      <c r="P2827">
        <f>IF(B2853=0,0,O2827/B2853)</f>
        <v/>
      </c>
      <c r="Q2827">
        <f>IFERROR(1/(IF(Inputs!$B$38="pvp",15,MAX(0.1,Skills!E15-IF(Skills!F15=TRUE,1.0,0)))*(1-IF(AND(ArtifactsInput!$M$27,Inputs!$B$4="Chapter Hunt"),CHOOSE(ArtifactsInput!$N$27+1,20,24,28,32,36,40),0)/100)),0)</f>
        <v/>
      </c>
      <c r="R2827">
        <f>IF(AND(Inputs!$B$38&lt;&gt;"pvp",Inputs!$B$43&gt;0),IF(MAX(0,Inputs!$B$43-B2850)&lt;=0,0,(INT(MAX(0,Inputs!$B$43-B2850)/(IF(Inputs!$B$38="pvp",15,MAX(0.1,Skills!E15-IF(Skills!F15=TRUE,1.0,0)))*(1-IF(AND(ArtifactsInput!$M$27,Inputs!$B$4="Chapter Hunt"),CHOOSE(ArtifactsInput!$N$27+1,20,24,28,32,36,40),0)/100)))+1)),0)</f>
        <v/>
      </c>
      <c r="S2827">
        <f>IF(C2827,(H2827*N2827*IF(AND(Inputs!$B$38&lt;&gt;"pvp",Inputs!$B$43&gt;0),((Skills!G15*((R2827-1)*IF(Skills!H15&gt;0,Skills!I15/Skills!H15,1)+IF(Skills!H15&gt;0,MIN(Skills!I15,MAX(0,MAX(0,Inputs!$B$43-B2850)-((R2827-1)*(IF(Inputs!$B$38="pvp",15,MAX(0.1,Skills!E15-IF(Skills!F15=TRUE,1.0,0)))*(1-IF(AND(ArtifactsInput!$M$27,Inputs!$B$4="Chapter Hunt"),CHOOSE(ArtifactsInput!$N$27+1,20,24,28,32,36,40),0)/100)))))/Skills!H15,1)))/Inputs!$B$43),G2827*Q2827)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2827*(1-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2827*(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2827*(1-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2827*(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7">
        <f>IF(C2827,(H2827*N2827*IF(AND(Inputs!$B$38&lt;&gt;"pvp",Inputs!$B$43&gt;0),((Skills!G15*((R2827-1)*IF(Skills!H15&gt;0,Skills!I15/Skills!H15,1)+IF(Skills!H15&gt;0,MIN(Skills!I15,MAX(0,MAX(0,Inputs!$B$43-B2850)-((R2827-1)*(IF(Inputs!$B$38="pvp",15,MAX(0.1,Skills!E15-IF(Skills!F15=TRUE,1.0,0)))*(1-IF(AND(ArtifactsInput!$M$27,Inputs!$B$4="Chapter Hunt"),CHOOSE(ArtifactsInput!$N$27+1,20,24,28,32,36,40),0)/100)))))/Skills!H15,1)))/Inputs!$B$43),G2827*Q2827)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8">
      <c r="A2828">
        <f>Skills!A16</f>
        <v/>
      </c>
      <c r="B2828">
        <f>Skills!B16</f>
        <v/>
      </c>
      <c r="C2828">
        <f>Inputs!$B$3&gt;=107</f>
        <v/>
      </c>
      <c r="D2828">
        <f>IF(Skills!C16=1,60+Inputs!$B$25+Inputs!$B$29,IF(Skills!C16=2,90+Inputs!$B$26+Inputs!$B$29,IF(Skills!C16=3,120+Inputs!$B$27+Inputs!$B$29,MAX(0,(Inputs!$B$3-100)*3)+Inputs!$B$28+Inputs!$B$29)))</f>
        <v/>
      </c>
      <c r="E2828">
        <f>INDEX(FactorTable!$B$2:$Y$301, MATCH(ROUND(MIN(300,MAX(1,D2828)),0), FactorTable!$A$2:$A$301,0), Skills!M16+1)</f>
        <v/>
      </c>
      <c r="F2828">
        <f>IF(Skills!N16=TRUE,(Skills!L16/10)*(E2828/1000),Skills!L16/10)+Skills!O16</f>
        <v/>
      </c>
      <c r="G2828">
        <f>Calc!G16</f>
        <v/>
      </c>
      <c r="H2828">
        <f>Calc!H16</f>
        <v/>
      </c>
      <c r="I2828">
        <f>IF(Skills!X16&lt;&gt;"",1+(Skills!X16/10)*(Z2815/1000)/100,1)</f>
        <v/>
      </c>
      <c r="J2828">
        <f>((Inputs!$B$6*(1+Inputs!$B$7/100))+(((Inputs!$B$12*(1+Inputs!$B$13/100))-(Inputs!$B$12*(1+Inputs!$B$13/100)))+0.25*(Inputs!$B$14-Inputs!$B$14))*(1+Inputs!$B$7/100))*(F2828/100)</f>
        <v/>
      </c>
      <c r="K2828">
        <f>J2828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2828)</f>
        <v/>
      </c>
      <c r="L2828">
        <f>K2828*(MIN(Inputs!$B$22+(F2834-Calc!F22),(Inputs!$B$23+(IF(ArtifactsInput!$M$15,CHOOSE(ArtifactsInput!$N$15+1,25,30,35,40,45,50)/100*(Inputs!$B$11-Inputs!$B$11),0))))/100+(Inputs!$B$23+(IF(ArtifactsInput!$M$15,CHOOSE(ArtifactsInput!$N$15+1,25,30,35,40,45,50)/100*(Inputs!$B$11-Inputs!$B$11),0)))/100)/2</f>
        <v/>
      </c>
      <c r="M2828">
        <f>L2828*(1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8">
        <f>L2828*(1-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2828*(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8">
        <f>(1-Summary!$B$11)*S2828+Summary!$B$11*U2828</f>
        <v/>
      </c>
      <c r="P2828">
        <f>IF(B2853=0,0,O2828/B2853)</f>
        <v/>
      </c>
      <c r="Q2828">
        <f>IFERROR(1/(IF(Inputs!$B$38="pvp",15,MAX(0.1,Skills!E16-IF(Skills!F16=TRUE,1.0,0)))*(1-IF(AND(ArtifactsInput!$M$27,Inputs!$B$4="Chapter Hunt"),CHOOSE(ArtifactsInput!$N$27+1,20,24,28,32,36,40),0)/100)),0)</f>
        <v/>
      </c>
      <c r="R2828">
        <f>IF(AND(Inputs!$B$38&lt;&gt;"pvp",Inputs!$B$43&gt;0),IF(MAX(0,Inputs!$B$43-B2850)&lt;=0,0,(INT(MAX(0,Inputs!$B$43-B2850)/(IF(Inputs!$B$38="pvp",15,MAX(0.1,Skills!E16-IF(Skills!F16=TRUE,1.0,0)))*(1-IF(AND(ArtifactsInput!$M$27,Inputs!$B$4="Chapter Hunt"),CHOOSE(ArtifactsInput!$N$27+1,20,24,28,32,36,40),0)/100)))+1)),0)</f>
        <v/>
      </c>
      <c r="S2828">
        <f>IF(C2828,(H2828*N2828*IF(AND(Inputs!$B$38&lt;&gt;"pvp",Inputs!$B$43&gt;0),((Skills!G16*((R2828-1)*IF(Skills!H16&gt;0,Skills!I16/Skills!H16,1)+IF(Skills!H16&gt;0,MIN(Skills!I16,MAX(0,MAX(0,Inputs!$B$43-B2850)-((R2828-1)*(IF(Inputs!$B$38="pvp",15,MAX(0.1,Skills!E16-IF(Skills!F16=TRUE,1.0,0)))*(1-IF(AND(ArtifactsInput!$M$27,Inputs!$B$4="Chapter Hunt"),CHOOSE(ArtifactsInput!$N$27+1,20,24,28,32,36,40),0)/100)))))/Skills!H16,1)))/Inputs!$B$43),G2828*Q2828)*(1+IF(Inputs!$B$3&gt;=126,0.05*(B2848+Q2825+(H2826*B2849)/(1+Skills!H14*H2826*B2849)+Q2836)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2828*(1-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2828*(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2828*(1-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2828*(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8">
        <f>IF(C2828,(H2828*N2828*IF(AND(Inputs!$B$38&lt;&gt;"pvp",Inputs!$B$43&gt;0),((Skills!G16*((R2828-1)*IF(Skills!H16&gt;0,Skills!I16/Skills!H16,1)+IF(Skills!H16&gt;0,MIN(Skills!I16,MAX(0,MAX(0,Inputs!$B$43-B2850)-((R2828-1)*(IF(Inputs!$B$38="pvp",15,MAX(0.1,Skills!E16-IF(Skills!F16=TRUE,1.0,0)))*(1-IF(AND(ArtifactsInput!$M$27,Inputs!$B$4="Chapter Hunt"),CHOOSE(ArtifactsInput!$N$27+1,20,24,28,32,36,40),0)/100)))))/Skills!H16,1)))/Inputs!$B$43),G2828*Q2828)*(1+IF(Inputs!$B$3&gt;=126,0.05*(B2848+Q2825+(H2826*B2849)/(1+Skills!H14*H2826*B2849)+Q2836)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9">
      <c r="A2829">
        <f>Skills!A17</f>
        <v/>
      </c>
      <c r="B2829">
        <f>Skills!B17</f>
        <v/>
      </c>
      <c r="C2829">
        <f>TRUE</f>
        <v/>
      </c>
      <c r="D2829">
        <f>IF(Skills!C17=1,60+Inputs!$B$25+Inputs!$B$29,IF(Skills!C17=2,90+Inputs!$B$26+Inputs!$B$29,IF(Skills!C17=3,120+Inputs!$B$27+Inputs!$B$29,MAX(0,(Inputs!$B$3-100)*3)+Inputs!$B$28+Inputs!$B$29)))</f>
        <v/>
      </c>
      <c r="E2829">
        <f>INDEX(FactorTable!$B$2:$Y$301, MATCH(ROUND(MIN(300,MAX(1,D2829)),0), FactorTable!$A$2:$A$301,0), Skills!M17+1)</f>
        <v/>
      </c>
      <c r="F2829">
        <f>IF(Skills!N17=TRUE,(Skills!L17/10)*(E2829/1000),Skills!L17/10)+Skills!O17</f>
        <v/>
      </c>
      <c r="G2829">
        <f>Calc!G17</f>
        <v/>
      </c>
      <c r="H2829">
        <f>Calc!H17</f>
        <v/>
      </c>
      <c r="I2829">
        <f>IF(Skills!X17&lt;&gt;"",1+(Skills!X17/10)*(Z2815/1000)/100,1)</f>
        <v/>
      </c>
      <c r="J2829" t="inlineStr"/>
      <c r="K2829" t="inlineStr"/>
      <c r="L2829" t="inlineStr"/>
      <c r="M2829" t="inlineStr"/>
      <c r="N2829" t="inlineStr"/>
      <c r="O2829">
        <f>(1-Summary!$B$11)*S2829+Summary!$B$11*U2829</f>
        <v/>
      </c>
      <c r="P2829">
        <f>IF(B2853=0,0,O2829/B2853)</f>
        <v/>
      </c>
      <c r="Q2829">
        <f>IFERROR(1/(IF(Inputs!$B$38="pvp",15,MAX(0.1,Skills!E17-IF(Skills!F17=TRUE,1.0,0)))*(1-IF(AND(ArtifactsInput!$M$27,Inputs!$B$4="Chapter Hunt"),CHOOSE(ArtifactsInput!$N$27+1,20,24,28,32,36,40),0)/100)),0)</f>
        <v/>
      </c>
      <c r="R2829">
        <f>IF(AND(Inputs!$B$38&lt;&gt;"pvp",Inputs!$B$43&gt;0),IF(Inputs!$B$43&lt;=0,0,(INT(Inputs!$B$43/(IF(Inputs!$B$38="pvp",15,MAX(0.1,Skills!E17-IF(Skills!F17=TRUE,1.0,0)))*(1-IF(AND(ArtifactsInput!$M$27,Inputs!$B$4="Chapter Hunt"),CHOOSE(ArtifactsInput!$N$27+1,20,24,28,32,36,40),0)/100)))+1)),0)</f>
        <v/>
      </c>
      <c r="S2829" t="n">
        <v>0</v>
      </c>
      <c r="U2829" t="n">
        <v>0</v>
      </c>
    </row>
    <row r="2830">
      <c r="A2830">
        <f>Skills!A18</f>
        <v/>
      </c>
      <c r="B2830">
        <f>Skills!B18</f>
        <v/>
      </c>
      <c r="C2830">
        <f>TRUE</f>
        <v/>
      </c>
      <c r="D2830">
        <f>IF(Skills!C18=1,60+Inputs!$B$25+Inputs!$B$29,IF(Skills!C18=2,90+Inputs!$B$26+Inputs!$B$29,IF(Skills!C18=3,120+Inputs!$B$27+Inputs!$B$29,MAX(0,(Inputs!$B$3-100)*3)+Inputs!$B$28+Inputs!$B$29)))</f>
        <v/>
      </c>
      <c r="E2830">
        <f>INDEX(FactorTable!$B$2:$Y$301, MATCH(ROUND(MIN(300,MAX(1,D2830)),0), FactorTable!$A$2:$A$301,0), Skills!M18+1)</f>
        <v/>
      </c>
      <c r="F2830">
        <f>IF(Skills!N18=TRUE,(Skills!L18/10)*(E2830/1000),Skills!L18/10)+Skills!O18</f>
        <v/>
      </c>
      <c r="G2830">
        <f>Calc!G18</f>
        <v/>
      </c>
      <c r="H2830">
        <f>Calc!H18</f>
        <v/>
      </c>
      <c r="I2830">
        <f>IF(Skills!X18&lt;&gt;"",1+(Skills!X18/10)*(Z2815/1000)/100,1)</f>
        <v/>
      </c>
      <c r="J2830" t="inlineStr"/>
      <c r="K2830" t="inlineStr"/>
      <c r="L2830" t="inlineStr"/>
      <c r="M2830" t="inlineStr"/>
      <c r="N2830" t="inlineStr"/>
      <c r="O2830">
        <f>(1-Summary!$B$11)*S2830+Summary!$B$11*U2830</f>
        <v/>
      </c>
      <c r="P2830">
        <f>IF(B2853=0,0,O2830/B2853)</f>
        <v/>
      </c>
      <c r="Q2830">
        <f>IFERROR(1/(IF(Inputs!$B$38="pvp",15,MAX(0.1,Skills!E18-IF(Skills!F18=TRUE,1.0,0)))*(1-IF(AND(ArtifactsInput!$M$27,Inputs!$B$4="Chapter Hunt"),CHOOSE(ArtifactsInput!$N$27+1,20,24,28,32,36,40),0)/100)),0)</f>
        <v/>
      </c>
      <c r="R2830">
        <f>IF(AND(Inputs!$B$38&lt;&gt;"pvp",Inputs!$B$43&gt;0),IF(Inputs!$B$43&lt;=0,0,(INT(Inputs!$B$43/(IF(Inputs!$B$38="pvp",15,MAX(0.1,Skills!E18-IF(Skills!F18=TRUE,1.0,0)))*(1-IF(AND(ArtifactsInput!$M$27,Inputs!$B$4="Chapter Hunt"),CHOOSE(ArtifactsInput!$N$27+1,20,24,28,32,36,40),0)/100)))+1)),0)</f>
        <v/>
      </c>
      <c r="S2830" t="n">
        <v>0</v>
      </c>
      <c r="U2830" t="n">
        <v>0</v>
      </c>
    </row>
    <row r="2831">
      <c r="A2831">
        <f>Skills!A19</f>
        <v/>
      </c>
      <c r="B2831">
        <f>Skills!B19</f>
        <v/>
      </c>
      <c r="C2831">
        <f>Inputs!$B$3&gt;=110</f>
        <v/>
      </c>
      <c r="D2831">
        <f>IF(Skills!C19=1,60+Inputs!$B$25+Inputs!$B$29,IF(Skills!C19=2,90+Inputs!$B$26+Inputs!$B$29,IF(Skills!C19=3,120+Inputs!$B$27+Inputs!$B$29,MAX(0,(Inputs!$B$3-100)*3)+Inputs!$B$28+Inputs!$B$29)))</f>
        <v/>
      </c>
      <c r="E2831">
        <f>INDEX(FactorTable!$B$2:$Y$301, MATCH(ROUND(MIN(300,MAX(1,D2831)),0), FactorTable!$A$2:$A$301,0), Skills!M19+1)</f>
        <v/>
      </c>
      <c r="F2831">
        <f>IF(Skills!N19=TRUE,(Skills!L19/10)*(E2831/1000),Skills!L19/10)+Skills!O19</f>
        <v/>
      </c>
      <c r="G2831">
        <f>Calc!G19</f>
        <v/>
      </c>
      <c r="H2831">
        <f>Calc!H19</f>
        <v/>
      </c>
      <c r="I2831">
        <f>IF(Skills!X19&lt;&gt;"",1+(Skills!X19/10)*(Z2815/1000)/100,1)</f>
        <v/>
      </c>
      <c r="J2831" t="inlineStr"/>
      <c r="K2831" t="inlineStr"/>
      <c r="L2831" t="inlineStr"/>
      <c r="M2831" t="inlineStr"/>
      <c r="N2831" t="inlineStr"/>
      <c r="O2831">
        <f>(1-Summary!$B$11)*S2831+Summary!$B$11*U2831</f>
        <v/>
      </c>
      <c r="P2831">
        <f>IF(B2853=0,0,O2831/B2853)</f>
        <v/>
      </c>
      <c r="Q2831">
        <f>IFERROR(1/(IF(Inputs!$B$38="pvp",15,MAX(0.1,Skills!E19-IF(Skills!F19=TRUE,1.0,0)))*(1-IF(AND(ArtifactsInput!$M$27,Inputs!$B$4="Chapter Hunt"),CHOOSE(ArtifactsInput!$N$27+1,20,24,28,32,36,40),0)/100)),0)</f>
        <v/>
      </c>
      <c r="R2831">
        <f>IF(AND(Inputs!$B$38&lt;&gt;"pvp",Inputs!$B$43&gt;0),IF(Inputs!$B$43&lt;=0,0,(INT(Inputs!$B$43/(IF(Inputs!$B$38="pvp",15,MAX(0.1,Skills!E19-IF(Skills!F19=TRUE,1.0,0)))*(1-IF(AND(ArtifactsInput!$M$27,Inputs!$B$4="Chapter Hunt"),CHOOSE(ArtifactsInput!$N$27+1,20,24,28,32,36,40),0)/100)))+1)),0)</f>
        <v/>
      </c>
      <c r="S2831" t="n">
        <v>0</v>
      </c>
      <c r="U2831" t="n">
        <v>0</v>
      </c>
    </row>
    <row r="2832">
      <c r="A2832">
        <f>Skills!A20</f>
        <v/>
      </c>
      <c r="B2832">
        <f>Skills!B20</f>
        <v/>
      </c>
      <c r="C2832">
        <f>TRUE</f>
        <v/>
      </c>
      <c r="D2832">
        <f>IF(Skills!C20=1,60+Inputs!$B$25+Inputs!$B$29,IF(Skills!C20=2,90+Inputs!$B$26+Inputs!$B$29,IF(Skills!C20=3,120+Inputs!$B$27+Inputs!$B$29,MAX(0,(Inputs!$B$3-100)*3)+Inputs!$B$28+Inputs!$B$29)))</f>
        <v/>
      </c>
      <c r="E2832">
        <f>INDEX(FactorTable!$B$2:$Y$301, MATCH(ROUND(MIN(300,MAX(1,D2832)),0), FactorTable!$A$2:$A$301,0), Skills!M20+1)</f>
        <v/>
      </c>
      <c r="F2832">
        <f>IF(Skills!N20=TRUE,(Skills!L20/10)*(E2832/1000),Skills!L20/10)+Skills!O20</f>
        <v/>
      </c>
      <c r="G2832">
        <f>Calc!G20</f>
        <v/>
      </c>
      <c r="H2832">
        <f>Calc!H20</f>
        <v/>
      </c>
      <c r="I2832">
        <f>IF(Skills!X20&lt;&gt;"",1+(Skills!X20/10)*(Z2815/1000)/100,1)</f>
        <v/>
      </c>
      <c r="J2832" t="inlineStr"/>
      <c r="K2832" t="inlineStr"/>
      <c r="L2832" t="inlineStr"/>
      <c r="M2832" t="inlineStr"/>
      <c r="N2832" t="inlineStr"/>
      <c r="O2832">
        <f>(1-Summary!$B$11)*S2832+Summary!$B$11*U2832</f>
        <v/>
      </c>
      <c r="P2832">
        <f>IF(B2853=0,0,O2832/B2853)</f>
        <v/>
      </c>
      <c r="Q2832">
        <f>IFERROR(1/(IF(Inputs!$B$38="pvp",15,MAX(0.1,Skills!E20-IF(Skills!F20=TRUE,1.0,0)))*(1-IF(AND(ArtifactsInput!$M$27,Inputs!$B$4="Chapter Hunt"),CHOOSE(ArtifactsInput!$N$27+1,20,24,28,32,36,40),0)/100)),0)</f>
        <v/>
      </c>
      <c r="R2832" t="n">
        <v>0</v>
      </c>
      <c r="S2832" t="n">
        <v>0</v>
      </c>
      <c r="U2832" t="n">
        <v>0</v>
      </c>
    </row>
    <row r="2833">
      <c r="A2833">
        <f>Skills!A21</f>
        <v/>
      </c>
      <c r="B2833">
        <f>Skills!B21</f>
        <v/>
      </c>
      <c r="C2833">
        <f>TRUE</f>
        <v/>
      </c>
      <c r="D2833">
        <f>IF(Skills!C21=1,60+Inputs!$B$25+Inputs!$B$29,IF(Skills!C21=2,90+Inputs!$B$26+Inputs!$B$29,IF(Skills!C21=3,120+Inputs!$B$27+Inputs!$B$29,MAX(0,(Inputs!$B$3-100)*3)+Inputs!$B$28+Inputs!$B$29)))</f>
        <v/>
      </c>
      <c r="E2833">
        <f>INDEX(FactorTable!$B$2:$Y$301, MATCH(ROUND(MIN(300,MAX(1,D2833)),0), FactorTable!$A$2:$A$301,0), Skills!M21+1)</f>
        <v/>
      </c>
      <c r="F2833">
        <f>IF(Skills!N21=TRUE,(Skills!L21/10)*(E2833/1000),Skills!L21/10)+Skills!O21</f>
        <v/>
      </c>
      <c r="G2833">
        <f>Calc!G21</f>
        <v/>
      </c>
      <c r="H2833">
        <f>Calc!H21</f>
        <v/>
      </c>
      <c r="I2833">
        <f>IF(Skills!X21&lt;&gt;"",1+(Skills!X21/10)*(Z2815/1000)/100,1)</f>
        <v/>
      </c>
      <c r="J2833" t="inlineStr"/>
      <c r="K2833" t="inlineStr"/>
      <c r="L2833" t="inlineStr"/>
      <c r="M2833" t="inlineStr"/>
      <c r="N2833" t="inlineStr"/>
      <c r="O2833">
        <f>(1-Summary!$B$11)*S2833+Summary!$B$11*U2833</f>
        <v/>
      </c>
      <c r="P2833">
        <f>IF(B2853=0,0,O2833/B2853)</f>
        <v/>
      </c>
      <c r="Q2833">
        <f>IFERROR(1/(IF(Inputs!$B$38="pvp",15,MAX(0.1,Skills!E21-IF(Skills!F21=TRUE,1.0,0)))*(1-IF(AND(ArtifactsInput!$M$27,Inputs!$B$4="Chapter Hunt"),CHOOSE(ArtifactsInput!$N$27+1,20,24,28,32,36,40),0)/100)),0)</f>
        <v/>
      </c>
      <c r="R2833" t="n">
        <v>0</v>
      </c>
      <c r="S2833" t="n">
        <v>0</v>
      </c>
      <c r="U2833" t="n">
        <v>0</v>
      </c>
    </row>
    <row r="2834">
      <c r="A2834">
        <f>Skills!A22</f>
        <v/>
      </c>
      <c r="B2834">
        <f>Skills!B22</f>
        <v/>
      </c>
      <c r="C2834">
        <f>TRUE</f>
        <v/>
      </c>
      <c r="D2834">
        <f>IF(Skills!C22=1,60+Inputs!$B$25+Inputs!$B$29,IF(Skills!C22=2,90+Inputs!$B$26+Inputs!$B$29,IF(Skills!C22=3,120+Inputs!$B$27+Inputs!$B$29,MAX(0,(Inputs!$B$3-100)*3)+Inputs!$B$28+Inputs!$B$29)))</f>
        <v/>
      </c>
      <c r="E2834">
        <f>INDEX(FactorTable!$B$2:$Y$301, MATCH(ROUND(MIN(300,MAX(1,D2834)),0), FactorTable!$A$2:$A$301,0), Skills!M22+1)</f>
        <v/>
      </c>
      <c r="F2834">
        <f>IF(Skills!N22=TRUE,(Skills!L22/10)*(E2834/1000),Skills!L22/10)+Skills!O22</f>
        <v/>
      </c>
      <c r="G2834">
        <f>Calc!G22</f>
        <v/>
      </c>
      <c r="H2834">
        <f>Calc!H22</f>
        <v/>
      </c>
      <c r="I2834">
        <f>IF(Skills!X22&lt;&gt;"",1+(Skills!X22/10)*(Z2815/1000)/100,1)</f>
        <v/>
      </c>
      <c r="J2834" t="inlineStr"/>
      <c r="K2834" t="inlineStr"/>
      <c r="L2834" t="inlineStr"/>
      <c r="M2834" t="inlineStr"/>
      <c r="N2834" t="inlineStr"/>
      <c r="O2834">
        <f>(1-Summary!$B$11)*S2834+Summary!$B$11*U2834</f>
        <v/>
      </c>
      <c r="P2834">
        <f>IF(B2853=0,0,O2834/B2853)</f>
        <v/>
      </c>
      <c r="Q2834">
        <f>IFERROR(1/(IF(Inputs!$B$38="pvp",15,MAX(0.1,Skills!E22-IF(Skills!F22=TRUE,1.0,0)))*(1-IF(AND(ArtifactsInput!$M$27,Inputs!$B$4="Chapter Hunt"),CHOOSE(ArtifactsInput!$N$27+1,20,24,28,32,36,40),0)/100)),0)</f>
        <v/>
      </c>
      <c r="R2834" t="n">
        <v>0</v>
      </c>
      <c r="S2834" t="n">
        <v>0</v>
      </c>
      <c r="U2834" t="n">
        <v>0</v>
      </c>
    </row>
    <row r="2835">
      <c r="A2835">
        <f>Skills!A23</f>
        <v/>
      </c>
      <c r="B2835">
        <f>Skills!B23</f>
        <v/>
      </c>
      <c r="C2835">
        <f>TRUE</f>
        <v/>
      </c>
      <c r="D2835">
        <f>IF(Skills!C23=1,60+Inputs!$B$25+Inputs!$B$29,IF(Skills!C23=2,90+Inputs!$B$26+Inputs!$B$29,IF(Skills!C23=3,120+Inputs!$B$27+Inputs!$B$29,MAX(0,(Inputs!$B$3-100)*3)+Inputs!$B$28+Inputs!$B$29)))</f>
        <v/>
      </c>
      <c r="E2835">
        <f>INDEX(FactorTable!$B$2:$Y$301, MATCH(ROUND(MIN(300,MAX(1,D2835)),0), FactorTable!$A$2:$A$301,0), Skills!M23+1)</f>
        <v/>
      </c>
      <c r="F2835">
        <f>IF(Skills!N23=TRUE,(Skills!L23/10)*(E2835/1000),Skills!L23/10)+Skills!O23</f>
        <v/>
      </c>
      <c r="G2835">
        <f>Calc!G23</f>
        <v/>
      </c>
      <c r="H2835">
        <f>Calc!H23</f>
        <v/>
      </c>
      <c r="I2835">
        <f>IF(Skills!X23&lt;&gt;"",1+(Skills!X23/10)*(Z2815/1000)/100,1)</f>
        <v/>
      </c>
      <c r="J2835" t="inlineStr"/>
      <c r="K2835" t="inlineStr"/>
      <c r="L2835" t="inlineStr"/>
      <c r="M2835" t="inlineStr"/>
      <c r="N2835" t="inlineStr"/>
      <c r="O2835">
        <f>(1-Summary!$B$11)*S2835+Summary!$B$11*U2835</f>
        <v/>
      </c>
      <c r="P2835">
        <f>IF(B2853=0,0,O2835/B2853)</f>
        <v/>
      </c>
      <c r="Q2835">
        <f>IFERROR(1/(IF(Inputs!$B$38="pvp",15,MAX(0.1,Skills!E23-IF(Skills!F23=TRUE,1.0,0)))*(1-IF(AND(ArtifactsInput!$M$27,Inputs!$B$4="Chapter Hunt"),CHOOSE(ArtifactsInput!$N$27+1,20,24,28,32,36,40),0)/100)),0)</f>
        <v/>
      </c>
      <c r="R2835" t="n">
        <v>0</v>
      </c>
      <c r="S2835" t="n">
        <v>0</v>
      </c>
      <c r="U2835" t="n">
        <v>0</v>
      </c>
    </row>
    <row r="2836">
      <c r="A2836">
        <f>Skills!A24</f>
        <v/>
      </c>
      <c r="B2836">
        <f>Skills!B24</f>
        <v/>
      </c>
      <c r="C2836">
        <f>Inputs!$B$3&gt;=115</f>
        <v/>
      </c>
      <c r="D2836">
        <f>IF(Skills!C24=1,60+Inputs!$B$25+Inputs!$B$29,IF(Skills!C24=2,90+Inputs!$B$26+Inputs!$B$29,IF(Skills!C24=3,120+Inputs!$B$27+Inputs!$B$29,MAX(0,(Inputs!$B$3-100)*3)+Inputs!$B$28+Inputs!$B$29)))</f>
        <v/>
      </c>
      <c r="E2836">
        <f>INDEX(FactorTable!$B$2:$Y$301, MATCH(ROUND(MIN(300,MAX(1,D2836)),0), FactorTable!$A$2:$A$301,0), Skills!M24+1)</f>
        <v/>
      </c>
      <c r="F2836">
        <f>IF(Skills!N24=TRUE,(Skills!L24/10)*(E2836/1000),Skills!L24/10)+Skills!O24</f>
        <v/>
      </c>
      <c r="G2836">
        <f>Calc!G24</f>
        <v/>
      </c>
      <c r="H2836">
        <f>Calc!H24</f>
        <v/>
      </c>
      <c r="I2836">
        <f>IF(Skills!X24&lt;&gt;"",1+(Skills!X24/10)*(Z2815/1000)/100,1)</f>
        <v/>
      </c>
      <c r="J2836">
        <f>((Inputs!$B$6*(1+Inputs!$B$7/100))+(((Inputs!$B$12*(1+Inputs!$B$13/100))-(Inputs!$B$12*(1+Inputs!$B$13/100)))+0.25*(Inputs!$B$14-Inputs!$B$14))*(1+Inputs!$B$7/100))*(F2836/100)</f>
        <v/>
      </c>
      <c r="K2836">
        <f>J2836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2836)</f>
        <v/>
      </c>
      <c r="L2836">
        <f>K2836*(MIN(Inputs!$B$22+(F2834-Calc!F22),(Inputs!$B$23+(IF(ArtifactsInput!$M$15,CHOOSE(ArtifactsInput!$N$15+1,25,30,35,40,45,50)/100*(Inputs!$B$11-Inputs!$B$11),0))))/100+(Inputs!$B$23+(IF(ArtifactsInput!$M$15,CHOOSE(ArtifactsInput!$N$15+1,25,30,35,40,45,50)/100*(Inputs!$B$11-Inputs!$B$11),0)))/100)/2</f>
        <v/>
      </c>
      <c r="M2836">
        <f>L2836*(1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6">
        <f>L2836*(1-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2836*(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6">
        <f>(1-Summary!$B$11)*S2836+Summary!$B$11*U2836</f>
        <v/>
      </c>
      <c r="P2836">
        <f>IF(B2853=0,0,O2836/B2853)</f>
        <v/>
      </c>
      <c r="Q2836">
        <f>IFERROR(1/(IF(Inputs!$B$38="pvp",15,MAX(0.1,Skills!E24-IF(Skills!F24=TRUE,1.0,0)))*(1-IF(AND(ArtifactsInput!$M$27,Inputs!$B$4="Chapter Hunt"),CHOOSE(ArtifactsInput!$N$27+1,20,24,28,32,36,40),0)/100)),0)</f>
        <v/>
      </c>
      <c r="R2836">
        <f>IF(AND(Inputs!$B$38&lt;&gt;"pvp",Inputs!$B$43&gt;0),IF(MAX(0,Inputs!$B$43-B2850)&lt;=0,0,(INT(MAX(0,Inputs!$B$43-B2850)/(IF(Inputs!$B$38="pvp",15,MAX(0.1,Skills!E24-IF(Skills!F24=TRUE,1.0,0)))*(1-IF(AND(ArtifactsInput!$M$27,Inputs!$B$4="Chapter Hunt"),CHOOSE(ArtifactsInput!$N$27+1,20,24,28,32,36,40),0)/100)))+1)),0)</f>
        <v/>
      </c>
      <c r="S2836">
        <f>IF(C2836,(H2836*N2836*IF(AND(Inputs!$B$38&lt;&gt;"pvp",Inputs!$B$43&gt;0),((Skills!G24*((R2836-1)*IF(Skills!H24&gt;0,Skills!I24/Skills!H24,1)+IF(Skills!H24&gt;0,MIN(Skills!I24,MAX(0,MAX(0,Inputs!$B$43-B2850)-((R2836-1)*(IF(Inputs!$B$38="pvp",15,MAX(0.1,Skills!E24-IF(Skills!F24=TRUE,1.0,0)))*(1-IF(AND(ArtifactsInput!$M$27,Inputs!$B$4="Chapter Hunt"),CHOOSE(ArtifactsInput!$N$27+1,20,24,28,32,36,40),0)/100)))))/Skills!H24,1)))/Inputs!$B$43),G2836*Q2836)*(1+IF(Inputs!$B$3&gt;=130,0.2*(Skills!I16/Skills!E15+IF(Inputs!$B$3&gt;=126,0.05*(B2848+Q2825+(H2826*B2849)/(1+Skills!H14*H2826*B2849)+Q2836)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2836*(1-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2836*(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2836*(1-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2836*(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6">
        <f>IF(C2836,(H2836*N2836*IF(AND(Inputs!$B$38&lt;&gt;"pvp",Inputs!$B$43&gt;0),((Skills!G24*((R2836-1)*IF(Skills!H24&gt;0,Skills!I24/Skills!H24,1)+IF(Skills!H24&gt;0,MIN(Skills!I24,MAX(0,MAX(0,Inputs!$B$43-B2850)-((R2836-1)*(IF(Inputs!$B$38="pvp",15,MAX(0.1,Skills!E24-IF(Skills!F24=TRUE,1.0,0)))*(1-IF(AND(ArtifactsInput!$M$27,Inputs!$B$4="Chapter Hunt"),CHOOSE(ArtifactsInput!$N$27+1,20,24,28,32,36,40),0)/100)))))/Skills!H24,1)))/Inputs!$B$43),G2836*Q2836)*(1+IF(Inputs!$B$3&gt;=130,0.2*(Skills!I16/Skills!E15+IF(Inputs!$B$3&gt;=126,0.05*(B2848+Q2825+(H2826*B2849)/(1+Skills!H14*H2826*B2849)+Q2836)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7">
      <c r="A2837">
        <f>Skills!A25</f>
        <v/>
      </c>
      <c r="B2837">
        <f>Skills!B25</f>
        <v/>
      </c>
      <c r="C2837">
        <f>Inputs!$B$3&gt;=117</f>
        <v/>
      </c>
      <c r="D2837">
        <f>IF(Skills!C25=1,60+Inputs!$B$25+Inputs!$B$29,IF(Skills!C25=2,90+Inputs!$B$26+Inputs!$B$29,IF(Skills!C25=3,120+Inputs!$B$27+Inputs!$B$29,MAX(0,(Inputs!$B$3-100)*3)+Inputs!$B$28+Inputs!$B$29)))</f>
        <v/>
      </c>
      <c r="E2837">
        <f>INDEX(FactorTable!$B$2:$Y$301, MATCH(ROUND(MIN(300,MAX(1,D2837)),0), FactorTable!$A$2:$A$301,0), Skills!M25+1)</f>
        <v/>
      </c>
      <c r="F2837">
        <f>IF(Skills!N25=TRUE,(Skills!L25/10)*(E2837/1000),Skills!L25/10)+Skills!O25</f>
        <v/>
      </c>
      <c r="G2837">
        <f>Calc!G25</f>
        <v/>
      </c>
      <c r="H2837">
        <f>Calc!H25</f>
        <v/>
      </c>
      <c r="I2837">
        <f>IF(Skills!X25&lt;&gt;"",1+(Skills!X25/10)*(Z2815/1000)/100,1)</f>
        <v/>
      </c>
      <c r="J2837" t="inlineStr"/>
      <c r="K2837" t="inlineStr"/>
      <c r="L2837" t="inlineStr"/>
      <c r="M2837" t="inlineStr"/>
      <c r="N2837" t="inlineStr"/>
      <c r="O2837">
        <f>(1-Summary!$B$11)*S2837+Summary!$B$11*U2837</f>
        <v/>
      </c>
      <c r="P2837">
        <f>IF(B2853=0,0,O2837/B2853)</f>
        <v/>
      </c>
      <c r="Q2837">
        <f>IFERROR(1/(IF(Inputs!$B$38="pvp",15,MAX(0.1,Skills!E25-IF(Skills!F25=TRUE,1.0,0)))*(1-IF(AND(ArtifactsInput!$M$27,Inputs!$B$4="Chapter Hunt"),CHOOSE(ArtifactsInput!$N$27+1,20,24,28,32,36,40),0)/100)),0)</f>
        <v/>
      </c>
      <c r="R2837" t="n">
        <v>0</v>
      </c>
      <c r="S2837" t="n">
        <v>0</v>
      </c>
      <c r="U2837" t="n">
        <v>0</v>
      </c>
    </row>
    <row r="2838">
      <c r="A2838">
        <f>Skills!A26</f>
        <v/>
      </c>
      <c r="B2838">
        <f>Skills!B26</f>
        <v/>
      </c>
      <c r="C2838">
        <f>Inputs!$B$3&gt;=120</f>
        <v/>
      </c>
      <c r="D2838">
        <f>IF(Skills!C26=1,60+Inputs!$B$25+Inputs!$B$29,IF(Skills!C26=2,90+Inputs!$B$26+Inputs!$B$29,IF(Skills!C26=3,120+Inputs!$B$27+Inputs!$B$29,MAX(0,(Inputs!$B$3-100)*3)+Inputs!$B$28+Inputs!$B$29)))</f>
        <v/>
      </c>
      <c r="E2838">
        <f>INDEX(FactorTable!$B$2:$Y$301, MATCH(ROUND(MIN(300,MAX(1,D2838)),0), FactorTable!$A$2:$A$301,0), Skills!M26+1)</f>
        <v/>
      </c>
      <c r="F2838">
        <f>IF(Skills!N26=TRUE,(Skills!L26/10)*(E2838/1000),Skills!L26/10)+Skills!O26</f>
        <v/>
      </c>
      <c r="G2838">
        <f>Calc!G26</f>
        <v/>
      </c>
      <c r="H2838">
        <f>Calc!H26</f>
        <v/>
      </c>
      <c r="I2838">
        <f>IF(Skills!X26&lt;&gt;"",1+(Skills!X26/10)*(Z2815/1000)/100,1)</f>
        <v/>
      </c>
      <c r="J2838" t="inlineStr"/>
      <c r="K2838" t="inlineStr"/>
      <c r="L2838" t="inlineStr"/>
      <c r="M2838" t="inlineStr"/>
      <c r="N2838" t="inlineStr"/>
      <c r="O2838">
        <f>(1-Summary!$B$11)*S2838+Summary!$B$11*U2838</f>
        <v/>
      </c>
      <c r="P2838">
        <f>IF(B2853=0,0,O2838/B2853)</f>
        <v/>
      </c>
      <c r="Q2838">
        <f>IFERROR(1/(IF(Inputs!$B$38="pvp",15,MAX(0.1,Skills!E26-IF(Skills!F26=TRUE,1.0,0)))*(1-IF(AND(ArtifactsInput!$M$27,Inputs!$B$4="Chapter Hunt"),CHOOSE(ArtifactsInput!$N$27+1,20,24,28,32,36,40),0)/100)),0)</f>
        <v/>
      </c>
      <c r="R2838" t="n">
        <v>0</v>
      </c>
      <c r="S2838" t="n">
        <v>0</v>
      </c>
      <c r="U2838" t="n">
        <v>0</v>
      </c>
    </row>
    <row r="2839">
      <c r="A2839">
        <f>Skills!A27</f>
        <v/>
      </c>
      <c r="B2839">
        <f>Skills!B27</f>
        <v/>
      </c>
      <c r="C2839">
        <f>Inputs!$B$3&gt;=125</f>
        <v/>
      </c>
      <c r="D2839">
        <f>IF(Skills!C27=1,60+Inputs!$B$25+Inputs!$B$29,IF(Skills!C27=2,90+Inputs!$B$26+Inputs!$B$29,IF(Skills!C27=3,120+Inputs!$B$27+Inputs!$B$29,MAX(0,(Inputs!$B$3-100)*3)+Inputs!$B$28+Inputs!$B$29)))</f>
        <v/>
      </c>
      <c r="E2839">
        <f>INDEX(FactorTable!$B$2:$Y$301, MATCH(ROUND(MIN(300,MAX(1,D2839)),0), FactorTable!$A$2:$A$301,0), Skills!M27+1)</f>
        <v/>
      </c>
      <c r="F2839">
        <f>IF(Skills!N27=TRUE,(Skills!L27/10)*(E2839/1000),Skills!L27/10)+Skills!O27</f>
        <v/>
      </c>
      <c r="G2839">
        <f>Calc!G27</f>
        <v/>
      </c>
      <c r="H2839">
        <f>Calc!H27</f>
        <v/>
      </c>
      <c r="I2839">
        <f>IF(Skills!X27&lt;&gt;"",1+(Skills!X27/10)*(Z2815/1000)/100,1)</f>
        <v/>
      </c>
      <c r="J2839" t="inlineStr"/>
      <c r="K2839" t="inlineStr"/>
      <c r="L2839" t="inlineStr"/>
      <c r="M2839" t="inlineStr"/>
      <c r="N2839" t="inlineStr"/>
      <c r="O2839">
        <f>(1-Summary!$B$11)*S2839+Summary!$B$11*U2839</f>
        <v/>
      </c>
      <c r="P2839">
        <f>IF(B2853=0,0,O2839/B2853)</f>
        <v/>
      </c>
      <c r="Q2839">
        <f>IFERROR(1/(IF(Inputs!$B$38="pvp",15,MAX(0.1,Skills!E27-IF(Skills!F27=TRUE,1.0,0)))*(1-IF(AND(ArtifactsInput!$M$27,Inputs!$B$4="Chapter Hunt"),CHOOSE(ArtifactsInput!$N$27+1,20,24,28,32,36,40),0)/100)),0)</f>
        <v/>
      </c>
      <c r="R2839" t="n">
        <v>0</v>
      </c>
      <c r="S2839" t="n">
        <v>0</v>
      </c>
      <c r="U2839" t="n">
        <v>0</v>
      </c>
    </row>
    <row r="2840">
      <c r="A2840">
        <f>Skills!A28</f>
        <v/>
      </c>
      <c r="B2840">
        <f>Skills!B28</f>
        <v/>
      </c>
      <c r="C2840">
        <f>Inputs!$B$3&gt;=118</f>
        <v/>
      </c>
      <c r="D2840">
        <f>IF(Skills!C28=1,60+Inputs!$B$25+Inputs!$B$29,IF(Skills!C28=2,90+Inputs!$B$26+Inputs!$B$29,IF(Skills!C28=3,120+Inputs!$B$27+Inputs!$B$29,MAX(0,(Inputs!$B$3-100)*3)+Inputs!$B$28+Inputs!$B$29)))</f>
        <v/>
      </c>
      <c r="E2840">
        <f>INDEX(FactorTable!$B$2:$Y$301, MATCH(ROUND(MIN(300,MAX(1,D2840)),0), FactorTable!$A$2:$A$301,0), Skills!M28+1)</f>
        <v/>
      </c>
      <c r="F2840">
        <f>IF(Skills!N28=TRUE,(Skills!L28/10)*(E2840/1000),Skills!L28/10)+Skills!O28</f>
        <v/>
      </c>
      <c r="G2840">
        <f>Calc!G28</f>
        <v/>
      </c>
      <c r="H2840">
        <f>Calc!H28</f>
        <v/>
      </c>
      <c r="I2840">
        <f>IF(Skills!X28&lt;&gt;"",1+(Skills!X28/10)*(Z2815/1000)/100,1)</f>
        <v/>
      </c>
      <c r="J2840">
        <f>((Inputs!$B$6*(1+Inputs!$B$7/100))+(((Inputs!$B$12*(1+Inputs!$B$13/100))-(Inputs!$B$12*(1+Inputs!$B$13/100)))+0.25*(Inputs!$B$14-Inputs!$B$14))*(1+Inputs!$B$7/100))*(F2840/100)</f>
        <v/>
      </c>
      <c r="K2840">
        <f>J2840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2835/100)*(1+IF(Inputs!$B$3&gt;=120,F2838,0)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2839*5,0)))/100)*(B2842*B2843*B2844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2840)</f>
        <v/>
      </c>
      <c r="L2840">
        <f>K2840*(MIN(Inputs!$B$22+(F2834-Calc!F22),(Inputs!$B$23+(IF(ArtifactsInput!$M$15,CHOOSE(ArtifactsInput!$N$15+1,25,30,35,40,45,50)/100*(Inputs!$B$11-Inputs!$B$11),0))))/100+(Inputs!$B$23+(IF(ArtifactsInput!$M$15,CHOOSE(ArtifactsInput!$N$15+1,25,30,35,40,45,50)/100*(Inputs!$B$11-Inputs!$B$11),0)))/100)/2</f>
        <v/>
      </c>
      <c r="M2840">
        <f>L2840*(1+(Inputs!$B$10+(F2833-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0">
        <f>L2840*(1-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2840*(MIN((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0">
        <f>(1-Summary!$B$11)*S2840+Summary!$B$11*U2840</f>
        <v/>
      </c>
      <c r="P2840">
        <f>IF(B2853=0,0,O2840/B2853)</f>
        <v/>
      </c>
      <c r="Q2840">
        <f>IFERROR(1/(IF(Inputs!$B$38="pvp",15,MAX(0.1,Skills!E28-IF(Skills!F28=TRUE,1.0,0)))*(1-IF(AND(ArtifactsInput!$M$27,Inputs!$B$4="Chapter Hunt"),CHOOSE(ArtifactsInput!$N$27+1,20,24,28,32,36,40),0)/100)),0)</f>
        <v/>
      </c>
      <c r="R2840">
        <f>IF(AND(Inputs!$B$38&lt;&gt;"pvp",Inputs!$B$43&gt;0),IF(MAX(0,Inputs!$B$43-B2850)&lt;=0,0,(INT(MAX(0,Inputs!$B$43-B2850)/(IF(Inputs!$B$38="pvp",15,MAX(0.1,Skills!E28-IF(Skills!F28=TRUE,1.0,0)))*(1-IF(AND(ArtifactsInput!$M$27,Inputs!$B$4="Chapter Hunt"),CHOOSE(ArtifactsInput!$N$27+1,20,24,28,32,36,40),0)/100)))+1)),0)</f>
        <v/>
      </c>
      <c r="S2840">
        <f>IF(C2840,(H2840*N2840*IF(AND(Inputs!$B$38&lt;&gt;"pvp",Inputs!$B$43&gt;0),((Skills!G28*((R2840-1)*IF(Skills!H28&gt;0,Skills!I28/Skills!H28,1)+IF(Skills!H28&gt;0,MIN(Skills!I28,MAX(0,MAX(0,Inputs!$B$43-B2850)-((R2840-1)*(IF(Inputs!$B$38="pvp",15,MAX(0.1,Skills!E28-IF(Skills!F28=TRUE,1.0,0)))*(1-IF(AND(ArtifactsInput!$M$27,Inputs!$B$4="Chapter Hunt"),CHOOSE(ArtifactsInput!$N$27+1,20,24,28,32,36,40),0)/100)))))/Skills!H28,1)))/Inputs!$B$43),G2840*Q2840)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2840*(1-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2840*(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2840*(1-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2840*(MIN(100,(Inputs!$B$9+(F2832-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0">
        <f>IF(C2840,(H2840*N2840*IF(AND(Inputs!$B$38&lt;&gt;"pvp",Inputs!$B$43&gt;0),((Skills!G28*((R2840-1)*IF(Skills!H28&gt;0,Skills!I28/Skills!H28,1)+IF(Skills!H28&gt;0,MIN(Skills!I28,MAX(0,MAX(0,Inputs!$B$43-B2850)-((R2840-1)*(IF(Inputs!$B$38="pvp",15,MAX(0.1,Skills!E28-IF(Skills!F28=TRUE,1.0,0)))*(1-IF(AND(ArtifactsInput!$M$27,Inputs!$B$4="Chapter Hunt"),CHOOSE(ArtifactsInput!$N$27+1,20,24,28,32,36,40),0)/100)))))/Skills!H28,1)))/Inputs!$B$43),G2840*Q2840)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2">
      <c r="A2842" t="inlineStr">
        <is>
          <t>Burning Magic Multiplier</t>
        </is>
      </c>
      <c r="B2842">
        <f>1+(F2823*Skills!Z11)/100</f>
        <v/>
      </c>
    </row>
    <row r="2843">
      <c r="A2843" t="inlineStr">
        <is>
          <t>Elemental Decrease Multiplier (always-on)</t>
        </is>
      </c>
      <c r="B2843">
        <f>1+(F2824+(IF(AND(ArtifactsInput!$M$35,Inputs!$B$4&lt;&gt;"Chapter Hunt"),CHOOSE(ArtifactsInput!$N$35+1,15,18,21,24,27,30)*(1-EXP(-(0.2*B2846)*5)),0)+IF(AND(ArtifactsInput!$M$22,Inputs!$B$4&lt;&gt;"Chapter Hunt"),CHOOSE(ArtifactsInput!$N$22+1,10,12,14,16,18,20)*((0*(((0.15*B2846*5))^0/1)+1*(((0.15*B2846*5))^1/1)+2*(((0.15*B2846*5))^2/2)+3*(((0.15*B2846*5))^3/6)+4*(((0.15*B2846*5))^4/24)+5*(((0.15*B2846*5))^5/120))/((((0.15*B2846*5))^0/1)+(((0.15*B2846*5))^1/1)+(((0.15*B2846*5))^2/2)+(((0.15*B2846*5))^3/6)+(((0.15*B2846*5))^4/24)+(((0.15*B2846*5))^5/120))),0)))/100</f>
        <v/>
      </c>
    </row>
    <row r="2844">
      <c r="A2844" t="inlineStr">
        <is>
          <t>Average Buff Multiplier (Magic Guard + Meditation + Artifact Attack%, summed; then Infinity)</t>
        </is>
      </c>
      <c r="B2844">
        <f>(1+(F2818*IF(AND(Inputs!$B$38&lt;&gt;"pvp",Inputs!$B$43&gt;0),(((R2818-1)*(Skills!T6*(1+((Inputs!$B$34+(ArtifactsInput!$M$7-ArtifactsInput!$M$7)*CHOOSE(ArtifactsInput!$N$7+1,6,7.2,8.4,9.6,10.8,12)))/100))+MIN((Skills!T6*(1+((Inputs!$B$34+(ArtifactsInput!$M$7-ArtifactsInput!$M$7)*CHOOSE(ArtifactsInput!$N$7+1,6,7.2,8.4,9.6,10.8,12)))/100)),MAX(0,Inputs!$B$43-((R2818-1)*Skills!E6))))/Inputs!$B$43),IF(Inputs!$B$38="pvp",MIN((Skills!T6*(1+((Inputs!$B$34+(ArtifactsInput!$M$7-ArtifactsInput!$M$7)*CHOOSE(ArtifactsInput!$N$7+1,6,7.2,8.4,9.6,10.8,12)))/100)),15)/15,(Skills!T6*(1+((Inputs!$B$34+(ArtifactsInput!$M$7-ArtifactsInput!$M$7)*CHOOSE(ArtifactsInput!$N$7+1,6,7.2,8.4,9.6,10.8,12)))/100))/Skills!E6))+F2829*IF(AND(Inputs!$B$38&lt;&gt;"pvp",Inputs!$B$43&gt;0),(((R2829-1)*(Skills!T17*(1+((Inputs!$B$34+(ArtifactsInput!$M$7-ArtifactsInput!$M$7)*CHOOSE(ArtifactsInput!$N$7+1,6,7.2,8.4,9.6,10.8,12)))/100))+MIN((Skills!T17*(1+((Inputs!$B$34+(ArtifactsInput!$M$7-ArtifactsInput!$M$7)*CHOOSE(ArtifactsInput!$N$7+1,6,7.2,8.4,9.6,10.8,12)))/100)),MAX(0,Inputs!$B$43-((R2829-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2831=TRUE,(1+F2831*IF(AND(Inputs!$B$38&lt;&gt;"pvp",Inputs!$B$43&gt;0),(((R2831-1)*(Skills!T19*(1+((Inputs!$B$34+(ArtifactsInput!$M$7-ArtifactsInput!$M$7)*CHOOSE(ArtifactsInput!$N$7+1,6,7.2,8.4,9.6,10.8,12)))/100))+MIN((Skills!T19*(1+((Inputs!$B$34+(ArtifactsInput!$M$7-ArtifactsInput!$M$7)*CHOOSE(ArtifactsInput!$N$7+1,6,7.2,8.4,9.6,10.8,12)))/100)),MAX(0,Inputs!$B$43-((R2831-1)*Skills!E19))))/Inputs!$B$43),IF(Inputs!$B$38="pvp",MIN((Skills!T19*(1+((Inputs!$B$34+(ArtifactsInput!$M$7-ArtifactsInput!$M$7)*CHOOSE(ArtifactsInput!$N$7+1,6,7.2,8.4,9.6,10.8,12)))/100)),15)/15,(Skills!T19*(1+((Inputs!$B$34+(ArtifactsInput!$M$7-ArtifactsInput!$M$7)*CHOOSE(ArtifactsInput!$N$7+1,6,7.2,8.4,9.6,10.8,12)))/100))/Skills!E19))/100),1)</f>
        <v/>
      </c>
    </row>
    <row r="2845">
      <c r="A2845" t="inlineStr">
        <is>
          <t>Attack Speed Buff Bonus % (Nimble Feet, averaged)</t>
        </is>
      </c>
      <c r="B2845">
        <f>F2830*IF(AND(Inputs!$B$38&lt;&gt;"pvp",Inputs!$B$43&gt;0),(((R2830-1)*(Skills!T18*(1+((Inputs!$B$34+(ArtifactsInput!$M$7-ArtifactsInput!$M$7)*CHOOSE(ArtifactsInput!$N$7+1,6,7.2,8.4,9.6,10.8,12)))/100))+MIN((Skills!T18*(1+((Inputs!$B$34+(ArtifactsInput!$M$7-ArtifactsInput!$M$7)*CHOOSE(ArtifactsInput!$N$7+1,6,7.2,8.4,9.6,10.8,12)))/100)),MAX(0,Inputs!$B$43-((R2830-1)*Skills!E18))))/Inputs!$B$43),IF(Inputs!$B$38="pvp",MIN((Skills!T18*(1+((Inputs!$B$34+(ArtifactsInput!$M$7-ArtifactsInput!$M$7)*CHOOSE(ArtifactsInput!$N$7+1,6,7.2,8.4,9.6,10.8,12)))/100)),15)/15,(Skills!T18*(1+((Inputs!$B$34+(ArtifactsInput!$M$7-ArtifactsInput!$M$7)*CHOOSE(ArtifactsInput!$N$7+1,6,7.2,8.4,9.6,10.8,12)))/100))/Skills!E18))</f>
        <v/>
      </c>
    </row>
    <row r="2846">
      <c r="A2846" t="inlineStr">
        <is>
          <t>Actions Per Second</t>
        </is>
      </c>
      <c r="B2846">
        <f>1+MIN(150,150*(1-(1-(Inputs!$B$11+(ArtifactsInput!$M$15-ArtifactsInput!$M$15)*CHOOSE(ArtifactsInput!$N$15+1,8,9.6,11.2,12.8,14.4,16))/150)*(1-B2845/150)))/100</f>
        <v/>
      </c>
    </row>
    <row r="2847">
      <c r="A2847" t="inlineStr">
        <is>
          <t>Skill + Buff Cast Rate</t>
        </is>
      </c>
      <c r="B2847">
        <f>IF(AND(Inputs!$B$38&lt;&gt;"pvp",Inputs!$B$43&gt;0),SUMPRODUCT((Skills!F2:F28=TRUE)*(C2814:C2840=TRUE)*R2814:R2840)/Inputs!$B$43,SUMPRODUCT((Skills!F2:F28=TRUE)*(C2814:C2840=TRUE)*Q2814:Q2840))</f>
        <v/>
      </c>
    </row>
    <row r="2848">
      <c r="A2848" t="inlineStr">
        <is>
          <t>Basic Attacks Per Second</t>
        </is>
      </c>
      <c r="B2848">
        <f>MAX(0,B2846-B2847)</f>
        <v/>
      </c>
    </row>
    <row r="2849">
      <c r="A2849" t="inlineStr">
        <is>
          <t>Meteor Proc — combined trigger cast rate</t>
        </is>
      </c>
      <c r="B2849">
        <f>IF(AND(Inputs!$B$38&lt;&gt;"pvp",Inputs!$B$43&gt;0),SUMPRODUCT((Skills!V2:V28=TRUE)*(C2814:C2840=TRUE)*R2814:R2840*Skills!W2:W28)/Inputs!$B$43,SUMPRODUCT((Skills!V2:V28=TRUE)*(C2814:C2840=TRUE)*Q2814:Q2840*Skills!W2:W28))+B2848</f>
        <v/>
      </c>
    </row>
    <row r="2850">
      <c r="A2850" t="inlineStr">
        <is>
          <t>Buff-Casting Startup Delay (s, fixed-duration only)</t>
        </is>
      </c>
      <c r="B2850">
        <f>IF(AND(Inputs!$B$38&lt;&gt;"pvp",Inputs!$B$43&gt;0),SUMPRODUCT((Skills!T2:T28&gt;0)*(Skills!F2:F28=TRUE)*(C2814:C2840=TRUE))/B2846,0)</f>
        <v/>
      </c>
    </row>
    <row r="2851">
      <c r="A2851" t="inlineStr">
        <is>
          <t>Boss-Only Total DPS (this block's swept value)</t>
        </is>
      </c>
      <c r="B2851">
        <f>SUM(S2814:S2840)</f>
        <v/>
      </c>
    </row>
    <row r="2852">
      <c r="A2852" t="inlineStr">
        <is>
          <t>Normal-Only Total DPS (this block's swept value)</t>
        </is>
      </c>
      <c r="B2852">
        <f>SUM(U2814:U2840)</f>
        <v/>
      </c>
    </row>
    <row r="2853">
      <c r="A2853" s="6" t="inlineStr">
        <is>
          <t>TOTAL DPS</t>
        </is>
      </c>
      <c r="B2853" s="6">
        <f>SUM(O2814:O2840)</f>
        <v/>
      </c>
    </row>
    <row r="2856">
      <c r="A2856" s="6" t="inlineStr">
        <is>
          <t>Stat: CDR = 1.5s</t>
        </is>
      </c>
    </row>
    <row r="2857">
      <c r="A2857" s="5" t="inlineStr">
        <is>
          <t>Key</t>
        </is>
      </c>
      <c r="B2857" s="5" t="inlineStr">
        <is>
          <t>Name</t>
        </is>
      </c>
      <c r="C2857" s="5" t="inlineStr">
        <is>
          <t>Unlocked</t>
        </is>
      </c>
      <c r="D2857" s="5" t="inlineStr">
        <is>
          <t>InputLevel</t>
        </is>
      </c>
      <c r="E2857" s="5" t="inlineStr">
        <is>
          <t>Factor</t>
        </is>
      </c>
      <c r="F2857" s="5" t="inlineStr">
        <is>
          <t>CoefficientPercent</t>
        </is>
      </c>
      <c r="G2857" s="5" t="inlineStr">
        <is>
          <t>EffectiveHits</t>
        </is>
      </c>
      <c r="H2857" s="5" t="inlineStr">
        <is>
          <t>ProcProbability</t>
        </is>
      </c>
      <c r="I2857" s="5" t="inlineStr">
        <is>
          <t>MapleHeroMultiplier</t>
        </is>
      </c>
      <c r="J2857" s="5" t="inlineStr">
        <is>
          <t>BaseDamage</t>
        </is>
      </c>
      <c r="K2857" s="5" t="inlineStr">
        <is>
          <t>BaseHitDamage</t>
        </is>
      </c>
      <c r="L2857" s="5" t="inlineStr">
        <is>
          <t>NonCritAvg</t>
        </is>
      </c>
      <c r="M2857" s="5" t="inlineStr">
        <is>
          <t>CritAvg</t>
        </is>
      </c>
      <c r="N2857" s="5" t="inlineStr">
        <is>
          <t>ExpectedDamage(perHit)</t>
        </is>
      </c>
      <c r="O2857" s="5" t="inlineStr">
        <is>
          <t>DPS</t>
        </is>
      </c>
      <c r="P2857" s="5" t="inlineStr">
        <is>
          <t>% of Total</t>
        </is>
      </c>
      <c r="R2857" t="inlineStr">
        <is>
          <t>helpers</t>
        </is>
      </c>
    </row>
    <row r="2858">
      <c r="A2858">
        <f>Skills!A2</f>
        <v/>
      </c>
      <c r="B2858">
        <f>Skills!B2</f>
        <v/>
      </c>
      <c r="C2858">
        <f>TRUE</f>
        <v/>
      </c>
      <c r="D2858" t="inlineStr"/>
      <c r="E2858" t="inlineStr"/>
      <c r="F2858">
        <f>T2860+Skills!O2</f>
        <v/>
      </c>
      <c r="G2858">
        <f>Calc!G2</f>
        <v/>
      </c>
      <c r="H2858">
        <f>Calc!H2</f>
        <v/>
      </c>
      <c r="I2858">
        <f>IF(Skills!X2&lt;&gt;"",1+(Skills!X2/10)*(Z2859/1000)/100,1)</f>
        <v/>
      </c>
      <c r="J2858">
        <f>((Inputs!$B$6*(1+Inputs!$B$7/100))+(((Inputs!$B$12*(1+Inputs!$B$13/100))-(Inputs!$B$12*(1+Inputs!$B$13/100)))+0.25*(Inputs!$B$14-Inputs!$B$14))*(1+Inputs!$B$7/100))*(F2858/100)</f>
        <v/>
      </c>
      <c r="K2858">
        <f>J2858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2858)</f>
        <v/>
      </c>
      <c r="L2858">
        <f>K2858*(MIN(Inputs!$B$22+(F2878-Calc!F22),(Inputs!$B$23+(IF(ArtifactsInput!$M$15,CHOOSE(ArtifactsInput!$N$15+1,25,30,35,40,45,50)/100*(Inputs!$B$11-Inputs!$B$11),0))))/100+(Inputs!$B$23+(IF(ArtifactsInput!$M$15,CHOOSE(ArtifactsInput!$N$15+1,25,30,35,40,45,50)/100*(Inputs!$B$11-Inputs!$B$11),0)))/100)/2</f>
        <v/>
      </c>
      <c r="M2858">
        <f>L2858*(1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8">
        <f>L2858*(1-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2858*(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8">
        <f>(1-Summary!$B$11)*S2858+Summary!$B$11*U2858</f>
        <v/>
      </c>
      <c r="P2858">
        <f>IF(B2897=0,0,O2858/B2897)</f>
        <v/>
      </c>
      <c r="Q2858">
        <f>IFERROR(1/(IF(Inputs!$B$38="pvp",15,MAX(0.1,Skills!E2-IF(Skills!F2=TRUE,1.5,0)))*(1-IF(AND(ArtifactsInput!$M$27,Inputs!$B$4="Chapter Hunt"),CHOOSE(ArtifactsInput!$N$27+1,20,24,28,32,36,40),0)/100)),0)</f>
        <v/>
      </c>
      <c r="R2858" t="n">
        <v>0</v>
      </c>
      <c r="S2858">
        <f>(Skills!G2*N2858*B2892)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2858*(1-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2858*(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2858*(1-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2858*(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858">
        <f>MAX(0,(Inputs!$B$3-100)*3)+Inputs!$B$28+Inputs!$B$29</f>
        <v/>
      </c>
      <c r="U2858">
        <f>(Skills!G2*N2858*B2892)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858">
        <f>MAX(0,(Inputs!$B$3-100)*3)+Inputs!$B$28+Inputs!$B$29</f>
        <v/>
      </c>
    </row>
    <row r="2859">
      <c r="A2859">
        <f>Skills!A3</f>
        <v/>
      </c>
      <c r="B2859">
        <f>Skills!B3</f>
        <v/>
      </c>
      <c r="C2859">
        <f>TRUE</f>
        <v/>
      </c>
      <c r="D2859">
        <f>IF(Skills!C3=1,60+Inputs!$B$25+Inputs!$B$29,IF(Skills!C3=2,90+Inputs!$B$26+Inputs!$B$29,IF(Skills!C3=3,120+Inputs!$B$27+Inputs!$B$29,MAX(0,(Inputs!$B$3-100)*3)+Inputs!$B$28+Inputs!$B$29)))</f>
        <v/>
      </c>
      <c r="E2859">
        <f>INDEX(FactorTable!$B$2:$Y$301, MATCH(ROUND(MIN(300,MAX(1,D2859)),0), FactorTable!$A$2:$A$301,0), Skills!M3+1)</f>
        <v/>
      </c>
      <c r="F2859">
        <f>IF(Skills!N3=TRUE,(Skills!L3/10)*(E2859/1000),Skills!L3/10)+Skills!O3</f>
        <v/>
      </c>
      <c r="G2859">
        <f>Calc!G3</f>
        <v/>
      </c>
      <c r="H2859">
        <f>Calc!H3</f>
        <v/>
      </c>
      <c r="I2859">
        <f>IF(Skills!X3&lt;&gt;"",1+(Skills!X3/10)*(Z2859/1000)/100,1)</f>
        <v/>
      </c>
      <c r="J2859">
        <f>((Inputs!$B$6*(1+Inputs!$B$7/100))+(((Inputs!$B$12*(1+Inputs!$B$13/100))-(Inputs!$B$12*(1+Inputs!$B$13/100)))+0.25*(Inputs!$B$14-Inputs!$B$14))*(1+Inputs!$B$7/100))*(F2859/100)</f>
        <v/>
      </c>
      <c r="K2859">
        <f>J2859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2859)</f>
        <v/>
      </c>
      <c r="L2859">
        <f>K2859*(MIN(Inputs!$B$22+(F2878-Calc!F22),(Inputs!$B$23+(IF(ArtifactsInput!$M$15,CHOOSE(ArtifactsInput!$N$15+1,25,30,35,40,45,50)/100*(Inputs!$B$11-Inputs!$B$11),0))))/100+(Inputs!$B$23+(IF(ArtifactsInput!$M$15,CHOOSE(ArtifactsInput!$N$15+1,25,30,35,40,45,50)/100*(Inputs!$B$11-Inputs!$B$11),0)))/100)/2</f>
        <v/>
      </c>
      <c r="M2859">
        <f>L2859*(1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9">
        <f>L2859*(1-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2859*(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9">
        <f>(1-Summary!$B$11)*S2859+Summary!$B$11*U2859</f>
        <v/>
      </c>
      <c r="P2859">
        <f>IF(B2897=0,0,O2859/B2897)</f>
        <v/>
      </c>
      <c r="Q2859">
        <f>IFERROR(1/(IF(Inputs!$B$38="pvp",15,MAX(0.1,Skills!E3-IF(Skills!F3=TRUE,1.5,0)))*(1-IF(AND(ArtifactsInput!$M$27,Inputs!$B$4="Chapter Hunt"),CHOOSE(ArtifactsInput!$N$27+1,20,24,28,32,36,40),0)/100)),0)</f>
        <v/>
      </c>
      <c r="R2859">
        <f>IF(AND(Inputs!$B$38&lt;&gt;"pvp",Inputs!$B$43&gt;0),IF(MAX(0,Inputs!$B$43-B2894)&lt;=0,0,(INT(MAX(0,Inputs!$B$43-B2894)/(IF(Inputs!$B$38="pvp",15,MAX(0.1,Skills!E3-IF(Skills!F3=TRUE,1.5,0)))*(1-IF(AND(ArtifactsInput!$M$27,Inputs!$B$4="Chapter Hunt"),CHOOSE(ArtifactsInput!$N$27+1,20,24,28,32,36,40),0)/100)))+1)),0)</f>
        <v/>
      </c>
      <c r="S2859">
        <f>IF(C2859,(H2859*N2859*IF(AND(Inputs!$B$38&lt;&gt;"pvp",Inputs!$B$43&gt;0),((Skills!G3*((R2859-1)*IF(Skills!H3&gt;0,Skills!I3/Skills!H3,1)+IF(Skills!H3&gt;0,MIN(Skills!I3,MAX(0,MAX(0,Inputs!$B$43-B2894)-((R2859-1)*(IF(Inputs!$B$38="pvp",15,MAX(0.1,Skills!E3-IF(Skills!F3=TRUE,1.5,0)))*(1-IF(AND(ArtifactsInput!$M$27,Inputs!$B$4="Chapter Hunt"),CHOOSE(ArtifactsInput!$N$27+1,20,24,28,32,36,40),0)/100)))))/Skills!H3,1)))/Inputs!$B$43),G2859*Q2859)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2859*(1-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2859*(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2859*(1-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2859*(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859">
        <f>INDEX(FactorTable!$B$2:$Y$301, MATCH(ROUND(MIN(300,MAX(1,T2858)),0), FactorTable!$A$2:$A$301,0), 22)</f>
        <v/>
      </c>
      <c r="U2859">
        <f>IF(C2859,(H2859*N2859*IF(AND(Inputs!$B$38&lt;&gt;"pvp",Inputs!$B$43&gt;0),((Skills!G3*((R2859-1)*IF(Skills!H3&gt;0,Skills!I3/Skills!H3,1)+IF(Skills!H3&gt;0,MIN(Skills!I3,MAX(0,MAX(0,Inputs!$B$43-B2894)-((R2859-1)*(IF(Inputs!$B$38="pvp",15,MAX(0.1,Skills!E3-IF(Skills!F3=TRUE,1.5,0)))*(1-IF(AND(ArtifactsInput!$M$27,Inputs!$B$4="Chapter Hunt"),CHOOSE(ArtifactsInput!$N$27+1,20,24,28,32,36,40),0)/100)))))/Skills!H3,1)))/Inputs!$B$43),G2859*Q2859)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859">
        <f>INDEX(FactorTable!$B$2:$Y$301, MATCH(ROUND(MIN(300,MAX(1,Z2858)),0), FactorTable!$A$2:$A$301,0), 24)</f>
        <v/>
      </c>
    </row>
    <row r="2860">
      <c r="A2860">
        <f>Skills!A4</f>
        <v/>
      </c>
      <c r="B2860">
        <f>Skills!B4</f>
        <v/>
      </c>
      <c r="C2860">
        <f>TRUE</f>
        <v/>
      </c>
      <c r="D2860">
        <f>IF(Skills!C4=1,60+Inputs!$B$25+Inputs!$B$29,IF(Skills!C4=2,90+Inputs!$B$26+Inputs!$B$29,IF(Skills!C4=3,120+Inputs!$B$27+Inputs!$B$29,MAX(0,(Inputs!$B$3-100)*3)+Inputs!$B$28+Inputs!$B$29)))</f>
        <v/>
      </c>
      <c r="E2860">
        <f>INDEX(FactorTable!$B$2:$Y$301, MATCH(ROUND(MIN(300,MAX(1,D2860)),0), FactorTable!$A$2:$A$301,0), Skills!M4+1)</f>
        <v/>
      </c>
      <c r="F2860">
        <f>IF(Skills!N4=TRUE,(Skills!L4/10)*(E2860/1000),Skills!L4/10)+Skills!O4</f>
        <v/>
      </c>
      <c r="G2860">
        <f>Calc!G4</f>
        <v/>
      </c>
      <c r="H2860">
        <f>Calc!H4</f>
        <v/>
      </c>
      <c r="I2860">
        <f>IF(Skills!X4&lt;&gt;"",1+(Skills!X4/10)*(Z2859/1000)/100,1)</f>
        <v/>
      </c>
      <c r="J2860">
        <f>((Inputs!$B$6*(1+Inputs!$B$7/100))+(((Inputs!$B$12*(1+Inputs!$B$13/100))-(Inputs!$B$12*(1+Inputs!$B$13/100)))+0.25*(Inputs!$B$14-Inputs!$B$14))*(1+Inputs!$B$7/100))*(F2860/100)</f>
        <v/>
      </c>
      <c r="K2860">
        <f>J2860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2860)</f>
        <v/>
      </c>
      <c r="L2860">
        <f>K2860*(MIN(Inputs!$B$22+(F2878-Calc!F22),(Inputs!$B$23+(IF(ArtifactsInput!$M$15,CHOOSE(ArtifactsInput!$N$15+1,25,30,35,40,45,50)/100*(Inputs!$B$11-Inputs!$B$11),0))))/100+(Inputs!$B$23+(IF(ArtifactsInput!$M$15,CHOOSE(ArtifactsInput!$N$15+1,25,30,35,40,45,50)/100*(Inputs!$B$11-Inputs!$B$11),0)))/100)/2</f>
        <v/>
      </c>
      <c r="M2860">
        <f>L2860*(1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0">
        <f>L2860*(1-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2860*(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0">
        <f>(1-Summary!$B$11)*S2860+Summary!$B$11*U2860</f>
        <v/>
      </c>
      <c r="P2860">
        <f>IF(B2897=0,0,O2860/B2897)</f>
        <v/>
      </c>
      <c r="Q2860">
        <f>IFERROR(1/(IF(Inputs!$B$38="pvp",15,MAX(0.1,Skills!E4-IF(Skills!F4=TRUE,1.5,0)))*(1-IF(AND(ArtifactsInput!$M$27,Inputs!$B$4="Chapter Hunt"),CHOOSE(ArtifactsInput!$N$27+1,20,24,28,32,36,40),0)/100)),0)</f>
        <v/>
      </c>
      <c r="R2860">
        <f>IF(AND(Inputs!$B$38&lt;&gt;"pvp",Inputs!$B$43&gt;0),IF(MAX(0,Inputs!$B$43-B2894)&lt;=0,0,(INT(MAX(0,Inputs!$B$43-B2894)/(IF(Inputs!$B$38="pvp",15,MAX(0.1,Skills!E4-IF(Skills!F4=TRUE,1.5,0)))*(1-IF(AND(ArtifactsInput!$M$27,Inputs!$B$4="Chapter Hunt"),CHOOSE(ArtifactsInput!$N$27+1,20,24,28,32,36,40),0)/100)))+1)),0)</f>
        <v/>
      </c>
      <c r="S2860">
        <f>IF(C2860,(H2860*N2860*IF(AND(Inputs!$B$38&lt;&gt;"pvp",Inputs!$B$43&gt;0),((Skills!G4*((R2860-1)*IF(Skills!H4&gt;0,Skills!I4/Skills!H4,1)+IF(Skills!H4&gt;0,MIN(Skills!I4,MAX(0,MAX(0,Inputs!$B$43-B2894)-((R2860-1)*(IF(Inputs!$B$38="pvp",15,MAX(0.1,Skills!E4-IF(Skills!F4=TRUE,1.5,0)))*(1-IF(AND(ArtifactsInput!$M$27,Inputs!$B$4="Chapter Hunt"),CHOOSE(ArtifactsInput!$N$27+1,20,24,28,32,36,40),0)/100)))))/Skills!H4,1)))/Inputs!$B$43),G2860*Q2860)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2860*(1-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2860*(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2860*(1-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2860*(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860">
        <f>290*T2859/1000</f>
        <v/>
      </c>
      <c r="U2860">
        <f>IF(C2860,(H2860*N2860*IF(AND(Inputs!$B$38&lt;&gt;"pvp",Inputs!$B$43&gt;0),((Skills!G4*((R2860-1)*IF(Skills!H4&gt;0,Skills!I4/Skills!H4,1)+IF(Skills!H4&gt;0,MIN(Skills!I4,MAX(0,MAX(0,Inputs!$B$43-B2894)-((R2860-1)*(IF(Inputs!$B$38="pvp",15,MAX(0.1,Skills!E4-IF(Skills!F4=TRUE,1.5,0)))*(1-IF(AND(ArtifactsInput!$M$27,Inputs!$B$4="Chapter Hunt"),CHOOSE(ArtifactsInput!$N$27+1,20,24,28,32,36,40),0)/100)))))/Skills!H4,1)))/Inputs!$B$43),G2860*Q2860)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1">
      <c r="A2861">
        <f>Skills!A5</f>
        <v/>
      </c>
      <c r="B2861">
        <f>Skills!B5</f>
        <v/>
      </c>
      <c r="C2861">
        <f>TRUE</f>
        <v/>
      </c>
      <c r="D2861">
        <f>IF(Skills!C5=1,60+Inputs!$B$25+Inputs!$B$29,IF(Skills!C5=2,90+Inputs!$B$26+Inputs!$B$29,IF(Skills!C5=3,120+Inputs!$B$27+Inputs!$B$29,MAX(0,(Inputs!$B$3-100)*3)+Inputs!$B$28+Inputs!$B$29)))</f>
        <v/>
      </c>
      <c r="E2861">
        <f>INDEX(FactorTable!$B$2:$Y$301, MATCH(ROUND(MIN(300,MAX(1,D2861)),0), FactorTable!$A$2:$A$301,0), Skills!M5+1)</f>
        <v/>
      </c>
      <c r="F2861">
        <f>IF(Skills!N5=TRUE,(Skills!L5/10)*(E2861/1000),Skills!L5/10)+Skills!O5</f>
        <v/>
      </c>
      <c r="G2861">
        <f>Calc!G5</f>
        <v/>
      </c>
      <c r="H2861">
        <f>Calc!H5</f>
        <v/>
      </c>
      <c r="I2861">
        <f>IF(Skills!X5&lt;&gt;"",1+(Skills!X5/10)*(Z2859/1000)/100,1)</f>
        <v/>
      </c>
      <c r="J2861">
        <f>((Inputs!$B$6*(1+Inputs!$B$7/100))+(((Inputs!$B$12*(1+Inputs!$B$13/100))-(Inputs!$B$12*(1+Inputs!$B$13/100)))+0.25*(Inputs!$B$14-Inputs!$B$14))*(1+Inputs!$B$7/100))*(F2861/100)</f>
        <v/>
      </c>
      <c r="K2861">
        <f>J2861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2861)</f>
        <v/>
      </c>
      <c r="L2861">
        <f>K2861*(MIN(Inputs!$B$22+(F2878-Calc!F22),(Inputs!$B$23+(IF(ArtifactsInput!$M$15,CHOOSE(ArtifactsInput!$N$15+1,25,30,35,40,45,50)/100*(Inputs!$B$11-Inputs!$B$11),0))))/100+(Inputs!$B$23+(IF(ArtifactsInput!$M$15,CHOOSE(ArtifactsInput!$N$15+1,25,30,35,40,45,50)/100*(Inputs!$B$11-Inputs!$B$11),0)))/100)/2</f>
        <v/>
      </c>
      <c r="M2861">
        <f>L2861*(1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1">
        <f>L2861*(1-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1">
        <f>(1-Summary!$B$11)*S2861+Summary!$B$11*U2861</f>
        <v/>
      </c>
      <c r="P2861">
        <f>IF(B2897=0,0,O2861/B2897)</f>
        <v/>
      </c>
      <c r="Q2861">
        <f>IFERROR(1/(IF(Inputs!$B$38="pvp",15,MAX(0.1,Skills!E5-IF(Skills!F5=TRUE,1.5,0)))*(1-IF(AND(ArtifactsInput!$M$27,Inputs!$B$4="Chapter Hunt"),CHOOSE(ArtifactsInput!$N$27+1,20,24,28,32,36,40),0)/100)),0)</f>
        <v/>
      </c>
      <c r="R2861">
        <f>IF(AND(Inputs!$B$38&lt;&gt;"pvp",Inputs!$B$43&gt;0),IF(MAX(0,Inputs!$B$43-B2894)&lt;=0,0,(INT(MAX(0,Inputs!$B$43-B2894)/(IF(Inputs!$B$38="pvp",15,MAX(0.1,Skills!E5-IF(Skills!F5=TRUE,1.5,0)))*(1-IF(AND(ArtifactsInput!$M$27,Inputs!$B$4="Chapter Hunt"),CHOOSE(ArtifactsInput!$N$27+1,20,24,28,32,36,40),0)/100)))+1)),0)</f>
        <v/>
      </c>
      <c r="S2861">
        <f>IF(C2861,(H2861*N2861*IF(AND(Inputs!$B$38&lt;&gt;"pvp",Inputs!$B$43&gt;0),((Skills!G5*((R2861-1)*IF(Skills!H5&gt;0,Skills!I5/Skills!H5,1)+IF(Skills!H5&gt;0,MIN(Skills!I5,MAX(0,MAX(0,Inputs!$B$43-B2894)-((R2861-1)*(IF(Inputs!$B$38="pvp",15,MAX(0.1,Skills!E5-IF(Skills!F5=TRUE,1.5,0)))*(1-IF(AND(ArtifactsInput!$M$27,Inputs!$B$4="Chapter Hunt"),CHOOSE(ArtifactsInput!$N$27+1,20,24,28,32,36,40),0)/100)))))/Skills!H5,1)))/Inputs!$B$43),G2861*Q2861)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2861*(1-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2861*(1-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61">
        <f>IF(C2861,(H2861*N2861*IF(AND(Inputs!$B$38&lt;&gt;"pvp",Inputs!$B$43&gt;0),((Skills!G5*((R2861-1)*IF(Skills!H5&gt;0,Skills!I5/Skills!H5,1)+IF(Skills!H5&gt;0,MIN(Skills!I5,MAX(0,MAX(0,Inputs!$B$43-B2894)-((R2861-1)*(IF(Inputs!$B$38="pvp",15,MAX(0.1,Skills!E5-IF(Skills!F5=TRUE,1.5,0)))*(1-IF(AND(ArtifactsInput!$M$27,Inputs!$B$4="Chapter Hunt"),CHOOSE(ArtifactsInput!$N$27+1,20,24,28,32,36,40),0)/100)))))/Skills!H5,1)))/Inputs!$B$43),G2861*Q2861)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2">
      <c r="A2862">
        <f>Skills!A6</f>
        <v/>
      </c>
      <c r="B2862">
        <f>Skills!B6</f>
        <v/>
      </c>
      <c r="C2862">
        <f>TRUE</f>
        <v/>
      </c>
      <c r="D2862">
        <f>IF(Skills!C6=1,60+Inputs!$B$25+Inputs!$B$29,IF(Skills!C6=2,90+Inputs!$B$26+Inputs!$B$29,IF(Skills!C6=3,120+Inputs!$B$27+Inputs!$B$29,MAX(0,(Inputs!$B$3-100)*3)+Inputs!$B$28+Inputs!$B$29)))</f>
        <v/>
      </c>
      <c r="E2862">
        <f>INDEX(FactorTable!$B$2:$Y$301, MATCH(ROUND(MIN(300,MAX(1,D2862)),0), FactorTable!$A$2:$A$301,0), Skills!M6+1)</f>
        <v/>
      </c>
      <c r="F2862">
        <f>IF(Skills!N6=TRUE,(Skills!L6/10)*(E2862/1000),Skills!L6/10)+Skills!O6</f>
        <v/>
      </c>
      <c r="G2862">
        <f>Calc!G6</f>
        <v/>
      </c>
      <c r="H2862">
        <f>Calc!H6</f>
        <v/>
      </c>
      <c r="I2862">
        <f>IF(Skills!X6&lt;&gt;"",1+(Skills!X6/10)*(Z2859/1000)/100,1)</f>
        <v/>
      </c>
      <c r="J2862" t="inlineStr"/>
      <c r="K2862" t="inlineStr"/>
      <c r="L2862" t="inlineStr"/>
      <c r="M2862" t="inlineStr"/>
      <c r="N2862" t="inlineStr"/>
      <c r="O2862">
        <f>(1-Summary!$B$11)*S2862+Summary!$B$11*U2862</f>
        <v/>
      </c>
      <c r="P2862">
        <f>IF(B2897=0,0,O2862/B2897)</f>
        <v/>
      </c>
      <c r="Q2862">
        <f>IFERROR(1/(IF(Inputs!$B$38="pvp",15,MAX(0.1,Skills!E6-IF(Skills!F6=TRUE,1.5,0)))*(1-IF(AND(ArtifactsInput!$M$27,Inputs!$B$4="Chapter Hunt"),CHOOSE(ArtifactsInput!$N$27+1,20,24,28,32,36,40),0)/100)),0)</f>
        <v/>
      </c>
      <c r="R2862">
        <f>IF(AND(Inputs!$B$38&lt;&gt;"pvp",Inputs!$B$43&gt;0),IF(Inputs!$B$43&lt;=0,0,(INT(Inputs!$B$43/(IF(Inputs!$B$38="pvp",15,MAX(0.1,Skills!E6-IF(Skills!F6=TRUE,1.5,0)))*(1-IF(AND(ArtifactsInput!$M$27,Inputs!$B$4="Chapter Hunt"),CHOOSE(ArtifactsInput!$N$27+1,20,24,28,32,36,40),0)/100)))+1)),0)</f>
        <v/>
      </c>
      <c r="S2862" t="n">
        <v>0</v>
      </c>
      <c r="U2862" t="n">
        <v>0</v>
      </c>
    </row>
    <row r="2863">
      <c r="A2863">
        <f>Skills!A7</f>
        <v/>
      </c>
      <c r="B2863">
        <f>Skills!B7</f>
        <v/>
      </c>
      <c r="C2863">
        <f>TRUE</f>
        <v/>
      </c>
      <c r="D2863">
        <f>IF(Skills!C7=1,60+Inputs!$B$25+Inputs!$B$29,IF(Skills!C7=2,90+Inputs!$B$26+Inputs!$B$29,IF(Skills!C7=3,120+Inputs!$B$27+Inputs!$B$29,MAX(0,(Inputs!$B$3-100)*3)+Inputs!$B$28+Inputs!$B$29)))</f>
        <v/>
      </c>
      <c r="E2863">
        <f>INDEX(FactorTable!$B$2:$Y$301, MATCH(ROUND(MIN(300,MAX(1,D2863)),0), FactorTable!$A$2:$A$301,0), Skills!M7+1)</f>
        <v/>
      </c>
      <c r="F2863">
        <f>IF(Skills!N7=TRUE,(Skills!L7/10)*(E2863/1000),Skills!L7/10)+Skills!O7</f>
        <v/>
      </c>
      <c r="G2863">
        <f>Calc!G7</f>
        <v/>
      </c>
      <c r="H2863">
        <f>Calc!H7</f>
        <v/>
      </c>
      <c r="I2863">
        <f>IF(Skills!X7&lt;&gt;"",1+(Skills!X7/10)*(Z2859/1000)/100,1)</f>
        <v/>
      </c>
      <c r="J2863">
        <f>((Inputs!$B$6*(1+Inputs!$B$7/100))+(((Inputs!$B$12*(1+Inputs!$B$13/100))-(Inputs!$B$12*(1+Inputs!$B$13/100)))+0.25*(Inputs!$B$14-Inputs!$B$14))*(1+Inputs!$B$7/100))*(F2863/100)</f>
        <v/>
      </c>
      <c r="K2863">
        <f>J2863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2863)</f>
        <v/>
      </c>
      <c r="L2863">
        <f>K2863*(MIN(Inputs!$B$22+(F2878-Calc!F22),(Inputs!$B$23+(IF(ArtifactsInput!$M$15,CHOOSE(ArtifactsInput!$N$15+1,25,30,35,40,45,50)/100*(Inputs!$B$11-Inputs!$B$11),0))))/100+(Inputs!$B$23+(IF(ArtifactsInput!$M$15,CHOOSE(ArtifactsInput!$N$15+1,25,30,35,40,45,50)/100*(Inputs!$B$11-Inputs!$B$11),0)))/100)/2</f>
        <v/>
      </c>
      <c r="M2863">
        <f>L2863*(1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3">
        <f>L2863*(1-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2863*(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3">
        <f>(1-Summary!$B$11)*S2863+Summary!$B$11*U2863</f>
        <v/>
      </c>
      <c r="P2863">
        <f>IF(B2897=0,0,O2863/B2897)</f>
        <v/>
      </c>
      <c r="Q2863">
        <f>IFERROR(1/(IF(Inputs!$B$38="pvp",15,MAX(0.1,Skills!E7-IF(Skills!F7=TRUE,1.5,0)))*(1-IF(AND(ArtifactsInput!$M$27,Inputs!$B$4="Chapter Hunt"),CHOOSE(ArtifactsInput!$N$27+1,20,24,28,32,36,40),0)/100)),0)</f>
        <v/>
      </c>
      <c r="R2863">
        <f>IF(AND(Inputs!$B$38&lt;&gt;"pvp",Inputs!$B$43&gt;0),IF(MAX(0,Inputs!$B$43-B2894)&lt;=0,0,(INT(MAX(0,Inputs!$B$43-B2894)/(IF(Inputs!$B$38="pvp",15,MAX(0.1,Skills!E7-IF(Skills!F7=TRUE,1.5,0)))*(1-IF(AND(ArtifactsInput!$M$27,Inputs!$B$4="Chapter Hunt"),CHOOSE(ArtifactsInput!$N$27+1,20,24,28,32,36,40),0)/100)))+1)),0)</f>
        <v/>
      </c>
      <c r="S2863">
        <f>IF(C2863,(H2863*N2863*IF(AND(Inputs!$B$38&lt;&gt;"pvp",Inputs!$B$43&gt;0),((Skills!G7*((R2863-1)*IF(Skills!H7&gt;0,Skills!I7/Skills!H7,1)+IF(Skills!H7&gt;0,MIN(Skills!I7,MAX(0,MAX(0,Inputs!$B$43-B2894)-((R2863-1)*(IF(Inputs!$B$38="pvp",15,MAX(0.1,Skills!E7-IF(Skills!F7=TRUE,1.5,0)))*(1-IF(AND(ArtifactsInput!$M$27,Inputs!$B$4="Chapter Hunt"),CHOOSE(ArtifactsInput!$N$27+1,20,24,28,32,36,40),0)/100)))))/Skills!H7,1)))/Inputs!$B$43),G2863*Q2863)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2863*(1-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2863*(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2863*(1-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2863*(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63">
        <f>IF(C2863,(H2863*N2863*IF(AND(Inputs!$B$38&lt;&gt;"pvp",Inputs!$B$43&gt;0),((Skills!G7*((R2863-1)*IF(Skills!H7&gt;0,Skills!I7/Skills!H7,1)+IF(Skills!H7&gt;0,MIN(Skills!I7,MAX(0,MAX(0,Inputs!$B$43-B2894)-((R2863-1)*(IF(Inputs!$B$38="pvp",15,MAX(0.1,Skills!E7-IF(Skills!F7=TRUE,1.5,0)))*(1-IF(AND(ArtifactsInput!$M$27,Inputs!$B$4="Chapter Hunt"),CHOOSE(ArtifactsInput!$N$27+1,20,24,28,32,36,40),0)/100)))))/Skills!H7,1)))/Inputs!$B$43),G2863*Q2863)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4">
      <c r="A2864">
        <f>Skills!A8</f>
        <v/>
      </c>
      <c r="B2864">
        <f>Skills!B8</f>
        <v/>
      </c>
      <c r="C2864">
        <f>TRUE</f>
        <v/>
      </c>
      <c r="D2864">
        <f>IF(Skills!C8=1,60+Inputs!$B$25+Inputs!$B$29,IF(Skills!C8=2,90+Inputs!$B$26+Inputs!$B$29,IF(Skills!C8=3,120+Inputs!$B$27+Inputs!$B$29,MAX(0,(Inputs!$B$3-100)*3)+Inputs!$B$28+Inputs!$B$29)))</f>
        <v/>
      </c>
      <c r="E2864">
        <f>INDEX(FactorTable!$B$2:$Y$301, MATCH(ROUND(MIN(300,MAX(1,D2864)),0), FactorTable!$A$2:$A$301,0), Skills!M8+1)</f>
        <v/>
      </c>
      <c r="F2864">
        <f>IF(Skills!N8=TRUE,(Skills!L8/10)*(E2864/1000),Skills!L8/10)+Skills!O8</f>
        <v/>
      </c>
      <c r="G2864">
        <f>Calc!G8</f>
        <v/>
      </c>
      <c r="H2864">
        <f>Calc!H8</f>
        <v/>
      </c>
      <c r="I2864">
        <f>IF(Skills!X8&lt;&gt;"",1+(Skills!X8/10)*(Z2859/1000)/100,1)</f>
        <v/>
      </c>
      <c r="J2864">
        <f>((Inputs!$B$6*(1+Inputs!$B$7/100))+(((Inputs!$B$12*(1+Inputs!$B$13/100))-(Inputs!$B$12*(1+Inputs!$B$13/100)))+0.25*(Inputs!$B$14-Inputs!$B$14))*(1+Inputs!$B$7/100))*(F2864/100)</f>
        <v/>
      </c>
      <c r="K2864">
        <f>J2864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2864)</f>
        <v/>
      </c>
      <c r="L2864">
        <f>K2864*(MIN(Inputs!$B$22+(F2878-Calc!F22),(Inputs!$B$23+(IF(ArtifactsInput!$M$15,CHOOSE(ArtifactsInput!$N$15+1,25,30,35,40,45,50)/100*(Inputs!$B$11-Inputs!$B$11),0))))/100+(Inputs!$B$23+(IF(ArtifactsInput!$M$15,CHOOSE(ArtifactsInput!$N$15+1,25,30,35,40,45,50)/100*(Inputs!$B$11-Inputs!$B$11),0)))/100)/2</f>
        <v/>
      </c>
      <c r="M2864">
        <f>L2864*(1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4">
        <f>L2864*(1-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2864*(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4">
        <f>(1-Summary!$B$11)*S2864+Summary!$B$11*U2864</f>
        <v/>
      </c>
      <c r="P2864">
        <f>IF(B2897=0,0,O2864/B2897)</f>
        <v/>
      </c>
      <c r="Q2864">
        <f>IFERROR(1/(IF(Inputs!$B$38="pvp",15,MAX(0.1,Skills!E8-IF(Skills!F8=TRUE,1.5,0)))*(1-IF(AND(ArtifactsInput!$M$27,Inputs!$B$4="Chapter Hunt"),CHOOSE(ArtifactsInput!$N$27+1,20,24,28,32,36,40),0)/100)),0)</f>
        <v/>
      </c>
      <c r="R2864">
        <f>IF(AND(Inputs!$B$38&lt;&gt;"pvp",Inputs!$B$43&gt;0),IF(MAX(0,Inputs!$B$43-B2894)&lt;=0,0,(INT(MAX(0,Inputs!$B$43-B2894)/(IF(Inputs!$B$38="pvp",15,MAX(0.1,Skills!E8-IF(Skills!F8=TRUE,1.5,0)))*(1-IF(AND(ArtifactsInput!$M$27,Inputs!$B$4="Chapter Hunt"),CHOOSE(ArtifactsInput!$N$27+1,20,24,28,32,36,40),0)/100)))+1)),0)</f>
        <v/>
      </c>
      <c r="S2864">
        <f>IF(C2864,(H2864*N2864*IF(AND(Inputs!$B$38&lt;&gt;"pvp",Inputs!$B$43&gt;0),((Skills!G8*((R2864-1)*IF(Skills!H8&gt;0,Skills!I8/Skills!H8,1)+IF(Skills!H8&gt;0,MIN(Skills!I8,MAX(0,MAX(0,Inputs!$B$43-B2894)-((R2864-1)*(IF(Inputs!$B$38="pvp",15,MAX(0.1,Skills!E8-IF(Skills!F8=TRUE,1.5,0)))*(1-IF(AND(ArtifactsInput!$M$27,Inputs!$B$4="Chapter Hunt"),CHOOSE(ArtifactsInput!$N$27+1,20,24,28,32,36,40),0)/100)))))/Skills!H8,1)))/Inputs!$B$43),G2864*Q2864)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2864*(1-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2864*(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2864*(1-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2864*(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64">
        <f>IF(C2864,(H2864*N2864*IF(AND(Inputs!$B$38&lt;&gt;"pvp",Inputs!$B$43&gt;0),((Skills!G8*((R2864-1)*IF(Skills!H8&gt;0,Skills!I8/Skills!H8,1)+IF(Skills!H8&gt;0,MIN(Skills!I8,MAX(0,MAX(0,Inputs!$B$43-B2894)-((R2864-1)*(IF(Inputs!$B$38="pvp",15,MAX(0.1,Skills!E8-IF(Skills!F8=TRUE,1.5,0)))*(1-IF(AND(ArtifactsInput!$M$27,Inputs!$B$4="Chapter Hunt"),CHOOSE(ArtifactsInput!$N$27+1,20,24,28,32,36,40),0)/100)))))/Skills!H8,1)))/Inputs!$B$43),G2864*Q2864)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5">
      <c r="A2865">
        <f>Skills!A9</f>
        <v/>
      </c>
      <c r="B2865">
        <f>Skills!B9</f>
        <v/>
      </c>
      <c r="C2865">
        <f>Inputs!$B$3&gt;=103</f>
        <v/>
      </c>
      <c r="D2865">
        <f>IF(Skills!C9=1,60+Inputs!$B$25+Inputs!$B$29,IF(Skills!C9=2,90+Inputs!$B$26+Inputs!$B$29,IF(Skills!C9=3,120+Inputs!$B$27+Inputs!$B$29,MAX(0,(Inputs!$B$3-100)*3)+Inputs!$B$28+Inputs!$B$29)))</f>
        <v/>
      </c>
      <c r="E2865">
        <f>INDEX(FactorTable!$B$2:$Y$301, MATCH(ROUND(MIN(300,MAX(1,D2865)),0), FactorTable!$A$2:$A$301,0), Skills!M9+1)</f>
        <v/>
      </c>
      <c r="F2865">
        <f>IF(Skills!N9=TRUE,(Skills!L9/10)*(E2865/1000),Skills!L9/10)+Skills!O9</f>
        <v/>
      </c>
      <c r="G2865">
        <f>Calc!G9</f>
        <v/>
      </c>
      <c r="H2865">
        <f>Calc!H9</f>
        <v/>
      </c>
      <c r="I2865">
        <f>IF(Skills!X9&lt;&gt;"",1+(Skills!X9/10)*(Z2859/1000)/100,1)</f>
        <v/>
      </c>
      <c r="J2865">
        <f>((Inputs!$B$6*(1+Inputs!$B$7/100))+(((Inputs!$B$12*(1+Inputs!$B$13/100))-(Inputs!$B$12*(1+Inputs!$B$13/100)))+0.25*(Inputs!$B$14-Inputs!$B$14))*(1+Inputs!$B$7/100))*(F2865/100)</f>
        <v/>
      </c>
      <c r="K2865">
        <f>J2865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2865)</f>
        <v/>
      </c>
      <c r="L2865">
        <f>K2865*(MIN(Inputs!$B$22+(F2878-Calc!F22),(Inputs!$B$23+(IF(ArtifactsInput!$M$15,CHOOSE(ArtifactsInput!$N$15+1,25,30,35,40,45,50)/100*(Inputs!$B$11-Inputs!$B$11),0))))/100+(Inputs!$B$23+(IF(ArtifactsInput!$M$15,CHOOSE(ArtifactsInput!$N$15+1,25,30,35,40,45,50)/100*(Inputs!$B$11-Inputs!$B$11),0)))/100)/2</f>
        <v/>
      </c>
      <c r="M2865">
        <f>L2865*(1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5">
        <f>L2865*(1-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2865*(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5">
        <f>(1-Summary!$B$11)*S2865+Summary!$B$11*U2865</f>
        <v/>
      </c>
      <c r="P2865">
        <f>IF(B2897=0,0,O2865/B2897)</f>
        <v/>
      </c>
      <c r="Q2865">
        <f>IFERROR(1/(IF(Inputs!$B$38="pvp",15,MAX(0.1,Skills!E9-IF(Skills!F7=TRUE,1.5,0)))*(1-IF(AND(ArtifactsInput!$M$27,Inputs!$B$4="Chapter Hunt"),CHOOSE(ArtifactsInput!$N$27+1,20,24,28,32,36,40),0)/100)),0)</f>
        <v/>
      </c>
      <c r="R2865">
        <f>IF(AND(Inputs!$B$38&lt;&gt;"pvp",Inputs!$B$43&gt;0),IF(MAX(0,Inputs!$B$43-B2894)&lt;=0,0,(INT(MAX(0,Inputs!$B$43-B2894)/(IF(Inputs!$B$38="pvp",15,MAX(0.1,Skills!E9-IF(Skills!F7=TRUE,1.5,0)))*(1-IF(AND(ArtifactsInput!$M$27,Inputs!$B$4="Chapter Hunt"),CHOOSE(ArtifactsInput!$N$27+1,20,24,28,32,36,40),0)/100)))+1)),0)</f>
        <v/>
      </c>
      <c r="S2865">
        <f>IF(C2865,(H2865*N2865*IF(AND(Inputs!$B$38&lt;&gt;"pvp",Inputs!$B$43&gt;0),((Skills!G9*((R2865-1)*IF(Skills!H9&gt;0,Skills!I9/Skills!H9,1)+IF(Skills!H9&gt;0,MIN(Skills!I9,MAX(0,MAX(0,Inputs!$B$43-B2894)-((R2865-1)*(IF(Inputs!$B$38="pvp",15,MAX(0.1,Skills!E9-IF(Skills!F7=TRUE,1.5,0)))*(1-IF(AND(ArtifactsInput!$M$27,Inputs!$B$4="Chapter Hunt"),CHOOSE(ArtifactsInput!$N$27+1,20,24,28,32,36,40),0)/100)))))/Skills!H9,1)))/Inputs!$B$43),G2865*Q2865)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2865*(1-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2865*(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2865*(1-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2865*(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65">
        <f>IF(C2865,(H2865*N2865*IF(AND(Inputs!$B$38&lt;&gt;"pvp",Inputs!$B$43&gt;0),((Skills!G9*((R2865-1)*IF(Skills!H9&gt;0,Skills!I9/Skills!H9,1)+IF(Skills!H9&gt;0,MIN(Skills!I9,MAX(0,MAX(0,Inputs!$B$43-B2894)-((R2865-1)*(IF(Inputs!$B$38="pvp",15,MAX(0.1,Skills!E9-IF(Skills!F7=TRUE,1.5,0)))*(1-IF(AND(ArtifactsInput!$M$27,Inputs!$B$4="Chapter Hunt"),CHOOSE(ArtifactsInput!$N$27+1,20,24,28,32,36,40),0)/100)))))/Skills!H9,1)))/Inputs!$B$43),G2865*Q2865)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6">
      <c r="A2866">
        <f>Skills!A10</f>
        <v/>
      </c>
      <c r="B2866">
        <f>Skills!B10</f>
        <v/>
      </c>
      <c r="C2866">
        <f>TRUE</f>
        <v/>
      </c>
      <c r="D2866">
        <f>IF(Skills!C10=1,60+Inputs!$B$25+Inputs!$B$29,IF(Skills!C10=2,90+Inputs!$B$26+Inputs!$B$29,IF(Skills!C10=3,120+Inputs!$B$27+Inputs!$B$29,MAX(0,(Inputs!$B$3-100)*3)+Inputs!$B$28+Inputs!$B$29)))</f>
        <v/>
      </c>
      <c r="E2866">
        <f>INDEX(FactorTable!$B$2:$Y$301, MATCH(ROUND(MIN(300,MAX(1,D2866)),0), FactorTable!$A$2:$A$301,0), Skills!M10+1)</f>
        <v/>
      </c>
      <c r="F2866">
        <f>IF(Skills!N10=TRUE,(Skills!L10/10)*(E2866/1000),Skills!L10/10)+Skills!O10</f>
        <v/>
      </c>
      <c r="G2866">
        <f>Calc!G10</f>
        <v/>
      </c>
      <c r="H2866">
        <f>Calc!H10</f>
        <v/>
      </c>
      <c r="I2866">
        <f>IF(Skills!X10&lt;&gt;"",1+(Skills!X10/10)*(Z2859/1000)/100,1)</f>
        <v/>
      </c>
      <c r="J2866">
        <f>((Inputs!$B$6*(1+Inputs!$B$7/100))+(((Inputs!$B$12*(1+Inputs!$B$13/100))-(Inputs!$B$12*(1+Inputs!$B$13/100)))+0.25*(Inputs!$B$14-Inputs!$B$14))*(1+Inputs!$B$7/100))*(F2866/100)</f>
        <v/>
      </c>
      <c r="K2866">
        <f>J2866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2866)</f>
        <v/>
      </c>
      <c r="L2866">
        <f>K2866*(MIN(Inputs!$B$22+(F2878-Calc!F22),(Inputs!$B$23+(IF(ArtifactsInput!$M$15,CHOOSE(ArtifactsInput!$N$15+1,25,30,35,40,45,50)/100*(Inputs!$B$11-Inputs!$B$11),0))))/100+(Inputs!$B$23+(IF(ArtifactsInput!$M$15,CHOOSE(ArtifactsInput!$N$15+1,25,30,35,40,45,50)/100*(Inputs!$B$11-Inputs!$B$11),0)))/100)/2</f>
        <v/>
      </c>
      <c r="M2866">
        <f>L2866*(1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6">
        <f>L2866*(1-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2866*(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6">
        <f>(1-Summary!$B$11)*S2866+Summary!$B$11*U2866</f>
        <v/>
      </c>
      <c r="P2866">
        <f>IF(B2897=0,0,O2866/B2897)</f>
        <v/>
      </c>
      <c r="Q2866">
        <f>IFERROR(1/(IF(Inputs!$B$38="pvp",15,MAX(0.1,Skills!E10-IF(Skills!F10=TRUE,1.5,0)))*(1-IF(AND(ArtifactsInput!$M$27,Inputs!$B$4="Chapter Hunt"),CHOOSE(ArtifactsInput!$N$27+1,20,24,28,32,36,40),0)/100)),0)</f>
        <v/>
      </c>
      <c r="R2866">
        <f>IF(AND(Inputs!$B$38&lt;&gt;"pvp",Inputs!$B$43&gt;0),IF(MAX(0,Inputs!$B$43-B2894)&lt;=0,0,(INT(MAX(0,Inputs!$B$43-B2894)/(IF(Inputs!$B$38="pvp",15,MAX(0.1,Skills!E10-IF(Skills!F10=TRUE,1.5,0)))*(1-IF(AND(ArtifactsInput!$M$27,Inputs!$B$4="Chapter Hunt"),CHOOSE(ArtifactsInput!$N$27+1,20,24,28,32,36,40),0)/100)))+1)),0)</f>
        <v/>
      </c>
      <c r="S2866">
        <f>IF(C2866,(H2866*N2866*IF(AND(Inputs!$B$38&lt;&gt;"pvp",Inputs!$B$43&gt;0),((Skills!G10*((R2866-1)*IF(Skills!H10&gt;0,Skills!I10/Skills!H10,1)+IF(Skills!H10&gt;0,MIN(Skills!I10,MAX(0,MAX(0,Inputs!$B$43-B2894)-((R2866-1)*(IF(Inputs!$B$38="pvp",15,MAX(0.1,Skills!E10-IF(Skills!F10=TRUE,1.5,0)))*(1-IF(AND(ArtifactsInput!$M$27,Inputs!$B$4="Chapter Hunt"),CHOOSE(ArtifactsInput!$N$27+1,20,24,28,32,36,40),0)/100)))))/Skills!H10,1)))/Inputs!$B$43),G2866*Q2866)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2866*(1-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2866*(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2866*(1-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2866*(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66">
        <f>IF(C2866,(H2866*N2866*IF(AND(Inputs!$B$38&lt;&gt;"pvp",Inputs!$B$43&gt;0),((Skills!G10*((R2866-1)*IF(Skills!H10&gt;0,Skills!I10/Skills!H10,1)+IF(Skills!H10&gt;0,MIN(Skills!I10,MAX(0,MAX(0,Inputs!$B$43-B2894)-((R2866-1)*(IF(Inputs!$B$38="pvp",15,MAX(0.1,Skills!E10-IF(Skills!F10=TRUE,1.5,0)))*(1-IF(AND(ArtifactsInput!$M$27,Inputs!$B$4="Chapter Hunt"),CHOOSE(ArtifactsInput!$N$27+1,20,24,28,32,36,40),0)/100)))))/Skills!H10,1)))/Inputs!$B$43),G2866*Q2866)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7">
      <c r="A2867">
        <f>Skills!A11</f>
        <v/>
      </c>
      <c r="B2867">
        <f>Skills!B11</f>
        <v/>
      </c>
      <c r="C2867">
        <f>TRUE</f>
        <v/>
      </c>
      <c r="D2867">
        <f>IF(Skills!C11=1,60+Inputs!$B$25+Inputs!$B$29,IF(Skills!C11=2,90+Inputs!$B$26+Inputs!$B$29,IF(Skills!C11=3,120+Inputs!$B$27+Inputs!$B$29,MAX(0,(Inputs!$B$3-100)*3)+Inputs!$B$28+Inputs!$B$29)))</f>
        <v/>
      </c>
      <c r="E2867">
        <f>INDEX(FactorTable!$B$2:$Y$301, MATCH(ROUND(MIN(300,MAX(1,D2867)),0), FactorTable!$A$2:$A$301,0), Skills!M11+1)</f>
        <v/>
      </c>
      <c r="F2867">
        <f>IF(Skills!N11=TRUE,(Skills!L11/10)*(E2867/1000),Skills!L11/10)+Skills!O11</f>
        <v/>
      </c>
      <c r="G2867">
        <f>Calc!G11</f>
        <v/>
      </c>
      <c r="H2867">
        <f>Calc!H11</f>
        <v/>
      </c>
      <c r="I2867">
        <f>IF(Skills!X11&lt;&gt;"",1+(Skills!X11/10)*(Z2859/1000)/100,1)</f>
        <v/>
      </c>
      <c r="J2867" t="inlineStr"/>
      <c r="K2867" t="inlineStr"/>
      <c r="L2867" t="inlineStr"/>
      <c r="M2867" t="inlineStr"/>
      <c r="N2867" t="inlineStr"/>
      <c r="O2867">
        <f>(1-Summary!$B$11)*S2867+Summary!$B$11*U2867</f>
        <v/>
      </c>
      <c r="P2867">
        <f>IF(B2897=0,0,O2867/B2897)</f>
        <v/>
      </c>
      <c r="Q2867">
        <f>IFERROR(1/(IF(Inputs!$B$38="pvp",15,MAX(0.1,Skills!E11-IF(Skills!F11=TRUE,1.5,0)))*(1-IF(AND(ArtifactsInput!$M$27,Inputs!$B$4="Chapter Hunt"),CHOOSE(ArtifactsInput!$N$27+1,20,24,28,32,36,40),0)/100)),0)</f>
        <v/>
      </c>
      <c r="R2867" t="n">
        <v>0</v>
      </c>
      <c r="S2867" t="n">
        <v>0</v>
      </c>
      <c r="U2867" t="n">
        <v>0</v>
      </c>
    </row>
    <row r="2868">
      <c r="A2868">
        <f>Skills!A12</f>
        <v/>
      </c>
      <c r="B2868">
        <f>Skills!B12</f>
        <v/>
      </c>
      <c r="C2868">
        <f>TRUE</f>
        <v/>
      </c>
      <c r="D2868">
        <f>IF(Skills!C12=1,60+Inputs!$B$25+Inputs!$B$29,IF(Skills!C12=2,90+Inputs!$B$26+Inputs!$B$29,IF(Skills!C12=3,120+Inputs!$B$27+Inputs!$B$29,MAX(0,(Inputs!$B$3-100)*3)+Inputs!$B$28+Inputs!$B$29)))</f>
        <v/>
      </c>
      <c r="E2868">
        <f>INDEX(FactorTable!$B$2:$Y$301, MATCH(ROUND(MIN(300,MAX(1,D2868)),0), FactorTable!$A$2:$A$301,0), Skills!M12+1)</f>
        <v/>
      </c>
      <c r="F2868">
        <f>IF(Skills!N12=TRUE,(Skills!L12/10)*(E2868/1000),Skills!L12/10)+Skills!O12</f>
        <v/>
      </c>
      <c r="G2868">
        <f>Calc!G12</f>
        <v/>
      </c>
      <c r="H2868">
        <f>Calc!H12</f>
        <v/>
      </c>
      <c r="I2868">
        <f>IF(Skills!X12&lt;&gt;"",1+(Skills!X12/10)*(Z2859/1000)/100,1)</f>
        <v/>
      </c>
      <c r="J2868" t="inlineStr"/>
      <c r="K2868" t="inlineStr"/>
      <c r="L2868" t="inlineStr"/>
      <c r="M2868" t="inlineStr"/>
      <c r="N2868" t="inlineStr"/>
      <c r="O2868">
        <f>(1-Summary!$B$11)*S2868+Summary!$B$11*U2868</f>
        <v/>
      </c>
      <c r="P2868">
        <f>IF(B2897=0,0,O2868/B2897)</f>
        <v/>
      </c>
      <c r="Q2868">
        <f>IFERROR(1/(IF(Inputs!$B$38="pvp",15,MAX(0.1,Skills!E12-IF(Skills!F12=TRUE,1.5,0)))*(1-IF(AND(ArtifactsInput!$M$27,Inputs!$B$4="Chapter Hunt"),CHOOSE(ArtifactsInput!$N$27+1,20,24,28,32,36,40),0)/100)),0)</f>
        <v/>
      </c>
      <c r="R2868" t="n">
        <v>0</v>
      </c>
      <c r="S2868" t="n">
        <v>0</v>
      </c>
      <c r="U2868" t="n">
        <v>0</v>
      </c>
    </row>
    <row r="2869">
      <c r="A2869">
        <f>Skills!A13</f>
        <v/>
      </c>
      <c r="B2869">
        <f>Skills!B13</f>
        <v/>
      </c>
      <c r="C2869">
        <f>Inputs!$B$3&gt;=105</f>
        <v/>
      </c>
      <c r="D2869">
        <f>IF(Skills!C13=1,60+Inputs!$B$25+Inputs!$B$29,IF(Skills!C13=2,90+Inputs!$B$26+Inputs!$B$29,IF(Skills!C13=3,120+Inputs!$B$27+Inputs!$B$29,MAX(0,(Inputs!$B$3-100)*3)+Inputs!$B$28+Inputs!$B$29)))</f>
        <v/>
      </c>
      <c r="E2869">
        <f>INDEX(FactorTable!$B$2:$Y$301, MATCH(ROUND(MIN(300,MAX(1,D2869)),0), FactorTable!$A$2:$A$301,0), Skills!M13+1)</f>
        <v/>
      </c>
      <c r="F2869">
        <f>IF(Skills!N13=TRUE,(Skills!L13/10)*(E2869/1000),Skills!L13/10)+Skills!O13</f>
        <v/>
      </c>
      <c r="G2869">
        <f>Calc!G13</f>
        <v/>
      </c>
      <c r="H2869">
        <f>Calc!H13</f>
        <v/>
      </c>
      <c r="I2869">
        <f>IF(Skills!X13&lt;&gt;"",1+(Skills!X13/10)*(Z2859/1000)/100,1)</f>
        <v/>
      </c>
      <c r="J2869">
        <f>((Inputs!$B$6*(1+Inputs!$B$7/100))+(((Inputs!$B$12*(1+Inputs!$B$13/100))-(Inputs!$B$12*(1+Inputs!$B$13/100)))+0.25*(Inputs!$B$14-Inputs!$B$14))*(1+Inputs!$B$7/100))*(F2869/100)</f>
        <v/>
      </c>
      <c r="K2869">
        <f>J2869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2869)</f>
        <v/>
      </c>
      <c r="L2869">
        <f>K2869*(MIN(Inputs!$B$22+(F2878-Calc!F22),(Inputs!$B$23+(IF(ArtifactsInput!$M$15,CHOOSE(ArtifactsInput!$N$15+1,25,30,35,40,45,50)/100*(Inputs!$B$11-Inputs!$B$11),0))))/100+(Inputs!$B$23+(IF(ArtifactsInput!$M$15,CHOOSE(ArtifactsInput!$N$15+1,25,30,35,40,45,50)/100*(Inputs!$B$11-Inputs!$B$11),0)))/100)/2</f>
        <v/>
      </c>
      <c r="M2869">
        <f>L2869*(1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9">
        <f>L2869*(1-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2869*(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9">
        <f>(1-Summary!$B$11)*S2869+Summary!$B$11*U2869</f>
        <v/>
      </c>
      <c r="P2869">
        <f>IF(B2897=0,0,O2869/B2897)</f>
        <v/>
      </c>
      <c r="Q2869">
        <f>IFERROR(1/(IF(Inputs!$B$38="pvp",15,MAX(0.1,Skills!E13-IF(Skills!F13=TRUE,1.5,0)))*(1-IF(AND(ArtifactsInput!$M$27,Inputs!$B$4="Chapter Hunt"),CHOOSE(ArtifactsInput!$N$27+1,20,24,28,32,36,40),0)/100)),0)</f>
        <v/>
      </c>
      <c r="R2869">
        <f>IF(AND(Inputs!$B$38&lt;&gt;"pvp",Inputs!$B$43&gt;0),IF(MAX(0,Inputs!$B$43-B2894)&lt;=0,0,(INT(MAX(0,Inputs!$B$43-B2894)/(IF(Inputs!$B$38="pvp",15,MAX(0.1,Skills!E13-IF(Skills!F13=TRUE,1.5,0)))*(1-IF(AND(ArtifactsInput!$M$27,Inputs!$B$4="Chapter Hunt"),CHOOSE(ArtifactsInput!$N$27+1,20,24,28,32,36,40),0)/100)))+1)),0)</f>
        <v/>
      </c>
      <c r="S2869">
        <f>IF(C2869,(H2869*N2869*IF(AND(Inputs!$B$38&lt;&gt;"pvp",Inputs!$B$43&gt;0),((Skills!G13*((R2869-1)*IF(Skills!H13&gt;0,Skills!I13/Skills!H13,1)+IF(Skills!H13&gt;0,MIN(Skills!I13,MAX(0,MAX(0,Inputs!$B$43-B2894)-((R2869-1)*(IF(Inputs!$B$38="pvp",15,MAX(0.1,Skills!E13-IF(Skills!F13=TRUE,1.5,0)))*(1-IF(AND(ArtifactsInput!$M$27,Inputs!$B$4="Chapter Hunt"),CHOOSE(ArtifactsInput!$N$27+1,20,24,28,32,36,40),0)/100)))))/Skills!H13,1)))/Inputs!$B$43),G2869*Q2869)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2869*(1-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2869*(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2869*(1-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2869*(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69">
        <f>IF(C2869,(H2869*N2869*IF(AND(Inputs!$B$38&lt;&gt;"pvp",Inputs!$B$43&gt;0),((Skills!G13*((R2869-1)*IF(Skills!H13&gt;0,Skills!I13/Skills!H13,1)+IF(Skills!H13&gt;0,MIN(Skills!I13,MAX(0,MAX(0,Inputs!$B$43-B2894)-((R2869-1)*(IF(Inputs!$B$38="pvp",15,MAX(0.1,Skills!E13-IF(Skills!F13=TRUE,1.5,0)))*(1-IF(AND(ArtifactsInput!$M$27,Inputs!$B$4="Chapter Hunt"),CHOOSE(ArtifactsInput!$N$27+1,20,24,28,32,36,40),0)/100)))))/Skills!H13,1)))/Inputs!$B$43),G2869*Q2869)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0">
      <c r="A2870">
        <f>Skills!A14</f>
        <v/>
      </c>
      <c r="B2870">
        <f>Skills!B14</f>
        <v/>
      </c>
      <c r="C2870">
        <f>Inputs!$B$3&gt;=113</f>
        <v/>
      </c>
      <c r="D2870">
        <f>IF(Skills!C14=1,60+Inputs!$B$25+Inputs!$B$29,IF(Skills!C14=2,90+Inputs!$B$26+Inputs!$B$29,IF(Skills!C14=3,120+Inputs!$B$27+Inputs!$B$29,MAX(0,(Inputs!$B$3-100)*3)+Inputs!$B$28+Inputs!$B$29)))</f>
        <v/>
      </c>
      <c r="E2870">
        <f>INDEX(FactorTable!$B$2:$Y$301, MATCH(ROUND(MIN(300,MAX(1,D2870)),0), FactorTable!$A$2:$A$301,0), Skills!M14+1)</f>
        <v/>
      </c>
      <c r="F2870">
        <f>IF(Skills!N14=TRUE,(Skills!L14/10)*(E2870/1000),Skills!L14/10)+Skills!O14</f>
        <v/>
      </c>
      <c r="G2870">
        <f>Calc!G14</f>
        <v/>
      </c>
      <c r="H2870">
        <f>Calc!H14</f>
        <v/>
      </c>
      <c r="I2870">
        <f>IF(Skills!X14&lt;&gt;"",1+(Skills!X14/10)*(Z2859/1000)/100,1)</f>
        <v/>
      </c>
      <c r="J2870">
        <f>((Inputs!$B$6*(1+Inputs!$B$7/100))+(((Inputs!$B$12*(1+Inputs!$B$13/100))-(Inputs!$B$12*(1+Inputs!$B$13/100)))+0.25*(Inputs!$B$14-Inputs!$B$14))*(1+Inputs!$B$7/100))*(F2870/100)</f>
        <v/>
      </c>
      <c r="K2870">
        <f>J2870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2870)</f>
        <v/>
      </c>
      <c r="L2870">
        <f>K2870*(MIN(Inputs!$B$22+(F2878-Calc!F22),(Inputs!$B$23+(IF(ArtifactsInput!$M$15,CHOOSE(ArtifactsInput!$N$15+1,25,30,35,40,45,50)/100*(Inputs!$B$11-Inputs!$B$11),0))))/100+(Inputs!$B$23+(IF(ArtifactsInput!$M$15,CHOOSE(ArtifactsInput!$N$15+1,25,30,35,40,45,50)/100*(Inputs!$B$11-Inputs!$B$11),0)))/100)/2</f>
        <v/>
      </c>
      <c r="M2870">
        <f>L2870*(1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0">
        <f>L2870*(1-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2870*(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0">
        <f>(1-Summary!$B$11)*S2870+Summary!$B$11*U2870</f>
        <v/>
      </c>
      <c r="P2870">
        <f>IF(B2897=0,0,O2870/B2897)</f>
        <v/>
      </c>
      <c r="Q2870">
        <f>IFERROR(1/(IF(Inputs!$B$38="pvp",15,MAX(0.1,Skills!E14-IF(Skills!F14=TRUE,1.5,0)))*(1-IF(AND(ArtifactsInput!$M$27,Inputs!$B$4="Chapter Hunt"),CHOOSE(ArtifactsInput!$N$27+1,20,24,28,32,36,40),0)/100)),0)</f>
        <v/>
      </c>
      <c r="R2870" t="n">
        <v>0</v>
      </c>
      <c r="S2870">
        <f>IF(C2870,((H2870*B2893)/(1+Skills!H14*H2870*B2893)*N2870)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2870*(1-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2870*(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2870*(1-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2870*(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0">
        <f>IF(C2870,((H2870*B2893)/(1+Skills!H14*H2870*B2893)*N2870)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1">
      <c r="A2871">
        <f>Skills!A15</f>
        <v/>
      </c>
      <c r="B2871">
        <f>Skills!B15</f>
        <v/>
      </c>
      <c r="C2871">
        <f>Inputs!$B$3&gt;=107</f>
        <v/>
      </c>
      <c r="D2871">
        <f>IF(Skills!C15=1,60+Inputs!$B$25+Inputs!$B$29,IF(Skills!C15=2,90+Inputs!$B$26+Inputs!$B$29,IF(Skills!C15=3,120+Inputs!$B$27+Inputs!$B$29,MAX(0,(Inputs!$B$3-100)*3)+Inputs!$B$28+Inputs!$B$29)))</f>
        <v/>
      </c>
      <c r="E2871">
        <f>INDEX(FactorTable!$B$2:$Y$301, MATCH(ROUND(MIN(300,MAX(1,D2871)),0), FactorTable!$A$2:$A$301,0), Skills!M15+1)</f>
        <v/>
      </c>
      <c r="F2871">
        <f>IF(Skills!N15=TRUE,(Skills!L15/10)*(E2871/1000),Skills!L15/10)+Skills!O15</f>
        <v/>
      </c>
      <c r="G2871">
        <f>Calc!G15</f>
        <v/>
      </c>
      <c r="H2871">
        <f>Calc!H15</f>
        <v/>
      </c>
      <c r="I2871">
        <f>IF(Skills!X15&lt;&gt;"",1+(Skills!X15/10)*(Z2859/1000)/100,1)</f>
        <v/>
      </c>
      <c r="J2871">
        <f>((Inputs!$B$6*(1+Inputs!$B$7/100))+(((Inputs!$B$12*(1+Inputs!$B$13/100))-(Inputs!$B$12*(1+Inputs!$B$13/100)))+0.25*(Inputs!$B$14-Inputs!$B$14))*(1+Inputs!$B$7/100))*(F2871/100)</f>
        <v/>
      </c>
      <c r="K2871">
        <f>J2871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2871)</f>
        <v/>
      </c>
      <c r="L2871">
        <f>K2871*(MIN(Inputs!$B$22+(F2878-Calc!F22),(Inputs!$B$23+(IF(ArtifactsInput!$M$15,CHOOSE(ArtifactsInput!$N$15+1,25,30,35,40,45,50)/100*(Inputs!$B$11-Inputs!$B$11),0))))/100+(Inputs!$B$23+(IF(ArtifactsInput!$M$15,CHOOSE(ArtifactsInput!$N$15+1,25,30,35,40,45,50)/100*(Inputs!$B$11-Inputs!$B$11),0)))/100)/2</f>
        <v/>
      </c>
      <c r="M2871">
        <f>L2871*(1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1">
        <f>L2871*(1-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1">
        <f>(1-Summary!$B$11)*S2871+Summary!$B$11*U2871</f>
        <v/>
      </c>
      <c r="P2871">
        <f>IF(B2897=0,0,O2871/B2897)</f>
        <v/>
      </c>
      <c r="Q2871">
        <f>IFERROR(1/(IF(Inputs!$B$38="pvp",15,MAX(0.1,Skills!E15-IF(Skills!F15=TRUE,1.5,0)))*(1-IF(AND(ArtifactsInput!$M$27,Inputs!$B$4="Chapter Hunt"),CHOOSE(ArtifactsInput!$N$27+1,20,24,28,32,36,40),0)/100)),0)</f>
        <v/>
      </c>
      <c r="R2871">
        <f>IF(AND(Inputs!$B$38&lt;&gt;"pvp",Inputs!$B$43&gt;0),IF(MAX(0,Inputs!$B$43-B2894)&lt;=0,0,(INT(MAX(0,Inputs!$B$43-B2894)/(IF(Inputs!$B$38="pvp",15,MAX(0.1,Skills!E15-IF(Skills!F15=TRUE,1.5,0)))*(1-IF(AND(ArtifactsInput!$M$27,Inputs!$B$4="Chapter Hunt"),CHOOSE(ArtifactsInput!$N$27+1,20,24,28,32,36,40),0)/100)))+1)),0)</f>
        <v/>
      </c>
      <c r="S2871">
        <f>IF(C2871,(H2871*N2871*IF(AND(Inputs!$B$38&lt;&gt;"pvp",Inputs!$B$43&gt;0),((Skills!G15*((R2871-1)*IF(Skills!H15&gt;0,Skills!I15/Skills!H15,1)+IF(Skills!H15&gt;0,MIN(Skills!I15,MAX(0,MAX(0,Inputs!$B$43-B2894)-((R2871-1)*(IF(Inputs!$B$38="pvp",15,MAX(0.1,Skills!E15-IF(Skills!F15=TRUE,1.5,0)))*(1-IF(AND(ArtifactsInput!$M$27,Inputs!$B$4="Chapter Hunt"),CHOOSE(ArtifactsInput!$N$27+1,20,24,28,32,36,40),0)/100)))))/Skills!H15,1)))/Inputs!$B$43),G2871*Q2871)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2871*(1-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2871*(1-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1">
        <f>IF(C2871,(H2871*N2871*IF(AND(Inputs!$B$38&lt;&gt;"pvp",Inputs!$B$43&gt;0),((Skills!G15*((R2871-1)*IF(Skills!H15&gt;0,Skills!I15/Skills!H15,1)+IF(Skills!H15&gt;0,MIN(Skills!I15,MAX(0,MAX(0,Inputs!$B$43-B2894)-((R2871-1)*(IF(Inputs!$B$38="pvp",15,MAX(0.1,Skills!E15-IF(Skills!F15=TRUE,1.5,0)))*(1-IF(AND(ArtifactsInput!$M$27,Inputs!$B$4="Chapter Hunt"),CHOOSE(ArtifactsInput!$N$27+1,20,24,28,32,36,40),0)/100)))))/Skills!H15,1)))/Inputs!$B$43),G2871*Q2871)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2">
      <c r="A2872">
        <f>Skills!A16</f>
        <v/>
      </c>
      <c r="B2872">
        <f>Skills!B16</f>
        <v/>
      </c>
      <c r="C2872">
        <f>Inputs!$B$3&gt;=107</f>
        <v/>
      </c>
      <c r="D2872">
        <f>IF(Skills!C16=1,60+Inputs!$B$25+Inputs!$B$29,IF(Skills!C16=2,90+Inputs!$B$26+Inputs!$B$29,IF(Skills!C16=3,120+Inputs!$B$27+Inputs!$B$29,MAX(0,(Inputs!$B$3-100)*3)+Inputs!$B$28+Inputs!$B$29)))</f>
        <v/>
      </c>
      <c r="E2872">
        <f>INDEX(FactorTable!$B$2:$Y$301, MATCH(ROUND(MIN(300,MAX(1,D2872)),0), FactorTable!$A$2:$A$301,0), Skills!M16+1)</f>
        <v/>
      </c>
      <c r="F2872">
        <f>IF(Skills!N16=TRUE,(Skills!L16/10)*(E2872/1000),Skills!L16/10)+Skills!O16</f>
        <v/>
      </c>
      <c r="G2872">
        <f>Calc!G16</f>
        <v/>
      </c>
      <c r="H2872">
        <f>Calc!H16</f>
        <v/>
      </c>
      <c r="I2872">
        <f>IF(Skills!X16&lt;&gt;"",1+(Skills!X16/10)*(Z2859/1000)/100,1)</f>
        <v/>
      </c>
      <c r="J2872">
        <f>((Inputs!$B$6*(1+Inputs!$B$7/100))+(((Inputs!$B$12*(1+Inputs!$B$13/100))-(Inputs!$B$12*(1+Inputs!$B$13/100)))+0.25*(Inputs!$B$14-Inputs!$B$14))*(1+Inputs!$B$7/100))*(F2872/100)</f>
        <v/>
      </c>
      <c r="K2872">
        <f>J2872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2872)</f>
        <v/>
      </c>
      <c r="L2872">
        <f>K2872*(MIN(Inputs!$B$22+(F2878-Calc!F22),(Inputs!$B$23+(IF(ArtifactsInput!$M$15,CHOOSE(ArtifactsInput!$N$15+1,25,30,35,40,45,50)/100*(Inputs!$B$11-Inputs!$B$11),0))))/100+(Inputs!$B$23+(IF(ArtifactsInput!$M$15,CHOOSE(ArtifactsInput!$N$15+1,25,30,35,40,45,50)/100*(Inputs!$B$11-Inputs!$B$11),0)))/100)/2</f>
        <v/>
      </c>
      <c r="M2872">
        <f>L2872*(1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2">
        <f>L2872*(1-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2872*(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2">
        <f>(1-Summary!$B$11)*S2872+Summary!$B$11*U2872</f>
        <v/>
      </c>
      <c r="P2872">
        <f>IF(B2897=0,0,O2872/B2897)</f>
        <v/>
      </c>
      <c r="Q2872">
        <f>IFERROR(1/(IF(Inputs!$B$38="pvp",15,MAX(0.1,Skills!E16-IF(Skills!F16=TRUE,1.5,0)))*(1-IF(AND(ArtifactsInput!$M$27,Inputs!$B$4="Chapter Hunt"),CHOOSE(ArtifactsInput!$N$27+1,20,24,28,32,36,40),0)/100)),0)</f>
        <v/>
      </c>
      <c r="R2872">
        <f>IF(AND(Inputs!$B$38&lt;&gt;"pvp",Inputs!$B$43&gt;0),IF(MAX(0,Inputs!$B$43-B2894)&lt;=0,0,(INT(MAX(0,Inputs!$B$43-B2894)/(IF(Inputs!$B$38="pvp",15,MAX(0.1,Skills!E16-IF(Skills!F16=TRUE,1.5,0)))*(1-IF(AND(ArtifactsInput!$M$27,Inputs!$B$4="Chapter Hunt"),CHOOSE(ArtifactsInput!$N$27+1,20,24,28,32,36,40),0)/100)))+1)),0)</f>
        <v/>
      </c>
      <c r="S2872">
        <f>IF(C2872,(H2872*N2872*IF(AND(Inputs!$B$38&lt;&gt;"pvp",Inputs!$B$43&gt;0),((Skills!G16*((R2872-1)*IF(Skills!H16&gt;0,Skills!I16/Skills!H16,1)+IF(Skills!H16&gt;0,MIN(Skills!I16,MAX(0,MAX(0,Inputs!$B$43-B2894)-((R2872-1)*(IF(Inputs!$B$38="pvp",15,MAX(0.1,Skills!E16-IF(Skills!F16=TRUE,1.5,0)))*(1-IF(AND(ArtifactsInput!$M$27,Inputs!$B$4="Chapter Hunt"),CHOOSE(ArtifactsInput!$N$27+1,20,24,28,32,36,40),0)/100)))))/Skills!H16,1)))/Inputs!$B$43),G2872*Q2872)*(1+IF(Inputs!$B$3&gt;=126,0.05*(B2892+Q2869+(H2870*B2893)/(1+Skills!H14*H2870*B2893)+Q2880)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2872*(1-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2872*(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2872*(1-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2872*(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2">
        <f>IF(C2872,(H2872*N2872*IF(AND(Inputs!$B$38&lt;&gt;"pvp",Inputs!$B$43&gt;0),((Skills!G16*((R2872-1)*IF(Skills!H16&gt;0,Skills!I16/Skills!H16,1)+IF(Skills!H16&gt;0,MIN(Skills!I16,MAX(0,MAX(0,Inputs!$B$43-B2894)-((R2872-1)*(IF(Inputs!$B$38="pvp",15,MAX(0.1,Skills!E16-IF(Skills!F16=TRUE,1.5,0)))*(1-IF(AND(ArtifactsInput!$M$27,Inputs!$B$4="Chapter Hunt"),CHOOSE(ArtifactsInput!$N$27+1,20,24,28,32,36,40),0)/100)))))/Skills!H16,1)))/Inputs!$B$43),G2872*Q2872)*(1+IF(Inputs!$B$3&gt;=126,0.05*(B2892+Q2869+(H2870*B2893)/(1+Skills!H14*H2870*B2893)+Q2880)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3">
      <c r="A2873">
        <f>Skills!A17</f>
        <v/>
      </c>
      <c r="B2873">
        <f>Skills!B17</f>
        <v/>
      </c>
      <c r="C2873">
        <f>TRUE</f>
        <v/>
      </c>
      <c r="D2873">
        <f>IF(Skills!C17=1,60+Inputs!$B$25+Inputs!$B$29,IF(Skills!C17=2,90+Inputs!$B$26+Inputs!$B$29,IF(Skills!C17=3,120+Inputs!$B$27+Inputs!$B$29,MAX(0,(Inputs!$B$3-100)*3)+Inputs!$B$28+Inputs!$B$29)))</f>
        <v/>
      </c>
      <c r="E2873">
        <f>INDEX(FactorTable!$B$2:$Y$301, MATCH(ROUND(MIN(300,MAX(1,D2873)),0), FactorTable!$A$2:$A$301,0), Skills!M17+1)</f>
        <v/>
      </c>
      <c r="F2873">
        <f>IF(Skills!N17=TRUE,(Skills!L17/10)*(E2873/1000),Skills!L17/10)+Skills!O17</f>
        <v/>
      </c>
      <c r="G2873">
        <f>Calc!G17</f>
        <v/>
      </c>
      <c r="H2873">
        <f>Calc!H17</f>
        <v/>
      </c>
      <c r="I2873">
        <f>IF(Skills!X17&lt;&gt;"",1+(Skills!X17/10)*(Z2859/1000)/100,1)</f>
        <v/>
      </c>
      <c r="J2873" t="inlineStr"/>
      <c r="K2873" t="inlineStr"/>
      <c r="L2873" t="inlineStr"/>
      <c r="M2873" t="inlineStr"/>
      <c r="N2873" t="inlineStr"/>
      <c r="O2873">
        <f>(1-Summary!$B$11)*S2873+Summary!$B$11*U2873</f>
        <v/>
      </c>
      <c r="P2873">
        <f>IF(B2897=0,0,O2873/B2897)</f>
        <v/>
      </c>
      <c r="Q2873">
        <f>IFERROR(1/(IF(Inputs!$B$38="pvp",15,MAX(0.1,Skills!E17-IF(Skills!F17=TRUE,1.5,0)))*(1-IF(AND(ArtifactsInput!$M$27,Inputs!$B$4="Chapter Hunt"),CHOOSE(ArtifactsInput!$N$27+1,20,24,28,32,36,40),0)/100)),0)</f>
        <v/>
      </c>
      <c r="R2873">
        <f>IF(AND(Inputs!$B$38&lt;&gt;"pvp",Inputs!$B$43&gt;0),IF(Inputs!$B$43&lt;=0,0,(INT(Inputs!$B$43/(IF(Inputs!$B$38="pvp",15,MAX(0.1,Skills!E17-IF(Skills!F17=TRUE,1.5,0)))*(1-IF(AND(ArtifactsInput!$M$27,Inputs!$B$4="Chapter Hunt"),CHOOSE(ArtifactsInput!$N$27+1,20,24,28,32,36,40),0)/100)))+1)),0)</f>
        <v/>
      </c>
      <c r="S2873" t="n">
        <v>0</v>
      </c>
      <c r="U2873" t="n">
        <v>0</v>
      </c>
    </row>
    <row r="2874">
      <c r="A2874">
        <f>Skills!A18</f>
        <v/>
      </c>
      <c r="B2874">
        <f>Skills!B18</f>
        <v/>
      </c>
      <c r="C2874">
        <f>TRUE</f>
        <v/>
      </c>
      <c r="D2874">
        <f>IF(Skills!C18=1,60+Inputs!$B$25+Inputs!$B$29,IF(Skills!C18=2,90+Inputs!$B$26+Inputs!$B$29,IF(Skills!C18=3,120+Inputs!$B$27+Inputs!$B$29,MAX(0,(Inputs!$B$3-100)*3)+Inputs!$B$28+Inputs!$B$29)))</f>
        <v/>
      </c>
      <c r="E2874">
        <f>INDEX(FactorTable!$B$2:$Y$301, MATCH(ROUND(MIN(300,MAX(1,D2874)),0), FactorTable!$A$2:$A$301,0), Skills!M18+1)</f>
        <v/>
      </c>
      <c r="F2874">
        <f>IF(Skills!N18=TRUE,(Skills!L18/10)*(E2874/1000),Skills!L18/10)+Skills!O18</f>
        <v/>
      </c>
      <c r="G2874">
        <f>Calc!G18</f>
        <v/>
      </c>
      <c r="H2874">
        <f>Calc!H18</f>
        <v/>
      </c>
      <c r="I2874">
        <f>IF(Skills!X18&lt;&gt;"",1+(Skills!X18/10)*(Z2859/1000)/100,1)</f>
        <v/>
      </c>
      <c r="J2874" t="inlineStr"/>
      <c r="K2874" t="inlineStr"/>
      <c r="L2874" t="inlineStr"/>
      <c r="M2874" t="inlineStr"/>
      <c r="N2874" t="inlineStr"/>
      <c r="O2874">
        <f>(1-Summary!$B$11)*S2874+Summary!$B$11*U2874</f>
        <v/>
      </c>
      <c r="P2874">
        <f>IF(B2897=0,0,O2874/B2897)</f>
        <v/>
      </c>
      <c r="Q2874">
        <f>IFERROR(1/(IF(Inputs!$B$38="pvp",15,MAX(0.1,Skills!E18-IF(Skills!F18=TRUE,1.5,0)))*(1-IF(AND(ArtifactsInput!$M$27,Inputs!$B$4="Chapter Hunt"),CHOOSE(ArtifactsInput!$N$27+1,20,24,28,32,36,40),0)/100)),0)</f>
        <v/>
      </c>
      <c r="R2874">
        <f>IF(AND(Inputs!$B$38&lt;&gt;"pvp",Inputs!$B$43&gt;0),IF(Inputs!$B$43&lt;=0,0,(INT(Inputs!$B$43/(IF(Inputs!$B$38="pvp",15,MAX(0.1,Skills!E18-IF(Skills!F18=TRUE,1.5,0)))*(1-IF(AND(ArtifactsInput!$M$27,Inputs!$B$4="Chapter Hunt"),CHOOSE(ArtifactsInput!$N$27+1,20,24,28,32,36,40),0)/100)))+1)),0)</f>
        <v/>
      </c>
      <c r="S2874" t="n">
        <v>0</v>
      </c>
      <c r="U2874" t="n">
        <v>0</v>
      </c>
    </row>
    <row r="2875">
      <c r="A2875">
        <f>Skills!A19</f>
        <v/>
      </c>
      <c r="B2875">
        <f>Skills!B19</f>
        <v/>
      </c>
      <c r="C2875">
        <f>Inputs!$B$3&gt;=110</f>
        <v/>
      </c>
      <c r="D2875">
        <f>IF(Skills!C19=1,60+Inputs!$B$25+Inputs!$B$29,IF(Skills!C19=2,90+Inputs!$B$26+Inputs!$B$29,IF(Skills!C19=3,120+Inputs!$B$27+Inputs!$B$29,MAX(0,(Inputs!$B$3-100)*3)+Inputs!$B$28+Inputs!$B$29)))</f>
        <v/>
      </c>
      <c r="E2875">
        <f>INDEX(FactorTable!$B$2:$Y$301, MATCH(ROUND(MIN(300,MAX(1,D2875)),0), FactorTable!$A$2:$A$301,0), Skills!M19+1)</f>
        <v/>
      </c>
      <c r="F2875">
        <f>IF(Skills!N19=TRUE,(Skills!L19/10)*(E2875/1000),Skills!L19/10)+Skills!O19</f>
        <v/>
      </c>
      <c r="G2875">
        <f>Calc!G19</f>
        <v/>
      </c>
      <c r="H2875">
        <f>Calc!H19</f>
        <v/>
      </c>
      <c r="I2875">
        <f>IF(Skills!X19&lt;&gt;"",1+(Skills!X19/10)*(Z2859/1000)/100,1)</f>
        <v/>
      </c>
      <c r="J2875" t="inlineStr"/>
      <c r="K2875" t="inlineStr"/>
      <c r="L2875" t="inlineStr"/>
      <c r="M2875" t="inlineStr"/>
      <c r="N2875" t="inlineStr"/>
      <c r="O2875">
        <f>(1-Summary!$B$11)*S2875+Summary!$B$11*U2875</f>
        <v/>
      </c>
      <c r="P2875">
        <f>IF(B2897=0,0,O2875/B2897)</f>
        <v/>
      </c>
      <c r="Q2875">
        <f>IFERROR(1/(IF(Inputs!$B$38="pvp",15,MAX(0.1,Skills!E19-IF(Skills!F19=TRUE,1.5,0)))*(1-IF(AND(ArtifactsInput!$M$27,Inputs!$B$4="Chapter Hunt"),CHOOSE(ArtifactsInput!$N$27+1,20,24,28,32,36,40),0)/100)),0)</f>
        <v/>
      </c>
      <c r="R2875">
        <f>IF(AND(Inputs!$B$38&lt;&gt;"pvp",Inputs!$B$43&gt;0),IF(Inputs!$B$43&lt;=0,0,(INT(Inputs!$B$43/(IF(Inputs!$B$38="pvp",15,MAX(0.1,Skills!E19-IF(Skills!F19=TRUE,1.5,0)))*(1-IF(AND(ArtifactsInput!$M$27,Inputs!$B$4="Chapter Hunt"),CHOOSE(ArtifactsInput!$N$27+1,20,24,28,32,36,40),0)/100)))+1)),0)</f>
        <v/>
      </c>
      <c r="S2875" t="n">
        <v>0</v>
      </c>
      <c r="U2875" t="n">
        <v>0</v>
      </c>
    </row>
    <row r="2876">
      <c r="A2876">
        <f>Skills!A20</f>
        <v/>
      </c>
      <c r="B2876">
        <f>Skills!B20</f>
        <v/>
      </c>
      <c r="C2876">
        <f>TRUE</f>
        <v/>
      </c>
      <c r="D2876">
        <f>IF(Skills!C20=1,60+Inputs!$B$25+Inputs!$B$29,IF(Skills!C20=2,90+Inputs!$B$26+Inputs!$B$29,IF(Skills!C20=3,120+Inputs!$B$27+Inputs!$B$29,MAX(0,(Inputs!$B$3-100)*3)+Inputs!$B$28+Inputs!$B$29)))</f>
        <v/>
      </c>
      <c r="E2876">
        <f>INDEX(FactorTable!$B$2:$Y$301, MATCH(ROUND(MIN(300,MAX(1,D2876)),0), FactorTable!$A$2:$A$301,0), Skills!M20+1)</f>
        <v/>
      </c>
      <c r="F2876">
        <f>IF(Skills!N20=TRUE,(Skills!L20/10)*(E2876/1000),Skills!L20/10)+Skills!O20</f>
        <v/>
      </c>
      <c r="G2876">
        <f>Calc!G20</f>
        <v/>
      </c>
      <c r="H2876">
        <f>Calc!H20</f>
        <v/>
      </c>
      <c r="I2876">
        <f>IF(Skills!X20&lt;&gt;"",1+(Skills!X20/10)*(Z2859/1000)/100,1)</f>
        <v/>
      </c>
      <c r="J2876" t="inlineStr"/>
      <c r="K2876" t="inlineStr"/>
      <c r="L2876" t="inlineStr"/>
      <c r="M2876" t="inlineStr"/>
      <c r="N2876" t="inlineStr"/>
      <c r="O2876">
        <f>(1-Summary!$B$11)*S2876+Summary!$B$11*U2876</f>
        <v/>
      </c>
      <c r="P2876">
        <f>IF(B2897=0,0,O2876/B2897)</f>
        <v/>
      </c>
      <c r="Q2876">
        <f>IFERROR(1/(IF(Inputs!$B$38="pvp",15,MAX(0.1,Skills!E20-IF(Skills!F20=TRUE,1.5,0)))*(1-IF(AND(ArtifactsInput!$M$27,Inputs!$B$4="Chapter Hunt"),CHOOSE(ArtifactsInput!$N$27+1,20,24,28,32,36,40),0)/100)),0)</f>
        <v/>
      </c>
      <c r="R2876" t="n">
        <v>0</v>
      </c>
      <c r="S2876" t="n">
        <v>0</v>
      </c>
      <c r="U2876" t="n">
        <v>0</v>
      </c>
    </row>
    <row r="2877">
      <c r="A2877">
        <f>Skills!A21</f>
        <v/>
      </c>
      <c r="B2877">
        <f>Skills!B21</f>
        <v/>
      </c>
      <c r="C2877">
        <f>TRUE</f>
        <v/>
      </c>
      <c r="D2877">
        <f>IF(Skills!C21=1,60+Inputs!$B$25+Inputs!$B$29,IF(Skills!C21=2,90+Inputs!$B$26+Inputs!$B$29,IF(Skills!C21=3,120+Inputs!$B$27+Inputs!$B$29,MAX(0,(Inputs!$B$3-100)*3)+Inputs!$B$28+Inputs!$B$29)))</f>
        <v/>
      </c>
      <c r="E2877">
        <f>INDEX(FactorTable!$B$2:$Y$301, MATCH(ROUND(MIN(300,MAX(1,D2877)),0), FactorTable!$A$2:$A$301,0), Skills!M21+1)</f>
        <v/>
      </c>
      <c r="F2877">
        <f>IF(Skills!N21=TRUE,(Skills!L21/10)*(E2877/1000),Skills!L21/10)+Skills!O21</f>
        <v/>
      </c>
      <c r="G2877">
        <f>Calc!G21</f>
        <v/>
      </c>
      <c r="H2877">
        <f>Calc!H21</f>
        <v/>
      </c>
      <c r="I2877">
        <f>IF(Skills!X21&lt;&gt;"",1+(Skills!X21/10)*(Z2859/1000)/100,1)</f>
        <v/>
      </c>
      <c r="J2877" t="inlineStr"/>
      <c r="K2877" t="inlineStr"/>
      <c r="L2877" t="inlineStr"/>
      <c r="M2877" t="inlineStr"/>
      <c r="N2877" t="inlineStr"/>
      <c r="O2877">
        <f>(1-Summary!$B$11)*S2877+Summary!$B$11*U2877</f>
        <v/>
      </c>
      <c r="P2877">
        <f>IF(B2897=0,0,O2877/B2897)</f>
        <v/>
      </c>
      <c r="Q2877">
        <f>IFERROR(1/(IF(Inputs!$B$38="pvp",15,MAX(0.1,Skills!E21-IF(Skills!F21=TRUE,1.5,0)))*(1-IF(AND(ArtifactsInput!$M$27,Inputs!$B$4="Chapter Hunt"),CHOOSE(ArtifactsInput!$N$27+1,20,24,28,32,36,40),0)/100)),0)</f>
        <v/>
      </c>
      <c r="R2877" t="n">
        <v>0</v>
      </c>
      <c r="S2877" t="n">
        <v>0</v>
      </c>
      <c r="U2877" t="n">
        <v>0</v>
      </c>
    </row>
    <row r="2878">
      <c r="A2878">
        <f>Skills!A22</f>
        <v/>
      </c>
      <c r="B2878">
        <f>Skills!B22</f>
        <v/>
      </c>
      <c r="C2878">
        <f>TRUE</f>
        <v/>
      </c>
      <c r="D2878">
        <f>IF(Skills!C22=1,60+Inputs!$B$25+Inputs!$B$29,IF(Skills!C22=2,90+Inputs!$B$26+Inputs!$B$29,IF(Skills!C22=3,120+Inputs!$B$27+Inputs!$B$29,MAX(0,(Inputs!$B$3-100)*3)+Inputs!$B$28+Inputs!$B$29)))</f>
        <v/>
      </c>
      <c r="E2878">
        <f>INDEX(FactorTable!$B$2:$Y$301, MATCH(ROUND(MIN(300,MAX(1,D2878)),0), FactorTable!$A$2:$A$301,0), Skills!M22+1)</f>
        <v/>
      </c>
      <c r="F2878">
        <f>IF(Skills!N22=TRUE,(Skills!L22/10)*(E2878/1000),Skills!L22/10)+Skills!O22</f>
        <v/>
      </c>
      <c r="G2878">
        <f>Calc!G22</f>
        <v/>
      </c>
      <c r="H2878">
        <f>Calc!H22</f>
        <v/>
      </c>
      <c r="I2878">
        <f>IF(Skills!X22&lt;&gt;"",1+(Skills!X22/10)*(Z2859/1000)/100,1)</f>
        <v/>
      </c>
      <c r="J2878" t="inlineStr"/>
      <c r="K2878" t="inlineStr"/>
      <c r="L2878" t="inlineStr"/>
      <c r="M2878" t="inlineStr"/>
      <c r="N2878" t="inlineStr"/>
      <c r="O2878">
        <f>(1-Summary!$B$11)*S2878+Summary!$B$11*U2878</f>
        <v/>
      </c>
      <c r="P2878">
        <f>IF(B2897=0,0,O2878/B2897)</f>
        <v/>
      </c>
      <c r="Q2878">
        <f>IFERROR(1/(IF(Inputs!$B$38="pvp",15,MAX(0.1,Skills!E22-IF(Skills!F22=TRUE,1.5,0)))*(1-IF(AND(ArtifactsInput!$M$27,Inputs!$B$4="Chapter Hunt"),CHOOSE(ArtifactsInput!$N$27+1,20,24,28,32,36,40),0)/100)),0)</f>
        <v/>
      </c>
      <c r="R2878" t="n">
        <v>0</v>
      </c>
      <c r="S2878" t="n">
        <v>0</v>
      </c>
      <c r="U2878" t="n">
        <v>0</v>
      </c>
    </row>
    <row r="2879">
      <c r="A2879">
        <f>Skills!A23</f>
        <v/>
      </c>
      <c r="B2879">
        <f>Skills!B23</f>
        <v/>
      </c>
      <c r="C2879">
        <f>TRUE</f>
        <v/>
      </c>
      <c r="D2879">
        <f>IF(Skills!C23=1,60+Inputs!$B$25+Inputs!$B$29,IF(Skills!C23=2,90+Inputs!$B$26+Inputs!$B$29,IF(Skills!C23=3,120+Inputs!$B$27+Inputs!$B$29,MAX(0,(Inputs!$B$3-100)*3)+Inputs!$B$28+Inputs!$B$29)))</f>
        <v/>
      </c>
      <c r="E2879">
        <f>INDEX(FactorTable!$B$2:$Y$301, MATCH(ROUND(MIN(300,MAX(1,D2879)),0), FactorTable!$A$2:$A$301,0), Skills!M23+1)</f>
        <v/>
      </c>
      <c r="F2879">
        <f>IF(Skills!N23=TRUE,(Skills!L23/10)*(E2879/1000),Skills!L23/10)+Skills!O23</f>
        <v/>
      </c>
      <c r="G2879">
        <f>Calc!G23</f>
        <v/>
      </c>
      <c r="H2879">
        <f>Calc!H23</f>
        <v/>
      </c>
      <c r="I2879">
        <f>IF(Skills!X23&lt;&gt;"",1+(Skills!X23/10)*(Z2859/1000)/100,1)</f>
        <v/>
      </c>
      <c r="J2879" t="inlineStr"/>
      <c r="K2879" t="inlineStr"/>
      <c r="L2879" t="inlineStr"/>
      <c r="M2879" t="inlineStr"/>
      <c r="N2879" t="inlineStr"/>
      <c r="O2879">
        <f>(1-Summary!$B$11)*S2879+Summary!$B$11*U2879</f>
        <v/>
      </c>
      <c r="P2879">
        <f>IF(B2897=0,0,O2879/B2897)</f>
        <v/>
      </c>
      <c r="Q2879">
        <f>IFERROR(1/(IF(Inputs!$B$38="pvp",15,MAX(0.1,Skills!E23-IF(Skills!F23=TRUE,1.5,0)))*(1-IF(AND(ArtifactsInput!$M$27,Inputs!$B$4="Chapter Hunt"),CHOOSE(ArtifactsInput!$N$27+1,20,24,28,32,36,40),0)/100)),0)</f>
        <v/>
      </c>
      <c r="R2879" t="n">
        <v>0</v>
      </c>
      <c r="S2879" t="n">
        <v>0</v>
      </c>
      <c r="U2879" t="n">
        <v>0</v>
      </c>
    </row>
    <row r="2880">
      <c r="A2880">
        <f>Skills!A24</f>
        <v/>
      </c>
      <c r="B2880">
        <f>Skills!B24</f>
        <v/>
      </c>
      <c r="C2880">
        <f>Inputs!$B$3&gt;=115</f>
        <v/>
      </c>
      <c r="D2880">
        <f>IF(Skills!C24=1,60+Inputs!$B$25+Inputs!$B$29,IF(Skills!C24=2,90+Inputs!$B$26+Inputs!$B$29,IF(Skills!C24=3,120+Inputs!$B$27+Inputs!$B$29,MAX(0,(Inputs!$B$3-100)*3)+Inputs!$B$28+Inputs!$B$29)))</f>
        <v/>
      </c>
      <c r="E2880">
        <f>INDEX(FactorTable!$B$2:$Y$301, MATCH(ROUND(MIN(300,MAX(1,D2880)),0), FactorTable!$A$2:$A$301,0), Skills!M24+1)</f>
        <v/>
      </c>
      <c r="F2880">
        <f>IF(Skills!N24=TRUE,(Skills!L24/10)*(E2880/1000),Skills!L24/10)+Skills!O24</f>
        <v/>
      </c>
      <c r="G2880">
        <f>Calc!G24</f>
        <v/>
      </c>
      <c r="H2880">
        <f>Calc!H24</f>
        <v/>
      </c>
      <c r="I2880">
        <f>IF(Skills!X24&lt;&gt;"",1+(Skills!X24/10)*(Z2859/1000)/100,1)</f>
        <v/>
      </c>
      <c r="J2880">
        <f>((Inputs!$B$6*(1+Inputs!$B$7/100))+(((Inputs!$B$12*(1+Inputs!$B$13/100))-(Inputs!$B$12*(1+Inputs!$B$13/100)))+0.25*(Inputs!$B$14-Inputs!$B$14))*(1+Inputs!$B$7/100))*(F2880/100)</f>
        <v/>
      </c>
      <c r="K2880">
        <f>J2880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2880)</f>
        <v/>
      </c>
      <c r="L2880">
        <f>K2880*(MIN(Inputs!$B$22+(F2878-Calc!F22),(Inputs!$B$23+(IF(ArtifactsInput!$M$15,CHOOSE(ArtifactsInput!$N$15+1,25,30,35,40,45,50)/100*(Inputs!$B$11-Inputs!$B$11),0))))/100+(Inputs!$B$23+(IF(ArtifactsInput!$M$15,CHOOSE(ArtifactsInput!$N$15+1,25,30,35,40,45,50)/100*(Inputs!$B$11-Inputs!$B$11),0)))/100)/2</f>
        <v/>
      </c>
      <c r="M2880">
        <f>L2880*(1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0">
        <f>L2880*(1-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2880*(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0">
        <f>(1-Summary!$B$11)*S2880+Summary!$B$11*U2880</f>
        <v/>
      </c>
      <c r="P2880">
        <f>IF(B2897=0,0,O2880/B2897)</f>
        <v/>
      </c>
      <c r="Q2880">
        <f>IFERROR(1/(IF(Inputs!$B$38="pvp",15,MAX(0.1,Skills!E24-IF(Skills!F24=TRUE,1.5,0)))*(1-IF(AND(ArtifactsInput!$M$27,Inputs!$B$4="Chapter Hunt"),CHOOSE(ArtifactsInput!$N$27+1,20,24,28,32,36,40),0)/100)),0)</f>
        <v/>
      </c>
      <c r="R2880">
        <f>IF(AND(Inputs!$B$38&lt;&gt;"pvp",Inputs!$B$43&gt;0),IF(MAX(0,Inputs!$B$43-B2894)&lt;=0,0,(INT(MAX(0,Inputs!$B$43-B2894)/(IF(Inputs!$B$38="pvp",15,MAX(0.1,Skills!E24-IF(Skills!F24=TRUE,1.5,0)))*(1-IF(AND(ArtifactsInput!$M$27,Inputs!$B$4="Chapter Hunt"),CHOOSE(ArtifactsInput!$N$27+1,20,24,28,32,36,40),0)/100)))+1)),0)</f>
        <v/>
      </c>
      <c r="S2880">
        <f>IF(C2880,(H2880*N2880*IF(AND(Inputs!$B$38&lt;&gt;"pvp",Inputs!$B$43&gt;0),((Skills!G24*((R2880-1)*IF(Skills!H24&gt;0,Skills!I24/Skills!H24,1)+IF(Skills!H24&gt;0,MIN(Skills!I24,MAX(0,MAX(0,Inputs!$B$43-B2894)-((R2880-1)*(IF(Inputs!$B$38="pvp",15,MAX(0.1,Skills!E24-IF(Skills!F24=TRUE,1.5,0)))*(1-IF(AND(ArtifactsInput!$M$27,Inputs!$B$4="Chapter Hunt"),CHOOSE(ArtifactsInput!$N$27+1,20,24,28,32,36,40),0)/100)))))/Skills!H24,1)))/Inputs!$B$43),G2880*Q2880)*(1+IF(Inputs!$B$3&gt;=130,0.2*(Skills!I16/Skills!E15+IF(Inputs!$B$3&gt;=126,0.05*(B2892+Q2869+(H2870*B2893)/(1+Skills!H14*H2870*B2893)+Q2880)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2880*(1-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2880*(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2880*(1-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2880*(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0">
        <f>IF(C2880,(H2880*N2880*IF(AND(Inputs!$B$38&lt;&gt;"pvp",Inputs!$B$43&gt;0),((Skills!G24*((R2880-1)*IF(Skills!H24&gt;0,Skills!I24/Skills!H24,1)+IF(Skills!H24&gt;0,MIN(Skills!I24,MAX(0,MAX(0,Inputs!$B$43-B2894)-((R2880-1)*(IF(Inputs!$B$38="pvp",15,MAX(0.1,Skills!E24-IF(Skills!F24=TRUE,1.5,0)))*(1-IF(AND(ArtifactsInput!$M$27,Inputs!$B$4="Chapter Hunt"),CHOOSE(ArtifactsInput!$N$27+1,20,24,28,32,36,40),0)/100)))))/Skills!H24,1)))/Inputs!$B$43),G2880*Q2880)*(1+IF(Inputs!$B$3&gt;=130,0.2*(Skills!I16/Skills!E15+IF(Inputs!$B$3&gt;=126,0.05*(B2892+Q2869+(H2870*B2893)/(1+Skills!H14*H2870*B2893)+Q2880)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1">
      <c r="A2881">
        <f>Skills!A25</f>
        <v/>
      </c>
      <c r="B2881">
        <f>Skills!B25</f>
        <v/>
      </c>
      <c r="C2881">
        <f>Inputs!$B$3&gt;=117</f>
        <v/>
      </c>
      <c r="D2881">
        <f>IF(Skills!C25=1,60+Inputs!$B$25+Inputs!$B$29,IF(Skills!C25=2,90+Inputs!$B$26+Inputs!$B$29,IF(Skills!C25=3,120+Inputs!$B$27+Inputs!$B$29,MAX(0,(Inputs!$B$3-100)*3)+Inputs!$B$28+Inputs!$B$29)))</f>
        <v/>
      </c>
      <c r="E2881">
        <f>INDEX(FactorTable!$B$2:$Y$301, MATCH(ROUND(MIN(300,MAX(1,D2881)),0), FactorTable!$A$2:$A$301,0), Skills!M25+1)</f>
        <v/>
      </c>
      <c r="F2881">
        <f>IF(Skills!N25=TRUE,(Skills!L25/10)*(E2881/1000),Skills!L25/10)+Skills!O25</f>
        <v/>
      </c>
      <c r="G2881">
        <f>Calc!G25</f>
        <v/>
      </c>
      <c r="H2881">
        <f>Calc!H25</f>
        <v/>
      </c>
      <c r="I2881">
        <f>IF(Skills!X25&lt;&gt;"",1+(Skills!X25/10)*(Z2859/1000)/100,1)</f>
        <v/>
      </c>
      <c r="J2881" t="inlineStr"/>
      <c r="K2881" t="inlineStr"/>
      <c r="L2881" t="inlineStr"/>
      <c r="M2881" t="inlineStr"/>
      <c r="N2881" t="inlineStr"/>
      <c r="O2881">
        <f>(1-Summary!$B$11)*S2881+Summary!$B$11*U2881</f>
        <v/>
      </c>
      <c r="P2881">
        <f>IF(B2897=0,0,O2881/B2897)</f>
        <v/>
      </c>
      <c r="Q2881">
        <f>IFERROR(1/(IF(Inputs!$B$38="pvp",15,MAX(0.1,Skills!E25-IF(Skills!F25=TRUE,1.5,0)))*(1-IF(AND(ArtifactsInput!$M$27,Inputs!$B$4="Chapter Hunt"),CHOOSE(ArtifactsInput!$N$27+1,20,24,28,32,36,40),0)/100)),0)</f>
        <v/>
      </c>
      <c r="R2881" t="n">
        <v>0</v>
      </c>
      <c r="S2881" t="n">
        <v>0</v>
      </c>
      <c r="U2881" t="n">
        <v>0</v>
      </c>
    </row>
    <row r="2882">
      <c r="A2882">
        <f>Skills!A26</f>
        <v/>
      </c>
      <c r="B2882">
        <f>Skills!B26</f>
        <v/>
      </c>
      <c r="C2882">
        <f>Inputs!$B$3&gt;=120</f>
        <v/>
      </c>
      <c r="D2882">
        <f>IF(Skills!C26=1,60+Inputs!$B$25+Inputs!$B$29,IF(Skills!C26=2,90+Inputs!$B$26+Inputs!$B$29,IF(Skills!C26=3,120+Inputs!$B$27+Inputs!$B$29,MAX(0,(Inputs!$B$3-100)*3)+Inputs!$B$28+Inputs!$B$29)))</f>
        <v/>
      </c>
      <c r="E2882">
        <f>INDEX(FactorTable!$B$2:$Y$301, MATCH(ROUND(MIN(300,MAX(1,D2882)),0), FactorTable!$A$2:$A$301,0), Skills!M26+1)</f>
        <v/>
      </c>
      <c r="F2882">
        <f>IF(Skills!N26=TRUE,(Skills!L26/10)*(E2882/1000),Skills!L26/10)+Skills!O26</f>
        <v/>
      </c>
      <c r="G2882">
        <f>Calc!G26</f>
        <v/>
      </c>
      <c r="H2882">
        <f>Calc!H26</f>
        <v/>
      </c>
      <c r="I2882">
        <f>IF(Skills!X26&lt;&gt;"",1+(Skills!X26/10)*(Z2859/1000)/100,1)</f>
        <v/>
      </c>
      <c r="J2882" t="inlineStr"/>
      <c r="K2882" t="inlineStr"/>
      <c r="L2882" t="inlineStr"/>
      <c r="M2882" t="inlineStr"/>
      <c r="N2882" t="inlineStr"/>
      <c r="O2882">
        <f>(1-Summary!$B$11)*S2882+Summary!$B$11*U2882</f>
        <v/>
      </c>
      <c r="P2882">
        <f>IF(B2897=0,0,O2882/B2897)</f>
        <v/>
      </c>
      <c r="Q2882">
        <f>IFERROR(1/(IF(Inputs!$B$38="pvp",15,MAX(0.1,Skills!E26-IF(Skills!F26=TRUE,1.5,0)))*(1-IF(AND(ArtifactsInput!$M$27,Inputs!$B$4="Chapter Hunt"),CHOOSE(ArtifactsInput!$N$27+1,20,24,28,32,36,40),0)/100)),0)</f>
        <v/>
      </c>
      <c r="R2882" t="n">
        <v>0</v>
      </c>
      <c r="S2882" t="n">
        <v>0</v>
      </c>
      <c r="U2882" t="n">
        <v>0</v>
      </c>
    </row>
    <row r="2883">
      <c r="A2883">
        <f>Skills!A27</f>
        <v/>
      </c>
      <c r="B2883">
        <f>Skills!B27</f>
        <v/>
      </c>
      <c r="C2883">
        <f>Inputs!$B$3&gt;=125</f>
        <v/>
      </c>
      <c r="D2883">
        <f>IF(Skills!C27=1,60+Inputs!$B$25+Inputs!$B$29,IF(Skills!C27=2,90+Inputs!$B$26+Inputs!$B$29,IF(Skills!C27=3,120+Inputs!$B$27+Inputs!$B$29,MAX(0,(Inputs!$B$3-100)*3)+Inputs!$B$28+Inputs!$B$29)))</f>
        <v/>
      </c>
      <c r="E2883">
        <f>INDEX(FactorTable!$B$2:$Y$301, MATCH(ROUND(MIN(300,MAX(1,D2883)),0), FactorTable!$A$2:$A$301,0), Skills!M27+1)</f>
        <v/>
      </c>
      <c r="F2883">
        <f>IF(Skills!N27=TRUE,(Skills!L27/10)*(E2883/1000),Skills!L27/10)+Skills!O27</f>
        <v/>
      </c>
      <c r="G2883">
        <f>Calc!G27</f>
        <v/>
      </c>
      <c r="H2883">
        <f>Calc!H27</f>
        <v/>
      </c>
      <c r="I2883">
        <f>IF(Skills!X27&lt;&gt;"",1+(Skills!X27/10)*(Z2859/1000)/100,1)</f>
        <v/>
      </c>
      <c r="J2883" t="inlineStr"/>
      <c r="K2883" t="inlineStr"/>
      <c r="L2883" t="inlineStr"/>
      <c r="M2883" t="inlineStr"/>
      <c r="N2883" t="inlineStr"/>
      <c r="O2883">
        <f>(1-Summary!$B$11)*S2883+Summary!$B$11*U2883</f>
        <v/>
      </c>
      <c r="P2883">
        <f>IF(B2897=0,0,O2883/B2897)</f>
        <v/>
      </c>
      <c r="Q2883">
        <f>IFERROR(1/(IF(Inputs!$B$38="pvp",15,MAX(0.1,Skills!E27-IF(Skills!F27=TRUE,1.5,0)))*(1-IF(AND(ArtifactsInput!$M$27,Inputs!$B$4="Chapter Hunt"),CHOOSE(ArtifactsInput!$N$27+1,20,24,28,32,36,40),0)/100)),0)</f>
        <v/>
      </c>
      <c r="R2883" t="n">
        <v>0</v>
      </c>
      <c r="S2883" t="n">
        <v>0</v>
      </c>
      <c r="U2883" t="n">
        <v>0</v>
      </c>
    </row>
    <row r="2884">
      <c r="A2884">
        <f>Skills!A28</f>
        <v/>
      </c>
      <c r="B2884">
        <f>Skills!B28</f>
        <v/>
      </c>
      <c r="C2884">
        <f>Inputs!$B$3&gt;=118</f>
        <v/>
      </c>
      <c r="D2884">
        <f>IF(Skills!C28=1,60+Inputs!$B$25+Inputs!$B$29,IF(Skills!C28=2,90+Inputs!$B$26+Inputs!$B$29,IF(Skills!C28=3,120+Inputs!$B$27+Inputs!$B$29,MAX(0,(Inputs!$B$3-100)*3)+Inputs!$B$28+Inputs!$B$29)))</f>
        <v/>
      </c>
      <c r="E2884">
        <f>INDEX(FactorTable!$B$2:$Y$301, MATCH(ROUND(MIN(300,MAX(1,D2884)),0), FactorTable!$A$2:$A$301,0), Skills!M28+1)</f>
        <v/>
      </c>
      <c r="F2884">
        <f>IF(Skills!N28=TRUE,(Skills!L28/10)*(E2884/1000),Skills!L28/10)+Skills!O28</f>
        <v/>
      </c>
      <c r="G2884">
        <f>Calc!G28</f>
        <v/>
      </c>
      <c r="H2884">
        <f>Calc!H28</f>
        <v/>
      </c>
      <c r="I2884">
        <f>IF(Skills!X28&lt;&gt;"",1+(Skills!X28/10)*(Z2859/1000)/100,1)</f>
        <v/>
      </c>
      <c r="J2884">
        <f>((Inputs!$B$6*(1+Inputs!$B$7/100))+(((Inputs!$B$12*(1+Inputs!$B$13/100))-(Inputs!$B$12*(1+Inputs!$B$13/100)))+0.25*(Inputs!$B$14-Inputs!$B$14))*(1+Inputs!$B$7/100))*(F2884/100)</f>
        <v/>
      </c>
      <c r="K2884">
        <f>J2884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2879/100)*(1+IF(Inputs!$B$3&gt;=120,F2882,0)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2883*5,0)))/100)*(B2886*B2887*B2888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2884)</f>
        <v/>
      </c>
      <c r="L2884">
        <f>K2884*(MIN(Inputs!$B$22+(F2878-Calc!F22),(Inputs!$B$23+(IF(ArtifactsInput!$M$15,CHOOSE(ArtifactsInput!$N$15+1,25,30,35,40,45,50)/100*(Inputs!$B$11-Inputs!$B$11),0))))/100+(Inputs!$B$23+(IF(ArtifactsInput!$M$15,CHOOSE(ArtifactsInput!$N$15+1,25,30,35,40,45,50)/100*(Inputs!$B$11-Inputs!$B$11),0)))/100)/2</f>
        <v/>
      </c>
      <c r="M2884">
        <f>L2884*(1+(Inputs!$B$10+(F2877-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4">
        <f>L2884*(1-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2884*(MIN((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4">
        <f>(1-Summary!$B$11)*S2884+Summary!$B$11*U2884</f>
        <v/>
      </c>
      <c r="P2884">
        <f>IF(B2897=0,0,O2884/B2897)</f>
        <v/>
      </c>
      <c r="Q2884">
        <f>IFERROR(1/(IF(Inputs!$B$38="pvp",15,MAX(0.1,Skills!E28-IF(Skills!F28=TRUE,1.5,0)))*(1-IF(AND(ArtifactsInput!$M$27,Inputs!$B$4="Chapter Hunt"),CHOOSE(ArtifactsInput!$N$27+1,20,24,28,32,36,40),0)/100)),0)</f>
        <v/>
      </c>
      <c r="R2884">
        <f>IF(AND(Inputs!$B$38&lt;&gt;"pvp",Inputs!$B$43&gt;0),IF(MAX(0,Inputs!$B$43-B2894)&lt;=0,0,(INT(MAX(0,Inputs!$B$43-B2894)/(IF(Inputs!$B$38="pvp",15,MAX(0.1,Skills!E28-IF(Skills!F28=TRUE,1.5,0)))*(1-IF(AND(ArtifactsInput!$M$27,Inputs!$B$4="Chapter Hunt"),CHOOSE(ArtifactsInput!$N$27+1,20,24,28,32,36,40),0)/100)))+1)),0)</f>
        <v/>
      </c>
      <c r="S2884">
        <f>IF(C2884,(H2884*N2884*IF(AND(Inputs!$B$38&lt;&gt;"pvp",Inputs!$B$43&gt;0),((Skills!G28*((R2884-1)*IF(Skills!H28&gt;0,Skills!I28/Skills!H28,1)+IF(Skills!H28&gt;0,MIN(Skills!I28,MAX(0,MAX(0,Inputs!$B$43-B2894)-((R2884-1)*(IF(Inputs!$B$38="pvp",15,MAX(0.1,Skills!E28-IF(Skills!F28=TRUE,1.5,0)))*(1-IF(AND(ArtifactsInput!$M$27,Inputs!$B$4="Chapter Hunt"),CHOOSE(ArtifactsInput!$N$27+1,20,24,28,32,36,40),0)/100)))))/Skills!H28,1)))/Inputs!$B$43),G2884*Q2884)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2884*(1-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2884*(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2884*(1-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2884*(MIN(100,(Inputs!$B$9+(F2876-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4">
        <f>IF(C2884,(H2884*N2884*IF(AND(Inputs!$B$38&lt;&gt;"pvp",Inputs!$B$43&gt;0),((Skills!G28*((R2884-1)*IF(Skills!H28&gt;0,Skills!I28/Skills!H28,1)+IF(Skills!H28&gt;0,MIN(Skills!I28,MAX(0,MAX(0,Inputs!$B$43-B2894)-((R2884-1)*(IF(Inputs!$B$38="pvp",15,MAX(0.1,Skills!E28-IF(Skills!F28=TRUE,1.5,0)))*(1-IF(AND(ArtifactsInput!$M$27,Inputs!$B$4="Chapter Hunt"),CHOOSE(ArtifactsInput!$N$27+1,20,24,28,32,36,40),0)/100)))))/Skills!H28,1)))/Inputs!$B$43),G2884*Q2884)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6">
      <c r="A2886" t="inlineStr">
        <is>
          <t>Burning Magic Multiplier</t>
        </is>
      </c>
      <c r="B2886">
        <f>1+(F2867*Skills!Z11)/100</f>
        <v/>
      </c>
    </row>
    <row r="2887">
      <c r="A2887" t="inlineStr">
        <is>
          <t>Elemental Decrease Multiplier (always-on)</t>
        </is>
      </c>
      <c r="B2887">
        <f>1+(F2868+(IF(AND(ArtifactsInput!$M$35,Inputs!$B$4&lt;&gt;"Chapter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100</f>
        <v/>
      </c>
    </row>
    <row r="2888">
      <c r="A2888" t="inlineStr">
        <is>
          <t>Average Buff Multiplier (Magic Guard + Meditation + Artifact Attack%, summed; then Infinity)</t>
        </is>
      </c>
      <c r="B2888">
        <f>(1+(F2862*IF(AND(Inputs!$B$38&lt;&gt;"pvp",Inputs!$B$43&gt;0),(((R2862-1)*(Skills!T6*(1+((Inputs!$B$34+(ArtifactsInput!$M$7-ArtifactsInput!$M$7)*CHOOSE(ArtifactsInput!$N$7+1,6,7.2,8.4,9.6,10.8,12)))/100))+MIN((Skills!T6*(1+((Inputs!$B$34+(ArtifactsInput!$M$7-ArtifactsInput!$M$7)*CHOOSE(ArtifactsInput!$N$7+1,6,7.2,8.4,9.6,10.8,12)))/100)),MAX(0,Inputs!$B$43-((R2862-1)*Skills!E6))))/Inputs!$B$43),IF(Inputs!$B$38="pvp",MIN((Skills!T6*(1+((Inputs!$B$34+(ArtifactsInput!$M$7-ArtifactsInput!$M$7)*CHOOSE(ArtifactsInput!$N$7+1,6,7.2,8.4,9.6,10.8,12)))/100)),15)/15,(Skills!T6*(1+((Inputs!$B$34+(ArtifactsInput!$M$7-ArtifactsInput!$M$7)*CHOOSE(ArtifactsInput!$N$7+1,6,7.2,8.4,9.6,10.8,12)))/100))/Skills!E6))+F2873*IF(AND(Inputs!$B$38&lt;&gt;"pvp",Inputs!$B$43&gt;0),(((R2873-1)*(Skills!T17*(1+((Inputs!$B$34+(ArtifactsInput!$M$7-ArtifactsInput!$M$7)*CHOOSE(ArtifactsInput!$N$7+1,6,7.2,8.4,9.6,10.8,12)))/100))+MIN((Skills!T17*(1+((Inputs!$B$34+(ArtifactsInput!$M$7-ArtifactsInput!$M$7)*CHOOSE(ArtifactsInput!$N$7+1,6,7.2,8.4,9.6,10.8,12)))/100)),MAX(0,Inputs!$B$43-((R2873-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2875=TRUE,(1+F2875*IF(AND(Inputs!$B$38&lt;&gt;"pvp",Inputs!$B$43&gt;0),(((R2875-1)*(Skills!T19*(1+((Inputs!$B$34+(ArtifactsInput!$M$7-ArtifactsInput!$M$7)*CHOOSE(ArtifactsInput!$N$7+1,6,7.2,8.4,9.6,10.8,12)))/100))+MIN((Skills!T19*(1+((Inputs!$B$34+(ArtifactsInput!$M$7-ArtifactsInput!$M$7)*CHOOSE(ArtifactsInput!$N$7+1,6,7.2,8.4,9.6,10.8,12)))/100)),MAX(0,Inputs!$B$43-((R2875-1)*Skills!E19))))/Inputs!$B$43),IF(Inputs!$B$38="pvp",MIN((Skills!T19*(1+((Inputs!$B$34+(ArtifactsInput!$M$7-ArtifactsInput!$M$7)*CHOOSE(ArtifactsInput!$N$7+1,6,7.2,8.4,9.6,10.8,12)))/100)),15)/15,(Skills!T19*(1+((Inputs!$B$34+(ArtifactsInput!$M$7-ArtifactsInput!$M$7)*CHOOSE(ArtifactsInput!$N$7+1,6,7.2,8.4,9.6,10.8,12)))/100))/Skills!E19))/100),1)</f>
        <v/>
      </c>
    </row>
    <row r="2889">
      <c r="A2889" t="inlineStr">
        <is>
          <t>Attack Speed Buff Bonus % (Nimble Feet, averaged)</t>
        </is>
      </c>
      <c r="B2889">
        <f>F2874*IF(AND(Inputs!$B$38&lt;&gt;"pvp",Inputs!$B$43&gt;0),(((R2874-1)*(Skills!T18*(1+((Inputs!$B$34+(ArtifactsInput!$M$7-ArtifactsInput!$M$7)*CHOOSE(ArtifactsInput!$N$7+1,6,7.2,8.4,9.6,10.8,12)))/100))+MIN((Skills!T18*(1+((Inputs!$B$34+(ArtifactsInput!$M$7-ArtifactsInput!$M$7)*CHOOSE(ArtifactsInput!$N$7+1,6,7.2,8.4,9.6,10.8,12)))/100)),MAX(0,Inputs!$B$43-((R2874-1)*Skills!E18))))/Inputs!$B$43),IF(Inputs!$B$38="pvp",MIN((Skills!T18*(1+((Inputs!$B$34+(ArtifactsInput!$M$7-ArtifactsInput!$M$7)*CHOOSE(ArtifactsInput!$N$7+1,6,7.2,8.4,9.6,10.8,12)))/100)),15)/15,(Skills!T18*(1+((Inputs!$B$34+(ArtifactsInput!$M$7-ArtifactsInput!$M$7)*CHOOSE(ArtifactsInput!$N$7+1,6,7.2,8.4,9.6,10.8,12)))/100))/Skills!E18))</f>
        <v/>
      </c>
    </row>
    <row r="2890">
      <c r="A2890" t="inlineStr">
        <is>
          <t>Actions Per Second</t>
        </is>
      </c>
      <c r="B2890">
        <f>1+MIN(150,150*(1-(1-(Inputs!$B$11+(ArtifactsInput!$M$15-ArtifactsInput!$M$15)*CHOOSE(ArtifactsInput!$N$15+1,8,9.6,11.2,12.8,14.4,16))/150)*(1-B2889/150)))/100</f>
        <v/>
      </c>
    </row>
    <row r="2891">
      <c r="A2891" t="inlineStr">
        <is>
          <t>Skill + Buff Cast Rate</t>
        </is>
      </c>
      <c r="B2891">
        <f>IF(AND(Inputs!$B$38&lt;&gt;"pvp",Inputs!$B$43&gt;0),SUMPRODUCT((Skills!F2:F28=TRUE)*(C2858:C2884=TRUE)*R2858:R2884)/Inputs!$B$43,SUMPRODUCT((Skills!F2:F28=TRUE)*(C2858:C2884=TRUE)*Q2858:Q2884))</f>
        <v/>
      </c>
    </row>
    <row r="2892">
      <c r="A2892" t="inlineStr">
        <is>
          <t>Basic Attacks Per Second</t>
        </is>
      </c>
      <c r="B2892">
        <f>MAX(0,B2890-B2891)</f>
        <v/>
      </c>
    </row>
    <row r="2893">
      <c r="A2893" t="inlineStr">
        <is>
          <t>Meteor Proc — combined trigger cast rate</t>
        </is>
      </c>
      <c r="B2893">
        <f>IF(AND(Inputs!$B$38&lt;&gt;"pvp",Inputs!$B$43&gt;0),SUMPRODUCT((Skills!V2:V28=TRUE)*(C2858:C2884=TRUE)*R2858:R2884*Skills!W2:W28)/Inputs!$B$43,SUMPRODUCT((Skills!V2:V28=TRUE)*(C2858:C2884=TRUE)*Q2858:Q2884*Skills!W2:W28))+B2892</f>
        <v/>
      </c>
    </row>
    <row r="2894">
      <c r="A2894" t="inlineStr">
        <is>
          <t>Buff-Casting Startup Delay (s, fixed-duration only)</t>
        </is>
      </c>
      <c r="B2894">
        <f>IF(AND(Inputs!$B$38&lt;&gt;"pvp",Inputs!$B$43&gt;0),SUMPRODUCT((Skills!T2:T28&gt;0)*(Skills!F2:F28=TRUE)*(C2858:C2884=TRUE))/B2890,0)</f>
        <v/>
      </c>
    </row>
    <row r="2895">
      <c r="A2895" t="inlineStr">
        <is>
          <t>Boss-Only Total DPS (this block's swept value)</t>
        </is>
      </c>
      <c r="B2895">
        <f>SUM(S2858:S2884)</f>
        <v/>
      </c>
    </row>
    <row r="2896">
      <c r="A2896" t="inlineStr">
        <is>
          <t>Normal-Only Total DPS (this block's swept value)</t>
        </is>
      </c>
      <c r="B2896">
        <f>SUM(U2858:U2884)</f>
        <v/>
      </c>
    </row>
    <row r="2897">
      <c r="A2897" s="6" t="inlineStr">
        <is>
          <t>TOTAL DPS</t>
        </is>
      </c>
      <c r="B2897" s="6">
        <f>SUM(O2858:O2884)</f>
        <v/>
      </c>
    </row>
    <row r="2900">
      <c r="A2900" s="6" t="inlineStr">
        <is>
          <t>Stat: CDR = 2.0s</t>
        </is>
      </c>
    </row>
    <row r="2901">
      <c r="A2901" s="5" t="inlineStr">
        <is>
          <t>Key</t>
        </is>
      </c>
      <c r="B2901" s="5" t="inlineStr">
        <is>
          <t>Name</t>
        </is>
      </c>
      <c r="C2901" s="5" t="inlineStr">
        <is>
          <t>Unlocked</t>
        </is>
      </c>
      <c r="D2901" s="5" t="inlineStr">
        <is>
          <t>InputLevel</t>
        </is>
      </c>
      <c r="E2901" s="5" t="inlineStr">
        <is>
          <t>Factor</t>
        </is>
      </c>
      <c r="F2901" s="5" t="inlineStr">
        <is>
          <t>CoefficientPercent</t>
        </is>
      </c>
      <c r="G2901" s="5" t="inlineStr">
        <is>
          <t>EffectiveHits</t>
        </is>
      </c>
      <c r="H2901" s="5" t="inlineStr">
        <is>
          <t>ProcProbability</t>
        </is>
      </c>
      <c r="I2901" s="5" t="inlineStr">
        <is>
          <t>MapleHeroMultiplier</t>
        </is>
      </c>
      <c r="J2901" s="5" t="inlineStr">
        <is>
          <t>BaseDamage</t>
        </is>
      </c>
      <c r="K2901" s="5" t="inlineStr">
        <is>
          <t>BaseHitDamage</t>
        </is>
      </c>
      <c r="L2901" s="5" t="inlineStr">
        <is>
          <t>NonCritAvg</t>
        </is>
      </c>
      <c r="M2901" s="5" t="inlineStr">
        <is>
          <t>CritAvg</t>
        </is>
      </c>
      <c r="N2901" s="5" t="inlineStr">
        <is>
          <t>ExpectedDamage(perHit)</t>
        </is>
      </c>
      <c r="O2901" s="5" t="inlineStr">
        <is>
          <t>DPS</t>
        </is>
      </c>
      <c r="P2901" s="5" t="inlineStr">
        <is>
          <t>% of Total</t>
        </is>
      </c>
      <c r="R2901" t="inlineStr">
        <is>
          <t>helpers</t>
        </is>
      </c>
    </row>
    <row r="2902">
      <c r="A2902">
        <f>Skills!A2</f>
        <v/>
      </c>
      <c r="B2902">
        <f>Skills!B2</f>
        <v/>
      </c>
      <c r="C2902">
        <f>TRUE</f>
        <v/>
      </c>
      <c r="D2902" t="inlineStr"/>
      <c r="E2902" t="inlineStr"/>
      <c r="F2902">
        <f>T2904+Skills!O2</f>
        <v/>
      </c>
      <c r="G2902">
        <f>Calc!G2</f>
        <v/>
      </c>
      <c r="H2902">
        <f>Calc!H2</f>
        <v/>
      </c>
      <c r="I2902">
        <f>IF(Skills!X2&lt;&gt;"",1+(Skills!X2/10)*(Z2903/1000)/100,1)</f>
        <v/>
      </c>
      <c r="J2902">
        <f>((Inputs!$B$6*(1+Inputs!$B$7/100))+(((Inputs!$B$12*(1+Inputs!$B$13/100))-(Inputs!$B$12*(1+Inputs!$B$13/100)))+0.25*(Inputs!$B$14-Inputs!$B$14))*(1+Inputs!$B$7/100))*(F2902/100)</f>
        <v/>
      </c>
      <c r="K2902">
        <f>J2902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2902)</f>
        <v/>
      </c>
      <c r="L2902">
        <f>K2902*(MIN(Inputs!$B$22+(F2922-Calc!F22),(Inputs!$B$23+(IF(ArtifactsInput!$M$15,CHOOSE(ArtifactsInput!$N$15+1,25,30,35,40,45,50)/100*(Inputs!$B$11-Inputs!$B$11),0))))/100+(Inputs!$B$23+(IF(ArtifactsInput!$M$15,CHOOSE(ArtifactsInput!$N$15+1,25,30,35,40,45,50)/100*(Inputs!$B$11-Inputs!$B$11),0)))/100)/2</f>
        <v/>
      </c>
      <c r="M2902">
        <f>L2902*(1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2">
        <f>L2902*(1-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2902*(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2">
        <f>(1-Summary!$B$11)*S2902+Summary!$B$11*U2902</f>
        <v/>
      </c>
      <c r="P2902">
        <f>IF(B2941=0,0,O2902/B2941)</f>
        <v/>
      </c>
      <c r="Q2902">
        <f>IFERROR(1/(IF(Inputs!$B$38="pvp",15,MAX(0.1,Skills!E2-IF(Skills!F2=TRUE,2.0,0)))*(1-IF(AND(ArtifactsInput!$M$27,Inputs!$B$4="Chapter Hunt"),CHOOSE(ArtifactsInput!$N$27+1,20,24,28,32,36,40),0)/100)),0)</f>
        <v/>
      </c>
      <c r="R2902" t="n">
        <v>0</v>
      </c>
      <c r="S2902">
        <f>(Skills!G2*N2902*B2936)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2902*(1-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2902*(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2902*(1-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2902*(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902">
        <f>MAX(0,(Inputs!$B$3-100)*3)+Inputs!$B$28+Inputs!$B$29</f>
        <v/>
      </c>
      <c r="U2902">
        <f>(Skills!G2*N2902*B2936)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902">
        <f>MAX(0,(Inputs!$B$3-100)*3)+Inputs!$B$28+Inputs!$B$29</f>
        <v/>
      </c>
    </row>
    <row r="2903">
      <c r="A2903">
        <f>Skills!A3</f>
        <v/>
      </c>
      <c r="B2903">
        <f>Skills!B3</f>
        <v/>
      </c>
      <c r="C2903">
        <f>TRUE</f>
        <v/>
      </c>
      <c r="D2903">
        <f>IF(Skills!C3=1,60+Inputs!$B$25+Inputs!$B$29,IF(Skills!C3=2,90+Inputs!$B$26+Inputs!$B$29,IF(Skills!C3=3,120+Inputs!$B$27+Inputs!$B$29,MAX(0,(Inputs!$B$3-100)*3)+Inputs!$B$28+Inputs!$B$29)))</f>
        <v/>
      </c>
      <c r="E2903">
        <f>INDEX(FactorTable!$B$2:$Y$301, MATCH(ROUND(MIN(300,MAX(1,D2903)),0), FactorTable!$A$2:$A$301,0), Skills!M3+1)</f>
        <v/>
      </c>
      <c r="F2903">
        <f>IF(Skills!N3=TRUE,(Skills!L3/10)*(E2903/1000),Skills!L3/10)+Skills!O3</f>
        <v/>
      </c>
      <c r="G2903">
        <f>Calc!G3</f>
        <v/>
      </c>
      <c r="H2903">
        <f>Calc!H3</f>
        <v/>
      </c>
      <c r="I2903">
        <f>IF(Skills!X3&lt;&gt;"",1+(Skills!X3/10)*(Z2903/1000)/100,1)</f>
        <v/>
      </c>
      <c r="J2903">
        <f>((Inputs!$B$6*(1+Inputs!$B$7/100))+(((Inputs!$B$12*(1+Inputs!$B$13/100))-(Inputs!$B$12*(1+Inputs!$B$13/100)))+0.25*(Inputs!$B$14-Inputs!$B$14))*(1+Inputs!$B$7/100))*(F2903/100)</f>
        <v/>
      </c>
      <c r="K2903">
        <f>J2903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2903)</f>
        <v/>
      </c>
      <c r="L2903">
        <f>K2903*(MIN(Inputs!$B$22+(F2922-Calc!F22),(Inputs!$B$23+(IF(ArtifactsInput!$M$15,CHOOSE(ArtifactsInput!$N$15+1,25,30,35,40,45,50)/100*(Inputs!$B$11-Inputs!$B$11),0))))/100+(Inputs!$B$23+(IF(ArtifactsInput!$M$15,CHOOSE(ArtifactsInput!$N$15+1,25,30,35,40,45,50)/100*(Inputs!$B$11-Inputs!$B$11),0)))/100)/2</f>
        <v/>
      </c>
      <c r="M2903">
        <f>L2903*(1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3">
        <f>L2903*(1-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2903*(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3">
        <f>(1-Summary!$B$11)*S2903+Summary!$B$11*U2903</f>
        <v/>
      </c>
      <c r="P2903">
        <f>IF(B2941=0,0,O2903/B2941)</f>
        <v/>
      </c>
      <c r="Q2903">
        <f>IFERROR(1/(IF(Inputs!$B$38="pvp",15,MAX(0.1,Skills!E3-IF(Skills!F3=TRUE,2.0,0)))*(1-IF(AND(ArtifactsInput!$M$27,Inputs!$B$4="Chapter Hunt"),CHOOSE(ArtifactsInput!$N$27+1,20,24,28,32,36,40),0)/100)),0)</f>
        <v/>
      </c>
      <c r="R2903">
        <f>IF(AND(Inputs!$B$38&lt;&gt;"pvp",Inputs!$B$43&gt;0),IF(MAX(0,Inputs!$B$43-B2938)&lt;=0,0,(INT(MAX(0,Inputs!$B$43-B2938)/(IF(Inputs!$B$38="pvp",15,MAX(0.1,Skills!E3-IF(Skills!F3=TRUE,2.0,0)))*(1-IF(AND(ArtifactsInput!$M$27,Inputs!$B$4="Chapter Hunt"),CHOOSE(ArtifactsInput!$N$27+1,20,24,28,32,36,40),0)/100)))+1)),0)</f>
        <v/>
      </c>
      <c r="S2903">
        <f>IF(C2903,(H2903*N2903*IF(AND(Inputs!$B$38&lt;&gt;"pvp",Inputs!$B$43&gt;0),((Skills!G3*((R2903-1)*IF(Skills!H3&gt;0,Skills!I3/Skills!H3,1)+IF(Skills!H3&gt;0,MIN(Skills!I3,MAX(0,MAX(0,Inputs!$B$43-B2938)-((R2903-1)*(IF(Inputs!$B$38="pvp",15,MAX(0.1,Skills!E3-IF(Skills!F3=TRUE,2.0,0)))*(1-IF(AND(ArtifactsInput!$M$27,Inputs!$B$4="Chapter Hunt"),CHOOSE(ArtifactsInput!$N$27+1,20,24,28,32,36,40),0)/100)))))/Skills!H3,1)))/Inputs!$B$43),G2903*Q2903)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2903*(1-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2903*(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2903*(1-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2903*(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03">
        <f>INDEX(FactorTable!$B$2:$Y$301, MATCH(ROUND(MIN(300,MAX(1,T2902)),0), FactorTable!$A$2:$A$301,0), 22)</f>
        <v/>
      </c>
      <c r="U2903">
        <f>IF(C2903,(H2903*N2903*IF(AND(Inputs!$B$38&lt;&gt;"pvp",Inputs!$B$43&gt;0),((Skills!G3*((R2903-1)*IF(Skills!H3&gt;0,Skills!I3/Skills!H3,1)+IF(Skills!H3&gt;0,MIN(Skills!I3,MAX(0,MAX(0,Inputs!$B$43-B2938)-((R2903-1)*(IF(Inputs!$B$38="pvp",15,MAX(0.1,Skills!E3-IF(Skills!F3=TRUE,2.0,0)))*(1-IF(AND(ArtifactsInput!$M$27,Inputs!$B$4="Chapter Hunt"),CHOOSE(ArtifactsInput!$N$27+1,20,24,28,32,36,40),0)/100)))))/Skills!H3,1)))/Inputs!$B$43),G2903*Q2903)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903">
        <f>INDEX(FactorTable!$B$2:$Y$301, MATCH(ROUND(MIN(300,MAX(1,Z2902)),0), FactorTable!$A$2:$A$301,0), 24)</f>
        <v/>
      </c>
    </row>
    <row r="2904">
      <c r="A2904">
        <f>Skills!A4</f>
        <v/>
      </c>
      <c r="B2904">
        <f>Skills!B4</f>
        <v/>
      </c>
      <c r="C2904">
        <f>TRUE</f>
        <v/>
      </c>
      <c r="D2904">
        <f>IF(Skills!C4=1,60+Inputs!$B$25+Inputs!$B$29,IF(Skills!C4=2,90+Inputs!$B$26+Inputs!$B$29,IF(Skills!C4=3,120+Inputs!$B$27+Inputs!$B$29,MAX(0,(Inputs!$B$3-100)*3)+Inputs!$B$28+Inputs!$B$29)))</f>
        <v/>
      </c>
      <c r="E2904">
        <f>INDEX(FactorTable!$B$2:$Y$301, MATCH(ROUND(MIN(300,MAX(1,D2904)),0), FactorTable!$A$2:$A$301,0), Skills!M4+1)</f>
        <v/>
      </c>
      <c r="F2904">
        <f>IF(Skills!N4=TRUE,(Skills!L4/10)*(E2904/1000),Skills!L4/10)+Skills!O4</f>
        <v/>
      </c>
      <c r="G2904">
        <f>Calc!G4</f>
        <v/>
      </c>
      <c r="H2904">
        <f>Calc!H4</f>
        <v/>
      </c>
      <c r="I2904">
        <f>IF(Skills!X4&lt;&gt;"",1+(Skills!X4/10)*(Z2903/1000)/100,1)</f>
        <v/>
      </c>
      <c r="J2904">
        <f>((Inputs!$B$6*(1+Inputs!$B$7/100))+(((Inputs!$B$12*(1+Inputs!$B$13/100))-(Inputs!$B$12*(1+Inputs!$B$13/100)))+0.25*(Inputs!$B$14-Inputs!$B$14))*(1+Inputs!$B$7/100))*(F2904/100)</f>
        <v/>
      </c>
      <c r="K2904">
        <f>J2904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2904)</f>
        <v/>
      </c>
      <c r="L2904">
        <f>K2904*(MIN(Inputs!$B$22+(F2922-Calc!F22),(Inputs!$B$23+(IF(ArtifactsInput!$M$15,CHOOSE(ArtifactsInput!$N$15+1,25,30,35,40,45,50)/100*(Inputs!$B$11-Inputs!$B$11),0))))/100+(Inputs!$B$23+(IF(ArtifactsInput!$M$15,CHOOSE(ArtifactsInput!$N$15+1,25,30,35,40,45,50)/100*(Inputs!$B$11-Inputs!$B$11),0)))/100)/2</f>
        <v/>
      </c>
      <c r="M2904">
        <f>L2904*(1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4">
        <f>L2904*(1-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2904*(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4">
        <f>(1-Summary!$B$11)*S2904+Summary!$B$11*U2904</f>
        <v/>
      </c>
      <c r="P2904">
        <f>IF(B2941=0,0,O2904/B2941)</f>
        <v/>
      </c>
      <c r="Q2904">
        <f>IFERROR(1/(IF(Inputs!$B$38="pvp",15,MAX(0.1,Skills!E4-IF(Skills!F4=TRUE,2.0,0)))*(1-IF(AND(ArtifactsInput!$M$27,Inputs!$B$4="Chapter Hunt"),CHOOSE(ArtifactsInput!$N$27+1,20,24,28,32,36,40),0)/100)),0)</f>
        <v/>
      </c>
      <c r="R2904">
        <f>IF(AND(Inputs!$B$38&lt;&gt;"pvp",Inputs!$B$43&gt;0),IF(MAX(0,Inputs!$B$43-B2938)&lt;=0,0,(INT(MAX(0,Inputs!$B$43-B2938)/(IF(Inputs!$B$38="pvp",15,MAX(0.1,Skills!E4-IF(Skills!F4=TRUE,2.0,0)))*(1-IF(AND(ArtifactsInput!$M$27,Inputs!$B$4="Chapter Hunt"),CHOOSE(ArtifactsInput!$N$27+1,20,24,28,32,36,40),0)/100)))+1)),0)</f>
        <v/>
      </c>
      <c r="S2904">
        <f>IF(C2904,(H2904*N2904*IF(AND(Inputs!$B$38&lt;&gt;"pvp",Inputs!$B$43&gt;0),((Skills!G4*((R2904-1)*IF(Skills!H4&gt;0,Skills!I4/Skills!H4,1)+IF(Skills!H4&gt;0,MIN(Skills!I4,MAX(0,MAX(0,Inputs!$B$43-B2938)-((R2904-1)*(IF(Inputs!$B$38="pvp",15,MAX(0.1,Skills!E4-IF(Skills!F4=TRUE,2.0,0)))*(1-IF(AND(ArtifactsInput!$M$27,Inputs!$B$4="Chapter Hunt"),CHOOSE(ArtifactsInput!$N$27+1,20,24,28,32,36,40),0)/100)))))/Skills!H4,1)))/Inputs!$B$43),G2904*Q2904)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2904*(1-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2904*(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2904*(1-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2904*(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04">
        <f>290*T2903/1000</f>
        <v/>
      </c>
      <c r="U2904">
        <f>IF(C2904,(H2904*N2904*IF(AND(Inputs!$B$38&lt;&gt;"pvp",Inputs!$B$43&gt;0),((Skills!G4*((R2904-1)*IF(Skills!H4&gt;0,Skills!I4/Skills!H4,1)+IF(Skills!H4&gt;0,MIN(Skills!I4,MAX(0,MAX(0,Inputs!$B$43-B2938)-((R2904-1)*(IF(Inputs!$B$38="pvp",15,MAX(0.1,Skills!E4-IF(Skills!F4=TRUE,2.0,0)))*(1-IF(AND(ArtifactsInput!$M$27,Inputs!$B$4="Chapter Hunt"),CHOOSE(ArtifactsInput!$N$27+1,20,24,28,32,36,40),0)/100)))))/Skills!H4,1)))/Inputs!$B$43),G2904*Q2904)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5">
      <c r="A2905">
        <f>Skills!A5</f>
        <v/>
      </c>
      <c r="B2905">
        <f>Skills!B5</f>
        <v/>
      </c>
      <c r="C2905">
        <f>TRUE</f>
        <v/>
      </c>
      <c r="D2905">
        <f>IF(Skills!C5=1,60+Inputs!$B$25+Inputs!$B$29,IF(Skills!C5=2,90+Inputs!$B$26+Inputs!$B$29,IF(Skills!C5=3,120+Inputs!$B$27+Inputs!$B$29,MAX(0,(Inputs!$B$3-100)*3)+Inputs!$B$28+Inputs!$B$29)))</f>
        <v/>
      </c>
      <c r="E2905">
        <f>INDEX(FactorTable!$B$2:$Y$301, MATCH(ROUND(MIN(300,MAX(1,D2905)),0), FactorTable!$A$2:$A$301,0), Skills!M5+1)</f>
        <v/>
      </c>
      <c r="F2905">
        <f>IF(Skills!N5=TRUE,(Skills!L5/10)*(E2905/1000),Skills!L5/10)+Skills!O5</f>
        <v/>
      </c>
      <c r="G2905">
        <f>Calc!G5</f>
        <v/>
      </c>
      <c r="H2905">
        <f>Calc!H5</f>
        <v/>
      </c>
      <c r="I2905">
        <f>IF(Skills!X5&lt;&gt;"",1+(Skills!X5/10)*(Z2903/1000)/100,1)</f>
        <v/>
      </c>
      <c r="J2905">
        <f>((Inputs!$B$6*(1+Inputs!$B$7/100))+(((Inputs!$B$12*(1+Inputs!$B$13/100))-(Inputs!$B$12*(1+Inputs!$B$13/100)))+0.25*(Inputs!$B$14-Inputs!$B$14))*(1+Inputs!$B$7/100))*(F2905/100)</f>
        <v/>
      </c>
      <c r="K2905">
        <f>J2905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2905)</f>
        <v/>
      </c>
      <c r="L2905">
        <f>K2905*(MIN(Inputs!$B$22+(F2922-Calc!F22),(Inputs!$B$23+(IF(ArtifactsInput!$M$15,CHOOSE(ArtifactsInput!$N$15+1,25,30,35,40,45,50)/100*(Inputs!$B$11-Inputs!$B$11),0))))/100+(Inputs!$B$23+(IF(ArtifactsInput!$M$15,CHOOSE(ArtifactsInput!$N$15+1,25,30,35,40,45,50)/100*(Inputs!$B$11-Inputs!$B$11),0)))/100)/2</f>
        <v/>
      </c>
      <c r="M2905">
        <f>L2905*(1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5">
        <f>L2905*(1-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2905*(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5">
        <f>(1-Summary!$B$11)*S2905+Summary!$B$11*U2905</f>
        <v/>
      </c>
      <c r="P2905">
        <f>IF(B2941=0,0,O2905/B2941)</f>
        <v/>
      </c>
      <c r="Q2905">
        <f>IFERROR(1/(IF(Inputs!$B$38="pvp",15,MAX(0.1,Skills!E5-IF(Skills!F5=TRUE,2.0,0)))*(1-IF(AND(ArtifactsInput!$M$27,Inputs!$B$4="Chapter Hunt"),CHOOSE(ArtifactsInput!$N$27+1,20,24,28,32,36,40),0)/100)),0)</f>
        <v/>
      </c>
      <c r="R2905">
        <f>IF(AND(Inputs!$B$38&lt;&gt;"pvp",Inputs!$B$43&gt;0),IF(MAX(0,Inputs!$B$43-B2938)&lt;=0,0,(INT(MAX(0,Inputs!$B$43-B2938)/(IF(Inputs!$B$38="pvp",15,MAX(0.1,Skills!E5-IF(Skills!F5=TRUE,2.0,0)))*(1-IF(AND(ArtifactsInput!$M$27,Inputs!$B$4="Chapter Hunt"),CHOOSE(ArtifactsInput!$N$27+1,20,24,28,32,36,40),0)/100)))+1)),0)</f>
        <v/>
      </c>
      <c r="S2905">
        <f>IF(C2905,(H2905*N2905*IF(AND(Inputs!$B$38&lt;&gt;"pvp",Inputs!$B$43&gt;0),((Skills!G5*((R2905-1)*IF(Skills!H5&gt;0,Skills!I5/Skills!H5,1)+IF(Skills!H5&gt;0,MIN(Skills!I5,MAX(0,MAX(0,Inputs!$B$43-B2938)-((R2905-1)*(IF(Inputs!$B$38="pvp",15,MAX(0.1,Skills!E5-IF(Skills!F5=TRUE,2.0,0)))*(1-IF(AND(ArtifactsInput!$M$27,Inputs!$B$4="Chapter Hunt"),CHOOSE(ArtifactsInput!$N$27+1,20,24,28,32,36,40),0)/100)))))/Skills!H5,1)))/Inputs!$B$43),G2905*Q2905)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2905*(1-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2905*(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2905*(1-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2905*(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05">
        <f>IF(C2905,(H2905*N2905*IF(AND(Inputs!$B$38&lt;&gt;"pvp",Inputs!$B$43&gt;0),((Skills!G5*((R2905-1)*IF(Skills!H5&gt;0,Skills!I5/Skills!H5,1)+IF(Skills!H5&gt;0,MIN(Skills!I5,MAX(0,MAX(0,Inputs!$B$43-B2938)-((R2905-1)*(IF(Inputs!$B$38="pvp",15,MAX(0.1,Skills!E5-IF(Skills!F5=TRUE,2.0,0)))*(1-IF(AND(ArtifactsInput!$M$27,Inputs!$B$4="Chapter Hunt"),CHOOSE(ArtifactsInput!$N$27+1,20,24,28,32,36,40),0)/100)))))/Skills!H5,1)))/Inputs!$B$43),G2905*Q2905)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6">
      <c r="A2906">
        <f>Skills!A6</f>
        <v/>
      </c>
      <c r="B2906">
        <f>Skills!B6</f>
        <v/>
      </c>
      <c r="C2906">
        <f>TRUE</f>
        <v/>
      </c>
      <c r="D2906">
        <f>IF(Skills!C6=1,60+Inputs!$B$25+Inputs!$B$29,IF(Skills!C6=2,90+Inputs!$B$26+Inputs!$B$29,IF(Skills!C6=3,120+Inputs!$B$27+Inputs!$B$29,MAX(0,(Inputs!$B$3-100)*3)+Inputs!$B$28+Inputs!$B$29)))</f>
        <v/>
      </c>
      <c r="E2906">
        <f>INDEX(FactorTable!$B$2:$Y$301, MATCH(ROUND(MIN(300,MAX(1,D2906)),0), FactorTable!$A$2:$A$301,0), Skills!M6+1)</f>
        <v/>
      </c>
      <c r="F2906">
        <f>IF(Skills!N6=TRUE,(Skills!L6/10)*(E2906/1000),Skills!L6/10)+Skills!O6</f>
        <v/>
      </c>
      <c r="G2906">
        <f>Calc!G6</f>
        <v/>
      </c>
      <c r="H2906">
        <f>Calc!H6</f>
        <v/>
      </c>
      <c r="I2906">
        <f>IF(Skills!X6&lt;&gt;"",1+(Skills!X6/10)*(Z2903/1000)/100,1)</f>
        <v/>
      </c>
      <c r="J2906" t="inlineStr"/>
      <c r="K2906" t="inlineStr"/>
      <c r="L2906" t="inlineStr"/>
      <c r="M2906" t="inlineStr"/>
      <c r="N2906" t="inlineStr"/>
      <c r="O2906">
        <f>(1-Summary!$B$11)*S2906+Summary!$B$11*U2906</f>
        <v/>
      </c>
      <c r="P2906">
        <f>IF(B2941=0,0,O2906/B2941)</f>
        <v/>
      </c>
      <c r="Q2906">
        <f>IFERROR(1/(IF(Inputs!$B$38="pvp",15,MAX(0.1,Skills!E6-IF(Skills!F6=TRUE,2.0,0)))*(1-IF(AND(ArtifactsInput!$M$27,Inputs!$B$4="Chapter Hunt"),CHOOSE(ArtifactsInput!$N$27+1,20,24,28,32,36,40),0)/100)),0)</f>
        <v/>
      </c>
      <c r="R2906">
        <f>IF(AND(Inputs!$B$38&lt;&gt;"pvp",Inputs!$B$43&gt;0),IF(Inputs!$B$43&lt;=0,0,(INT(Inputs!$B$43/(IF(Inputs!$B$38="pvp",15,MAX(0.1,Skills!E6-IF(Skills!F6=TRUE,2.0,0)))*(1-IF(AND(ArtifactsInput!$M$27,Inputs!$B$4="Chapter Hunt"),CHOOSE(ArtifactsInput!$N$27+1,20,24,28,32,36,40),0)/100)))+1)),0)</f>
        <v/>
      </c>
      <c r="S2906" t="n">
        <v>0</v>
      </c>
      <c r="U2906" t="n">
        <v>0</v>
      </c>
    </row>
    <row r="2907">
      <c r="A2907">
        <f>Skills!A7</f>
        <v/>
      </c>
      <c r="B2907">
        <f>Skills!B7</f>
        <v/>
      </c>
      <c r="C2907">
        <f>TRUE</f>
        <v/>
      </c>
      <c r="D2907">
        <f>IF(Skills!C7=1,60+Inputs!$B$25+Inputs!$B$29,IF(Skills!C7=2,90+Inputs!$B$26+Inputs!$B$29,IF(Skills!C7=3,120+Inputs!$B$27+Inputs!$B$29,MAX(0,(Inputs!$B$3-100)*3)+Inputs!$B$28+Inputs!$B$29)))</f>
        <v/>
      </c>
      <c r="E2907">
        <f>INDEX(FactorTable!$B$2:$Y$301, MATCH(ROUND(MIN(300,MAX(1,D2907)),0), FactorTable!$A$2:$A$301,0), Skills!M7+1)</f>
        <v/>
      </c>
      <c r="F2907">
        <f>IF(Skills!N7=TRUE,(Skills!L7/10)*(E2907/1000),Skills!L7/10)+Skills!O7</f>
        <v/>
      </c>
      <c r="G2907">
        <f>Calc!G7</f>
        <v/>
      </c>
      <c r="H2907">
        <f>Calc!H7</f>
        <v/>
      </c>
      <c r="I2907">
        <f>IF(Skills!X7&lt;&gt;"",1+(Skills!X7/10)*(Z2903/1000)/100,1)</f>
        <v/>
      </c>
      <c r="J2907">
        <f>((Inputs!$B$6*(1+Inputs!$B$7/100))+(((Inputs!$B$12*(1+Inputs!$B$13/100))-(Inputs!$B$12*(1+Inputs!$B$13/100)))+0.25*(Inputs!$B$14-Inputs!$B$14))*(1+Inputs!$B$7/100))*(F2907/100)</f>
        <v/>
      </c>
      <c r="K2907">
        <f>J2907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2907)</f>
        <v/>
      </c>
      <c r="L2907">
        <f>K2907*(MIN(Inputs!$B$22+(F2922-Calc!F22),(Inputs!$B$23+(IF(ArtifactsInput!$M$15,CHOOSE(ArtifactsInput!$N$15+1,25,30,35,40,45,50)/100*(Inputs!$B$11-Inputs!$B$11),0))))/100+(Inputs!$B$23+(IF(ArtifactsInput!$M$15,CHOOSE(ArtifactsInput!$N$15+1,25,30,35,40,45,50)/100*(Inputs!$B$11-Inputs!$B$11),0)))/100)/2</f>
        <v/>
      </c>
      <c r="M2907">
        <f>L2907*(1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7">
        <f>L2907*(1-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2907*(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7">
        <f>(1-Summary!$B$11)*S2907+Summary!$B$11*U2907</f>
        <v/>
      </c>
      <c r="P2907">
        <f>IF(B2941=0,0,O2907/B2941)</f>
        <v/>
      </c>
      <c r="Q2907">
        <f>IFERROR(1/(IF(Inputs!$B$38="pvp",15,MAX(0.1,Skills!E7-IF(Skills!F7=TRUE,2.0,0)))*(1-IF(AND(ArtifactsInput!$M$27,Inputs!$B$4="Chapter Hunt"),CHOOSE(ArtifactsInput!$N$27+1,20,24,28,32,36,40),0)/100)),0)</f>
        <v/>
      </c>
      <c r="R2907">
        <f>IF(AND(Inputs!$B$38&lt;&gt;"pvp",Inputs!$B$43&gt;0),IF(MAX(0,Inputs!$B$43-B2938)&lt;=0,0,(INT(MAX(0,Inputs!$B$43-B2938)/(IF(Inputs!$B$38="pvp",15,MAX(0.1,Skills!E7-IF(Skills!F7=TRUE,2.0,0)))*(1-IF(AND(ArtifactsInput!$M$27,Inputs!$B$4="Chapter Hunt"),CHOOSE(ArtifactsInput!$N$27+1,20,24,28,32,36,40),0)/100)))+1)),0)</f>
        <v/>
      </c>
      <c r="S2907">
        <f>IF(C2907,(H2907*N2907*IF(AND(Inputs!$B$38&lt;&gt;"pvp",Inputs!$B$43&gt;0),((Skills!G7*((R2907-1)*IF(Skills!H7&gt;0,Skills!I7/Skills!H7,1)+IF(Skills!H7&gt;0,MIN(Skills!I7,MAX(0,MAX(0,Inputs!$B$43-B2938)-((R2907-1)*(IF(Inputs!$B$38="pvp",15,MAX(0.1,Skills!E7-IF(Skills!F7=TRUE,2.0,0)))*(1-IF(AND(ArtifactsInput!$M$27,Inputs!$B$4="Chapter Hunt"),CHOOSE(ArtifactsInput!$N$27+1,20,24,28,32,36,40),0)/100)))))/Skills!H7,1)))/Inputs!$B$43),G2907*Q2907)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2907*(1-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2907*(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2907*(1-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2907*(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07">
        <f>IF(C2907,(H2907*N2907*IF(AND(Inputs!$B$38&lt;&gt;"pvp",Inputs!$B$43&gt;0),((Skills!G7*((R2907-1)*IF(Skills!H7&gt;0,Skills!I7/Skills!H7,1)+IF(Skills!H7&gt;0,MIN(Skills!I7,MAX(0,MAX(0,Inputs!$B$43-B2938)-((R2907-1)*(IF(Inputs!$B$38="pvp",15,MAX(0.1,Skills!E7-IF(Skills!F7=TRUE,2.0,0)))*(1-IF(AND(ArtifactsInput!$M$27,Inputs!$B$4="Chapter Hunt"),CHOOSE(ArtifactsInput!$N$27+1,20,24,28,32,36,40),0)/100)))))/Skills!H7,1)))/Inputs!$B$43),G2907*Q2907)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8">
      <c r="A2908">
        <f>Skills!A8</f>
        <v/>
      </c>
      <c r="B2908">
        <f>Skills!B8</f>
        <v/>
      </c>
      <c r="C2908">
        <f>TRUE</f>
        <v/>
      </c>
      <c r="D2908">
        <f>IF(Skills!C8=1,60+Inputs!$B$25+Inputs!$B$29,IF(Skills!C8=2,90+Inputs!$B$26+Inputs!$B$29,IF(Skills!C8=3,120+Inputs!$B$27+Inputs!$B$29,MAX(0,(Inputs!$B$3-100)*3)+Inputs!$B$28+Inputs!$B$29)))</f>
        <v/>
      </c>
      <c r="E2908">
        <f>INDEX(FactorTable!$B$2:$Y$301, MATCH(ROUND(MIN(300,MAX(1,D2908)),0), FactorTable!$A$2:$A$301,0), Skills!M8+1)</f>
        <v/>
      </c>
      <c r="F2908">
        <f>IF(Skills!N8=TRUE,(Skills!L8/10)*(E2908/1000),Skills!L8/10)+Skills!O8</f>
        <v/>
      </c>
      <c r="G2908">
        <f>Calc!G8</f>
        <v/>
      </c>
      <c r="H2908">
        <f>Calc!H8</f>
        <v/>
      </c>
      <c r="I2908">
        <f>IF(Skills!X8&lt;&gt;"",1+(Skills!X8/10)*(Z2903/1000)/100,1)</f>
        <v/>
      </c>
      <c r="J2908">
        <f>((Inputs!$B$6*(1+Inputs!$B$7/100))+(((Inputs!$B$12*(1+Inputs!$B$13/100))-(Inputs!$B$12*(1+Inputs!$B$13/100)))+0.25*(Inputs!$B$14-Inputs!$B$14))*(1+Inputs!$B$7/100))*(F2908/100)</f>
        <v/>
      </c>
      <c r="K2908">
        <f>J2908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2908)</f>
        <v/>
      </c>
      <c r="L2908">
        <f>K2908*(MIN(Inputs!$B$22+(F2922-Calc!F22),(Inputs!$B$23+(IF(ArtifactsInput!$M$15,CHOOSE(ArtifactsInput!$N$15+1,25,30,35,40,45,50)/100*(Inputs!$B$11-Inputs!$B$11),0))))/100+(Inputs!$B$23+(IF(ArtifactsInput!$M$15,CHOOSE(ArtifactsInput!$N$15+1,25,30,35,40,45,50)/100*(Inputs!$B$11-Inputs!$B$11),0)))/100)/2</f>
        <v/>
      </c>
      <c r="M2908">
        <f>L2908*(1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8">
        <f>L2908*(1-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2908*(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8">
        <f>(1-Summary!$B$11)*S2908+Summary!$B$11*U2908</f>
        <v/>
      </c>
      <c r="P2908">
        <f>IF(B2941=0,0,O2908/B2941)</f>
        <v/>
      </c>
      <c r="Q2908">
        <f>IFERROR(1/(IF(Inputs!$B$38="pvp",15,MAX(0.1,Skills!E8-IF(Skills!F8=TRUE,2.0,0)))*(1-IF(AND(ArtifactsInput!$M$27,Inputs!$B$4="Chapter Hunt"),CHOOSE(ArtifactsInput!$N$27+1,20,24,28,32,36,40),0)/100)),0)</f>
        <v/>
      </c>
      <c r="R2908">
        <f>IF(AND(Inputs!$B$38&lt;&gt;"pvp",Inputs!$B$43&gt;0),IF(MAX(0,Inputs!$B$43-B2938)&lt;=0,0,(INT(MAX(0,Inputs!$B$43-B2938)/(IF(Inputs!$B$38="pvp",15,MAX(0.1,Skills!E8-IF(Skills!F8=TRUE,2.0,0)))*(1-IF(AND(ArtifactsInput!$M$27,Inputs!$B$4="Chapter Hunt"),CHOOSE(ArtifactsInput!$N$27+1,20,24,28,32,36,40),0)/100)))+1)),0)</f>
        <v/>
      </c>
      <c r="S2908">
        <f>IF(C2908,(H2908*N2908*IF(AND(Inputs!$B$38&lt;&gt;"pvp",Inputs!$B$43&gt;0),((Skills!G8*((R2908-1)*IF(Skills!H8&gt;0,Skills!I8/Skills!H8,1)+IF(Skills!H8&gt;0,MIN(Skills!I8,MAX(0,MAX(0,Inputs!$B$43-B2938)-((R2908-1)*(IF(Inputs!$B$38="pvp",15,MAX(0.1,Skills!E8-IF(Skills!F8=TRUE,2.0,0)))*(1-IF(AND(ArtifactsInput!$M$27,Inputs!$B$4="Chapter Hunt"),CHOOSE(ArtifactsInput!$N$27+1,20,24,28,32,36,40),0)/100)))))/Skills!H8,1)))/Inputs!$B$43),G2908*Q2908)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2908*(1-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2908*(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2908*(1-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2908*(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08">
        <f>IF(C2908,(H2908*N2908*IF(AND(Inputs!$B$38&lt;&gt;"pvp",Inputs!$B$43&gt;0),((Skills!G8*((R2908-1)*IF(Skills!H8&gt;0,Skills!I8/Skills!H8,1)+IF(Skills!H8&gt;0,MIN(Skills!I8,MAX(0,MAX(0,Inputs!$B$43-B2938)-((R2908-1)*(IF(Inputs!$B$38="pvp",15,MAX(0.1,Skills!E8-IF(Skills!F8=TRUE,2.0,0)))*(1-IF(AND(ArtifactsInput!$M$27,Inputs!$B$4="Chapter Hunt"),CHOOSE(ArtifactsInput!$N$27+1,20,24,28,32,36,40),0)/100)))))/Skills!H8,1)))/Inputs!$B$43),G2908*Q2908)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09">
      <c r="A2909">
        <f>Skills!A9</f>
        <v/>
      </c>
      <c r="B2909">
        <f>Skills!B9</f>
        <v/>
      </c>
      <c r="C2909">
        <f>Inputs!$B$3&gt;=103</f>
        <v/>
      </c>
      <c r="D2909">
        <f>IF(Skills!C9=1,60+Inputs!$B$25+Inputs!$B$29,IF(Skills!C9=2,90+Inputs!$B$26+Inputs!$B$29,IF(Skills!C9=3,120+Inputs!$B$27+Inputs!$B$29,MAX(0,(Inputs!$B$3-100)*3)+Inputs!$B$28+Inputs!$B$29)))</f>
        <v/>
      </c>
      <c r="E2909">
        <f>INDEX(FactorTable!$B$2:$Y$301, MATCH(ROUND(MIN(300,MAX(1,D2909)),0), FactorTable!$A$2:$A$301,0), Skills!M9+1)</f>
        <v/>
      </c>
      <c r="F2909">
        <f>IF(Skills!N9=TRUE,(Skills!L9/10)*(E2909/1000),Skills!L9/10)+Skills!O9</f>
        <v/>
      </c>
      <c r="G2909">
        <f>Calc!G9</f>
        <v/>
      </c>
      <c r="H2909">
        <f>Calc!H9</f>
        <v/>
      </c>
      <c r="I2909">
        <f>IF(Skills!X9&lt;&gt;"",1+(Skills!X9/10)*(Z2903/1000)/100,1)</f>
        <v/>
      </c>
      <c r="J2909">
        <f>((Inputs!$B$6*(1+Inputs!$B$7/100))+(((Inputs!$B$12*(1+Inputs!$B$13/100))-(Inputs!$B$12*(1+Inputs!$B$13/100)))+0.25*(Inputs!$B$14-Inputs!$B$14))*(1+Inputs!$B$7/100))*(F2909/100)</f>
        <v/>
      </c>
      <c r="K2909">
        <f>J2909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2909)</f>
        <v/>
      </c>
      <c r="L2909">
        <f>K2909*(MIN(Inputs!$B$22+(F2922-Calc!F22),(Inputs!$B$23+(IF(ArtifactsInput!$M$15,CHOOSE(ArtifactsInput!$N$15+1,25,30,35,40,45,50)/100*(Inputs!$B$11-Inputs!$B$11),0))))/100+(Inputs!$B$23+(IF(ArtifactsInput!$M$15,CHOOSE(ArtifactsInput!$N$15+1,25,30,35,40,45,50)/100*(Inputs!$B$11-Inputs!$B$11),0)))/100)/2</f>
        <v/>
      </c>
      <c r="M2909">
        <f>L2909*(1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09">
        <f>L2909*(1-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2909*(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09">
        <f>(1-Summary!$B$11)*S2909+Summary!$B$11*U2909</f>
        <v/>
      </c>
      <c r="P2909">
        <f>IF(B2941=0,0,O2909/B2941)</f>
        <v/>
      </c>
      <c r="Q2909">
        <f>IFERROR(1/(IF(Inputs!$B$38="pvp",15,MAX(0.1,Skills!E9-IF(Skills!F7=TRUE,2.0,0)))*(1-IF(AND(ArtifactsInput!$M$27,Inputs!$B$4="Chapter Hunt"),CHOOSE(ArtifactsInput!$N$27+1,20,24,28,32,36,40),0)/100)),0)</f>
        <v/>
      </c>
      <c r="R2909">
        <f>IF(AND(Inputs!$B$38&lt;&gt;"pvp",Inputs!$B$43&gt;0),IF(MAX(0,Inputs!$B$43-B2938)&lt;=0,0,(INT(MAX(0,Inputs!$B$43-B2938)/(IF(Inputs!$B$38="pvp",15,MAX(0.1,Skills!E9-IF(Skills!F7=TRUE,2.0,0)))*(1-IF(AND(ArtifactsInput!$M$27,Inputs!$B$4="Chapter Hunt"),CHOOSE(ArtifactsInput!$N$27+1,20,24,28,32,36,40),0)/100)))+1)),0)</f>
        <v/>
      </c>
      <c r="S2909">
        <f>IF(C2909,(H2909*N2909*IF(AND(Inputs!$B$38&lt;&gt;"pvp",Inputs!$B$43&gt;0),((Skills!G9*((R2909-1)*IF(Skills!H9&gt;0,Skills!I9/Skills!H9,1)+IF(Skills!H9&gt;0,MIN(Skills!I9,MAX(0,MAX(0,Inputs!$B$43-B2938)-((R2909-1)*(IF(Inputs!$B$38="pvp",15,MAX(0.1,Skills!E9-IF(Skills!F7=TRUE,2.0,0)))*(1-IF(AND(ArtifactsInput!$M$27,Inputs!$B$4="Chapter Hunt"),CHOOSE(ArtifactsInput!$N$27+1,20,24,28,32,36,40),0)/100)))))/Skills!H9,1)))/Inputs!$B$43),G2909*Q2909)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2909*(1-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2909*(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2909*(1-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2909*(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09">
        <f>IF(C2909,(H2909*N2909*IF(AND(Inputs!$B$38&lt;&gt;"pvp",Inputs!$B$43&gt;0),((Skills!G9*((R2909-1)*IF(Skills!H9&gt;0,Skills!I9/Skills!H9,1)+IF(Skills!H9&gt;0,MIN(Skills!I9,MAX(0,MAX(0,Inputs!$B$43-B2938)-((R2909-1)*(IF(Inputs!$B$38="pvp",15,MAX(0.1,Skills!E9-IF(Skills!F7=TRUE,2.0,0)))*(1-IF(AND(ArtifactsInput!$M$27,Inputs!$B$4="Chapter Hunt"),CHOOSE(ArtifactsInput!$N$27+1,20,24,28,32,36,40),0)/100)))))/Skills!H9,1)))/Inputs!$B$43),G2909*Q2909)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0">
      <c r="A2910">
        <f>Skills!A10</f>
        <v/>
      </c>
      <c r="B2910">
        <f>Skills!B10</f>
        <v/>
      </c>
      <c r="C2910">
        <f>TRUE</f>
        <v/>
      </c>
      <c r="D2910">
        <f>IF(Skills!C10=1,60+Inputs!$B$25+Inputs!$B$29,IF(Skills!C10=2,90+Inputs!$B$26+Inputs!$B$29,IF(Skills!C10=3,120+Inputs!$B$27+Inputs!$B$29,MAX(0,(Inputs!$B$3-100)*3)+Inputs!$B$28+Inputs!$B$29)))</f>
        <v/>
      </c>
      <c r="E2910">
        <f>INDEX(FactorTable!$B$2:$Y$301, MATCH(ROUND(MIN(300,MAX(1,D2910)),0), FactorTable!$A$2:$A$301,0), Skills!M10+1)</f>
        <v/>
      </c>
      <c r="F2910">
        <f>IF(Skills!N10=TRUE,(Skills!L10/10)*(E2910/1000),Skills!L10/10)+Skills!O10</f>
        <v/>
      </c>
      <c r="G2910">
        <f>Calc!G10</f>
        <v/>
      </c>
      <c r="H2910">
        <f>Calc!H10</f>
        <v/>
      </c>
      <c r="I2910">
        <f>IF(Skills!X10&lt;&gt;"",1+(Skills!X10/10)*(Z2903/1000)/100,1)</f>
        <v/>
      </c>
      <c r="J2910">
        <f>((Inputs!$B$6*(1+Inputs!$B$7/100))+(((Inputs!$B$12*(1+Inputs!$B$13/100))-(Inputs!$B$12*(1+Inputs!$B$13/100)))+0.25*(Inputs!$B$14-Inputs!$B$14))*(1+Inputs!$B$7/100))*(F2910/100)</f>
        <v/>
      </c>
      <c r="K2910">
        <f>J2910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2910)</f>
        <v/>
      </c>
      <c r="L2910">
        <f>K2910*(MIN(Inputs!$B$22+(F2922-Calc!F22),(Inputs!$B$23+(IF(ArtifactsInput!$M$15,CHOOSE(ArtifactsInput!$N$15+1,25,30,35,40,45,50)/100*(Inputs!$B$11-Inputs!$B$11),0))))/100+(Inputs!$B$23+(IF(ArtifactsInput!$M$15,CHOOSE(ArtifactsInput!$N$15+1,25,30,35,40,45,50)/100*(Inputs!$B$11-Inputs!$B$11),0)))/100)/2</f>
        <v/>
      </c>
      <c r="M2910">
        <f>L2910*(1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0">
        <f>L2910*(1-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2910*(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0">
        <f>(1-Summary!$B$11)*S2910+Summary!$B$11*U2910</f>
        <v/>
      </c>
      <c r="P2910">
        <f>IF(B2941=0,0,O2910/B2941)</f>
        <v/>
      </c>
      <c r="Q2910">
        <f>IFERROR(1/(IF(Inputs!$B$38="pvp",15,MAX(0.1,Skills!E10-IF(Skills!F10=TRUE,2.0,0)))*(1-IF(AND(ArtifactsInput!$M$27,Inputs!$B$4="Chapter Hunt"),CHOOSE(ArtifactsInput!$N$27+1,20,24,28,32,36,40),0)/100)),0)</f>
        <v/>
      </c>
      <c r="R2910">
        <f>IF(AND(Inputs!$B$38&lt;&gt;"pvp",Inputs!$B$43&gt;0),IF(MAX(0,Inputs!$B$43-B2938)&lt;=0,0,(INT(MAX(0,Inputs!$B$43-B2938)/(IF(Inputs!$B$38="pvp",15,MAX(0.1,Skills!E10-IF(Skills!F10=TRUE,2.0,0)))*(1-IF(AND(ArtifactsInput!$M$27,Inputs!$B$4="Chapter Hunt"),CHOOSE(ArtifactsInput!$N$27+1,20,24,28,32,36,40),0)/100)))+1)),0)</f>
        <v/>
      </c>
      <c r="S2910">
        <f>IF(C2910,(H2910*N2910*IF(AND(Inputs!$B$38&lt;&gt;"pvp",Inputs!$B$43&gt;0),((Skills!G10*((R2910-1)*IF(Skills!H10&gt;0,Skills!I10/Skills!H10,1)+IF(Skills!H10&gt;0,MIN(Skills!I10,MAX(0,MAX(0,Inputs!$B$43-B2938)-((R2910-1)*(IF(Inputs!$B$38="pvp",15,MAX(0.1,Skills!E10-IF(Skills!F10=TRUE,2.0,0)))*(1-IF(AND(ArtifactsInput!$M$27,Inputs!$B$4="Chapter Hunt"),CHOOSE(ArtifactsInput!$N$27+1,20,24,28,32,36,40),0)/100)))))/Skills!H10,1)))/Inputs!$B$43),G2910*Q2910)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2910*(1-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2910*(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2910*(1-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2910*(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10">
        <f>IF(C2910,(H2910*N2910*IF(AND(Inputs!$B$38&lt;&gt;"pvp",Inputs!$B$43&gt;0),((Skills!G10*((R2910-1)*IF(Skills!H10&gt;0,Skills!I10/Skills!H10,1)+IF(Skills!H10&gt;0,MIN(Skills!I10,MAX(0,MAX(0,Inputs!$B$43-B2938)-((R2910-1)*(IF(Inputs!$B$38="pvp",15,MAX(0.1,Skills!E10-IF(Skills!F10=TRUE,2.0,0)))*(1-IF(AND(ArtifactsInput!$M$27,Inputs!$B$4="Chapter Hunt"),CHOOSE(ArtifactsInput!$N$27+1,20,24,28,32,36,40),0)/100)))))/Skills!H10,1)))/Inputs!$B$43),G2910*Q2910)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1">
      <c r="A2911">
        <f>Skills!A11</f>
        <v/>
      </c>
      <c r="B2911">
        <f>Skills!B11</f>
        <v/>
      </c>
      <c r="C2911">
        <f>TRUE</f>
        <v/>
      </c>
      <c r="D2911">
        <f>IF(Skills!C11=1,60+Inputs!$B$25+Inputs!$B$29,IF(Skills!C11=2,90+Inputs!$B$26+Inputs!$B$29,IF(Skills!C11=3,120+Inputs!$B$27+Inputs!$B$29,MAX(0,(Inputs!$B$3-100)*3)+Inputs!$B$28+Inputs!$B$29)))</f>
        <v/>
      </c>
      <c r="E2911">
        <f>INDEX(FactorTable!$B$2:$Y$301, MATCH(ROUND(MIN(300,MAX(1,D2911)),0), FactorTable!$A$2:$A$301,0), Skills!M11+1)</f>
        <v/>
      </c>
      <c r="F2911">
        <f>IF(Skills!N11=TRUE,(Skills!L11/10)*(E2911/1000),Skills!L11/10)+Skills!O11</f>
        <v/>
      </c>
      <c r="G2911">
        <f>Calc!G11</f>
        <v/>
      </c>
      <c r="H2911">
        <f>Calc!H11</f>
        <v/>
      </c>
      <c r="I2911">
        <f>IF(Skills!X11&lt;&gt;"",1+(Skills!X11/10)*(Z2903/1000)/100,1)</f>
        <v/>
      </c>
      <c r="J2911" t="inlineStr"/>
      <c r="K2911" t="inlineStr"/>
      <c r="L2911" t="inlineStr"/>
      <c r="M2911" t="inlineStr"/>
      <c r="N2911" t="inlineStr"/>
      <c r="O2911">
        <f>(1-Summary!$B$11)*S2911+Summary!$B$11*U2911</f>
        <v/>
      </c>
      <c r="P2911">
        <f>IF(B2941=0,0,O2911/B2941)</f>
        <v/>
      </c>
      <c r="Q2911">
        <f>IFERROR(1/(IF(Inputs!$B$38="pvp",15,MAX(0.1,Skills!E11-IF(Skills!F11=TRUE,2.0,0)))*(1-IF(AND(ArtifactsInput!$M$27,Inputs!$B$4="Chapter Hunt"),CHOOSE(ArtifactsInput!$N$27+1,20,24,28,32,36,40),0)/100)),0)</f>
        <v/>
      </c>
      <c r="R2911" t="n">
        <v>0</v>
      </c>
      <c r="S2911" t="n">
        <v>0</v>
      </c>
      <c r="U2911" t="n">
        <v>0</v>
      </c>
    </row>
    <row r="2912">
      <c r="A2912">
        <f>Skills!A12</f>
        <v/>
      </c>
      <c r="B2912">
        <f>Skills!B12</f>
        <v/>
      </c>
      <c r="C2912">
        <f>TRUE</f>
        <v/>
      </c>
      <c r="D2912">
        <f>IF(Skills!C12=1,60+Inputs!$B$25+Inputs!$B$29,IF(Skills!C12=2,90+Inputs!$B$26+Inputs!$B$29,IF(Skills!C12=3,120+Inputs!$B$27+Inputs!$B$29,MAX(0,(Inputs!$B$3-100)*3)+Inputs!$B$28+Inputs!$B$29)))</f>
        <v/>
      </c>
      <c r="E2912">
        <f>INDEX(FactorTable!$B$2:$Y$301, MATCH(ROUND(MIN(300,MAX(1,D2912)),0), FactorTable!$A$2:$A$301,0), Skills!M12+1)</f>
        <v/>
      </c>
      <c r="F2912">
        <f>IF(Skills!N12=TRUE,(Skills!L12/10)*(E2912/1000),Skills!L12/10)+Skills!O12</f>
        <v/>
      </c>
      <c r="G2912">
        <f>Calc!G12</f>
        <v/>
      </c>
      <c r="H2912">
        <f>Calc!H12</f>
        <v/>
      </c>
      <c r="I2912">
        <f>IF(Skills!X12&lt;&gt;"",1+(Skills!X12/10)*(Z2903/1000)/100,1)</f>
        <v/>
      </c>
      <c r="J2912" t="inlineStr"/>
      <c r="K2912" t="inlineStr"/>
      <c r="L2912" t="inlineStr"/>
      <c r="M2912" t="inlineStr"/>
      <c r="N2912" t="inlineStr"/>
      <c r="O2912">
        <f>(1-Summary!$B$11)*S2912+Summary!$B$11*U2912</f>
        <v/>
      </c>
      <c r="P2912">
        <f>IF(B2941=0,0,O2912/B2941)</f>
        <v/>
      </c>
      <c r="Q2912">
        <f>IFERROR(1/(IF(Inputs!$B$38="pvp",15,MAX(0.1,Skills!E12-IF(Skills!F12=TRUE,2.0,0)))*(1-IF(AND(ArtifactsInput!$M$27,Inputs!$B$4="Chapter Hunt"),CHOOSE(ArtifactsInput!$N$27+1,20,24,28,32,36,40),0)/100)),0)</f>
        <v/>
      </c>
      <c r="R2912" t="n">
        <v>0</v>
      </c>
      <c r="S2912" t="n">
        <v>0</v>
      </c>
      <c r="U2912" t="n">
        <v>0</v>
      </c>
    </row>
    <row r="2913">
      <c r="A2913">
        <f>Skills!A13</f>
        <v/>
      </c>
      <c r="B2913">
        <f>Skills!B13</f>
        <v/>
      </c>
      <c r="C2913">
        <f>Inputs!$B$3&gt;=105</f>
        <v/>
      </c>
      <c r="D2913">
        <f>IF(Skills!C13=1,60+Inputs!$B$25+Inputs!$B$29,IF(Skills!C13=2,90+Inputs!$B$26+Inputs!$B$29,IF(Skills!C13=3,120+Inputs!$B$27+Inputs!$B$29,MAX(0,(Inputs!$B$3-100)*3)+Inputs!$B$28+Inputs!$B$29)))</f>
        <v/>
      </c>
      <c r="E2913">
        <f>INDEX(FactorTable!$B$2:$Y$301, MATCH(ROUND(MIN(300,MAX(1,D2913)),0), FactorTable!$A$2:$A$301,0), Skills!M13+1)</f>
        <v/>
      </c>
      <c r="F2913">
        <f>IF(Skills!N13=TRUE,(Skills!L13/10)*(E2913/1000),Skills!L13/10)+Skills!O13</f>
        <v/>
      </c>
      <c r="G2913">
        <f>Calc!G13</f>
        <v/>
      </c>
      <c r="H2913">
        <f>Calc!H13</f>
        <v/>
      </c>
      <c r="I2913">
        <f>IF(Skills!X13&lt;&gt;"",1+(Skills!X13/10)*(Z2903/1000)/100,1)</f>
        <v/>
      </c>
      <c r="J2913">
        <f>((Inputs!$B$6*(1+Inputs!$B$7/100))+(((Inputs!$B$12*(1+Inputs!$B$13/100))-(Inputs!$B$12*(1+Inputs!$B$13/100)))+0.25*(Inputs!$B$14-Inputs!$B$14))*(1+Inputs!$B$7/100))*(F2913/100)</f>
        <v/>
      </c>
      <c r="K2913">
        <f>J2913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2913)</f>
        <v/>
      </c>
      <c r="L2913">
        <f>K2913*(MIN(Inputs!$B$22+(F2922-Calc!F22),(Inputs!$B$23+(IF(ArtifactsInput!$M$15,CHOOSE(ArtifactsInput!$N$15+1,25,30,35,40,45,50)/100*(Inputs!$B$11-Inputs!$B$11),0))))/100+(Inputs!$B$23+(IF(ArtifactsInput!$M$15,CHOOSE(ArtifactsInput!$N$15+1,25,30,35,40,45,50)/100*(Inputs!$B$11-Inputs!$B$11),0)))/100)/2</f>
        <v/>
      </c>
      <c r="M2913">
        <f>L2913*(1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3">
        <f>L2913*(1-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2913*(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3">
        <f>(1-Summary!$B$11)*S2913+Summary!$B$11*U2913</f>
        <v/>
      </c>
      <c r="P2913">
        <f>IF(B2941=0,0,O2913/B2941)</f>
        <v/>
      </c>
      <c r="Q2913">
        <f>IFERROR(1/(IF(Inputs!$B$38="pvp",15,MAX(0.1,Skills!E13-IF(Skills!F13=TRUE,2.0,0)))*(1-IF(AND(ArtifactsInput!$M$27,Inputs!$B$4="Chapter Hunt"),CHOOSE(ArtifactsInput!$N$27+1,20,24,28,32,36,40),0)/100)),0)</f>
        <v/>
      </c>
      <c r="R2913">
        <f>IF(AND(Inputs!$B$38&lt;&gt;"pvp",Inputs!$B$43&gt;0),IF(MAX(0,Inputs!$B$43-B2938)&lt;=0,0,(INT(MAX(0,Inputs!$B$43-B2938)/(IF(Inputs!$B$38="pvp",15,MAX(0.1,Skills!E13-IF(Skills!F13=TRUE,2.0,0)))*(1-IF(AND(ArtifactsInput!$M$27,Inputs!$B$4="Chapter Hunt"),CHOOSE(ArtifactsInput!$N$27+1,20,24,28,32,36,40),0)/100)))+1)),0)</f>
        <v/>
      </c>
      <c r="S2913">
        <f>IF(C2913,(H2913*N2913*IF(AND(Inputs!$B$38&lt;&gt;"pvp",Inputs!$B$43&gt;0),((Skills!G13*((R2913-1)*IF(Skills!H13&gt;0,Skills!I13/Skills!H13,1)+IF(Skills!H13&gt;0,MIN(Skills!I13,MAX(0,MAX(0,Inputs!$B$43-B2938)-((R2913-1)*(IF(Inputs!$B$38="pvp",15,MAX(0.1,Skills!E13-IF(Skills!F13=TRUE,2.0,0)))*(1-IF(AND(ArtifactsInput!$M$27,Inputs!$B$4="Chapter Hunt"),CHOOSE(ArtifactsInput!$N$27+1,20,24,28,32,36,40),0)/100)))))/Skills!H13,1)))/Inputs!$B$43),G2913*Q2913)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2913*(1-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2913*(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2913*(1-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2913*(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13">
        <f>IF(C2913,(H2913*N2913*IF(AND(Inputs!$B$38&lt;&gt;"pvp",Inputs!$B$43&gt;0),((Skills!G13*((R2913-1)*IF(Skills!H13&gt;0,Skills!I13/Skills!H13,1)+IF(Skills!H13&gt;0,MIN(Skills!I13,MAX(0,MAX(0,Inputs!$B$43-B2938)-((R2913-1)*(IF(Inputs!$B$38="pvp",15,MAX(0.1,Skills!E13-IF(Skills!F13=TRUE,2.0,0)))*(1-IF(AND(ArtifactsInput!$M$27,Inputs!$B$4="Chapter Hunt"),CHOOSE(ArtifactsInput!$N$27+1,20,24,28,32,36,40),0)/100)))))/Skills!H13,1)))/Inputs!$B$43),G2913*Q2913)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4">
      <c r="A2914">
        <f>Skills!A14</f>
        <v/>
      </c>
      <c r="B2914">
        <f>Skills!B14</f>
        <v/>
      </c>
      <c r="C2914">
        <f>Inputs!$B$3&gt;=113</f>
        <v/>
      </c>
      <c r="D2914">
        <f>IF(Skills!C14=1,60+Inputs!$B$25+Inputs!$B$29,IF(Skills!C14=2,90+Inputs!$B$26+Inputs!$B$29,IF(Skills!C14=3,120+Inputs!$B$27+Inputs!$B$29,MAX(0,(Inputs!$B$3-100)*3)+Inputs!$B$28+Inputs!$B$29)))</f>
        <v/>
      </c>
      <c r="E2914">
        <f>INDEX(FactorTable!$B$2:$Y$301, MATCH(ROUND(MIN(300,MAX(1,D2914)),0), FactorTable!$A$2:$A$301,0), Skills!M14+1)</f>
        <v/>
      </c>
      <c r="F2914">
        <f>IF(Skills!N14=TRUE,(Skills!L14/10)*(E2914/1000),Skills!L14/10)+Skills!O14</f>
        <v/>
      </c>
      <c r="G2914">
        <f>Calc!G14</f>
        <v/>
      </c>
      <c r="H2914">
        <f>Calc!H14</f>
        <v/>
      </c>
      <c r="I2914">
        <f>IF(Skills!X14&lt;&gt;"",1+(Skills!X14/10)*(Z2903/1000)/100,1)</f>
        <v/>
      </c>
      <c r="J2914">
        <f>((Inputs!$B$6*(1+Inputs!$B$7/100))+(((Inputs!$B$12*(1+Inputs!$B$13/100))-(Inputs!$B$12*(1+Inputs!$B$13/100)))+0.25*(Inputs!$B$14-Inputs!$B$14))*(1+Inputs!$B$7/100))*(F2914/100)</f>
        <v/>
      </c>
      <c r="K2914">
        <f>J2914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2914)</f>
        <v/>
      </c>
      <c r="L2914">
        <f>K2914*(MIN(Inputs!$B$22+(F2922-Calc!F22),(Inputs!$B$23+(IF(ArtifactsInput!$M$15,CHOOSE(ArtifactsInput!$N$15+1,25,30,35,40,45,50)/100*(Inputs!$B$11-Inputs!$B$11),0))))/100+(Inputs!$B$23+(IF(ArtifactsInput!$M$15,CHOOSE(ArtifactsInput!$N$15+1,25,30,35,40,45,50)/100*(Inputs!$B$11-Inputs!$B$11),0)))/100)/2</f>
        <v/>
      </c>
      <c r="M2914">
        <f>L2914*(1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4">
        <f>L2914*(1-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2914*(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4">
        <f>(1-Summary!$B$11)*S2914+Summary!$B$11*U2914</f>
        <v/>
      </c>
      <c r="P2914">
        <f>IF(B2941=0,0,O2914/B2941)</f>
        <v/>
      </c>
      <c r="Q2914">
        <f>IFERROR(1/(IF(Inputs!$B$38="pvp",15,MAX(0.1,Skills!E14-IF(Skills!F14=TRUE,2.0,0)))*(1-IF(AND(ArtifactsInput!$M$27,Inputs!$B$4="Chapter Hunt"),CHOOSE(ArtifactsInput!$N$27+1,20,24,28,32,36,40),0)/100)),0)</f>
        <v/>
      </c>
      <c r="R2914" t="n">
        <v>0</v>
      </c>
      <c r="S2914">
        <f>IF(C2914,((H2914*B2937)/(1+Skills!H14*H2914*B2937)*N2914)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2914*(1-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2914*(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2914*(1-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2914*(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14">
        <f>IF(C2914,((H2914*B2937)/(1+Skills!H14*H2914*B2937)*N2914)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5">
      <c r="A2915">
        <f>Skills!A15</f>
        <v/>
      </c>
      <c r="B2915">
        <f>Skills!B15</f>
        <v/>
      </c>
      <c r="C2915">
        <f>Inputs!$B$3&gt;=107</f>
        <v/>
      </c>
      <c r="D2915">
        <f>IF(Skills!C15=1,60+Inputs!$B$25+Inputs!$B$29,IF(Skills!C15=2,90+Inputs!$B$26+Inputs!$B$29,IF(Skills!C15=3,120+Inputs!$B$27+Inputs!$B$29,MAX(0,(Inputs!$B$3-100)*3)+Inputs!$B$28+Inputs!$B$29)))</f>
        <v/>
      </c>
      <c r="E2915">
        <f>INDEX(FactorTable!$B$2:$Y$301, MATCH(ROUND(MIN(300,MAX(1,D2915)),0), FactorTable!$A$2:$A$301,0), Skills!M15+1)</f>
        <v/>
      </c>
      <c r="F2915">
        <f>IF(Skills!N15=TRUE,(Skills!L15/10)*(E2915/1000),Skills!L15/10)+Skills!O15</f>
        <v/>
      </c>
      <c r="G2915">
        <f>Calc!G15</f>
        <v/>
      </c>
      <c r="H2915">
        <f>Calc!H15</f>
        <v/>
      </c>
      <c r="I2915">
        <f>IF(Skills!X15&lt;&gt;"",1+(Skills!X15/10)*(Z2903/1000)/100,1)</f>
        <v/>
      </c>
      <c r="J2915">
        <f>((Inputs!$B$6*(1+Inputs!$B$7/100))+(((Inputs!$B$12*(1+Inputs!$B$13/100))-(Inputs!$B$12*(1+Inputs!$B$13/100)))+0.25*(Inputs!$B$14-Inputs!$B$14))*(1+Inputs!$B$7/100))*(F2915/100)</f>
        <v/>
      </c>
      <c r="K2915">
        <f>J2915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2915)</f>
        <v/>
      </c>
      <c r="L2915">
        <f>K2915*(MIN(Inputs!$B$22+(F2922-Calc!F22),(Inputs!$B$23+(IF(ArtifactsInput!$M$15,CHOOSE(ArtifactsInput!$N$15+1,25,30,35,40,45,50)/100*(Inputs!$B$11-Inputs!$B$11),0))))/100+(Inputs!$B$23+(IF(ArtifactsInput!$M$15,CHOOSE(ArtifactsInput!$N$15+1,25,30,35,40,45,50)/100*(Inputs!$B$11-Inputs!$B$11),0)))/100)/2</f>
        <v/>
      </c>
      <c r="M2915">
        <f>L2915*(1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5">
        <f>L2915*(1-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2915*(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5">
        <f>(1-Summary!$B$11)*S2915+Summary!$B$11*U2915</f>
        <v/>
      </c>
      <c r="P2915">
        <f>IF(B2941=0,0,O2915/B2941)</f>
        <v/>
      </c>
      <c r="Q2915">
        <f>IFERROR(1/(IF(Inputs!$B$38="pvp",15,MAX(0.1,Skills!E15-IF(Skills!F15=TRUE,2.0,0)))*(1-IF(AND(ArtifactsInput!$M$27,Inputs!$B$4="Chapter Hunt"),CHOOSE(ArtifactsInput!$N$27+1,20,24,28,32,36,40),0)/100)),0)</f>
        <v/>
      </c>
      <c r="R2915">
        <f>IF(AND(Inputs!$B$38&lt;&gt;"pvp",Inputs!$B$43&gt;0),IF(MAX(0,Inputs!$B$43-B2938)&lt;=0,0,(INT(MAX(0,Inputs!$B$43-B2938)/(IF(Inputs!$B$38="pvp",15,MAX(0.1,Skills!E15-IF(Skills!F15=TRUE,2.0,0)))*(1-IF(AND(ArtifactsInput!$M$27,Inputs!$B$4="Chapter Hunt"),CHOOSE(ArtifactsInput!$N$27+1,20,24,28,32,36,40),0)/100)))+1)),0)</f>
        <v/>
      </c>
      <c r="S2915">
        <f>IF(C2915,(H2915*N2915*IF(AND(Inputs!$B$38&lt;&gt;"pvp",Inputs!$B$43&gt;0),((Skills!G15*((R2915-1)*IF(Skills!H15&gt;0,Skills!I15/Skills!H15,1)+IF(Skills!H15&gt;0,MIN(Skills!I15,MAX(0,MAX(0,Inputs!$B$43-B2938)-((R2915-1)*(IF(Inputs!$B$38="pvp",15,MAX(0.1,Skills!E15-IF(Skills!F15=TRUE,2.0,0)))*(1-IF(AND(ArtifactsInput!$M$27,Inputs!$B$4="Chapter Hunt"),CHOOSE(ArtifactsInput!$N$27+1,20,24,28,32,36,40),0)/100)))))/Skills!H15,1)))/Inputs!$B$43),G2915*Q2915)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2915*(1-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2915*(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2915*(1-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2915*(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15">
        <f>IF(C2915,(H2915*N2915*IF(AND(Inputs!$B$38&lt;&gt;"pvp",Inputs!$B$43&gt;0),((Skills!G15*((R2915-1)*IF(Skills!H15&gt;0,Skills!I15/Skills!H15,1)+IF(Skills!H15&gt;0,MIN(Skills!I15,MAX(0,MAX(0,Inputs!$B$43-B2938)-((R2915-1)*(IF(Inputs!$B$38="pvp",15,MAX(0.1,Skills!E15-IF(Skills!F15=TRUE,2.0,0)))*(1-IF(AND(ArtifactsInput!$M$27,Inputs!$B$4="Chapter Hunt"),CHOOSE(ArtifactsInput!$N$27+1,20,24,28,32,36,40),0)/100)))))/Skills!H15,1)))/Inputs!$B$43),G2915*Q2915)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6">
      <c r="A2916">
        <f>Skills!A16</f>
        <v/>
      </c>
      <c r="B2916">
        <f>Skills!B16</f>
        <v/>
      </c>
      <c r="C2916">
        <f>Inputs!$B$3&gt;=107</f>
        <v/>
      </c>
      <c r="D2916">
        <f>IF(Skills!C16=1,60+Inputs!$B$25+Inputs!$B$29,IF(Skills!C16=2,90+Inputs!$B$26+Inputs!$B$29,IF(Skills!C16=3,120+Inputs!$B$27+Inputs!$B$29,MAX(0,(Inputs!$B$3-100)*3)+Inputs!$B$28+Inputs!$B$29)))</f>
        <v/>
      </c>
      <c r="E2916">
        <f>INDEX(FactorTable!$B$2:$Y$301, MATCH(ROUND(MIN(300,MAX(1,D2916)),0), FactorTable!$A$2:$A$301,0), Skills!M16+1)</f>
        <v/>
      </c>
      <c r="F2916">
        <f>IF(Skills!N16=TRUE,(Skills!L16/10)*(E2916/1000),Skills!L16/10)+Skills!O16</f>
        <v/>
      </c>
      <c r="G2916">
        <f>Calc!G16</f>
        <v/>
      </c>
      <c r="H2916">
        <f>Calc!H16</f>
        <v/>
      </c>
      <c r="I2916">
        <f>IF(Skills!X16&lt;&gt;"",1+(Skills!X16/10)*(Z2903/1000)/100,1)</f>
        <v/>
      </c>
      <c r="J2916">
        <f>((Inputs!$B$6*(1+Inputs!$B$7/100))+(((Inputs!$B$12*(1+Inputs!$B$13/100))-(Inputs!$B$12*(1+Inputs!$B$13/100)))+0.25*(Inputs!$B$14-Inputs!$B$14))*(1+Inputs!$B$7/100))*(F2916/100)</f>
        <v/>
      </c>
      <c r="K2916">
        <f>J2916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2916)</f>
        <v/>
      </c>
      <c r="L2916">
        <f>K2916*(MIN(Inputs!$B$22+(F2922-Calc!F22),(Inputs!$B$23+(IF(ArtifactsInput!$M$15,CHOOSE(ArtifactsInput!$N$15+1,25,30,35,40,45,50)/100*(Inputs!$B$11-Inputs!$B$11),0))))/100+(Inputs!$B$23+(IF(ArtifactsInput!$M$15,CHOOSE(ArtifactsInput!$N$15+1,25,30,35,40,45,50)/100*(Inputs!$B$11-Inputs!$B$11),0)))/100)/2</f>
        <v/>
      </c>
      <c r="M2916">
        <f>L2916*(1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6">
        <f>L2916*(1-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2916*(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6">
        <f>(1-Summary!$B$11)*S2916+Summary!$B$11*U2916</f>
        <v/>
      </c>
      <c r="P2916">
        <f>IF(B2941=0,0,O2916/B2941)</f>
        <v/>
      </c>
      <c r="Q2916">
        <f>IFERROR(1/(IF(Inputs!$B$38="pvp",15,MAX(0.1,Skills!E16-IF(Skills!F16=TRUE,2.0,0)))*(1-IF(AND(ArtifactsInput!$M$27,Inputs!$B$4="Chapter Hunt"),CHOOSE(ArtifactsInput!$N$27+1,20,24,28,32,36,40),0)/100)),0)</f>
        <v/>
      </c>
      <c r="R2916">
        <f>IF(AND(Inputs!$B$38&lt;&gt;"pvp",Inputs!$B$43&gt;0),IF(MAX(0,Inputs!$B$43-B2938)&lt;=0,0,(INT(MAX(0,Inputs!$B$43-B2938)/(IF(Inputs!$B$38="pvp",15,MAX(0.1,Skills!E16-IF(Skills!F16=TRUE,2.0,0)))*(1-IF(AND(ArtifactsInput!$M$27,Inputs!$B$4="Chapter Hunt"),CHOOSE(ArtifactsInput!$N$27+1,20,24,28,32,36,40),0)/100)))+1)),0)</f>
        <v/>
      </c>
      <c r="S2916">
        <f>IF(C2916,(H2916*N2916*IF(AND(Inputs!$B$38&lt;&gt;"pvp",Inputs!$B$43&gt;0),((Skills!G16*((R2916-1)*IF(Skills!H16&gt;0,Skills!I16/Skills!H16,1)+IF(Skills!H16&gt;0,MIN(Skills!I16,MAX(0,MAX(0,Inputs!$B$43-B2938)-((R2916-1)*(IF(Inputs!$B$38="pvp",15,MAX(0.1,Skills!E16-IF(Skills!F16=TRUE,2.0,0)))*(1-IF(AND(ArtifactsInput!$M$27,Inputs!$B$4="Chapter Hunt"),CHOOSE(ArtifactsInput!$N$27+1,20,24,28,32,36,40),0)/100)))))/Skills!H16,1)))/Inputs!$B$43),G2916*Q2916)*(1+IF(Inputs!$B$3&gt;=126,0.05*(B2936+Q2913+(H2914*B2937)/(1+Skills!H14*H2914*B2937)+Q2924)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2916*(1-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2916*(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2916*(1-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2916*(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16">
        <f>IF(C2916,(H2916*N2916*IF(AND(Inputs!$B$38&lt;&gt;"pvp",Inputs!$B$43&gt;0),((Skills!G16*((R2916-1)*IF(Skills!H16&gt;0,Skills!I16/Skills!H16,1)+IF(Skills!H16&gt;0,MIN(Skills!I16,MAX(0,MAX(0,Inputs!$B$43-B2938)-((R2916-1)*(IF(Inputs!$B$38="pvp",15,MAX(0.1,Skills!E16-IF(Skills!F16=TRUE,2.0,0)))*(1-IF(AND(ArtifactsInput!$M$27,Inputs!$B$4="Chapter Hunt"),CHOOSE(ArtifactsInput!$N$27+1,20,24,28,32,36,40),0)/100)))))/Skills!H16,1)))/Inputs!$B$43),G2916*Q2916)*(1+IF(Inputs!$B$3&gt;=126,0.05*(B2936+Q2913+(H2914*B2937)/(1+Skills!H14*H2914*B2937)+Q2924)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7">
      <c r="A2917">
        <f>Skills!A17</f>
        <v/>
      </c>
      <c r="B2917">
        <f>Skills!B17</f>
        <v/>
      </c>
      <c r="C2917">
        <f>TRUE</f>
        <v/>
      </c>
      <c r="D2917">
        <f>IF(Skills!C17=1,60+Inputs!$B$25+Inputs!$B$29,IF(Skills!C17=2,90+Inputs!$B$26+Inputs!$B$29,IF(Skills!C17=3,120+Inputs!$B$27+Inputs!$B$29,MAX(0,(Inputs!$B$3-100)*3)+Inputs!$B$28+Inputs!$B$29)))</f>
        <v/>
      </c>
      <c r="E2917">
        <f>INDEX(FactorTable!$B$2:$Y$301, MATCH(ROUND(MIN(300,MAX(1,D2917)),0), FactorTable!$A$2:$A$301,0), Skills!M17+1)</f>
        <v/>
      </c>
      <c r="F2917">
        <f>IF(Skills!N17=TRUE,(Skills!L17/10)*(E2917/1000),Skills!L17/10)+Skills!O17</f>
        <v/>
      </c>
      <c r="G2917">
        <f>Calc!G17</f>
        <v/>
      </c>
      <c r="H2917">
        <f>Calc!H17</f>
        <v/>
      </c>
      <c r="I2917">
        <f>IF(Skills!X17&lt;&gt;"",1+(Skills!X17/10)*(Z2903/1000)/100,1)</f>
        <v/>
      </c>
      <c r="J2917" t="inlineStr"/>
      <c r="K2917" t="inlineStr"/>
      <c r="L2917" t="inlineStr"/>
      <c r="M2917" t="inlineStr"/>
      <c r="N2917" t="inlineStr"/>
      <c r="O2917">
        <f>(1-Summary!$B$11)*S2917+Summary!$B$11*U2917</f>
        <v/>
      </c>
      <c r="P2917">
        <f>IF(B2941=0,0,O2917/B2941)</f>
        <v/>
      </c>
      <c r="Q2917">
        <f>IFERROR(1/(IF(Inputs!$B$38="pvp",15,MAX(0.1,Skills!E17-IF(Skills!F17=TRUE,2.0,0)))*(1-IF(AND(ArtifactsInput!$M$27,Inputs!$B$4="Chapter Hunt"),CHOOSE(ArtifactsInput!$N$27+1,20,24,28,32,36,40),0)/100)),0)</f>
        <v/>
      </c>
      <c r="R2917">
        <f>IF(AND(Inputs!$B$38&lt;&gt;"pvp",Inputs!$B$43&gt;0),IF(Inputs!$B$43&lt;=0,0,(INT(Inputs!$B$43/(IF(Inputs!$B$38="pvp",15,MAX(0.1,Skills!E17-IF(Skills!F17=TRUE,2.0,0)))*(1-IF(AND(ArtifactsInput!$M$27,Inputs!$B$4="Chapter Hunt"),CHOOSE(ArtifactsInput!$N$27+1,20,24,28,32,36,40),0)/100)))+1)),0)</f>
        <v/>
      </c>
      <c r="S2917" t="n">
        <v>0</v>
      </c>
      <c r="U2917" t="n">
        <v>0</v>
      </c>
    </row>
    <row r="2918">
      <c r="A2918">
        <f>Skills!A18</f>
        <v/>
      </c>
      <c r="B2918">
        <f>Skills!B18</f>
        <v/>
      </c>
      <c r="C2918">
        <f>TRUE</f>
        <v/>
      </c>
      <c r="D2918">
        <f>IF(Skills!C18=1,60+Inputs!$B$25+Inputs!$B$29,IF(Skills!C18=2,90+Inputs!$B$26+Inputs!$B$29,IF(Skills!C18=3,120+Inputs!$B$27+Inputs!$B$29,MAX(0,(Inputs!$B$3-100)*3)+Inputs!$B$28+Inputs!$B$29)))</f>
        <v/>
      </c>
      <c r="E2918">
        <f>INDEX(FactorTable!$B$2:$Y$301, MATCH(ROUND(MIN(300,MAX(1,D2918)),0), FactorTable!$A$2:$A$301,0), Skills!M18+1)</f>
        <v/>
      </c>
      <c r="F2918">
        <f>IF(Skills!N18=TRUE,(Skills!L18/10)*(E2918/1000),Skills!L18/10)+Skills!O18</f>
        <v/>
      </c>
      <c r="G2918">
        <f>Calc!G18</f>
        <v/>
      </c>
      <c r="H2918">
        <f>Calc!H18</f>
        <v/>
      </c>
      <c r="I2918">
        <f>IF(Skills!X18&lt;&gt;"",1+(Skills!X18/10)*(Z2903/1000)/100,1)</f>
        <v/>
      </c>
      <c r="J2918" t="inlineStr"/>
      <c r="K2918" t="inlineStr"/>
      <c r="L2918" t="inlineStr"/>
      <c r="M2918" t="inlineStr"/>
      <c r="N2918" t="inlineStr"/>
      <c r="O2918">
        <f>(1-Summary!$B$11)*S2918+Summary!$B$11*U2918</f>
        <v/>
      </c>
      <c r="P2918">
        <f>IF(B2941=0,0,O2918/B2941)</f>
        <v/>
      </c>
      <c r="Q2918">
        <f>IFERROR(1/(IF(Inputs!$B$38="pvp",15,MAX(0.1,Skills!E18-IF(Skills!F18=TRUE,2.0,0)))*(1-IF(AND(ArtifactsInput!$M$27,Inputs!$B$4="Chapter Hunt"),CHOOSE(ArtifactsInput!$N$27+1,20,24,28,32,36,40),0)/100)),0)</f>
        <v/>
      </c>
      <c r="R2918">
        <f>IF(AND(Inputs!$B$38&lt;&gt;"pvp",Inputs!$B$43&gt;0),IF(Inputs!$B$43&lt;=0,0,(INT(Inputs!$B$43/(IF(Inputs!$B$38="pvp",15,MAX(0.1,Skills!E18-IF(Skills!F18=TRUE,2.0,0)))*(1-IF(AND(ArtifactsInput!$M$27,Inputs!$B$4="Chapter Hunt"),CHOOSE(ArtifactsInput!$N$27+1,20,24,28,32,36,40),0)/100)))+1)),0)</f>
        <v/>
      </c>
      <c r="S2918" t="n">
        <v>0</v>
      </c>
      <c r="U2918" t="n">
        <v>0</v>
      </c>
    </row>
    <row r="2919">
      <c r="A2919">
        <f>Skills!A19</f>
        <v/>
      </c>
      <c r="B2919">
        <f>Skills!B19</f>
        <v/>
      </c>
      <c r="C2919">
        <f>Inputs!$B$3&gt;=110</f>
        <v/>
      </c>
      <c r="D2919">
        <f>IF(Skills!C19=1,60+Inputs!$B$25+Inputs!$B$29,IF(Skills!C19=2,90+Inputs!$B$26+Inputs!$B$29,IF(Skills!C19=3,120+Inputs!$B$27+Inputs!$B$29,MAX(0,(Inputs!$B$3-100)*3)+Inputs!$B$28+Inputs!$B$29)))</f>
        <v/>
      </c>
      <c r="E2919">
        <f>INDEX(FactorTable!$B$2:$Y$301, MATCH(ROUND(MIN(300,MAX(1,D2919)),0), FactorTable!$A$2:$A$301,0), Skills!M19+1)</f>
        <v/>
      </c>
      <c r="F2919">
        <f>IF(Skills!N19=TRUE,(Skills!L19/10)*(E2919/1000),Skills!L19/10)+Skills!O19</f>
        <v/>
      </c>
      <c r="G2919">
        <f>Calc!G19</f>
        <v/>
      </c>
      <c r="H2919">
        <f>Calc!H19</f>
        <v/>
      </c>
      <c r="I2919">
        <f>IF(Skills!X19&lt;&gt;"",1+(Skills!X19/10)*(Z2903/1000)/100,1)</f>
        <v/>
      </c>
      <c r="J2919" t="inlineStr"/>
      <c r="K2919" t="inlineStr"/>
      <c r="L2919" t="inlineStr"/>
      <c r="M2919" t="inlineStr"/>
      <c r="N2919" t="inlineStr"/>
      <c r="O2919">
        <f>(1-Summary!$B$11)*S2919+Summary!$B$11*U2919</f>
        <v/>
      </c>
      <c r="P2919">
        <f>IF(B2941=0,0,O2919/B2941)</f>
        <v/>
      </c>
      <c r="Q2919">
        <f>IFERROR(1/(IF(Inputs!$B$38="pvp",15,MAX(0.1,Skills!E19-IF(Skills!F19=TRUE,2.0,0)))*(1-IF(AND(ArtifactsInput!$M$27,Inputs!$B$4="Chapter Hunt"),CHOOSE(ArtifactsInput!$N$27+1,20,24,28,32,36,40),0)/100)),0)</f>
        <v/>
      </c>
      <c r="R2919">
        <f>IF(AND(Inputs!$B$38&lt;&gt;"pvp",Inputs!$B$43&gt;0),IF(Inputs!$B$43&lt;=0,0,(INT(Inputs!$B$43/(IF(Inputs!$B$38="pvp",15,MAX(0.1,Skills!E19-IF(Skills!F19=TRUE,2.0,0)))*(1-IF(AND(ArtifactsInput!$M$27,Inputs!$B$4="Chapter Hunt"),CHOOSE(ArtifactsInput!$N$27+1,20,24,28,32,36,40),0)/100)))+1)),0)</f>
        <v/>
      </c>
      <c r="S2919" t="n">
        <v>0</v>
      </c>
      <c r="U2919" t="n">
        <v>0</v>
      </c>
    </row>
    <row r="2920">
      <c r="A2920">
        <f>Skills!A20</f>
        <v/>
      </c>
      <c r="B2920">
        <f>Skills!B20</f>
        <v/>
      </c>
      <c r="C2920">
        <f>TRUE</f>
        <v/>
      </c>
      <c r="D2920">
        <f>IF(Skills!C20=1,60+Inputs!$B$25+Inputs!$B$29,IF(Skills!C20=2,90+Inputs!$B$26+Inputs!$B$29,IF(Skills!C20=3,120+Inputs!$B$27+Inputs!$B$29,MAX(0,(Inputs!$B$3-100)*3)+Inputs!$B$28+Inputs!$B$29)))</f>
        <v/>
      </c>
      <c r="E2920">
        <f>INDEX(FactorTable!$B$2:$Y$301, MATCH(ROUND(MIN(300,MAX(1,D2920)),0), FactorTable!$A$2:$A$301,0), Skills!M20+1)</f>
        <v/>
      </c>
      <c r="F2920">
        <f>IF(Skills!N20=TRUE,(Skills!L20/10)*(E2920/1000),Skills!L20/10)+Skills!O20</f>
        <v/>
      </c>
      <c r="G2920">
        <f>Calc!G20</f>
        <v/>
      </c>
      <c r="H2920">
        <f>Calc!H20</f>
        <v/>
      </c>
      <c r="I2920">
        <f>IF(Skills!X20&lt;&gt;"",1+(Skills!X20/10)*(Z2903/1000)/100,1)</f>
        <v/>
      </c>
      <c r="J2920" t="inlineStr"/>
      <c r="K2920" t="inlineStr"/>
      <c r="L2920" t="inlineStr"/>
      <c r="M2920" t="inlineStr"/>
      <c r="N2920" t="inlineStr"/>
      <c r="O2920">
        <f>(1-Summary!$B$11)*S2920+Summary!$B$11*U2920</f>
        <v/>
      </c>
      <c r="P2920">
        <f>IF(B2941=0,0,O2920/B2941)</f>
        <v/>
      </c>
      <c r="Q2920">
        <f>IFERROR(1/(IF(Inputs!$B$38="pvp",15,MAX(0.1,Skills!E20-IF(Skills!F20=TRUE,2.0,0)))*(1-IF(AND(ArtifactsInput!$M$27,Inputs!$B$4="Chapter Hunt"),CHOOSE(ArtifactsInput!$N$27+1,20,24,28,32,36,40),0)/100)),0)</f>
        <v/>
      </c>
      <c r="R2920" t="n">
        <v>0</v>
      </c>
      <c r="S2920" t="n">
        <v>0</v>
      </c>
      <c r="U2920" t="n">
        <v>0</v>
      </c>
    </row>
    <row r="2921">
      <c r="A2921">
        <f>Skills!A21</f>
        <v/>
      </c>
      <c r="B2921">
        <f>Skills!B21</f>
        <v/>
      </c>
      <c r="C2921">
        <f>TRUE</f>
        <v/>
      </c>
      <c r="D2921">
        <f>IF(Skills!C21=1,60+Inputs!$B$25+Inputs!$B$29,IF(Skills!C21=2,90+Inputs!$B$26+Inputs!$B$29,IF(Skills!C21=3,120+Inputs!$B$27+Inputs!$B$29,MAX(0,(Inputs!$B$3-100)*3)+Inputs!$B$28+Inputs!$B$29)))</f>
        <v/>
      </c>
      <c r="E2921">
        <f>INDEX(FactorTable!$B$2:$Y$301, MATCH(ROUND(MIN(300,MAX(1,D2921)),0), FactorTable!$A$2:$A$301,0), Skills!M21+1)</f>
        <v/>
      </c>
      <c r="F2921">
        <f>IF(Skills!N21=TRUE,(Skills!L21/10)*(E2921/1000),Skills!L21/10)+Skills!O21</f>
        <v/>
      </c>
      <c r="G2921">
        <f>Calc!G21</f>
        <v/>
      </c>
      <c r="H2921">
        <f>Calc!H21</f>
        <v/>
      </c>
      <c r="I2921">
        <f>IF(Skills!X21&lt;&gt;"",1+(Skills!X21/10)*(Z2903/1000)/100,1)</f>
        <v/>
      </c>
      <c r="J2921" t="inlineStr"/>
      <c r="K2921" t="inlineStr"/>
      <c r="L2921" t="inlineStr"/>
      <c r="M2921" t="inlineStr"/>
      <c r="N2921" t="inlineStr"/>
      <c r="O2921">
        <f>(1-Summary!$B$11)*S2921+Summary!$B$11*U2921</f>
        <v/>
      </c>
      <c r="P2921">
        <f>IF(B2941=0,0,O2921/B2941)</f>
        <v/>
      </c>
      <c r="Q2921">
        <f>IFERROR(1/(IF(Inputs!$B$38="pvp",15,MAX(0.1,Skills!E21-IF(Skills!F21=TRUE,2.0,0)))*(1-IF(AND(ArtifactsInput!$M$27,Inputs!$B$4="Chapter Hunt"),CHOOSE(ArtifactsInput!$N$27+1,20,24,28,32,36,40),0)/100)),0)</f>
        <v/>
      </c>
      <c r="R2921" t="n">
        <v>0</v>
      </c>
      <c r="S2921" t="n">
        <v>0</v>
      </c>
      <c r="U2921" t="n">
        <v>0</v>
      </c>
    </row>
    <row r="2922">
      <c r="A2922">
        <f>Skills!A22</f>
        <v/>
      </c>
      <c r="B2922">
        <f>Skills!B22</f>
        <v/>
      </c>
      <c r="C2922">
        <f>TRUE</f>
        <v/>
      </c>
      <c r="D2922">
        <f>IF(Skills!C22=1,60+Inputs!$B$25+Inputs!$B$29,IF(Skills!C22=2,90+Inputs!$B$26+Inputs!$B$29,IF(Skills!C22=3,120+Inputs!$B$27+Inputs!$B$29,MAX(0,(Inputs!$B$3-100)*3)+Inputs!$B$28+Inputs!$B$29)))</f>
        <v/>
      </c>
      <c r="E2922">
        <f>INDEX(FactorTable!$B$2:$Y$301, MATCH(ROUND(MIN(300,MAX(1,D2922)),0), FactorTable!$A$2:$A$301,0), Skills!M22+1)</f>
        <v/>
      </c>
      <c r="F2922">
        <f>IF(Skills!N22=TRUE,(Skills!L22/10)*(E2922/1000),Skills!L22/10)+Skills!O22</f>
        <v/>
      </c>
      <c r="G2922">
        <f>Calc!G22</f>
        <v/>
      </c>
      <c r="H2922">
        <f>Calc!H22</f>
        <v/>
      </c>
      <c r="I2922">
        <f>IF(Skills!X22&lt;&gt;"",1+(Skills!X22/10)*(Z2903/1000)/100,1)</f>
        <v/>
      </c>
      <c r="J2922" t="inlineStr"/>
      <c r="K2922" t="inlineStr"/>
      <c r="L2922" t="inlineStr"/>
      <c r="M2922" t="inlineStr"/>
      <c r="N2922" t="inlineStr"/>
      <c r="O2922">
        <f>(1-Summary!$B$11)*S2922+Summary!$B$11*U2922</f>
        <v/>
      </c>
      <c r="P2922">
        <f>IF(B2941=0,0,O2922/B2941)</f>
        <v/>
      </c>
      <c r="Q2922">
        <f>IFERROR(1/(IF(Inputs!$B$38="pvp",15,MAX(0.1,Skills!E22-IF(Skills!F22=TRUE,2.0,0)))*(1-IF(AND(ArtifactsInput!$M$27,Inputs!$B$4="Chapter Hunt"),CHOOSE(ArtifactsInput!$N$27+1,20,24,28,32,36,40),0)/100)),0)</f>
        <v/>
      </c>
      <c r="R2922" t="n">
        <v>0</v>
      </c>
      <c r="S2922" t="n">
        <v>0</v>
      </c>
      <c r="U2922" t="n">
        <v>0</v>
      </c>
    </row>
    <row r="2923">
      <c r="A2923">
        <f>Skills!A23</f>
        <v/>
      </c>
      <c r="B2923">
        <f>Skills!B23</f>
        <v/>
      </c>
      <c r="C2923">
        <f>TRUE</f>
        <v/>
      </c>
      <c r="D2923">
        <f>IF(Skills!C23=1,60+Inputs!$B$25+Inputs!$B$29,IF(Skills!C23=2,90+Inputs!$B$26+Inputs!$B$29,IF(Skills!C23=3,120+Inputs!$B$27+Inputs!$B$29,MAX(0,(Inputs!$B$3-100)*3)+Inputs!$B$28+Inputs!$B$29)))</f>
        <v/>
      </c>
      <c r="E2923">
        <f>INDEX(FactorTable!$B$2:$Y$301, MATCH(ROUND(MIN(300,MAX(1,D2923)),0), FactorTable!$A$2:$A$301,0), Skills!M23+1)</f>
        <v/>
      </c>
      <c r="F2923">
        <f>IF(Skills!N23=TRUE,(Skills!L23/10)*(E2923/1000),Skills!L23/10)+Skills!O23</f>
        <v/>
      </c>
      <c r="G2923">
        <f>Calc!G23</f>
        <v/>
      </c>
      <c r="H2923">
        <f>Calc!H23</f>
        <v/>
      </c>
      <c r="I2923">
        <f>IF(Skills!X23&lt;&gt;"",1+(Skills!X23/10)*(Z2903/1000)/100,1)</f>
        <v/>
      </c>
      <c r="J2923" t="inlineStr"/>
      <c r="K2923" t="inlineStr"/>
      <c r="L2923" t="inlineStr"/>
      <c r="M2923" t="inlineStr"/>
      <c r="N2923" t="inlineStr"/>
      <c r="O2923">
        <f>(1-Summary!$B$11)*S2923+Summary!$B$11*U2923</f>
        <v/>
      </c>
      <c r="P2923">
        <f>IF(B2941=0,0,O2923/B2941)</f>
        <v/>
      </c>
      <c r="Q2923">
        <f>IFERROR(1/(IF(Inputs!$B$38="pvp",15,MAX(0.1,Skills!E23-IF(Skills!F23=TRUE,2.0,0)))*(1-IF(AND(ArtifactsInput!$M$27,Inputs!$B$4="Chapter Hunt"),CHOOSE(ArtifactsInput!$N$27+1,20,24,28,32,36,40),0)/100)),0)</f>
        <v/>
      </c>
      <c r="R2923" t="n">
        <v>0</v>
      </c>
      <c r="S2923" t="n">
        <v>0</v>
      </c>
      <c r="U2923" t="n">
        <v>0</v>
      </c>
    </row>
    <row r="2924">
      <c r="A2924">
        <f>Skills!A24</f>
        <v/>
      </c>
      <c r="B2924">
        <f>Skills!B24</f>
        <v/>
      </c>
      <c r="C2924">
        <f>Inputs!$B$3&gt;=115</f>
        <v/>
      </c>
      <c r="D2924">
        <f>IF(Skills!C24=1,60+Inputs!$B$25+Inputs!$B$29,IF(Skills!C24=2,90+Inputs!$B$26+Inputs!$B$29,IF(Skills!C24=3,120+Inputs!$B$27+Inputs!$B$29,MAX(0,(Inputs!$B$3-100)*3)+Inputs!$B$28+Inputs!$B$29)))</f>
        <v/>
      </c>
      <c r="E2924">
        <f>INDEX(FactorTable!$B$2:$Y$301, MATCH(ROUND(MIN(300,MAX(1,D2924)),0), FactorTable!$A$2:$A$301,0), Skills!M24+1)</f>
        <v/>
      </c>
      <c r="F2924">
        <f>IF(Skills!N24=TRUE,(Skills!L24/10)*(E2924/1000),Skills!L24/10)+Skills!O24</f>
        <v/>
      </c>
      <c r="G2924">
        <f>Calc!G24</f>
        <v/>
      </c>
      <c r="H2924">
        <f>Calc!H24</f>
        <v/>
      </c>
      <c r="I2924">
        <f>IF(Skills!X24&lt;&gt;"",1+(Skills!X24/10)*(Z2903/1000)/100,1)</f>
        <v/>
      </c>
      <c r="J2924">
        <f>((Inputs!$B$6*(1+Inputs!$B$7/100))+(((Inputs!$B$12*(1+Inputs!$B$13/100))-(Inputs!$B$12*(1+Inputs!$B$13/100)))+0.25*(Inputs!$B$14-Inputs!$B$14))*(1+Inputs!$B$7/100))*(F2924/100)</f>
        <v/>
      </c>
      <c r="K2924">
        <f>J2924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2924)</f>
        <v/>
      </c>
      <c r="L2924">
        <f>K2924*(MIN(Inputs!$B$22+(F2922-Calc!F22),(Inputs!$B$23+(IF(ArtifactsInput!$M$15,CHOOSE(ArtifactsInput!$N$15+1,25,30,35,40,45,50)/100*(Inputs!$B$11-Inputs!$B$11),0))))/100+(Inputs!$B$23+(IF(ArtifactsInput!$M$15,CHOOSE(ArtifactsInput!$N$15+1,25,30,35,40,45,50)/100*(Inputs!$B$11-Inputs!$B$11),0)))/100)/2</f>
        <v/>
      </c>
      <c r="M2924">
        <f>L2924*(1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4">
        <f>L2924*(1-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2924*(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4">
        <f>(1-Summary!$B$11)*S2924+Summary!$B$11*U2924</f>
        <v/>
      </c>
      <c r="P2924">
        <f>IF(B2941=0,0,O2924/B2941)</f>
        <v/>
      </c>
      <c r="Q2924">
        <f>IFERROR(1/(IF(Inputs!$B$38="pvp",15,MAX(0.1,Skills!E24-IF(Skills!F24=TRUE,2.0,0)))*(1-IF(AND(ArtifactsInput!$M$27,Inputs!$B$4="Chapter Hunt"),CHOOSE(ArtifactsInput!$N$27+1,20,24,28,32,36,40),0)/100)),0)</f>
        <v/>
      </c>
      <c r="R2924">
        <f>IF(AND(Inputs!$B$38&lt;&gt;"pvp",Inputs!$B$43&gt;0),IF(MAX(0,Inputs!$B$43-B2938)&lt;=0,0,(INT(MAX(0,Inputs!$B$43-B2938)/(IF(Inputs!$B$38="pvp",15,MAX(0.1,Skills!E24-IF(Skills!F24=TRUE,2.0,0)))*(1-IF(AND(ArtifactsInput!$M$27,Inputs!$B$4="Chapter Hunt"),CHOOSE(ArtifactsInput!$N$27+1,20,24,28,32,36,40),0)/100)))+1)),0)</f>
        <v/>
      </c>
      <c r="S2924">
        <f>IF(C2924,(H2924*N2924*IF(AND(Inputs!$B$38&lt;&gt;"pvp",Inputs!$B$43&gt;0),((Skills!G24*((R2924-1)*IF(Skills!H24&gt;0,Skills!I24/Skills!H24,1)+IF(Skills!H24&gt;0,MIN(Skills!I24,MAX(0,MAX(0,Inputs!$B$43-B2938)-((R2924-1)*(IF(Inputs!$B$38="pvp",15,MAX(0.1,Skills!E24-IF(Skills!F24=TRUE,2.0,0)))*(1-IF(AND(ArtifactsInput!$M$27,Inputs!$B$4="Chapter Hunt"),CHOOSE(ArtifactsInput!$N$27+1,20,24,28,32,36,40),0)/100)))))/Skills!H24,1)))/Inputs!$B$43),G2924*Q2924)*(1+IF(Inputs!$B$3&gt;=130,0.2*(Skills!I16/Skills!E15+IF(Inputs!$B$3&gt;=126,0.05*(B2936+Q2913+(H2914*B2937)/(1+Skills!H14*H2914*B2937)+Q2924)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2924*(1-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2924*(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2924*(1-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2924*(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4">
        <f>IF(C2924,(H2924*N2924*IF(AND(Inputs!$B$38&lt;&gt;"pvp",Inputs!$B$43&gt;0),((Skills!G24*((R2924-1)*IF(Skills!H24&gt;0,Skills!I24/Skills!H24,1)+IF(Skills!H24&gt;0,MIN(Skills!I24,MAX(0,MAX(0,Inputs!$B$43-B2938)-((R2924-1)*(IF(Inputs!$B$38="pvp",15,MAX(0.1,Skills!E24-IF(Skills!F24=TRUE,2.0,0)))*(1-IF(AND(ArtifactsInput!$M$27,Inputs!$B$4="Chapter Hunt"),CHOOSE(ArtifactsInput!$N$27+1,20,24,28,32,36,40),0)/100)))))/Skills!H24,1)))/Inputs!$B$43),G2924*Q2924)*(1+IF(Inputs!$B$3&gt;=130,0.2*(Skills!I16/Skills!E15+IF(Inputs!$B$3&gt;=126,0.05*(B2936+Q2913+(H2914*B2937)/(1+Skills!H14*H2914*B2937)+Q2924)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5">
      <c r="A2925">
        <f>Skills!A25</f>
        <v/>
      </c>
      <c r="B2925">
        <f>Skills!B25</f>
        <v/>
      </c>
      <c r="C2925">
        <f>Inputs!$B$3&gt;=117</f>
        <v/>
      </c>
      <c r="D2925">
        <f>IF(Skills!C25=1,60+Inputs!$B$25+Inputs!$B$29,IF(Skills!C25=2,90+Inputs!$B$26+Inputs!$B$29,IF(Skills!C25=3,120+Inputs!$B$27+Inputs!$B$29,MAX(0,(Inputs!$B$3-100)*3)+Inputs!$B$28+Inputs!$B$29)))</f>
        <v/>
      </c>
      <c r="E2925">
        <f>INDEX(FactorTable!$B$2:$Y$301, MATCH(ROUND(MIN(300,MAX(1,D2925)),0), FactorTable!$A$2:$A$301,0), Skills!M25+1)</f>
        <v/>
      </c>
      <c r="F2925">
        <f>IF(Skills!N25=TRUE,(Skills!L25/10)*(E2925/1000),Skills!L25/10)+Skills!O25</f>
        <v/>
      </c>
      <c r="G2925">
        <f>Calc!G25</f>
        <v/>
      </c>
      <c r="H2925">
        <f>Calc!H25</f>
        <v/>
      </c>
      <c r="I2925">
        <f>IF(Skills!X25&lt;&gt;"",1+(Skills!X25/10)*(Z2903/1000)/100,1)</f>
        <v/>
      </c>
      <c r="J2925" t="inlineStr"/>
      <c r="K2925" t="inlineStr"/>
      <c r="L2925" t="inlineStr"/>
      <c r="M2925" t="inlineStr"/>
      <c r="N2925" t="inlineStr"/>
      <c r="O2925">
        <f>(1-Summary!$B$11)*S2925+Summary!$B$11*U2925</f>
        <v/>
      </c>
      <c r="P2925">
        <f>IF(B2941=0,0,O2925/B2941)</f>
        <v/>
      </c>
      <c r="Q2925">
        <f>IFERROR(1/(IF(Inputs!$B$38="pvp",15,MAX(0.1,Skills!E25-IF(Skills!F25=TRUE,2.0,0)))*(1-IF(AND(ArtifactsInput!$M$27,Inputs!$B$4="Chapter Hunt"),CHOOSE(ArtifactsInput!$N$27+1,20,24,28,32,36,40),0)/100)),0)</f>
        <v/>
      </c>
      <c r="R2925" t="n">
        <v>0</v>
      </c>
      <c r="S2925" t="n">
        <v>0</v>
      </c>
      <c r="U2925" t="n">
        <v>0</v>
      </c>
    </row>
    <row r="2926">
      <c r="A2926">
        <f>Skills!A26</f>
        <v/>
      </c>
      <c r="B2926">
        <f>Skills!B26</f>
        <v/>
      </c>
      <c r="C2926">
        <f>Inputs!$B$3&gt;=120</f>
        <v/>
      </c>
      <c r="D2926">
        <f>IF(Skills!C26=1,60+Inputs!$B$25+Inputs!$B$29,IF(Skills!C26=2,90+Inputs!$B$26+Inputs!$B$29,IF(Skills!C26=3,120+Inputs!$B$27+Inputs!$B$29,MAX(0,(Inputs!$B$3-100)*3)+Inputs!$B$28+Inputs!$B$29)))</f>
        <v/>
      </c>
      <c r="E2926">
        <f>INDEX(FactorTable!$B$2:$Y$301, MATCH(ROUND(MIN(300,MAX(1,D2926)),0), FactorTable!$A$2:$A$301,0), Skills!M26+1)</f>
        <v/>
      </c>
      <c r="F2926">
        <f>IF(Skills!N26=TRUE,(Skills!L26/10)*(E2926/1000),Skills!L26/10)+Skills!O26</f>
        <v/>
      </c>
      <c r="G2926">
        <f>Calc!G26</f>
        <v/>
      </c>
      <c r="H2926">
        <f>Calc!H26</f>
        <v/>
      </c>
      <c r="I2926">
        <f>IF(Skills!X26&lt;&gt;"",1+(Skills!X26/10)*(Z2903/1000)/100,1)</f>
        <v/>
      </c>
      <c r="J2926" t="inlineStr"/>
      <c r="K2926" t="inlineStr"/>
      <c r="L2926" t="inlineStr"/>
      <c r="M2926" t="inlineStr"/>
      <c r="N2926" t="inlineStr"/>
      <c r="O2926">
        <f>(1-Summary!$B$11)*S2926+Summary!$B$11*U2926</f>
        <v/>
      </c>
      <c r="P2926">
        <f>IF(B2941=0,0,O2926/B2941)</f>
        <v/>
      </c>
      <c r="Q2926">
        <f>IFERROR(1/(IF(Inputs!$B$38="pvp",15,MAX(0.1,Skills!E26-IF(Skills!F26=TRUE,2.0,0)))*(1-IF(AND(ArtifactsInput!$M$27,Inputs!$B$4="Chapter Hunt"),CHOOSE(ArtifactsInput!$N$27+1,20,24,28,32,36,40),0)/100)),0)</f>
        <v/>
      </c>
      <c r="R2926" t="n">
        <v>0</v>
      </c>
      <c r="S2926" t="n">
        <v>0</v>
      </c>
      <c r="U2926" t="n">
        <v>0</v>
      </c>
    </row>
    <row r="2927">
      <c r="A2927">
        <f>Skills!A27</f>
        <v/>
      </c>
      <c r="B2927">
        <f>Skills!B27</f>
        <v/>
      </c>
      <c r="C2927">
        <f>Inputs!$B$3&gt;=125</f>
        <v/>
      </c>
      <c r="D2927">
        <f>IF(Skills!C27=1,60+Inputs!$B$25+Inputs!$B$29,IF(Skills!C27=2,90+Inputs!$B$26+Inputs!$B$29,IF(Skills!C27=3,120+Inputs!$B$27+Inputs!$B$29,MAX(0,(Inputs!$B$3-100)*3)+Inputs!$B$28+Inputs!$B$29)))</f>
        <v/>
      </c>
      <c r="E2927">
        <f>INDEX(FactorTable!$B$2:$Y$301, MATCH(ROUND(MIN(300,MAX(1,D2927)),0), FactorTable!$A$2:$A$301,0), Skills!M27+1)</f>
        <v/>
      </c>
      <c r="F2927">
        <f>IF(Skills!N27=TRUE,(Skills!L27/10)*(E2927/1000),Skills!L27/10)+Skills!O27</f>
        <v/>
      </c>
      <c r="G2927">
        <f>Calc!G27</f>
        <v/>
      </c>
      <c r="H2927">
        <f>Calc!H27</f>
        <v/>
      </c>
      <c r="I2927">
        <f>IF(Skills!X27&lt;&gt;"",1+(Skills!X27/10)*(Z2903/1000)/100,1)</f>
        <v/>
      </c>
      <c r="J2927" t="inlineStr"/>
      <c r="K2927" t="inlineStr"/>
      <c r="L2927" t="inlineStr"/>
      <c r="M2927" t="inlineStr"/>
      <c r="N2927" t="inlineStr"/>
      <c r="O2927">
        <f>(1-Summary!$B$11)*S2927+Summary!$B$11*U2927</f>
        <v/>
      </c>
      <c r="P2927">
        <f>IF(B2941=0,0,O2927/B2941)</f>
        <v/>
      </c>
      <c r="Q2927">
        <f>IFERROR(1/(IF(Inputs!$B$38="pvp",15,MAX(0.1,Skills!E27-IF(Skills!F27=TRUE,2.0,0)))*(1-IF(AND(ArtifactsInput!$M$27,Inputs!$B$4="Chapter Hunt"),CHOOSE(ArtifactsInput!$N$27+1,20,24,28,32,36,40),0)/100)),0)</f>
        <v/>
      </c>
      <c r="R2927" t="n">
        <v>0</v>
      </c>
      <c r="S2927" t="n">
        <v>0</v>
      </c>
      <c r="U2927" t="n">
        <v>0</v>
      </c>
    </row>
    <row r="2928">
      <c r="A2928">
        <f>Skills!A28</f>
        <v/>
      </c>
      <c r="B2928">
        <f>Skills!B28</f>
        <v/>
      </c>
      <c r="C2928">
        <f>Inputs!$B$3&gt;=118</f>
        <v/>
      </c>
      <c r="D2928">
        <f>IF(Skills!C28=1,60+Inputs!$B$25+Inputs!$B$29,IF(Skills!C28=2,90+Inputs!$B$26+Inputs!$B$29,IF(Skills!C28=3,120+Inputs!$B$27+Inputs!$B$29,MAX(0,(Inputs!$B$3-100)*3)+Inputs!$B$28+Inputs!$B$29)))</f>
        <v/>
      </c>
      <c r="E2928">
        <f>INDEX(FactorTable!$B$2:$Y$301, MATCH(ROUND(MIN(300,MAX(1,D2928)),0), FactorTable!$A$2:$A$301,0), Skills!M28+1)</f>
        <v/>
      </c>
      <c r="F2928">
        <f>IF(Skills!N28=TRUE,(Skills!L28/10)*(E2928/1000),Skills!L28/10)+Skills!O28</f>
        <v/>
      </c>
      <c r="G2928">
        <f>Calc!G28</f>
        <v/>
      </c>
      <c r="H2928">
        <f>Calc!H28</f>
        <v/>
      </c>
      <c r="I2928">
        <f>IF(Skills!X28&lt;&gt;"",1+(Skills!X28/10)*(Z2903/1000)/100,1)</f>
        <v/>
      </c>
      <c r="J2928">
        <f>((Inputs!$B$6*(1+Inputs!$B$7/100))+(((Inputs!$B$12*(1+Inputs!$B$13/100))-(Inputs!$B$12*(1+Inputs!$B$13/100)))+0.25*(Inputs!$B$14-Inputs!$B$14))*(1+Inputs!$B$7/100))*(F2928/100)</f>
        <v/>
      </c>
      <c r="K2928">
        <f>J2928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2923/100)*(1+IF(Inputs!$B$3&gt;=120,F2926,0)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2927*5,0)))/100)*(B2930*B2931*B2932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2928)</f>
        <v/>
      </c>
      <c r="L2928">
        <f>K2928*(MIN(Inputs!$B$22+(F2922-Calc!F22),(Inputs!$B$23+(IF(ArtifactsInput!$M$15,CHOOSE(ArtifactsInput!$N$15+1,25,30,35,40,45,50)/100*(Inputs!$B$11-Inputs!$B$11),0))))/100+(Inputs!$B$23+(IF(ArtifactsInput!$M$15,CHOOSE(ArtifactsInput!$N$15+1,25,30,35,40,45,50)/100*(Inputs!$B$11-Inputs!$B$11),0)))/100)/2</f>
        <v/>
      </c>
      <c r="M2928">
        <f>L2928*(1+(Inputs!$B$10+(F2921-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8">
        <f>L2928*(1-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2928*(MIN((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8">
        <f>(1-Summary!$B$11)*S2928+Summary!$B$11*U2928</f>
        <v/>
      </c>
      <c r="P2928">
        <f>IF(B2941=0,0,O2928/B2941)</f>
        <v/>
      </c>
      <c r="Q2928">
        <f>IFERROR(1/(IF(Inputs!$B$38="pvp",15,MAX(0.1,Skills!E28-IF(Skills!F28=TRUE,2.0,0)))*(1-IF(AND(ArtifactsInput!$M$27,Inputs!$B$4="Chapter Hunt"),CHOOSE(ArtifactsInput!$N$27+1,20,24,28,32,36,40),0)/100)),0)</f>
        <v/>
      </c>
      <c r="R2928">
        <f>IF(AND(Inputs!$B$38&lt;&gt;"pvp",Inputs!$B$43&gt;0),IF(MAX(0,Inputs!$B$43-B2938)&lt;=0,0,(INT(MAX(0,Inputs!$B$43-B2938)/(IF(Inputs!$B$38="pvp",15,MAX(0.1,Skills!E28-IF(Skills!F28=TRUE,2.0,0)))*(1-IF(AND(ArtifactsInput!$M$27,Inputs!$B$4="Chapter Hunt"),CHOOSE(ArtifactsInput!$N$27+1,20,24,28,32,36,40),0)/100)))+1)),0)</f>
        <v/>
      </c>
      <c r="S2928">
        <f>IF(C2928,(H2928*N2928*IF(AND(Inputs!$B$38&lt;&gt;"pvp",Inputs!$B$43&gt;0),((Skills!G28*((R2928-1)*IF(Skills!H28&gt;0,Skills!I28/Skills!H28,1)+IF(Skills!H28&gt;0,MIN(Skills!I28,MAX(0,MAX(0,Inputs!$B$43-B2938)-((R2928-1)*(IF(Inputs!$B$38="pvp",15,MAX(0.1,Skills!E28-IF(Skills!F28=TRUE,2.0,0)))*(1-IF(AND(ArtifactsInput!$M$27,Inputs!$B$4="Chapter Hunt"),CHOOSE(ArtifactsInput!$N$27+1,20,24,28,32,36,40),0)/100)))))/Skills!H28,1)))/Inputs!$B$43),G2928*Q2928)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2928*(1-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2928*(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2928*(1-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2928*(MIN(100,(Inputs!$B$9+(F2920-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8">
        <f>IF(C2928,(H2928*N2928*IF(AND(Inputs!$B$38&lt;&gt;"pvp",Inputs!$B$43&gt;0),((Skills!G28*((R2928-1)*IF(Skills!H28&gt;0,Skills!I28/Skills!H28,1)+IF(Skills!H28&gt;0,MIN(Skills!I28,MAX(0,MAX(0,Inputs!$B$43-B2938)-((R2928-1)*(IF(Inputs!$B$38="pvp",15,MAX(0.1,Skills!E28-IF(Skills!F28=TRUE,2.0,0)))*(1-IF(AND(ArtifactsInput!$M$27,Inputs!$B$4="Chapter Hunt"),CHOOSE(ArtifactsInput!$N$27+1,20,24,28,32,36,40),0)/100)))))/Skills!H28,1)))/Inputs!$B$43),G2928*Q2928)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0">
      <c r="A2930" t="inlineStr">
        <is>
          <t>Burning Magic Multiplier</t>
        </is>
      </c>
      <c r="B2930">
        <f>1+(F2911*Skills!Z11)/100</f>
        <v/>
      </c>
    </row>
    <row r="2931">
      <c r="A2931" t="inlineStr">
        <is>
          <t>Elemental Decrease Multiplier (always-on)</t>
        </is>
      </c>
      <c r="B2931">
        <f>1+(F2912+(IF(AND(ArtifactsInput!$M$35,Inputs!$B$4&lt;&gt;"Chapter Hunt"),CHOOSE(ArtifactsInput!$N$35+1,15,18,21,24,27,30)*(1-EXP(-(0.2*B2934)*5)),0)+IF(AND(ArtifactsInput!$M$22,Inputs!$B$4&lt;&gt;"Chapter Hunt"),CHOOSE(ArtifactsInput!$N$22+1,10,12,14,16,18,20)*((0*(((0.15*B2934*5))^0/1)+1*(((0.15*B2934*5))^1/1)+2*(((0.15*B2934*5))^2/2)+3*(((0.15*B2934*5))^3/6)+4*(((0.15*B2934*5))^4/24)+5*(((0.15*B2934*5))^5/120))/((((0.15*B2934*5))^0/1)+(((0.15*B2934*5))^1/1)+(((0.15*B2934*5))^2/2)+(((0.15*B2934*5))^3/6)+(((0.15*B2934*5))^4/24)+(((0.15*B2934*5))^5/120))),0)))/100</f>
        <v/>
      </c>
    </row>
    <row r="2932">
      <c r="A2932" t="inlineStr">
        <is>
          <t>Average Buff Multiplier (Magic Guard + Meditation + Artifact Attack%, summed; then Infinity)</t>
        </is>
      </c>
      <c r="B2932">
        <f>(1+(F2906*IF(AND(Inputs!$B$38&lt;&gt;"pvp",Inputs!$B$43&gt;0),(((R2906-1)*(Skills!T6*(1+((Inputs!$B$34+(ArtifactsInput!$M$7-ArtifactsInput!$M$7)*CHOOSE(ArtifactsInput!$N$7+1,6,7.2,8.4,9.6,10.8,12)))/100))+MIN((Skills!T6*(1+((Inputs!$B$34+(ArtifactsInput!$M$7-ArtifactsInput!$M$7)*CHOOSE(ArtifactsInput!$N$7+1,6,7.2,8.4,9.6,10.8,12)))/100)),MAX(0,Inputs!$B$43-((R2906-1)*Skills!E6))))/Inputs!$B$43),IF(Inputs!$B$38="pvp",MIN((Skills!T6*(1+((Inputs!$B$34+(ArtifactsInput!$M$7-ArtifactsInput!$M$7)*CHOOSE(ArtifactsInput!$N$7+1,6,7.2,8.4,9.6,10.8,12)))/100)),15)/15,(Skills!T6*(1+((Inputs!$B$34+(ArtifactsInput!$M$7-ArtifactsInput!$M$7)*CHOOSE(ArtifactsInput!$N$7+1,6,7.2,8.4,9.6,10.8,12)))/100))/Skills!E6))+F2917*IF(AND(Inputs!$B$38&lt;&gt;"pvp",Inputs!$B$43&gt;0),(((R2917-1)*(Skills!T17*(1+((Inputs!$B$34+(ArtifactsInput!$M$7-ArtifactsInput!$M$7)*CHOOSE(ArtifactsInput!$N$7+1,6,7.2,8.4,9.6,10.8,12)))/100))+MIN((Skills!T17*(1+((Inputs!$B$34+(ArtifactsInput!$M$7-ArtifactsInput!$M$7)*CHOOSE(ArtifactsInput!$N$7+1,6,7.2,8.4,9.6,10.8,12)))/100)),MAX(0,Inputs!$B$43-((R2917-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2919=TRUE,(1+F2919*IF(AND(Inputs!$B$38&lt;&gt;"pvp",Inputs!$B$43&gt;0),(((R2919-1)*(Skills!T19*(1+((Inputs!$B$34+(ArtifactsInput!$M$7-ArtifactsInput!$M$7)*CHOOSE(ArtifactsInput!$N$7+1,6,7.2,8.4,9.6,10.8,12)))/100))+MIN((Skills!T19*(1+((Inputs!$B$34+(ArtifactsInput!$M$7-ArtifactsInput!$M$7)*CHOOSE(ArtifactsInput!$N$7+1,6,7.2,8.4,9.6,10.8,12)))/100)),MAX(0,Inputs!$B$43-((R2919-1)*Skills!E19))))/Inputs!$B$43),IF(Inputs!$B$38="pvp",MIN((Skills!T19*(1+((Inputs!$B$34+(ArtifactsInput!$M$7-ArtifactsInput!$M$7)*CHOOSE(ArtifactsInput!$N$7+1,6,7.2,8.4,9.6,10.8,12)))/100)),15)/15,(Skills!T19*(1+((Inputs!$B$34+(ArtifactsInput!$M$7-ArtifactsInput!$M$7)*CHOOSE(ArtifactsInput!$N$7+1,6,7.2,8.4,9.6,10.8,12)))/100))/Skills!E19))/100),1)</f>
        <v/>
      </c>
    </row>
    <row r="2933">
      <c r="A2933" t="inlineStr">
        <is>
          <t>Attack Speed Buff Bonus % (Nimble Feet, averaged)</t>
        </is>
      </c>
      <c r="B2933">
        <f>F2918*IF(AND(Inputs!$B$38&lt;&gt;"pvp",Inputs!$B$43&gt;0),(((R2918-1)*(Skills!T18*(1+((Inputs!$B$34+(ArtifactsInput!$M$7-ArtifactsInput!$M$7)*CHOOSE(ArtifactsInput!$N$7+1,6,7.2,8.4,9.6,10.8,12)))/100))+MIN((Skills!T18*(1+((Inputs!$B$34+(ArtifactsInput!$M$7-ArtifactsInput!$M$7)*CHOOSE(ArtifactsInput!$N$7+1,6,7.2,8.4,9.6,10.8,12)))/100)),MAX(0,Inputs!$B$43-((R2918-1)*Skills!E18))))/Inputs!$B$43),IF(Inputs!$B$38="pvp",MIN((Skills!T18*(1+((Inputs!$B$34+(ArtifactsInput!$M$7-ArtifactsInput!$M$7)*CHOOSE(ArtifactsInput!$N$7+1,6,7.2,8.4,9.6,10.8,12)))/100)),15)/15,(Skills!T18*(1+((Inputs!$B$34+(ArtifactsInput!$M$7-ArtifactsInput!$M$7)*CHOOSE(ArtifactsInput!$N$7+1,6,7.2,8.4,9.6,10.8,12)))/100))/Skills!E18))</f>
        <v/>
      </c>
    </row>
    <row r="2934">
      <c r="A2934" t="inlineStr">
        <is>
          <t>Actions Per Second</t>
        </is>
      </c>
      <c r="B2934">
        <f>1+MIN(150,150*(1-(1-(Inputs!$B$11+(ArtifactsInput!$M$15-ArtifactsInput!$M$15)*CHOOSE(ArtifactsInput!$N$15+1,8,9.6,11.2,12.8,14.4,16))/150)*(1-B2933/150)))/100</f>
        <v/>
      </c>
    </row>
    <row r="2935">
      <c r="A2935" t="inlineStr">
        <is>
          <t>Skill + Buff Cast Rate</t>
        </is>
      </c>
      <c r="B2935">
        <f>IF(AND(Inputs!$B$38&lt;&gt;"pvp",Inputs!$B$43&gt;0),SUMPRODUCT((Skills!F2:F28=TRUE)*(C2902:C2928=TRUE)*R2902:R2928)/Inputs!$B$43,SUMPRODUCT((Skills!F2:F28=TRUE)*(C2902:C2928=TRUE)*Q2902:Q2928))</f>
        <v/>
      </c>
    </row>
    <row r="2936">
      <c r="A2936" t="inlineStr">
        <is>
          <t>Basic Attacks Per Second</t>
        </is>
      </c>
      <c r="B2936">
        <f>MAX(0,B2934-B2935)</f>
        <v/>
      </c>
    </row>
    <row r="2937">
      <c r="A2937" t="inlineStr">
        <is>
          <t>Meteor Proc — combined trigger cast rate</t>
        </is>
      </c>
      <c r="B2937">
        <f>IF(AND(Inputs!$B$38&lt;&gt;"pvp",Inputs!$B$43&gt;0),SUMPRODUCT((Skills!V2:V28=TRUE)*(C2902:C2928=TRUE)*R2902:R2928*Skills!W2:W28)/Inputs!$B$43,SUMPRODUCT((Skills!V2:V28=TRUE)*(C2902:C2928=TRUE)*Q2902:Q2928*Skills!W2:W28))+B2936</f>
        <v/>
      </c>
    </row>
    <row r="2938">
      <c r="A2938" t="inlineStr">
        <is>
          <t>Buff-Casting Startup Delay (s, fixed-duration only)</t>
        </is>
      </c>
      <c r="B2938">
        <f>IF(AND(Inputs!$B$38&lt;&gt;"pvp",Inputs!$B$43&gt;0),SUMPRODUCT((Skills!T2:T28&gt;0)*(Skills!F2:F28=TRUE)*(C2902:C2928=TRUE))/B2934,0)</f>
        <v/>
      </c>
    </row>
    <row r="2939">
      <c r="A2939" t="inlineStr">
        <is>
          <t>Boss-Only Total DPS (this block's swept value)</t>
        </is>
      </c>
      <c r="B2939">
        <f>SUM(S2902:S2928)</f>
        <v/>
      </c>
    </row>
    <row r="2940">
      <c r="A2940" t="inlineStr">
        <is>
          <t>Normal-Only Total DPS (this block's swept value)</t>
        </is>
      </c>
      <c r="B2940">
        <f>SUM(U2902:U2928)</f>
        <v/>
      </c>
    </row>
    <row r="2941">
      <c r="A2941" s="6" t="inlineStr">
        <is>
          <t>TOTAL DPS</t>
        </is>
      </c>
      <c r="B2941" s="6">
        <f>SUM(O2902:O2928)</f>
        <v/>
      </c>
    </row>
    <row r="2944">
      <c r="A2944" s="6" t="inlineStr">
        <is>
          <t>Stat: CDR = 2.5s</t>
        </is>
      </c>
    </row>
    <row r="2945">
      <c r="A2945" s="5" t="inlineStr">
        <is>
          <t>Key</t>
        </is>
      </c>
      <c r="B2945" s="5" t="inlineStr">
        <is>
          <t>Name</t>
        </is>
      </c>
      <c r="C2945" s="5" t="inlineStr">
        <is>
          <t>Unlocked</t>
        </is>
      </c>
      <c r="D2945" s="5" t="inlineStr">
        <is>
          <t>InputLevel</t>
        </is>
      </c>
      <c r="E2945" s="5" t="inlineStr">
        <is>
          <t>Factor</t>
        </is>
      </c>
      <c r="F2945" s="5" t="inlineStr">
        <is>
          <t>CoefficientPercent</t>
        </is>
      </c>
      <c r="G2945" s="5" t="inlineStr">
        <is>
          <t>EffectiveHits</t>
        </is>
      </c>
      <c r="H2945" s="5" t="inlineStr">
        <is>
          <t>ProcProbability</t>
        </is>
      </c>
      <c r="I2945" s="5" t="inlineStr">
        <is>
          <t>MapleHeroMultiplier</t>
        </is>
      </c>
      <c r="J2945" s="5" t="inlineStr">
        <is>
          <t>BaseDamage</t>
        </is>
      </c>
      <c r="K2945" s="5" t="inlineStr">
        <is>
          <t>BaseHitDamage</t>
        </is>
      </c>
      <c r="L2945" s="5" t="inlineStr">
        <is>
          <t>NonCritAvg</t>
        </is>
      </c>
      <c r="M2945" s="5" t="inlineStr">
        <is>
          <t>CritAvg</t>
        </is>
      </c>
      <c r="N2945" s="5" t="inlineStr">
        <is>
          <t>ExpectedDamage(perHit)</t>
        </is>
      </c>
      <c r="O2945" s="5" t="inlineStr">
        <is>
          <t>DPS</t>
        </is>
      </c>
      <c r="P2945" s="5" t="inlineStr">
        <is>
          <t>% of Total</t>
        </is>
      </c>
      <c r="R2945" t="inlineStr">
        <is>
          <t>helpers</t>
        </is>
      </c>
    </row>
    <row r="2946">
      <c r="A2946">
        <f>Skills!A2</f>
        <v/>
      </c>
      <c r="B2946">
        <f>Skills!B2</f>
        <v/>
      </c>
      <c r="C2946">
        <f>TRUE</f>
        <v/>
      </c>
      <c r="D2946" t="inlineStr"/>
      <c r="E2946" t="inlineStr"/>
      <c r="F2946">
        <f>T2948+Skills!O2</f>
        <v/>
      </c>
      <c r="G2946">
        <f>Calc!G2</f>
        <v/>
      </c>
      <c r="H2946">
        <f>Calc!H2</f>
        <v/>
      </c>
      <c r="I2946">
        <f>IF(Skills!X2&lt;&gt;"",1+(Skills!X2/10)*(Z2947/1000)/100,1)</f>
        <v/>
      </c>
      <c r="J2946">
        <f>((Inputs!$B$6*(1+Inputs!$B$7/100))+(((Inputs!$B$12*(1+Inputs!$B$13/100))-(Inputs!$B$12*(1+Inputs!$B$13/100)))+0.25*(Inputs!$B$14-Inputs!$B$14))*(1+Inputs!$B$7/100))*(F2946/100)</f>
        <v/>
      </c>
      <c r="K2946">
        <f>J2946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2946)</f>
        <v/>
      </c>
      <c r="L2946">
        <f>K2946*(MIN(Inputs!$B$22+(F2966-Calc!F22),(Inputs!$B$23+(IF(ArtifactsInput!$M$15,CHOOSE(ArtifactsInput!$N$15+1,25,30,35,40,45,50)/100*(Inputs!$B$11-Inputs!$B$11),0))))/100+(Inputs!$B$23+(IF(ArtifactsInput!$M$15,CHOOSE(ArtifactsInput!$N$15+1,25,30,35,40,45,50)/100*(Inputs!$B$11-Inputs!$B$11),0)))/100)/2</f>
        <v/>
      </c>
      <c r="M2946">
        <f>L2946*(1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6">
        <f>L2946*(1-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2946*(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6">
        <f>(1-Summary!$B$11)*S2946+Summary!$B$11*U2946</f>
        <v/>
      </c>
      <c r="P2946">
        <f>IF(B2985=0,0,O2946/B2985)</f>
        <v/>
      </c>
      <c r="Q2946">
        <f>IFERROR(1/(IF(Inputs!$B$38="pvp",15,MAX(0.1,Skills!E2-IF(Skills!F2=TRUE,2.5,0)))*(1-IF(AND(ArtifactsInput!$M$27,Inputs!$B$4="Chapter Hunt"),CHOOSE(ArtifactsInput!$N$27+1,20,24,28,32,36,40),0)/100)),0)</f>
        <v/>
      </c>
      <c r="R2946" t="n">
        <v>0</v>
      </c>
      <c r="S2946">
        <f>(Skills!G2*N2946*B2980)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2946*(1-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2946*(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2946*(1-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2946*(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946">
        <f>MAX(0,(Inputs!$B$3-100)*3)+Inputs!$B$28+Inputs!$B$29</f>
        <v/>
      </c>
      <c r="U2946">
        <f>(Skills!G2*N2946*B2980)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946">
        <f>MAX(0,(Inputs!$B$3-100)*3)+Inputs!$B$28+Inputs!$B$29</f>
        <v/>
      </c>
    </row>
    <row r="2947">
      <c r="A2947">
        <f>Skills!A3</f>
        <v/>
      </c>
      <c r="B2947">
        <f>Skills!B3</f>
        <v/>
      </c>
      <c r="C2947">
        <f>TRUE</f>
        <v/>
      </c>
      <c r="D2947">
        <f>IF(Skills!C3=1,60+Inputs!$B$25+Inputs!$B$29,IF(Skills!C3=2,90+Inputs!$B$26+Inputs!$B$29,IF(Skills!C3=3,120+Inputs!$B$27+Inputs!$B$29,MAX(0,(Inputs!$B$3-100)*3)+Inputs!$B$28+Inputs!$B$29)))</f>
        <v/>
      </c>
      <c r="E2947">
        <f>INDEX(FactorTable!$B$2:$Y$301, MATCH(ROUND(MIN(300,MAX(1,D2947)),0), FactorTable!$A$2:$A$301,0), Skills!M3+1)</f>
        <v/>
      </c>
      <c r="F2947">
        <f>IF(Skills!N3=TRUE,(Skills!L3/10)*(E2947/1000),Skills!L3/10)+Skills!O3</f>
        <v/>
      </c>
      <c r="G2947">
        <f>Calc!G3</f>
        <v/>
      </c>
      <c r="H2947">
        <f>Calc!H3</f>
        <v/>
      </c>
      <c r="I2947">
        <f>IF(Skills!X3&lt;&gt;"",1+(Skills!X3/10)*(Z2947/1000)/100,1)</f>
        <v/>
      </c>
      <c r="J2947">
        <f>((Inputs!$B$6*(1+Inputs!$B$7/100))+(((Inputs!$B$12*(1+Inputs!$B$13/100))-(Inputs!$B$12*(1+Inputs!$B$13/100)))+0.25*(Inputs!$B$14-Inputs!$B$14))*(1+Inputs!$B$7/100))*(F2947/100)</f>
        <v/>
      </c>
      <c r="K2947">
        <f>J2947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2947)</f>
        <v/>
      </c>
      <c r="L2947">
        <f>K2947*(MIN(Inputs!$B$22+(F2966-Calc!F22),(Inputs!$B$23+(IF(ArtifactsInput!$M$15,CHOOSE(ArtifactsInput!$N$15+1,25,30,35,40,45,50)/100*(Inputs!$B$11-Inputs!$B$11),0))))/100+(Inputs!$B$23+(IF(ArtifactsInput!$M$15,CHOOSE(ArtifactsInput!$N$15+1,25,30,35,40,45,50)/100*(Inputs!$B$11-Inputs!$B$11),0)))/100)/2</f>
        <v/>
      </c>
      <c r="M2947">
        <f>L2947*(1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7">
        <f>L2947*(1-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2947*(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7">
        <f>(1-Summary!$B$11)*S2947+Summary!$B$11*U2947</f>
        <v/>
      </c>
      <c r="P2947">
        <f>IF(B2985=0,0,O2947/B2985)</f>
        <v/>
      </c>
      <c r="Q2947">
        <f>IFERROR(1/(IF(Inputs!$B$38="pvp",15,MAX(0.1,Skills!E3-IF(Skills!F3=TRUE,2.5,0)))*(1-IF(AND(ArtifactsInput!$M$27,Inputs!$B$4="Chapter Hunt"),CHOOSE(ArtifactsInput!$N$27+1,20,24,28,32,36,40),0)/100)),0)</f>
        <v/>
      </c>
      <c r="R2947">
        <f>IF(AND(Inputs!$B$38&lt;&gt;"pvp",Inputs!$B$43&gt;0),IF(MAX(0,Inputs!$B$43-B2982)&lt;=0,0,(INT(MAX(0,Inputs!$B$43-B2982)/(IF(Inputs!$B$38="pvp",15,MAX(0.1,Skills!E3-IF(Skills!F3=TRUE,2.5,0)))*(1-IF(AND(ArtifactsInput!$M$27,Inputs!$B$4="Chapter Hunt"),CHOOSE(ArtifactsInput!$N$27+1,20,24,28,32,36,40),0)/100)))+1)),0)</f>
        <v/>
      </c>
      <c r="S2947">
        <f>IF(C2947,(H2947*N2947*IF(AND(Inputs!$B$38&lt;&gt;"pvp",Inputs!$B$43&gt;0),((Skills!G3*((R2947-1)*IF(Skills!H3&gt;0,Skills!I3/Skills!H3,1)+IF(Skills!H3&gt;0,MIN(Skills!I3,MAX(0,MAX(0,Inputs!$B$43-B2982)-((R2947-1)*(IF(Inputs!$B$38="pvp",15,MAX(0.1,Skills!E3-IF(Skills!F3=TRUE,2.5,0)))*(1-IF(AND(ArtifactsInput!$M$27,Inputs!$B$4="Chapter Hunt"),CHOOSE(ArtifactsInput!$N$27+1,20,24,28,32,36,40),0)/100)))))/Skills!H3,1)))/Inputs!$B$43),G2947*Q2947)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2947*(1-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2947*(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2947*(1-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2947*(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47">
        <f>INDEX(FactorTable!$B$2:$Y$301, MATCH(ROUND(MIN(300,MAX(1,T2946)),0), FactorTable!$A$2:$A$301,0), 22)</f>
        <v/>
      </c>
      <c r="U2947">
        <f>IF(C2947,(H2947*N2947*IF(AND(Inputs!$B$38&lt;&gt;"pvp",Inputs!$B$43&gt;0),((Skills!G3*((R2947-1)*IF(Skills!H3&gt;0,Skills!I3/Skills!H3,1)+IF(Skills!H3&gt;0,MIN(Skills!I3,MAX(0,MAX(0,Inputs!$B$43-B2982)-((R2947-1)*(IF(Inputs!$B$38="pvp",15,MAX(0.1,Skills!E3-IF(Skills!F3=TRUE,2.5,0)))*(1-IF(AND(ArtifactsInput!$M$27,Inputs!$B$4="Chapter Hunt"),CHOOSE(ArtifactsInput!$N$27+1,20,24,28,32,36,40),0)/100)))))/Skills!H3,1)))/Inputs!$B$43),G2947*Q2947)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947">
        <f>INDEX(FactorTable!$B$2:$Y$301, MATCH(ROUND(MIN(300,MAX(1,Z2946)),0), FactorTable!$A$2:$A$301,0), 24)</f>
        <v/>
      </c>
    </row>
    <row r="2948">
      <c r="A2948">
        <f>Skills!A4</f>
        <v/>
      </c>
      <c r="B2948">
        <f>Skills!B4</f>
        <v/>
      </c>
      <c r="C2948">
        <f>TRUE</f>
        <v/>
      </c>
      <c r="D2948">
        <f>IF(Skills!C4=1,60+Inputs!$B$25+Inputs!$B$29,IF(Skills!C4=2,90+Inputs!$B$26+Inputs!$B$29,IF(Skills!C4=3,120+Inputs!$B$27+Inputs!$B$29,MAX(0,(Inputs!$B$3-100)*3)+Inputs!$B$28+Inputs!$B$29)))</f>
        <v/>
      </c>
      <c r="E2948">
        <f>INDEX(FactorTable!$B$2:$Y$301, MATCH(ROUND(MIN(300,MAX(1,D2948)),0), FactorTable!$A$2:$A$301,0), Skills!M4+1)</f>
        <v/>
      </c>
      <c r="F2948">
        <f>IF(Skills!N4=TRUE,(Skills!L4/10)*(E2948/1000),Skills!L4/10)+Skills!O4</f>
        <v/>
      </c>
      <c r="G2948">
        <f>Calc!G4</f>
        <v/>
      </c>
      <c r="H2948">
        <f>Calc!H4</f>
        <v/>
      </c>
      <c r="I2948">
        <f>IF(Skills!X4&lt;&gt;"",1+(Skills!X4/10)*(Z2947/1000)/100,1)</f>
        <v/>
      </c>
      <c r="J2948">
        <f>((Inputs!$B$6*(1+Inputs!$B$7/100))+(((Inputs!$B$12*(1+Inputs!$B$13/100))-(Inputs!$B$12*(1+Inputs!$B$13/100)))+0.25*(Inputs!$B$14-Inputs!$B$14))*(1+Inputs!$B$7/100))*(F2948/100)</f>
        <v/>
      </c>
      <c r="K2948">
        <f>J2948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2948)</f>
        <v/>
      </c>
      <c r="L2948">
        <f>K2948*(MIN(Inputs!$B$22+(F2966-Calc!F22),(Inputs!$B$23+(IF(ArtifactsInput!$M$15,CHOOSE(ArtifactsInput!$N$15+1,25,30,35,40,45,50)/100*(Inputs!$B$11-Inputs!$B$11),0))))/100+(Inputs!$B$23+(IF(ArtifactsInput!$M$15,CHOOSE(ArtifactsInput!$N$15+1,25,30,35,40,45,50)/100*(Inputs!$B$11-Inputs!$B$11),0)))/100)/2</f>
        <v/>
      </c>
      <c r="M2948">
        <f>L2948*(1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8">
        <f>L2948*(1-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2948*(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8">
        <f>(1-Summary!$B$11)*S2948+Summary!$B$11*U2948</f>
        <v/>
      </c>
      <c r="P2948">
        <f>IF(B2985=0,0,O2948/B2985)</f>
        <v/>
      </c>
      <c r="Q2948">
        <f>IFERROR(1/(IF(Inputs!$B$38="pvp",15,MAX(0.1,Skills!E4-IF(Skills!F4=TRUE,2.5,0)))*(1-IF(AND(ArtifactsInput!$M$27,Inputs!$B$4="Chapter Hunt"),CHOOSE(ArtifactsInput!$N$27+1,20,24,28,32,36,40),0)/100)),0)</f>
        <v/>
      </c>
      <c r="R2948">
        <f>IF(AND(Inputs!$B$38&lt;&gt;"pvp",Inputs!$B$43&gt;0),IF(MAX(0,Inputs!$B$43-B2982)&lt;=0,0,(INT(MAX(0,Inputs!$B$43-B2982)/(IF(Inputs!$B$38="pvp",15,MAX(0.1,Skills!E4-IF(Skills!F4=TRUE,2.5,0)))*(1-IF(AND(ArtifactsInput!$M$27,Inputs!$B$4="Chapter Hunt"),CHOOSE(ArtifactsInput!$N$27+1,20,24,28,32,36,40),0)/100)))+1)),0)</f>
        <v/>
      </c>
      <c r="S2948">
        <f>IF(C2948,(H2948*N2948*IF(AND(Inputs!$B$38&lt;&gt;"pvp",Inputs!$B$43&gt;0),((Skills!G4*((R2948-1)*IF(Skills!H4&gt;0,Skills!I4/Skills!H4,1)+IF(Skills!H4&gt;0,MIN(Skills!I4,MAX(0,MAX(0,Inputs!$B$43-B2982)-((R2948-1)*(IF(Inputs!$B$38="pvp",15,MAX(0.1,Skills!E4-IF(Skills!F4=TRUE,2.5,0)))*(1-IF(AND(ArtifactsInput!$M$27,Inputs!$B$4="Chapter Hunt"),CHOOSE(ArtifactsInput!$N$27+1,20,24,28,32,36,40),0)/100)))))/Skills!H4,1)))/Inputs!$B$43),G2948*Q2948)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2948*(1-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2948*(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2948*(1-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2948*(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48">
        <f>290*T2947/1000</f>
        <v/>
      </c>
      <c r="U2948">
        <f>IF(C2948,(H2948*N2948*IF(AND(Inputs!$B$38&lt;&gt;"pvp",Inputs!$B$43&gt;0),((Skills!G4*((R2948-1)*IF(Skills!H4&gt;0,Skills!I4/Skills!H4,1)+IF(Skills!H4&gt;0,MIN(Skills!I4,MAX(0,MAX(0,Inputs!$B$43-B2982)-((R2948-1)*(IF(Inputs!$B$38="pvp",15,MAX(0.1,Skills!E4-IF(Skills!F4=TRUE,2.5,0)))*(1-IF(AND(ArtifactsInput!$M$27,Inputs!$B$4="Chapter Hunt"),CHOOSE(ArtifactsInput!$N$27+1,20,24,28,32,36,40),0)/100)))))/Skills!H4,1)))/Inputs!$B$43),G2948*Q2948)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49">
      <c r="A2949">
        <f>Skills!A5</f>
        <v/>
      </c>
      <c r="B2949">
        <f>Skills!B5</f>
        <v/>
      </c>
      <c r="C2949">
        <f>TRUE</f>
        <v/>
      </c>
      <c r="D2949">
        <f>IF(Skills!C5=1,60+Inputs!$B$25+Inputs!$B$29,IF(Skills!C5=2,90+Inputs!$B$26+Inputs!$B$29,IF(Skills!C5=3,120+Inputs!$B$27+Inputs!$B$29,MAX(0,(Inputs!$B$3-100)*3)+Inputs!$B$28+Inputs!$B$29)))</f>
        <v/>
      </c>
      <c r="E2949">
        <f>INDEX(FactorTable!$B$2:$Y$301, MATCH(ROUND(MIN(300,MAX(1,D2949)),0), FactorTable!$A$2:$A$301,0), Skills!M5+1)</f>
        <v/>
      </c>
      <c r="F2949">
        <f>IF(Skills!N5=TRUE,(Skills!L5/10)*(E2949/1000),Skills!L5/10)+Skills!O5</f>
        <v/>
      </c>
      <c r="G2949">
        <f>Calc!G5</f>
        <v/>
      </c>
      <c r="H2949">
        <f>Calc!H5</f>
        <v/>
      </c>
      <c r="I2949">
        <f>IF(Skills!X5&lt;&gt;"",1+(Skills!X5/10)*(Z2947/1000)/100,1)</f>
        <v/>
      </c>
      <c r="J2949">
        <f>((Inputs!$B$6*(1+Inputs!$B$7/100))+(((Inputs!$B$12*(1+Inputs!$B$13/100))-(Inputs!$B$12*(1+Inputs!$B$13/100)))+0.25*(Inputs!$B$14-Inputs!$B$14))*(1+Inputs!$B$7/100))*(F2949/100)</f>
        <v/>
      </c>
      <c r="K2949">
        <f>J2949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2949)</f>
        <v/>
      </c>
      <c r="L2949">
        <f>K2949*(MIN(Inputs!$B$22+(F2966-Calc!F22),(Inputs!$B$23+(IF(ArtifactsInput!$M$15,CHOOSE(ArtifactsInput!$N$15+1,25,30,35,40,45,50)/100*(Inputs!$B$11-Inputs!$B$11),0))))/100+(Inputs!$B$23+(IF(ArtifactsInput!$M$15,CHOOSE(ArtifactsInput!$N$15+1,25,30,35,40,45,50)/100*(Inputs!$B$11-Inputs!$B$11),0)))/100)/2</f>
        <v/>
      </c>
      <c r="M2949">
        <f>L2949*(1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49">
        <f>L2949*(1-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2949*(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49">
        <f>(1-Summary!$B$11)*S2949+Summary!$B$11*U2949</f>
        <v/>
      </c>
      <c r="P2949">
        <f>IF(B2985=0,0,O2949/B2985)</f>
        <v/>
      </c>
      <c r="Q2949">
        <f>IFERROR(1/(IF(Inputs!$B$38="pvp",15,MAX(0.1,Skills!E5-IF(Skills!F5=TRUE,2.5,0)))*(1-IF(AND(ArtifactsInput!$M$27,Inputs!$B$4="Chapter Hunt"),CHOOSE(ArtifactsInput!$N$27+1,20,24,28,32,36,40),0)/100)),0)</f>
        <v/>
      </c>
      <c r="R2949">
        <f>IF(AND(Inputs!$B$38&lt;&gt;"pvp",Inputs!$B$43&gt;0),IF(MAX(0,Inputs!$B$43-B2982)&lt;=0,0,(INT(MAX(0,Inputs!$B$43-B2982)/(IF(Inputs!$B$38="pvp",15,MAX(0.1,Skills!E5-IF(Skills!F5=TRUE,2.5,0)))*(1-IF(AND(ArtifactsInput!$M$27,Inputs!$B$4="Chapter Hunt"),CHOOSE(ArtifactsInput!$N$27+1,20,24,28,32,36,40),0)/100)))+1)),0)</f>
        <v/>
      </c>
      <c r="S2949">
        <f>IF(C2949,(H2949*N2949*IF(AND(Inputs!$B$38&lt;&gt;"pvp",Inputs!$B$43&gt;0),((Skills!G5*((R2949-1)*IF(Skills!H5&gt;0,Skills!I5/Skills!H5,1)+IF(Skills!H5&gt;0,MIN(Skills!I5,MAX(0,MAX(0,Inputs!$B$43-B2982)-((R2949-1)*(IF(Inputs!$B$38="pvp",15,MAX(0.1,Skills!E5-IF(Skills!F5=TRUE,2.5,0)))*(1-IF(AND(ArtifactsInput!$M$27,Inputs!$B$4="Chapter Hunt"),CHOOSE(ArtifactsInput!$N$27+1,20,24,28,32,36,40),0)/100)))))/Skills!H5,1)))/Inputs!$B$43),G2949*Q2949)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2949*(1-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2949*(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2949*(1-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2949*(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49">
        <f>IF(C2949,(H2949*N2949*IF(AND(Inputs!$B$38&lt;&gt;"pvp",Inputs!$B$43&gt;0),((Skills!G5*((R2949-1)*IF(Skills!H5&gt;0,Skills!I5/Skills!H5,1)+IF(Skills!H5&gt;0,MIN(Skills!I5,MAX(0,MAX(0,Inputs!$B$43-B2982)-((R2949-1)*(IF(Inputs!$B$38="pvp",15,MAX(0.1,Skills!E5-IF(Skills!F5=TRUE,2.5,0)))*(1-IF(AND(ArtifactsInput!$M$27,Inputs!$B$4="Chapter Hunt"),CHOOSE(ArtifactsInput!$N$27+1,20,24,28,32,36,40),0)/100)))))/Skills!H5,1)))/Inputs!$B$43),G2949*Q2949)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0">
      <c r="A2950">
        <f>Skills!A6</f>
        <v/>
      </c>
      <c r="B2950">
        <f>Skills!B6</f>
        <v/>
      </c>
      <c r="C2950">
        <f>TRUE</f>
        <v/>
      </c>
      <c r="D2950">
        <f>IF(Skills!C6=1,60+Inputs!$B$25+Inputs!$B$29,IF(Skills!C6=2,90+Inputs!$B$26+Inputs!$B$29,IF(Skills!C6=3,120+Inputs!$B$27+Inputs!$B$29,MAX(0,(Inputs!$B$3-100)*3)+Inputs!$B$28+Inputs!$B$29)))</f>
        <v/>
      </c>
      <c r="E2950">
        <f>INDEX(FactorTable!$B$2:$Y$301, MATCH(ROUND(MIN(300,MAX(1,D2950)),0), FactorTable!$A$2:$A$301,0), Skills!M6+1)</f>
        <v/>
      </c>
      <c r="F2950">
        <f>IF(Skills!N6=TRUE,(Skills!L6/10)*(E2950/1000),Skills!L6/10)+Skills!O6</f>
        <v/>
      </c>
      <c r="G2950">
        <f>Calc!G6</f>
        <v/>
      </c>
      <c r="H2950">
        <f>Calc!H6</f>
        <v/>
      </c>
      <c r="I2950">
        <f>IF(Skills!X6&lt;&gt;"",1+(Skills!X6/10)*(Z2947/1000)/100,1)</f>
        <v/>
      </c>
      <c r="J2950" t="inlineStr"/>
      <c r="K2950" t="inlineStr"/>
      <c r="L2950" t="inlineStr"/>
      <c r="M2950" t="inlineStr"/>
      <c r="N2950" t="inlineStr"/>
      <c r="O2950">
        <f>(1-Summary!$B$11)*S2950+Summary!$B$11*U2950</f>
        <v/>
      </c>
      <c r="P2950">
        <f>IF(B2985=0,0,O2950/B2985)</f>
        <v/>
      </c>
      <c r="Q2950">
        <f>IFERROR(1/(IF(Inputs!$B$38="pvp",15,MAX(0.1,Skills!E6-IF(Skills!F6=TRUE,2.5,0)))*(1-IF(AND(ArtifactsInput!$M$27,Inputs!$B$4="Chapter Hunt"),CHOOSE(ArtifactsInput!$N$27+1,20,24,28,32,36,40),0)/100)),0)</f>
        <v/>
      </c>
      <c r="R2950">
        <f>IF(AND(Inputs!$B$38&lt;&gt;"pvp",Inputs!$B$43&gt;0),IF(Inputs!$B$43&lt;=0,0,(INT(Inputs!$B$43/(IF(Inputs!$B$38="pvp",15,MAX(0.1,Skills!E6-IF(Skills!F6=TRUE,2.5,0)))*(1-IF(AND(ArtifactsInput!$M$27,Inputs!$B$4="Chapter Hunt"),CHOOSE(ArtifactsInput!$N$27+1,20,24,28,32,36,40),0)/100)))+1)),0)</f>
        <v/>
      </c>
      <c r="S2950" t="n">
        <v>0</v>
      </c>
      <c r="U2950" t="n">
        <v>0</v>
      </c>
    </row>
    <row r="2951">
      <c r="A2951">
        <f>Skills!A7</f>
        <v/>
      </c>
      <c r="B2951">
        <f>Skills!B7</f>
        <v/>
      </c>
      <c r="C2951">
        <f>TRUE</f>
        <v/>
      </c>
      <c r="D2951">
        <f>IF(Skills!C7=1,60+Inputs!$B$25+Inputs!$B$29,IF(Skills!C7=2,90+Inputs!$B$26+Inputs!$B$29,IF(Skills!C7=3,120+Inputs!$B$27+Inputs!$B$29,MAX(0,(Inputs!$B$3-100)*3)+Inputs!$B$28+Inputs!$B$29)))</f>
        <v/>
      </c>
      <c r="E2951">
        <f>INDEX(FactorTable!$B$2:$Y$301, MATCH(ROUND(MIN(300,MAX(1,D2951)),0), FactorTable!$A$2:$A$301,0), Skills!M7+1)</f>
        <v/>
      </c>
      <c r="F2951">
        <f>IF(Skills!N7=TRUE,(Skills!L7/10)*(E2951/1000),Skills!L7/10)+Skills!O7</f>
        <v/>
      </c>
      <c r="G2951">
        <f>Calc!G7</f>
        <v/>
      </c>
      <c r="H2951">
        <f>Calc!H7</f>
        <v/>
      </c>
      <c r="I2951">
        <f>IF(Skills!X7&lt;&gt;"",1+(Skills!X7/10)*(Z2947/1000)/100,1)</f>
        <v/>
      </c>
      <c r="J2951">
        <f>((Inputs!$B$6*(1+Inputs!$B$7/100))+(((Inputs!$B$12*(1+Inputs!$B$13/100))-(Inputs!$B$12*(1+Inputs!$B$13/100)))+0.25*(Inputs!$B$14-Inputs!$B$14))*(1+Inputs!$B$7/100))*(F2951/100)</f>
        <v/>
      </c>
      <c r="K2951">
        <f>J2951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2951)</f>
        <v/>
      </c>
      <c r="L2951">
        <f>K2951*(MIN(Inputs!$B$22+(F2966-Calc!F22),(Inputs!$B$23+(IF(ArtifactsInput!$M$15,CHOOSE(ArtifactsInput!$N$15+1,25,30,35,40,45,50)/100*(Inputs!$B$11-Inputs!$B$11),0))))/100+(Inputs!$B$23+(IF(ArtifactsInput!$M$15,CHOOSE(ArtifactsInput!$N$15+1,25,30,35,40,45,50)/100*(Inputs!$B$11-Inputs!$B$11),0)))/100)/2</f>
        <v/>
      </c>
      <c r="M2951">
        <f>L2951*(1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1">
        <f>L2951*(1-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1">
        <f>(1-Summary!$B$11)*S2951+Summary!$B$11*U2951</f>
        <v/>
      </c>
      <c r="P2951">
        <f>IF(B2985=0,0,O2951/B2985)</f>
        <v/>
      </c>
      <c r="Q2951">
        <f>IFERROR(1/(IF(Inputs!$B$38="pvp",15,MAX(0.1,Skills!E7-IF(Skills!F7=TRUE,2.5,0)))*(1-IF(AND(ArtifactsInput!$M$27,Inputs!$B$4="Chapter Hunt"),CHOOSE(ArtifactsInput!$N$27+1,20,24,28,32,36,40),0)/100)),0)</f>
        <v/>
      </c>
      <c r="R2951">
        <f>IF(AND(Inputs!$B$38&lt;&gt;"pvp",Inputs!$B$43&gt;0),IF(MAX(0,Inputs!$B$43-B2982)&lt;=0,0,(INT(MAX(0,Inputs!$B$43-B2982)/(IF(Inputs!$B$38="pvp",15,MAX(0.1,Skills!E7-IF(Skills!F7=TRUE,2.5,0)))*(1-IF(AND(ArtifactsInput!$M$27,Inputs!$B$4="Chapter Hunt"),CHOOSE(ArtifactsInput!$N$27+1,20,24,28,32,36,40),0)/100)))+1)),0)</f>
        <v/>
      </c>
      <c r="S2951">
        <f>IF(C2951,(H2951*N2951*IF(AND(Inputs!$B$38&lt;&gt;"pvp",Inputs!$B$43&gt;0),((Skills!G7*((R2951-1)*IF(Skills!H7&gt;0,Skills!I7/Skills!H7,1)+IF(Skills!H7&gt;0,MIN(Skills!I7,MAX(0,MAX(0,Inputs!$B$43-B2982)-((R2951-1)*(IF(Inputs!$B$38="pvp",15,MAX(0.1,Skills!E7-IF(Skills!F7=TRUE,2.5,0)))*(1-IF(AND(ArtifactsInput!$M$27,Inputs!$B$4="Chapter Hunt"),CHOOSE(ArtifactsInput!$N$27+1,20,24,28,32,36,40),0)/100)))))/Skills!H7,1)))/Inputs!$B$43),G2951*Q2951)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2951*(1-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2951*(1-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1">
        <f>IF(C2951,(H2951*N2951*IF(AND(Inputs!$B$38&lt;&gt;"pvp",Inputs!$B$43&gt;0),((Skills!G7*((R2951-1)*IF(Skills!H7&gt;0,Skills!I7/Skills!H7,1)+IF(Skills!H7&gt;0,MIN(Skills!I7,MAX(0,MAX(0,Inputs!$B$43-B2982)-((R2951-1)*(IF(Inputs!$B$38="pvp",15,MAX(0.1,Skills!E7-IF(Skills!F7=TRUE,2.5,0)))*(1-IF(AND(ArtifactsInput!$M$27,Inputs!$B$4="Chapter Hunt"),CHOOSE(ArtifactsInput!$N$27+1,20,24,28,32,36,40),0)/100)))))/Skills!H7,1)))/Inputs!$B$43),G2951*Q2951)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2">
      <c r="A2952">
        <f>Skills!A8</f>
        <v/>
      </c>
      <c r="B2952">
        <f>Skills!B8</f>
        <v/>
      </c>
      <c r="C2952">
        <f>TRUE</f>
        <v/>
      </c>
      <c r="D2952">
        <f>IF(Skills!C8=1,60+Inputs!$B$25+Inputs!$B$29,IF(Skills!C8=2,90+Inputs!$B$26+Inputs!$B$29,IF(Skills!C8=3,120+Inputs!$B$27+Inputs!$B$29,MAX(0,(Inputs!$B$3-100)*3)+Inputs!$B$28+Inputs!$B$29)))</f>
        <v/>
      </c>
      <c r="E2952">
        <f>INDEX(FactorTable!$B$2:$Y$301, MATCH(ROUND(MIN(300,MAX(1,D2952)),0), FactorTable!$A$2:$A$301,0), Skills!M8+1)</f>
        <v/>
      </c>
      <c r="F2952">
        <f>IF(Skills!N8=TRUE,(Skills!L8/10)*(E2952/1000),Skills!L8/10)+Skills!O8</f>
        <v/>
      </c>
      <c r="G2952">
        <f>Calc!G8</f>
        <v/>
      </c>
      <c r="H2952">
        <f>Calc!H8</f>
        <v/>
      </c>
      <c r="I2952">
        <f>IF(Skills!X8&lt;&gt;"",1+(Skills!X8/10)*(Z2947/1000)/100,1)</f>
        <v/>
      </c>
      <c r="J2952">
        <f>((Inputs!$B$6*(1+Inputs!$B$7/100))+(((Inputs!$B$12*(1+Inputs!$B$13/100))-(Inputs!$B$12*(1+Inputs!$B$13/100)))+0.25*(Inputs!$B$14-Inputs!$B$14))*(1+Inputs!$B$7/100))*(F2952/100)</f>
        <v/>
      </c>
      <c r="K2952">
        <f>J2952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2952)</f>
        <v/>
      </c>
      <c r="L2952">
        <f>K2952*(MIN(Inputs!$B$22+(F2966-Calc!F22),(Inputs!$B$23+(IF(ArtifactsInput!$M$15,CHOOSE(ArtifactsInput!$N$15+1,25,30,35,40,45,50)/100*(Inputs!$B$11-Inputs!$B$11),0))))/100+(Inputs!$B$23+(IF(ArtifactsInput!$M$15,CHOOSE(ArtifactsInput!$N$15+1,25,30,35,40,45,50)/100*(Inputs!$B$11-Inputs!$B$11),0)))/100)/2</f>
        <v/>
      </c>
      <c r="M2952">
        <f>L2952*(1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2">
        <f>L2952*(1-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2952*(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2">
        <f>(1-Summary!$B$11)*S2952+Summary!$B$11*U2952</f>
        <v/>
      </c>
      <c r="P2952">
        <f>IF(B2985=0,0,O2952/B2985)</f>
        <v/>
      </c>
      <c r="Q2952">
        <f>IFERROR(1/(IF(Inputs!$B$38="pvp",15,MAX(0.1,Skills!E8-IF(Skills!F8=TRUE,2.5,0)))*(1-IF(AND(ArtifactsInput!$M$27,Inputs!$B$4="Chapter Hunt"),CHOOSE(ArtifactsInput!$N$27+1,20,24,28,32,36,40),0)/100)),0)</f>
        <v/>
      </c>
      <c r="R2952">
        <f>IF(AND(Inputs!$B$38&lt;&gt;"pvp",Inputs!$B$43&gt;0),IF(MAX(0,Inputs!$B$43-B2982)&lt;=0,0,(INT(MAX(0,Inputs!$B$43-B2982)/(IF(Inputs!$B$38="pvp",15,MAX(0.1,Skills!E8-IF(Skills!F8=TRUE,2.5,0)))*(1-IF(AND(ArtifactsInput!$M$27,Inputs!$B$4="Chapter Hunt"),CHOOSE(ArtifactsInput!$N$27+1,20,24,28,32,36,40),0)/100)))+1)),0)</f>
        <v/>
      </c>
      <c r="S2952">
        <f>IF(C2952,(H2952*N2952*IF(AND(Inputs!$B$38&lt;&gt;"pvp",Inputs!$B$43&gt;0),((Skills!G8*((R2952-1)*IF(Skills!H8&gt;0,Skills!I8/Skills!H8,1)+IF(Skills!H8&gt;0,MIN(Skills!I8,MAX(0,MAX(0,Inputs!$B$43-B2982)-((R2952-1)*(IF(Inputs!$B$38="pvp",15,MAX(0.1,Skills!E8-IF(Skills!F8=TRUE,2.5,0)))*(1-IF(AND(ArtifactsInput!$M$27,Inputs!$B$4="Chapter Hunt"),CHOOSE(ArtifactsInput!$N$27+1,20,24,28,32,36,40),0)/100)))))/Skills!H8,1)))/Inputs!$B$43),G2952*Q2952)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2952*(1-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2952*(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2952*(1-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2952*(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2">
        <f>IF(C2952,(H2952*N2952*IF(AND(Inputs!$B$38&lt;&gt;"pvp",Inputs!$B$43&gt;0),((Skills!G8*((R2952-1)*IF(Skills!H8&gt;0,Skills!I8/Skills!H8,1)+IF(Skills!H8&gt;0,MIN(Skills!I8,MAX(0,MAX(0,Inputs!$B$43-B2982)-((R2952-1)*(IF(Inputs!$B$38="pvp",15,MAX(0.1,Skills!E8-IF(Skills!F8=TRUE,2.5,0)))*(1-IF(AND(ArtifactsInput!$M$27,Inputs!$B$4="Chapter Hunt"),CHOOSE(ArtifactsInput!$N$27+1,20,24,28,32,36,40),0)/100)))))/Skills!H8,1)))/Inputs!$B$43),G2952*Q2952)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3">
      <c r="A2953">
        <f>Skills!A9</f>
        <v/>
      </c>
      <c r="B2953">
        <f>Skills!B9</f>
        <v/>
      </c>
      <c r="C2953">
        <f>Inputs!$B$3&gt;=103</f>
        <v/>
      </c>
      <c r="D2953">
        <f>IF(Skills!C9=1,60+Inputs!$B$25+Inputs!$B$29,IF(Skills!C9=2,90+Inputs!$B$26+Inputs!$B$29,IF(Skills!C9=3,120+Inputs!$B$27+Inputs!$B$29,MAX(0,(Inputs!$B$3-100)*3)+Inputs!$B$28+Inputs!$B$29)))</f>
        <v/>
      </c>
      <c r="E2953">
        <f>INDEX(FactorTable!$B$2:$Y$301, MATCH(ROUND(MIN(300,MAX(1,D2953)),0), FactorTable!$A$2:$A$301,0), Skills!M9+1)</f>
        <v/>
      </c>
      <c r="F2953">
        <f>IF(Skills!N9=TRUE,(Skills!L9/10)*(E2953/1000),Skills!L9/10)+Skills!O9</f>
        <v/>
      </c>
      <c r="G2953">
        <f>Calc!G9</f>
        <v/>
      </c>
      <c r="H2953">
        <f>Calc!H9</f>
        <v/>
      </c>
      <c r="I2953">
        <f>IF(Skills!X9&lt;&gt;"",1+(Skills!X9/10)*(Z2947/1000)/100,1)</f>
        <v/>
      </c>
      <c r="J2953">
        <f>((Inputs!$B$6*(1+Inputs!$B$7/100))+(((Inputs!$B$12*(1+Inputs!$B$13/100))-(Inputs!$B$12*(1+Inputs!$B$13/100)))+0.25*(Inputs!$B$14-Inputs!$B$14))*(1+Inputs!$B$7/100))*(F2953/100)</f>
        <v/>
      </c>
      <c r="K2953">
        <f>J2953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2953)</f>
        <v/>
      </c>
      <c r="L2953">
        <f>K2953*(MIN(Inputs!$B$22+(F2966-Calc!F22),(Inputs!$B$23+(IF(ArtifactsInput!$M$15,CHOOSE(ArtifactsInput!$N$15+1,25,30,35,40,45,50)/100*(Inputs!$B$11-Inputs!$B$11),0))))/100+(Inputs!$B$23+(IF(ArtifactsInput!$M$15,CHOOSE(ArtifactsInput!$N$15+1,25,30,35,40,45,50)/100*(Inputs!$B$11-Inputs!$B$11),0)))/100)/2</f>
        <v/>
      </c>
      <c r="M2953">
        <f>L2953*(1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3">
        <f>L2953*(1-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2953*(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3">
        <f>(1-Summary!$B$11)*S2953+Summary!$B$11*U2953</f>
        <v/>
      </c>
      <c r="P2953">
        <f>IF(B2985=0,0,O2953/B2985)</f>
        <v/>
      </c>
      <c r="Q2953">
        <f>IFERROR(1/(IF(Inputs!$B$38="pvp",15,MAX(0.1,Skills!E9-IF(Skills!F7=TRUE,2.5,0)))*(1-IF(AND(ArtifactsInput!$M$27,Inputs!$B$4="Chapter Hunt"),CHOOSE(ArtifactsInput!$N$27+1,20,24,28,32,36,40),0)/100)),0)</f>
        <v/>
      </c>
      <c r="R2953">
        <f>IF(AND(Inputs!$B$38&lt;&gt;"pvp",Inputs!$B$43&gt;0),IF(MAX(0,Inputs!$B$43-B2982)&lt;=0,0,(INT(MAX(0,Inputs!$B$43-B2982)/(IF(Inputs!$B$38="pvp",15,MAX(0.1,Skills!E9-IF(Skills!F7=TRUE,2.5,0)))*(1-IF(AND(ArtifactsInput!$M$27,Inputs!$B$4="Chapter Hunt"),CHOOSE(ArtifactsInput!$N$27+1,20,24,28,32,36,40),0)/100)))+1)),0)</f>
        <v/>
      </c>
      <c r="S2953">
        <f>IF(C2953,(H2953*N2953*IF(AND(Inputs!$B$38&lt;&gt;"pvp",Inputs!$B$43&gt;0),((Skills!G9*((R2953-1)*IF(Skills!H9&gt;0,Skills!I9/Skills!H9,1)+IF(Skills!H9&gt;0,MIN(Skills!I9,MAX(0,MAX(0,Inputs!$B$43-B2982)-((R2953-1)*(IF(Inputs!$B$38="pvp",15,MAX(0.1,Skills!E9-IF(Skills!F7=TRUE,2.5,0)))*(1-IF(AND(ArtifactsInput!$M$27,Inputs!$B$4="Chapter Hunt"),CHOOSE(ArtifactsInput!$N$27+1,20,24,28,32,36,40),0)/100)))))/Skills!H9,1)))/Inputs!$B$43),G2953*Q2953)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2953*(1-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2953*(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2953*(1-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2953*(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3">
        <f>IF(C2953,(H2953*N2953*IF(AND(Inputs!$B$38&lt;&gt;"pvp",Inputs!$B$43&gt;0),((Skills!G9*((R2953-1)*IF(Skills!H9&gt;0,Skills!I9/Skills!H9,1)+IF(Skills!H9&gt;0,MIN(Skills!I9,MAX(0,MAX(0,Inputs!$B$43-B2982)-((R2953-1)*(IF(Inputs!$B$38="pvp",15,MAX(0.1,Skills!E9-IF(Skills!F7=TRUE,2.5,0)))*(1-IF(AND(ArtifactsInput!$M$27,Inputs!$B$4="Chapter Hunt"),CHOOSE(ArtifactsInput!$N$27+1,20,24,28,32,36,40),0)/100)))))/Skills!H9,1)))/Inputs!$B$43),G2953*Q2953)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4">
      <c r="A2954">
        <f>Skills!A10</f>
        <v/>
      </c>
      <c r="B2954">
        <f>Skills!B10</f>
        <v/>
      </c>
      <c r="C2954">
        <f>TRUE</f>
        <v/>
      </c>
      <c r="D2954">
        <f>IF(Skills!C10=1,60+Inputs!$B$25+Inputs!$B$29,IF(Skills!C10=2,90+Inputs!$B$26+Inputs!$B$29,IF(Skills!C10=3,120+Inputs!$B$27+Inputs!$B$29,MAX(0,(Inputs!$B$3-100)*3)+Inputs!$B$28+Inputs!$B$29)))</f>
        <v/>
      </c>
      <c r="E2954">
        <f>INDEX(FactorTable!$B$2:$Y$301, MATCH(ROUND(MIN(300,MAX(1,D2954)),0), FactorTable!$A$2:$A$301,0), Skills!M10+1)</f>
        <v/>
      </c>
      <c r="F2954">
        <f>IF(Skills!N10=TRUE,(Skills!L10/10)*(E2954/1000),Skills!L10/10)+Skills!O10</f>
        <v/>
      </c>
      <c r="G2954">
        <f>Calc!G10</f>
        <v/>
      </c>
      <c r="H2954">
        <f>Calc!H10</f>
        <v/>
      </c>
      <c r="I2954">
        <f>IF(Skills!X10&lt;&gt;"",1+(Skills!X10/10)*(Z2947/1000)/100,1)</f>
        <v/>
      </c>
      <c r="J2954">
        <f>((Inputs!$B$6*(1+Inputs!$B$7/100))+(((Inputs!$B$12*(1+Inputs!$B$13/100))-(Inputs!$B$12*(1+Inputs!$B$13/100)))+0.25*(Inputs!$B$14-Inputs!$B$14))*(1+Inputs!$B$7/100))*(F2954/100)</f>
        <v/>
      </c>
      <c r="K2954">
        <f>J2954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2954)</f>
        <v/>
      </c>
      <c r="L2954">
        <f>K2954*(MIN(Inputs!$B$22+(F2966-Calc!F22),(Inputs!$B$23+(IF(ArtifactsInput!$M$15,CHOOSE(ArtifactsInput!$N$15+1,25,30,35,40,45,50)/100*(Inputs!$B$11-Inputs!$B$11),0))))/100+(Inputs!$B$23+(IF(ArtifactsInput!$M$15,CHOOSE(ArtifactsInput!$N$15+1,25,30,35,40,45,50)/100*(Inputs!$B$11-Inputs!$B$11),0)))/100)/2</f>
        <v/>
      </c>
      <c r="M2954">
        <f>L2954*(1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4">
        <f>L2954*(1-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2954*(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4">
        <f>(1-Summary!$B$11)*S2954+Summary!$B$11*U2954</f>
        <v/>
      </c>
      <c r="P2954">
        <f>IF(B2985=0,0,O2954/B2985)</f>
        <v/>
      </c>
      <c r="Q2954">
        <f>IFERROR(1/(IF(Inputs!$B$38="pvp",15,MAX(0.1,Skills!E10-IF(Skills!F10=TRUE,2.5,0)))*(1-IF(AND(ArtifactsInput!$M$27,Inputs!$B$4="Chapter Hunt"),CHOOSE(ArtifactsInput!$N$27+1,20,24,28,32,36,40),0)/100)),0)</f>
        <v/>
      </c>
      <c r="R2954">
        <f>IF(AND(Inputs!$B$38&lt;&gt;"pvp",Inputs!$B$43&gt;0),IF(MAX(0,Inputs!$B$43-B2982)&lt;=0,0,(INT(MAX(0,Inputs!$B$43-B2982)/(IF(Inputs!$B$38="pvp",15,MAX(0.1,Skills!E10-IF(Skills!F10=TRUE,2.5,0)))*(1-IF(AND(ArtifactsInput!$M$27,Inputs!$B$4="Chapter Hunt"),CHOOSE(ArtifactsInput!$N$27+1,20,24,28,32,36,40),0)/100)))+1)),0)</f>
        <v/>
      </c>
      <c r="S2954">
        <f>IF(C2954,(H2954*N2954*IF(AND(Inputs!$B$38&lt;&gt;"pvp",Inputs!$B$43&gt;0),((Skills!G10*((R2954-1)*IF(Skills!H10&gt;0,Skills!I10/Skills!H10,1)+IF(Skills!H10&gt;0,MIN(Skills!I10,MAX(0,MAX(0,Inputs!$B$43-B2982)-((R2954-1)*(IF(Inputs!$B$38="pvp",15,MAX(0.1,Skills!E10-IF(Skills!F10=TRUE,2.5,0)))*(1-IF(AND(ArtifactsInput!$M$27,Inputs!$B$4="Chapter Hunt"),CHOOSE(ArtifactsInput!$N$27+1,20,24,28,32,36,40),0)/100)))))/Skills!H10,1)))/Inputs!$B$43),G2954*Q2954)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2954*(1-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2954*(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2954*(1-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2954*(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4">
        <f>IF(C2954,(H2954*N2954*IF(AND(Inputs!$B$38&lt;&gt;"pvp",Inputs!$B$43&gt;0),((Skills!G10*((R2954-1)*IF(Skills!H10&gt;0,Skills!I10/Skills!H10,1)+IF(Skills!H10&gt;0,MIN(Skills!I10,MAX(0,MAX(0,Inputs!$B$43-B2982)-((R2954-1)*(IF(Inputs!$B$38="pvp",15,MAX(0.1,Skills!E10-IF(Skills!F10=TRUE,2.5,0)))*(1-IF(AND(ArtifactsInput!$M$27,Inputs!$B$4="Chapter Hunt"),CHOOSE(ArtifactsInput!$N$27+1,20,24,28,32,36,40),0)/100)))))/Skills!H10,1)))/Inputs!$B$43),G2954*Q2954)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5">
      <c r="A2955">
        <f>Skills!A11</f>
        <v/>
      </c>
      <c r="B2955">
        <f>Skills!B11</f>
        <v/>
      </c>
      <c r="C2955">
        <f>TRUE</f>
        <v/>
      </c>
      <c r="D2955">
        <f>IF(Skills!C11=1,60+Inputs!$B$25+Inputs!$B$29,IF(Skills!C11=2,90+Inputs!$B$26+Inputs!$B$29,IF(Skills!C11=3,120+Inputs!$B$27+Inputs!$B$29,MAX(0,(Inputs!$B$3-100)*3)+Inputs!$B$28+Inputs!$B$29)))</f>
        <v/>
      </c>
      <c r="E2955">
        <f>INDEX(FactorTable!$B$2:$Y$301, MATCH(ROUND(MIN(300,MAX(1,D2955)),0), FactorTable!$A$2:$A$301,0), Skills!M11+1)</f>
        <v/>
      </c>
      <c r="F2955">
        <f>IF(Skills!N11=TRUE,(Skills!L11/10)*(E2955/1000),Skills!L11/10)+Skills!O11</f>
        <v/>
      </c>
      <c r="G2955">
        <f>Calc!G11</f>
        <v/>
      </c>
      <c r="H2955">
        <f>Calc!H11</f>
        <v/>
      </c>
      <c r="I2955">
        <f>IF(Skills!X11&lt;&gt;"",1+(Skills!X11/10)*(Z2947/1000)/100,1)</f>
        <v/>
      </c>
      <c r="J2955" t="inlineStr"/>
      <c r="K2955" t="inlineStr"/>
      <c r="L2955" t="inlineStr"/>
      <c r="M2955" t="inlineStr"/>
      <c r="N2955" t="inlineStr"/>
      <c r="O2955">
        <f>(1-Summary!$B$11)*S2955+Summary!$B$11*U2955</f>
        <v/>
      </c>
      <c r="P2955">
        <f>IF(B2985=0,0,O2955/B2985)</f>
        <v/>
      </c>
      <c r="Q2955">
        <f>IFERROR(1/(IF(Inputs!$B$38="pvp",15,MAX(0.1,Skills!E11-IF(Skills!F11=TRUE,2.5,0)))*(1-IF(AND(ArtifactsInput!$M$27,Inputs!$B$4="Chapter Hunt"),CHOOSE(ArtifactsInput!$N$27+1,20,24,28,32,36,40),0)/100)),0)</f>
        <v/>
      </c>
      <c r="R2955" t="n">
        <v>0</v>
      </c>
      <c r="S2955" t="n">
        <v>0</v>
      </c>
      <c r="U2955" t="n">
        <v>0</v>
      </c>
    </row>
    <row r="2956">
      <c r="A2956">
        <f>Skills!A12</f>
        <v/>
      </c>
      <c r="B2956">
        <f>Skills!B12</f>
        <v/>
      </c>
      <c r="C2956">
        <f>TRUE</f>
        <v/>
      </c>
      <c r="D2956">
        <f>IF(Skills!C12=1,60+Inputs!$B$25+Inputs!$B$29,IF(Skills!C12=2,90+Inputs!$B$26+Inputs!$B$29,IF(Skills!C12=3,120+Inputs!$B$27+Inputs!$B$29,MAX(0,(Inputs!$B$3-100)*3)+Inputs!$B$28+Inputs!$B$29)))</f>
        <v/>
      </c>
      <c r="E2956">
        <f>INDEX(FactorTable!$B$2:$Y$301, MATCH(ROUND(MIN(300,MAX(1,D2956)),0), FactorTable!$A$2:$A$301,0), Skills!M12+1)</f>
        <v/>
      </c>
      <c r="F2956">
        <f>IF(Skills!N12=TRUE,(Skills!L12/10)*(E2956/1000),Skills!L12/10)+Skills!O12</f>
        <v/>
      </c>
      <c r="G2956">
        <f>Calc!G12</f>
        <v/>
      </c>
      <c r="H2956">
        <f>Calc!H12</f>
        <v/>
      </c>
      <c r="I2956">
        <f>IF(Skills!X12&lt;&gt;"",1+(Skills!X12/10)*(Z2947/1000)/100,1)</f>
        <v/>
      </c>
      <c r="J2956" t="inlineStr"/>
      <c r="K2956" t="inlineStr"/>
      <c r="L2956" t="inlineStr"/>
      <c r="M2956" t="inlineStr"/>
      <c r="N2956" t="inlineStr"/>
      <c r="O2956">
        <f>(1-Summary!$B$11)*S2956+Summary!$B$11*U2956</f>
        <v/>
      </c>
      <c r="P2956">
        <f>IF(B2985=0,0,O2956/B2985)</f>
        <v/>
      </c>
      <c r="Q2956">
        <f>IFERROR(1/(IF(Inputs!$B$38="pvp",15,MAX(0.1,Skills!E12-IF(Skills!F12=TRUE,2.5,0)))*(1-IF(AND(ArtifactsInput!$M$27,Inputs!$B$4="Chapter Hunt"),CHOOSE(ArtifactsInput!$N$27+1,20,24,28,32,36,40),0)/100)),0)</f>
        <v/>
      </c>
      <c r="R2956" t="n">
        <v>0</v>
      </c>
      <c r="S2956" t="n">
        <v>0</v>
      </c>
      <c r="U2956" t="n">
        <v>0</v>
      </c>
    </row>
    <row r="2957">
      <c r="A2957">
        <f>Skills!A13</f>
        <v/>
      </c>
      <c r="B2957">
        <f>Skills!B13</f>
        <v/>
      </c>
      <c r="C2957">
        <f>Inputs!$B$3&gt;=105</f>
        <v/>
      </c>
      <c r="D2957">
        <f>IF(Skills!C13=1,60+Inputs!$B$25+Inputs!$B$29,IF(Skills!C13=2,90+Inputs!$B$26+Inputs!$B$29,IF(Skills!C13=3,120+Inputs!$B$27+Inputs!$B$29,MAX(0,(Inputs!$B$3-100)*3)+Inputs!$B$28+Inputs!$B$29)))</f>
        <v/>
      </c>
      <c r="E2957">
        <f>INDEX(FactorTable!$B$2:$Y$301, MATCH(ROUND(MIN(300,MAX(1,D2957)),0), FactorTable!$A$2:$A$301,0), Skills!M13+1)</f>
        <v/>
      </c>
      <c r="F2957">
        <f>IF(Skills!N13=TRUE,(Skills!L13/10)*(E2957/1000),Skills!L13/10)+Skills!O13</f>
        <v/>
      </c>
      <c r="G2957">
        <f>Calc!G13</f>
        <v/>
      </c>
      <c r="H2957">
        <f>Calc!H13</f>
        <v/>
      </c>
      <c r="I2957">
        <f>IF(Skills!X13&lt;&gt;"",1+(Skills!X13/10)*(Z2947/1000)/100,1)</f>
        <v/>
      </c>
      <c r="J2957">
        <f>((Inputs!$B$6*(1+Inputs!$B$7/100))+(((Inputs!$B$12*(1+Inputs!$B$13/100))-(Inputs!$B$12*(1+Inputs!$B$13/100)))+0.25*(Inputs!$B$14-Inputs!$B$14))*(1+Inputs!$B$7/100))*(F2957/100)</f>
        <v/>
      </c>
      <c r="K2957">
        <f>J2957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2957)</f>
        <v/>
      </c>
      <c r="L2957">
        <f>K2957*(MIN(Inputs!$B$22+(F2966-Calc!F22),(Inputs!$B$23+(IF(ArtifactsInput!$M$15,CHOOSE(ArtifactsInput!$N$15+1,25,30,35,40,45,50)/100*(Inputs!$B$11-Inputs!$B$11),0))))/100+(Inputs!$B$23+(IF(ArtifactsInput!$M$15,CHOOSE(ArtifactsInput!$N$15+1,25,30,35,40,45,50)/100*(Inputs!$B$11-Inputs!$B$11),0)))/100)/2</f>
        <v/>
      </c>
      <c r="M2957">
        <f>L2957*(1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7">
        <f>L2957*(1-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2957*(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7">
        <f>(1-Summary!$B$11)*S2957+Summary!$B$11*U2957</f>
        <v/>
      </c>
      <c r="P2957">
        <f>IF(B2985=0,0,O2957/B2985)</f>
        <v/>
      </c>
      <c r="Q2957">
        <f>IFERROR(1/(IF(Inputs!$B$38="pvp",15,MAX(0.1,Skills!E13-IF(Skills!F13=TRUE,2.5,0)))*(1-IF(AND(ArtifactsInput!$M$27,Inputs!$B$4="Chapter Hunt"),CHOOSE(ArtifactsInput!$N$27+1,20,24,28,32,36,40),0)/100)),0)</f>
        <v/>
      </c>
      <c r="R2957">
        <f>IF(AND(Inputs!$B$38&lt;&gt;"pvp",Inputs!$B$43&gt;0),IF(MAX(0,Inputs!$B$43-B2982)&lt;=0,0,(INT(MAX(0,Inputs!$B$43-B2982)/(IF(Inputs!$B$38="pvp",15,MAX(0.1,Skills!E13-IF(Skills!F13=TRUE,2.5,0)))*(1-IF(AND(ArtifactsInput!$M$27,Inputs!$B$4="Chapter Hunt"),CHOOSE(ArtifactsInput!$N$27+1,20,24,28,32,36,40),0)/100)))+1)),0)</f>
        <v/>
      </c>
      <c r="S2957">
        <f>IF(C2957,(H2957*N2957*IF(AND(Inputs!$B$38&lt;&gt;"pvp",Inputs!$B$43&gt;0),((Skills!G13*((R2957-1)*IF(Skills!H13&gt;0,Skills!I13/Skills!H13,1)+IF(Skills!H13&gt;0,MIN(Skills!I13,MAX(0,MAX(0,Inputs!$B$43-B2982)-((R2957-1)*(IF(Inputs!$B$38="pvp",15,MAX(0.1,Skills!E13-IF(Skills!F13=TRUE,2.5,0)))*(1-IF(AND(ArtifactsInput!$M$27,Inputs!$B$4="Chapter Hunt"),CHOOSE(ArtifactsInput!$N$27+1,20,24,28,32,36,40),0)/100)))))/Skills!H13,1)))/Inputs!$B$43),G2957*Q2957)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2957*(1-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2957*(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2957*(1-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2957*(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7">
        <f>IF(C2957,(H2957*N2957*IF(AND(Inputs!$B$38&lt;&gt;"pvp",Inputs!$B$43&gt;0),((Skills!G13*((R2957-1)*IF(Skills!H13&gt;0,Skills!I13/Skills!H13,1)+IF(Skills!H13&gt;0,MIN(Skills!I13,MAX(0,MAX(0,Inputs!$B$43-B2982)-((R2957-1)*(IF(Inputs!$B$38="pvp",15,MAX(0.1,Skills!E13-IF(Skills!F13=TRUE,2.5,0)))*(1-IF(AND(ArtifactsInput!$M$27,Inputs!$B$4="Chapter Hunt"),CHOOSE(ArtifactsInput!$N$27+1,20,24,28,32,36,40),0)/100)))))/Skills!H13,1)))/Inputs!$B$43),G2957*Q2957)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8">
      <c r="A2958">
        <f>Skills!A14</f>
        <v/>
      </c>
      <c r="B2958">
        <f>Skills!B14</f>
        <v/>
      </c>
      <c r="C2958">
        <f>Inputs!$B$3&gt;=113</f>
        <v/>
      </c>
      <c r="D2958">
        <f>IF(Skills!C14=1,60+Inputs!$B$25+Inputs!$B$29,IF(Skills!C14=2,90+Inputs!$B$26+Inputs!$B$29,IF(Skills!C14=3,120+Inputs!$B$27+Inputs!$B$29,MAX(0,(Inputs!$B$3-100)*3)+Inputs!$B$28+Inputs!$B$29)))</f>
        <v/>
      </c>
      <c r="E2958">
        <f>INDEX(FactorTable!$B$2:$Y$301, MATCH(ROUND(MIN(300,MAX(1,D2958)),0), FactorTable!$A$2:$A$301,0), Skills!M14+1)</f>
        <v/>
      </c>
      <c r="F2958">
        <f>IF(Skills!N14=TRUE,(Skills!L14/10)*(E2958/1000),Skills!L14/10)+Skills!O14</f>
        <v/>
      </c>
      <c r="G2958">
        <f>Calc!G14</f>
        <v/>
      </c>
      <c r="H2958">
        <f>Calc!H14</f>
        <v/>
      </c>
      <c r="I2958">
        <f>IF(Skills!X14&lt;&gt;"",1+(Skills!X14/10)*(Z2947/1000)/100,1)</f>
        <v/>
      </c>
      <c r="J2958">
        <f>((Inputs!$B$6*(1+Inputs!$B$7/100))+(((Inputs!$B$12*(1+Inputs!$B$13/100))-(Inputs!$B$12*(1+Inputs!$B$13/100)))+0.25*(Inputs!$B$14-Inputs!$B$14))*(1+Inputs!$B$7/100))*(F2958/100)</f>
        <v/>
      </c>
      <c r="K2958">
        <f>J2958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2958)</f>
        <v/>
      </c>
      <c r="L2958">
        <f>K2958*(MIN(Inputs!$B$22+(F2966-Calc!F22),(Inputs!$B$23+(IF(ArtifactsInput!$M$15,CHOOSE(ArtifactsInput!$N$15+1,25,30,35,40,45,50)/100*(Inputs!$B$11-Inputs!$B$11),0))))/100+(Inputs!$B$23+(IF(ArtifactsInput!$M$15,CHOOSE(ArtifactsInput!$N$15+1,25,30,35,40,45,50)/100*(Inputs!$B$11-Inputs!$B$11),0)))/100)/2</f>
        <v/>
      </c>
      <c r="M2958">
        <f>L2958*(1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8">
        <f>L2958*(1-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2958*(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8">
        <f>(1-Summary!$B$11)*S2958+Summary!$B$11*U2958</f>
        <v/>
      </c>
      <c r="P2958">
        <f>IF(B2985=0,0,O2958/B2985)</f>
        <v/>
      </c>
      <c r="Q2958">
        <f>IFERROR(1/(IF(Inputs!$B$38="pvp",15,MAX(0.1,Skills!E14-IF(Skills!F14=TRUE,2.5,0)))*(1-IF(AND(ArtifactsInput!$M$27,Inputs!$B$4="Chapter Hunt"),CHOOSE(ArtifactsInput!$N$27+1,20,24,28,32,36,40),0)/100)),0)</f>
        <v/>
      </c>
      <c r="R2958" t="n">
        <v>0</v>
      </c>
      <c r="S2958">
        <f>IF(C2958,((H2958*B2981)/(1+Skills!H14*H2958*B2981)*N2958)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2958*(1-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2958*(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2958*(1-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2958*(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8">
        <f>IF(C2958,((H2958*B2981)/(1+Skills!H14*H2958*B2981)*N2958)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59">
      <c r="A2959">
        <f>Skills!A15</f>
        <v/>
      </c>
      <c r="B2959">
        <f>Skills!B15</f>
        <v/>
      </c>
      <c r="C2959">
        <f>Inputs!$B$3&gt;=107</f>
        <v/>
      </c>
      <c r="D2959">
        <f>IF(Skills!C15=1,60+Inputs!$B$25+Inputs!$B$29,IF(Skills!C15=2,90+Inputs!$B$26+Inputs!$B$29,IF(Skills!C15=3,120+Inputs!$B$27+Inputs!$B$29,MAX(0,(Inputs!$B$3-100)*3)+Inputs!$B$28+Inputs!$B$29)))</f>
        <v/>
      </c>
      <c r="E2959">
        <f>INDEX(FactorTable!$B$2:$Y$301, MATCH(ROUND(MIN(300,MAX(1,D2959)),0), FactorTable!$A$2:$A$301,0), Skills!M15+1)</f>
        <v/>
      </c>
      <c r="F2959">
        <f>IF(Skills!N15=TRUE,(Skills!L15/10)*(E2959/1000),Skills!L15/10)+Skills!O15</f>
        <v/>
      </c>
      <c r="G2959">
        <f>Calc!G15</f>
        <v/>
      </c>
      <c r="H2959">
        <f>Calc!H15</f>
        <v/>
      </c>
      <c r="I2959">
        <f>IF(Skills!X15&lt;&gt;"",1+(Skills!X15/10)*(Z2947/1000)/100,1)</f>
        <v/>
      </c>
      <c r="J2959">
        <f>((Inputs!$B$6*(1+Inputs!$B$7/100))+(((Inputs!$B$12*(1+Inputs!$B$13/100))-(Inputs!$B$12*(1+Inputs!$B$13/100)))+0.25*(Inputs!$B$14-Inputs!$B$14))*(1+Inputs!$B$7/100))*(F2959/100)</f>
        <v/>
      </c>
      <c r="K2959">
        <f>J2959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2959)</f>
        <v/>
      </c>
      <c r="L2959">
        <f>K2959*(MIN(Inputs!$B$22+(F2966-Calc!F22),(Inputs!$B$23+(IF(ArtifactsInput!$M$15,CHOOSE(ArtifactsInput!$N$15+1,25,30,35,40,45,50)/100*(Inputs!$B$11-Inputs!$B$11),0))))/100+(Inputs!$B$23+(IF(ArtifactsInput!$M$15,CHOOSE(ArtifactsInput!$N$15+1,25,30,35,40,45,50)/100*(Inputs!$B$11-Inputs!$B$11),0)))/100)/2</f>
        <v/>
      </c>
      <c r="M2959">
        <f>L2959*(1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9">
        <f>L2959*(1-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2959*(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9">
        <f>(1-Summary!$B$11)*S2959+Summary!$B$11*U2959</f>
        <v/>
      </c>
      <c r="P2959">
        <f>IF(B2985=0,0,O2959/B2985)</f>
        <v/>
      </c>
      <c r="Q2959">
        <f>IFERROR(1/(IF(Inputs!$B$38="pvp",15,MAX(0.1,Skills!E15-IF(Skills!F15=TRUE,2.5,0)))*(1-IF(AND(ArtifactsInput!$M$27,Inputs!$B$4="Chapter Hunt"),CHOOSE(ArtifactsInput!$N$27+1,20,24,28,32,36,40),0)/100)),0)</f>
        <v/>
      </c>
      <c r="R2959">
        <f>IF(AND(Inputs!$B$38&lt;&gt;"pvp",Inputs!$B$43&gt;0),IF(MAX(0,Inputs!$B$43-B2982)&lt;=0,0,(INT(MAX(0,Inputs!$B$43-B2982)/(IF(Inputs!$B$38="pvp",15,MAX(0.1,Skills!E15-IF(Skills!F15=TRUE,2.5,0)))*(1-IF(AND(ArtifactsInput!$M$27,Inputs!$B$4="Chapter Hunt"),CHOOSE(ArtifactsInput!$N$27+1,20,24,28,32,36,40),0)/100)))+1)),0)</f>
        <v/>
      </c>
      <c r="S2959">
        <f>IF(C2959,(H2959*N2959*IF(AND(Inputs!$B$38&lt;&gt;"pvp",Inputs!$B$43&gt;0),((Skills!G15*((R2959-1)*IF(Skills!H15&gt;0,Skills!I15/Skills!H15,1)+IF(Skills!H15&gt;0,MIN(Skills!I15,MAX(0,MAX(0,Inputs!$B$43-B2982)-((R2959-1)*(IF(Inputs!$B$38="pvp",15,MAX(0.1,Skills!E15-IF(Skills!F15=TRUE,2.5,0)))*(1-IF(AND(ArtifactsInput!$M$27,Inputs!$B$4="Chapter Hunt"),CHOOSE(ArtifactsInput!$N$27+1,20,24,28,32,36,40),0)/100)))))/Skills!H15,1)))/Inputs!$B$43),G2959*Q2959)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2959*(1-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2959*(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2959*(1-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2959*(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9">
        <f>IF(C2959,(H2959*N2959*IF(AND(Inputs!$B$38&lt;&gt;"pvp",Inputs!$B$43&gt;0),((Skills!G15*((R2959-1)*IF(Skills!H15&gt;0,Skills!I15/Skills!H15,1)+IF(Skills!H15&gt;0,MIN(Skills!I15,MAX(0,MAX(0,Inputs!$B$43-B2982)-((R2959-1)*(IF(Inputs!$B$38="pvp",15,MAX(0.1,Skills!E15-IF(Skills!F15=TRUE,2.5,0)))*(1-IF(AND(ArtifactsInput!$M$27,Inputs!$B$4="Chapter Hunt"),CHOOSE(ArtifactsInput!$N$27+1,20,24,28,32,36,40),0)/100)))))/Skills!H15,1)))/Inputs!$B$43),G2959*Q2959)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0">
      <c r="A2960">
        <f>Skills!A16</f>
        <v/>
      </c>
      <c r="B2960">
        <f>Skills!B16</f>
        <v/>
      </c>
      <c r="C2960">
        <f>Inputs!$B$3&gt;=107</f>
        <v/>
      </c>
      <c r="D2960">
        <f>IF(Skills!C16=1,60+Inputs!$B$25+Inputs!$B$29,IF(Skills!C16=2,90+Inputs!$B$26+Inputs!$B$29,IF(Skills!C16=3,120+Inputs!$B$27+Inputs!$B$29,MAX(0,(Inputs!$B$3-100)*3)+Inputs!$B$28+Inputs!$B$29)))</f>
        <v/>
      </c>
      <c r="E2960">
        <f>INDEX(FactorTable!$B$2:$Y$301, MATCH(ROUND(MIN(300,MAX(1,D2960)),0), FactorTable!$A$2:$A$301,0), Skills!M16+1)</f>
        <v/>
      </c>
      <c r="F2960">
        <f>IF(Skills!N16=TRUE,(Skills!L16/10)*(E2960/1000),Skills!L16/10)+Skills!O16</f>
        <v/>
      </c>
      <c r="G2960">
        <f>Calc!G16</f>
        <v/>
      </c>
      <c r="H2960">
        <f>Calc!H16</f>
        <v/>
      </c>
      <c r="I2960">
        <f>IF(Skills!X16&lt;&gt;"",1+(Skills!X16/10)*(Z2947/1000)/100,1)</f>
        <v/>
      </c>
      <c r="J2960">
        <f>((Inputs!$B$6*(1+Inputs!$B$7/100))+(((Inputs!$B$12*(1+Inputs!$B$13/100))-(Inputs!$B$12*(1+Inputs!$B$13/100)))+0.25*(Inputs!$B$14-Inputs!$B$14))*(1+Inputs!$B$7/100))*(F2960/100)</f>
        <v/>
      </c>
      <c r="K2960">
        <f>J2960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2960)</f>
        <v/>
      </c>
      <c r="L2960">
        <f>K2960*(MIN(Inputs!$B$22+(F2966-Calc!F22),(Inputs!$B$23+(IF(ArtifactsInput!$M$15,CHOOSE(ArtifactsInput!$N$15+1,25,30,35,40,45,50)/100*(Inputs!$B$11-Inputs!$B$11),0))))/100+(Inputs!$B$23+(IF(ArtifactsInput!$M$15,CHOOSE(ArtifactsInput!$N$15+1,25,30,35,40,45,50)/100*(Inputs!$B$11-Inputs!$B$11),0)))/100)/2</f>
        <v/>
      </c>
      <c r="M2960">
        <f>L2960*(1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0">
        <f>L2960*(1-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2960*(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0">
        <f>(1-Summary!$B$11)*S2960+Summary!$B$11*U2960</f>
        <v/>
      </c>
      <c r="P2960">
        <f>IF(B2985=0,0,O2960/B2985)</f>
        <v/>
      </c>
      <c r="Q2960">
        <f>IFERROR(1/(IF(Inputs!$B$38="pvp",15,MAX(0.1,Skills!E16-IF(Skills!F16=TRUE,2.5,0)))*(1-IF(AND(ArtifactsInput!$M$27,Inputs!$B$4="Chapter Hunt"),CHOOSE(ArtifactsInput!$N$27+1,20,24,28,32,36,40),0)/100)),0)</f>
        <v/>
      </c>
      <c r="R2960">
        <f>IF(AND(Inputs!$B$38&lt;&gt;"pvp",Inputs!$B$43&gt;0),IF(MAX(0,Inputs!$B$43-B2982)&lt;=0,0,(INT(MAX(0,Inputs!$B$43-B2982)/(IF(Inputs!$B$38="pvp",15,MAX(0.1,Skills!E16-IF(Skills!F16=TRUE,2.5,0)))*(1-IF(AND(ArtifactsInput!$M$27,Inputs!$B$4="Chapter Hunt"),CHOOSE(ArtifactsInput!$N$27+1,20,24,28,32,36,40),0)/100)))+1)),0)</f>
        <v/>
      </c>
      <c r="S2960">
        <f>IF(C2960,(H2960*N2960*IF(AND(Inputs!$B$38&lt;&gt;"pvp",Inputs!$B$43&gt;0),((Skills!G16*((R2960-1)*IF(Skills!H16&gt;0,Skills!I16/Skills!H16,1)+IF(Skills!H16&gt;0,MIN(Skills!I16,MAX(0,MAX(0,Inputs!$B$43-B2982)-((R2960-1)*(IF(Inputs!$B$38="pvp",15,MAX(0.1,Skills!E16-IF(Skills!F16=TRUE,2.5,0)))*(1-IF(AND(ArtifactsInput!$M$27,Inputs!$B$4="Chapter Hunt"),CHOOSE(ArtifactsInput!$N$27+1,20,24,28,32,36,40),0)/100)))))/Skills!H16,1)))/Inputs!$B$43),G2960*Q2960)*(1+IF(Inputs!$B$3&gt;=126,0.05*(B2980+Q2957+(H2958*B2981)/(1+Skills!H14*H2958*B2981)+Q2968)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2960*(1-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2960*(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2960*(1-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2960*(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0">
        <f>IF(C2960,(H2960*N2960*IF(AND(Inputs!$B$38&lt;&gt;"pvp",Inputs!$B$43&gt;0),((Skills!G16*((R2960-1)*IF(Skills!H16&gt;0,Skills!I16/Skills!H16,1)+IF(Skills!H16&gt;0,MIN(Skills!I16,MAX(0,MAX(0,Inputs!$B$43-B2982)-((R2960-1)*(IF(Inputs!$B$38="pvp",15,MAX(0.1,Skills!E16-IF(Skills!F16=TRUE,2.5,0)))*(1-IF(AND(ArtifactsInput!$M$27,Inputs!$B$4="Chapter Hunt"),CHOOSE(ArtifactsInput!$N$27+1,20,24,28,32,36,40),0)/100)))))/Skills!H16,1)))/Inputs!$B$43),G2960*Q2960)*(1+IF(Inputs!$B$3&gt;=126,0.05*(B2980+Q2957+(H2958*B2981)/(1+Skills!H14*H2958*B2981)+Q2968)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1">
      <c r="A2961">
        <f>Skills!A17</f>
        <v/>
      </c>
      <c r="B2961">
        <f>Skills!B17</f>
        <v/>
      </c>
      <c r="C2961">
        <f>TRUE</f>
        <v/>
      </c>
      <c r="D2961">
        <f>IF(Skills!C17=1,60+Inputs!$B$25+Inputs!$B$29,IF(Skills!C17=2,90+Inputs!$B$26+Inputs!$B$29,IF(Skills!C17=3,120+Inputs!$B$27+Inputs!$B$29,MAX(0,(Inputs!$B$3-100)*3)+Inputs!$B$28+Inputs!$B$29)))</f>
        <v/>
      </c>
      <c r="E2961">
        <f>INDEX(FactorTable!$B$2:$Y$301, MATCH(ROUND(MIN(300,MAX(1,D2961)),0), FactorTable!$A$2:$A$301,0), Skills!M17+1)</f>
        <v/>
      </c>
      <c r="F2961">
        <f>IF(Skills!N17=TRUE,(Skills!L17/10)*(E2961/1000),Skills!L17/10)+Skills!O17</f>
        <v/>
      </c>
      <c r="G2961">
        <f>Calc!G17</f>
        <v/>
      </c>
      <c r="H2961">
        <f>Calc!H17</f>
        <v/>
      </c>
      <c r="I2961">
        <f>IF(Skills!X17&lt;&gt;"",1+(Skills!X17/10)*(Z2947/1000)/100,1)</f>
        <v/>
      </c>
      <c r="J2961" t="inlineStr"/>
      <c r="K2961" t="inlineStr"/>
      <c r="L2961" t="inlineStr"/>
      <c r="M2961" t="inlineStr"/>
      <c r="N2961" t="inlineStr"/>
      <c r="O2961">
        <f>(1-Summary!$B$11)*S2961+Summary!$B$11*U2961</f>
        <v/>
      </c>
      <c r="P2961">
        <f>IF(B2985=0,0,O2961/B2985)</f>
        <v/>
      </c>
      <c r="Q2961">
        <f>IFERROR(1/(IF(Inputs!$B$38="pvp",15,MAX(0.1,Skills!E17-IF(Skills!F17=TRUE,2.5,0)))*(1-IF(AND(ArtifactsInput!$M$27,Inputs!$B$4="Chapter Hunt"),CHOOSE(ArtifactsInput!$N$27+1,20,24,28,32,36,40),0)/100)),0)</f>
        <v/>
      </c>
      <c r="R2961">
        <f>IF(AND(Inputs!$B$38&lt;&gt;"pvp",Inputs!$B$43&gt;0),IF(Inputs!$B$43&lt;=0,0,(INT(Inputs!$B$43/(IF(Inputs!$B$38="pvp",15,MAX(0.1,Skills!E17-IF(Skills!F17=TRUE,2.5,0)))*(1-IF(AND(ArtifactsInput!$M$27,Inputs!$B$4="Chapter Hunt"),CHOOSE(ArtifactsInput!$N$27+1,20,24,28,32,36,40),0)/100)))+1)),0)</f>
        <v/>
      </c>
      <c r="S2961" t="n">
        <v>0</v>
      </c>
      <c r="U2961" t="n">
        <v>0</v>
      </c>
    </row>
    <row r="2962">
      <c r="A2962">
        <f>Skills!A18</f>
        <v/>
      </c>
      <c r="B2962">
        <f>Skills!B18</f>
        <v/>
      </c>
      <c r="C2962">
        <f>TRUE</f>
        <v/>
      </c>
      <c r="D2962">
        <f>IF(Skills!C18=1,60+Inputs!$B$25+Inputs!$B$29,IF(Skills!C18=2,90+Inputs!$B$26+Inputs!$B$29,IF(Skills!C18=3,120+Inputs!$B$27+Inputs!$B$29,MAX(0,(Inputs!$B$3-100)*3)+Inputs!$B$28+Inputs!$B$29)))</f>
        <v/>
      </c>
      <c r="E2962">
        <f>INDEX(FactorTable!$B$2:$Y$301, MATCH(ROUND(MIN(300,MAX(1,D2962)),0), FactorTable!$A$2:$A$301,0), Skills!M18+1)</f>
        <v/>
      </c>
      <c r="F2962">
        <f>IF(Skills!N18=TRUE,(Skills!L18/10)*(E2962/1000),Skills!L18/10)+Skills!O18</f>
        <v/>
      </c>
      <c r="G2962">
        <f>Calc!G18</f>
        <v/>
      </c>
      <c r="H2962">
        <f>Calc!H18</f>
        <v/>
      </c>
      <c r="I2962">
        <f>IF(Skills!X18&lt;&gt;"",1+(Skills!X18/10)*(Z2947/1000)/100,1)</f>
        <v/>
      </c>
      <c r="J2962" t="inlineStr"/>
      <c r="K2962" t="inlineStr"/>
      <c r="L2962" t="inlineStr"/>
      <c r="M2962" t="inlineStr"/>
      <c r="N2962" t="inlineStr"/>
      <c r="O2962">
        <f>(1-Summary!$B$11)*S2962+Summary!$B$11*U2962</f>
        <v/>
      </c>
      <c r="P2962">
        <f>IF(B2985=0,0,O2962/B2985)</f>
        <v/>
      </c>
      <c r="Q2962">
        <f>IFERROR(1/(IF(Inputs!$B$38="pvp",15,MAX(0.1,Skills!E18-IF(Skills!F18=TRUE,2.5,0)))*(1-IF(AND(ArtifactsInput!$M$27,Inputs!$B$4="Chapter Hunt"),CHOOSE(ArtifactsInput!$N$27+1,20,24,28,32,36,40),0)/100)),0)</f>
        <v/>
      </c>
      <c r="R2962">
        <f>IF(AND(Inputs!$B$38&lt;&gt;"pvp",Inputs!$B$43&gt;0),IF(Inputs!$B$43&lt;=0,0,(INT(Inputs!$B$43/(IF(Inputs!$B$38="pvp",15,MAX(0.1,Skills!E18-IF(Skills!F18=TRUE,2.5,0)))*(1-IF(AND(ArtifactsInput!$M$27,Inputs!$B$4="Chapter Hunt"),CHOOSE(ArtifactsInput!$N$27+1,20,24,28,32,36,40),0)/100)))+1)),0)</f>
        <v/>
      </c>
      <c r="S2962" t="n">
        <v>0</v>
      </c>
      <c r="U2962" t="n">
        <v>0</v>
      </c>
    </row>
    <row r="2963">
      <c r="A2963">
        <f>Skills!A19</f>
        <v/>
      </c>
      <c r="B2963">
        <f>Skills!B19</f>
        <v/>
      </c>
      <c r="C2963">
        <f>Inputs!$B$3&gt;=110</f>
        <v/>
      </c>
      <c r="D2963">
        <f>IF(Skills!C19=1,60+Inputs!$B$25+Inputs!$B$29,IF(Skills!C19=2,90+Inputs!$B$26+Inputs!$B$29,IF(Skills!C19=3,120+Inputs!$B$27+Inputs!$B$29,MAX(0,(Inputs!$B$3-100)*3)+Inputs!$B$28+Inputs!$B$29)))</f>
        <v/>
      </c>
      <c r="E2963">
        <f>INDEX(FactorTable!$B$2:$Y$301, MATCH(ROUND(MIN(300,MAX(1,D2963)),0), FactorTable!$A$2:$A$301,0), Skills!M19+1)</f>
        <v/>
      </c>
      <c r="F2963">
        <f>IF(Skills!N19=TRUE,(Skills!L19/10)*(E2963/1000),Skills!L19/10)+Skills!O19</f>
        <v/>
      </c>
      <c r="G2963">
        <f>Calc!G19</f>
        <v/>
      </c>
      <c r="H2963">
        <f>Calc!H19</f>
        <v/>
      </c>
      <c r="I2963">
        <f>IF(Skills!X19&lt;&gt;"",1+(Skills!X19/10)*(Z2947/1000)/100,1)</f>
        <v/>
      </c>
      <c r="J2963" t="inlineStr"/>
      <c r="K2963" t="inlineStr"/>
      <c r="L2963" t="inlineStr"/>
      <c r="M2963" t="inlineStr"/>
      <c r="N2963" t="inlineStr"/>
      <c r="O2963">
        <f>(1-Summary!$B$11)*S2963+Summary!$B$11*U2963</f>
        <v/>
      </c>
      <c r="P2963">
        <f>IF(B2985=0,0,O2963/B2985)</f>
        <v/>
      </c>
      <c r="Q2963">
        <f>IFERROR(1/(IF(Inputs!$B$38="pvp",15,MAX(0.1,Skills!E19-IF(Skills!F19=TRUE,2.5,0)))*(1-IF(AND(ArtifactsInput!$M$27,Inputs!$B$4="Chapter Hunt"),CHOOSE(ArtifactsInput!$N$27+1,20,24,28,32,36,40),0)/100)),0)</f>
        <v/>
      </c>
      <c r="R2963">
        <f>IF(AND(Inputs!$B$38&lt;&gt;"pvp",Inputs!$B$43&gt;0),IF(Inputs!$B$43&lt;=0,0,(INT(Inputs!$B$43/(IF(Inputs!$B$38="pvp",15,MAX(0.1,Skills!E19-IF(Skills!F19=TRUE,2.5,0)))*(1-IF(AND(ArtifactsInput!$M$27,Inputs!$B$4="Chapter Hunt"),CHOOSE(ArtifactsInput!$N$27+1,20,24,28,32,36,40),0)/100)))+1)),0)</f>
        <v/>
      </c>
      <c r="S2963" t="n">
        <v>0</v>
      </c>
      <c r="U2963" t="n">
        <v>0</v>
      </c>
    </row>
    <row r="2964">
      <c r="A2964">
        <f>Skills!A20</f>
        <v/>
      </c>
      <c r="B2964">
        <f>Skills!B20</f>
        <v/>
      </c>
      <c r="C2964">
        <f>TRUE</f>
        <v/>
      </c>
      <c r="D2964">
        <f>IF(Skills!C20=1,60+Inputs!$B$25+Inputs!$B$29,IF(Skills!C20=2,90+Inputs!$B$26+Inputs!$B$29,IF(Skills!C20=3,120+Inputs!$B$27+Inputs!$B$29,MAX(0,(Inputs!$B$3-100)*3)+Inputs!$B$28+Inputs!$B$29)))</f>
        <v/>
      </c>
      <c r="E2964">
        <f>INDEX(FactorTable!$B$2:$Y$301, MATCH(ROUND(MIN(300,MAX(1,D2964)),0), FactorTable!$A$2:$A$301,0), Skills!M20+1)</f>
        <v/>
      </c>
      <c r="F2964">
        <f>IF(Skills!N20=TRUE,(Skills!L20/10)*(E2964/1000),Skills!L20/10)+Skills!O20</f>
        <v/>
      </c>
      <c r="G2964">
        <f>Calc!G20</f>
        <v/>
      </c>
      <c r="H2964">
        <f>Calc!H20</f>
        <v/>
      </c>
      <c r="I2964">
        <f>IF(Skills!X20&lt;&gt;"",1+(Skills!X20/10)*(Z2947/1000)/100,1)</f>
        <v/>
      </c>
      <c r="J2964" t="inlineStr"/>
      <c r="K2964" t="inlineStr"/>
      <c r="L2964" t="inlineStr"/>
      <c r="M2964" t="inlineStr"/>
      <c r="N2964" t="inlineStr"/>
      <c r="O2964">
        <f>(1-Summary!$B$11)*S2964+Summary!$B$11*U2964</f>
        <v/>
      </c>
      <c r="P2964">
        <f>IF(B2985=0,0,O2964/B2985)</f>
        <v/>
      </c>
      <c r="Q2964">
        <f>IFERROR(1/(IF(Inputs!$B$38="pvp",15,MAX(0.1,Skills!E20-IF(Skills!F20=TRUE,2.5,0)))*(1-IF(AND(ArtifactsInput!$M$27,Inputs!$B$4="Chapter Hunt"),CHOOSE(ArtifactsInput!$N$27+1,20,24,28,32,36,40),0)/100)),0)</f>
        <v/>
      </c>
      <c r="R2964" t="n">
        <v>0</v>
      </c>
      <c r="S2964" t="n">
        <v>0</v>
      </c>
      <c r="U2964" t="n">
        <v>0</v>
      </c>
    </row>
    <row r="2965">
      <c r="A2965">
        <f>Skills!A21</f>
        <v/>
      </c>
      <c r="B2965">
        <f>Skills!B21</f>
        <v/>
      </c>
      <c r="C2965">
        <f>TRUE</f>
        <v/>
      </c>
      <c r="D2965">
        <f>IF(Skills!C21=1,60+Inputs!$B$25+Inputs!$B$29,IF(Skills!C21=2,90+Inputs!$B$26+Inputs!$B$29,IF(Skills!C21=3,120+Inputs!$B$27+Inputs!$B$29,MAX(0,(Inputs!$B$3-100)*3)+Inputs!$B$28+Inputs!$B$29)))</f>
        <v/>
      </c>
      <c r="E2965">
        <f>INDEX(FactorTable!$B$2:$Y$301, MATCH(ROUND(MIN(300,MAX(1,D2965)),0), FactorTable!$A$2:$A$301,0), Skills!M21+1)</f>
        <v/>
      </c>
      <c r="F2965">
        <f>IF(Skills!N21=TRUE,(Skills!L21/10)*(E2965/1000),Skills!L21/10)+Skills!O21</f>
        <v/>
      </c>
      <c r="G2965">
        <f>Calc!G21</f>
        <v/>
      </c>
      <c r="H2965">
        <f>Calc!H21</f>
        <v/>
      </c>
      <c r="I2965">
        <f>IF(Skills!X21&lt;&gt;"",1+(Skills!X21/10)*(Z2947/1000)/100,1)</f>
        <v/>
      </c>
      <c r="J2965" t="inlineStr"/>
      <c r="K2965" t="inlineStr"/>
      <c r="L2965" t="inlineStr"/>
      <c r="M2965" t="inlineStr"/>
      <c r="N2965" t="inlineStr"/>
      <c r="O2965">
        <f>(1-Summary!$B$11)*S2965+Summary!$B$11*U2965</f>
        <v/>
      </c>
      <c r="P2965">
        <f>IF(B2985=0,0,O2965/B2985)</f>
        <v/>
      </c>
      <c r="Q2965">
        <f>IFERROR(1/(IF(Inputs!$B$38="pvp",15,MAX(0.1,Skills!E21-IF(Skills!F21=TRUE,2.5,0)))*(1-IF(AND(ArtifactsInput!$M$27,Inputs!$B$4="Chapter Hunt"),CHOOSE(ArtifactsInput!$N$27+1,20,24,28,32,36,40),0)/100)),0)</f>
        <v/>
      </c>
      <c r="R2965" t="n">
        <v>0</v>
      </c>
      <c r="S2965" t="n">
        <v>0</v>
      </c>
      <c r="U2965" t="n">
        <v>0</v>
      </c>
    </row>
    <row r="2966">
      <c r="A2966">
        <f>Skills!A22</f>
        <v/>
      </c>
      <c r="B2966">
        <f>Skills!B22</f>
        <v/>
      </c>
      <c r="C2966">
        <f>TRUE</f>
        <v/>
      </c>
      <c r="D2966">
        <f>IF(Skills!C22=1,60+Inputs!$B$25+Inputs!$B$29,IF(Skills!C22=2,90+Inputs!$B$26+Inputs!$B$29,IF(Skills!C22=3,120+Inputs!$B$27+Inputs!$B$29,MAX(0,(Inputs!$B$3-100)*3)+Inputs!$B$28+Inputs!$B$29)))</f>
        <v/>
      </c>
      <c r="E2966">
        <f>INDEX(FactorTable!$B$2:$Y$301, MATCH(ROUND(MIN(300,MAX(1,D2966)),0), FactorTable!$A$2:$A$301,0), Skills!M22+1)</f>
        <v/>
      </c>
      <c r="F2966">
        <f>IF(Skills!N22=TRUE,(Skills!L22/10)*(E2966/1000),Skills!L22/10)+Skills!O22</f>
        <v/>
      </c>
      <c r="G2966">
        <f>Calc!G22</f>
        <v/>
      </c>
      <c r="H2966">
        <f>Calc!H22</f>
        <v/>
      </c>
      <c r="I2966">
        <f>IF(Skills!X22&lt;&gt;"",1+(Skills!X22/10)*(Z2947/1000)/100,1)</f>
        <v/>
      </c>
      <c r="J2966" t="inlineStr"/>
      <c r="K2966" t="inlineStr"/>
      <c r="L2966" t="inlineStr"/>
      <c r="M2966" t="inlineStr"/>
      <c r="N2966" t="inlineStr"/>
      <c r="O2966">
        <f>(1-Summary!$B$11)*S2966+Summary!$B$11*U2966</f>
        <v/>
      </c>
      <c r="P2966">
        <f>IF(B2985=0,0,O2966/B2985)</f>
        <v/>
      </c>
      <c r="Q2966">
        <f>IFERROR(1/(IF(Inputs!$B$38="pvp",15,MAX(0.1,Skills!E22-IF(Skills!F22=TRUE,2.5,0)))*(1-IF(AND(ArtifactsInput!$M$27,Inputs!$B$4="Chapter Hunt"),CHOOSE(ArtifactsInput!$N$27+1,20,24,28,32,36,40),0)/100)),0)</f>
        <v/>
      </c>
      <c r="R2966" t="n">
        <v>0</v>
      </c>
      <c r="S2966" t="n">
        <v>0</v>
      </c>
      <c r="U2966" t="n">
        <v>0</v>
      </c>
    </row>
    <row r="2967">
      <c r="A2967">
        <f>Skills!A23</f>
        <v/>
      </c>
      <c r="B2967">
        <f>Skills!B23</f>
        <v/>
      </c>
      <c r="C2967">
        <f>TRUE</f>
        <v/>
      </c>
      <c r="D2967">
        <f>IF(Skills!C23=1,60+Inputs!$B$25+Inputs!$B$29,IF(Skills!C23=2,90+Inputs!$B$26+Inputs!$B$29,IF(Skills!C23=3,120+Inputs!$B$27+Inputs!$B$29,MAX(0,(Inputs!$B$3-100)*3)+Inputs!$B$28+Inputs!$B$29)))</f>
        <v/>
      </c>
      <c r="E2967">
        <f>INDEX(FactorTable!$B$2:$Y$301, MATCH(ROUND(MIN(300,MAX(1,D2967)),0), FactorTable!$A$2:$A$301,0), Skills!M23+1)</f>
        <v/>
      </c>
      <c r="F2967">
        <f>IF(Skills!N23=TRUE,(Skills!L23/10)*(E2967/1000),Skills!L23/10)+Skills!O23</f>
        <v/>
      </c>
      <c r="G2967">
        <f>Calc!G23</f>
        <v/>
      </c>
      <c r="H2967">
        <f>Calc!H23</f>
        <v/>
      </c>
      <c r="I2967">
        <f>IF(Skills!X23&lt;&gt;"",1+(Skills!X23/10)*(Z2947/1000)/100,1)</f>
        <v/>
      </c>
      <c r="J2967" t="inlineStr"/>
      <c r="K2967" t="inlineStr"/>
      <c r="L2967" t="inlineStr"/>
      <c r="M2967" t="inlineStr"/>
      <c r="N2967" t="inlineStr"/>
      <c r="O2967">
        <f>(1-Summary!$B$11)*S2967+Summary!$B$11*U2967</f>
        <v/>
      </c>
      <c r="P2967">
        <f>IF(B2985=0,0,O2967/B2985)</f>
        <v/>
      </c>
      <c r="Q2967">
        <f>IFERROR(1/(IF(Inputs!$B$38="pvp",15,MAX(0.1,Skills!E23-IF(Skills!F23=TRUE,2.5,0)))*(1-IF(AND(ArtifactsInput!$M$27,Inputs!$B$4="Chapter Hunt"),CHOOSE(ArtifactsInput!$N$27+1,20,24,28,32,36,40),0)/100)),0)</f>
        <v/>
      </c>
      <c r="R2967" t="n">
        <v>0</v>
      </c>
      <c r="S2967" t="n">
        <v>0</v>
      </c>
      <c r="U2967" t="n">
        <v>0</v>
      </c>
    </row>
    <row r="2968">
      <c r="A2968">
        <f>Skills!A24</f>
        <v/>
      </c>
      <c r="B2968">
        <f>Skills!B24</f>
        <v/>
      </c>
      <c r="C2968">
        <f>Inputs!$B$3&gt;=115</f>
        <v/>
      </c>
      <c r="D2968">
        <f>IF(Skills!C24=1,60+Inputs!$B$25+Inputs!$B$29,IF(Skills!C24=2,90+Inputs!$B$26+Inputs!$B$29,IF(Skills!C24=3,120+Inputs!$B$27+Inputs!$B$29,MAX(0,(Inputs!$B$3-100)*3)+Inputs!$B$28+Inputs!$B$29)))</f>
        <v/>
      </c>
      <c r="E2968">
        <f>INDEX(FactorTable!$B$2:$Y$301, MATCH(ROUND(MIN(300,MAX(1,D2968)),0), FactorTable!$A$2:$A$301,0), Skills!M24+1)</f>
        <v/>
      </c>
      <c r="F2968">
        <f>IF(Skills!N24=TRUE,(Skills!L24/10)*(E2968/1000),Skills!L24/10)+Skills!O24</f>
        <v/>
      </c>
      <c r="G2968">
        <f>Calc!G24</f>
        <v/>
      </c>
      <c r="H2968">
        <f>Calc!H24</f>
        <v/>
      </c>
      <c r="I2968">
        <f>IF(Skills!X24&lt;&gt;"",1+(Skills!X24/10)*(Z2947/1000)/100,1)</f>
        <v/>
      </c>
      <c r="J2968">
        <f>((Inputs!$B$6*(1+Inputs!$B$7/100))+(((Inputs!$B$12*(1+Inputs!$B$13/100))-(Inputs!$B$12*(1+Inputs!$B$13/100)))+0.25*(Inputs!$B$14-Inputs!$B$14))*(1+Inputs!$B$7/100))*(F2968/100)</f>
        <v/>
      </c>
      <c r="K2968">
        <f>J2968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2968)</f>
        <v/>
      </c>
      <c r="L2968">
        <f>K2968*(MIN(Inputs!$B$22+(F2966-Calc!F22),(Inputs!$B$23+(IF(ArtifactsInput!$M$15,CHOOSE(ArtifactsInput!$N$15+1,25,30,35,40,45,50)/100*(Inputs!$B$11-Inputs!$B$11),0))))/100+(Inputs!$B$23+(IF(ArtifactsInput!$M$15,CHOOSE(ArtifactsInput!$N$15+1,25,30,35,40,45,50)/100*(Inputs!$B$11-Inputs!$B$11),0)))/100)/2</f>
        <v/>
      </c>
      <c r="M2968">
        <f>L2968*(1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8">
        <f>L2968*(1-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2968*(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8">
        <f>(1-Summary!$B$11)*S2968+Summary!$B$11*U2968</f>
        <v/>
      </c>
      <c r="P2968">
        <f>IF(B2985=0,0,O2968/B2985)</f>
        <v/>
      </c>
      <c r="Q2968">
        <f>IFERROR(1/(IF(Inputs!$B$38="pvp",15,MAX(0.1,Skills!E24-IF(Skills!F24=TRUE,2.5,0)))*(1-IF(AND(ArtifactsInput!$M$27,Inputs!$B$4="Chapter Hunt"),CHOOSE(ArtifactsInput!$N$27+1,20,24,28,32,36,40),0)/100)),0)</f>
        <v/>
      </c>
      <c r="R2968">
        <f>IF(AND(Inputs!$B$38&lt;&gt;"pvp",Inputs!$B$43&gt;0),IF(MAX(0,Inputs!$B$43-B2982)&lt;=0,0,(INT(MAX(0,Inputs!$B$43-B2982)/(IF(Inputs!$B$38="pvp",15,MAX(0.1,Skills!E24-IF(Skills!F24=TRUE,2.5,0)))*(1-IF(AND(ArtifactsInput!$M$27,Inputs!$B$4="Chapter Hunt"),CHOOSE(ArtifactsInput!$N$27+1,20,24,28,32,36,40),0)/100)))+1)),0)</f>
        <v/>
      </c>
      <c r="S2968">
        <f>IF(C2968,(H2968*N2968*IF(AND(Inputs!$B$38&lt;&gt;"pvp",Inputs!$B$43&gt;0),((Skills!G24*((R2968-1)*IF(Skills!H24&gt;0,Skills!I24/Skills!H24,1)+IF(Skills!H24&gt;0,MIN(Skills!I24,MAX(0,MAX(0,Inputs!$B$43-B2982)-((R2968-1)*(IF(Inputs!$B$38="pvp",15,MAX(0.1,Skills!E24-IF(Skills!F24=TRUE,2.5,0)))*(1-IF(AND(ArtifactsInput!$M$27,Inputs!$B$4="Chapter Hunt"),CHOOSE(ArtifactsInput!$N$27+1,20,24,28,32,36,40),0)/100)))))/Skills!H24,1)))/Inputs!$B$43),G2968*Q2968)*(1+IF(Inputs!$B$3&gt;=130,0.2*(Skills!I16/Skills!E15+IF(Inputs!$B$3&gt;=126,0.05*(B2980+Q2957+(H2958*B2981)/(1+Skills!H14*H2958*B2981)+Q2968)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2968*(1-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2968*(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2968*(1-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2968*(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8">
        <f>IF(C2968,(H2968*N2968*IF(AND(Inputs!$B$38&lt;&gt;"pvp",Inputs!$B$43&gt;0),((Skills!G24*((R2968-1)*IF(Skills!H24&gt;0,Skills!I24/Skills!H24,1)+IF(Skills!H24&gt;0,MIN(Skills!I24,MAX(0,MAX(0,Inputs!$B$43-B2982)-((R2968-1)*(IF(Inputs!$B$38="pvp",15,MAX(0.1,Skills!E24-IF(Skills!F24=TRUE,2.5,0)))*(1-IF(AND(ArtifactsInput!$M$27,Inputs!$B$4="Chapter Hunt"),CHOOSE(ArtifactsInput!$N$27+1,20,24,28,32,36,40),0)/100)))))/Skills!H24,1)))/Inputs!$B$43),G2968*Q2968)*(1+IF(Inputs!$B$3&gt;=130,0.2*(Skills!I16/Skills!E15+IF(Inputs!$B$3&gt;=126,0.05*(B2980+Q2957+(H2958*B2981)/(1+Skills!H14*H2958*B2981)+Q2968)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9">
      <c r="A2969">
        <f>Skills!A25</f>
        <v/>
      </c>
      <c r="B2969">
        <f>Skills!B25</f>
        <v/>
      </c>
      <c r="C2969">
        <f>Inputs!$B$3&gt;=117</f>
        <v/>
      </c>
      <c r="D2969">
        <f>IF(Skills!C25=1,60+Inputs!$B$25+Inputs!$B$29,IF(Skills!C25=2,90+Inputs!$B$26+Inputs!$B$29,IF(Skills!C25=3,120+Inputs!$B$27+Inputs!$B$29,MAX(0,(Inputs!$B$3-100)*3)+Inputs!$B$28+Inputs!$B$29)))</f>
        <v/>
      </c>
      <c r="E2969">
        <f>INDEX(FactorTable!$B$2:$Y$301, MATCH(ROUND(MIN(300,MAX(1,D2969)),0), FactorTable!$A$2:$A$301,0), Skills!M25+1)</f>
        <v/>
      </c>
      <c r="F2969">
        <f>IF(Skills!N25=TRUE,(Skills!L25/10)*(E2969/1000),Skills!L25/10)+Skills!O25</f>
        <v/>
      </c>
      <c r="G2969">
        <f>Calc!G25</f>
        <v/>
      </c>
      <c r="H2969">
        <f>Calc!H25</f>
        <v/>
      </c>
      <c r="I2969">
        <f>IF(Skills!X25&lt;&gt;"",1+(Skills!X25/10)*(Z2947/1000)/100,1)</f>
        <v/>
      </c>
      <c r="J2969" t="inlineStr"/>
      <c r="K2969" t="inlineStr"/>
      <c r="L2969" t="inlineStr"/>
      <c r="M2969" t="inlineStr"/>
      <c r="N2969" t="inlineStr"/>
      <c r="O2969">
        <f>(1-Summary!$B$11)*S2969+Summary!$B$11*U2969</f>
        <v/>
      </c>
      <c r="P2969">
        <f>IF(B2985=0,0,O2969/B2985)</f>
        <v/>
      </c>
      <c r="Q2969">
        <f>IFERROR(1/(IF(Inputs!$B$38="pvp",15,MAX(0.1,Skills!E25-IF(Skills!F25=TRUE,2.5,0)))*(1-IF(AND(ArtifactsInput!$M$27,Inputs!$B$4="Chapter Hunt"),CHOOSE(ArtifactsInput!$N$27+1,20,24,28,32,36,40),0)/100)),0)</f>
        <v/>
      </c>
      <c r="R2969" t="n">
        <v>0</v>
      </c>
      <c r="S2969" t="n">
        <v>0</v>
      </c>
      <c r="U2969" t="n">
        <v>0</v>
      </c>
    </row>
    <row r="2970">
      <c r="A2970">
        <f>Skills!A26</f>
        <v/>
      </c>
      <c r="B2970">
        <f>Skills!B26</f>
        <v/>
      </c>
      <c r="C2970">
        <f>Inputs!$B$3&gt;=120</f>
        <v/>
      </c>
      <c r="D2970">
        <f>IF(Skills!C26=1,60+Inputs!$B$25+Inputs!$B$29,IF(Skills!C26=2,90+Inputs!$B$26+Inputs!$B$29,IF(Skills!C26=3,120+Inputs!$B$27+Inputs!$B$29,MAX(0,(Inputs!$B$3-100)*3)+Inputs!$B$28+Inputs!$B$29)))</f>
        <v/>
      </c>
      <c r="E2970">
        <f>INDEX(FactorTable!$B$2:$Y$301, MATCH(ROUND(MIN(300,MAX(1,D2970)),0), FactorTable!$A$2:$A$301,0), Skills!M26+1)</f>
        <v/>
      </c>
      <c r="F2970">
        <f>IF(Skills!N26=TRUE,(Skills!L26/10)*(E2970/1000),Skills!L26/10)+Skills!O26</f>
        <v/>
      </c>
      <c r="G2970">
        <f>Calc!G26</f>
        <v/>
      </c>
      <c r="H2970">
        <f>Calc!H26</f>
        <v/>
      </c>
      <c r="I2970">
        <f>IF(Skills!X26&lt;&gt;"",1+(Skills!X26/10)*(Z2947/1000)/100,1)</f>
        <v/>
      </c>
      <c r="J2970" t="inlineStr"/>
      <c r="K2970" t="inlineStr"/>
      <c r="L2970" t="inlineStr"/>
      <c r="M2970" t="inlineStr"/>
      <c r="N2970" t="inlineStr"/>
      <c r="O2970">
        <f>(1-Summary!$B$11)*S2970+Summary!$B$11*U2970</f>
        <v/>
      </c>
      <c r="P2970">
        <f>IF(B2985=0,0,O2970/B2985)</f>
        <v/>
      </c>
      <c r="Q2970">
        <f>IFERROR(1/(IF(Inputs!$B$38="pvp",15,MAX(0.1,Skills!E26-IF(Skills!F26=TRUE,2.5,0)))*(1-IF(AND(ArtifactsInput!$M$27,Inputs!$B$4="Chapter Hunt"),CHOOSE(ArtifactsInput!$N$27+1,20,24,28,32,36,40),0)/100)),0)</f>
        <v/>
      </c>
      <c r="R2970" t="n">
        <v>0</v>
      </c>
      <c r="S2970" t="n">
        <v>0</v>
      </c>
      <c r="U2970" t="n">
        <v>0</v>
      </c>
    </row>
    <row r="2971">
      <c r="A2971">
        <f>Skills!A27</f>
        <v/>
      </c>
      <c r="B2971">
        <f>Skills!B27</f>
        <v/>
      </c>
      <c r="C2971">
        <f>Inputs!$B$3&gt;=125</f>
        <v/>
      </c>
      <c r="D2971">
        <f>IF(Skills!C27=1,60+Inputs!$B$25+Inputs!$B$29,IF(Skills!C27=2,90+Inputs!$B$26+Inputs!$B$29,IF(Skills!C27=3,120+Inputs!$B$27+Inputs!$B$29,MAX(0,(Inputs!$B$3-100)*3)+Inputs!$B$28+Inputs!$B$29)))</f>
        <v/>
      </c>
      <c r="E2971">
        <f>INDEX(FactorTable!$B$2:$Y$301, MATCH(ROUND(MIN(300,MAX(1,D2971)),0), FactorTable!$A$2:$A$301,0), Skills!M27+1)</f>
        <v/>
      </c>
      <c r="F2971">
        <f>IF(Skills!N27=TRUE,(Skills!L27/10)*(E2971/1000),Skills!L27/10)+Skills!O27</f>
        <v/>
      </c>
      <c r="G2971">
        <f>Calc!G27</f>
        <v/>
      </c>
      <c r="H2971">
        <f>Calc!H27</f>
        <v/>
      </c>
      <c r="I2971">
        <f>IF(Skills!X27&lt;&gt;"",1+(Skills!X27/10)*(Z2947/1000)/100,1)</f>
        <v/>
      </c>
      <c r="J2971" t="inlineStr"/>
      <c r="K2971" t="inlineStr"/>
      <c r="L2971" t="inlineStr"/>
      <c r="M2971" t="inlineStr"/>
      <c r="N2971" t="inlineStr"/>
      <c r="O2971">
        <f>(1-Summary!$B$11)*S2971+Summary!$B$11*U2971</f>
        <v/>
      </c>
      <c r="P2971">
        <f>IF(B2985=0,0,O2971/B2985)</f>
        <v/>
      </c>
      <c r="Q2971">
        <f>IFERROR(1/(IF(Inputs!$B$38="pvp",15,MAX(0.1,Skills!E27-IF(Skills!F27=TRUE,2.5,0)))*(1-IF(AND(ArtifactsInput!$M$27,Inputs!$B$4="Chapter Hunt"),CHOOSE(ArtifactsInput!$N$27+1,20,24,28,32,36,40),0)/100)),0)</f>
        <v/>
      </c>
      <c r="R2971" t="n">
        <v>0</v>
      </c>
      <c r="S2971" t="n">
        <v>0</v>
      </c>
      <c r="U2971" t="n">
        <v>0</v>
      </c>
    </row>
    <row r="2972">
      <c r="A2972">
        <f>Skills!A28</f>
        <v/>
      </c>
      <c r="B2972">
        <f>Skills!B28</f>
        <v/>
      </c>
      <c r="C2972">
        <f>Inputs!$B$3&gt;=118</f>
        <v/>
      </c>
      <c r="D2972">
        <f>IF(Skills!C28=1,60+Inputs!$B$25+Inputs!$B$29,IF(Skills!C28=2,90+Inputs!$B$26+Inputs!$B$29,IF(Skills!C28=3,120+Inputs!$B$27+Inputs!$B$29,MAX(0,(Inputs!$B$3-100)*3)+Inputs!$B$28+Inputs!$B$29)))</f>
        <v/>
      </c>
      <c r="E2972">
        <f>INDEX(FactorTable!$B$2:$Y$301, MATCH(ROUND(MIN(300,MAX(1,D2972)),0), FactorTable!$A$2:$A$301,0), Skills!M28+1)</f>
        <v/>
      </c>
      <c r="F2972">
        <f>IF(Skills!N28=TRUE,(Skills!L28/10)*(E2972/1000),Skills!L28/10)+Skills!O28</f>
        <v/>
      </c>
      <c r="G2972">
        <f>Calc!G28</f>
        <v/>
      </c>
      <c r="H2972">
        <f>Calc!H28</f>
        <v/>
      </c>
      <c r="I2972">
        <f>IF(Skills!X28&lt;&gt;"",1+(Skills!X28/10)*(Z2947/1000)/100,1)</f>
        <v/>
      </c>
      <c r="J2972">
        <f>((Inputs!$B$6*(1+Inputs!$B$7/100))+(((Inputs!$B$12*(1+Inputs!$B$13/100))-(Inputs!$B$12*(1+Inputs!$B$13/100)))+0.25*(Inputs!$B$14-Inputs!$B$14))*(1+Inputs!$B$7/100))*(F2972/100)</f>
        <v/>
      </c>
      <c r="K2972">
        <f>J2972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2967/100)*(1+IF(Inputs!$B$3&gt;=120,F2970,0)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2971*5,0)))/100)*(B2974*B2975*B2976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2972)</f>
        <v/>
      </c>
      <c r="L2972">
        <f>K2972*(MIN(Inputs!$B$22+(F2966-Calc!F22),(Inputs!$B$23+(IF(ArtifactsInput!$M$15,CHOOSE(ArtifactsInput!$N$15+1,25,30,35,40,45,50)/100*(Inputs!$B$11-Inputs!$B$11),0))))/100+(Inputs!$B$23+(IF(ArtifactsInput!$M$15,CHOOSE(ArtifactsInput!$N$15+1,25,30,35,40,45,50)/100*(Inputs!$B$11-Inputs!$B$11),0)))/100)/2</f>
        <v/>
      </c>
      <c r="M2972">
        <f>L2972*(1+(Inputs!$B$10+(F2965-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2">
        <f>L2972*(1-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2972*(MIN((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2">
        <f>(1-Summary!$B$11)*S2972+Summary!$B$11*U2972</f>
        <v/>
      </c>
      <c r="P2972">
        <f>IF(B2985=0,0,O2972/B2985)</f>
        <v/>
      </c>
      <c r="Q2972">
        <f>IFERROR(1/(IF(Inputs!$B$38="pvp",15,MAX(0.1,Skills!E28-IF(Skills!F28=TRUE,2.5,0)))*(1-IF(AND(ArtifactsInput!$M$27,Inputs!$B$4="Chapter Hunt"),CHOOSE(ArtifactsInput!$N$27+1,20,24,28,32,36,40),0)/100)),0)</f>
        <v/>
      </c>
      <c r="R2972">
        <f>IF(AND(Inputs!$B$38&lt;&gt;"pvp",Inputs!$B$43&gt;0),IF(MAX(0,Inputs!$B$43-B2982)&lt;=0,0,(INT(MAX(0,Inputs!$B$43-B2982)/(IF(Inputs!$B$38="pvp",15,MAX(0.1,Skills!E28-IF(Skills!F28=TRUE,2.5,0)))*(1-IF(AND(ArtifactsInput!$M$27,Inputs!$B$4="Chapter Hunt"),CHOOSE(ArtifactsInput!$N$27+1,20,24,28,32,36,40),0)/100)))+1)),0)</f>
        <v/>
      </c>
      <c r="S2972">
        <f>IF(C2972,(H2972*N2972*IF(AND(Inputs!$B$38&lt;&gt;"pvp",Inputs!$B$43&gt;0),((Skills!G28*((R2972-1)*IF(Skills!H28&gt;0,Skills!I28/Skills!H28,1)+IF(Skills!H28&gt;0,MIN(Skills!I28,MAX(0,MAX(0,Inputs!$B$43-B2982)-((R2972-1)*(IF(Inputs!$B$38="pvp",15,MAX(0.1,Skills!E28-IF(Skills!F28=TRUE,2.5,0)))*(1-IF(AND(ArtifactsInput!$M$27,Inputs!$B$4="Chapter Hunt"),CHOOSE(ArtifactsInput!$N$27+1,20,24,28,32,36,40),0)/100)))))/Skills!H28,1)))/Inputs!$B$43),G2972*Q2972)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2972*(1-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2972*(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2972*(1-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2972*(MIN(100,(Inputs!$B$9+(F2964-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72">
        <f>IF(C2972,(H2972*N2972*IF(AND(Inputs!$B$38&lt;&gt;"pvp",Inputs!$B$43&gt;0),((Skills!G28*((R2972-1)*IF(Skills!H28&gt;0,Skills!I28/Skills!H28,1)+IF(Skills!H28&gt;0,MIN(Skills!I28,MAX(0,MAX(0,Inputs!$B$43-B2982)-((R2972-1)*(IF(Inputs!$B$38="pvp",15,MAX(0.1,Skills!E28-IF(Skills!F28=TRUE,2.5,0)))*(1-IF(AND(ArtifactsInput!$M$27,Inputs!$B$4="Chapter Hunt"),CHOOSE(ArtifactsInput!$N$27+1,20,24,28,32,36,40),0)/100)))))/Skills!H28,1)))/Inputs!$B$43),G2972*Q2972)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4">
      <c r="A2974" t="inlineStr">
        <is>
          <t>Burning Magic Multiplier</t>
        </is>
      </c>
      <c r="B2974">
        <f>1+(F2955*Skills!Z11)/100</f>
        <v/>
      </c>
    </row>
    <row r="2975">
      <c r="A2975" t="inlineStr">
        <is>
          <t>Elemental Decrease Multiplier (always-on)</t>
        </is>
      </c>
      <c r="B2975">
        <f>1+(F2956+(IF(AND(ArtifactsInput!$M$35,Inputs!$B$4&lt;&gt;"Chapter Hunt"),CHOOSE(ArtifactsInput!$N$35+1,15,18,21,24,27,30)*(1-EXP(-(0.2*B2978)*5)),0)+IF(AND(ArtifactsInput!$M$22,Inputs!$B$4&lt;&gt;"Chapter Hunt"),CHOOSE(ArtifactsInput!$N$22+1,10,12,14,16,18,20)*((0*(((0.15*B2978*5))^0/1)+1*(((0.15*B2978*5))^1/1)+2*(((0.15*B2978*5))^2/2)+3*(((0.15*B2978*5))^3/6)+4*(((0.15*B2978*5))^4/24)+5*(((0.15*B2978*5))^5/120))/((((0.15*B2978*5))^0/1)+(((0.15*B2978*5))^1/1)+(((0.15*B2978*5))^2/2)+(((0.15*B2978*5))^3/6)+(((0.15*B2978*5))^4/24)+(((0.15*B2978*5))^5/120))),0)))/100</f>
        <v/>
      </c>
    </row>
    <row r="2976">
      <c r="A2976" t="inlineStr">
        <is>
          <t>Average Buff Multiplier (Magic Guard + Meditation + Artifact Attack%, summed; then Infinity)</t>
        </is>
      </c>
      <c r="B2976">
        <f>(1+(F2950*IF(AND(Inputs!$B$38&lt;&gt;"pvp",Inputs!$B$43&gt;0),(((R2950-1)*(Skills!T6*(1+((Inputs!$B$34+(ArtifactsInput!$M$7-ArtifactsInput!$M$7)*CHOOSE(ArtifactsInput!$N$7+1,6,7.2,8.4,9.6,10.8,12)))/100))+MIN((Skills!T6*(1+((Inputs!$B$34+(ArtifactsInput!$M$7-ArtifactsInput!$M$7)*CHOOSE(ArtifactsInput!$N$7+1,6,7.2,8.4,9.6,10.8,12)))/100)),MAX(0,Inputs!$B$43-((R2950-1)*Skills!E6))))/Inputs!$B$43),IF(Inputs!$B$38="pvp",MIN((Skills!T6*(1+((Inputs!$B$34+(ArtifactsInput!$M$7-ArtifactsInput!$M$7)*CHOOSE(ArtifactsInput!$N$7+1,6,7.2,8.4,9.6,10.8,12)))/100)),15)/15,(Skills!T6*(1+((Inputs!$B$34+(ArtifactsInput!$M$7-ArtifactsInput!$M$7)*CHOOSE(ArtifactsInput!$N$7+1,6,7.2,8.4,9.6,10.8,12)))/100))/Skills!E6))+F2961*IF(AND(Inputs!$B$38&lt;&gt;"pvp",Inputs!$B$43&gt;0),(((R2961-1)*(Skills!T17*(1+((Inputs!$B$34+(ArtifactsInput!$M$7-ArtifactsInput!$M$7)*CHOOSE(ArtifactsInput!$N$7+1,6,7.2,8.4,9.6,10.8,12)))/100))+MIN((Skills!T17*(1+((Inputs!$B$34+(ArtifactsInput!$M$7-ArtifactsInput!$M$7)*CHOOSE(ArtifactsInput!$N$7+1,6,7.2,8.4,9.6,10.8,12)))/100)),MAX(0,Inputs!$B$43-((R2961-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2963=TRUE,(1+F2963*IF(AND(Inputs!$B$38&lt;&gt;"pvp",Inputs!$B$43&gt;0),(((R2963-1)*(Skills!T19*(1+((Inputs!$B$34+(ArtifactsInput!$M$7-ArtifactsInput!$M$7)*CHOOSE(ArtifactsInput!$N$7+1,6,7.2,8.4,9.6,10.8,12)))/100))+MIN((Skills!T19*(1+((Inputs!$B$34+(ArtifactsInput!$M$7-ArtifactsInput!$M$7)*CHOOSE(ArtifactsInput!$N$7+1,6,7.2,8.4,9.6,10.8,12)))/100)),MAX(0,Inputs!$B$43-((R2963-1)*Skills!E19))))/Inputs!$B$43),IF(Inputs!$B$38="pvp",MIN((Skills!T19*(1+((Inputs!$B$34+(ArtifactsInput!$M$7-ArtifactsInput!$M$7)*CHOOSE(ArtifactsInput!$N$7+1,6,7.2,8.4,9.6,10.8,12)))/100)),15)/15,(Skills!T19*(1+((Inputs!$B$34+(ArtifactsInput!$M$7-ArtifactsInput!$M$7)*CHOOSE(ArtifactsInput!$N$7+1,6,7.2,8.4,9.6,10.8,12)))/100))/Skills!E19))/100),1)</f>
        <v/>
      </c>
    </row>
    <row r="2977">
      <c r="A2977" t="inlineStr">
        <is>
          <t>Attack Speed Buff Bonus % (Nimble Feet, averaged)</t>
        </is>
      </c>
      <c r="B2977">
        <f>F2962*IF(AND(Inputs!$B$38&lt;&gt;"pvp",Inputs!$B$43&gt;0),(((R2962-1)*(Skills!T18*(1+((Inputs!$B$34+(ArtifactsInput!$M$7-ArtifactsInput!$M$7)*CHOOSE(ArtifactsInput!$N$7+1,6,7.2,8.4,9.6,10.8,12)))/100))+MIN((Skills!T18*(1+((Inputs!$B$34+(ArtifactsInput!$M$7-ArtifactsInput!$M$7)*CHOOSE(ArtifactsInput!$N$7+1,6,7.2,8.4,9.6,10.8,12)))/100)),MAX(0,Inputs!$B$43-((R2962-1)*Skills!E18))))/Inputs!$B$43),IF(Inputs!$B$38="pvp",MIN((Skills!T18*(1+((Inputs!$B$34+(ArtifactsInput!$M$7-ArtifactsInput!$M$7)*CHOOSE(ArtifactsInput!$N$7+1,6,7.2,8.4,9.6,10.8,12)))/100)),15)/15,(Skills!T18*(1+((Inputs!$B$34+(ArtifactsInput!$M$7-ArtifactsInput!$M$7)*CHOOSE(ArtifactsInput!$N$7+1,6,7.2,8.4,9.6,10.8,12)))/100))/Skills!E18))</f>
        <v/>
      </c>
    </row>
    <row r="2978">
      <c r="A2978" t="inlineStr">
        <is>
          <t>Actions Per Second</t>
        </is>
      </c>
      <c r="B2978">
        <f>1+MIN(150,150*(1-(1-(Inputs!$B$11+(ArtifactsInput!$M$15-ArtifactsInput!$M$15)*CHOOSE(ArtifactsInput!$N$15+1,8,9.6,11.2,12.8,14.4,16))/150)*(1-B2977/150)))/100</f>
        <v/>
      </c>
    </row>
    <row r="2979">
      <c r="A2979" t="inlineStr">
        <is>
          <t>Skill + Buff Cast Rate</t>
        </is>
      </c>
      <c r="B2979">
        <f>IF(AND(Inputs!$B$38&lt;&gt;"pvp",Inputs!$B$43&gt;0),SUMPRODUCT((Skills!F2:F28=TRUE)*(C2946:C2972=TRUE)*R2946:R2972)/Inputs!$B$43,SUMPRODUCT((Skills!F2:F28=TRUE)*(C2946:C2972=TRUE)*Q2946:Q2972))</f>
        <v/>
      </c>
    </row>
    <row r="2980">
      <c r="A2980" t="inlineStr">
        <is>
          <t>Basic Attacks Per Second</t>
        </is>
      </c>
      <c r="B2980">
        <f>MAX(0,B2978-B2979)</f>
        <v/>
      </c>
    </row>
    <row r="2981">
      <c r="A2981" t="inlineStr">
        <is>
          <t>Meteor Proc — combined trigger cast rate</t>
        </is>
      </c>
      <c r="B2981">
        <f>IF(AND(Inputs!$B$38&lt;&gt;"pvp",Inputs!$B$43&gt;0),SUMPRODUCT((Skills!V2:V28=TRUE)*(C2946:C2972=TRUE)*R2946:R2972*Skills!W2:W28)/Inputs!$B$43,SUMPRODUCT((Skills!V2:V28=TRUE)*(C2946:C2972=TRUE)*Q2946:Q2972*Skills!W2:W28))+B2980</f>
        <v/>
      </c>
    </row>
    <row r="2982">
      <c r="A2982" t="inlineStr">
        <is>
          <t>Buff-Casting Startup Delay (s, fixed-duration only)</t>
        </is>
      </c>
      <c r="B2982">
        <f>IF(AND(Inputs!$B$38&lt;&gt;"pvp",Inputs!$B$43&gt;0),SUMPRODUCT((Skills!T2:T28&gt;0)*(Skills!F2:F28=TRUE)*(C2946:C2972=TRUE))/B2978,0)</f>
        <v/>
      </c>
    </row>
    <row r="2983">
      <c r="A2983" t="inlineStr">
        <is>
          <t>Boss-Only Total DPS (this block's swept value)</t>
        </is>
      </c>
      <c r="B2983">
        <f>SUM(S2946:S2972)</f>
        <v/>
      </c>
    </row>
    <row r="2984">
      <c r="A2984" t="inlineStr">
        <is>
          <t>Normal-Only Total DPS (this block's swept value)</t>
        </is>
      </c>
      <c r="B2984">
        <f>SUM(U2946:U2972)</f>
        <v/>
      </c>
    </row>
    <row r="2985">
      <c r="A2985" s="6" t="inlineStr">
        <is>
          <t>TOTAL DPS</t>
        </is>
      </c>
      <c r="B2985" s="6">
        <f>SUM(O2946:O2972)</f>
        <v/>
      </c>
    </row>
    <row r="2988">
      <c r="A2988" s="6" t="inlineStr">
        <is>
          <t>Stat: CDR = 3.0s</t>
        </is>
      </c>
    </row>
    <row r="2989">
      <c r="A2989" s="5" t="inlineStr">
        <is>
          <t>Key</t>
        </is>
      </c>
      <c r="B2989" s="5" t="inlineStr">
        <is>
          <t>Name</t>
        </is>
      </c>
      <c r="C2989" s="5" t="inlineStr">
        <is>
          <t>Unlocked</t>
        </is>
      </c>
      <c r="D2989" s="5" t="inlineStr">
        <is>
          <t>InputLevel</t>
        </is>
      </c>
      <c r="E2989" s="5" t="inlineStr">
        <is>
          <t>Factor</t>
        </is>
      </c>
      <c r="F2989" s="5" t="inlineStr">
        <is>
          <t>CoefficientPercent</t>
        </is>
      </c>
      <c r="G2989" s="5" t="inlineStr">
        <is>
          <t>EffectiveHits</t>
        </is>
      </c>
      <c r="H2989" s="5" t="inlineStr">
        <is>
          <t>ProcProbability</t>
        </is>
      </c>
      <c r="I2989" s="5" t="inlineStr">
        <is>
          <t>MapleHeroMultiplier</t>
        </is>
      </c>
      <c r="J2989" s="5" t="inlineStr">
        <is>
          <t>BaseDamage</t>
        </is>
      </c>
      <c r="K2989" s="5" t="inlineStr">
        <is>
          <t>BaseHitDamage</t>
        </is>
      </c>
      <c r="L2989" s="5" t="inlineStr">
        <is>
          <t>NonCritAvg</t>
        </is>
      </c>
      <c r="M2989" s="5" t="inlineStr">
        <is>
          <t>CritAvg</t>
        </is>
      </c>
      <c r="N2989" s="5" t="inlineStr">
        <is>
          <t>ExpectedDamage(perHit)</t>
        </is>
      </c>
      <c r="O2989" s="5" t="inlineStr">
        <is>
          <t>DPS</t>
        </is>
      </c>
      <c r="P2989" s="5" t="inlineStr">
        <is>
          <t>% of Total</t>
        </is>
      </c>
      <c r="R2989" t="inlineStr">
        <is>
          <t>helpers</t>
        </is>
      </c>
    </row>
    <row r="2990">
      <c r="A2990">
        <f>Skills!A2</f>
        <v/>
      </c>
      <c r="B2990">
        <f>Skills!B2</f>
        <v/>
      </c>
      <c r="C2990">
        <f>TRUE</f>
        <v/>
      </c>
      <c r="D2990" t="inlineStr"/>
      <c r="E2990" t="inlineStr"/>
      <c r="F2990">
        <f>T2992+Skills!O2</f>
        <v/>
      </c>
      <c r="G2990">
        <f>Calc!G2</f>
        <v/>
      </c>
      <c r="H2990">
        <f>Calc!H2</f>
        <v/>
      </c>
      <c r="I2990">
        <f>IF(Skills!X2&lt;&gt;"",1+(Skills!X2/10)*(Z2991/1000)/100,1)</f>
        <v/>
      </c>
      <c r="J2990">
        <f>((Inputs!$B$6*(1+Inputs!$B$7/100))+(((Inputs!$B$12*(1+Inputs!$B$13/100))-(Inputs!$B$12*(1+Inputs!$B$13/100)))+0.25*(Inputs!$B$14-Inputs!$B$14))*(1+Inputs!$B$7/100))*(F2990/100)</f>
        <v/>
      </c>
      <c r="K2990">
        <f>J2990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2990)</f>
        <v/>
      </c>
      <c r="L2990">
        <f>K2990*(MIN(Inputs!$B$22+(F3010-Calc!F22),(Inputs!$B$23+(IF(ArtifactsInput!$M$15,CHOOSE(ArtifactsInput!$N$15+1,25,30,35,40,45,50)/100*(Inputs!$B$11-Inputs!$B$11),0))))/100+(Inputs!$B$23+(IF(ArtifactsInput!$M$15,CHOOSE(ArtifactsInput!$N$15+1,25,30,35,40,45,50)/100*(Inputs!$B$11-Inputs!$B$11),0)))/100)/2</f>
        <v/>
      </c>
      <c r="M2990">
        <f>L2990*(1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0">
        <f>L2990*(1-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2990*(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0">
        <f>(1-Summary!$B$11)*S2990+Summary!$B$11*U2990</f>
        <v/>
      </c>
      <c r="P2990">
        <f>IF(B3029=0,0,O2990/B3029)</f>
        <v/>
      </c>
      <c r="Q2990">
        <f>IFERROR(1/(IF(Inputs!$B$38="pvp",15,MAX(0.1,Skills!E2-IF(Skills!F2=TRUE,3.0,0)))*(1-IF(AND(ArtifactsInput!$M$27,Inputs!$B$4="Chapter Hunt"),CHOOSE(ArtifactsInput!$N$27+1,20,24,28,32,36,40),0)/100)),0)</f>
        <v/>
      </c>
      <c r="R2990" t="n">
        <v>0</v>
      </c>
      <c r="S2990">
        <f>(Skills!G2*N2990*B3024)*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2990*(1-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2990*(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2990*(1-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2990*(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2990">
        <f>MAX(0,(Inputs!$B$3-100)*3)+Inputs!$B$28+Inputs!$B$29</f>
        <v/>
      </c>
      <c r="U2990">
        <f>(Skills!G2*N2990*B3024)*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2990">
        <f>MAX(0,(Inputs!$B$3-100)*3)+Inputs!$B$28+Inputs!$B$29</f>
        <v/>
      </c>
    </row>
    <row r="2991">
      <c r="A2991">
        <f>Skills!A3</f>
        <v/>
      </c>
      <c r="B2991">
        <f>Skills!B3</f>
        <v/>
      </c>
      <c r="C2991">
        <f>TRUE</f>
        <v/>
      </c>
      <c r="D2991">
        <f>IF(Skills!C3=1,60+Inputs!$B$25+Inputs!$B$29,IF(Skills!C3=2,90+Inputs!$B$26+Inputs!$B$29,IF(Skills!C3=3,120+Inputs!$B$27+Inputs!$B$29,MAX(0,(Inputs!$B$3-100)*3)+Inputs!$B$28+Inputs!$B$29)))</f>
        <v/>
      </c>
      <c r="E2991">
        <f>INDEX(FactorTable!$B$2:$Y$301, MATCH(ROUND(MIN(300,MAX(1,D2991)),0), FactorTable!$A$2:$A$301,0), Skills!M3+1)</f>
        <v/>
      </c>
      <c r="F2991">
        <f>IF(Skills!N3=TRUE,(Skills!L3/10)*(E2991/1000),Skills!L3/10)+Skills!O3</f>
        <v/>
      </c>
      <c r="G2991">
        <f>Calc!G3</f>
        <v/>
      </c>
      <c r="H2991">
        <f>Calc!H3</f>
        <v/>
      </c>
      <c r="I2991">
        <f>IF(Skills!X3&lt;&gt;"",1+(Skills!X3/10)*(Z2991/1000)/100,1)</f>
        <v/>
      </c>
      <c r="J2991">
        <f>((Inputs!$B$6*(1+Inputs!$B$7/100))+(((Inputs!$B$12*(1+Inputs!$B$13/100))-(Inputs!$B$12*(1+Inputs!$B$13/100)))+0.25*(Inputs!$B$14-Inputs!$B$14))*(1+Inputs!$B$7/100))*(F2991/100)</f>
        <v/>
      </c>
      <c r="K2991">
        <f>J2991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2991)</f>
        <v/>
      </c>
      <c r="L2991">
        <f>K2991*(MIN(Inputs!$B$22+(F3010-Calc!F22),(Inputs!$B$23+(IF(ArtifactsInput!$M$15,CHOOSE(ArtifactsInput!$N$15+1,25,30,35,40,45,50)/100*(Inputs!$B$11-Inputs!$B$11),0))))/100+(Inputs!$B$23+(IF(ArtifactsInput!$M$15,CHOOSE(ArtifactsInput!$N$15+1,25,30,35,40,45,50)/100*(Inputs!$B$11-Inputs!$B$11),0)))/100)/2</f>
        <v/>
      </c>
      <c r="M2991">
        <f>L2991*(1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1">
        <f>L2991*(1-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1">
        <f>(1-Summary!$B$11)*S2991+Summary!$B$11*U2991</f>
        <v/>
      </c>
      <c r="P2991">
        <f>IF(B3029=0,0,O2991/B3029)</f>
        <v/>
      </c>
      <c r="Q2991">
        <f>IFERROR(1/(IF(Inputs!$B$38="pvp",15,MAX(0.1,Skills!E3-IF(Skills!F3=TRUE,3.0,0)))*(1-IF(AND(ArtifactsInput!$M$27,Inputs!$B$4="Chapter Hunt"),CHOOSE(ArtifactsInput!$N$27+1,20,24,28,32,36,40),0)/100)),0)</f>
        <v/>
      </c>
      <c r="R2991">
        <f>IF(AND(Inputs!$B$38&lt;&gt;"pvp",Inputs!$B$43&gt;0),IF(MAX(0,Inputs!$B$43-B3026)&lt;=0,0,(INT(MAX(0,Inputs!$B$43-B3026)/(IF(Inputs!$B$38="pvp",15,MAX(0.1,Skills!E3-IF(Skills!F3=TRUE,3.0,0)))*(1-IF(AND(ArtifactsInput!$M$27,Inputs!$B$4="Chapter Hunt"),CHOOSE(ArtifactsInput!$N$27+1,20,24,28,32,36,40),0)/100)))+1)),0)</f>
        <v/>
      </c>
      <c r="S2991">
        <f>IF(C2991,(H2991*N2991*IF(AND(Inputs!$B$38&lt;&gt;"pvp",Inputs!$B$43&gt;0),((Skills!G3*((R2991-1)*IF(Skills!H3&gt;0,Skills!I3/Skills!H3,1)+IF(Skills!H3&gt;0,MIN(Skills!I3,MAX(0,MAX(0,Inputs!$B$43-B3026)-((R2991-1)*(IF(Inputs!$B$38="pvp",15,MAX(0.1,Skills!E3-IF(Skills!F3=TRUE,3.0,0)))*(1-IF(AND(ArtifactsInput!$M$27,Inputs!$B$4="Chapter Hunt"),CHOOSE(ArtifactsInput!$N$27+1,20,24,28,32,36,40),0)/100)))))/Skills!H3,1)))/Inputs!$B$43),G2991*Q2991))*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2991*(1-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2991*(1-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91">
        <f>INDEX(FactorTable!$B$2:$Y$301, MATCH(ROUND(MIN(300,MAX(1,T2990)),0), FactorTable!$A$2:$A$301,0), 22)</f>
        <v/>
      </c>
      <c r="U2991">
        <f>IF(C2991,(H2991*N2991*IF(AND(Inputs!$B$38&lt;&gt;"pvp",Inputs!$B$43&gt;0),((Skills!G3*((R2991-1)*IF(Skills!H3&gt;0,Skills!I3/Skills!H3,1)+IF(Skills!H3&gt;0,MIN(Skills!I3,MAX(0,MAX(0,Inputs!$B$43-B3026)-((R2991-1)*(IF(Inputs!$B$38="pvp",15,MAX(0.1,Skills!E3-IF(Skills!F3=TRUE,3.0,0)))*(1-IF(AND(ArtifactsInput!$M$27,Inputs!$B$4="Chapter Hunt"),CHOOSE(ArtifactsInput!$N$27+1,20,24,28,32,36,40),0)/100)))))/Skills!H3,1)))/Inputs!$B$43),G2991*Q2991))*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991">
        <f>INDEX(FactorTable!$B$2:$Y$301, MATCH(ROUND(MIN(300,MAX(1,Z2990)),0), FactorTable!$A$2:$A$301,0), 24)</f>
        <v/>
      </c>
    </row>
    <row r="2992">
      <c r="A2992">
        <f>Skills!A4</f>
        <v/>
      </c>
      <c r="B2992">
        <f>Skills!B4</f>
        <v/>
      </c>
      <c r="C2992">
        <f>TRUE</f>
        <v/>
      </c>
      <c r="D2992">
        <f>IF(Skills!C4=1,60+Inputs!$B$25+Inputs!$B$29,IF(Skills!C4=2,90+Inputs!$B$26+Inputs!$B$29,IF(Skills!C4=3,120+Inputs!$B$27+Inputs!$B$29,MAX(0,(Inputs!$B$3-100)*3)+Inputs!$B$28+Inputs!$B$29)))</f>
        <v/>
      </c>
      <c r="E2992">
        <f>INDEX(FactorTable!$B$2:$Y$301, MATCH(ROUND(MIN(300,MAX(1,D2992)),0), FactorTable!$A$2:$A$301,0), Skills!M4+1)</f>
        <v/>
      </c>
      <c r="F2992">
        <f>IF(Skills!N4=TRUE,(Skills!L4/10)*(E2992/1000),Skills!L4/10)+Skills!O4</f>
        <v/>
      </c>
      <c r="G2992">
        <f>Calc!G4</f>
        <v/>
      </c>
      <c r="H2992">
        <f>Calc!H4</f>
        <v/>
      </c>
      <c r="I2992">
        <f>IF(Skills!X4&lt;&gt;"",1+(Skills!X4/10)*(Z2991/1000)/100,1)</f>
        <v/>
      </c>
      <c r="J2992">
        <f>((Inputs!$B$6*(1+Inputs!$B$7/100))+(((Inputs!$B$12*(1+Inputs!$B$13/100))-(Inputs!$B$12*(1+Inputs!$B$13/100)))+0.25*(Inputs!$B$14-Inputs!$B$14))*(1+Inputs!$B$7/100))*(F2992/100)</f>
        <v/>
      </c>
      <c r="K2992">
        <f>J2992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2992)</f>
        <v/>
      </c>
      <c r="L2992">
        <f>K2992*(MIN(Inputs!$B$22+(F3010-Calc!F22),(Inputs!$B$23+(IF(ArtifactsInput!$M$15,CHOOSE(ArtifactsInput!$N$15+1,25,30,35,40,45,50)/100*(Inputs!$B$11-Inputs!$B$11),0))))/100+(Inputs!$B$23+(IF(ArtifactsInput!$M$15,CHOOSE(ArtifactsInput!$N$15+1,25,30,35,40,45,50)/100*(Inputs!$B$11-Inputs!$B$11),0)))/100)/2</f>
        <v/>
      </c>
      <c r="M2992">
        <f>L2992*(1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2">
        <f>L2992*(1-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2992*(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2">
        <f>(1-Summary!$B$11)*S2992+Summary!$B$11*U2992</f>
        <v/>
      </c>
      <c r="P2992">
        <f>IF(B3029=0,0,O2992/B3029)</f>
        <v/>
      </c>
      <c r="Q2992">
        <f>IFERROR(1/(IF(Inputs!$B$38="pvp",15,MAX(0.1,Skills!E4-IF(Skills!F4=TRUE,3.0,0)))*(1-IF(AND(ArtifactsInput!$M$27,Inputs!$B$4="Chapter Hunt"),CHOOSE(ArtifactsInput!$N$27+1,20,24,28,32,36,40),0)/100)),0)</f>
        <v/>
      </c>
      <c r="R2992">
        <f>IF(AND(Inputs!$B$38&lt;&gt;"pvp",Inputs!$B$43&gt;0),IF(MAX(0,Inputs!$B$43-B3026)&lt;=0,0,(INT(MAX(0,Inputs!$B$43-B3026)/(IF(Inputs!$B$38="pvp",15,MAX(0.1,Skills!E4-IF(Skills!F4=TRUE,3.0,0)))*(1-IF(AND(ArtifactsInput!$M$27,Inputs!$B$4="Chapter Hunt"),CHOOSE(ArtifactsInput!$N$27+1,20,24,28,32,36,40),0)/100)))+1)),0)</f>
        <v/>
      </c>
      <c r="S2992">
        <f>IF(C2992,(H2992*N2992*IF(AND(Inputs!$B$38&lt;&gt;"pvp",Inputs!$B$43&gt;0),((Skills!G4*((R2992-1)*IF(Skills!H4&gt;0,Skills!I4/Skills!H4,1)+IF(Skills!H4&gt;0,MIN(Skills!I4,MAX(0,MAX(0,Inputs!$B$43-B3026)-((R2992-1)*(IF(Inputs!$B$38="pvp",15,MAX(0.1,Skills!E4-IF(Skills!F4=TRUE,3.0,0)))*(1-IF(AND(ArtifactsInput!$M$27,Inputs!$B$4="Chapter Hunt"),CHOOSE(ArtifactsInput!$N$27+1,20,24,28,32,36,40),0)/100)))))/Skills!H4,1)))/Inputs!$B$43),G2992*Q2992))*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2992*(1-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2992*(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2992*(1-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2992*(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92">
        <f>290*T2991/1000</f>
        <v/>
      </c>
      <c r="U2992">
        <f>IF(C2992,(H2992*N2992*IF(AND(Inputs!$B$38&lt;&gt;"pvp",Inputs!$B$43&gt;0),((Skills!G4*((R2992-1)*IF(Skills!H4&gt;0,Skills!I4/Skills!H4,1)+IF(Skills!H4&gt;0,MIN(Skills!I4,MAX(0,MAX(0,Inputs!$B$43-B3026)-((R2992-1)*(IF(Inputs!$B$38="pvp",15,MAX(0.1,Skills!E4-IF(Skills!F4=TRUE,3.0,0)))*(1-IF(AND(ArtifactsInput!$M$27,Inputs!$B$4="Chapter Hunt"),CHOOSE(ArtifactsInput!$N$27+1,20,24,28,32,36,40),0)/100)))))/Skills!H4,1)))/Inputs!$B$43),G2992*Q2992))*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3">
      <c r="A2993">
        <f>Skills!A5</f>
        <v/>
      </c>
      <c r="B2993">
        <f>Skills!B5</f>
        <v/>
      </c>
      <c r="C2993">
        <f>TRUE</f>
        <v/>
      </c>
      <c r="D2993">
        <f>IF(Skills!C5=1,60+Inputs!$B$25+Inputs!$B$29,IF(Skills!C5=2,90+Inputs!$B$26+Inputs!$B$29,IF(Skills!C5=3,120+Inputs!$B$27+Inputs!$B$29,MAX(0,(Inputs!$B$3-100)*3)+Inputs!$B$28+Inputs!$B$29)))</f>
        <v/>
      </c>
      <c r="E2993">
        <f>INDEX(FactorTable!$B$2:$Y$301, MATCH(ROUND(MIN(300,MAX(1,D2993)),0), FactorTable!$A$2:$A$301,0), Skills!M5+1)</f>
        <v/>
      </c>
      <c r="F2993">
        <f>IF(Skills!N5=TRUE,(Skills!L5/10)*(E2993/1000),Skills!L5/10)+Skills!O5</f>
        <v/>
      </c>
      <c r="G2993">
        <f>Calc!G5</f>
        <v/>
      </c>
      <c r="H2993">
        <f>Calc!H5</f>
        <v/>
      </c>
      <c r="I2993">
        <f>IF(Skills!X5&lt;&gt;"",1+(Skills!X5/10)*(Z2991/1000)/100,1)</f>
        <v/>
      </c>
      <c r="J2993">
        <f>((Inputs!$B$6*(1+Inputs!$B$7/100))+(((Inputs!$B$12*(1+Inputs!$B$13/100))-(Inputs!$B$12*(1+Inputs!$B$13/100)))+0.25*(Inputs!$B$14-Inputs!$B$14))*(1+Inputs!$B$7/100))*(F2993/100)</f>
        <v/>
      </c>
      <c r="K2993">
        <f>J2993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2993)</f>
        <v/>
      </c>
      <c r="L2993">
        <f>K2993*(MIN(Inputs!$B$22+(F3010-Calc!F22),(Inputs!$B$23+(IF(ArtifactsInput!$M$15,CHOOSE(ArtifactsInput!$N$15+1,25,30,35,40,45,50)/100*(Inputs!$B$11-Inputs!$B$11),0))))/100+(Inputs!$B$23+(IF(ArtifactsInput!$M$15,CHOOSE(ArtifactsInput!$N$15+1,25,30,35,40,45,50)/100*(Inputs!$B$11-Inputs!$B$11),0)))/100)/2</f>
        <v/>
      </c>
      <c r="M2993">
        <f>L2993*(1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3">
        <f>L2993*(1-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2993*(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3">
        <f>(1-Summary!$B$11)*S2993+Summary!$B$11*U2993</f>
        <v/>
      </c>
      <c r="P2993">
        <f>IF(B3029=0,0,O2993/B3029)</f>
        <v/>
      </c>
      <c r="Q2993">
        <f>IFERROR(1/(IF(Inputs!$B$38="pvp",15,MAX(0.1,Skills!E5-IF(Skills!F5=TRUE,3.0,0)))*(1-IF(AND(ArtifactsInput!$M$27,Inputs!$B$4="Chapter Hunt"),CHOOSE(ArtifactsInput!$N$27+1,20,24,28,32,36,40),0)/100)),0)</f>
        <v/>
      </c>
      <c r="R2993">
        <f>IF(AND(Inputs!$B$38&lt;&gt;"pvp",Inputs!$B$43&gt;0),IF(MAX(0,Inputs!$B$43-B3026)&lt;=0,0,(INT(MAX(0,Inputs!$B$43-B3026)/(IF(Inputs!$B$38="pvp",15,MAX(0.1,Skills!E5-IF(Skills!F5=TRUE,3.0,0)))*(1-IF(AND(ArtifactsInput!$M$27,Inputs!$B$4="Chapter Hunt"),CHOOSE(ArtifactsInput!$N$27+1,20,24,28,32,36,40),0)/100)))+1)),0)</f>
        <v/>
      </c>
      <c r="S2993">
        <f>IF(C2993,(H2993*N2993*IF(AND(Inputs!$B$38&lt;&gt;"pvp",Inputs!$B$43&gt;0),((Skills!G5*((R2993-1)*IF(Skills!H5&gt;0,Skills!I5/Skills!H5,1)+IF(Skills!H5&gt;0,MIN(Skills!I5,MAX(0,MAX(0,Inputs!$B$43-B3026)-((R2993-1)*(IF(Inputs!$B$38="pvp",15,MAX(0.1,Skills!E5-IF(Skills!F5=TRUE,3.0,0)))*(1-IF(AND(ArtifactsInput!$M$27,Inputs!$B$4="Chapter Hunt"),CHOOSE(ArtifactsInput!$N$27+1,20,24,28,32,36,40),0)/100)))))/Skills!H5,1)))/Inputs!$B$43),G2993*Q2993))*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2993*(1-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2993*(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2993*(1-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2993*(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93">
        <f>IF(C2993,(H2993*N2993*IF(AND(Inputs!$B$38&lt;&gt;"pvp",Inputs!$B$43&gt;0),((Skills!G5*((R2993-1)*IF(Skills!H5&gt;0,Skills!I5/Skills!H5,1)+IF(Skills!H5&gt;0,MIN(Skills!I5,MAX(0,MAX(0,Inputs!$B$43-B3026)-((R2993-1)*(IF(Inputs!$B$38="pvp",15,MAX(0.1,Skills!E5-IF(Skills!F5=TRUE,3.0,0)))*(1-IF(AND(ArtifactsInput!$M$27,Inputs!$B$4="Chapter Hunt"),CHOOSE(ArtifactsInput!$N$27+1,20,24,28,32,36,40),0)/100)))))/Skills!H5,1)))/Inputs!$B$43),G2993*Q2993))*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4">
      <c r="A2994">
        <f>Skills!A6</f>
        <v/>
      </c>
      <c r="B2994">
        <f>Skills!B6</f>
        <v/>
      </c>
      <c r="C2994">
        <f>TRUE</f>
        <v/>
      </c>
      <c r="D2994">
        <f>IF(Skills!C6=1,60+Inputs!$B$25+Inputs!$B$29,IF(Skills!C6=2,90+Inputs!$B$26+Inputs!$B$29,IF(Skills!C6=3,120+Inputs!$B$27+Inputs!$B$29,MAX(0,(Inputs!$B$3-100)*3)+Inputs!$B$28+Inputs!$B$29)))</f>
        <v/>
      </c>
      <c r="E2994">
        <f>INDEX(FactorTable!$B$2:$Y$301, MATCH(ROUND(MIN(300,MAX(1,D2994)),0), FactorTable!$A$2:$A$301,0), Skills!M6+1)</f>
        <v/>
      </c>
      <c r="F2994">
        <f>IF(Skills!N6=TRUE,(Skills!L6/10)*(E2994/1000),Skills!L6/10)+Skills!O6</f>
        <v/>
      </c>
      <c r="G2994">
        <f>Calc!G6</f>
        <v/>
      </c>
      <c r="H2994">
        <f>Calc!H6</f>
        <v/>
      </c>
      <c r="I2994">
        <f>IF(Skills!X6&lt;&gt;"",1+(Skills!X6/10)*(Z2991/1000)/100,1)</f>
        <v/>
      </c>
      <c r="J2994" t="inlineStr"/>
      <c r="K2994" t="inlineStr"/>
      <c r="L2994" t="inlineStr"/>
      <c r="M2994" t="inlineStr"/>
      <c r="N2994" t="inlineStr"/>
      <c r="O2994">
        <f>(1-Summary!$B$11)*S2994+Summary!$B$11*U2994</f>
        <v/>
      </c>
      <c r="P2994">
        <f>IF(B3029=0,0,O2994/B3029)</f>
        <v/>
      </c>
      <c r="Q2994">
        <f>IFERROR(1/(IF(Inputs!$B$38="pvp",15,MAX(0.1,Skills!E6-IF(Skills!F6=TRUE,3.0,0)))*(1-IF(AND(ArtifactsInput!$M$27,Inputs!$B$4="Chapter Hunt"),CHOOSE(ArtifactsInput!$N$27+1,20,24,28,32,36,40),0)/100)),0)</f>
        <v/>
      </c>
      <c r="R2994">
        <f>IF(AND(Inputs!$B$38&lt;&gt;"pvp",Inputs!$B$43&gt;0),IF(Inputs!$B$43&lt;=0,0,(INT(Inputs!$B$43/(IF(Inputs!$B$38="pvp",15,MAX(0.1,Skills!E6-IF(Skills!F6=TRUE,3.0,0)))*(1-IF(AND(ArtifactsInput!$M$27,Inputs!$B$4="Chapter Hunt"),CHOOSE(ArtifactsInput!$N$27+1,20,24,28,32,36,40),0)/100)))+1)),0)</f>
        <v/>
      </c>
      <c r="S2994" t="n">
        <v>0</v>
      </c>
      <c r="U2994" t="n">
        <v>0</v>
      </c>
    </row>
    <row r="2995">
      <c r="A2995">
        <f>Skills!A7</f>
        <v/>
      </c>
      <c r="B2995">
        <f>Skills!B7</f>
        <v/>
      </c>
      <c r="C2995">
        <f>TRUE</f>
        <v/>
      </c>
      <c r="D2995">
        <f>IF(Skills!C7=1,60+Inputs!$B$25+Inputs!$B$29,IF(Skills!C7=2,90+Inputs!$B$26+Inputs!$B$29,IF(Skills!C7=3,120+Inputs!$B$27+Inputs!$B$29,MAX(0,(Inputs!$B$3-100)*3)+Inputs!$B$28+Inputs!$B$29)))</f>
        <v/>
      </c>
      <c r="E2995">
        <f>INDEX(FactorTable!$B$2:$Y$301, MATCH(ROUND(MIN(300,MAX(1,D2995)),0), FactorTable!$A$2:$A$301,0), Skills!M7+1)</f>
        <v/>
      </c>
      <c r="F2995">
        <f>IF(Skills!N7=TRUE,(Skills!L7/10)*(E2995/1000),Skills!L7/10)+Skills!O7</f>
        <v/>
      </c>
      <c r="G2995">
        <f>Calc!G7</f>
        <v/>
      </c>
      <c r="H2995">
        <f>Calc!H7</f>
        <v/>
      </c>
      <c r="I2995">
        <f>IF(Skills!X7&lt;&gt;"",1+(Skills!X7/10)*(Z2991/1000)/100,1)</f>
        <v/>
      </c>
      <c r="J2995">
        <f>((Inputs!$B$6*(1+Inputs!$B$7/100))+(((Inputs!$B$12*(1+Inputs!$B$13/100))-(Inputs!$B$12*(1+Inputs!$B$13/100)))+0.25*(Inputs!$B$14-Inputs!$B$14))*(1+Inputs!$B$7/100))*(F2995/100)</f>
        <v/>
      </c>
      <c r="K2995">
        <f>J2995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2995)</f>
        <v/>
      </c>
      <c r="L2995">
        <f>K2995*(MIN(Inputs!$B$22+(F3010-Calc!F22),(Inputs!$B$23+(IF(ArtifactsInput!$M$15,CHOOSE(ArtifactsInput!$N$15+1,25,30,35,40,45,50)/100*(Inputs!$B$11-Inputs!$B$11),0))))/100+(Inputs!$B$23+(IF(ArtifactsInput!$M$15,CHOOSE(ArtifactsInput!$N$15+1,25,30,35,40,45,50)/100*(Inputs!$B$11-Inputs!$B$11),0)))/100)/2</f>
        <v/>
      </c>
      <c r="M2995">
        <f>L2995*(1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5">
        <f>L2995*(1-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2995*(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5">
        <f>(1-Summary!$B$11)*S2995+Summary!$B$11*U2995</f>
        <v/>
      </c>
      <c r="P2995">
        <f>IF(B3029=0,0,O2995/B3029)</f>
        <v/>
      </c>
      <c r="Q2995">
        <f>IFERROR(1/(IF(Inputs!$B$38="pvp",15,MAX(0.1,Skills!E7-IF(Skills!F7=TRUE,3.0,0)))*(1-IF(AND(ArtifactsInput!$M$27,Inputs!$B$4="Chapter Hunt"),CHOOSE(ArtifactsInput!$N$27+1,20,24,28,32,36,40),0)/100)),0)</f>
        <v/>
      </c>
      <c r="R2995">
        <f>IF(AND(Inputs!$B$38&lt;&gt;"pvp",Inputs!$B$43&gt;0),IF(MAX(0,Inputs!$B$43-B3026)&lt;=0,0,(INT(MAX(0,Inputs!$B$43-B3026)/(IF(Inputs!$B$38="pvp",15,MAX(0.1,Skills!E7-IF(Skills!F7=TRUE,3.0,0)))*(1-IF(AND(ArtifactsInput!$M$27,Inputs!$B$4="Chapter Hunt"),CHOOSE(ArtifactsInput!$N$27+1,20,24,28,32,36,40),0)/100)))+1)),0)</f>
        <v/>
      </c>
      <c r="S2995">
        <f>IF(C2995,(H2995*N2995*IF(AND(Inputs!$B$38&lt;&gt;"pvp",Inputs!$B$43&gt;0),((Skills!G7*((R2995-1)*IF(Skills!H7&gt;0,Skills!I7/Skills!H7,1)+IF(Skills!H7&gt;0,MIN(Skills!I7,MAX(0,MAX(0,Inputs!$B$43-B3026)-((R2995-1)*(IF(Inputs!$B$38="pvp",15,MAX(0.1,Skills!E7-IF(Skills!F7=TRUE,3.0,0)))*(1-IF(AND(ArtifactsInput!$M$27,Inputs!$B$4="Chapter Hunt"),CHOOSE(ArtifactsInput!$N$27+1,20,24,28,32,36,40),0)/100)))))/Skills!H7,1)))/Inputs!$B$43),G2995*Q2995))*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2995*(1-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2995*(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2995*(1-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2995*(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95">
        <f>IF(C2995,(H2995*N2995*IF(AND(Inputs!$B$38&lt;&gt;"pvp",Inputs!$B$43&gt;0),((Skills!G7*((R2995-1)*IF(Skills!H7&gt;0,Skills!I7/Skills!H7,1)+IF(Skills!H7&gt;0,MIN(Skills!I7,MAX(0,MAX(0,Inputs!$B$43-B3026)-((R2995-1)*(IF(Inputs!$B$38="pvp",15,MAX(0.1,Skills!E7-IF(Skills!F7=TRUE,3.0,0)))*(1-IF(AND(ArtifactsInput!$M$27,Inputs!$B$4="Chapter Hunt"),CHOOSE(ArtifactsInput!$N$27+1,20,24,28,32,36,40),0)/100)))))/Skills!H7,1)))/Inputs!$B$43),G2995*Q2995))*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6">
      <c r="A2996">
        <f>Skills!A8</f>
        <v/>
      </c>
      <c r="B2996">
        <f>Skills!B8</f>
        <v/>
      </c>
      <c r="C2996">
        <f>TRUE</f>
        <v/>
      </c>
      <c r="D2996">
        <f>IF(Skills!C8=1,60+Inputs!$B$25+Inputs!$B$29,IF(Skills!C8=2,90+Inputs!$B$26+Inputs!$B$29,IF(Skills!C8=3,120+Inputs!$B$27+Inputs!$B$29,MAX(0,(Inputs!$B$3-100)*3)+Inputs!$B$28+Inputs!$B$29)))</f>
        <v/>
      </c>
      <c r="E2996">
        <f>INDEX(FactorTable!$B$2:$Y$301, MATCH(ROUND(MIN(300,MAX(1,D2996)),0), FactorTable!$A$2:$A$301,0), Skills!M8+1)</f>
        <v/>
      </c>
      <c r="F2996">
        <f>IF(Skills!N8=TRUE,(Skills!L8/10)*(E2996/1000),Skills!L8/10)+Skills!O8</f>
        <v/>
      </c>
      <c r="G2996">
        <f>Calc!G8</f>
        <v/>
      </c>
      <c r="H2996">
        <f>Calc!H8</f>
        <v/>
      </c>
      <c r="I2996">
        <f>IF(Skills!X8&lt;&gt;"",1+(Skills!X8/10)*(Z2991/1000)/100,1)</f>
        <v/>
      </c>
      <c r="J2996">
        <f>((Inputs!$B$6*(1+Inputs!$B$7/100))+(((Inputs!$B$12*(1+Inputs!$B$13/100))-(Inputs!$B$12*(1+Inputs!$B$13/100)))+0.25*(Inputs!$B$14-Inputs!$B$14))*(1+Inputs!$B$7/100))*(F2996/100)</f>
        <v/>
      </c>
      <c r="K2996">
        <f>J2996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2996)</f>
        <v/>
      </c>
      <c r="L2996">
        <f>K2996*(MIN(Inputs!$B$22+(F3010-Calc!F22),(Inputs!$B$23+(IF(ArtifactsInput!$M$15,CHOOSE(ArtifactsInput!$N$15+1,25,30,35,40,45,50)/100*(Inputs!$B$11-Inputs!$B$11),0))))/100+(Inputs!$B$23+(IF(ArtifactsInput!$M$15,CHOOSE(ArtifactsInput!$N$15+1,25,30,35,40,45,50)/100*(Inputs!$B$11-Inputs!$B$11),0)))/100)/2</f>
        <v/>
      </c>
      <c r="M2996">
        <f>L2996*(1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6">
        <f>L2996*(1-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2996*(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6">
        <f>(1-Summary!$B$11)*S2996+Summary!$B$11*U2996</f>
        <v/>
      </c>
      <c r="P2996">
        <f>IF(B3029=0,0,O2996/B3029)</f>
        <v/>
      </c>
      <c r="Q2996">
        <f>IFERROR(1/(IF(Inputs!$B$38="pvp",15,MAX(0.1,Skills!E8-IF(Skills!F8=TRUE,3.0,0)))*(1-IF(AND(ArtifactsInput!$M$27,Inputs!$B$4="Chapter Hunt"),CHOOSE(ArtifactsInput!$N$27+1,20,24,28,32,36,40),0)/100)),0)</f>
        <v/>
      </c>
      <c r="R2996">
        <f>IF(AND(Inputs!$B$38&lt;&gt;"pvp",Inputs!$B$43&gt;0),IF(MAX(0,Inputs!$B$43-B3026)&lt;=0,0,(INT(MAX(0,Inputs!$B$43-B3026)/(IF(Inputs!$B$38="pvp",15,MAX(0.1,Skills!E8-IF(Skills!F8=TRUE,3.0,0)))*(1-IF(AND(ArtifactsInput!$M$27,Inputs!$B$4="Chapter Hunt"),CHOOSE(ArtifactsInput!$N$27+1,20,24,28,32,36,40),0)/100)))+1)),0)</f>
        <v/>
      </c>
      <c r="S2996">
        <f>IF(C2996,(H2996*N2996*IF(AND(Inputs!$B$38&lt;&gt;"pvp",Inputs!$B$43&gt;0),((Skills!G8*((R2996-1)*IF(Skills!H8&gt;0,Skills!I8/Skills!H8,1)+IF(Skills!H8&gt;0,MIN(Skills!I8,MAX(0,MAX(0,Inputs!$B$43-B3026)-((R2996-1)*(IF(Inputs!$B$38="pvp",15,MAX(0.1,Skills!E8-IF(Skills!F8=TRUE,3.0,0)))*(1-IF(AND(ArtifactsInput!$M$27,Inputs!$B$4="Chapter Hunt"),CHOOSE(ArtifactsInput!$N$27+1,20,24,28,32,36,40),0)/100)))))/Skills!H8,1)))/Inputs!$B$43),G2996*Q2996))*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2996*(1-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2996*(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2996*(1-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2996*(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96">
        <f>IF(C2996,(H2996*N2996*IF(AND(Inputs!$B$38&lt;&gt;"pvp",Inputs!$B$43&gt;0),((Skills!G8*((R2996-1)*IF(Skills!H8&gt;0,Skills!I8/Skills!H8,1)+IF(Skills!H8&gt;0,MIN(Skills!I8,MAX(0,MAX(0,Inputs!$B$43-B3026)-((R2996-1)*(IF(Inputs!$B$38="pvp",15,MAX(0.1,Skills!E8-IF(Skills!F8=TRUE,3.0,0)))*(1-IF(AND(ArtifactsInput!$M$27,Inputs!$B$4="Chapter Hunt"),CHOOSE(ArtifactsInput!$N$27+1,20,24,28,32,36,40),0)/100)))))/Skills!H8,1)))/Inputs!$B$43),G2996*Q2996))*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7">
      <c r="A2997">
        <f>Skills!A9</f>
        <v/>
      </c>
      <c r="B2997">
        <f>Skills!B9</f>
        <v/>
      </c>
      <c r="C2997">
        <f>Inputs!$B$3&gt;=103</f>
        <v/>
      </c>
      <c r="D2997">
        <f>IF(Skills!C9=1,60+Inputs!$B$25+Inputs!$B$29,IF(Skills!C9=2,90+Inputs!$B$26+Inputs!$B$29,IF(Skills!C9=3,120+Inputs!$B$27+Inputs!$B$29,MAX(0,(Inputs!$B$3-100)*3)+Inputs!$B$28+Inputs!$B$29)))</f>
        <v/>
      </c>
      <c r="E2997">
        <f>INDEX(FactorTable!$B$2:$Y$301, MATCH(ROUND(MIN(300,MAX(1,D2997)),0), FactorTable!$A$2:$A$301,0), Skills!M9+1)</f>
        <v/>
      </c>
      <c r="F2997">
        <f>IF(Skills!N9=TRUE,(Skills!L9/10)*(E2997/1000),Skills!L9/10)+Skills!O9</f>
        <v/>
      </c>
      <c r="G2997">
        <f>Calc!G9</f>
        <v/>
      </c>
      <c r="H2997">
        <f>Calc!H9</f>
        <v/>
      </c>
      <c r="I2997">
        <f>IF(Skills!X9&lt;&gt;"",1+(Skills!X9/10)*(Z2991/1000)/100,1)</f>
        <v/>
      </c>
      <c r="J2997">
        <f>((Inputs!$B$6*(1+Inputs!$B$7/100))+(((Inputs!$B$12*(1+Inputs!$B$13/100))-(Inputs!$B$12*(1+Inputs!$B$13/100)))+0.25*(Inputs!$B$14-Inputs!$B$14))*(1+Inputs!$B$7/100))*(F2997/100)</f>
        <v/>
      </c>
      <c r="K2997">
        <f>J2997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2997)</f>
        <v/>
      </c>
      <c r="L2997">
        <f>K2997*(MIN(Inputs!$B$22+(F3010-Calc!F22),(Inputs!$B$23+(IF(ArtifactsInput!$M$15,CHOOSE(ArtifactsInput!$N$15+1,25,30,35,40,45,50)/100*(Inputs!$B$11-Inputs!$B$11),0))))/100+(Inputs!$B$23+(IF(ArtifactsInput!$M$15,CHOOSE(ArtifactsInput!$N$15+1,25,30,35,40,45,50)/100*(Inputs!$B$11-Inputs!$B$11),0)))/100)/2</f>
        <v/>
      </c>
      <c r="M2997">
        <f>L2997*(1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7">
        <f>L2997*(1-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2997*(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7">
        <f>(1-Summary!$B$11)*S2997+Summary!$B$11*U2997</f>
        <v/>
      </c>
      <c r="P2997">
        <f>IF(B3029=0,0,O2997/B3029)</f>
        <v/>
      </c>
      <c r="Q2997">
        <f>IFERROR(1/(IF(Inputs!$B$38="pvp",15,MAX(0.1,Skills!E9-IF(Skills!F7=TRUE,3.0,0)))*(1-IF(AND(ArtifactsInput!$M$27,Inputs!$B$4="Chapter Hunt"),CHOOSE(ArtifactsInput!$N$27+1,20,24,28,32,36,40),0)/100)),0)</f>
        <v/>
      </c>
      <c r="R2997">
        <f>IF(AND(Inputs!$B$38&lt;&gt;"pvp",Inputs!$B$43&gt;0),IF(MAX(0,Inputs!$B$43-B3026)&lt;=0,0,(INT(MAX(0,Inputs!$B$43-B3026)/(IF(Inputs!$B$38="pvp",15,MAX(0.1,Skills!E9-IF(Skills!F7=TRUE,3.0,0)))*(1-IF(AND(ArtifactsInput!$M$27,Inputs!$B$4="Chapter Hunt"),CHOOSE(ArtifactsInput!$N$27+1,20,24,28,32,36,40),0)/100)))+1)),0)</f>
        <v/>
      </c>
      <c r="S2997">
        <f>IF(C2997,(H2997*N2997*IF(AND(Inputs!$B$38&lt;&gt;"pvp",Inputs!$B$43&gt;0),((Skills!G9*((R2997-1)*IF(Skills!H9&gt;0,Skills!I9/Skills!H9,1)+IF(Skills!H9&gt;0,MIN(Skills!I9,MAX(0,MAX(0,Inputs!$B$43-B3026)-((R2997-1)*(IF(Inputs!$B$38="pvp",15,MAX(0.1,Skills!E9-IF(Skills!F7=TRUE,3.0,0)))*(1-IF(AND(ArtifactsInput!$M$27,Inputs!$B$4="Chapter Hunt"),CHOOSE(ArtifactsInput!$N$27+1,20,24,28,32,36,40),0)/100)))))/Skills!H9,1)))/Inputs!$B$43),G2997*Q2997))*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2997*(1-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2997*(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2997*(1-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2997*(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97">
        <f>IF(C2997,(H2997*N2997*IF(AND(Inputs!$B$38&lt;&gt;"pvp",Inputs!$B$43&gt;0),((Skills!G9*((R2997-1)*IF(Skills!H9&gt;0,Skills!I9/Skills!H9,1)+IF(Skills!H9&gt;0,MIN(Skills!I9,MAX(0,MAX(0,Inputs!$B$43-B3026)-((R2997-1)*(IF(Inputs!$B$38="pvp",15,MAX(0.1,Skills!E9-IF(Skills!F7=TRUE,3.0,0)))*(1-IF(AND(ArtifactsInput!$M$27,Inputs!$B$4="Chapter Hunt"),CHOOSE(ArtifactsInput!$N$27+1,20,24,28,32,36,40),0)/100)))))/Skills!H9,1)))/Inputs!$B$43),G2997*Q2997))*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8">
      <c r="A2998">
        <f>Skills!A10</f>
        <v/>
      </c>
      <c r="B2998">
        <f>Skills!B10</f>
        <v/>
      </c>
      <c r="C2998">
        <f>TRUE</f>
        <v/>
      </c>
      <c r="D2998">
        <f>IF(Skills!C10=1,60+Inputs!$B$25+Inputs!$B$29,IF(Skills!C10=2,90+Inputs!$B$26+Inputs!$B$29,IF(Skills!C10=3,120+Inputs!$B$27+Inputs!$B$29,MAX(0,(Inputs!$B$3-100)*3)+Inputs!$B$28+Inputs!$B$29)))</f>
        <v/>
      </c>
      <c r="E2998">
        <f>INDEX(FactorTable!$B$2:$Y$301, MATCH(ROUND(MIN(300,MAX(1,D2998)),0), FactorTable!$A$2:$A$301,0), Skills!M10+1)</f>
        <v/>
      </c>
      <c r="F2998">
        <f>IF(Skills!N10=TRUE,(Skills!L10/10)*(E2998/1000),Skills!L10/10)+Skills!O10</f>
        <v/>
      </c>
      <c r="G2998">
        <f>Calc!G10</f>
        <v/>
      </c>
      <c r="H2998">
        <f>Calc!H10</f>
        <v/>
      </c>
      <c r="I2998">
        <f>IF(Skills!X10&lt;&gt;"",1+(Skills!X10/10)*(Z2991/1000)/100,1)</f>
        <v/>
      </c>
      <c r="J2998">
        <f>((Inputs!$B$6*(1+Inputs!$B$7/100))+(((Inputs!$B$12*(1+Inputs!$B$13/100))-(Inputs!$B$12*(1+Inputs!$B$13/100)))+0.25*(Inputs!$B$14-Inputs!$B$14))*(1+Inputs!$B$7/100))*(F2998/100)</f>
        <v/>
      </c>
      <c r="K2998">
        <f>J2998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2998)</f>
        <v/>
      </c>
      <c r="L2998">
        <f>K2998*(MIN(Inputs!$B$22+(F3010-Calc!F22),(Inputs!$B$23+(IF(ArtifactsInput!$M$15,CHOOSE(ArtifactsInput!$N$15+1,25,30,35,40,45,50)/100*(Inputs!$B$11-Inputs!$B$11),0))))/100+(Inputs!$B$23+(IF(ArtifactsInput!$M$15,CHOOSE(ArtifactsInput!$N$15+1,25,30,35,40,45,50)/100*(Inputs!$B$11-Inputs!$B$11),0)))/100)/2</f>
        <v/>
      </c>
      <c r="M2998">
        <f>L2998*(1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98">
        <f>L2998*(1-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2998*(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98">
        <f>(1-Summary!$B$11)*S2998+Summary!$B$11*U2998</f>
        <v/>
      </c>
      <c r="P2998">
        <f>IF(B3029=0,0,O2998/B3029)</f>
        <v/>
      </c>
      <c r="Q2998">
        <f>IFERROR(1/(IF(Inputs!$B$38="pvp",15,MAX(0.1,Skills!E10-IF(Skills!F10=TRUE,3.0,0)))*(1-IF(AND(ArtifactsInput!$M$27,Inputs!$B$4="Chapter Hunt"),CHOOSE(ArtifactsInput!$N$27+1,20,24,28,32,36,40),0)/100)),0)</f>
        <v/>
      </c>
      <c r="R2998">
        <f>IF(AND(Inputs!$B$38&lt;&gt;"pvp",Inputs!$B$43&gt;0),IF(MAX(0,Inputs!$B$43-B3026)&lt;=0,0,(INT(MAX(0,Inputs!$B$43-B3026)/(IF(Inputs!$B$38="pvp",15,MAX(0.1,Skills!E10-IF(Skills!F10=TRUE,3.0,0)))*(1-IF(AND(ArtifactsInput!$M$27,Inputs!$B$4="Chapter Hunt"),CHOOSE(ArtifactsInput!$N$27+1,20,24,28,32,36,40),0)/100)))+1)),0)</f>
        <v/>
      </c>
      <c r="S2998">
        <f>IF(C2998,(H2998*N2998*IF(AND(Inputs!$B$38&lt;&gt;"pvp",Inputs!$B$43&gt;0),((Skills!G10*((R2998-1)*IF(Skills!H10&gt;0,Skills!I10/Skills!H10,1)+IF(Skills!H10&gt;0,MIN(Skills!I10,MAX(0,MAX(0,Inputs!$B$43-B3026)-((R2998-1)*(IF(Inputs!$B$38="pvp",15,MAX(0.1,Skills!E10-IF(Skills!F10=TRUE,3.0,0)))*(1-IF(AND(ArtifactsInput!$M$27,Inputs!$B$4="Chapter Hunt"),CHOOSE(ArtifactsInput!$N$27+1,20,24,28,32,36,40),0)/100)))))/Skills!H10,1)))/Inputs!$B$43),G2998*Q2998))*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2998*(1-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2998*(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2998*(1-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2998*(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98">
        <f>IF(C2998,(H2998*N2998*IF(AND(Inputs!$B$38&lt;&gt;"pvp",Inputs!$B$43&gt;0),((Skills!G10*((R2998-1)*IF(Skills!H10&gt;0,Skills!I10/Skills!H10,1)+IF(Skills!H10&gt;0,MIN(Skills!I10,MAX(0,MAX(0,Inputs!$B$43-B3026)-((R2998-1)*(IF(Inputs!$B$38="pvp",15,MAX(0.1,Skills!E10-IF(Skills!F10=TRUE,3.0,0)))*(1-IF(AND(ArtifactsInput!$M$27,Inputs!$B$4="Chapter Hunt"),CHOOSE(ArtifactsInput!$N$27+1,20,24,28,32,36,40),0)/100)))))/Skills!H10,1)))/Inputs!$B$43),G2998*Q2998))*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9">
      <c r="A2999">
        <f>Skills!A11</f>
        <v/>
      </c>
      <c r="B2999">
        <f>Skills!B11</f>
        <v/>
      </c>
      <c r="C2999">
        <f>TRUE</f>
        <v/>
      </c>
      <c r="D2999">
        <f>IF(Skills!C11=1,60+Inputs!$B$25+Inputs!$B$29,IF(Skills!C11=2,90+Inputs!$B$26+Inputs!$B$29,IF(Skills!C11=3,120+Inputs!$B$27+Inputs!$B$29,MAX(0,(Inputs!$B$3-100)*3)+Inputs!$B$28+Inputs!$B$29)))</f>
        <v/>
      </c>
      <c r="E2999">
        <f>INDEX(FactorTable!$B$2:$Y$301, MATCH(ROUND(MIN(300,MAX(1,D2999)),0), FactorTable!$A$2:$A$301,0), Skills!M11+1)</f>
        <v/>
      </c>
      <c r="F2999">
        <f>IF(Skills!N11=TRUE,(Skills!L11/10)*(E2999/1000),Skills!L11/10)+Skills!O11</f>
        <v/>
      </c>
      <c r="G2999">
        <f>Calc!G11</f>
        <v/>
      </c>
      <c r="H2999">
        <f>Calc!H11</f>
        <v/>
      </c>
      <c r="I2999">
        <f>IF(Skills!X11&lt;&gt;"",1+(Skills!X11/10)*(Z2991/1000)/100,1)</f>
        <v/>
      </c>
      <c r="J2999" t="inlineStr"/>
      <c r="K2999" t="inlineStr"/>
      <c r="L2999" t="inlineStr"/>
      <c r="M2999" t="inlineStr"/>
      <c r="N2999" t="inlineStr"/>
      <c r="O2999">
        <f>(1-Summary!$B$11)*S2999+Summary!$B$11*U2999</f>
        <v/>
      </c>
      <c r="P2999">
        <f>IF(B3029=0,0,O2999/B3029)</f>
        <v/>
      </c>
      <c r="Q2999">
        <f>IFERROR(1/(IF(Inputs!$B$38="pvp",15,MAX(0.1,Skills!E11-IF(Skills!F11=TRUE,3.0,0)))*(1-IF(AND(ArtifactsInput!$M$27,Inputs!$B$4="Chapter Hunt"),CHOOSE(ArtifactsInput!$N$27+1,20,24,28,32,36,40),0)/100)),0)</f>
        <v/>
      </c>
      <c r="R2999" t="n">
        <v>0</v>
      </c>
      <c r="S2999" t="n">
        <v>0</v>
      </c>
      <c r="U2999" t="n">
        <v>0</v>
      </c>
    </row>
    <row r="3000">
      <c r="A3000">
        <f>Skills!A12</f>
        <v/>
      </c>
      <c r="B3000">
        <f>Skills!B12</f>
        <v/>
      </c>
      <c r="C3000">
        <f>TRUE</f>
        <v/>
      </c>
      <c r="D3000">
        <f>IF(Skills!C12=1,60+Inputs!$B$25+Inputs!$B$29,IF(Skills!C12=2,90+Inputs!$B$26+Inputs!$B$29,IF(Skills!C12=3,120+Inputs!$B$27+Inputs!$B$29,MAX(0,(Inputs!$B$3-100)*3)+Inputs!$B$28+Inputs!$B$29)))</f>
        <v/>
      </c>
      <c r="E3000">
        <f>INDEX(FactorTable!$B$2:$Y$301, MATCH(ROUND(MIN(300,MAX(1,D3000)),0), FactorTable!$A$2:$A$301,0), Skills!M12+1)</f>
        <v/>
      </c>
      <c r="F3000">
        <f>IF(Skills!N12=TRUE,(Skills!L12/10)*(E3000/1000),Skills!L12/10)+Skills!O12</f>
        <v/>
      </c>
      <c r="G3000">
        <f>Calc!G12</f>
        <v/>
      </c>
      <c r="H3000">
        <f>Calc!H12</f>
        <v/>
      </c>
      <c r="I3000">
        <f>IF(Skills!X12&lt;&gt;"",1+(Skills!X12/10)*(Z2991/1000)/100,1)</f>
        <v/>
      </c>
      <c r="J3000" t="inlineStr"/>
      <c r="K3000" t="inlineStr"/>
      <c r="L3000" t="inlineStr"/>
      <c r="M3000" t="inlineStr"/>
      <c r="N3000" t="inlineStr"/>
      <c r="O3000">
        <f>(1-Summary!$B$11)*S3000+Summary!$B$11*U3000</f>
        <v/>
      </c>
      <c r="P3000">
        <f>IF(B3029=0,0,O3000/B3029)</f>
        <v/>
      </c>
      <c r="Q3000">
        <f>IFERROR(1/(IF(Inputs!$B$38="pvp",15,MAX(0.1,Skills!E12-IF(Skills!F12=TRUE,3.0,0)))*(1-IF(AND(ArtifactsInput!$M$27,Inputs!$B$4="Chapter Hunt"),CHOOSE(ArtifactsInput!$N$27+1,20,24,28,32,36,40),0)/100)),0)</f>
        <v/>
      </c>
      <c r="R3000" t="n">
        <v>0</v>
      </c>
      <c r="S3000" t="n">
        <v>0</v>
      </c>
      <c r="U3000" t="n">
        <v>0</v>
      </c>
    </row>
    <row r="3001">
      <c r="A3001">
        <f>Skills!A13</f>
        <v/>
      </c>
      <c r="B3001">
        <f>Skills!B13</f>
        <v/>
      </c>
      <c r="C3001">
        <f>Inputs!$B$3&gt;=105</f>
        <v/>
      </c>
      <c r="D3001">
        <f>IF(Skills!C13=1,60+Inputs!$B$25+Inputs!$B$29,IF(Skills!C13=2,90+Inputs!$B$26+Inputs!$B$29,IF(Skills!C13=3,120+Inputs!$B$27+Inputs!$B$29,MAX(0,(Inputs!$B$3-100)*3)+Inputs!$B$28+Inputs!$B$29)))</f>
        <v/>
      </c>
      <c r="E3001">
        <f>INDEX(FactorTable!$B$2:$Y$301, MATCH(ROUND(MIN(300,MAX(1,D3001)),0), FactorTable!$A$2:$A$301,0), Skills!M13+1)</f>
        <v/>
      </c>
      <c r="F3001">
        <f>IF(Skills!N13=TRUE,(Skills!L13/10)*(E3001/1000),Skills!L13/10)+Skills!O13</f>
        <v/>
      </c>
      <c r="G3001">
        <f>Calc!G13</f>
        <v/>
      </c>
      <c r="H3001">
        <f>Calc!H13</f>
        <v/>
      </c>
      <c r="I3001">
        <f>IF(Skills!X13&lt;&gt;"",1+(Skills!X13/10)*(Z2991/1000)/100,1)</f>
        <v/>
      </c>
      <c r="J3001">
        <f>((Inputs!$B$6*(1+Inputs!$B$7/100))+(((Inputs!$B$12*(1+Inputs!$B$13/100))-(Inputs!$B$12*(1+Inputs!$B$13/100)))+0.25*(Inputs!$B$14-Inputs!$B$14))*(1+Inputs!$B$7/100))*(F3001/100)</f>
        <v/>
      </c>
      <c r="K3001">
        <f>J3001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3001)</f>
        <v/>
      </c>
      <c r="L3001">
        <f>K3001*(MIN(Inputs!$B$22+(F3010-Calc!F22),(Inputs!$B$23+(IF(ArtifactsInput!$M$15,CHOOSE(ArtifactsInput!$N$15+1,25,30,35,40,45,50)/100*(Inputs!$B$11-Inputs!$B$11),0))))/100+(Inputs!$B$23+(IF(ArtifactsInput!$M$15,CHOOSE(ArtifactsInput!$N$15+1,25,30,35,40,45,50)/100*(Inputs!$B$11-Inputs!$B$11),0)))/100)/2</f>
        <v/>
      </c>
      <c r="M3001">
        <f>L3001*(1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1">
        <f>L3001*(1-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1">
        <f>(1-Summary!$B$11)*S3001+Summary!$B$11*U3001</f>
        <v/>
      </c>
      <c r="P3001">
        <f>IF(B3029=0,0,O3001/B3029)</f>
        <v/>
      </c>
      <c r="Q3001">
        <f>IFERROR(1/(IF(Inputs!$B$38="pvp",15,MAX(0.1,Skills!E13-IF(Skills!F13=TRUE,3.0,0)))*(1-IF(AND(ArtifactsInput!$M$27,Inputs!$B$4="Chapter Hunt"),CHOOSE(ArtifactsInput!$N$27+1,20,24,28,32,36,40),0)/100)),0)</f>
        <v/>
      </c>
      <c r="R3001">
        <f>IF(AND(Inputs!$B$38&lt;&gt;"pvp",Inputs!$B$43&gt;0),IF(MAX(0,Inputs!$B$43-B3026)&lt;=0,0,(INT(MAX(0,Inputs!$B$43-B3026)/(IF(Inputs!$B$38="pvp",15,MAX(0.1,Skills!E13-IF(Skills!F13=TRUE,3.0,0)))*(1-IF(AND(ArtifactsInput!$M$27,Inputs!$B$4="Chapter Hunt"),CHOOSE(ArtifactsInput!$N$27+1,20,24,28,32,36,40),0)/100)))+1)),0)</f>
        <v/>
      </c>
      <c r="S3001">
        <f>IF(C3001,(H3001*N3001*IF(AND(Inputs!$B$38&lt;&gt;"pvp",Inputs!$B$43&gt;0),((Skills!G13*((R3001-1)*IF(Skills!H13&gt;0,Skills!I13/Skills!H13,1)+IF(Skills!H13&gt;0,MIN(Skills!I13,MAX(0,MAX(0,Inputs!$B$43-B3026)-((R3001-1)*(IF(Inputs!$B$38="pvp",15,MAX(0.1,Skills!E13-IF(Skills!F13=TRUE,3.0,0)))*(1-IF(AND(ArtifactsInput!$M$27,Inputs!$B$4="Chapter Hunt"),CHOOSE(ArtifactsInput!$N$27+1,20,24,28,32,36,40),0)/100)))))/Skills!H13,1)))/Inputs!$B$43),G3001*Q3001))*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3001*(1-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3001*(1-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1">
        <f>IF(C3001,(H3001*N3001*IF(AND(Inputs!$B$38&lt;&gt;"pvp",Inputs!$B$43&gt;0),((Skills!G13*((R3001-1)*IF(Skills!H13&gt;0,Skills!I13/Skills!H13,1)+IF(Skills!H13&gt;0,MIN(Skills!I13,MAX(0,MAX(0,Inputs!$B$43-B3026)-((R3001-1)*(IF(Inputs!$B$38="pvp",15,MAX(0.1,Skills!E13-IF(Skills!F13=TRUE,3.0,0)))*(1-IF(AND(ArtifactsInput!$M$27,Inputs!$B$4="Chapter Hunt"),CHOOSE(ArtifactsInput!$N$27+1,20,24,28,32,36,40),0)/100)))))/Skills!H13,1)))/Inputs!$B$43),G3001*Q3001))*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2">
      <c r="A3002">
        <f>Skills!A14</f>
        <v/>
      </c>
      <c r="B3002">
        <f>Skills!B14</f>
        <v/>
      </c>
      <c r="C3002">
        <f>Inputs!$B$3&gt;=113</f>
        <v/>
      </c>
      <c r="D3002">
        <f>IF(Skills!C14=1,60+Inputs!$B$25+Inputs!$B$29,IF(Skills!C14=2,90+Inputs!$B$26+Inputs!$B$29,IF(Skills!C14=3,120+Inputs!$B$27+Inputs!$B$29,MAX(0,(Inputs!$B$3-100)*3)+Inputs!$B$28+Inputs!$B$29)))</f>
        <v/>
      </c>
      <c r="E3002">
        <f>INDEX(FactorTable!$B$2:$Y$301, MATCH(ROUND(MIN(300,MAX(1,D3002)),0), FactorTable!$A$2:$A$301,0), Skills!M14+1)</f>
        <v/>
      </c>
      <c r="F3002">
        <f>IF(Skills!N14=TRUE,(Skills!L14/10)*(E3002/1000),Skills!L14/10)+Skills!O14</f>
        <v/>
      </c>
      <c r="G3002">
        <f>Calc!G14</f>
        <v/>
      </c>
      <c r="H3002">
        <f>Calc!H14</f>
        <v/>
      </c>
      <c r="I3002">
        <f>IF(Skills!X14&lt;&gt;"",1+(Skills!X14/10)*(Z2991/1000)/100,1)</f>
        <v/>
      </c>
      <c r="J3002">
        <f>((Inputs!$B$6*(1+Inputs!$B$7/100))+(((Inputs!$B$12*(1+Inputs!$B$13/100))-(Inputs!$B$12*(1+Inputs!$B$13/100)))+0.25*(Inputs!$B$14-Inputs!$B$14))*(1+Inputs!$B$7/100))*(F3002/100)</f>
        <v/>
      </c>
      <c r="K3002">
        <f>J3002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3002)</f>
        <v/>
      </c>
      <c r="L3002">
        <f>K3002*(MIN(Inputs!$B$22+(F3010-Calc!F22),(Inputs!$B$23+(IF(ArtifactsInput!$M$15,CHOOSE(ArtifactsInput!$N$15+1,25,30,35,40,45,50)/100*(Inputs!$B$11-Inputs!$B$11),0))))/100+(Inputs!$B$23+(IF(ArtifactsInput!$M$15,CHOOSE(ArtifactsInput!$N$15+1,25,30,35,40,45,50)/100*(Inputs!$B$11-Inputs!$B$11),0)))/100)/2</f>
        <v/>
      </c>
      <c r="M3002">
        <f>L3002*(1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2">
        <f>L3002*(1-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3002*(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2">
        <f>(1-Summary!$B$11)*S3002+Summary!$B$11*U3002</f>
        <v/>
      </c>
      <c r="P3002">
        <f>IF(B3029=0,0,O3002/B3029)</f>
        <v/>
      </c>
      <c r="Q3002">
        <f>IFERROR(1/(IF(Inputs!$B$38="pvp",15,MAX(0.1,Skills!E14-IF(Skills!F14=TRUE,3.0,0)))*(1-IF(AND(ArtifactsInput!$M$27,Inputs!$B$4="Chapter Hunt"),CHOOSE(ArtifactsInput!$N$27+1,20,24,28,32,36,40),0)/100)),0)</f>
        <v/>
      </c>
      <c r="R3002" t="n">
        <v>0</v>
      </c>
      <c r="S3002">
        <f>IF(C3002,((H3002*B3025)/(1+Skills!H14*H3002*B3025)*N3002)*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3002*(1-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3002*(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3002*(1-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3002*(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2">
        <f>IF(C3002,((H3002*B3025)/(1+Skills!H14*H3002*B3025)*N3002)*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3">
      <c r="A3003">
        <f>Skills!A15</f>
        <v/>
      </c>
      <c r="B3003">
        <f>Skills!B15</f>
        <v/>
      </c>
      <c r="C3003">
        <f>Inputs!$B$3&gt;=107</f>
        <v/>
      </c>
      <c r="D3003">
        <f>IF(Skills!C15=1,60+Inputs!$B$25+Inputs!$B$29,IF(Skills!C15=2,90+Inputs!$B$26+Inputs!$B$29,IF(Skills!C15=3,120+Inputs!$B$27+Inputs!$B$29,MAX(0,(Inputs!$B$3-100)*3)+Inputs!$B$28+Inputs!$B$29)))</f>
        <v/>
      </c>
      <c r="E3003">
        <f>INDEX(FactorTable!$B$2:$Y$301, MATCH(ROUND(MIN(300,MAX(1,D3003)),0), FactorTable!$A$2:$A$301,0), Skills!M15+1)</f>
        <v/>
      </c>
      <c r="F3003">
        <f>IF(Skills!N15=TRUE,(Skills!L15/10)*(E3003/1000),Skills!L15/10)+Skills!O15</f>
        <v/>
      </c>
      <c r="G3003">
        <f>Calc!G15</f>
        <v/>
      </c>
      <c r="H3003">
        <f>Calc!H15</f>
        <v/>
      </c>
      <c r="I3003">
        <f>IF(Skills!X15&lt;&gt;"",1+(Skills!X15/10)*(Z2991/1000)/100,1)</f>
        <v/>
      </c>
      <c r="J3003">
        <f>((Inputs!$B$6*(1+Inputs!$B$7/100))+(((Inputs!$B$12*(1+Inputs!$B$13/100))-(Inputs!$B$12*(1+Inputs!$B$13/100)))+0.25*(Inputs!$B$14-Inputs!$B$14))*(1+Inputs!$B$7/100))*(F3003/100)</f>
        <v/>
      </c>
      <c r="K3003">
        <f>J3003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3003)</f>
        <v/>
      </c>
      <c r="L3003">
        <f>K3003*(MIN(Inputs!$B$22+(F3010-Calc!F22),(Inputs!$B$23+(IF(ArtifactsInput!$M$15,CHOOSE(ArtifactsInput!$N$15+1,25,30,35,40,45,50)/100*(Inputs!$B$11-Inputs!$B$11),0))))/100+(Inputs!$B$23+(IF(ArtifactsInput!$M$15,CHOOSE(ArtifactsInput!$N$15+1,25,30,35,40,45,50)/100*(Inputs!$B$11-Inputs!$B$11),0)))/100)/2</f>
        <v/>
      </c>
      <c r="M3003">
        <f>L3003*(1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3">
        <f>L3003*(1-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3003*(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3">
        <f>(1-Summary!$B$11)*S3003+Summary!$B$11*U3003</f>
        <v/>
      </c>
      <c r="P3003">
        <f>IF(B3029=0,0,O3003/B3029)</f>
        <v/>
      </c>
      <c r="Q3003">
        <f>IFERROR(1/(IF(Inputs!$B$38="pvp",15,MAX(0.1,Skills!E15-IF(Skills!F15=TRUE,3.0,0)))*(1-IF(AND(ArtifactsInput!$M$27,Inputs!$B$4="Chapter Hunt"),CHOOSE(ArtifactsInput!$N$27+1,20,24,28,32,36,40),0)/100)),0)</f>
        <v/>
      </c>
      <c r="R3003">
        <f>IF(AND(Inputs!$B$38&lt;&gt;"pvp",Inputs!$B$43&gt;0),IF(MAX(0,Inputs!$B$43-B3026)&lt;=0,0,(INT(MAX(0,Inputs!$B$43-B3026)/(IF(Inputs!$B$38="pvp",15,MAX(0.1,Skills!E15-IF(Skills!F15=TRUE,3.0,0)))*(1-IF(AND(ArtifactsInput!$M$27,Inputs!$B$4="Chapter Hunt"),CHOOSE(ArtifactsInput!$N$27+1,20,24,28,32,36,40),0)/100)))+1)),0)</f>
        <v/>
      </c>
      <c r="S3003">
        <f>IF(C3003,(H3003*N3003*IF(AND(Inputs!$B$38&lt;&gt;"pvp",Inputs!$B$43&gt;0),((Skills!G15*((R3003-1)*IF(Skills!H15&gt;0,Skills!I15/Skills!H15,1)+IF(Skills!H15&gt;0,MIN(Skills!I15,MAX(0,MAX(0,Inputs!$B$43-B3026)-((R3003-1)*(IF(Inputs!$B$38="pvp",15,MAX(0.1,Skills!E15-IF(Skills!F15=TRUE,3.0,0)))*(1-IF(AND(ArtifactsInput!$M$27,Inputs!$B$4="Chapter Hunt"),CHOOSE(ArtifactsInput!$N$27+1,20,24,28,32,36,40),0)/100)))))/Skills!H15,1)))/Inputs!$B$43),G3003*Q3003))*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3003*(1-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3003*(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3003*(1-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3003*(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3">
        <f>IF(C3003,(H3003*N3003*IF(AND(Inputs!$B$38&lt;&gt;"pvp",Inputs!$B$43&gt;0),((Skills!G15*((R3003-1)*IF(Skills!H15&gt;0,Skills!I15/Skills!H15,1)+IF(Skills!H15&gt;0,MIN(Skills!I15,MAX(0,MAX(0,Inputs!$B$43-B3026)-((R3003-1)*(IF(Inputs!$B$38="pvp",15,MAX(0.1,Skills!E15-IF(Skills!F15=TRUE,3.0,0)))*(1-IF(AND(ArtifactsInput!$M$27,Inputs!$B$4="Chapter Hunt"),CHOOSE(ArtifactsInput!$N$27+1,20,24,28,32,36,40),0)/100)))))/Skills!H15,1)))/Inputs!$B$43),G3003*Q3003))*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4">
      <c r="A3004">
        <f>Skills!A16</f>
        <v/>
      </c>
      <c r="B3004">
        <f>Skills!B16</f>
        <v/>
      </c>
      <c r="C3004">
        <f>Inputs!$B$3&gt;=107</f>
        <v/>
      </c>
      <c r="D3004">
        <f>IF(Skills!C16=1,60+Inputs!$B$25+Inputs!$B$29,IF(Skills!C16=2,90+Inputs!$B$26+Inputs!$B$29,IF(Skills!C16=3,120+Inputs!$B$27+Inputs!$B$29,MAX(0,(Inputs!$B$3-100)*3)+Inputs!$B$28+Inputs!$B$29)))</f>
        <v/>
      </c>
      <c r="E3004">
        <f>INDEX(FactorTable!$B$2:$Y$301, MATCH(ROUND(MIN(300,MAX(1,D3004)),0), FactorTable!$A$2:$A$301,0), Skills!M16+1)</f>
        <v/>
      </c>
      <c r="F3004">
        <f>IF(Skills!N16=TRUE,(Skills!L16/10)*(E3004/1000),Skills!L16/10)+Skills!O16</f>
        <v/>
      </c>
      <c r="G3004">
        <f>Calc!G16</f>
        <v/>
      </c>
      <c r="H3004">
        <f>Calc!H16</f>
        <v/>
      </c>
      <c r="I3004">
        <f>IF(Skills!X16&lt;&gt;"",1+(Skills!X16/10)*(Z2991/1000)/100,1)</f>
        <v/>
      </c>
      <c r="J3004">
        <f>((Inputs!$B$6*(1+Inputs!$B$7/100))+(((Inputs!$B$12*(1+Inputs!$B$13/100))-(Inputs!$B$12*(1+Inputs!$B$13/100)))+0.25*(Inputs!$B$14-Inputs!$B$14))*(1+Inputs!$B$7/100))*(F3004/100)</f>
        <v/>
      </c>
      <c r="K3004">
        <f>J3004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3004)</f>
        <v/>
      </c>
      <c r="L3004">
        <f>K3004*(MIN(Inputs!$B$22+(F3010-Calc!F22),(Inputs!$B$23+(IF(ArtifactsInput!$M$15,CHOOSE(ArtifactsInput!$N$15+1,25,30,35,40,45,50)/100*(Inputs!$B$11-Inputs!$B$11),0))))/100+(Inputs!$B$23+(IF(ArtifactsInput!$M$15,CHOOSE(ArtifactsInput!$N$15+1,25,30,35,40,45,50)/100*(Inputs!$B$11-Inputs!$B$11),0)))/100)/2</f>
        <v/>
      </c>
      <c r="M3004">
        <f>L3004*(1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04">
        <f>L3004*(1-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3004*(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04">
        <f>(1-Summary!$B$11)*S3004+Summary!$B$11*U3004</f>
        <v/>
      </c>
      <c r="P3004">
        <f>IF(B3029=0,0,O3004/B3029)</f>
        <v/>
      </c>
      <c r="Q3004">
        <f>IFERROR(1/(IF(Inputs!$B$38="pvp",15,MAX(0.1,Skills!E16-IF(Skills!F16=TRUE,3.0,0)))*(1-IF(AND(ArtifactsInput!$M$27,Inputs!$B$4="Chapter Hunt"),CHOOSE(ArtifactsInput!$N$27+1,20,24,28,32,36,40),0)/100)),0)</f>
        <v/>
      </c>
      <c r="R3004">
        <f>IF(AND(Inputs!$B$38&lt;&gt;"pvp",Inputs!$B$43&gt;0),IF(MAX(0,Inputs!$B$43-B3026)&lt;=0,0,(INT(MAX(0,Inputs!$B$43-B3026)/(IF(Inputs!$B$38="pvp",15,MAX(0.1,Skills!E16-IF(Skills!F16=TRUE,3.0,0)))*(1-IF(AND(ArtifactsInput!$M$27,Inputs!$B$4="Chapter Hunt"),CHOOSE(ArtifactsInput!$N$27+1,20,24,28,32,36,40),0)/100)))+1)),0)</f>
        <v/>
      </c>
      <c r="S3004">
        <f>IF(C3004,(H3004*N3004*IF(AND(Inputs!$B$38&lt;&gt;"pvp",Inputs!$B$43&gt;0),((Skills!G16*((R3004-1)*IF(Skills!H16&gt;0,Skills!I16/Skills!H16,1)+IF(Skills!H16&gt;0,MIN(Skills!I16,MAX(0,MAX(0,Inputs!$B$43-B3026)-((R3004-1)*(IF(Inputs!$B$38="pvp",15,MAX(0.1,Skills!E16-IF(Skills!F16=TRUE,3.0,0)))*(1-IF(AND(ArtifactsInput!$M$27,Inputs!$B$4="Chapter Hunt"),CHOOSE(ArtifactsInput!$N$27+1,20,24,28,32,36,40),0)/100)))))/Skills!H16,1)))/Inputs!$B$43),G3004*Q3004)*(1+IF(Inputs!$B$3&gt;=126,0.05*(B3024+Q3001+(H3002*B3025)/(1+Skills!H14*H3002*B3025)+Q3012),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3004*(1-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3004*(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3004*(1-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3004*(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04">
        <f>IF(C3004,(H3004*N3004*IF(AND(Inputs!$B$38&lt;&gt;"pvp",Inputs!$B$43&gt;0),((Skills!G16*((R3004-1)*IF(Skills!H16&gt;0,Skills!I16/Skills!H16,1)+IF(Skills!H16&gt;0,MIN(Skills!I16,MAX(0,MAX(0,Inputs!$B$43-B3026)-((R3004-1)*(IF(Inputs!$B$38="pvp",15,MAX(0.1,Skills!E16-IF(Skills!F16=TRUE,3.0,0)))*(1-IF(AND(ArtifactsInput!$M$27,Inputs!$B$4="Chapter Hunt"),CHOOSE(ArtifactsInput!$N$27+1,20,24,28,32,36,40),0)/100)))))/Skills!H16,1)))/Inputs!$B$43),G3004*Q3004)*(1+IF(Inputs!$B$3&gt;=126,0.05*(B3024+Q3001+(H3002*B3025)/(1+Skills!H14*H3002*B3025)+Q3012),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05">
      <c r="A3005">
        <f>Skills!A17</f>
        <v/>
      </c>
      <c r="B3005">
        <f>Skills!B17</f>
        <v/>
      </c>
      <c r="C3005">
        <f>TRUE</f>
        <v/>
      </c>
      <c r="D3005">
        <f>IF(Skills!C17=1,60+Inputs!$B$25+Inputs!$B$29,IF(Skills!C17=2,90+Inputs!$B$26+Inputs!$B$29,IF(Skills!C17=3,120+Inputs!$B$27+Inputs!$B$29,MAX(0,(Inputs!$B$3-100)*3)+Inputs!$B$28+Inputs!$B$29)))</f>
        <v/>
      </c>
      <c r="E3005">
        <f>INDEX(FactorTable!$B$2:$Y$301, MATCH(ROUND(MIN(300,MAX(1,D3005)),0), FactorTable!$A$2:$A$301,0), Skills!M17+1)</f>
        <v/>
      </c>
      <c r="F3005">
        <f>IF(Skills!N17=TRUE,(Skills!L17/10)*(E3005/1000),Skills!L17/10)+Skills!O17</f>
        <v/>
      </c>
      <c r="G3005">
        <f>Calc!G17</f>
        <v/>
      </c>
      <c r="H3005">
        <f>Calc!H17</f>
        <v/>
      </c>
      <c r="I3005">
        <f>IF(Skills!X17&lt;&gt;"",1+(Skills!X17/10)*(Z2991/1000)/100,1)</f>
        <v/>
      </c>
      <c r="J3005" t="inlineStr"/>
      <c r="K3005" t="inlineStr"/>
      <c r="L3005" t="inlineStr"/>
      <c r="M3005" t="inlineStr"/>
      <c r="N3005" t="inlineStr"/>
      <c r="O3005">
        <f>(1-Summary!$B$11)*S3005+Summary!$B$11*U3005</f>
        <v/>
      </c>
      <c r="P3005">
        <f>IF(B3029=0,0,O3005/B3029)</f>
        <v/>
      </c>
      <c r="Q3005">
        <f>IFERROR(1/(IF(Inputs!$B$38="pvp",15,MAX(0.1,Skills!E17-IF(Skills!F17=TRUE,3.0,0)))*(1-IF(AND(ArtifactsInput!$M$27,Inputs!$B$4="Chapter Hunt"),CHOOSE(ArtifactsInput!$N$27+1,20,24,28,32,36,40),0)/100)),0)</f>
        <v/>
      </c>
      <c r="R3005">
        <f>IF(AND(Inputs!$B$38&lt;&gt;"pvp",Inputs!$B$43&gt;0),IF(Inputs!$B$43&lt;=0,0,(INT(Inputs!$B$43/(IF(Inputs!$B$38="pvp",15,MAX(0.1,Skills!E17-IF(Skills!F17=TRUE,3.0,0)))*(1-IF(AND(ArtifactsInput!$M$27,Inputs!$B$4="Chapter Hunt"),CHOOSE(ArtifactsInput!$N$27+1,20,24,28,32,36,40),0)/100)))+1)),0)</f>
        <v/>
      </c>
      <c r="S3005" t="n">
        <v>0</v>
      </c>
      <c r="U3005" t="n">
        <v>0</v>
      </c>
    </row>
    <row r="3006">
      <c r="A3006">
        <f>Skills!A18</f>
        <v/>
      </c>
      <c r="B3006">
        <f>Skills!B18</f>
        <v/>
      </c>
      <c r="C3006">
        <f>TRUE</f>
        <v/>
      </c>
      <c r="D3006">
        <f>IF(Skills!C18=1,60+Inputs!$B$25+Inputs!$B$29,IF(Skills!C18=2,90+Inputs!$B$26+Inputs!$B$29,IF(Skills!C18=3,120+Inputs!$B$27+Inputs!$B$29,MAX(0,(Inputs!$B$3-100)*3)+Inputs!$B$28+Inputs!$B$29)))</f>
        <v/>
      </c>
      <c r="E3006">
        <f>INDEX(FactorTable!$B$2:$Y$301, MATCH(ROUND(MIN(300,MAX(1,D3006)),0), FactorTable!$A$2:$A$301,0), Skills!M18+1)</f>
        <v/>
      </c>
      <c r="F3006">
        <f>IF(Skills!N18=TRUE,(Skills!L18/10)*(E3006/1000),Skills!L18/10)+Skills!O18</f>
        <v/>
      </c>
      <c r="G3006">
        <f>Calc!G18</f>
        <v/>
      </c>
      <c r="H3006">
        <f>Calc!H18</f>
        <v/>
      </c>
      <c r="I3006">
        <f>IF(Skills!X18&lt;&gt;"",1+(Skills!X18/10)*(Z2991/1000)/100,1)</f>
        <v/>
      </c>
      <c r="J3006" t="inlineStr"/>
      <c r="K3006" t="inlineStr"/>
      <c r="L3006" t="inlineStr"/>
      <c r="M3006" t="inlineStr"/>
      <c r="N3006" t="inlineStr"/>
      <c r="O3006">
        <f>(1-Summary!$B$11)*S3006+Summary!$B$11*U3006</f>
        <v/>
      </c>
      <c r="P3006">
        <f>IF(B3029=0,0,O3006/B3029)</f>
        <v/>
      </c>
      <c r="Q3006">
        <f>IFERROR(1/(IF(Inputs!$B$38="pvp",15,MAX(0.1,Skills!E18-IF(Skills!F18=TRUE,3.0,0)))*(1-IF(AND(ArtifactsInput!$M$27,Inputs!$B$4="Chapter Hunt"),CHOOSE(ArtifactsInput!$N$27+1,20,24,28,32,36,40),0)/100)),0)</f>
        <v/>
      </c>
      <c r="R3006">
        <f>IF(AND(Inputs!$B$38&lt;&gt;"pvp",Inputs!$B$43&gt;0),IF(Inputs!$B$43&lt;=0,0,(INT(Inputs!$B$43/(IF(Inputs!$B$38="pvp",15,MAX(0.1,Skills!E18-IF(Skills!F18=TRUE,3.0,0)))*(1-IF(AND(ArtifactsInput!$M$27,Inputs!$B$4="Chapter Hunt"),CHOOSE(ArtifactsInput!$N$27+1,20,24,28,32,36,40),0)/100)))+1)),0)</f>
        <v/>
      </c>
      <c r="S3006" t="n">
        <v>0</v>
      </c>
      <c r="U3006" t="n">
        <v>0</v>
      </c>
    </row>
    <row r="3007">
      <c r="A3007">
        <f>Skills!A19</f>
        <v/>
      </c>
      <c r="B3007">
        <f>Skills!B19</f>
        <v/>
      </c>
      <c r="C3007">
        <f>Inputs!$B$3&gt;=110</f>
        <v/>
      </c>
      <c r="D3007">
        <f>IF(Skills!C19=1,60+Inputs!$B$25+Inputs!$B$29,IF(Skills!C19=2,90+Inputs!$B$26+Inputs!$B$29,IF(Skills!C19=3,120+Inputs!$B$27+Inputs!$B$29,MAX(0,(Inputs!$B$3-100)*3)+Inputs!$B$28+Inputs!$B$29)))</f>
        <v/>
      </c>
      <c r="E3007">
        <f>INDEX(FactorTable!$B$2:$Y$301, MATCH(ROUND(MIN(300,MAX(1,D3007)),0), FactorTable!$A$2:$A$301,0), Skills!M19+1)</f>
        <v/>
      </c>
      <c r="F3007">
        <f>IF(Skills!N19=TRUE,(Skills!L19/10)*(E3007/1000),Skills!L19/10)+Skills!O19</f>
        <v/>
      </c>
      <c r="G3007">
        <f>Calc!G19</f>
        <v/>
      </c>
      <c r="H3007">
        <f>Calc!H19</f>
        <v/>
      </c>
      <c r="I3007">
        <f>IF(Skills!X19&lt;&gt;"",1+(Skills!X19/10)*(Z2991/1000)/100,1)</f>
        <v/>
      </c>
      <c r="J3007" t="inlineStr"/>
      <c r="K3007" t="inlineStr"/>
      <c r="L3007" t="inlineStr"/>
      <c r="M3007" t="inlineStr"/>
      <c r="N3007" t="inlineStr"/>
      <c r="O3007">
        <f>(1-Summary!$B$11)*S3007+Summary!$B$11*U3007</f>
        <v/>
      </c>
      <c r="P3007">
        <f>IF(B3029=0,0,O3007/B3029)</f>
        <v/>
      </c>
      <c r="Q3007">
        <f>IFERROR(1/(IF(Inputs!$B$38="pvp",15,MAX(0.1,Skills!E19-IF(Skills!F19=TRUE,3.0,0)))*(1-IF(AND(ArtifactsInput!$M$27,Inputs!$B$4="Chapter Hunt"),CHOOSE(ArtifactsInput!$N$27+1,20,24,28,32,36,40),0)/100)),0)</f>
        <v/>
      </c>
      <c r="R3007">
        <f>IF(AND(Inputs!$B$38&lt;&gt;"pvp",Inputs!$B$43&gt;0),IF(Inputs!$B$43&lt;=0,0,(INT(Inputs!$B$43/(IF(Inputs!$B$38="pvp",15,MAX(0.1,Skills!E19-IF(Skills!F19=TRUE,3.0,0)))*(1-IF(AND(ArtifactsInput!$M$27,Inputs!$B$4="Chapter Hunt"),CHOOSE(ArtifactsInput!$N$27+1,20,24,28,32,36,40),0)/100)))+1)),0)</f>
        <v/>
      </c>
      <c r="S3007" t="n">
        <v>0</v>
      </c>
      <c r="U3007" t="n">
        <v>0</v>
      </c>
    </row>
    <row r="3008">
      <c r="A3008">
        <f>Skills!A20</f>
        <v/>
      </c>
      <c r="B3008">
        <f>Skills!B20</f>
        <v/>
      </c>
      <c r="C3008">
        <f>TRUE</f>
        <v/>
      </c>
      <c r="D3008">
        <f>IF(Skills!C20=1,60+Inputs!$B$25+Inputs!$B$29,IF(Skills!C20=2,90+Inputs!$B$26+Inputs!$B$29,IF(Skills!C20=3,120+Inputs!$B$27+Inputs!$B$29,MAX(0,(Inputs!$B$3-100)*3)+Inputs!$B$28+Inputs!$B$29)))</f>
        <v/>
      </c>
      <c r="E3008">
        <f>INDEX(FactorTable!$B$2:$Y$301, MATCH(ROUND(MIN(300,MAX(1,D3008)),0), FactorTable!$A$2:$A$301,0), Skills!M20+1)</f>
        <v/>
      </c>
      <c r="F3008">
        <f>IF(Skills!N20=TRUE,(Skills!L20/10)*(E3008/1000),Skills!L20/10)+Skills!O20</f>
        <v/>
      </c>
      <c r="G3008">
        <f>Calc!G20</f>
        <v/>
      </c>
      <c r="H3008">
        <f>Calc!H20</f>
        <v/>
      </c>
      <c r="I3008">
        <f>IF(Skills!X20&lt;&gt;"",1+(Skills!X20/10)*(Z2991/1000)/100,1)</f>
        <v/>
      </c>
      <c r="J3008" t="inlineStr"/>
      <c r="K3008" t="inlineStr"/>
      <c r="L3008" t="inlineStr"/>
      <c r="M3008" t="inlineStr"/>
      <c r="N3008" t="inlineStr"/>
      <c r="O3008">
        <f>(1-Summary!$B$11)*S3008+Summary!$B$11*U3008</f>
        <v/>
      </c>
      <c r="P3008">
        <f>IF(B3029=0,0,O3008/B3029)</f>
        <v/>
      </c>
      <c r="Q3008">
        <f>IFERROR(1/(IF(Inputs!$B$38="pvp",15,MAX(0.1,Skills!E20-IF(Skills!F20=TRUE,3.0,0)))*(1-IF(AND(ArtifactsInput!$M$27,Inputs!$B$4="Chapter Hunt"),CHOOSE(ArtifactsInput!$N$27+1,20,24,28,32,36,40),0)/100)),0)</f>
        <v/>
      </c>
      <c r="R3008" t="n">
        <v>0</v>
      </c>
      <c r="S3008" t="n">
        <v>0</v>
      </c>
      <c r="U3008" t="n">
        <v>0</v>
      </c>
    </row>
    <row r="3009">
      <c r="A3009">
        <f>Skills!A21</f>
        <v/>
      </c>
      <c r="B3009">
        <f>Skills!B21</f>
        <v/>
      </c>
      <c r="C3009">
        <f>TRUE</f>
        <v/>
      </c>
      <c r="D3009">
        <f>IF(Skills!C21=1,60+Inputs!$B$25+Inputs!$B$29,IF(Skills!C21=2,90+Inputs!$B$26+Inputs!$B$29,IF(Skills!C21=3,120+Inputs!$B$27+Inputs!$B$29,MAX(0,(Inputs!$B$3-100)*3)+Inputs!$B$28+Inputs!$B$29)))</f>
        <v/>
      </c>
      <c r="E3009">
        <f>INDEX(FactorTable!$B$2:$Y$301, MATCH(ROUND(MIN(300,MAX(1,D3009)),0), FactorTable!$A$2:$A$301,0), Skills!M21+1)</f>
        <v/>
      </c>
      <c r="F3009">
        <f>IF(Skills!N21=TRUE,(Skills!L21/10)*(E3009/1000),Skills!L21/10)+Skills!O21</f>
        <v/>
      </c>
      <c r="G3009">
        <f>Calc!G21</f>
        <v/>
      </c>
      <c r="H3009">
        <f>Calc!H21</f>
        <v/>
      </c>
      <c r="I3009">
        <f>IF(Skills!X21&lt;&gt;"",1+(Skills!X21/10)*(Z2991/1000)/100,1)</f>
        <v/>
      </c>
      <c r="J3009" t="inlineStr"/>
      <c r="K3009" t="inlineStr"/>
      <c r="L3009" t="inlineStr"/>
      <c r="M3009" t="inlineStr"/>
      <c r="N3009" t="inlineStr"/>
      <c r="O3009">
        <f>(1-Summary!$B$11)*S3009+Summary!$B$11*U3009</f>
        <v/>
      </c>
      <c r="P3009">
        <f>IF(B3029=0,0,O3009/B3029)</f>
        <v/>
      </c>
      <c r="Q3009">
        <f>IFERROR(1/(IF(Inputs!$B$38="pvp",15,MAX(0.1,Skills!E21-IF(Skills!F21=TRUE,3.0,0)))*(1-IF(AND(ArtifactsInput!$M$27,Inputs!$B$4="Chapter Hunt"),CHOOSE(ArtifactsInput!$N$27+1,20,24,28,32,36,40),0)/100)),0)</f>
        <v/>
      </c>
      <c r="R3009" t="n">
        <v>0</v>
      </c>
      <c r="S3009" t="n">
        <v>0</v>
      </c>
      <c r="U3009" t="n">
        <v>0</v>
      </c>
    </row>
    <row r="3010">
      <c r="A3010">
        <f>Skills!A22</f>
        <v/>
      </c>
      <c r="B3010">
        <f>Skills!B22</f>
        <v/>
      </c>
      <c r="C3010">
        <f>TRUE</f>
        <v/>
      </c>
      <c r="D3010">
        <f>IF(Skills!C22=1,60+Inputs!$B$25+Inputs!$B$29,IF(Skills!C22=2,90+Inputs!$B$26+Inputs!$B$29,IF(Skills!C22=3,120+Inputs!$B$27+Inputs!$B$29,MAX(0,(Inputs!$B$3-100)*3)+Inputs!$B$28+Inputs!$B$29)))</f>
        <v/>
      </c>
      <c r="E3010">
        <f>INDEX(FactorTable!$B$2:$Y$301, MATCH(ROUND(MIN(300,MAX(1,D3010)),0), FactorTable!$A$2:$A$301,0), Skills!M22+1)</f>
        <v/>
      </c>
      <c r="F3010">
        <f>IF(Skills!N22=TRUE,(Skills!L22/10)*(E3010/1000),Skills!L22/10)+Skills!O22</f>
        <v/>
      </c>
      <c r="G3010">
        <f>Calc!G22</f>
        <v/>
      </c>
      <c r="H3010">
        <f>Calc!H22</f>
        <v/>
      </c>
      <c r="I3010">
        <f>IF(Skills!X22&lt;&gt;"",1+(Skills!X22/10)*(Z2991/1000)/100,1)</f>
        <v/>
      </c>
      <c r="J3010" t="inlineStr"/>
      <c r="K3010" t="inlineStr"/>
      <c r="L3010" t="inlineStr"/>
      <c r="M3010" t="inlineStr"/>
      <c r="N3010" t="inlineStr"/>
      <c r="O3010">
        <f>(1-Summary!$B$11)*S3010+Summary!$B$11*U3010</f>
        <v/>
      </c>
      <c r="P3010">
        <f>IF(B3029=0,0,O3010/B3029)</f>
        <v/>
      </c>
      <c r="Q3010">
        <f>IFERROR(1/(IF(Inputs!$B$38="pvp",15,MAX(0.1,Skills!E22-IF(Skills!F22=TRUE,3.0,0)))*(1-IF(AND(ArtifactsInput!$M$27,Inputs!$B$4="Chapter Hunt"),CHOOSE(ArtifactsInput!$N$27+1,20,24,28,32,36,40),0)/100)),0)</f>
        <v/>
      </c>
      <c r="R3010" t="n">
        <v>0</v>
      </c>
      <c r="S3010" t="n">
        <v>0</v>
      </c>
      <c r="U3010" t="n">
        <v>0</v>
      </c>
    </row>
    <row r="3011">
      <c r="A3011">
        <f>Skills!A23</f>
        <v/>
      </c>
      <c r="B3011">
        <f>Skills!B23</f>
        <v/>
      </c>
      <c r="C3011">
        <f>TRUE</f>
        <v/>
      </c>
      <c r="D3011">
        <f>IF(Skills!C23=1,60+Inputs!$B$25+Inputs!$B$29,IF(Skills!C23=2,90+Inputs!$B$26+Inputs!$B$29,IF(Skills!C23=3,120+Inputs!$B$27+Inputs!$B$29,MAX(0,(Inputs!$B$3-100)*3)+Inputs!$B$28+Inputs!$B$29)))</f>
        <v/>
      </c>
      <c r="E3011">
        <f>INDEX(FactorTable!$B$2:$Y$301, MATCH(ROUND(MIN(300,MAX(1,D3011)),0), FactorTable!$A$2:$A$301,0), Skills!M23+1)</f>
        <v/>
      </c>
      <c r="F3011">
        <f>IF(Skills!N23=TRUE,(Skills!L23/10)*(E3011/1000),Skills!L23/10)+Skills!O23</f>
        <v/>
      </c>
      <c r="G3011">
        <f>Calc!G23</f>
        <v/>
      </c>
      <c r="H3011">
        <f>Calc!H23</f>
        <v/>
      </c>
      <c r="I3011">
        <f>IF(Skills!X23&lt;&gt;"",1+(Skills!X23/10)*(Z2991/1000)/100,1)</f>
        <v/>
      </c>
      <c r="J3011" t="inlineStr"/>
      <c r="K3011" t="inlineStr"/>
      <c r="L3011" t="inlineStr"/>
      <c r="M3011" t="inlineStr"/>
      <c r="N3011" t="inlineStr"/>
      <c r="O3011">
        <f>(1-Summary!$B$11)*S3011+Summary!$B$11*U3011</f>
        <v/>
      </c>
      <c r="P3011">
        <f>IF(B3029=0,0,O3011/B3029)</f>
        <v/>
      </c>
      <c r="Q3011">
        <f>IFERROR(1/(IF(Inputs!$B$38="pvp",15,MAX(0.1,Skills!E23-IF(Skills!F23=TRUE,3.0,0)))*(1-IF(AND(ArtifactsInput!$M$27,Inputs!$B$4="Chapter Hunt"),CHOOSE(ArtifactsInput!$N$27+1,20,24,28,32,36,40),0)/100)),0)</f>
        <v/>
      </c>
      <c r="R3011" t="n">
        <v>0</v>
      </c>
      <c r="S3011" t="n">
        <v>0</v>
      </c>
      <c r="U3011" t="n">
        <v>0</v>
      </c>
    </row>
    <row r="3012">
      <c r="A3012">
        <f>Skills!A24</f>
        <v/>
      </c>
      <c r="B3012">
        <f>Skills!B24</f>
        <v/>
      </c>
      <c r="C3012">
        <f>Inputs!$B$3&gt;=115</f>
        <v/>
      </c>
      <c r="D3012">
        <f>IF(Skills!C24=1,60+Inputs!$B$25+Inputs!$B$29,IF(Skills!C24=2,90+Inputs!$B$26+Inputs!$B$29,IF(Skills!C24=3,120+Inputs!$B$27+Inputs!$B$29,MAX(0,(Inputs!$B$3-100)*3)+Inputs!$B$28+Inputs!$B$29)))</f>
        <v/>
      </c>
      <c r="E3012">
        <f>INDEX(FactorTable!$B$2:$Y$301, MATCH(ROUND(MIN(300,MAX(1,D3012)),0), FactorTable!$A$2:$A$301,0), Skills!M24+1)</f>
        <v/>
      </c>
      <c r="F3012">
        <f>IF(Skills!N24=TRUE,(Skills!L24/10)*(E3012/1000),Skills!L24/10)+Skills!O24</f>
        <v/>
      </c>
      <c r="G3012">
        <f>Calc!G24</f>
        <v/>
      </c>
      <c r="H3012">
        <f>Calc!H24</f>
        <v/>
      </c>
      <c r="I3012">
        <f>IF(Skills!X24&lt;&gt;"",1+(Skills!X24/10)*(Z2991/1000)/100,1)</f>
        <v/>
      </c>
      <c r="J3012">
        <f>((Inputs!$B$6*(1+Inputs!$B$7/100))+(((Inputs!$B$12*(1+Inputs!$B$13/100))-(Inputs!$B$12*(1+Inputs!$B$13/100)))+0.25*(Inputs!$B$14-Inputs!$B$14))*(1+Inputs!$B$7/100))*(F3012/100)</f>
        <v/>
      </c>
      <c r="K3012">
        <f>J3012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3012)</f>
        <v/>
      </c>
      <c r="L3012">
        <f>K3012*(MIN(Inputs!$B$22+(F3010-Calc!F22),(Inputs!$B$23+(IF(ArtifactsInput!$M$15,CHOOSE(ArtifactsInput!$N$15+1,25,30,35,40,45,50)/100*(Inputs!$B$11-Inputs!$B$11),0))))/100+(Inputs!$B$23+(IF(ArtifactsInput!$M$15,CHOOSE(ArtifactsInput!$N$15+1,25,30,35,40,45,50)/100*(Inputs!$B$11-Inputs!$B$11),0)))/100)/2</f>
        <v/>
      </c>
      <c r="M3012">
        <f>L3012*(1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2">
        <f>L3012*(1-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3012*(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2">
        <f>(1-Summary!$B$11)*S3012+Summary!$B$11*U3012</f>
        <v/>
      </c>
      <c r="P3012">
        <f>IF(B3029=0,0,O3012/B3029)</f>
        <v/>
      </c>
      <c r="Q3012">
        <f>IFERROR(1/(IF(Inputs!$B$38="pvp",15,MAX(0.1,Skills!E24-IF(Skills!F24=TRUE,3.0,0)))*(1-IF(AND(ArtifactsInput!$M$27,Inputs!$B$4="Chapter Hunt"),CHOOSE(ArtifactsInput!$N$27+1,20,24,28,32,36,40),0)/100)),0)</f>
        <v/>
      </c>
      <c r="R3012">
        <f>IF(AND(Inputs!$B$38&lt;&gt;"pvp",Inputs!$B$43&gt;0),IF(MAX(0,Inputs!$B$43-B3026)&lt;=0,0,(INT(MAX(0,Inputs!$B$43-B3026)/(IF(Inputs!$B$38="pvp",15,MAX(0.1,Skills!E24-IF(Skills!F24=TRUE,3.0,0)))*(1-IF(AND(ArtifactsInput!$M$27,Inputs!$B$4="Chapter Hunt"),CHOOSE(ArtifactsInput!$N$27+1,20,24,28,32,36,40),0)/100)))+1)),0)</f>
        <v/>
      </c>
      <c r="S3012">
        <f>IF(C3012,(H3012*N3012*IF(AND(Inputs!$B$38&lt;&gt;"pvp",Inputs!$B$43&gt;0),((Skills!G24*((R3012-1)*IF(Skills!H24&gt;0,Skills!I24/Skills!H24,1)+IF(Skills!H24&gt;0,MIN(Skills!I24,MAX(0,MAX(0,Inputs!$B$43-B3026)-((R3012-1)*(IF(Inputs!$B$38="pvp",15,MAX(0.1,Skills!E24-IF(Skills!F24=TRUE,3.0,0)))*(1-IF(AND(ArtifactsInput!$M$27,Inputs!$B$4="Chapter Hunt"),CHOOSE(ArtifactsInput!$N$27+1,20,24,28,32,36,40),0)/100)))))/Skills!H24,1)))/Inputs!$B$43),G3012*Q3012)*(1+IF(Inputs!$B$3&gt;=130,0.2*(Skills!I16/Skills!E15+IF(Inputs!$B$3&gt;=126,0.05*(B3024+Q3001+(H3002*B3025)/(1+Skills!H14*H3002*B3025)+Q3012),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3012*(1-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3012*(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3012*(1-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3012*(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12">
        <f>IF(C3012,(H3012*N3012*IF(AND(Inputs!$B$38&lt;&gt;"pvp",Inputs!$B$43&gt;0),((Skills!G24*((R3012-1)*IF(Skills!H24&gt;0,Skills!I24/Skills!H24,1)+IF(Skills!H24&gt;0,MIN(Skills!I24,MAX(0,MAX(0,Inputs!$B$43-B3026)-((R3012-1)*(IF(Inputs!$B$38="pvp",15,MAX(0.1,Skills!E24-IF(Skills!F24=TRUE,3.0,0)))*(1-IF(AND(ArtifactsInput!$M$27,Inputs!$B$4="Chapter Hunt"),CHOOSE(ArtifactsInput!$N$27+1,20,24,28,32,36,40),0)/100)))))/Skills!H24,1)))/Inputs!$B$43),G3012*Q3012)*(1+IF(Inputs!$B$3&gt;=130,0.2*(Skills!I16/Skills!E15+IF(Inputs!$B$3&gt;=126,0.05*(B3024+Q3001+(H3002*B3025)/(1+Skills!H14*H3002*B3025)+Q3012),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3">
      <c r="A3013">
        <f>Skills!A25</f>
        <v/>
      </c>
      <c r="B3013">
        <f>Skills!B25</f>
        <v/>
      </c>
      <c r="C3013">
        <f>Inputs!$B$3&gt;=117</f>
        <v/>
      </c>
      <c r="D3013">
        <f>IF(Skills!C25=1,60+Inputs!$B$25+Inputs!$B$29,IF(Skills!C25=2,90+Inputs!$B$26+Inputs!$B$29,IF(Skills!C25=3,120+Inputs!$B$27+Inputs!$B$29,MAX(0,(Inputs!$B$3-100)*3)+Inputs!$B$28+Inputs!$B$29)))</f>
        <v/>
      </c>
      <c r="E3013">
        <f>INDEX(FactorTable!$B$2:$Y$301, MATCH(ROUND(MIN(300,MAX(1,D3013)),0), FactorTable!$A$2:$A$301,0), Skills!M25+1)</f>
        <v/>
      </c>
      <c r="F3013">
        <f>IF(Skills!N25=TRUE,(Skills!L25/10)*(E3013/1000),Skills!L25/10)+Skills!O25</f>
        <v/>
      </c>
      <c r="G3013">
        <f>Calc!G25</f>
        <v/>
      </c>
      <c r="H3013">
        <f>Calc!H25</f>
        <v/>
      </c>
      <c r="I3013">
        <f>IF(Skills!X25&lt;&gt;"",1+(Skills!X25/10)*(Z2991/1000)/100,1)</f>
        <v/>
      </c>
      <c r="J3013" t="inlineStr"/>
      <c r="K3013" t="inlineStr"/>
      <c r="L3013" t="inlineStr"/>
      <c r="M3013" t="inlineStr"/>
      <c r="N3013" t="inlineStr"/>
      <c r="O3013">
        <f>(1-Summary!$B$11)*S3013+Summary!$B$11*U3013</f>
        <v/>
      </c>
      <c r="P3013">
        <f>IF(B3029=0,0,O3013/B3029)</f>
        <v/>
      </c>
      <c r="Q3013">
        <f>IFERROR(1/(IF(Inputs!$B$38="pvp",15,MAX(0.1,Skills!E25-IF(Skills!F25=TRUE,3.0,0)))*(1-IF(AND(ArtifactsInput!$M$27,Inputs!$B$4="Chapter Hunt"),CHOOSE(ArtifactsInput!$N$27+1,20,24,28,32,36,40),0)/100)),0)</f>
        <v/>
      </c>
      <c r="R3013" t="n">
        <v>0</v>
      </c>
      <c r="S3013" t="n">
        <v>0</v>
      </c>
      <c r="U3013" t="n">
        <v>0</v>
      </c>
    </row>
    <row r="3014">
      <c r="A3014">
        <f>Skills!A26</f>
        <v/>
      </c>
      <c r="B3014">
        <f>Skills!B26</f>
        <v/>
      </c>
      <c r="C3014">
        <f>Inputs!$B$3&gt;=120</f>
        <v/>
      </c>
      <c r="D3014">
        <f>IF(Skills!C26=1,60+Inputs!$B$25+Inputs!$B$29,IF(Skills!C26=2,90+Inputs!$B$26+Inputs!$B$29,IF(Skills!C26=3,120+Inputs!$B$27+Inputs!$B$29,MAX(0,(Inputs!$B$3-100)*3)+Inputs!$B$28+Inputs!$B$29)))</f>
        <v/>
      </c>
      <c r="E3014">
        <f>INDEX(FactorTable!$B$2:$Y$301, MATCH(ROUND(MIN(300,MAX(1,D3014)),0), FactorTable!$A$2:$A$301,0), Skills!M26+1)</f>
        <v/>
      </c>
      <c r="F3014">
        <f>IF(Skills!N26=TRUE,(Skills!L26/10)*(E3014/1000),Skills!L26/10)+Skills!O26</f>
        <v/>
      </c>
      <c r="G3014">
        <f>Calc!G26</f>
        <v/>
      </c>
      <c r="H3014">
        <f>Calc!H26</f>
        <v/>
      </c>
      <c r="I3014">
        <f>IF(Skills!X26&lt;&gt;"",1+(Skills!X26/10)*(Z2991/1000)/100,1)</f>
        <v/>
      </c>
      <c r="J3014" t="inlineStr"/>
      <c r="K3014" t="inlineStr"/>
      <c r="L3014" t="inlineStr"/>
      <c r="M3014" t="inlineStr"/>
      <c r="N3014" t="inlineStr"/>
      <c r="O3014">
        <f>(1-Summary!$B$11)*S3014+Summary!$B$11*U3014</f>
        <v/>
      </c>
      <c r="P3014">
        <f>IF(B3029=0,0,O3014/B3029)</f>
        <v/>
      </c>
      <c r="Q3014">
        <f>IFERROR(1/(IF(Inputs!$B$38="pvp",15,MAX(0.1,Skills!E26-IF(Skills!F26=TRUE,3.0,0)))*(1-IF(AND(ArtifactsInput!$M$27,Inputs!$B$4="Chapter Hunt"),CHOOSE(ArtifactsInput!$N$27+1,20,24,28,32,36,40),0)/100)),0)</f>
        <v/>
      </c>
      <c r="R3014" t="n">
        <v>0</v>
      </c>
      <c r="S3014" t="n">
        <v>0</v>
      </c>
      <c r="U3014" t="n">
        <v>0</v>
      </c>
    </row>
    <row r="3015">
      <c r="A3015">
        <f>Skills!A27</f>
        <v/>
      </c>
      <c r="B3015">
        <f>Skills!B27</f>
        <v/>
      </c>
      <c r="C3015">
        <f>Inputs!$B$3&gt;=125</f>
        <v/>
      </c>
      <c r="D3015">
        <f>IF(Skills!C27=1,60+Inputs!$B$25+Inputs!$B$29,IF(Skills!C27=2,90+Inputs!$B$26+Inputs!$B$29,IF(Skills!C27=3,120+Inputs!$B$27+Inputs!$B$29,MAX(0,(Inputs!$B$3-100)*3)+Inputs!$B$28+Inputs!$B$29)))</f>
        <v/>
      </c>
      <c r="E3015">
        <f>INDEX(FactorTable!$B$2:$Y$301, MATCH(ROUND(MIN(300,MAX(1,D3015)),0), FactorTable!$A$2:$A$301,0), Skills!M27+1)</f>
        <v/>
      </c>
      <c r="F3015">
        <f>IF(Skills!N27=TRUE,(Skills!L27/10)*(E3015/1000),Skills!L27/10)+Skills!O27</f>
        <v/>
      </c>
      <c r="G3015">
        <f>Calc!G27</f>
        <v/>
      </c>
      <c r="H3015">
        <f>Calc!H27</f>
        <v/>
      </c>
      <c r="I3015">
        <f>IF(Skills!X27&lt;&gt;"",1+(Skills!X27/10)*(Z2991/1000)/100,1)</f>
        <v/>
      </c>
      <c r="J3015" t="inlineStr"/>
      <c r="K3015" t="inlineStr"/>
      <c r="L3015" t="inlineStr"/>
      <c r="M3015" t="inlineStr"/>
      <c r="N3015" t="inlineStr"/>
      <c r="O3015">
        <f>(1-Summary!$B$11)*S3015+Summary!$B$11*U3015</f>
        <v/>
      </c>
      <c r="P3015">
        <f>IF(B3029=0,0,O3015/B3029)</f>
        <v/>
      </c>
      <c r="Q3015">
        <f>IFERROR(1/(IF(Inputs!$B$38="pvp",15,MAX(0.1,Skills!E27-IF(Skills!F27=TRUE,3.0,0)))*(1-IF(AND(ArtifactsInput!$M$27,Inputs!$B$4="Chapter Hunt"),CHOOSE(ArtifactsInput!$N$27+1,20,24,28,32,36,40),0)/100)),0)</f>
        <v/>
      </c>
      <c r="R3015" t="n">
        <v>0</v>
      </c>
      <c r="S3015" t="n">
        <v>0</v>
      </c>
      <c r="U3015" t="n">
        <v>0</v>
      </c>
    </row>
    <row r="3016">
      <c r="A3016">
        <f>Skills!A28</f>
        <v/>
      </c>
      <c r="B3016">
        <f>Skills!B28</f>
        <v/>
      </c>
      <c r="C3016">
        <f>Inputs!$B$3&gt;=118</f>
        <v/>
      </c>
      <c r="D3016">
        <f>IF(Skills!C28=1,60+Inputs!$B$25+Inputs!$B$29,IF(Skills!C28=2,90+Inputs!$B$26+Inputs!$B$29,IF(Skills!C28=3,120+Inputs!$B$27+Inputs!$B$29,MAX(0,(Inputs!$B$3-100)*3)+Inputs!$B$28+Inputs!$B$29)))</f>
        <v/>
      </c>
      <c r="E3016">
        <f>INDEX(FactorTable!$B$2:$Y$301, MATCH(ROUND(MIN(300,MAX(1,D3016)),0), FactorTable!$A$2:$A$301,0), Skills!M28+1)</f>
        <v/>
      </c>
      <c r="F3016">
        <f>IF(Skills!N28=TRUE,(Skills!L28/10)*(E3016/1000),Skills!L28/10)+Skills!O28</f>
        <v/>
      </c>
      <c r="G3016">
        <f>Calc!G28</f>
        <v/>
      </c>
      <c r="H3016">
        <f>Calc!H28</f>
        <v/>
      </c>
      <c r="I3016">
        <f>IF(Skills!X28&lt;&gt;"",1+(Skills!X28/10)*(Z2991/1000)/100,1)</f>
        <v/>
      </c>
      <c r="J3016">
        <f>((Inputs!$B$6*(1+Inputs!$B$7/100))+(((Inputs!$B$12*(1+Inputs!$B$13/100))-(Inputs!$B$12*(1+Inputs!$B$13/100)))+0.25*(Inputs!$B$14-Inputs!$B$14))*(1+Inputs!$B$7/100))*(F3016/100)</f>
        <v/>
      </c>
      <c r="K3016">
        <f>J3016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3011/100)*(1+IF(Inputs!$B$3&gt;=120,F3014,0)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3015*5,0)))/100)*(B3018*B3019*B3020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3016)</f>
        <v/>
      </c>
      <c r="L3016">
        <f>K3016*(MIN(Inputs!$B$22+(F3010-Calc!F22),(Inputs!$B$23+(IF(ArtifactsInput!$M$15,CHOOSE(ArtifactsInput!$N$15+1,25,30,35,40,45,50)/100*(Inputs!$B$11-Inputs!$B$11),0))))/100+(Inputs!$B$23+(IF(ArtifactsInput!$M$15,CHOOSE(ArtifactsInput!$N$15+1,25,30,35,40,45,50)/100*(Inputs!$B$11-Inputs!$B$11),0)))/100)/2</f>
        <v/>
      </c>
      <c r="M3016">
        <f>L3016*(1+(Inputs!$B$10+(F3009-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6">
        <f>L3016*(1-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3016*(MIN((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6">
        <f>(1-Summary!$B$11)*S3016+Summary!$B$11*U3016</f>
        <v/>
      </c>
      <c r="P3016">
        <f>IF(B3029=0,0,O3016/B3029)</f>
        <v/>
      </c>
      <c r="Q3016">
        <f>IFERROR(1/(IF(Inputs!$B$38="pvp",15,MAX(0.1,Skills!E28-IF(Skills!F28=TRUE,3.0,0)))*(1-IF(AND(ArtifactsInput!$M$27,Inputs!$B$4="Chapter Hunt"),CHOOSE(ArtifactsInput!$N$27+1,20,24,28,32,36,40),0)/100)),0)</f>
        <v/>
      </c>
      <c r="R3016">
        <f>IF(AND(Inputs!$B$38&lt;&gt;"pvp",Inputs!$B$43&gt;0),IF(MAX(0,Inputs!$B$43-B3026)&lt;=0,0,(INT(MAX(0,Inputs!$B$43-B3026)/(IF(Inputs!$B$38="pvp",15,MAX(0.1,Skills!E28-IF(Skills!F28=TRUE,3.0,0)))*(1-IF(AND(ArtifactsInput!$M$27,Inputs!$B$4="Chapter Hunt"),CHOOSE(ArtifactsInput!$N$27+1,20,24,28,32,36,40),0)/100)))+1)),0)</f>
        <v/>
      </c>
      <c r="S3016">
        <f>IF(C3016,(H3016*N3016*IF(AND(Inputs!$B$38&lt;&gt;"pvp",Inputs!$B$43&gt;0),((Skills!G28*((R3016-1)*IF(Skills!H28&gt;0,Skills!I28/Skills!H28,1)+IF(Skills!H28&gt;0,MIN(Skills!I28,MAX(0,MAX(0,Inputs!$B$43-B3026)-((R3016-1)*(IF(Inputs!$B$38="pvp",15,MAX(0.1,Skills!E28-IF(Skills!F28=TRUE,3.0,0)))*(1-IF(AND(ArtifactsInput!$M$27,Inputs!$B$4="Chapter Hunt"),CHOOSE(ArtifactsInput!$N$27+1,20,24,28,32,36,40),0)/100)))))/Skills!H28,1)))/Inputs!$B$43),G3016*Q3016))*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3016*(1-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3016*(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3016*(1-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3016*(MIN(100,(Inputs!$B$9+(F3008-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16">
        <f>IF(C3016,(H3016*N3016*IF(AND(Inputs!$B$38&lt;&gt;"pvp",Inputs!$B$43&gt;0),((Skills!G28*((R3016-1)*IF(Skills!H28&gt;0,Skills!I28/Skills!H28,1)+IF(Skills!H28&gt;0,MIN(Skills!I28,MAX(0,MAX(0,Inputs!$B$43-B3026)-((R3016-1)*(IF(Inputs!$B$38="pvp",15,MAX(0.1,Skills!E28-IF(Skills!F28=TRUE,3.0,0)))*(1-IF(AND(ArtifactsInput!$M$27,Inputs!$B$4="Chapter Hunt"),CHOOSE(ArtifactsInput!$N$27+1,20,24,28,32,36,40),0)/100)))))/Skills!H28,1)))/Inputs!$B$43),G3016*Q3016))*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8">
      <c r="A3018" t="inlineStr">
        <is>
          <t>Burning Magic Multiplier</t>
        </is>
      </c>
      <c r="B3018">
        <f>1+(F2999*Skills!Z11)/100</f>
        <v/>
      </c>
    </row>
    <row r="3019">
      <c r="A3019" t="inlineStr">
        <is>
          <t>Elemental Decrease Multiplier (always-on)</t>
        </is>
      </c>
      <c r="B3019">
        <f>1+(F3000+(IF(AND(ArtifactsInput!$M$35,Inputs!$B$4&lt;&gt;"Chapter Hunt"),CHOOSE(ArtifactsInput!$N$35+1,15,18,21,24,27,30)*(1-EXP(-(0.2*B3022)*5)),0)+IF(AND(ArtifactsInput!$M$22,Inputs!$B$4&lt;&gt;"Chapter Hunt"),CHOOSE(ArtifactsInput!$N$22+1,10,12,14,16,18,20)*((0*(((0.15*B3022*5))^0/1)+1*(((0.15*B3022*5))^1/1)+2*(((0.15*B3022*5))^2/2)+3*(((0.15*B3022*5))^3/6)+4*(((0.15*B3022*5))^4/24)+5*(((0.15*B3022*5))^5/120))/((((0.15*B3022*5))^0/1)+(((0.15*B3022*5))^1/1)+(((0.15*B3022*5))^2/2)+(((0.15*B3022*5))^3/6)+(((0.15*B3022*5))^4/24)+(((0.15*B3022*5))^5/120))),0)))/100</f>
        <v/>
      </c>
    </row>
    <row r="3020">
      <c r="A3020" t="inlineStr">
        <is>
          <t>Average Buff Multiplier (Magic Guard + Meditation + Artifact Attack%, summed; then Infinity)</t>
        </is>
      </c>
      <c r="B3020">
        <f>(1+(F2994*IF(AND(Inputs!$B$38&lt;&gt;"pvp",Inputs!$B$43&gt;0),(((R2994-1)*(Skills!T6*(1+((Inputs!$B$34+(ArtifactsInput!$M$7-ArtifactsInput!$M$7)*CHOOSE(ArtifactsInput!$N$7+1,6,7.2,8.4,9.6,10.8,12)))/100))+MIN((Skills!T6*(1+((Inputs!$B$34+(ArtifactsInput!$M$7-ArtifactsInput!$M$7)*CHOOSE(ArtifactsInput!$N$7+1,6,7.2,8.4,9.6,10.8,12)))/100)),MAX(0,Inputs!$B$43-((R2994-1)*Skills!E6))))/Inputs!$B$43),IF(Inputs!$B$38="pvp",MIN((Skills!T6*(1+((Inputs!$B$34+(ArtifactsInput!$M$7-ArtifactsInput!$M$7)*CHOOSE(ArtifactsInput!$N$7+1,6,7.2,8.4,9.6,10.8,12)))/100)),15)/15,(Skills!T6*(1+((Inputs!$B$34+(ArtifactsInput!$M$7-ArtifactsInput!$M$7)*CHOOSE(ArtifactsInput!$N$7+1,6,7.2,8.4,9.6,10.8,12)))/100))/Skills!E6))+F3005*IF(AND(Inputs!$B$38&lt;&gt;"pvp",Inputs!$B$43&gt;0),(((R3005-1)*(Skills!T17*(1+((Inputs!$B$34+(ArtifactsInput!$M$7-ArtifactsInput!$M$7)*CHOOSE(ArtifactsInput!$N$7+1,6,7.2,8.4,9.6,10.8,12)))/100))+MIN((Skills!T17*(1+((Inputs!$B$34+(ArtifactsInput!$M$7-ArtifactsInput!$M$7)*CHOOSE(ArtifactsInput!$N$7+1,6,7.2,8.4,9.6,10.8,12)))/100)),MAX(0,Inputs!$B$43-((R3005-1)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3007=TRUE,(1+F3007*IF(AND(Inputs!$B$38&lt;&gt;"pvp",Inputs!$B$43&gt;0),(((R3007-1)*(Skills!T19*(1+((Inputs!$B$34+(ArtifactsInput!$M$7-ArtifactsInput!$M$7)*CHOOSE(ArtifactsInput!$N$7+1,6,7.2,8.4,9.6,10.8,12)))/100))+MIN((Skills!T19*(1+((Inputs!$B$34+(ArtifactsInput!$M$7-ArtifactsInput!$M$7)*CHOOSE(ArtifactsInput!$N$7+1,6,7.2,8.4,9.6,10.8,12)))/100)),MAX(0,Inputs!$B$43-((R3007-1)*Skills!E19))))/Inputs!$B$43),IF(Inputs!$B$38="pvp",MIN((Skills!T19*(1+((Inputs!$B$34+(ArtifactsInput!$M$7-ArtifactsInput!$M$7)*CHOOSE(ArtifactsInput!$N$7+1,6,7.2,8.4,9.6,10.8,12)))/100)),15)/15,(Skills!T19*(1+((Inputs!$B$34+(ArtifactsInput!$M$7-ArtifactsInput!$M$7)*CHOOSE(ArtifactsInput!$N$7+1,6,7.2,8.4,9.6,10.8,12)))/100))/Skills!E19))/100),1)</f>
        <v/>
      </c>
    </row>
    <row r="3021">
      <c r="A3021" t="inlineStr">
        <is>
          <t>Attack Speed Buff Bonus % (Nimble Feet, averaged)</t>
        </is>
      </c>
      <c r="B3021">
        <f>F3006*IF(AND(Inputs!$B$38&lt;&gt;"pvp",Inputs!$B$43&gt;0),(((R3006-1)*(Skills!T18*(1+((Inputs!$B$34+(ArtifactsInput!$M$7-ArtifactsInput!$M$7)*CHOOSE(ArtifactsInput!$N$7+1,6,7.2,8.4,9.6,10.8,12)))/100))+MIN((Skills!T18*(1+((Inputs!$B$34+(ArtifactsInput!$M$7-ArtifactsInput!$M$7)*CHOOSE(ArtifactsInput!$N$7+1,6,7.2,8.4,9.6,10.8,12)))/100)),MAX(0,Inputs!$B$43-((R3006-1)*Skills!E18))))/Inputs!$B$43),IF(Inputs!$B$38="pvp",MIN((Skills!T18*(1+((Inputs!$B$34+(ArtifactsInput!$M$7-ArtifactsInput!$M$7)*CHOOSE(ArtifactsInput!$N$7+1,6,7.2,8.4,9.6,10.8,12)))/100)),15)/15,(Skills!T18*(1+((Inputs!$B$34+(ArtifactsInput!$M$7-ArtifactsInput!$M$7)*CHOOSE(ArtifactsInput!$N$7+1,6,7.2,8.4,9.6,10.8,12)))/100))/Skills!E18))</f>
        <v/>
      </c>
    </row>
    <row r="3022">
      <c r="A3022" t="inlineStr">
        <is>
          <t>Actions Per Second</t>
        </is>
      </c>
      <c r="B3022">
        <f>1+MIN(150,150*(1-(1-(Inputs!$B$11+(ArtifactsInput!$M$15-ArtifactsInput!$M$15)*CHOOSE(ArtifactsInput!$N$15+1,8,9.6,11.2,12.8,14.4,16))/150)*(1-B3021/150)))/100</f>
        <v/>
      </c>
    </row>
    <row r="3023">
      <c r="A3023" t="inlineStr">
        <is>
          <t>Skill + Buff Cast Rate</t>
        </is>
      </c>
      <c r="B3023">
        <f>IF(AND(Inputs!$B$38&lt;&gt;"pvp",Inputs!$B$43&gt;0),SUMPRODUCT((Skills!F2:F28=TRUE)*(C2990:C3016=TRUE)*R2990:R3016)/Inputs!$B$43,SUMPRODUCT((Skills!F2:F28=TRUE)*(C2990:C3016=TRUE)*Q2990:Q3016))</f>
        <v/>
      </c>
    </row>
    <row r="3024">
      <c r="A3024" t="inlineStr">
        <is>
          <t>Basic Attacks Per Second</t>
        </is>
      </c>
      <c r="B3024">
        <f>MAX(0,B3022-B3023)</f>
        <v/>
      </c>
    </row>
    <row r="3025">
      <c r="A3025" t="inlineStr">
        <is>
          <t>Meteor Proc — combined trigger cast rate</t>
        </is>
      </c>
      <c r="B3025">
        <f>IF(AND(Inputs!$B$38&lt;&gt;"pvp",Inputs!$B$43&gt;0),SUMPRODUCT((Skills!V2:V28=TRUE)*(C2990:C3016=TRUE)*R2990:R3016*Skills!W2:W28)/Inputs!$B$43,SUMPRODUCT((Skills!V2:V28=TRUE)*(C2990:C3016=TRUE)*Q2990:Q3016*Skills!W2:W28))+B3024</f>
        <v/>
      </c>
    </row>
    <row r="3026">
      <c r="A3026" t="inlineStr">
        <is>
          <t>Buff-Casting Startup Delay (s, fixed-duration only)</t>
        </is>
      </c>
      <c r="B3026">
        <f>IF(AND(Inputs!$B$38&lt;&gt;"pvp",Inputs!$B$43&gt;0),SUMPRODUCT((Skills!T2:T28&gt;0)*(Skills!F2:F28=TRUE)*(C2990:C3016=TRUE))/B3022,0)</f>
        <v/>
      </c>
    </row>
    <row r="3027">
      <c r="A3027" t="inlineStr">
        <is>
          <t>Boss-Only Total DPS (this block's swept value)</t>
        </is>
      </c>
      <c r="B3027">
        <f>SUM(S2990:S3016)</f>
        <v/>
      </c>
    </row>
    <row r="3028">
      <c r="A3028" t="inlineStr">
        <is>
          <t>Normal-Only Total DPS (this block's swept value)</t>
        </is>
      </c>
      <c r="B3028">
        <f>SUM(U2990:U3016)</f>
        <v/>
      </c>
    </row>
    <row r="3029">
      <c r="A3029" s="6" t="inlineStr">
        <is>
          <t>TOTAL DPS</t>
        </is>
      </c>
      <c r="B3029" s="6">
        <f>SUM(O2990:O3016)</f>
        <v/>
      </c>
    </row>
    <row r="3032">
      <c r="A3032" s="6" t="inlineStr">
        <is>
          <t>Stat: CDR = 3.5s</t>
        </is>
      </c>
    </row>
    <row r="3033">
      <c r="A3033" s="5" t="inlineStr">
        <is>
          <t>Key</t>
        </is>
      </c>
      <c r="B3033" s="5" t="inlineStr">
        <is>
          <t>Name</t>
        </is>
      </c>
      <c r="C3033" s="5" t="inlineStr">
        <is>
          <t>Unlocked</t>
        </is>
      </c>
      <c r="D3033" s="5" t="inlineStr">
        <is>
          <t>InputLevel</t>
        </is>
      </c>
      <c r="E3033" s="5" t="inlineStr">
        <is>
          <t>Factor</t>
        </is>
      </c>
      <c r="F3033" s="5" t="inlineStr">
        <is>
          <t>CoefficientPercent</t>
        </is>
      </c>
      <c r="G3033" s="5" t="inlineStr">
        <is>
          <t>EffectiveHits</t>
        </is>
      </c>
      <c r="H3033" s="5" t="inlineStr">
        <is>
          <t>ProcProbability</t>
        </is>
      </c>
      <c r="I3033" s="5" t="inlineStr">
        <is>
          <t>MapleHeroMultiplier</t>
        </is>
      </c>
      <c r="J3033" s="5" t="inlineStr">
        <is>
          <t>BaseDamage</t>
        </is>
      </c>
      <c r="K3033" s="5" t="inlineStr">
        <is>
          <t>BaseHitDamage</t>
        </is>
      </c>
      <c r="L3033" s="5" t="inlineStr">
        <is>
          <t>NonCritAvg</t>
        </is>
      </c>
      <c r="M3033" s="5" t="inlineStr">
        <is>
          <t>CritAvg</t>
        </is>
      </c>
      <c r="N3033" s="5" t="inlineStr">
        <is>
          <t>ExpectedDamage(perHit)</t>
        </is>
      </c>
      <c r="O3033" s="5" t="inlineStr">
        <is>
          <t>DPS</t>
        </is>
      </c>
      <c r="P3033" s="5" t="inlineStr">
        <is>
          <t>% of Total</t>
        </is>
      </c>
      <c r="R3033" t="inlineStr">
        <is>
          <t>helpers</t>
        </is>
      </c>
    </row>
    <row r="3034">
      <c r="A3034">
        <f>Skills!A2</f>
        <v/>
      </c>
      <c r="B3034">
        <f>Skills!B2</f>
        <v/>
      </c>
      <c r="C3034">
        <f>TRUE</f>
        <v/>
      </c>
      <c r="D3034" t="inlineStr"/>
      <c r="E3034" t="inlineStr"/>
      <c r="F3034">
        <f>T3036+Skills!O2</f>
        <v/>
      </c>
      <c r="G3034">
        <f>Calc!G2</f>
        <v/>
      </c>
      <c r="H3034">
        <f>Calc!H2</f>
        <v/>
      </c>
      <c r="I3034">
        <f>IF(Skills!X2&lt;&gt;"",1+(Skills!X2/10)*(Z3035/1000)/100,1)</f>
        <v/>
      </c>
      <c r="J3034">
        <f>((Inputs!$B$6*(1+Inputs!$B$7/100))+(((Inputs!$B$12*(1+Inputs!$B$13/100))-(Inputs!$B$12*(1+Inputs!$B$13/100)))+0.25*(Inputs!$B$14-Inputs!$B$14))*(1+Inputs!$B$7/100))*(F3034/100)</f>
        <v/>
      </c>
      <c r="K3034">
        <f>J3034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3034)</f>
        <v/>
      </c>
      <c r="L3034">
        <f>K3034*(MIN(Inputs!$B$22+(F3054-Calc!F22),(Inputs!$B$23+(IF(ArtifactsInput!$M$15,CHOOSE(ArtifactsInput!$N$15+1,25,30,35,40,45,50)/100*(Inputs!$B$11-Inputs!$B$11),0))))/100+(Inputs!$B$23+(IF(ArtifactsInput!$M$15,CHOOSE(ArtifactsInput!$N$15+1,25,30,35,40,45,50)/100*(Inputs!$B$11-Inputs!$B$11),0)))/100)/2</f>
        <v/>
      </c>
      <c r="M3034">
        <f>L3034*(1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4">
        <f>L3034*(1-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3034*(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4">
        <f>(1-Summary!$B$11)*S3034+Summary!$B$11*U3034</f>
        <v/>
      </c>
      <c r="P3034">
        <f>IF(B3073=0,0,O3034/B3073)</f>
        <v/>
      </c>
      <c r="Q3034">
        <f>IFERROR(1/(IF(Inputs!$B$38="pvp",15,MAX(0.1,Skills!E2-IF(Skills!F2=TRUE,3.5,0)))*(1-IF(AND(ArtifactsInput!$M$27,Inputs!$B$4="Chapter Hunt"),CHOOSE(ArtifactsInput!$N$27+1,20,24,28,32,36,40),0)/100)),0)</f>
        <v/>
      </c>
      <c r="R3034" t="n">
        <v>0</v>
      </c>
      <c r="S3034">
        <f>(Skills!G2*N3034*B3068)*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3034*(1-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3034*(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3034*(1-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3034*(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3034">
        <f>MAX(0,(Inputs!$B$3-100)*3)+Inputs!$B$28+Inputs!$B$29</f>
        <v/>
      </c>
      <c r="U3034">
        <f>(Skills!G2*N3034*B3068)*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3034">
        <f>MAX(0,(Inputs!$B$3-100)*3)+Inputs!$B$28+Inputs!$B$29</f>
        <v/>
      </c>
    </row>
    <row r="3035">
      <c r="A3035">
        <f>Skills!A3</f>
        <v/>
      </c>
      <c r="B3035">
        <f>Skills!B3</f>
        <v/>
      </c>
      <c r="C3035">
        <f>TRUE</f>
        <v/>
      </c>
      <c r="D3035">
        <f>IF(Skills!C3=1,60+Inputs!$B$25+Inputs!$B$29,IF(Skills!C3=2,90+Inputs!$B$26+Inputs!$B$29,IF(Skills!C3=3,120+Inputs!$B$27+Inputs!$B$29,MAX(0,(Inputs!$B$3-100)*3)+Inputs!$B$28+Inputs!$B$29)))</f>
        <v/>
      </c>
      <c r="E3035">
        <f>INDEX(FactorTable!$B$2:$Y$301, MATCH(ROUND(MIN(300,MAX(1,D3035)),0), FactorTable!$A$2:$A$301,0), Skills!M3+1)</f>
        <v/>
      </c>
      <c r="F3035">
        <f>IF(Skills!N3=TRUE,(Skills!L3/10)*(E3035/1000),Skills!L3/10)+Skills!O3</f>
        <v/>
      </c>
      <c r="G3035">
        <f>Calc!G3</f>
        <v/>
      </c>
      <c r="H3035">
        <f>Calc!H3</f>
        <v/>
      </c>
      <c r="I3035">
        <f>IF(Skills!X3&lt;&gt;"",1+(Skills!X3/10)*(Z3035/1000)/100,1)</f>
        <v/>
      </c>
      <c r="J3035">
        <f>((Inputs!$B$6*(1+Inputs!$B$7/100))+(((Inputs!$B$12*(1+Inputs!$B$13/100))-(Inputs!$B$12*(1+Inputs!$B$13/100)))+0.25*(Inputs!$B$14-Inputs!$B$14))*(1+Inputs!$B$7/100))*(F3035/100)</f>
        <v/>
      </c>
      <c r="K3035">
        <f>J3035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3035)</f>
        <v/>
      </c>
      <c r="L3035">
        <f>K3035*(MIN(Inputs!$B$22+(F3054-Calc!F22),(Inputs!$B$23+(IF(ArtifactsInput!$M$15,CHOOSE(ArtifactsInput!$N$15+1,25,30,35,40,45,50)/100*(Inputs!$B$11-Inputs!$B$11),0))))/100+(Inputs!$B$23+(IF(ArtifactsInput!$M$15,CHOOSE(ArtifactsInput!$N$15+1,25,30,35,40,45,50)/100*(Inputs!$B$11-Inputs!$B$11),0)))/100)/2</f>
        <v/>
      </c>
      <c r="M3035">
        <f>L3035*(1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5">
        <f>L3035*(1-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3035*(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5">
        <f>(1-Summary!$B$11)*S3035+Summary!$B$11*U3035</f>
        <v/>
      </c>
      <c r="P3035">
        <f>IF(B3073=0,0,O3035/B3073)</f>
        <v/>
      </c>
      <c r="Q3035">
        <f>IFERROR(1/(IF(Inputs!$B$38="pvp",15,MAX(0.1,Skills!E3-IF(Skills!F3=TRUE,3.5,0)))*(1-IF(AND(ArtifactsInput!$M$27,Inputs!$B$4="Chapter Hunt"),CHOOSE(ArtifactsInput!$N$27+1,20,24,28,32,36,40),0)/100)),0)</f>
        <v/>
      </c>
      <c r="R3035">
        <f>IF(AND(Inputs!$B$38&lt;&gt;"pvp",Inputs!$B$43&gt;0),IF(MAX(0,Inputs!$B$43-B3070)&lt;=0,0,(INT(MAX(0,Inputs!$B$43-B3070)/(IF(Inputs!$B$38="pvp",15,MAX(0.1,Skills!E3-IF(Skills!F3=TRUE,3.5,0)))*(1-IF(AND(ArtifactsInput!$M$27,Inputs!$B$4="Chapter Hunt"),CHOOSE(ArtifactsInput!$N$27+1,20,24,28,32,36,40),0)/100)))+1)),0)</f>
        <v/>
      </c>
      <c r="S3035">
        <f>IF(C3035,(H3035*N3035*IF(AND(Inputs!$B$38&lt;&gt;"pvp",Inputs!$B$43&gt;0),((Skills!G3*((R3035-1)*IF(Skills!H3&gt;0,Skills!I3/Skills!H3,1)+IF(Skills!H3&gt;0,MIN(Skills!I3,MAX(0,MAX(0,Inputs!$B$43-B3070)-((R3035-1)*(IF(Inputs!$B$38="pvp",15,MAX(0.1,Skills!E3-IF(Skills!F3=TRUE,3.5,0)))*(1-IF(AND(ArtifactsInput!$M$27,Inputs!$B$4="Chapter Hunt"),CHOOSE(ArtifactsInput!$N$27+1,20,24,28,32,36,40),0)/100)))))/Skills!H3,1)))/Inputs!$B$43),G3035*Q3035))*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3035*(1-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3035*(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3035*(1-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3035*(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035">
        <f>INDEX(FactorTable!$B$2:$Y$301, MATCH(ROUND(MIN(300,MAX(1,T3034)),0), FactorTable!$A$2:$A$301,0), 22)</f>
        <v/>
      </c>
      <c r="U3035">
        <f>IF(C3035,(H3035*N3035*IF(AND(Inputs!$B$38&lt;&gt;"pvp",Inputs!$B$43&gt;0),((Skills!G3*((R3035-1)*IF(Skills!H3&gt;0,Skills!I3/Skills!H3,1)+IF(Skills!H3&gt;0,MIN(Skills!I3,MAX(0,MAX(0,Inputs!$B$43-B3070)-((R3035-1)*(IF(Inputs!$B$38="pvp",15,MAX(0.1,Skills!E3-IF(Skills!F3=TRUE,3.5,0)))*(1-IF(AND(ArtifactsInput!$M$27,Inputs!$B$4="Chapter Hunt"),CHOOSE(ArtifactsInput!$N$27+1,20,24,28,32,36,40),0)/100)))))/Skills!H3,1)))/Inputs!$B$43),G3035*Q3035))*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035">
        <f>INDEX(FactorTable!$B$2:$Y$301, MATCH(ROUND(MIN(300,MAX(1,Z3034)),0), FactorTable!$A$2:$A$301,0), 24)</f>
        <v/>
      </c>
    </row>
    <row r="3036">
      <c r="A3036">
        <f>Skills!A4</f>
        <v/>
      </c>
      <c r="B3036">
        <f>Skills!B4</f>
        <v/>
      </c>
      <c r="C3036">
        <f>TRUE</f>
        <v/>
      </c>
      <c r="D3036">
        <f>IF(Skills!C4=1,60+Inputs!$B$25+Inputs!$B$29,IF(Skills!C4=2,90+Inputs!$B$26+Inputs!$B$29,IF(Skills!C4=3,120+Inputs!$B$27+Inputs!$B$29,MAX(0,(Inputs!$B$3-100)*3)+Inputs!$B$28+Inputs!$B$29)))</f>
        <v/>
      </c>
      <c r="E3036">
        <f>INDEX(FactorTable!$B$2:$Y$301, MATCH(ROUND(MIN(300,MAX(1,D3036)),0), FactorTable!$A$2:$A$301,0), Skills!M4+1)</f>
        <v/>
      </c>
      <c r="F3036">
        <f>IF(Skills!N4=TRUE,(Skills!L4/10)*(E3036/1000),Skills!L4/10)+Skills!O4</f>
        <v/>
      </c>
      <c r="G3036">
        <f>Calc!G4</f>
        <v/>
      </c>
      <c r="H3036">
        <f>Calc!H4</f>
        <v/>
      </c>
      <c r="I3036">
        <f>IF(Skills!X4&lt;&gt;"",1+(Skills!X4/10)*(Z3035/1000)/100,1)</f>
        <v/>
      </c>
      <c r="J3036">
        <f>((Inputs!$B$6*(1+Inputs!$B$7/100))+(((Inputs!$B$12*(1+Inputs!$B$13/100))-(Inputs!$B$12*(1+Inputs!$B$13/100)))+0.25*(Inputs!$B$14-Inputs!$B$14))*(1+Inputs!$B$7/100))*(F3036/100)</f>
        <v/>
      </c>
      <c r="K3036">
        <f>J3036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3036)</f>
        <v/>
      </c>
      <c r="L3036">
        <f>K3036*(MIN(Inputs!$B$22+(F3054-Calc!F22),(Inputs!$B$23+(IF(ArtifactsInput!$M$15,CHOOSE(ArtifactsInput!$N$15+1,25,30,35,40,45,50)/100*(Inputs!$B$11-Inputs!$B$11),0))))/100+(Inputs!$B$23+(IF(ArtifactsInput!$M$15,CHOOSE(ArtifactsInput!$N$15+1,25,30,35,40,45,50)/100*(Inputs!$B$11-Inputs!$B$11),0)))/100)/2</f>
        <v/>
      </c>
      <c r="M3036">
        <f>L3036*(1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6">
        <f>L3036*(1-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3036*(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6">
        <f>(1-Summary!$B$11)*S3036+Summary!$B$11*U3036</f>
        <v/>
      </c>
      <c r="P3036">
        <f>IF(B3073=0,0,O3036/B3073)</f>
        <v/>
      </c>
      <c r="Q3036">
        <f>IFERROR(1/(IF(Inputs!$B$38="pvp",15,MAX(0.1,Skills!E4-IF(Skills!F4=TRUE,3.5,0)))*(1-IF(AND(ArtifactsInput!$M$27,Inputs!$B$4="Chapter Hunt"),CHOOSE(ArtifactsInput!$N$27+1,20,24,28,32,36,40),0)/100)),0)</f>
        <v/>
      </c>
      <c r="R3036">
        <f>IF(AND(Inputs!$B$38&lt;&gt;"pvp",Inputs!$B$43&gt;0),IF(MAX(0,Inputs!$B$43-B3070)&lt;=0,0,(INT(MAX(0,Inputs!$B$43-B3070)/(IF(Inputs!$B$38="pvp",15,MAX(0.1,Skills!E4-IF(Skills!F4=TRUE,3.5,0)))*(1-IF(AND(ArtifactsInput!$M$27,Inputs!$B$4="Chapter Hunt"),CHOOSE(ArtifactsInput!$N$27+1,20,24,28,32,36,40),0)/100)))+1)),0)</f>
        <v/>
      </c>
      <c r="S3036">
        <f>IF(C3036,(H3036*N3036*IF(AND(Inputs!$B$38&lt;&gt;"pvp",Inputs!$B$43&gt;0),((Skills!G4*((R3036-1)*IF(Skills!H4&gt;0,Skills!I4/Skills!H4,1)+IF(Skills!H4&gt;0,MIN(Skills!I4,MAX(0,MAX(0,Inputs!$B$43-B3070)-((R3036-1)*(IF(Inputs!$B$38="pvp",15,MAX(0.1,Skills!E4-IF(Skills!F4=TRUE,3.5,0)))*(1-IF(AND(ArtifactsInput!$M$27,Inputs!$B$4="Chapter Hunt"),CHOOSE(ArtifactsInput!$N$27+1,20,24,28,32,36,40),0)/100)))))/Skills!H4,1)))/Inputs!$B$43),G3036*Q3036))*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3036*(1-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3036*(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3036*(1-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3036*(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036">
        <f>290*T3035/1000</f>
        <v/>
      </c>
      <c r="U3036">
        <f>IF(C3036,(H3036*N3036*IF(AND(Inputs!$B$38&lt;&gt;"pvp",Inputs!$B$43&gt;0),((Skills!G4*((R3036-1)*IF(Skills!H4&gt;0,Skills!I4/Skills!H4,1)+IF(Skills!H4&gt;0,MIN(Skills!I4,MAX(0,MAX(0,Inputs!$B$43-B3070)-((R3036-1)*(IF(Inputs!$B$38="pvp",15,MAX(0.1,Skills!E4-IF(Skills!F4=TRUE,3.5,0)))*(1-IF(AND(ArtifactsInput!$M$27,Inputs!$B$4="Chapter Hunt"),CHOOSE(ArtifactsInput!$N$27+1,20,24,28,32,36,40),0)/100)))))/Skills!H4,1)))/Inputs!$B$43),G3036*Q3036))*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7">
      <c r="A3037">
        <f>Skills!A5</f>
        <v/>
      </c>
      <c r="B3037">
        <f>Skills!B5</f>
        <v/>
      </c>
      <c r="C3037">
        <f>TRUE</f>
        <v/>
      </c>
      <c r="D3037">
        <f>IF(Skills!C5=1,60+Inputs!$B$25+Inputs!$B$29,IF(Skills!C5=2,90+Inputs!$B$26+Inputs!$B$29,IF(Skills!C5=3,120+Inputs!$B$27+Inputs!$B$29,MAX(0,(Inputs!$B$3-100)*3)+Inputs!$B$28+Inputs!$B$29)))</f>
        <v/>
      </c>
      <c r="E3037">
        <f>INDEX(FactorTable!$B$2:$Y$301, MATCH(ROUND(MIN(300,MAX(1,D3037)),0), FactorTable!$A$2:$A$301,0), Skills!M5+1)</f>
        <v/>
      </c>
      <c r="F3037">
        <f>IF(Skills!N5=TRUE,(Skills!L5/10)*(E3037/1000),Skills!L5/10)+Skills!O5</f>
        <v/>
      </c>
      <c r="G3037">
        <f>Calc!G5</f>
        <v/>
      </c>
      <c r="H3037">
        <f>Calc!H5</f>
        <v/>
      </c>
      <c r="I3037">
        <f>IF(Skills!X5&lt;&gt;"",1+(Skills!X5/10)*(Z3035/1000)/100,1)</f>
        <v/>
      </c>
      <c r="J3037">
        <f>((Inputs!$B$6*(1+Inputs!$B$7/100))+(((Inputs!$B$12*(1+Inputs!$B$13/100))-(Inputs!$B$12*(1+Inputs!$B$13/100)))+0.25*(Inputs!$B$14-Inputs!$B$14))*(1+Inputs!$B$7/100))*(F3037/100)</f>
        <v/>
      </c>
      <c r="K3037">
        <f>J3037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3037)</f>
        <v/>
      </c>
      <c r="L3037">
        <f>K3037*(MIN(Inputs!$B$22+(F3054-Calc!F22),(Inputs!$B$23+(IF(ArtifactsInput!$M$15,CHOOSE(ArtifactsInput!$N$15+1,25,30,35,40,45,50)/100*(Inputs!$B$11-Inputs!$B$11),0))))/100+(Inputs!$B$23+(IF(ArtifactsInput!$M$15,CHOOSE(ArtifactsInput!$N$15+1,25,30,35,40,45,50)/100*(Inputs!$B$11-Inputs!$B$11),0)))/100)/2</f>
        <v/>
      </c>
      <c r="M3037">
        <f>L3037*(1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7">
        <f>L3037*(1-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3037*(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7">
        <f>(1-Summary!$B$11)*S3037+Summary!$B$11*U3037</f>
        <v/>
      </c>
      <c r="P3037">
        <f>IF(B3073=0,0,O3037/B3073)</f>
        <v/>
      </c>
      <c r="Q3037">
        <f>IFERROR(1/(IF(Inputs!$B$38="pvp",15,MAX(0.1,Skills!E5-IF(Skills!F5=TRUE,3.5,0)))*(1-IF(AND(ArtifactsInput!$M$27,Inputs!$B$4="Chapter Hunt"),CHOOSE(ArtifactsInput!$N$27+1,20,24,28,32,36,40),0)/100)),0)</f>
        <v/>
      </c>
      <c r="R3037">
        <f>IF(AND(Inputs!$B$38&lt;&gt;"pvp",Inputs!$B$43&gt;0),IF(MAX(0,Inputs!$B$43-B3070)&lt;=0,0,(INT(MAX(0,Inputs!$B$43-B3070)/(IF(Inputs!$B$38="pvp",15,MAX(0.1,Skills!E5-IF(Skills!F5=TRUE,3.5,0)))*(1-IF(AND(ArtifactsInput!$M$27,Inputs!$B$4="Chapter Hunt"),CHOOSE(ArtifactsInput!$N$27+1,20,24,28,32,36,40),0)/100)))+1)),0)</f>
        <v/>
      </c>
      <c r="S3037">
        <f>IF(C3037,(H3037*N3037*IF(AND(Inputs!$B$38&lt;&gt;"pvp",Inputs!$B$43&gt;0),((Skills!G5*((R3037-1)*IF(Skills!H5&gt;0,Skills!I5/Skills!H5,1)+IF(Skills!H5&gt;0,MIN(Skills!I5,MAX(0,MAX(0,Inputs!$B$43-B3070)-((R3037-1)*(IF(Inputs!$B$38="pvp",15,MAX(0.1,Skills!E5-IF(Skills!F5=TRUE,3.5,0)))*(1-IF(AND(ArtifactsInput!$M$27,Inputs!$B$4="Chapter Hunt"),CHOOSE(ArtifactsInput!$N$27+1,20,24,28,32,36,40),0)/100)))))/Skills!H5,1)))/Inputs!$B$43),G3037*Q3037))*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3037*(1-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3037*(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3037*(1-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3037*(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37">
        <f>IF(C3037,(H3037*N3037*IF(AND(Inputs!$B$38&lt;&gt;"pvp",Inputs!$B$43&gt;0),((Skills!G5*((R3037-1)*IF(Skills!H5&gt;0,Skills!I5/Skills!H5,1)+IF(Skills!H5&gt;0,MIN(Skills!I5,MAX(0,MAX(0,Inputs!$B$43-B3070)-((R3037-1)*(IF(Inputs!$B$38="pvp",15,MAX(0.1,Skills!E5-IF(Skills!F5=TRUE,3.5,0)))*(1-IF(AND(ArtifactsInput!$M$27,Inputs!$B$4="Chapter Hunt"),CHOOSE(ArtifactsInput!$N$27+1,20,24,28,32,36,40),0)/100)))))/Skills!H5,1)))/Inputs!$B$43),G3037*Q3037))*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8">
      <c r="A3038">
        <f>Skills!A6</f>
        <v/>
      </c>
      <c r="B3038">
        <f>Skills!B6</f>
        <v/>
      </c>
      <c r="C3038">
        <f>TRUE</f>
        <v/>
      </c>
      <c r="D3038">
        <f>IF(Skills!C6=1,60+Inputs!$B$25+Inputs!$B$29,IF(Skills!C6=2,90+Inputs!$B$26+Inputs!$B$29,IF(Skills!C6=3,120+Inputs!$B$27+Inputs!$B$29,MAX(0,(Inputs!$B$3-100)*3)+Inputs!$B$28+Inputs!$B$29)))</f>
        <v/>
      </c>
      <c r="E3038">
        <f>INDEX(FactorTable!$B$2:$Y$301, MATCH(ROUND(MIN(300,MAX(1,D3038)),0), FactorTable!$A$2:$A$301,0), Skills!M6+1)</f>
        <v/>
      </c>
      <c r="F3038">
        <f>IF(Skills!N6=TRUE,(Skills!L6/10)*(E3038/1000),Skills!L6/10)+Skills!O6</f>
        <v/>
      </c>
      <c r="G3038">
        <f>Calc!G6</f>
        <v/>
      </c>
      <c r="H3038">
        <f>Calc!H6</f>
        <v/>
      </c>
      <c r="I3038">
        <f>IF(Skills!X6&lt;&gt;"",1+(Skills!X6/10)*(Z3035/1000)/100,1)</f>
        <v/>
      </c>
      <c r="J3038" t="inlineStr"/>
      <c r="K3038" t="inlineStr"/>
      <c r="L3038" t="inlineStr"/>
      <c r="M3038" t="inlineStr"/>
      <c r="N3038" t="inlineStr"/>
      <c r="O3038">
        <f>(1-Summary!$B$11)*S3038+Summary!$B$11*U3038</f>
        <v/>
      </c>
      <c r="P3038">
        <f>IF(B3073=0,0,O3038/B3073)</f>
        <v/>
      </c>
      <c r="Q3038">
        <f>IFERROR(1/(IF(Inputs!$B$38="pvp",15,MAX(0.1,Skills!E6-IF(Skills!F6=TRUE,3.5,0)))*(1-IF(AND(ArtifactsInput!$M$27,Inputs!$B$4="Chapter Hunt"),CHOOSE(ArtifactsInput!$N$27+1,20,24,28,32,36,40),0)/100)),0)</f>
        <v/>
      </c>
      <c r="R3038">
        <f>IF(AND(Inputs!$B$38&lt;&gt;"pvp",Inputs!$B$43&gt;0),IF(Inputs!$B$43&lt;=0,0,(INT(Inputs!$B$43/(IF(Inputs!$B$38="pvp",15,MAX(0.1,Skills!E6-IF(Skills!F6=TRUE,3.5,0)))*(1-IF(AND(ArtifactsInput!$M$27,Inputs!$B$4="Chapter Hunt"),CHOOSE(ArtifactsInput!$N$27+1,20,24,28,32,36,40),0)/100)))+1)),0)</f>
        <v/>
      </c>
      <c r="S3038" t="n">
        <v>0</v>
      </c>
      <c r="U3038" t="n">
        <v>0</v>
      </c>
    </row>
    <row r="3039">
      <c r="A3039">
        <f>Skills!A7</f>
        <v/>
      </c>
      <c r="B3039">
        <f>Skills!B7</f>
        <v/>
      </c>
      <c r="C3039">
        <f>TRUE</f>
        <v/>
      </c>
      <c r="D3039">
        <f>IF(Skills!C7=1,60+Inputs!$B$25+Inputs!$B$29,IF(Skills!C7=2,90+Inputs!$B$26+Inputs!$B$29,IF(Skills!C7=3,120+Inputs!$B$27+Inputs!$B$29,MAX(0,(Inputs!$B$3-100)*3)+Inputs!$B$28+Inputs!$B$29)))</f>
        <v/>
      </c>
      <c r="E3039">
        <f>INDEX(FactorTable!$B$2:$Y$301, MATCH(ROUND(MIN(300,MAX(1,D3039)),0), FactorTable!$A$2:$A$301,0), Skills!M7+1)</f>
        <v/>
      </c>
      <c r="F3039">
        <f>IF(Skills!N7=TRUE,(Skills!L7/10)*(E3039/1000),Skills!L7/10)+Skills!O7</f>
        <v/>
      </c>
      <c r="G3039">
        <f>Calc!G7</f>
        <v/>
      </c>
      <c r="H3039">
        <f>Calc!H7</f>
        <v/>
      </c>
      <c r="I3039">
        <f>IF(Skills!X7&lt;&gt;"",1+(Skills!X7/10)*(Z3035/1000)/100,1)</f>
        <v/>
      </c>
      <c r="J3039">
        <f>((Inputs!$B$6*(1+Inputs!$B$7/100))+(((Inputs!$B$12*(1+Inputs!$B$13/100))-(Inputs!$B$12*(1+Inputs!$B$13/100)))+0.25*(Inputs!$B$14-Inputs!$B$14))*(1+Inputs!$B$7/100))*(F3039/100)</f>
        <v/>
      </c>
      <c r="K3039">
        <f>J3039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3039)</f>
        <v/>
      </c>
      <c r="L3039">
        <f>K3039*(MIN(Inputs!$B$22+(F3054-Calc!F22),(Inputs!$B$23+(IF(ArtifactsInput!$M$15,CHOOSE(ArtifactsInput!$N$15+1,25,30,35,40,45,50)/100*(Inputs!$B$11-Inputs!$B$11),0))))/100+(Inputs!$B$23+(IF(ArtifactsInput!$M$15,CHOOSE(ArtifactsInput!$N$15+1,25,30,35,40,45,50)/100*(Inputs!$B$11-Inputs!$B$11),0)))/100)/2</f>
        <v/>
      </c>
      <c r="M3039">
        <f>L3039*(1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9">
        <f>L3039*(1-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3039*(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9">
        <f>(1-Summary!$B$11)*S3039+Summary!$B$11*U3039</f>
        <v/>
      </c>
      <c r="P3039">
        <f>IF(B3073=0,0,O3039/B3073)</f>
        <v/>
      </c>
      <c r="Q3039">
        <f>IFERROR(1/(IF(Inputs!$B$38="pvp",15,MAX(0.1,Skills!E7-IF(Skills!F7=TRUE,3.5,0)))*(1-IF(AND(ArtifactsInput!$M$27,Inputs!$B$4="Chapter Hunt"),CHOOSE(ArtifactsInput!$N$27+1,20,24,28,32,36,40),0)/100)),0)</f>
        <v/>
      </c>
      <c r="R3039">
        <f>IF(AND(Inputs!$B$38&lt;&gt;"pvp",Inputs!$B$43&gt;0),IF(MAX(0,Inputs!$B$43-B3070)&lt;=0,0,(INT(MAX(0,Inputs!$B$43-B3070)/(IF(Inputs!$B$38="pvp",15,MAX(0.1,Skills!E7-IF(Skills!F7=TRUE,3.5,0)))*(1-IF(AND(ArtifactsInput!$M$27,Inputs!$B$4="Chapter Hunt"),CHOOSE(ArtifactsInput!$N$27+1,20,24,28,32,36,40),0)/100)))+1)),0)</f>
        <v/>
      </c>
      <c r="S3039">
        <f>IF(C3039,(H3039*N3039*IF(AND(Inputs!$B$38&lt;&gt;"pvp",Inputs!$B$43&gt;0),((Skills!G7*((R3039-1)*IF(Skills!H7&gt;0,Skills!I7/Skills!H7,1)+IF(Skills!H7&gt;0,MIN(Skills!I7,MAX(0,MAX(0,Inputs!$B$43-B3070)-((R3039-1)*(IF(Inputs!$B$38="pvp",15,MAX(0.1,Skills!E7-IF(Skills!F7=TRUE,3.5,0)))*(1-IF(AND(ArtifactsInput!$M$27,Inputs!$B$4="Chapter Hunt"),CHOOSE(ArtifactsInput!$N$27+1,20,24,28,32,36,40),0)/100)))))/Skills!H7,1)))/Inputs!$B$43),G3039*Q3039))*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3039*(1-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3039*(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3039*(1-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3039*(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39">
        <f>IF(C3039,(H3039*N3039*IF(AND(Inputs!$B$38&lt;&gt;"pvp",Inputs!$B$43&gt;0),((Skills!G7*((R3039-1)*IF(Skills!H7&gt;0,Skills!I7/Skills!H7,1)+IF(Skills!H7&gt;0,MIN(Skills!I7,MAX(0,MAX(0,Inputs!$B$43-B3070)-((R3039-1)*(IF(Inputs!$B$38="pvp",15,MAX(0.1,Skills!E7-IF(Skills!F7=TRUE,3.5,0)))*(1-IF(AND(ArtifactsInput!$M$27,Inputs!$B$4="Chapter Hunt"),CHOOSE(ArtifactsInput!$N$27+1,20,24,28,32,36,40),0)/100)))))/Skills!H7,1)))/Inputs!$B$43),G3039*Q3039))*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0">
      <c r="A3040">
        <f>Skills!A8</f>
        <v/>
      </c>
      <c r="B3040">
        <f>Skills!B8</f>
        <v/>
      </c>
      <c r="C3040">
        <f>TRUE</f>
        <v/>
      </c>
      <c r="D3040">
        <f>IF(Skills!C8=1,60+Inputs!$B$25+Inputs!$B$29,IF(Skills!C8=2,90+Inputs!$B$26+Inputs!$B$29,IF(Skills!C8=3,120+Inputs!$B$27+Inputs!$B$29,MAX(0,(Inputs!$B$3-100)*3)+Inputs!$B$28+Inputs!$B$29)))</f>
        <v/>
      </c>
      <c r="E3040">
        <f>INDEX(FactorTable!$B$2:$Y$301, MATCH(ROUND(MIN(300,MAX(1,D3040)),0), FactorTable!$A$2:$A$301,0), Skills!M8+1)</f>
        <v/>
      </c>
      <c r="F3040">
        <f>IF(Skills!N8=TRUE,(Skills!L8/10)*(E3040/1000),Skills!L8/10)+Skills!O8</f>
        <v/>
      </c>
      <c r="G3040">
        <f>Calc!G8</f>
        <v/>
      </c>
      <c r="H3040">
        <f>Calc!H8</f>
        <v/>
      </c>
      <c r="I3040">
        <f>IF(Skills!X8&lt;&gt;"",1+(Skills!X8/10)*(Z3035/1000)/100,1)</f>
        <v/>
      </c>
      <c r="J3040">
        <f>((Inputs!$B$6*(1+Inputs!$B$7/100))+(((Inputs!$B$12*(1+Inputs!$B$13/100))-(Inputs!$B$12*(1+Inputs!$B$13/100)))+0.25*(Inputs!$B$14-Inputs!$B$14))*(1+Inputs!$B$7/100))*(F3040/100)</f>
        <v/>
      </c>
      <c r="K3040">
        <f>J3040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3040)</f>
        <v/>
      </c>
      <c r="L3040">
        <f>K3040*(MIN(Inputs!$B$22+(F3054-Calc!F22),(Inputs!$B$23+(IF(ArtifactsInput!$M$15,CHOOSE(ArtifactsInput!$N$15+1,25,30,35,40,45,50)/100*(Inputs!$B$11-Inputs!$B$11),0))))/100+(Inputs!$B$23+(IF(ArtifactsInput!$M$15,CHOOSE(ArtifactsInput!$N$15+1,25,30,35,40,45,50)/100*(Inputs!$B$11-Inputs!$B$11),0)))/100)/2</f>
        <v/>
      </c>
      <c r="M3040">
        <f>L3040*(1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0">
        <f>L3040*(1-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3040*(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0">
        <f>(1-Summary!$B$11)*S3040+Summary!$B$11*U3040</f>
        <v/>
      </c>
      <c r="P3040">
        <f>IF(B3073=0,0,O3040/B3073)</f>
        <v/>
      </c>
      <c r="Q3040">
        <f>IFERROR(1/(IF(Inputs!$B$38="pvp",15,MAX(0.1,Skills!E8-IF(Skills!F8=TRUE,3.5,0)))*(1-IF(AND(ArtifactsInput!$M$27,Inputs!$B$4="Chapter Hunt"),CHOOSE(ArtifactsInput!$N$27+1,20,24,28,32,36,40),0)/100)),0)</f>
        <v/>
      </c>
      <c r="R3040">
        <f>IF(AND(Inputs!$B$38&lt;&gt;"pvp",Inputs!$B$43&gt;0),IF(MAX(0,Inputs!$B$43-B3070)&lt;=0,0,(INT(MAX(0,Inputs!$B$43-B3070)/(IF(Inputs!$B$38="pvp",15,MAX(0.1,Skills!E8-IF(Skills!F8=TRUE,3.5,0)))*(1-IF(AND(ArtifactsInput!$M$27,Inputs!$B$4="Chapter Hunt"),CHOOSE(ArtifactsInput!$N$27+1,20,24,28,32,36,40),0)/100)))+1)),0)</f>
        <v/>
      </c>
      <c r="S3040">
        <f>IF(C3040,(H3040*N3040*IF(AND(Inputs!$B$38&lt;&gt;"pvp",Inputs!$B$43&gt;0),((Skills!G8*((R3040-1)*IF(Skills!H8&gt;0,Skills!I8/Skills!H8,1)+IF(Skills!H8&gt;0,MIN(Skills!I8,MAX(0,MAX(0,Inputs!$B$43-B3070)-((R3040-1)*(IF(Inputs!$B$38="pvp",15,MAX(0.1,Skills!E8-IF(Skills!F8=TRUE,3.5,0)))*(1-IF(AND(ArtifactsInput!$M$27,Inputs!$B$4="Chapter Hunt"),CHOOSE(ArtifactsInput!$N$27+1,20,24,28,32,36,40),0)/100)))))/Skills!H8,1)))/Inputs!$B$43),G3040*Q3040))*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3040*(1-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3040*(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3040*(1-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3040*(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0">
        <f>IF(C3040,(H3040*N3040*IF(AND(Inputs!$B$38&lt;&gt;"pvp",Inputs!$B$43&gt;0),((Skills!G8*((R3040-1)*IF(Skills!H8&gt;0,Skills!I8/Skills!H8,1)+IF(Skills!H8&gt;0,MIN(Skills!I8,MAX(0,MAX(0,Inputs!$B$43-B3070)-((R3040-1)*(IF(Inputs!$B$38="pvp",15,MAX(0.1,Skills!E8-IF(Skills!F8=TRUE,3.5,0)))*(1-IF(AND(ArtifactsInput!$M$27,Inputs!$B$4="Chapter Hunt"),CHOOSE(ArtifactsInput!$N$27+1,20,24,28,32,36,40),0)/100)))))/Skills!H8,1)))/Inputs!$B$43),G3040*Q3040))*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1">
      <c r="A3041">
        <f>Skills!A9</f>
        <v/>
      </c>
      <c r="B3041">
        <f>Skills!B9</f>
        <v/>
      </c>
      <c r="C3041">
        <f>Inputs!$B$3&gt;=103</f>
        <v/>
      </c>
      <c r="D3041">
        <f>IF(Skills!C9=1,60+Inputs!$B$25+Inputs!$B$29,IF(Skills!C9=2,90+Inputs!$B$26+Inputs!$B$29,IF(Skills!C9=3,120+Inputs!$B$27+Inputs!$B$29,MAX(0,(Inputs!$B$3-100)*3)+Inputs!$B$28+Inputs!$B$29)))</f>
        <v/>
      </c>
      <c r="E3041">
        <f>INDEX(FactorTable!$B$2:$Y$301, MATCH(ROUND(MIN(300,MAX(1,D3041)),0), FactorTable!$A$2:$A$301,0), Skills!M9+1)</f>
        <v/>
      </c>
      <c r="F3041">
        <f>IF(Skills!N9=TRUE,(Skills!L9/10)*(E3041/1000),Skills!L9/10)+Skills!O9</f>
        <v/>
      </c>
      <c r="G3041">
        <f>Calc!G9</f>
        <v/>
      </c>
      <c r="H3041">
        <f>Calc!H9</f>
        <v/>
      </c>
      <c r="I3041">
        <f>IF(Skills!X9&lt;&gt;"",1+(Skills!X9/10)*(Z3035/1000)/100,1)</f>
        <v/>
      </c>
      <c r="J3041">
        <f>((Inputs!$B$6*(1+Inputs!$B$7/100))+(((Inputs!$B$12*(1+Inputs!$B$13/100))-(Inputs!$B$12*(1+Inputs!$B$13/100)))+0.25*(Inputs!$B$14-Inputs!$B$14))*(1+Inputs!$B$7/100))*(F3041/100)</f>
        <v/>
      </c>
      <c r="K3041">
        <f>J3041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3041)</f>
        <v/>
      </c>
      <c r="L3041">
        <f>K3041*(MIN(Inputs!$B$22+(F3054-Calc!F22),(Inputs!$B$23+(IF(ArtifactsInput!$M$15,CHOOSE(ArtifactsInput!$N$15+1,25,30,35,40,45,50)/100*(Inputs!$B$11-Inputs!$B$11),0))))/100+(Inputs!$B$23+(IF(ArtifactsInput!$M$15,CHOOSE(ArtifactsInput!$N$15+1,25,30,35,40,45,50)/100*(Inputs!$B$11-Inputs!$B$11),0)))/100)/2</f>
        <v/>
      </c>
      <c r="M3041">
        <f>L3041*(1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1">
        <f>L3041*(1-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1">
        <f>(1-Summary!$B$11)*S3041+Summary!$B$11*U3041</f>
        <v/>
      </c>
      <c r="P3041">
        <f>IF(B3073=0,0,O3041/B3073)</f>
        <v/>
      </c>
      <c r="Q3041">
        <f>IFERROR(1/(IF(Inputs!$B$38="pvp",15,MAX(0.1,Skills!E9-IF(Skills!F7=TRUE,3.5,0)))*(1-IF(AND(ArtifactsInput!$M$27,Inputs!$B$4="Chapter Hunt"),CHOOSE(ArtifactsInput!$N$27+1,20,24,28,32,36,40),0)/100)),0)</f>
        <v/>
      </c>
      <c r="R3041">
        <f>IF(AND(Inputs!$B$38&lt;&gt;"pvp",Inputs!$B$43&gt;0),IF(MAX(0,Inputs!$B$43-B3070)&lt;=0,0,(INT(MAX(0,Inputs!$B$43-B3070)/(IF(Inputs!$B$38="pvp",15,MAX(0.1,Skills!E9-IF(Skills!F7=TRUE,3.5,0)))*(1-IF(AND(ArtifactsInput!$M$27,Inputs!$B$4="Chapter Hunt"),CHOOSE(ArtifactsInput!$N$27+1,20,24,28,32,36,40),0)/100)))+1)),0)</f>
        <v/>
      </c>
      <c r="S3041">
        <f>IF(C3041,(H3041*N3041*IF(AND(Inputs!$B$38&lt;&gt;"pvp",Inputs!$B$43&gt;0),((Skills!G9*((R3041-1)*IF(Skills!H9&gt;0,Skills!I9/Skills!H9,1)+IF(Skills!H9&gt;0,MIN(Skills!I9,MAX(0,MAX(0,Inputs!$B$43-B3070)-((R3041-1)*(IF(Inputs!$B$38="pvp",15,MAX(0.1,Skills!E9-IF(Skills!F7=TRUE,3.5,0)))*(1-IF(AND(ArtifactsInput!$M$27,Inputs!$B$4="Chapter Hunt"),CHOOSE(ArtifactsInput!$N$27+1,20,24,28,32,36,40),0)/100)))))/Skills!H9,1)))/Inputs!$B$43),G3041*Q3041))*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3041*(1-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3041*(1-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1">
        <f>IF(C3041,(H3041*N3041*IF(AND(Inputs!$B$38&lt;&gt;"pvp",Inputs!$B$43&gt;0),((Skills!G9*((R3041-1)*IF(Skills!H9&gt;0,Skills!I9/Skills!H9,1)+IF(Skills!H9&gt;0,MIN(Skills!I9,MAX(0,MAX(0,Inputs!$B$43-B3070)-((R3041-1)*(IF(Inputs!$B$38="pvp",15,MAX(0.1,Skills!E9-IF(Skills!F7=TRUE,3.5,0)))*(1-IF(AND(ArtifactsInput!$M$27,Inputs!$B$4="Chapter Hunt"),CHOOSE(ArtifactsInput!$N$27+1,20,24,28,32,36,40),0)/100)))))/Skills!H9,1)))/Inputs!$B$43),G3041*Q3041))*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2">
      <c r="A3042">
        <f>Skills!A10</f>
        <v/>
      </c>
      <c r="B3042">
        <f>Skills!B10</f>
        <v/>
      </c>
      <c r="C3042">
        <f>TRUE</f>
        <v/>
      </c>
      <c r="D3042">
        <f>IF(Skills!C10=1,60+Inputs!$B$25+Inputs!$B$29,IF(Skills!C10=2,90+Inputs!$B$26+Inputs!$B$29,IF(Skills!C10=3,120+Inputs!$B$27+Inputs!$B$29,MAX(0,(Inputs!$B$3-100)*3)+Inputs!$B$28+Inputs!$B$29)))</f>
        <v/>
      </c>
      <c r="E3042">
        <f>INDEX(FactorTable!$B$2:$Y$301, MATCH(ROUND(MIN(300,MAX(1,D3042)),0), FactorTable!$A$2:$A$301,0), Skills!M10+1)</f>
        <v/>
      </c>
      <c r="F3042">
        <f>IF(Skills!N10=TRUE,(Skills!L10/10)*(E3042/1000),Skills!L10/10)+Skills!O10</f>
        <v/>
      </c>
      <c r="G3042">
        <f>Calc!G10</f>
        <v/>
      </c>
      <c r="H3042">
        <f>Calc!H10</f>
        <v/>
      </c>
      <c r="I3042">
        <f>IF(Skills!X10&lt;&gt;"",1+(Skills!X10/10)*(Z3035/1000)/100,1)</f>
        <v/>
      </c>
      <c r="J3042">
        <f>((Inputs!$B$6*(1+Inputs!$B$7/100))+(((Inputs!$B$12*(1+Inputs!$B$13/100))-(Inputs!$B$12*(1+Inputs!$B$13/100)))+0.25*(Inputs!$B$14-Inputs!$B$14))*(1+Inputs!$B$7/100))*(F3042/100)</f>
        <v/>
      </c>
      <c r="K3042">
        <f>J3042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3042)</f>
        <v/>
      </c>
      <c r="L3042">
        <f>K3042*(MIN(Inputs!$B$22+(F3054-Calc!F22),(Inputs!$B$23+(IF(ArtifactsInput!$M$15,CHOOSE(ArtifactsInput!$N$15+1,25,30,35,40,45,50)/100*(Inputs!$B$11-Inputs!$B$11),0))))/100+(Inputs!$B$23+(IF(ArtifactsInput!$M$15,CHOOSE(ArtifactsInput!$N$15+1,25,30,35,40,45,50)/100*(Inputs!$B$11-Inputs!$B$11),0)))/100)/2</f>
        <v/>
      </c>
      <c r="M3042">
        <f>L3042*(1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2">
        <f>L3042*(1-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3042*(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2">
        <f>(1-Summary!$B$11)*S3042+Summary!$B$11*U3042</f>
        <v/>
      </c>
      <c r="P3042">
        <f>IF(B3073=0,0,O3042/B3073)</f>
        <v/>
      </c>
      <c r="Q3042">
        <f>IFERROR(1/(IF(Inputs!$B$38="pvp",15,MAX(0.1,Skills!E10-IF(Skills!F10=TRUE,3.5,0)))*(1-IF(AND(ArtifactsInput!$M$27,Inputs!$B$4="Chapter Hunt"),CHOOSE(ArtifactsInput!$N$27+1,20,24,28,32,36,40),0)/100)),0)</f>
        <v/>
      </c>
      <c r="R3042">
        <f>IF(AND(Inputs!$B$38&lt;&gt;"pvp",Inputs!$B$43&gt;0),IF(MAX(0,Inputs!$B$43-B3070)&lt;=0,0,(INT(MAX(0,Inputs!$B$43-B3070)/(IF(Inputs!$B$38="pvp",15,MAX(0.1,Skills!E10-IF(Skills!F10=TRUE,3.5,0)))*(1-IF(AND(ArtifactsInput!$M$27,Inputs!$B$4="Chapter Hunt"),CHOOSE(ArtifactsInput!$N$27+1,20,24,28,32,36,40),0)/100)))+1)),0)</f>
        <v/>
      </c>
      <c r="S3042">
        <f>IF(C3042,(H3042*N3042*IF(AND(Inputs!$B$38&lt;&gt;"pvp",Inputs!$B$43&gt;0),((Skills!G10*((R3042-1)*IF(Skills!H10&gt;0,Skills!I10/Skills!H10,1)+IF(Skills!H10&gt;0,MIN(Skills!I10,MAX(0,MAX(0,Inputs!$B$43-B3070)-((R3042-1)*(IF(Inputs!$B$38="pvp",15,MAX(0.1,Skills!E10-IF(Skills!F10=TRUE,3.5,0)))*(1-IF(AND(ArtifactsInput!$M$27,Inputs!$B$4="Chapter Hunt"),CHOOSE(ArtifactsInput!$N$27+1,20,24,28,32,36,40),0)/100)))))/Skills!H10,1)))/Inputs!$B$43),G3042*Q3042))*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3042*(1-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3042*(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3042*(1-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3042*(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2">
        <f>IF(C3042,(H3042*N3042*IF(AND(Inputs!$B$38&lt;&gt;"pvp",Inputs!$B$43&gt;0),((Skills!G10*((R3042-1)*IF(Skills!H10&gt;0,Skills!I10/Skills!H10,1)+IF(Skills!H10&gt;0,MIN(Skills!I10,MAX(0,MAX(0,Inputs!$B$43-B3070)-((R3042-1)*(IF(Inputs!$B$38="pvp",15,MAX(0.1,Skills!E10-IF(Skills!F10=TRUE,3.5,0)))*(1-IF(AND(ArtifactsInput!$M$27,Inputs!$B$4="Chapter Hunt"),CHOOSE(ArtifactsInput!$N$27+1,20,24,28,32,36,40),0)/100)))))/Skills!H10,1)))/Inputs!$B$43),G3042*Q3042))*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3">
      <c r="A3043">
        <f>Skills!A11</f>
        <v/>
      </c>
      <c r="B3043">
        <f>Skills!B11</f>
        <v/>
      </c>
      <c r="C3043">
        <f>TRUE</f>
        <v/>
      </c>
      <c r="D3043">
        <f>IF(Skills!C11=1,60+Inputs!$B$25+Inputs!$B$29,IF(Skills!C11=2,90+Inputs!$B$26+Inputs!$B$29,IF(Skills!C11=3,120+Inputs!$B$27+Inputs!$B$29,MAX(0,(Inputs!$B$3-100)*3)+Inputs!$B$28+Inputs!$B$29)))</f>
        <v/>
      </c>
      <c r="E3043">
        <f>INDEX(FactorTable!$B$2:$Y$301, MATCH(ROUND(MIN(300,MAX(1,D3043)),0), FactorTable!$A$2:$A$301,0), Skills!M11+1)</f>
        <v/>
      </c>
      <c r="F3043">
        <f>IF(Skills!N11=TRUE,(Skills!L11/10)*(E3043/1000),Skills!L11/10)+Skills!O11</f>
        <v/>
      </c>
      <c r="G3043">
        <f>Calc!G11</f>
        <v/>
      </c>
      <c r="H3043">
        <f>Calc!H11</f>
        <v/>
      </c>
      <c r="I3043">
        <f>IF(Skills!X11&lt;&gt;"",1+(Skills!X11/10)*(Z3035/1000)/100,1)</f>
        <v/>
      </c>
      <c r="J3043" t="inlineStr"/>
      <c r="K3043" t="inlineStr"/>
      <c r="L3043" t="inlineStr"/>
      <c r="M3043" t="inlineStr"/>
      <c r="N3043" t="inlineStr"/>
      <c r="O3043">
        <f>(1-Summary!$B$11)*S3043+Summary!$B$11*U3043</f>
        <v/>
      </c>
      <c r="P3043">
        <f>IF(B3073=0,0,O3043/B3073)</f>
        <v/>
      </c>
      <c r="Q3043">
        <f>IFERROR(1/(IF(Inputs!$B$38="pvp",15,MAX(0.1,Skills!E11-IF(Skills!F11=TRUE,3.5,0)))*(1-IF(AND(ArtifactsInput!$M$27,Inputs!$B$4="Chapter Hunt"),CHOOSE(ArtifactsInput!$N$27+1,20,24,28,32,36,40),0)/100)),0)</f>
        <v/>
      </c>
      <c r="R3043" t="n">
        <v>0</v>
      </c>
      <c r="S3043" t="n">
        <v>0</v>
      </c>
      <c r="U3043" t="n">
        <v>0</v>
      </c>
    </row>
    <row r="3044">
      <c r="A3044">
        <f>Skills!A12</f>
        <v/>
      </c>
      <c r="B3044">
        <f>Skills!B12</f>
        <v/>
      </c>
      <c r="C3044">
        <f>TRUE</f>
        <v/>
      </c>
      <c r="D3044">
        <f>IF(Skills!C12=1,60+Inputs!$B$25+Inputs!$B$29,IF(Skills!C12=2,90+Inputs!$B$26+Inputs!$B$29,IF(Skills!C12=3,120+Inputs!$B$27+Inputs!$B$29,MAX(0,(Inputs!$B$3-100)*3)+Inputs!$B$28+Inputs!$B$29)))</f>
        <v/>
      </c>
      <c r="E3044">
        <f>INDEX(FactorTable!$B$2:$Y$301, MATCH(ROUND(MIN(300,MAX(1,D3044)),0), FactorTable!$A$2:$A$301,0), Skills!M12+1)</f>
        <v/>
      </c>
      <c r="F3044">
        <f>IF(Skills!N12=TRUE,(Skills!L12/10)*(E3044/1000),Skills!L12/10)+Skills!O12</f>
        <v/>
      </c>
      <c r="G3044">
        <f>Calc!G12</f>
        <v/>
      </c>
      <c r="H3044">
        <f>Calc!H12</f>
        <v/>
      </c>
      <c r="I3044">
        <f>IF(Skills!X12&lt;&gt;"",1+(Skills!X12/10)*(Z3035/1000)/100,1)</f>
        <v/>
      </c>
      <c r="J3044" t="inlineStr"/>
      <c r="K3044" t="inlineStr"/>
      <c r="L3044" t="inlineStr"/>
      <c r="M3044" t="inlineStr"/>
      <c r="N3044" t="inlineStr"/>
      <c r="O3044">
        <f>(1-Summary!$B$11)*S3044+Summary!$B$11*U3044</f>
        <v/>
      </c>
      <c r="P3044">
        <f>IF(B3073=0,0,O3044/B3073)</f>
        <v/>
      </c>
      <c r="Q3044">
        <f>IFERROR(1/(IF(Inputs!$B$38="pvp",15,MAX(0.1,Skills!E12-IF(Skills!F12=TRUE,3.5,0)))*(1-IF(AND(ArtifactsInput!$M$27,Inputs!$B$4="Chapter Hunt"),CHOOSE(ArtifactsInput!$N$27+1,20,24,28,32,36,40),0)/100)),0)</f>
        <v/>
      </c>
      <c r="R3044" t="n">
        <v>0</v>
      </c>
      <c r="S3044" t="n">
        <v>0</v>
      </c>
      <c r="U3044" t="n">
        <v>0</v>
      </c>
    </row>
    <row r="3045">
      <c r="A3045">
        <f>Skills!A13</f>
        <v/>
      </c>
      <c r="B3045">
        <f>Skills!B13</f>
        <v/>
      </c>
      <c r="C3045">
        <f>Inputs!$B$3&gt;=105</f>
        <v/>
      </c>
      <c r="D3045">
        <f>IF(Skills!C13=1,60+Inputs!$B$25+Inputs!$B$29,IF(Skills!C13=2,90+Inputs!$B$26+Inputs!$B$29,IF(Skills!C13=3,120+Inputs!$B$27+Inputs!$B$29,MAX(0,(Inputs!$B$3-100)*3)+Inputs!$B$28+Inputs!$B$29)))</f>
        <v/>
      </c>
      <c r="E3045">
        <f>INDEX(FactorTable!$B$2:$Y$301, MATCH(ROUND(MIN(300,MAX(1,D3045)),0), FactorTable!$A$2:$A$301,0), Skills!M13+1)</f>
        <v/>
      </c>
      <c r="F3045">
        <f>IF(Skills!N13=TRUE,(Skills!L13/10)*(E3045/1000),Skills!L13/10)+Skills!O13</f>
        <v/>
      </c>
      <c r="G3045">
        <f>Calc!G13</f>
        <v/>
      </c>
      <c r="H3045">
        <f>Calc!H13</f>
        <v/>
      </c>
      <c r="I3045">
        <f>IF(Skills!X13&lt;&gt;"",1+(Skills!X13/10)*(Z3035/1000)/100,1)</f>
        <v/>
      </c>
      <c r="J3045">
        <f>((Inputs!$B$6*(1+Inputs!$B$7/100))+(((Inputs!$B$12*(1+Inputs!$B$13/100))-(Inputs!$B$12*(1+Inputs!$B$13/100)))+0.25*(Inputs!$B$14-Inputs!$B$14))*(1+Inputs!$B$7/100))*(F3045/100)</f>
        <v/>
      </c>
      <c r="K3045">
        <f>J3045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3045)</f>
        <v/>
      </c>
      <c r="L3045">
        <f>K3045*(MIN(Inputs!$B$22+(F3054-Calc!F22),(Inputs!$B$23+(IF(ArtifactsInput!$M$15,CHOOSE(ArtifactsInput!$N$15+1,25,30,35,40,45,50)/100*(Inputs!$B$11-Inputs!$B$11),0))))/100+(Inputs!$B$23+(IF(ArtifactsInput!$M$15,CHOOSE(ArtifactsInput!$N$15+1,25,30,35,40,45,50)/100*(Inputs!$B$11-Inputs!$B$11),0)))/100)/2</f>
        <v/>
      </c>
      <c r="M3045">
        <f>L3045*(1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5">
        <f>L3045*(1-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3045*(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5">
        <f>(1-Summary!$B$11)*S3045+Summary!$B$11*U3045</f>
        <v/>
      </c>
      <c r="P3045">
        <f>IF(B3073=0,0,O3045/B3073)</f>
        <v/>
      </c>
      <c r="Q3045">
        <f>IFERROR(1/(IF(Inputs!$B$38="pvp",15,MAX(0.1,Skills!E13-IF(Skills!F13=TRUE,3.5,0)))*(1-IF(AND(ArtifactsInput!$M$27,Inputs!$B$4="Chapter Hunt"),CHOOSE(ArtifactsInput!$N$27+1,20,24,28,32,36,40),0)/100)),0)</f>
        <v/>
      </c>
      <c r="R3045">
        <f>IF(AND(Inputs!$B$38&lt;&gt;"pvp",Inputs!$B$43&gt;0),IF(MAX(0,Inputs!$B$43-B3070)&lt;=0,0,(INT(MAX(0,Inputs!$B$43-B3070)/(IF(Inputs!$B$38="pvp",15,MAX(0.1,Skills!E13-IF(Skills!F13=TRUE,3.5,0)))*(1-IF(AND(ArtifactsInput!$M$27,Inputs!$B$4="Chapter Hunt"),CHOOSE(ArtifactsInput!$N$27+1,20,24,28,32,36,40),0)/100)))+1)),0)</f>
        <v/>
      </c>
      <c r="S3045">
        <f>IF(C3045,(H3045*N3045*IF(AND(Inputs!$B$38&lt;&gt;"pvp",Inputs!$B$43&gt;0),((Skills!G13*((R3045-1)*IF(Skills!H13&gt;0,Skills!I13/Skills!H13,1)+IF(Skills!H13&gt;0,MIN(Skills!I13,MAX(0,MAX(0,Inputs!$B$43-B3070)-((R3045-1)*(IF(Inputs!$B$38="pvp",15,MAX(0.1,Skills!E13-IF(Skills!F13=TRUE,3.5,0)))*(1-IF(AND(ArtifactsInput!$M$27,Inputs!$B$4="Chapter Hunt"),CHOOSE(ArtifactsInput!$N$27+1,20,24,28,32,36,40),0)/100)))))/Skills!H13,1)))/Inputs!$B$43),G3045*Q3045))*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3045*(1-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3045*(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3045*(1-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3045*(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5">
        <f>IF(C3045,(H3045*N3045*IF(AND(Inputs!$B$38&lt;&gt;"pvp",Inputs!$B$43&gt;0),((Skills!G13*((R3045-1)*IF(Skills!H13&gt;0,Skills!I13/Skills!H13,1)+IF(Skills!H13&gt;0,MIN(Skills!I13,MAX(0,MAX(0,Inputs!$B$43-B3070)-((R3045-1)*(IF(Inputs!$B$38="pvp",15,MAX(0.1,Skills!E13-IF(Skills!F13=TRUE,3.5,0)))*(1-IF(AND(ArtifactsInput!$M$27,Inputs!$B$4="Chapter Hunt"),CHOOSE(ArtifactsInput!$N$27+1,20,24,28,32,36,40),0)/100)))))/Skills!H13,1)))/Inputs!$B$43),G3045*Q3045))*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6">
      <c r="A3046">
        <f>Skills!A14</f>
        <v/>
      </c>
      <c r="B3046">
        <f>Skills!B14</f>
        <v/>
      </c>
      <c r="C3046">
        <f>Inputs!$B$3&gt;=113</f>
        <v/>
      </c>
      <c r="D3046">
        <f>IF(Skills!C14=1,60+Inputs!$B$25+Inputs!$B$29,IF(Skills!C14=2,90+Inputs!$B$26+Inputs!$B$29,IF(Skills!C14=3,120+Inputs!$B$27+Inputs!$B$29,MAX(0,(Inputs!$B$3-100)*3)+Inputs!$B$28+Inputs!$B$29)))</f>
        <v/>
      </c>
      <c r="E3046">
        <f>INDEX(FactorTable!$B$2:$Y$301, MATCH(ROUND(MIN(300,MAX(1,D3046)),0), FactorTable!$A$2:$A$301,0), Skills!M14+1)</f>
        <v/>
      </c>
      <c r="F3046">
        <f>IF(Skills!N14=TRUE,(Skills!L14/10)*(E3046/1000),Skills!L14/10)+Skills!O14</f>
        <v/>
      </c>
      <c r="G3046">
        <f>Calc!G14</f>
        <v/>
      </c>
      <c r="H3046">
        <f>Calc!H14</f>
        <v/>
      </c>
      <c r="I3046">
        <f>IF(Skills!X14&lt;&gt;"",1+(Skills!X14/10)*(Z3035/1000)/100,1)</f>
        <v/>
      </c>
      <c r="J3046">
        <f>((Inputs!$B$6*(1+Inputs!$B$7/100))+(((Inputs!$B$12*(1+Inputs!$B$13/100))-(Inputs!$B$12*(1+Inputs!$B$13/100)))+0.25*(Inputs!$B$14-Inputs!$B$14))*(1+Inputs!$B$7/100))*(F3046/100)</f>
        <v/>
      </c>
      <c r="K3046">
        <f>J3046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3046)</f>
        <v/>
      </c>
      <c r="L3046">
        <f>K3046*(MIN(Inputs!$B$22+(F3054-Calc!F22),(Inputs!$B$23+(IF(ArtifactsInput!$M$15,CHOOSE(ArtifactsInput!$N$15+1,25,30,35,40,45,50)/100*(Inputs!$B$11-Inputs!$B$11),0))))/100+(Inputs!$B$23+(IF(ArtifactsInput!$M$15,CHOOSE(ArtifactsInput!$N$15+1,25,30,35,40,45,50)/100*(Inputs!$B$11-Inputs!$B$11),0)))/100)/2</f>
        <v/>
      </c>
      <c r="M3046">
        <f>L3046*(1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6">
        <f>L3046*(1-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3046*(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6">
        <f>(1-Summary!$B$11)*S3046+Summary!$B$11*U3046</f>
        <v/>
      </c>
      <c r="P3046">
        <f>IF(B3073=0,0,O3046/B3073)</f>
        <v/>
      </c>
      <c r="Q3046">
        <f>IFERROR(1/(IF(Inputs!$B$38="pvp",15,MAX(0.1,Skills!E14-IF(Skills!F14=TRUE,3.5,0)))*(1-IF(AND(ArtifactsInput!$M$27,Inputs!$B$4="Chapter Hunt"),CHOOSE(ArtifactsInput!$N$27+1,20,24,28,32,36,40),0)/100)),0)</f>
        <v/>
      </c>
      <c r="R3046" t="n">
        <v>0</v>
      </c>
      <c r="S3046">
        <f>IF(C3046,((H3046*B3069)/(1+Skills!H14*H3046*B3069)*N3046)*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3046*(1-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3046*(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3046*(1-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3046*(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6">
        <f>IF(C3046,((H3046*B3069)/(1+Skills!H14*H3046*B3069)*N3046)*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7">
      <c r="A3047">
        <f>Skills!A15</f>
        <v/>
      </c>
      <c r="B3047">
        <f>Skills!B15</f>
        <v/>
      </c>
      <c r="C3047">
        <f>Inputs!$B$3&gt;=107</f>
        <v/>
      </c>
      <c r="D3047">
        <f>IF(Skills!C15=1,60+Inputs!$B$25+Inputs!$B$29,IF(Skills!C15=2,90+Inputs!$B$26+Inputs!$B$29,IF(Skills!C15=3,120+Inputs!$B$27+Inputs!$B$29,MAX(0,(Inputs!$B$3-100)*3)+Inputs!$B$28+Inputs!$B$29)))</f>
        <v/>
      </c>
      <c r="E3047">
        <f>INDEX(FactorTable!$B$2:$Y$301, MATCH(ROUND(MIN(300,MAX(1,D3047)),0), FactorTable!$A$2:$A$301,0), Skills!M15+1)</f>
        <v/>
      </c>
      <c r="F3047">
        <f>IF(Skills!N15=TRUE,(Skills!L15/10)*(E3047/1000),Skills!L15/10)+Skills!O15</f>
        <v/>
      </c>
      <c r="G3047">
        <f>Calc!G15</f>
        <v/>
      </c>
      <c r="H3047">
        <f>Calc!H15</f>
        <v/>
      </c>
      <c r="I3047">
        <f>IF(Skills!X15&lt;&gt;"",1+(Skills!X15/10)*(Z3035/1000)/100,1)</f>
        <v/>
      </c>
      <c r="J3047">
        <f>((Inputs!$B$6*(1+Inputs!$B$7/100))+(((Inputs!$B$12*(1+Inputs!$B$13/100))-(Inputs!$B$12*(1+Inputs!$B$13/100)))+0.25*(Inputs!$B$14-Inputs!$B$14))*(1+Inputs!$B$7/100))*(F3047/100)</f>
        <v/>
      </c>
      <c r="K3047">
        <f>J3047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3047)</f>
        <v/>
      </c>
      <c r="L3047">
        <f>K3047*(MIN(Inputs!$B$22+(F3054-Calc!F22),(Inputs!$B$23+(IF(ArtifactsInput!$M$15,CHOOSE(ArtifactsInput!$N$15+1,25,30,35,40,45,50)/100*(Inputs!$B$11-Inputs!$B$11),0))))/100+(Inputs!$B$23+(IF(ArtifactsInput!$M$15,CHOOSE(ArtifactsInput!$N$15+1,25,30,35,40,45,50)/100*(Inputs!$B$11-Inputs!$B$11),0)))/100)/2</f>
        <v/>
      </c>
      <c r="M3047">
        <f>L3047*(1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7">
        <f>L3047*(1-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3047*(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7">
        <f>(1-Summary!$B$11)*S3047+Summary!$B$11*U3047</f>
        <v/>
      </c>
      <c r="P3047">
        <f>IF(B3073=0,0,O3047/B3073)</f>
        <v/>
      </c>
      <c r="Q3047">
        <f>IFERROR(1/(IF(Inputs!$B$38="pvp",15,MAX(0.1,Skills!E15-IF(Skills!F15=TRUE,3.5,0)))*(1-IF(AND(ArtifactsInput!$M$27,Inputs!$B$4="Chapter Hunt"),CHOOSE(ArtifactsInput!$N$27+1,20,24,28,32,36,40),0)/100)),0)</f>
        <v/>
      </c>
      <c r="R3047">
        <f>IF(AND(Inputs!$B$38&lt;&gt;"pvp",Inputs!$B$43&gt;0),IF(MAX(0,Inputs!$B$43-B3070)&lt;=0,0,(INT(MAX(0,Inputs!$B$43-B3070)/(IF(Inputs!$B$38="pvp",15,MAX(0.1,Skills!E15-IF(Skills!F15=TRUE,3.5,0)))*(1-IF(AND(ArtifactsInput!$M$27,Inputs!$B$4="Chapter Hunt"),CHOOSE(ArtifactsInput!$N$27+1,20,24,28,32,36,40),0)/100)))+1)),0)</f>
        <v/>
      </c>
      <c r="S3047">
        <f>IF(C3047,(H3047*N3047*IF(AND(Inputs!$B$38&lt;&gt;"pvp",Inputs!$B$43&gt;0),((Skills!G15*((R3047-1)*IF(Skills!H15&gt;0,Skills!I15/Skills!H15,1)+IF(Skills!H15&gt;0,MIN(Skills!I15,MAX(0,MAX(0,Inputs!$B$43-B3070)-((R3047-1)*(IF(Inputs!$B$38="pvp",15,MAX(0.1,Skills!E15-IF(Skills!F15=TRUE,3.5,0)))*(1-IF(AND(ArtifactsInput!$M$27,Inputs!$B$4="Chapter Hunt"),CHOOSE(ArtifactsInput!$N$27+1,20,24,28,32,36,40),0)/100)))))/Skills!H15,1)))/Inputs!$B$43),G3047*Q3047))*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3047*(1-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3047*(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3047*(1-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3047*(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7">
        <f>IF(C3047,(H3047*N3047*IF(AND(Inputs!$B$38&lt;&gt;"pvp",Inputs!$B$43&gt;0),((Skills!G15*((R3047-1)*IF(Skills!H15&gt;0,Skills!I15/Skills!H15,1)+IF(Skills!H15&gt;0,MIN(Skills!I15,MAX(0,MAX(0,Inputs!$B$43-B3070)-((R3047-1)*(IF(Inputs!$B$38="pvp",15,MAX(0.1,Skills!E15-IF(Skills!F15=TRUE,3.5,0)))*(1-IF(AND(ArtifactsInput!$M$27,Inputs!$B$4="Chapter Hunt"),CHOOSE(ArtifactsInput!$N$27+1,20,24,28,32,36,40),0)/100)))))/Skills!H15,1)))/Inputs!$B$43),G3047*Q3047))*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8">
      <c r="A3048">
        <f>Skills!A16</f>
        <v/>
      </c>
      <c r="B3048">
        <f>Skills!B16</f>
        <v/>
      </c>
      <c r="C3048">
        <f>Inputs!$B$3&gt;=107</f>
        <v/>
      </c>
      <c r="D3048">
        <f>IF(Skills!C16=1,60+Inputs!$B$25+Inputs!$B$29,IF(Skills!C16=2,90+Inputs!$B$26+Inputs!$B$29,IF(Skills!C16=3,120+Inputs!$B$27+Inputs!$B$29,MAX(0,(Inputs!$B$3-100)*3)+Inputs!$B$28+Inputs!$B$29)))</f>
        <v/>
      </c>
      <c r="E3048">
        <f>INDEX(FactorTable!$B$2:$Y$301, MATCH(ROUND(MIN(300,MAX(1,D3048)),0), FactorTable!$A$2:$A$301,0), Skills!M16+1)</f>
        <v/>
      </c>
      <c r="F3048">
        <f>IF(Skills!N16=TRUE,(Skills!L16/10)*(E3048/1000),Skills!L16/10)+Skills!O16</f>
        <v/>
      </c>
      <c r="G3048">
        <f>Calc!G16</f>
        <v/>
      </c>
      <c r="H3048">
        <f>Calc!H16</f>
        <v/>
      </c>
      <c r="I3048">
        <f>IF(Skills!X16&lt;&gt;"",1+(Skills!X16/10)*(Z3035/1000)/100,1)</f>
        <v/>
      </c>
      <c r="J3048">
        <f>((Inputs!$B$6*(1+Inputs!$B$7/100))+(((Inputs!$B$12*(1+Inputs!$B$13/100))-(Inputs!$B$12*(1+Inputs!$B$13/100)))+0.25*(Inputs!$B$14-Inputs!$B$14))*(1+Inputs!$B$7/100))*(F3048/100)</f>
        <v/>
      </c>
      <c r="K3048">
        <f>J3048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3048)</f>
        <v/>
      </c>
      <c r="L3048">
        <f>K3048*(MIN(Inputs!$B$22+(F3054-Calc!F22),(Inputs!$B$23+(IF(ArtifactsInput!$M$15,CHOOSE(ArtifactsInput!$N$15+1,25,30,35,40,45,50)/100*(Inputs!$B$11-Inputs!$B$11),0))))/100+(Inputs!$B$23+(IF(ArtifactsInput!$M$15,CHOOSE(ArtifactsInput!$N$15+1,25,30,35,40,45,50)/100*(Inputs!$B$11-Inputs!$B$11),0)))/100)/2</f>
        <v/>
      </c>
      <c r="M3048">
        <f>L3048*(1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48">
        <f>L3048*(1-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3048*(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48">
        <f>(1-Summary!$B$11)*S3048+Summary!$B$11*U3048</f>
        <v/>
      </c>
      <c r="P3048">
        <f>IF(B3073=0,0,O3048/B3073)</f>
        <v/>
      </c>
      <c r="Q3048">
        <f>IFERROR(1/(IF(Inputs!$B$38="pvp",15,MAX(0.1,Skills!E16-IF(Skills!F16=TRUE,3.5,0)))*(1-IF(AND(ArtifactsInput!$M$27,Inputs!$B$4="Chapter Hunt"),CHOOSE(ArtifactsInput!$N$27+1,20,24,28,32,36,40),0)/100)),0)</f>
        <v/>
      </c>
      <c r="R3048">
        <f>IF(AND(Inputs!$B$38&lt;&gt;"pvp",Inputs!$B$43&gt;0),IF(MAX(0,Inputs!$B$43-B3070)&lt;=0,0,(INT(MAX(0,Inputs!$B$43-B3070)/(IF(Inputs!$B$38="pvp",15,MAX(0.1,Skills!E16-IF(Skills!F16=TRUE,3.5,0)))*(1-IF(AND(ArtifactsInput!$M$27,Inputs!$B$4="Chapter Hunt"),CHOOSE(ArtifactsInput!$N$27+1,20,24,28,32,36,40),0)/100)))+1)),0)</f>
        <v/>
      </c>
      <c r="S3048">
        <f>IF(C3048,(H3048*N3048*IF(AND(Inputs!$B$38&lt;&gt;"pvp",Inputs!$B$43&gt;0),((Skills!G16*((R3048-1)*IF(Skills!H16&gt;0,Skills!I16/Skills!H16,1)+IF(Skills!H16&gt;0,MIN(Skills!I16,MAX(0,MAX(0,Inputs!$B$43-B3070)-((R3048-1)*(IF(Inputs!$B$38="pvp",15,MAX(0.1,Skills!E16-IF(Skills!F16=TRUE,3.5,0)))*(1-IF(AND(ArtifactsInput!$M$27,Inputs!$B$4="Chapter Hunt"),CHOOSE(ArtifactsInput!$N$27+1,20,24,28,32,36,40),0)/100)))))/Skills!H16,1)))/Inputs!$B$43),G3048*Q3048)*(1+IF(Inputs!$B$3&gt;=126,0.05*(B3068+Q3045+(H3046*B3069)/(1+Skills!H14*H3046*B3069)+Q3056),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3048*(1-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3048*(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3048*(1-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3048*(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48">
        <f>IF(C3048,(H3048*N3048*IF(AND(Inputs!$B$38&lt;&gt;"pvp",Inputs!$B$43&gt;0),((Skills!G16*((R3048-1)*IF(Skills!H16&gt;0,Skills!I16/Skills!H16,1)+IF(Skills!H16&gt;0,MIN(Skills!I16,MAX(0,MAX(0,Inputs!$B$43-B3070)-((R3048-1)*(IF(Inputs!$B$38="pvp",15,MAX(0.1,Skills!E16-IF(Skills!F16=TRUE,3.5,0)))*(1-IF(AND(ArtifactsInput!$M$27,Inputs!$B$4="Chapter Hunt"),CHOOSE(ArtifactsInput!$N$27+1,20,24,28,32,36,40),0)/100)))))/Skills!H16,1)))/Inputs!$B$43),G3048*Q3048)*(1+IF(Inputs!$B$3&gt;=126,0.05*(B3068+Q3045+(H3046*B3069)/(1+Skills!H14*H3046*B3069)+Q3056),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9">
      <c r="A3049">
        <f>Skills!A17</f>
        <v/>
      </c>
      <c r="B3049">
        <f>Skills!B17</f>
        <v/>
      </c>
      <c r="C3049">
        <f>TRUE</f>
        <v/>
      </c>
      <c r="D3049">
        <f>IF(Skills!C17=1,60+Inputs!$B$25+Inputs!$B$29,IF(Skills!C17=2,90+Inputs!$B$26+Inputs!$B$29,IF(Skills!C17=3,120+Inputs!$B$27+Inputs!$B$29,MAX(0,(Inputs!$B$3-100)*3)+Inputs!$B$28+Inputs!$B$29)))</f>
        <v/>
      </c>
      <c r="E3049">
        <f>INDEX(FactorTable!$B$2:$Y$301, MATCH(ROUND(MIN(300,MAX(1,D3049)),0), FactorTable!$A$2:$A$301,0), Skills!M17+1)</f>
        <v/>
      </c>
      <c r="F3049">
        <f>IF(Skills!N17=TRUE,(Skills!L17/10)*(E3049/1000),Skills!L17/10)+Skills!O17</f>
        <v/>
      </c>
      <c r="G3049">
        <f>Calc!G17</f>
        <v/>
      </c>
      <c r="H3049">
        <f>Calc!H17</f>
        <v/>
      </c>
      <c r="I3049">
        <f>IF(Skills!X17&lt;&gt;"",1+(Skills!X17/10)*(Z3035/1000)/100,1)</f>
        <v/>
      </c>
      <c r="J3049" t="inlineStr"/>
      <c r="K3049" t="inlineStr"/>
      <c r="L3049" t="inlineStr"/>
      <c r="M3049" t="inlineStr"/>
      <c r="N3049" t="inlineStr"/>
      <c r="O3049">
        <f>(1-Summary!$B$11)*S3049+Summary!$B$11*U3049</f>
        <v/>
      </c>
      <c r="P3049">
        <f>IF(B3073=0,0,O3049/B3073)</f>
        <v/>
      </c>
      <c r="Q3049">
        <f>IFERROR(1/(IF(Inputs!$B$38="pvp",15,MAX(0.1,Skills!E17-IF(Skills!F17=TRUE,3.5,0)))*(1-IF(AND(ArtifactsInput!$M$27,Inputs!$B$4="Chapter Hunt"),CHOOSE(ArtifactsInput!$N$27+1,20,24,28,32,36,40),0)/100)),0)</f>
        <v/>
      </c>
      <c r="R3049">
        <f>IF(AND(Inputs!$B$38&lt;&gt;"pvp",Inputs!$B$43&gt;0),IF(Inputs!$B$43&lt;=0,0,(INT(Inputs!$B$43/(IF(Inputs!$B$38="pvp",15,MAX(0.1,Skills!E17-IF(Skills!F17=TRUE,3.5,0)))*(1-IF(AND(ArtifactsInput!$M$27,Inputs!$B$4="Chapter Hunt"),CHOOSE(ArtifactsInput!$N$27+1,20,24,28,32,36,40),0)/100)))+1)),0)</f>
        <v/>
      </c>
      <c r="S3049" t="n">
        <v>0</v>
      </c>
      <c r="U3049" t="n">
        <v>0</v>
      </c>
    </row>
    <row r="3050">
      <c r="A3050">
        <f>Skills!A18</f>
        <v/>
      </c>
      <c r="B3050">
        <f>Skills!B18</f>
        <v/>
      </c>
      <c r="C3050">
        <f>TRUE</f>
        <v/>
      </c>
      <c r="D3050">
        <f>IF(Skills!C18=1,60+Inputs!$B$25+Inputs!$B$29,IF(Skills!C18=2,90+Inputs!$B$26+Inputs!$B$29,IF(Skills!C18=3,120+Inputs!$B$27+Inputs!$B$29,MAX(0,(Inputs!$B$3-100)*3)+Inputs!$B$28+Inputs!$B$29)))</f>
        <v/>
      </c>
      <c r="E3050">
        <f>INDEX(FactorTable!$B$2:$Y$301, MATCH(ROUND(MIN(300,MAX(1,D3050)),0), FactorTable!$A$2:$A$301,0), Skills!M18+1)</f>
        <v/>
      </c>
      <c r="F3050">
        <f>IF(Skills!N18=TRUE,(Skills!L18/10)*(E3050/1000),Skills!L18/10)+Skills!O18</f>
        <v/>
      </c>
      <c r="G3050">
        <f>Calc!G18</f>
        <v/>
      </c>
      <c r="H3050">
        <f>Calc!H18</f>
        <v/>
      </c>
      <c r="I3050">
        <f>IF(Skills!X18&lt;&gt;"",1+(Skills!X18/10)*(Z3035/1000)/100,1)</f>
        <v/>
      </c>
      <c r="J3050" t="inlineStr"/>
      <c r="K3050" t="inlineStr"/>
      <c r="L3050" t="inlineStr"/>
      <c r="M3050" t="inlineStr"/>
      <c r="N3050" t="inlineStr"/>
      <c r="O3050">
        <f>(1-Summary!$B$11)*S3050+Summary!$B$11*U3050</f>
        <v/>
      </c>
      <c r="P3050">
        <f>IF(B3073=0,0,O3050/B3073)</f>
        <v/>
      </c>
      <c r="Q3050">
        <f>IFERROR(1/(IF(Inputs!$B$38="pvp",15,MAX(0.1,Skills!E18-IF(Skills!F18=TRUE,3.5,0)))*(1-IF(AND(ArtifactsInput!$M$27,Inputs!$B$4="Chapter Hunt"),CHOOSE(ArtifactsInput!$N$27+1,20,24,28,32,36,40),0)/100)),0)</f>
        <v/>
      </c>
      <c r="R3050">
        <f>IF(AND(Inputs!$B$38&lt;&gt;"pvp",Inputs!$B$43&gt;0),IF(Inputs!$B$43&lt;=0,0,(INT(Inputs!$B$43/(IF(Inputs!$B$38="pvp",15,MAX(0.1,Skills!E18-IF(Skills!F18=TRUE,3.5,0)))*(1-IF(AND(ArtifactsInput!$M$27,Inputs!$B$4="Chapter Hunt"),CHOOSE(ArtifactsInput!$N$27+1,20,24,28,32,36,40),0)/100)))+1)),0)</f>
        <v/>
      </c>
      <c r="S3050" t="n">
        <v>0</v>
      </c>
      <c r="U3050" t="n">
        <v>0</v>
      </c>
    </row>
    <row r="3051">
      <c r="A3051">
        <f>Skills!A19</f>
        <v/>
      </c>
      <c r="B3051">
        <f>Skills!B19</f>
        <v/>
      </c>
      <c r="C3051">
        <f>Inputs!$B$3&gt;=110</f>
        <v/>
      </c>
      <c r="D3051">
        <f>IF(Skills!C19=1,60+Inputs!$B$25+Inputs!$B$29,IF(Skills!C19=2,90+Inputs!$B$26+Inputs!$B$29,IF(Skills!C19=3,120+Inputs!$B$27+Inputs!$B$29,MAX(0,(Inputs!$B$3-100)*3)+Inputs!$B$28+Inputs!$B$29)))</f>
        <v/>
      </c>
      <c r="E3051">
        <f>INDEX(FactorTable!$B$2:$Y$301, MATCH(ROUND(MIN(300,MAX(1,D3051)),0), FactorTable!$A$2:$A$301,0), Skills!M19+1)</f>
        <v/>
      </c>
      <c r="F3051">
        <f>IF(Skills!N19=TRUE,(Skills!L19/10)*(E3051/1000),Skills!L19/10)+Skills!O19</f>
        <v/>
      </c>
      <c r="G3051">
        <f>Calc!G19</f>
        <v/>
      </c>
      <c r="H3051">
        <f>Calc!H19</f>
        <v/>
      </c>
      <c r="I3051">
        <f>IF(Skills!X19&lt;&gt;"",1+(Skills!X19/10)*(Z3035/1000)/100,1)</f>
        <v/>
      </c>
      <c r="J3051" t="inlineStr"/>
      <c r="K3051" t="inlineStr"/>
      <c r="L3051" t="inlineStr"/>
      <c r="M3051" t="inlineStr"/>
      <c r="N3051" t="inlineStr"/>
      <c r="O3051">
        <f>(1-Summary!$B$11)*S3051+Summary!$B$11*U3051</f>
        <v/>
      </c>
      <c r="P3051">
        <f>IF(B3073=0,0,O3051/B3073)</f>
        <v/>
      </c>
      <c r="Q3051">
        <f>IFERROR(1/(IF(Inputs!$B$38="pvp",15,MAX(0.1,Skills!E19-IF(Skills!F19=TRUE,3.5,0)))*(1-IF(AND(ArtifactsInput!$M$27,Inputs!$B$4="Chapter Hunt"),CHOOSE(ArtifactsInput!$N$27+1,20,24,28,32,36,40),0)/100)),0)</f>
        <v/>
      </c>
      <c r="R3051">
        <f>IF(AND(Inputs!$B$38&lt;&gt;"pvp",Inputs!$B$43&gt;0),IF(Inputs!$B$43&lt;=0,0,(INT(Inputs!$B$43/(IF(Inputs!$B$38="pvp",15,MAX(0.1,Skills!E19-IF(Skills!F19=TRUE,3.5,0)))*(1-IF(AND(ArtifactsInput!$M$27,Inputs!$B$4="Chapter Hunt"),CHOOSE(ArtifactsInput!$N$27+1,20,24,28,32,36,40),0)/100)))+1)),0)</f>
        <v/>
      </c>
      <c r="S3051" t="n">
        <v>0</v>
      </c>
      <c r="U3051" t="n">
        <v>0</v>
      </c>
    </row>
    <row r="3052">
      <c r="A3052">
        <f>Skills!A20</f>
        <v/>
      </c>
      <c r="B3052">
        <f>Skills!B20</f>
        <v/>
      </c>
      <c r="C3052">
        <f>TRUE</f>
        <v/>
      </c>
      <c r="D3052">
        <f>IF(Skills!C20=1,60+Inputs!$B$25+Inputs!$B$29,IF(Skills!C20=2,90+Inputs!$B$26+Inputs!$B$29,IF(Skills!C20=3,120+Inputs!$B$27+Inputs!$B$29,MAX(0,(Inputs!$B$3-100)*3)+Inputs!$B$28+Inputs!$B$29)))</f>
        <v/>
      </c>
      <c r="E3052">
        <f>INDEX(FactorTable!$B$2:$Y$301, MATCH(ROUND(MIN(300,MAX(1,D3052)),0), FactorTable!$A$2:$A$301,0), Skills!M20+1)</f>
        <v/>
      </c>
      <c r="F3052">
        <f>IF(Skills!N20=TRUE,(Skills!L20/10)*(E3052/1000),Skills!L20/10)+Skills!O20</f>
        <v/>
      </c>
      <c r="G3052">
        <f>Calc!G20</f>
        <v/>
      </c>
      <c r="H3052">
        <f>Calc!H20</f>
        <v/>
      </c>
      <c r="I3052">
        <f>IF(Skills!X20&lt;&gt;"",1+(Skills!X20/10)*(Z3035/1000)/100,1)</f>
        <v/>
      </c>
      <c r="J3052" t="inlineStr"/>
      <c r="K3052" t="inlineStr"/>
      <c r="L3052" t="inlineStr"/>
      <c r="M3052" t="inlineStr"/>
      <c r="N3052" t="inlineStr"/>
      <c r="O3052">
        <f>(1-Summary!$B$11)*S3052+Summary!$B$11*U3052</f>
        <v/>
      </c>
      <c r="P3052">
        <f>IF(B3073=0,0,O3052/B3073)</f>
        <v/>
      </c>
      <c r="Q3052">
        <f>IFERROR(1/(IF(Inputs!$B$38="pvp",15,MAX(0.1,Skills!E20-IF(Skills!F20=TRUE,3.5,0)))*(1-IF(AND(ArtifactsInput!$M$27,Inputs!$B$4="Chapter Hunt"),CHOOSE(ArtifactsInput!$N$27+1,20,24,28,32,36,40),0)/100)),0)</f>
        <v/>
      </c>
      <c r="R3052" t="n">
        <v>0</v>
      </c>
      <c r="S3052" t="n">
        <v>0</v>
      </c>
      <c r="U3052" t="n">
        <v>0</v>
      </c>
    </row>
    <row r="3053">
      <c r="A3053">
        <f>Skills!A21</f>
        <v/>
      </c>
      <c r="B3053">
        <f>Skills!B21</f>
        <v/>
      </c>
      <c r="C3053">
        <f>TRUE</f>
        <v/>
      </c>
      <c r="D3053">
        <f>IF(Skills!C21=1,60+Inputs!$B$25+Inputs!$B$29,IF(Skills!C21=2,90+Inputs!$B$26+Inputs!$B$29,IF(Skills!C21=3,120+Inputs!$B$27+Inputs!$B$29,MAX(0,(Inputs!$B$3-100)*3)+Inputs!$B$28+Inputs!$B$29)))</f>
        <v/>
      </c>
      <c r="E3053">
        <f>INDEX(FactorTable!$B$2:$Y$301, MATCH(ROUND(MIN(300,MAX(1,D3053)),0), FactorTable!$A$2:$A$301,0), Skills!M21+1)</f>
        <v/>
      </c>
      <c r="F3053">
        <f>IF(Skills!N21=TRUE,(Skills!L21/10)*(E3053/1000),Skills!L21/10)+Skills!O21</f>
        <v/>
      </c>
      <c r="G3053">
        <f>Calc!G21</f>
        <v/>
      </c>
      <c r="H3053">
        <f>Calc!H21</f>
        <v/>
      </c>
      <c r="I3053">
        <f>IF(Skills!X21&lt;&gt;"",1+(Skills!X21/10)*(Z3035/1000)/100,1)</f>
        <v/>
      </c>
      <c r="J3053" t="inlineStr"/>
      <c r="K3053" t="inlineStr"/>
      <c r="L3053" t="inlineStr"/>
      <c r="M3053" t="inlineStr"/>
      <c r="N3053" t="inlineStr"/>
      <c r="O3053">
        <f>(1-Summary!$B$11)*S3053+Summary!$B$11*U3053</f>
        <v/>
      </c>
      <c r="P3053">
        <f>IF(B3073=0,0,O3053/B3073)</f>
        <v/>
      </c>
      <c r="Q3053">
        <f>IFERROR(1/(IF(Inputs!$B$38="pvp",15,MAX(0.1,Skills!E21-IF(Skills!F21=TRUE,3.5,0)))*(1-IF(AND(ArtifactsInput!$M$27,Inputs!$B$4="Chapter Hunt"),CHOOSE(ArtifactsInput!$N$27+1,20,24,28,32,36,40),0)/100)),0)</f>
        <v/>
      </c>
      <c r="R3053" t="n">
        <v>0</v>
      </c>
      <c r="S3053" t="n">
        <v>0</v>
      </c>
      <c r="U3053" t="n">
        <v>0</v>
      </c>
    </row>
    <row r="3054">
      <c r="A3054">
        <f>Skills!A22</f>
        <v/>
      </c>
      <c r="B3054">
        <f>Skills!B22</f>
        <v/>
      </c>
      <c r="C3054">
        <f>TRUE</f>
        <v/>
      </c>
      <c r="D3054">
        <f>IF(Skills!C22=1,60+Inputs!$B$25+Inputs!$B$29,IF(Skills!C22=2,90+Inputs!$B$26+Inputs!$B$29,IF(Skills!C22=3,120+Inputs!$B$27+Inputs!$B$29,MAX(0,(Inputs!$B$3-100)*3)+Inputs!$B$28+Inputs!$B$29)))</f>
        <v/>
      </c>
      <c r="E3054">
        <f>INDEX(FactorTable!$B$2:$Y$301, MATCH(ROUND(MIN(300,MAX(1,D3054)),0), FactorTable!$A$2:$A$301,0), Skills!M22+1)</f>
        <v/>
      </c>
      <c r="F3054">
        <f>IF(Skills!N22=TRUE,(Skills!L22/10)*(E3054/1000),Skills!L22/10)+Skills!O22</f>
        <v/>
      </c>
      <c r="G3054">
        <f>Calc!G22</f>
        <v/>
      </c>
      <c r="H3054">
        <f>Calc!H22</f>
        <v/>
      </c>
      <c r="I3054">
        <f>IF(Skills!X22&lt;&gt;"",1+(Skills!X22/10)*(Z3035/1000)/100,1)</f>
        <v/>
      </c>
      <c r="J3054" t="inlineStr"/>
      <c r="K3054" t="inlineStr"/>
      <c r="L3054" t="inlineStr"/>
      <c r="M3054" t="inlineStr"/>
      <c r="N3054" t="inlineStr"/>
      <c r="O3054">
        <f>(1-Summary!$B$11)*S3054+Summary!$B$11*U3054</f>
        <v/>
      </c>
      <c r="P3054">
        <f>IF(B3073=0,0,O3054/B3073)</f>
        <v/>
      </c>
      <c r="Q3054">
        <f>IFERROR(1/(IF(Inputs!$B$38="pvp",15,MAX(0.1,Skills!E22-IF(Skills!F22=TRUE,3.5,0)))*(1-IF(AND(ArtifactsInput!$M$27,Inputs!$B$4="Chapter Hunt"),CHOOSE(ArtifactsInput!$N$27+1,20,24,28,32,36,40),0)/100)),0)</f>
        <v/>
      </c>
      <c r="R3054" t="n">
        <v>0</v>
      </c>
      <c r="S3054" t="n">
        <v>0</v>
      </c>
      <c r="U3054" t="n">
        <v>0</v>
      </c>
    </row>
    <row r="3055">
      <c r="A3055">
        <f>Skills!A23</f>
        <v/>
      </c>
      <c r="B3055">
        <f>Skills!B23</f>
        <v/>
      </c>
      <c r="C3055">
        <f>TRUE</f>
        <v/>
      </c>
      <c r="D3055">
        <f>IF(Skills!C23=1,60+Inputs!$B$25+Inputs!$B$29,IF(Skills!C23=2,90+Inputs!$B$26+Inputs!$B$29,IF(Skills!C23=3,120+Inputs!$B$27+Inputs!$B$29,MAX(0,(Inputs!$B$3-100)*3)+Inputs!$B$28+Inputs!$B$29)))</f>
        <v/>
      </c>
      <c r="E3055">
        <f>INDEX(FactorTable!$B$2:$Y$301, MATCH(ROUND(MIN(300,MAX(1,D3055)),0), FactorTable!$A$2:$A$301,0), Skills!M23+1)</f>
        <v/>
      </c>
      <c r="F3055">
        <f>IF(Skills!N23=TRUE,(Skills!L23/10)*(E3055/1000),Skills!L23/10)+Skills!O23</f>
        <v/>
      </c>
      <c r="G3055">
        <f>Calc!G23</f>
        <v/>
      </c>
      <c r="H3055">
        <f>Calc!H23</f>
        <v/>
      </c>
      <c r="I3055">
        <f>IF(Skills!X23&lt;&gt;"",1+(Skills!X23/10)*(Z3035/1000)/100,1)</f>
        <v/>
      </c>
      <c r="J3055" t="inlineStr"/>
      <c r="K3055" t="inlineStr"/>
      <c r="L3055" t="inlineStr"/>
      <c r="M3055" t="inlineStr"/>
      <c r="N3055" t="inlineStr"/>
      <c r="O3055">
        <f>(1-Summary!$B$11)*S3055+Summary!$B$11*U3055</f>
        <v/>
      </c>
      <c r="P3055">
        <f>IF(B3073=0,0,O3055/B3073)</f>
        <v/>
      </c>
      <c r="Q3055">
        <f>IFERROR(1/(IF(Inputs!$B$38="pvp",15,MAX(0.1,Skills!E23-IF(Skills!F23=TRUE,3.5,0)))*(1-IF(AND(ArtifactsInput!$M$27,Inputs!$B$4="Chapter Hunt"),CHOOSE(ArtifactsInput!$N$27+1,20,24,28,32,36,40),0)/100)),0)</f>
        <v/>
      </c>
      <c r="R3055" t="n">
        <v>0</v>
      </c>
      <c r="S3055" t="n">
        <v>0</v>
      </c>
      <c r="U3055" t="n">
        <v>0</v>
      </c>
    </row>
    <row r="3056">
      <c r="A3056">
        <f>Skills!A24</f>
        <v/>
      </c>
      <c r="B3056">
        <f>Skills!B24</f>
        <v/>
      </c>
      <c r="C3056">
        <f>Inputs!$B$3&gt;=115</f>
        <v/>
      </c>
      <c r="D3056">
        <f>IF(Skills!C24=1,60+Inputs!$B$25+Inputs!$B$29,IF(Skills!C24=2,90+Inputs!$B$26+Inputs!$B$29,IF(Skills!C24=3,120+Inputs!$B$27+Inputs!$B$29,MAX(0,(Inputs!$B$3-100)*3)+Inputs!$B$28+Inputs!$B$29)))</f>
        <v/>
      </c>
      <c r="E3056">
        <f>INDEX(FactorTable!$B$2:$Y$301, MATCH(ROUND(MIN(300,MAX(1,D3056)),0), FactorTable!$A$2:$A$301,0), Skills!M24+1)</f>
        <v/>
      </c>
      <c r="F3056">
        <f>IF(Skills!N24=TRUE,(Skills!L24/10)*(E3056/1000),Skills!L24/10)+Skills!O24</f>
        <v/>
      </c>
      <c r="G3056">
        <f>Calc!G24</f>
        <v/>
      </c>
      <c r="H3056">
        <f>Calc!H24</f>
        <v/>
      </c>
      <c r="I3056">
        <f>IF(Skills!X24&lt;&gt;"",1+(Skills!X24/10)*(Z3035/1000)/100,1)</f>
        <v/>
      </c>
      <c r="J3056">
        <f>((Inputs!$B$6*(1+Inputs!$B$7/100))+(((Inputs!$B$12*(1+Inputs!$B$13/100))-(Inputs!$B$12*(1+Inputs!$B$13/100)))+0.25*(Inputs!$B$14-Inputs!$B$14))*(1+Inputs!$B$7/100))*(F3056/100)</f>
        <v/>
      </c>
      <c r="K3056">
        <f>J3056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3056)</f>
        <v/>
      </c>
      <c r="L3056">
        <f>K3056*(MIN(Inputs!$B$22+(F3054-Calc!F22),(Inputs!$B$23+(IF(ArtifactsInput!$M$15,CHOOSE(ArtifactsInput!$N$15+1,25,30,35,40,45,50)/100*(Inputs!$B$11-Inputs!$B$11),0))))/100+(Inputs!$B$23+(IF(ArtifactsInput!$M$15,CHOOSE(ArtifactsInput!$N$15+1,25,30,35,40,45,50)/100*(Inputs!$B$11-Inputs!$B$11),0)))/100)/2</f>
        <v/>
      </c>
      <c r="M3056">
        <f>L3056*(1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6">
        <f>L3056*(1-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3056*(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6">
        <f>(1-Summary!$B$11)*S3056+Summary!$B$11*U3056</f>
        <v/>
      </c>
      <c r="P3056">
        <f>IF(B3073=0,0,O3056/B3073)</f>
        <v/>
      </c>
      <c r="Q3056">
        <f>IFERROR(1/(IF(Inputs!$B$38="pvp",15,MAX(0.1,Skills!E24-IF(Skills!F24=TRUE,3.5,0)))*(1-IF(AND(ArtifactsInput!$M$27,Inputs!$B$4="Chapter Hunt"),CHOOSE(ArtifactsInput!$N$27+1,20,24,28,32,36,40),0)/100)),0)</f>
        <v/>
      </c>
      <c r="R3056">
        <f>IF(AND(Inputs!$B$38&lt;&gt;"pvp",Inputs!$B$43&gt;0),IF(MAX(0,Inputs!$B$43-B3070)&lt;=0,0,(INT(MAX(0,Inputs!$B$43-B3070)/(IF(Inputs!$B$38="pvp",15,MAX(0.1,Skills!E24-IF(Skills!F24=TRUE,3.5,0)))*(1-IF(AND(ArtifactsInput!$M$27,Inputs!$B$4="Chapter Hunt"),CHOOSE(ArtifactsInput!$N$27+1,20,24,28,32,36,40),0)/100)))+1)),0)</f>
        <v/>
      </c>
      <c r="S3056">
        <f>IF(C3056,(H3056*N3056*IF(AND(Inputs!$B$38&lt;&gt;"pvp",Inputs!$B$43&gt;0),((Skills!G24*((R3056-1)*IF(Skills!H24&gt;0,Skills!I24/Skills!H24,1)+IF(Skills!H24&gt;0,MIN(Skills!I24,MAX(0,MAX(0,Inputs!$B$43-B3070)-((R3056-1)*(IF(Inputs!$B$38="pvp",15,MAX(0.1,Skills!E24-IF(Skills!F24=TRUE,3.5,0)))*(1-IF(AND(ArtifactsInput!$M$27,Inputs!$B$4="Chapter Hunt"),CHOOSE(ArtifactsInput!$N$27+1,20,24,28,32,36,40),0)/100)))))/Skills!H24,1)))/Inputs!$B$43),G3056*Q3056)*(1+IF(Inputs!$B$3&gt;=130,0.2*(Skills!I16/Skills!E15+IF(Inputs!$B$3&gt;=126,0.05*(B3068+Q3045+(H3046*B3069)/(1+Skills!H14*H3046*B3069)+Q3056),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3056*(1-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3056*(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3056*(1-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3056*(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56">
        <f>IF(C3056,(H3056*N3056*IF(AND(Inputs!$B$38&lt;&gt;"pvp",Inputs!$B$43&gt;0),((Skills!G24*((R3056-1)*IF(Skills!H24&gt;0,Skills!I24/Skills!H24,1)+IF(Skills!H24&gt;0,MIN(Skills!I24,MAX(0,MAX(0,Inputs!$B$43-B3070)-((R3056-1)*(IF(Inputs!$B$38="pvp",15,MAX(0.1,Skills!E24-IF(Skills!F24=TRUE,3.5,0)))*(1-IF(AND(ArtifactsInput!$M$27,Inputs!$B$4="Chapter Hunt"),CHOOSE(ArtifactsInput!$N$27+1,20,24,28,32,36,40),0)/100)))))/Skills!H24,1)))/Inputs!$B$43),G3056*Q3056)*(1+IF(Inputs!$B$3&gt;=130,0.2*(Skills!I16/Skills!E15+IF(Inputs!$B$3&gt;=126,0.05*(B3068+Q3045+(H3046*B3069)/(1+Skills!H14*H3046*B3069)+Q3056),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7">
      <c r="A3057">
        <f>Skills!A25</f>
        <v/>
      </c>
      <c r="B3057">
        <f>Skills!B25</f>
        <v/>
      </c>
      <c r="C3057">
        <f>Inputs!$B$3&gt;=117</f>
        <v/>
      </c>
      <c r="D3057">
        <f>IF(Skills!C25=1,60+Inputs!$B$25+Inputs!$B$29,IF(Skills!C25=2,90+Inputs!$B$26+Inputs!$B$29,IF(Skills!C25=3,120+Inputs!$B$27+Inputs!$B$29,MAX(0,(Inputs!$B$3-100)*3)+Inputs!$B$28+Inputs!$B$29)))</f>
        <v/>
      </c>
      <c r="E3057">
        <f>INDEX(FactorTable!$B$2:$Y$301, MATCH(ROUND(MIN(300,MAX(1,D3057)),0), FactorTable!$A$2:$A$301,0), Skills!M25+1)</f>
        <v/>
      </c>
      <c r="F3057">
        <f>IF(Skills!N25=TRUE,(Skills!L25/10)*(E3057/1000),Skills!L25/10)+Skills!O25</f>
        <v/>
      </c>
      <c r="G3057">
        <f>Calc!G25</f>
        <v/>
      </c>
      <c r="H3057">
        <f>Calc!H25</f>
        <v/>
      </c>
      <c r="I3057">
        <f>IF(Skills!X25&lt;&gt;"",1+(Skills!X25/10)*(Z3035/1000)/100,1)</f>
        <v/>
      </c>
      <c r="J3057" t="inlineStr"/>
      <c r="K3057" t="inlineStr"/>
      <c r="L3057" t="inlineStr"/>
      <c r="M3057" t="inlineStr"/>
      <c r="N3057" t="inlineStr"/>
      <c r="O3057">
        <f>(1-Summary!$B$11)*S3057+Summary!$B$11*U3057</f>
        <v/>
      </c>
      <c r="P3057">
        <f>IF(B3073=0,0,O3057/B3073)</f>
        <v/>
      </c>
      <c r="Q3057">
        <f>IFERROR(1/(IF(Inputs!$B$38="pvp",15,MAX(0.1,Skills!E25-IF(Skills!F25=TRUE,3.5,0)))*(1-IF(AND(ArtifactsInput!$M$27,Inputs!$B$4="Chapter Hunt"),CHOOSE(ArtifactsInput!$N$27+1,20,24,28,32,36,40),0)/100)),0)</f>
        <v/>
      </c>
      <c r="R3057" t="n">
        <v>0</v>
      </c>
      <c r="S3057" t="n">
        <v>0</v>
      </c>
      <c r="U3057" t="n">
        <v>0</v>
      </c>
    </row>
    <row r="3058">
      <c r="A3058">
        <f>Skills!A26</f>
        <v/>
      </c>
      <c r="B3058">
        <f>Skills!B26</f>
        <v/>
      </c>
      <c r="C3058">
        <f>Inputs!$B$3&gt;=120</f>
        <v/>
      </c>
      <c r="D3058">
        <f>IF(Skills!C26=1,60+Inputs!$B$25+Inputs!$B$29,IF(Skills!C26=2,90+Inputs!$B$26+Inputs!$B$29,IF(Skills!C26=3,120+Inputs!$B$27+Inputs!$B$29,MAX(0,(Inputs!$B$3-100)*3)+Inputs!$B$28+Inputs!$B$29)))</f>
        <v/>
      </c>
      <c r="E3058">
        <f>INDEX(FactorTable!$B$2:$Y$301, MATCH(ROUND(MIN(300,MAX(1,D3058)),0), FactorTable!$A$2:$A$301,0), Skills!M26+1)</f>
        <v/>
      </c>
      <c r="F3058">
        <f>IF(Skills!N26=TRUE,(Skills!L26/10)*(E3058/1000),Skills!L26/10)+Skills!O26</f>
        <v/>
      </c>
      <c r="G3058">
        <f>Calc!G26</f>
        <v/>
      </c>
      <c r="H3058">
        <f>Calc!H26</f>
        <v/>
      </c>
      <c r="I3058">
        <f>IF(Skills!X26&lt;&gt;"",1+(Skills!X26/10)*(Z3035/1000)/100,1)</f>
        <v/>
      </c>
      <c r="J3058" t="inlineStr"/>
      <c r="K3058" t="inlineStr"/>
      <c r="L3058" t="inlineStr"/>
      <c r="M3058" t="inlineStr"/>
      <c r="N3058" t="inlineStr"/>
      <c r="O3058">
        <f>(1-Summary!$B$11)*S3058+Summary!$B$11*U3058</f>
        <v/>
      </c>
      <c r="P3058">
        <f>IF(B3073=0,0,O3058/B3073)</f>
        <v/>
      </c>
      <c r="Q3058">
        <f>IFERROR(1/(IF(Inputs!$B$38="pvp",15,MAX(0.1,Skills!E26-IF(Skills!F26=TRUE,3.5,0)))*(1-IF(AND(ArtifactsInput!$M$27,Inputs!$B$4="Chapter Hunt"),CHOOSE(ArtifactsInput!$N$27+1,20,24,28,32,36,40),0)/100)),0)</f>
        <v/>
      </c>
      <c r="R3058" t="n">
        <v>0</v>
      </c>
      <c r="S3058" t="n">
        <v>0</v>
      </c>
      <c r="U3058" t="n">
        <v>0</v>
      </c>
    </row>
    <row r="3059">
      <c r="A3059">
        <f>Skills!A27</f>
        <v/>
      </c>
      <c r="B3059">
        <f>Skills!B27</f>
        <v/>
      </c>
      <c r="C3059">
        <f>Inputs!$B$3&gt;=125</f>
        <v/>
      </c>
      <c r="D3059">
        <f>IF(Skills!C27=1,60+Inputs!$B$25+Inputs!$B$29,IF(Skills!C27=2,90+Inputs!$B$26+Inputs!$B$29,IF(Skills!C27=3,120+Inputs!$B$27+Inputs!$B$29,MAX(0,(Inputs!$B$3-100)*3)+Inputs!$B$28+Inputs!$B$29)))</f>
        <v/>
      </c>
      <c r="E3059">
        <f>INDEX(FactorTable!$B$2:$Y$301, MATCH(ROUND(MIN(300,MAX(1,D3059)),0), FactorTable!$A$2:$A$301,0), Skills!M27+1)</f>
        <v/>
      </c>
      <c r="F3059">
        <f>IF(Skills!N27=TRUE,(Skills!L27/10)*(E3059/1000),Skills!L27/10)+Skills!O27</f>
        <v/>
      </c>
      <c r="G3059">
        <f>Calc!G27</f>
        <v/>
      </c>
      <c r="H3059">
        <f>Calc!H27</f>
        <v/>
      </c>
      <c r="I3059">
        <f>IF(Skills!X27&lt;&gt;"",1+(Skills!X27/10)*(Z3035/1000)/100,1)</f>
        <v/>
      </c>
      <c r="J3059" t="inlineStr"/>
      <c r="K3059" t="inlineStr"/>
      <c r="L3059" t="inlineStr"/>
      <c r="M3059" t="inlineStr"/>
      <c r="N3059" t="inlineStr"/>
      <c r="O3059">
        <f>(1-Summary!$B$11)*S3059+Summary!$B$11*U3059</f>
        <v/>
      </c>
      <c r="P3059">
        <f>IF(B3073=0,0,O3059/B3073)</f>
        <v/>
      </c>
      <c r="Q3059">
        <f>IFERROR(1/(IF(Inputs!$B$38="pvp",15,MAX(0.1,Skills!E27-IF(Skills!F27=TRUE,3.5,0)))*(1-IF(AND(ArtifactsInput!$M$27,Inputs!$B$4="Chapter Hunt"),CHOOSE(ArtifactsInput!$N$27+1,20,24,28,32,36,40),0)/100)),0)</f>
        <v/>
      </c>
      <c r="R3059" t="n">
        <v>0</v>
      </c>
      <c r="S3059" t="n">
        <v>0</v>
      </c>
      <c r="U3059" t="n">
        <v>0</v>
      </c>
    </row>
    <row r="3060">
      <c r="A3060">
        <f>Skills!A28</f>
        <v/>
      </c>
      <c r="B3060">
        <f>Skills!B28</f>
        <v/>
      </c>
      <c r="C3060">
        <f>Inputs!$B$3&gt;=118</f>
        <v/>
      </c>
      <c r="D3060">
        <f>IF(Skills!C28=1,60+Inputs!$B$25+Inputs!$B$29,IF(Skills!C28=2,90+Inputs!$B$26+Inputs!$B$29,IF(Skills!C28=3,120+Inputs!$B$27+Inputs!$B$29,MAX(0,(Inputs!$B$3-100)*3)+Inputs!$B$28+Inputs!$B$29)))</f>
        <v/>
      </c>
      <c r="E3060">
        <f>INDEX(FactorTable!$B$2:$Y$301, MATCH(ROUND(MIN(300,MAX(1,D3060)),0), FactorTable!$A$2:$A$301,0), Skills!M28+1)</f>
        <v/>
      </c>
      <c r="F3060">
        <f>IF(Skills!N28=TRUE,(Skills!L28/10)*(E3060/1000),Skills!L28/10)+Skills!O28</f>
        <v/>
      </c>
      <c r="G3060">
        <f>Calc!G28</f>
        <v/>
      </c>
      <c r="H3060">
        <f>Calc!H28</f>
        <v/>
      </c>
      <c r="I3060">
        <f>IF(Skills!X28&lt;&gt;"",1+(Skills!X28/10)*(Z3035/1000)/100,1)</f>
        <v/>
      </c>
      <c r="J3060">
        <f>((Inputs!$B$6*(1+Inputs!$B$7/100))+(((Inputs!$B$12*(1+Inputs!$B$13/100))-(Inputs!$B$12*(1+Inputs!$B$13/100)))+0.25*(Inputs!$B$14-Inputs!$B$14))*(1+Inputs!$B$7/100))*(F3060/100)</f>
        <v/>
      </c>
      <c r="K3060">
        <f>J3060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3055/100)*(1+IF(Inputs!$B$3&gt;=120,F3058,0)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3059*5,0)))/100)*(B3062*B3063*B3064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3060)</f>
        <v/>
      </c>
      <c r="L3060">
        <f>K3060*(MIN(Inputs!$B$22+(F3054-Calc!F22),(Inputs!$B$23+(IF(ArtifactsInput!$M$15,CHOOSE(ArtifactsInput!$N$15+1,25,30,35,40,45,50)/100*(Inputs!$B$11-Inputs!$B$11),0))))/100+(Inputs!$B$23+(IF(ArtifactsInput!$M$15,CHOOSE(ArtifactsInput!$N$15+1,25,30,35,40,45,50)/100*(Inputs!$B$11-Inputs!$B$11),0)))/100)/2</f>
        <v/>
      </c>
      <c r="M3060">
        <f>L3060*(1+(Inputs!$B$10+(F3053-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0">
        <f>L3060*(1-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3060*(MIN((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0">
        <f>(1-Summary!$B$11)*S3060+Summary!$B$11*U3060</f>
        <v/>
      </c>
      <c r="P3060">
        <f>IF(B3073=0,0,O3060/B3073)</f>
        <v/>
      </c>
      <c r="Q3060">
        <f>IFERROR(1/(IF(Inputs!$B$38="pvp",15,MAX(0.1,Skills!E28-IF(Skills!F28=TRUE,3.5,0)))*(1-IF(AND(ArtifactsInput!$M$27,Inputs!$B$4="Chapter Hunt"),CHOOSE(ArtifactsInput!$N$27+1,20,24,28,32,36,40),0)/100)),0)</f>
        <v/>
      </c>
      <c r="R3060">
        <f>IF(AND(Inputs!$B$38&lt;&gt;"pvp",Inputs!$B$43&gt;0),IF(MAX(0,Inputs!$B$43-B3070)&lt;=0,0,(INT(MAX(0,Inputs!$B$43-B3070)/(IF(Inputs!$B$38="pvp",15,MAX(0.1,Skills!E28-IF(Skills!F28=TRUE,3.5,0)))*(1-IF(AND(ArtifactsInput!$M$27,Inputs!$B$4="Chapter Hunt"),CHOOSE(ArtifactsInput!$N$27+1,20,24,28,32,36,40),0)/100)))+1)),0)</f>
        <v/>
      </c>
      <c r="S3060">
        <f>IF(C3060,(H3060*N3060*IF(AND(Inputs!$B$38&lt;&gt;"pvp",Inputs!$B$43&gt;0),((Skills!G28*((R3060-1)*IF(Skills!H28&gt;0,Skills!I28/Skills!H28,1)+IF(Skills!H28&gt;0,MIN(Skills!I28,MAX(0,MAX(0,Inputs!$B$43-B3070)-((R3060-1)*(IF(Inputs!$B$38="pvp",15,MAX(0.1,Skills!E28-IF(Skills!F28=TRUE,3.5,0)))*(1-IF(AND(ArtifactsInput!$M$27,Inputs!$B$4="Chapter Hunt"),CHOOSE(ArtifactsInput!$N$27+1,20,24,28,32,36,40),0)/100)))))/Skills!H28,1)))/Inputs!$B$43),G3060*Q3060))*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3060*(1-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3060*(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3060*(1-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3060*(MIN(100,(Inputs!$B$9+(F3052-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60">
        <f>IF(C3060,(H3060*N3060*IF(AND(Inputs!$B$38&lt;&gt;"pvp",Inputs!$B$43&gt;0),((Skills!G28*((R3060-1)*IF(Skills!H28&gt;0,Skills!I28/Skills!H28,1)+IF(Skills!H28&gt;0,MIN(Skills!I28,MAX(0,MAX(0,Inputs!$B$43-B3070)-((R3060-1)*(IF(Inputs!$B$38="pvp",15,MAX(0.1,Skills!E28-IF(Skills!F28=TRUE,3.5,0)))*(1-IF(AND(ArtifactsInput!$M$27,Inputs!$B$4="Chapter Hunt"),CHOOSE(ArtifactsInput!$N$27+1,20,24,28,32,36,40),0)/100)))))/Skills!H28,1)))/Inputs!$B$43),G3060*Q3060))*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2">
      <c r="A3062" t="inlineStr">
        <is>
          <t>Burning Magic Multiplier</t>
        </is>
      </c>
      <c r="B3062">
        <f>1+(F3043*Skills!Z11)/100</f>
        <v/>
      </c>
    </row>
    <row r="3063">
      <c r="A3063" t="inlineStr">
        <is>
          <t>Elemental Decrease Multiplier (always-on)</t>
        </is>
      </c>
      <c r="B3063">
        <f>1+(F3044+(IF(AND(ArtifactsInput!$M$35,Inputs!$B$4&lt;&gt;"Chapter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f>
        <v/>
      </c>
    </row>
    <row r="3064">
      <c r="A3064" t="inlineStr">
        <is>
          <t>Average Buff Multiplier (Magic Guard + Meditation + Artifact Attack%, summed; then Infinity)</t>
        </is>
      </c>
      <c r="B3064">
        <f>(1+(F3038*IF(AND(Inputs!$B$38&lt;&gt;"pvp",Inputs!$B$43&gt;0),(((R3038-1)*(Skills!T6*(1+((Inputs!$B$34+(ArtifactsInput!$M$7-ArtifactsInput!$M$7)*CHOOSE(ArtifactsInput!$N$7+1,6,7.2,8.4,9.6,10.8,12)))/100))+MIN((Skills!T6*(1+((Inputs!$B$34+(ArtifactsInput!$M$7-ArtifactsInput!$M$7)*CHOOSE(ArtifactsInput!$N$7+1,6,7.2,8.4,9.6,10.8,12)))/100)),MAX(0,Inputs!$B$43-((R3038-1)*Skills!E6))))/Inputs!$B$43),IF(Inputs!$B$38="pvp",MIN((Skills!T6*(1+((Inputs!$B$34+(ArtifactsInput!$M$7-ArtifactsInput!$M$7)*CHOOSE(ArtifactsInput!$N$7+1,6,7.2,8.4,9.6,10.8,12)))/100)),15)/15,(Skills!T6*(1+((Inputs!$B$34+(ArtifactsInput!$M$7-ArtifactsInput!$M$7)*CHOOSE(ArtifactsInput!$N$7+1,6,7.2,8.4,9.6,10.8,12)))/100))/Skills!E6))+F3049*IF(AND(Inputs!$B$38&lt;&gt;"pvp",Inputs!$B$43&gt;0),(((R3049-1)*(Skills!T17*(1+((Inputs!$B$34+(ArtifactsInput!$M$7-ArtifactsInput!$M$7)*CHOOSE(ArtifactsInput!$N$7+1,6,7.2,8.4,9.6,10.8,12)))/100))+MIN((Skills!T17*(1+((Inputs!$B$34+(ArtifactsInput!$M$7-ArtifactsInput!$M$7)*CHOOSE(ArtifactsInput!$N$7+1,6,7.2,8.4,9.6,10.8,12)))/100)),MAX(0,Inputs!$B$43-((R3049-1)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3051=TRUE,(1+F3051*IF(AND(Inputs!$B$38&lt;&gt;"pvp",Inputs!$B$43&gt;0),(((R3051-1)*(Skills!T19*(1+((Inputs!$B$34+(ArtifactsInput!$M$7-ArtifactsInput!$M$7)*CHOOSE(ArtifactsInput!$N$7+1,6,7.2,8.4,9.6,10.8,12)))/100))+MIN((Skills!T19*(1+((Inputs!$B$34+(ArtifactsInput!$M$7-ArtifactsInput!$M$7)*CHOOSE(ArtifactsInput!$N$7+1,6,7.2,8.4,9.6,10.8,12)))/100)),MAX(0,Inputs!$B$43-((R3051-1)*Skills!E19))))/Inputs!$B$43),IF(Inputs!$B$38="pvp",MIN((Skills!T19*(1+((Inputs!$B$34+(ArtifactsInput!$M$7-ArtifactsInput!$M$7)*CHOOSE(ArtifactsInput!$N$7+1,6,7.2,8.4,9.6,10.8,12)))/100)),15)/15,(Skills!T19*(1+((Inputs!$B$34+(ArtifactsInput!$M$7-ArtifactsInput!$M$7)*CHOOSE(ArtifactsInput!$N$7+1,6,7.2,8.4,9.6,10.8,12)))/100))/Skills!E19))/100),1)</f>
        <v/>
      </c>
    </row>
    <row r="3065">
      <c r="A3065" t="inlineStr">
        <is>
          <t>Attack Speed Buff Bonus % (Nimble Feet, averaged)</t>
        </is>
      </c>
      <c r="B3065">
        <f>F3050*IF(AND(Inputs!$B$38&lt;&gt;"pvp",Inputs!$B$43&gt;0),(((R3050-1)*(Skills!T18*(1+((Inputs!$B$34+(ArtifactsInput!$M$7-ArtifactsInput!$M$7)*CHOOSE(ArtifactsInput!$N$7+1,6,7.2,8.4,9.6,10.8,12)))/100))+MIN((Skills!T18*(1+((Inputs!$B$34+(ArtifactsInput!$M$7-ArtifactsInput!$M$7)*CHOOSE(ArtifactsInput!$N$7+1,6,7.2,8.4,9.6,10.8,12)))/100)),MAX(0,Inputs!$B$43-((R3050-1)*Skills!E18))))/Inputs!$B$43),IF(Inputs!$B$38="pvp",MIN((Skills!T18*(1+((Inputs!$B$34+(ArtifactsInput!$M$7-ArtifactsInput!$M$7)*CHOOSE(ArtifactsInput!$N$7+1,6,7.2,8.4,9.6,10.8,12)))/100)),15)/15,(Skills!T18*(1+((Inputs!$B$34+(ArtifactsInput!$M$7-ArtifactsInput!$M$7)*CHOOSE(ArtifactsInput!$N$7+1,6,7.2,8.4,9.6,10.8,12)))/100))/Skills!E18))</f>
        <v/>
      </c>
    </row>
    <row r="3066">
      <c r="A3066" t="inlineStr">
        <is>
          <t>Actions Per Second</t>
        </is>
      </c>
      <c r="B3066">
        <f>1+MIN(150,150*(1-(1-(Inputs!$B$11+(ArtifactsInput!$M$15-ArtifactsInput!$M$15)*CHOOSE(ArtifactsInput!$N$15+1,8,9.6,11.2,12.8,14.4,16))/150)*(1-B3065/150)))/100</f>
        <v/>
      </c>
    </row>
    <row r="3067">
      <c r="A3067" t="inlineStr">
        <is>
          <t>Skill + Buff Cast Rate</t>
        </is>
      </c>
      <c r="B3067">
        <f>IF(AND(Inputs!$B$38&lt;&gt;"pvp",Inputs!$B$43&gt;0),SUMPRODUCT((Skills!F2:F28=TRUE)*(C3034:C3060=TRUE)*R3034:R3060)/Inputs!$B$43,SUMPRODUCT((Skills!F2:F28=TRUE)*(C3034:C3060=TRUE)*Q3034:Q3060))</f>
        <v/>
      </c>
    </row>
    <row r="3068">
      <c r="A3068" t="inlineStr">
        <is>
          <t>Basic Attacks Per Second</t>
        </is>
      </c>
      <c r="B3068">
        <f>MAX(0,B3066-B3067)</f>
        <v/>
      </c>
    </row>
    <row r="3069">
      <c r="A3069" t="inlineStr">
        <is>
          <t>Meteor Proc — combined trigger cast rate</t>
        </is>
      </c>
      <c r="B3069">
        <f>IF(AND(Inputs!$B$38&lt;&gt;"pvp",Inputs!$B$43&gt;0),SUMPRODUCT((Skills!V2:V28=TRUE)*(C3034:C3060=TRUE)*R3034:R3060*Skills!W2:W28)/Inputs!$B$43,SUMPRODUCT((Skills!V2:V28=TRUE)*(C3034:C3060=TRUE)*Q3034:Q3060*Skills!W2:W28))+B3068</f>
        <v/>
      </c>
    </row>
    <row r="3070">
      <c r="A3070" t="inlineStr">
        <is>
          <t>Buff-Casting Startup Delay (s, fixed-duration only)</t>
        </is>
      </c>
      <c r="B3070">
        <f>IF(AND(Inputs!$B$38&lt;&gt;"pvp",Inputs!$B$43&gt;0),SUMPRODUCT((Skills!T2:T28&gt;0)*(Skills!F2:F28=TRUE)*(C3034:C3060=TRUE))/B3066,0)</f>
        <v/>
      </c>
    </row>
    <row r="3071">
      <c r="A3071" t="inlineStr">
        <is>
          <t>Boss-Only Total DPS (this block's swept value)</t>
        </is>
      </c>
      <c r="B3071">
        <f>SUM(S3034:S3060)</f>
        <v/>
      </c>
    </row>
    <row r="3072">
      <c r="A3072" t="inlineStr">
        <is>
          <t>Normal-Only Total DPS (this block's swept value)</t>
        </is>
      </c>
      <c r="B3072">
        <f>SUM(U3034:U3060)</f>
        <v/>
      </c>
    </row>
    <row r="3073">
      <c r="A3073" s="6" t="inlineStr">
        <is>
          <t>TOTAL DPS</t>
        </is>
      </c>
      <c r="B3073" s="6">
        <f>SUM(O3034:O3060)</f>
        <v/>
      </c>
    </row>
    <row r="3076">
      <c r="A3076" s="6" t="inlineStr">
        <is>
          <t>Stat: CDR = 4.0s</t>
        </is>
      </c>
    </row>
    <row r="3077">
      <c r="A3077" s="5" t="inlineStr">
        <is>
          <t>Key</t>
        </is>
      </c>
      <c r="B3077" s="5" t="inlineStr">
        <is>
          <t>Name</t>
        </is>
      </c>
      <c r="C3077" s="5" t="inlineStr">
        <is>
          <t>Unlocked</t>
        </is>
      </c>
      <c r="D3077" s="5" t="inlineStr">
        <is>
          <t>InputLevel</t>
        </is>
      </c>
      <c r="E3077" s="5" t="inlineStr">
        <is>
          <t>Factor</t>
        </is>
      </c>
      <c r="F3077" s="5" t="inlineStr">
        <is>
          <t>CoefficientPercent</t>
        </is>
      </c>
      <c r="G3077" s="5" t="inlineStr">
        <is>
          <t>EffectiveHits</t>
        </is>
      </c>
      <c r="H3077" s="5" t="inlineStr">
        <is>
          <t>ProcProbability</t>
        </is>
      </c>
      <c r="I3077" s="5" t="inlineStr">
        <is>
          <t>MapleHeroMultiplier</t>
        </is>
      </c>
      <c r="J3077" s="5" t="inlineStr">
        <is>
          <t>BaseDamage</t>
        </is>
      </c>
      <c r="K3077" s="5" t="inlineStr">
        <is>
          <t>BaseHitDamage</t>
        </is>
      </c>
      <c r="L3077" s="5" t="inlineStr">
        <is>
          <t>NonCritAvg</t>
        </is>
      </c>
      <c r="M3077" s="5" t="inlineStr">
        <is>
          <t>CritAvg</t>
        </is>
      </c>
      <c r="N3077" s="5" t="inlineStr">
        <is>
          <t>ExpectedDamage(perHit)</t>
        </is>
      </c>
      <c r="O3077" s="5" t="inlineStr">
        <is>
          <t>DPS</t>
        </is>
      </c>
      <c r="P3077" s="5" t="inlineStr">
        <is>
          <t>% of Total</t>
        </is>
      </c>
      <c r="R3077" t="inlineStr">
        <is>
          <t>helpers</t>
        </is>
      </c>
    </row>
    <row r="3078">
      <c r="A3078">
        <f>Skills!A2</f>
        <v/>
      </c>
      <c r="B3078">
        <f>Skills!B2</f>
        <v/>
      </c>
      <c r="C3078">
        <f>TRUE</f>
        <v/>
      </c>
      <c r="D3078" t="inlineStr"/>
      <c r="E3078" t="inlineStr"/>
      <c r="F3078">
        <f>T3080+Skills!O2</f>
        <v/>
      </c>
      <c r="G3078">
        <f>Calc!G2</f>
        <v/>
      </c>
      <c r="H3078">
        <f>Calc!H2</f>
        <v/>
      </c>
      <c r="I3078">
        <f>IF(Skills!X2&lt;&gt;"",1+(Skills!X2/10)*(Z3079/1000)/100,1)</f>
        <v/>
      </c>
      <c r="J3078">
        <f>((Inputs!$B$6*(1+Inputs!$B$7/100))+(((Inputs!$B$12*(1+Inputs!$B$13/100))-(Inputs!$B$12*(1+Inputs!$B$13/100)))+0.25*(Inputs!$B$14-Inputs!$B$14))*(1+Inputs!$B$7/100))*(F3078/100)</f>
        <v/>
      </c>
      <c r="K3078">
        <f>J3078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3078)</f>
        <v/>
      </c>
      <c r="L3078">
        <f>K3078*(MIN(Inputs!$B$22+(F3098-Calc!F22),(Inputs!$B$23+(IF(ArtifactsInput!$M$15,CHOOSE(ArtifactsInput!$N$15+1,25,30,35,40,45,50)/100*(Inputs!$B$11-Inputs!$B$11),0))))/100+(Inputs!$B$23+(IF(ArtifactsInput!$M$15,CHOOSE(ArtifactsInput!$N$15+1,25,30,35,40,45,50)/100*(Inputs!$B$11-Inputs!$B$11),0)))/100)/2</f>
        <v/>
      </c>
      <c r="M3078">
        <f>L3078*(1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8">
        <f>L3078*(1-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3078*(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8">
        <f>(1-Summary!$B$11)*S3078+Summary!$B$11*U3078</f>
        <v/>
      </c>
      <c r="P3078">
        <f>IF(B3117=0,0,O3078/B3117)</f>
        <v/>
      </c>
      <c r="Q3078">
        <f>IFERROR(1/(IF(Inputs!$B$38="pvp",15,MAX(0.1,Skills!E2-IF(Skills!F2=TRUE,4.0,0)))*(1-IF(AND(ArtifactsInput!$M$27,Inputs!$B$4="Chapter Hunt"),CHOOSE(ArtifactsInput!$N$27+1,20,24,28,32,36,40),0)/100)),0)</f>
        <v/>
      </c>
      <c r="R3078" t="n">
        <v>0</v>
      </c>
      <c r="S3078">
        <f>(Skills!G2*N3078*B3112)*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3078*(1-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3078*(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3078*(1-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3078*(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3078">
        <f>MAX(0,(Inputs!$B$3-100)*3)+Inputs!$B$28+Inputs!$B$29</f>
        <v/>
      </c>
      <c r="U3078">
        <f>(Skills!G2*N3078*B3112)*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3078">
        <f>MAX(0,(Inputs!$B$3-100)*3)+Inputs!$B$28+Inputs!$B$29</f>
        <v/>
      </c>
    </row>
    <row r="3079">
      <c r="A3079">
        <f>Skills!A3</f>
        <v/>
      </c>
      <c r="B3079">
        <f>Skills!B3</f>
        <v/>
      </c>
      <c r="C3079">
        <f>TRUE</f>
        <v/>
      </c>
      <c r="D3079">
        <f>IF(Skills!C3=1,60+Inputs!$B$25+Inputs!$B$29,IF(Skills!C3=2,90+Inputs!$B$26+Inputs!$B$29,IF(Skills!C3=3,120+Inputs!$B$27+Inputs!$B$29,MAX(0,(Inputs!$B$3-100)*3)+Inputs!$B$28+Inputs!$B$29)))</f>
        <v/>
      </c>
      <c r="E3079">
        <f>INDEX(FactorTable!$B$2:$Y$301, MATCH(ROUND(MIN(300,MAX(1,D3079)),0), FactorTable!$A$2:$A$301,0), Skills!M3+1)</f>
        <v/>
      </c>
      <c r="F3079">
        <f>IF(Skills!N3=TRUE,(Skills!L3/10)*(E3079/1000),Skills!L3/10)+Skills!O3</f>
        <v/>
      </c>
      <c r="G3079">
        <f>Calc!G3</f>
        <v/>
      </c>
      <c r="H3079">
        <f>Calc!H3</f>
        <v/>
      </c>
      <c r="I3079">
        <f>IF(Skills!X3&lt;&gt;"",1+(Skills!X3/10)*(Z3079/1000)/100,1)</f>
        <v/>
      </c>
      <c r="J3079">
        <f>((Inputs!$B$6*(1+Inputs!$B$7/100))+(((Inputs!$B$12*(1+Inputs!$B$13/100))-(Inputs!$B$12*(1+Inputs!$B$13/100)))+0.25*(Inputs!$B$14-Inputs!$B$14))*(1+Inputs!$B$7/100))*(F3079/100)</f>
        <v/>
      </c>
      <c r="K3079">
        <f>J3079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3079)</f>
        <v/>
      </c>
      <c r="L3079">
        <f>K3079*(MIN(Inputs!$B$22+(F3098-Calc!F22),(Inputs!$B$23+(IF(ArtifactsInput!$M$15,CHOOSE(ArtifactsInput!$N$15+1,25,30,35,40,45,50)/100*(Inputs!$B$11-Inputs!$B$11),0))))/100+(Inputs!$B$23+(IF(ArtifactsInput!$M$15,CHOOSE(ArtifactsInput!$N$15+1,25,30,35,40,45,50)/100*(Inputs!$B$11-Inputs!$B$11),0)))/100)/2</f>
        <v/>
      </c>
      <c r="M3079">
        <f>L3079*(1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9">
        <f>L3079*(1-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3079*(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9">
        <f>(1-Summary!$B$11)*S3079+Summary!$B$11*U3079</f>
        <v/>
      </c>
      <c r="P3079">
        <f>IF(B3117=0,0,O3079/B3117)</f>
        <v/>
      </c>
      <c r="Q3079">
        <f>IFERROR(1/(IF(Inputs!$B$38="pvp",15,MAX(0.1,Skills!E3-IF(Skills!F3=TRUE,4.0,0)))*(1-IF(AND(ArtifactsInput!$M$27,Inputs!$B$4="Chapter Hunt"),CHOOSE(ArtifactsInput!$N$27+1,20,24,28,32,36,40),0)/100)),0)</f>
        <v/>
      </c>
      <c r="R3079">
        <f>IF(AND(Inputs!$B$38&lt;&gt;"pvp",Inputs!$B$43&gt;0),IF(MAX(0,Inputs!$B$43-B3114)&lt;=0,0,(INT(MAX(0,Inputs!$B$43-B3114)/(IF(Inputs!$B$38="pvp",15,MAX(0.1,Skills!E3-IF(Skills!F3=TRUE,4.0,0)))*(1-IF(AND(ArtifactsInput!$M$27,Inputs!$B$4="Chapter Hunt"),CHOOSE(ArtifactsInput!$N$27+1,20,24,28,32,36,40),0)/100)))+1)),0)</f>
        <v/>
      </c>
      <c r="S3079">
        <f>IF(C3079,(H3079*N3079*IF(AND(Inputs!$B$38&lt;&gt;"pvp",Inputs!$B$43&gt;0),((Skills!G3*((R3079-1)*IF(Skills!H3&gt;0,Skills!I3/Skills!H3,1)+IF(Skills!H3&gt;0,MIN(Skills!I3,MAX(0,MAX(0,Inputs!$B$43-B3114)-((R3079-1)*(IF(Inputs!$B$38="pvp",15,MAX(0.1,Skills!E3-IF(Skills!F3=TRUE,4.0,0)))*(1-IF(AND(ArtifactsInput!$M$27,Inputs!$B$4="Chapter Hunt"),CHOOSE(ArtifactsInput!$N$27+1,20,24,28,32,36,40),0)/100)))))/Skills!H3,1)))/Inputs!$B$43),G3079*Q3079))*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3079*(1-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3079*(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3079*(1-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3079*(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079">
        <f>INDEX(FactorTable!$B$2:$Y$301, MATCH(ROUND(MIN(300,MAX(1,T3078)),0), FactorTable!$A$2:$A$301,0), 22)</f>
        <v/>
      </c>
      <c r="U3079">
        <f>IF(C3079,(H3079*N3079*IF(AND(Inputs!$B$38&lt;&gt;"pvp",Inputs!$B$43&gt;0),((Skills!G3*((R3079-1)*IF(Skills!H3&gt;0,Skills!I3/Skills!H3,1)+IF(Skills!H3&gt;0,MIN(Skills!I3,MAX(0,MAX(0,Inputs!$B$43-B3114)-((R3079-1)*(IF(Inputs!$B$38="pvp",15,MAX(0.1,Skills!E3-IF(Skills!F3=TRUE,4.0,0)))*(1-IF(AND(ArtifactsInput!$M$27,Inputs!$B$4="Chapter Hunt"),CHOOSE(ArtifactsInput!$N$27+1,20,24,28,32,36,40),0)/100)))))/Skills!H3,1)))/Inputs!$B$43),G3079*Q3079))*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079">
        <f>INDEX(FactorTable!$B$2:$Y$301, MATCH(ROUND(MIN(300,MAX(1,Z3078)),0), FactorTable!$A$2:$A$301,0), 24)</f>
        <v/>
      </c>
    </row>
    <row r="3080">
      <c r="A3080">
        <f>Skills!A4</f>
        <v/>
      </c>
      <c r="B3080">
        <f>Skills!B4</f>
        <v/>
      </c>
      <c r="C3080">
        <f>TRUE</f>
        <v/>
      </c>
      <c r="D3080">
        <f>IF(Skills!C4=1,60+Inputs!$B$25+Inputs!$B$29,IF(Skills!C4=2,90+Inputs!$B$26+Inputs!$B$29,IF(Skills!C4=3,120+Inputs!$B$27+Inputs!$B$29,MAX(0,(Inputs!$B$3-100)*3)+Inputs!$B$28+Inputs!$B$29)))</f>
        <v/>
      </c>
      <c r="E3080">
        <f>INDEX(FactorTable!$B$2:$Y$301, MATCH(ROUND(MIN(300,MAX(1,D3080)),0), FactorTable!$A$2:$A$301,0), Skills!M4+1)</f>
        <v/>
      </c>
      <c r="F3080">
        <f>IF(Skills!N4=TRUE,(Skills!L4/10)*(E3080/1000),Skills!L4/10)+Skills!O4</f>
        <v/>
      </c>
      <c r="G3080">
        <f>Calc!G4</f>
        <v/>
      </c>
      <c r="H3080">
        <f>Calc!H4</f>
        <v/>
      </c>
      <c r="I3080">
        <f>IF(Skills!X4&lt;&gt;"",1+(Skills!X4/10)*(Z3079/1000)/100,1)</f>
        <v/>
      </c>
      <c r="J3080">
        <f>((Inputs!$B$6*(1+Inputs!$B$7/100))+(((Inputs!$B$12*(1+Inputs!$B$13/100))-(Inputs!$B$12*(1+Inputs!$B$13/100)))+0.25*(Inputs!$B$14-Inputs!$B$14))*(1+Inputs!$B$7/100))*(F3080/100)</f>
        <v/>
      </c>
      <c r="K3080">
        <f>J3080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3080)</f>
        <v/>
      </c>
      <c r="L3080">
        <f>K3080*(MIN(Inputs!$B$22+(F3098-Calc!F22),(Inputs!$B$23+(IF(ArtifactsInput!$M$15,CHOOSE(ArtifactsInput!$N$15+1,25,30,35,40,45,50)/100*(Inputs!$B$11-Inputs!$B$11),0))))/100+(Inputs!$B$23+(IF(ArtifactsInput!$M$15,CHOOSE(ArtifactsInput!$N$15+1,25,30,35,40,45,50)/100*(Inputs!$B$11-Inputs!$B$11),0)))/100)/2</f>
        <v/>
      </c>
      <c r="M3080">
        <f>L3080*(1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0">
        <f>L3080*(1-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3080*(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0">
        <f>(1-Summary!$B$11)*S3080+Summary!$B$11*U3080</f>
        <v/>
      </c>
      <c r="P3080">
        <f>IF(B3117=0,0,O3080/B3117)</f>
        <v/>
      </c>
      <c r="Q3080">
        <f>IFERROR(1/(IF(Inputs!$B$38="pvp",15,MAX(0.1,Skills!E4-IF(Skills!F4=TRUE,4.0,0)))*(1-IF(AND(ArtifactsInput!$M$27,Inputs!$B$4="Chapter Hunt"),CHOOSE(ArtifactsInput!$N$27+1,20,24,28,32,36,40),0)/100)),0)</f>
        <v/>
      </c>
      <c r="R3080">
        <f>IF(AND(Inputs!$B$38&lt;&gt;"pvp",Inputs!$B$43&gt;0),IF(MAX(0,Inputs!$B$43-B3114)&lt;=0,0,(INT(MAX(0,Inputs!$B$43-B3114)/(IF(Inputs!$B$38="pvp",15,MAX(0.1,Skills!E4-IF(Skills!F4=TRUE,4.0,0)))*(1-IF(AND(ArtifactsInput!$M$27,Inputs!$B$4="Chapter Hunt"),CHOOSE(ArtifactsInput!$N$27+1,20,24,28,32,36,40),0)/100)))+1)),0)</f>
        <v/>
      </c>
      <c r="S3080">
        <f>IF(C3080,(H3080*N3080*IF(AND(Inputs!$B$38&lt;&gt;"pvp",Inputs!$B$43&gt;0),((Skills!G4*((R3080-1)*IF(Skills!H4&gt;0,Skills!I4/Skills!H4,1)+IF(Skills!H4&gt;0,MIN(Skills!I4,MAX(0,MAX(0,Inputs!$B$43-B3114)-((R3080-1)*(IF(Inputs!$B$38="pvp",15,MAX(0.1,Skills!E4-IF(Skills!F4=TRUE,4.0,0)))*(1-IF(AND(ArtifactsInput!$M$27,Inputs!$B$4="Chapter Hunt"),CHOOSE(ArtifactsInput!$N$27+1,20,24,28,32,36,40),0)/100)))))/Skills!H4,1)))/Inputs!$B$43),G3080*Q3080))*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3080*(1-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3080*(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3080*(1-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3080*(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080">
        <f>290*T3079/1000</f>
        <v/>
      </c>
      <c r="U3080">
        <f>IF(C3080,(H3080*N3080*IF(AND(Inputs!$B$38&lt;&gt;"pvp",Inputs!$B$43&gt;0),((Skills!G4*((R3080-1)*IF(Skills!H4&gt;0,Skills!I4/Skills!H4,1)+IF(Skills!H4&gt;0,MIN(Skills!I4,MAX(0,MAX(0,Inputs!$B$43-B3114)-((R3080-1)*(IF(Inputs!$B$38="pvp",15,MAX(0.1,Skills!E4-IF(Skills!F4=TRUE,4.0,0)))*(1-IF(AND(ArtifactsInput!$M$27,Inputs!$B$4="Chapter Hunt"),CHOOSE(ArtifactsInput!$N$27+1,20,24,28,32,36,40),0)/100)))))/Skills!H4,1)))/Inputs!$B$43),G3080*Q3080))*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1">
      <c r="A3081">
        <f>Skills!A5</f>
        <v/>
      </c>
      <c r="B3081">
        <f>Skills!B5</f>
        <v/>
      </c>
      <c r="C3081">
        <f>TRUE</f>
        <v/>
      </c>
      <c r="D3081">
        <f>IF(Skills!C5=1,60+Inputs!$B$25+Inputs!$B$29,IF(Skills!C5=2,90+Inputs!$B$26+Inputs!$B$29,IF(Skills!C5=3,120+Inputs!$B$27+Inputs!$B$29,MAX(0,(Inputs!$B$3-100)*3)+Inputs!$B$28+Inputs!$B$29)))</f>
        <v/>
      </c>
      <c r="E3081">
        <f>INDEX(FactorTable!$B$2:$Y$301, MATCH(ROUND(MIN(300,MAX(1,D3081)),0), FactorTable!$A$2:$A$301,0), Skills!M5+1)</f>
        <v/>
      </c>
      <c r="F3081">
        <f>IF(Skills!N5=TRUE,(Skills!L5/10)*(E3081/1000),Skills!L5/10)+Skills!O5</f>
        <v/>
      </c>
      <c r="G3081">
        <f>Calc!G5</f>
        <v/>
      </c>
      <c r="H3081">
        <f>Calc!H5</f>
        <v/>
      </c>
      <c r="I3081">
        <f>IF(Skills!X5&lt;&gt;"",1+(Skills!X5/10)*(Z3079/1000)/100,1)</f>
        <v/>
      </c>
      <c r="J3081">
        <f>((Inputs!$B$6*(1+Inputs!$B$7/100))+(((Inputs!$B$12*(1+Inputs!$B$13/100))-(Inputs!$B$12*(1+Inputs!$B$13/100)))+0.25*(Inputs!$B$14-Inputs!$B$14))*(1+Inputs!$B$7/100))*(F3081/100)</f>
        <v/>
      </c>
      <c r="K3081">
        <f>J3081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3081)</f>
        <v/>
      </c>
      <c r="L3081">
        <f>K3081*(MIN(Inputs!$B$22+(F3098-Calc!F22),(Inputs!$B$23+(IF(ArtifactsInput!$M$15,CHOOSE(ArtifactsInput!$N$15+1,25,30,35,40,45,50)/100*(Inputs!$B$11-Inputs!$B$11),0))))/100+(Inputs!$B$23+(IF(ArtifactsInput!$M$15,CHOOSE(ArtifactsInput!$N$15+1,25,30,35,40,45,50)/100*(Inputs!$B$11-Inputs!$B$11),0)))/100)/2</f>
        <v/>
      </c>
      <c r="M3081">
        <f>L3081*(1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1">
        <f>L3081*(1-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1">
        <f>(1-Summary!$B$11)*S3081+Summary!$B$11*U3081</f>
        <v/>
      </c>
      <c r="P3081">
        <f>IF(B3117=0,0,O3081/B3117)</f>
        <v/>
      </c>
      <c r="Q3081">
        <f>IFERROR(1/(IF(Inputs!$B$38="pvp",15,MAX(0.1,Skills!E5-IF(Skills!F5=TRUE,4.0,0)))*(1-IF(AND(ArtifactsInput!$M$27,Inputs!$B$4="Chapter Hunt"),CHOOSE(ArtifactsInput!$N$27+1,20,24,28,32,36,40),0)/100)),0)</f>
        <v/>
      </c>
      <c r="R3081">
        <f>IF(AND(Inputs!$B$38&lt;&gt;"pvp",Inputs!$B$43&gt;0),IF(MAX(0,Inputs!$B$43-B3114)&lt;=0,0,(INT(MAX(0,Inputs!$B$43-B3114)/(IF(Inputs!$B$38="pvp",15,MAX(0.1,Skills!E5-IF(Skills!F5=TRUE,4.0,0)))*(1-IF(AND(ArtifactsInput!$M$27,Inputs!$B$4="Chapter Hunt"),CHOOSE(ArtifactsInput!$N$27+1,20,24,28,32,36,40),0)/100)))+1)),0)</f>
        <v/>
      </c>
      <c r="S3081">
        <f>IF(C3081,(H3081*N3081*IF(AND(Inputs!$B$38&lt;&gt;"pvp",Inputs!$B$43&gt;0),((Skills!G5*((R3081-1)*IF(Skills!H5&gt;0,Skills!I5/Skills!H5,1)+IF(Skills!H5&gt;0,MIN(Skills!I5,MAX(0,MAX(0,Inputs!$B$43-B3114)-((R3081-1)*(IF(Inputs!$B$38="pvp",15,MAX(0.1,Skills!E5-IF(Skills!F5=TRUE,4.0,0)))*(1-IF(AND(ArtifactsInput!$M$27,Inputs!$B$4="Chapter Hunt"),CHOOSE(ArtifactsInput!$N$27+1,20,24,28,32,36,40),0)/100)))))/Skills!H5,1)))/Inputs!$B$43),G3081*Q3081))*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3081*(1-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3081*(1-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81">
        <f>IF(C3081,(H3081*N3081*IF(AND(Inputs!$B$38&lt;&gt;"pvp",Inputs!$B$43&gt;0),((Skills!G5*((R3081-1)*IF(Skills!H5&gt;0,Skills!I5/Skills!H5,1)+IF(Skills!H5&gt;0,MIN(Skills!I5,MAX(0,MAX(0,Inputs!$B$43-B3114)-((R3081-1)*(IF(Inputs!$B$38="pvp",15,MAX(0.1,Skills!E5-IF(Skills!F5=TRUE,4.0,0)))*(1-IF(AND(ArtifactsInput!$M$27,Inputs!$B$4="Chapter Hunt"),CHOOSE(ArtifactsInput!$N$27+1,20,24,28,32,36,40),0)/100)))))/Skills!H5,1)))/Inputs!$B$43),G3081*Q3081))*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2">
      <c r="A3082">
        <f>Skills!A6</f>
        <v/>
      </c>
      <c r="B3082">
        <f>Skills!B6</f>
        <v/>
      </c>
      <c r="C3082">
        <f>TRUE</f>
        <v/>
      </c>
      <c r="D3082">
        <f>IF(Skills!C6=1,60+Inputs!$B$25+Inputs!$B$29,IF(Skills!C6=2,90+Inputs!$B$26+Inputs!$B$29,IF(Skills!C6=3,120+Inputs!$B$27+Inputs!$B$29,MAX(0,(Inputs!$B$3-100)*3)+Inputs!$B$28+Inputs!$B$29)))</f>
        <v/>
      </c>
      <c r="E3082">
        <f>INDEX(FactorTable!$B$2:$Y$301, MATCH(ROUND(MIN(300,MAX(1,D3082)),0), FactorTable!$A$2:$A$301,0), Skills!M6+1)</f>
        <v/>
      </c>
      <c r="F3082">
        <f>IF(Skills!N6=TRUE,(Skills!L6/10)*(E3082/1000),Skills!L6/10)+Skills!O6</f>
        <v/>
      </c>
      <c r="G3082">
        <f>Calc!G6</f>
        <v/>
      </c>
      <c r="H3082">
        <f>Calc!H6</f>
        <v/>
      </c>
      <c r="I3082">
        <f>IF(Skills!X6&lt;&gt;"",1+(Skills!X6/10)*(Z3079/1000)/100,1)</f>
        <v/>
      </c>
      <c r="J3082" t="inlineStr"/>
      <c r="K3082" t="inlineStr"/>
      <c r="L3082" t="inlineStr"/>
      <c r="M3082" t="inlineStr"/>
      <c r="N3082" t="inlineStr"/>
      <c r="O3082">
        <f>(1-Summary!$B$11)*S3082+Summary!$B$11*U3082</f>
        <v/>
      </c>
      <c r="P3082">
        <f>IF(B3117=0,0,O3082/B3117)</f>
        <v/>
      </c>
      <c r="Q3082">
        <f>IFERROR(1/(IF(Inputs!$B$38="pvp",15,MAX(0.1,Skills!E6-IF(Skills!F6=TRUE,4.0,0)))*(1-IF(AND(ArtifactsInput!$M$27,Inputs!$B$4="Chapter Hunt"),CHOOSE(ArtifactsInput!$N$27+1,20,24,28,32,36,40),0)/100)),0)</f>
        <v/>
      </c>
      <c r="R3082">
        <f>IF(AND(Inputs!$B$38&lt;&gt;"pvp",Inputs!$B$43&gt;0),IF(Inputs!$B$43&lt;=0,0,(INT(Inputs!$B$43/(IF(Inputs!$B$38="pvp",15,MAX(0.1,Skills!E6-IF(Skills!F6=TRUE,4.0,0)))*(1-IF(AND(ArtifactsInput!$M$27,Inputs!$B$4="Chapter Hunt"),CHOOSE(ArtifactsInput!$N$27+1,20,24,28,32,36,40),0)/100)))+1)),0)</f>
        <v/>
      </c>
      <c r="S3082" t="n">
        <v>0</v>
      </c>
      <c r="U3082" t="n">
        <v>0</v>
      </c>
    </row>
    <row r="3083">
      <c r="A3083">
        <f>Skills!A7</f>
        <v/>
      </c>
      <c r="B3083">
        <f>Skills!B7</f>
        <v/>
      </c>
      <c r="C3083">
        <f>TRUE</f>
        <v/>
      </c>
      <c r="D3083">
        <f>IF(Skills!C7=1,60+Inputs!$B$25+Inputs!$B$29,IF(Skills!C7=2,90+Inputs!$B$26+Inputs!$B$29,IF(Skills!C7=3,120+Inputs!$B$27+Inputs!$B$29,MAX(0,(Inputs!$B$3-100)*3)+Inputs!$B$28+Inputs!$B$29)))</f>
        <v/>
      </c>
      <c r="E3083">
        <f>INDEX(FactorTable!$B$2:$Y$301, MATCH(ROUND(MIN(300,MAX(1,D3083)),0), FactorTable!$A$2:$A$301,0), Skills!M7+1)</f>
        <v/>
      </c>
      <c r="F3083">
        <f>IF(Skills!N7=TRUE,(Skills!L7/10)*(E3083/1000),Skills!L7/10)+Skills!O7</f>
        <v/>
      </c>
      <c r="G3083">
        <f>Calc!G7</f>
        <v/>
      </c>
      <c r="H3083">
        <f>Calc!H7</f>
        <v/>
      </c>
      <c r="I3083">
        <f>IF(Skills!X7&lt;&gt;"",1+(Skills!X7/10)*(Z3079/1000)/100,1)</f>
        <v/>
      </c>
      <c r="J3083">
        <f>((Inputs!$B$6*(1+Inputs!$B$7/100))+(((Inputs!$B$12*(1+Inputs!$B$13/100))-(Inputs!$B$12*(1+Inputs!$B$13/100)))+0.25*(Inputs!$B$14-Inputs!$B$14))*(1+Inputs!$B$7/100))*(F3083/100)</f>
        <v/>
      </c>
      <c r="K3083">
        <f>J3083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3083)</f>
        <v/>
      </c>
      <c r="L3083">
        <f>K3083*(MIN(Inputs!$B$22+(F3098-Calc!F22),(Inputs!$B$23+(IF(ArtifactsInput!$M$15,CHOOSE(ArtifactsInput!$N$15+1,25,30,35,40,45,50)/100*(Inputs!$B$11-Inputs!$B$11),0))))/100+(Inputs!$B$23+(IF(ArtifactsInput!$M$15,CHOOSE(ArtifactsInput!$N$15+1,25,30,35,40,45,50)/100*(Inputs!$B$11-Inputs!$B$11),0)))/100)/2</f>
        <v/>
      </c>
      <c r="M3083">
        <f>L3083*(1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3">
        <f>L3083*(1-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3083*(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3">
        <f>(1-Summary!$B$11)*S3083+Summary!$B$11*U3083</f>
        <v/>
      </c>
      <c r="P3083">
        <f>IF(B3117=0,0,O3083/B3117)</f>
        <v/>
      </c>
      <c r="Q3083">
        <f>IFERROR(1/(IF(Inputs!$B$38="pvp",15,MAX(0.1,Skills!E7-IF(Skills!F7=TRUE,4.0,0)))*(1-IF(AND(ArtifactsInput!$M$27,Inputs!$B$4="Chapter Hunt"),CHOOSE(ArtifactsInput!$N$27+1,20,24,28,32,36,40),0)/100)),0)</f>
        <v/>
      </c>
      <c r="R3083">
        <f>IF(AND(Inputs!$B$38&lt;&gt;"pvp",Inputs!$B$43&gt;0),IF(MAX(0,Inputs!$B$43-B3114)&lt;=0,0,(INT(MAX(0,Inputs!$B$43-B3114)/(IF(Inputs!$B$38="pvp",15,MAX(0.1,Skills!E7-IF(Skills!F7=TRUE,4.0,0)))*(1-IF(AND(ArtifactsInput!$M$27,Inputs!$B$4="Chapter Hunt"),CHOOSE(ArtifactsInput!$N$27+1,20,24,28,32,36,40),0)/100)))+1)),0)</f>
        <v/>
      </c>
      <c r="S3083">
        <f>IF(C3083,(H3083*N3083*IF(AND(Inputs!$B$38&lt;&gt;"pvp",Inputs!$B$43&gt;0),((Skills!G7*((R3083-1)*IF(Skills!H7&gt;0,Skills!I7/Skills!H7,1)+IF(Skills!H7&gt;0,MIN(Skills!I7,MAX(0,MAX(0,Inputs!$B$43-B3114)-((R3083-1)*(IF(Inputs!$B$38="pvp",15,MAX(0.1,Skills!E7-IF(Skills!F7=TRUE,4.0,0)))*(1-IF(AND(ArtifactsInput!$M$27,Inputs!$B$4="Chapter Hunt"),CHOOSE(ArtifactsInput!$N$27+1,20,24,28,32,36,40),0)/100)))))/Skills!H7,1)))/Inputs!$B$43),G3083*Q3083))*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3083*(1-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3083*(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3083*(1-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3083*(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83">
        <f>IF(C3083,(H3083*N3083*IF(AND(Inputs!$B$38&lt;&gt;"pvp",Inputs!$B$43&gt;0),((Skills!G7*((R3083-1)*IF(Skills!H7&gt;0,Skills!I7/Skills!H7,1)+IF(Skills!H7&gt;0,MIN(Skills!I7,MAX(0,MAX(0,Inputs!$B$43-B3114)-((R3083-1)*(IF(Inputs!$B$38="pvp",15,MAX(0.1,Skills!E7-IF(Skills!F7=TRUE,4.0,0)))*(1-IF(AND(ArtifactsInput!$M$27,Inputs!$B$4="Chapter Hunt"),CHOOSE(ArtifactsInput!$N$27+1,20,24,28,32,36,40),0)/100)))))/Skills!H7,1)))/Inputs!$B$43),G3083*Q3083))*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4">
      <c r="A3084">
        <f>Skills!A8</f>
        <v/>
      </c>
      <c r="B3084">
        <f>Skills!B8</f>
        <v/>
      </c>
      <c r="C3084">
        <f>TRUE</f>
        <v/>
      </c>
      <c r="D3084">
        <f>IF(Skills!C8=1,60+Inputs!$B$25+Inputs!$B$29,IF(Skills!C8=2,90+Inputs!$B$26+Inputs!$B$29,IF(Skills!C8=3,120+Inputs!$B$27+Inputs!$B$29,MAX(0,(Inputs!$B$3-100)*3)+Inputs!$B$28+Inputs!$B$29)))</f>
        <v/>
      </c>
      <c r="E3084">
        <f>INDEX(FactorTable!$B$2:$Y$301, MATCH(ROUND(MIN(300,MAX(1,D3084)),0), FactorTable!$A$2:$A$301,0), Skills!M8+1)</f>
        <v/>
      </c>
      <c r="F3084">
        <f>IF(Skills!N8=TRUE,(Skills!L8/10)*(E3084/1000),Skills!L8/10)+Skills!O8</f>
        <v/>
      </c>
      <c r="G3084">
        <f>Calc!G8</f>
        <v/>
      </c>
      <c r="H3084">
        <f>Calc!H8</f>
        <v/>
      </c>
      <c r="I3084">
        <f>IF(Skills!X8&lt;&gt;"",1+(Skills!X8/10)*(Z3079/1000)/100,1)</f>
        <v/>
      </c>
      <c r="J3084">
        <f>((Inputs!$B$6*(1+Inputs!$B$7/100))+(((Inputs!$B$12*(1+Inputs!$B$13/100))-(Inputs!$B$12*(1+Inputs!$B$13/100)))+0.25*(Inputs!$B$14-Inputs!$B$14))*(1+Inputs!$B$7/100))*(F3084/100)</f>
        <v/>
      </c>
      <c r="K3084">
        <f>J3084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3084)</f>
        <v/>
      </c>
      <c r="L3084">
        <f>K3084*(MIN(Inputs!$B$22+(F3098-Calc!F22),(Inputs!$B$23+(IF(ArtifactsInput!$M$15,CHOOSE(ArtifactsInput!$N$15+1,25,30,35,40,45,50)/100*(Inputs!$B$11-Inputs!$B$11),0))))/100+(Inputs!$B$23+(IF(ArtifactsInput!$M$15,CHOOSE(ArtifactsInput!$N$15+1,25,30,35,40,45,50)/100*(Inputs!$B$11-Inputs!$B$11),0)))/100)/2</f>
        <v/>
      </c>
      <c r="M3084">
        <f>L3084*(1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4">
        <f>L3084*(1-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3084*(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4">
        <f>(1-Summary!$B$11)*S3084+Summary!$B$11*U3084</f>
        <v/>
      </c>
      <c r="P3084">
        <f>IF(B3117=0,0,O3084/B3117)</f>
        <v/>
      </c>
      <c r="Q3084">
        <f>IFERROR(1/(IF(Inputs!$B$38="pvp",15,MAX(0.1,Skills!E8-IF(Skills!F8=TRUE,4.0,0)))*(1-IF(AND(ArtifactsInput!$M$27,Inputs!$B$4="Chapter Hunt"),CHOOSE(ArtifactsInput!$N$27+1,20,24,28,32,36,40),0)/100)),0)</f>
        <v/>
      </c>
      <c r="R3084">
        <f>IF(AND(Inputs!$B$38&lt;&gt;"pvp",Inputs!$B$43&gt;0),IF(MAX(0,Inputs!$B$43-B3114)&lt;=0,0,(INT(MAX(0,Inputs!$B$43-B3114)/(IF(Inputs!$B$38="pvp",15,MAX(0.1,Skills!E8-IF(Skills!F8=TRUE,4.0,0)))*(1-IF(AND(ArtifactsInput!$M$27,Inputs!$B$4="Chapter Hunt"),CHOOSE(ArtifactsInput!$N$27+1,20,24,28,32,36,40),0)/100)))+1)),0)</f>
        <v/>
      </c>
      <c r="S3084">
        <f>IF(C3084,(H3084*N3084*IF(AND(Inputs!$B$38&lt;&gt;"pvp",Inputs!$B$43&gt;0),((Skills!G8*((R3084-1)*IF(Skills!H8&gt;0,Skills!I8/Skills!H8,1)+IF(Skills!H8&gt;0,MIN(Skills!I8,MAX(0,MAX(0,Inputs!$B$43-B3114)-((R3084-1)*(IF(Inputs!$B$38="pvp",15,MAX(0.1,Skills!E8-IF(Skills!F8=TRUE,4.0,0)))*(1-IF(AND(ArtifactsInput!$M$27,Inputs!$B$4="Chapter Hunt"),CHOOSE(ArtifactsInput!$N$27+1,20,24,28,32,36,40),0)/100)))))/Skills!H8,1)))/Inputs!$B$43),G3084*Q3084))*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3084*(1-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3084*(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3084*(1-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3084*(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84">
        <f>IF(C3084,(H3084*N3084*IF(AND(Inputs!$B$38&lt;&gt;"pvp",Inputs!$B$43&gt;0),((Skills!G8*((R3084-1)*IF(Skills!H8&gt;0,Skills!I8/Skills!H8,1)+IF(Skills!H8&gt;0,MIN(Skills!I8,MAX(0,MAX(0,Inputs!$B$43-B3114)-((R3084-1)*(IF(Inputs!$B$38="pvp",15,MAX(0.1,Skills!E8-IF(Skills!F8=TRUE,4.0,0)))*(1-IF(AND(ArtifactsInput!$M$27,Inputs!$B$4="Chapter Hunt"),CHOOSE(ArtifactsInput!$N$27+1,20,24,28,32,36,40),0)/100)))))/Skills!H8,1)))/Inputs!$B$43),G3084*Q3084))*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5">
      <c r="A3085">
        <f>Skills!A9</f>
        <v/>
      </c>
      <c r="B3085">
        <f>Skills!B9</f>
        <v/>
      </c>
      <c r="C3085">
        <f>Inputs!$B$3&gt;=103</f>
        <v/>
      </c>
      <c r="D3085">
        <f>IF(Skills!C9=1,60+Inputs!$B$25+Inputs!$B$29,IF(Skills!C9=2,90+Inputs!$B$26+Inputs!$B$29,IF(Skills!C9=3,120+Inputs!$B$27+Inputs!$B$29,MAX(0,(Inputs!$B$3-100)*3)+Inputs!$B$28+Inputs!$B$29)))</f>
        <v/>
      </c>
      <c r="E3085">
        <f>INDEX(FactorTable!$B$2:$Y$301, MATCH(ROUND(MIN(300,MAX(1,D3085)),0), FactorTable!$A$2:$A$301,0), Skills!M9+1)</f>
        <v/>
      </c>
      <c r="F3085">
        <f>IF(Skills!N9=TRUE,(Skills!L9/10)*(E3085/1000),Skills!L9/10)+Skills!O9</f>
        <v/>
      </c>
      <c r="G3085">
        <f>Calc!G9</f>
        <v/>
      </c>
      <c r="H3085">
        <f>Calc!H9</f>
        <v/>
      </c>
      <c r="I3085">
        <f>IF(Skills!X9&lt;&gt;"",1+(Skills!X9/10)*(Z3079/1000)/100,1)</f>
        <v/>
      </c>
      <c r="J3085">
        <f>((Inputs!$B$6*(1+Inputs!$B$7/100))+(((Inputs!$B$12*(1+Inputs!$B$13/100))-(Inputs!$B$12*(1+Inputs!$B$13/100)))+0.25*(Inputs!$B$14-Inputs!$B$14))*(1+Inputs!$B$7/100))*(F3085/100)</f>
        <v/>
      </c>
      <c r="K3085">
        <f>J3085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3085)</f>
        <v/>
      </c>
      <c r="L3085">
        <f>K3085*(MIN(Inputs!$B$22+(F3098-Calc!F22),(Inputs!$B$23+(IF(ArtifactsInput!$M$15,CHOOSE(ArtifactsInput!$N$15+1,25,30,35,40,45,50)/100*(Inputs!$B$11-Inputs!$B$11),0))))/100+(Inputs!$B$23+(IF(ArtifactsInput!$M$15,CHOOSE(ArtifactsInput!$N$15+1,25,30,35,40,45,50)/100*(Inputs!$B$11-Inputs!$B$11),0)))/100)/2</f>
        <v/>
      </c>
      <c r="M3085">
        <f>L3085*(1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5">
        <f>L3085*(1-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3085*(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5">
        <f>(1-Summary!$B$11)*S3085+Summary!$B$11*U3085</f>
        <v/>
      </c>
      <c r="P3085">
        <f>IF(B3117=0,0,O3085/B3117)</f>
        <v/>
      </c>
      <c r="Q3085">
        <f>IFERROR(1/(IF(Inputs!$B$38="pvp",15,MAX(0.1,Skills!E9-IF(Skills!F7=TRUE,4.0,0)))*(1-IF(AND(ArtifactsInput!$M$27,Inputs!$B$4="Chapter Hunt"),CHOOSE(ArtifactsInput!$N$27+1,20,24,28,32,36,40),0)/100)),0)</f>
        <v/>
      </c>
      <c r="R3085">
        <f>IF(AND(Inputs!$B$38&lt;&gt;"pvp",Inputs!$B$43&gt;0),IF(MAX(0,Inputs!$B$43-B3114)&lt;=0,0,(INT(MAX(0,Inputs!$B$43-B3114)/(IF(Inputs!$B$38="pvp",15,MAX(0.1,Skills!E9-IF(Skills!F7=TRUE,4.0,0)))*(1-IF(AND(ArtifactsInput!$M$27,Inputs!$B$4="Chapter Hunt"),CHOOSE(ArtifactsInput!$N$27+1,20,24,28,32,36,40),0)/100)))+1)),0)</f>
        <v/>
      </c>
      <c r="S3085">
        <f>IF(C3085,(H3085*N3085*IF(AND(Inputs!$B$38&lt;&gt;"pvp",Inputs!$B$43&gt;0),((Skills!G9*((R3085-1)*IF(Skills!H9&gt;0,Skills!I9/Skills!H9,1)+IF(Skills!H9&gt;0,MIN(Skills!I9,MAX(0,MAX(0,Inputs!$B$43-B3114)-((R3085-1)*(IF(Inputs!$B$38="pvp",15,MAX(0.1,Skills!E9-IF(Skills!F7=TRUE,4.0,0)))*(1-IF(AND(ArtifactsInput!$M$27,Inputs!$B$4="Chapter Hunt"),CHOOSE(ArtifactsInput!$N$27+1,20,24,28,32,36,40),0)/100)))))/Skills!H9,1)))/Inputs!$B$43),G3085*Q3085))*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3085*(1-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3085*(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3085*(1-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3085*(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85">
        <f>IF(C3085,(H3085*N3085*IF(AND(Inputs!$B$38&lt;&gt;"pvp",Inputs!$B$43&gt;0),((Skills!G9*((R3085-1)*IF(Skills!H9&gt;0,Skills!I9/Skills!H9,1)+IF(Skills!H9&gt;0,MIN(Skills!I9,MAX(0,MAX(0,Inputs!$B$43-B3114)-((R3085-1)*(IF(Inputs!$B$38="pvp",15,MAX(0.1,Skills!E9-IF(Skills!F7=TRUE,4.0,0)))*(1-IF(AND(ArtifactsInput!$M$27,Inputs!$B$4="Chapter Hunt"),CHOOSE(ArtifactsInput!$N$27+1,20,24,28,32,36,40),0)/100)))))/Skills!H9,1)))/Inputs!$B$43),G3085*Q3085))*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6">
      <c r="A3086">
        <f>Skills!A10</f>
        <v/>
      </c>
      <c r="B3086">
        <f>Skills!B10</f>
        <v/>
      </c>
      <c r="C3086">
        <f>TRUE</f>
        <v/>
      </c>
      <c r="D3086">
        <f>IF(Skills!C10=1,60+Inputs!$B$25+Inputs!$B$29,IF(Skills!C10=2,90+Inputs!$B$26+Inputs!$B$29,IF(Skills!C10=3,120+Inputs!$B$27+Inputs!$B$29,MAX(0,(Inputs!$B$3-100)*3)+Inputs!$B$28+Inputs!$B$29)))</f>
        <v/>
      </c>
      <c r="E3086">
        <f>INDEX(FactorTable!$B$2:$Y$301, MATCH(ROUND(MIN(300,MAX(1,D3086)),0), FactorTable!$A$2:$A$301,0), Skills!M10+1)</f>
        <v/>
      </c>
      <c r="F3086">
        <f>IF(Skills!N10=TRUE,(Skills!L10/10)*(E3086/1000),Skills!L10/10)+Skills!O10</f>
        <v/>
      </c>
      <c r="G3086">
        <f>Calc!G10</f>
        <v/>
      </c>
      <c r="H3086">
        <f>Calc!H10</f>
        <v/>
      </c>
      <c r="I3086">
        <f>IF(Skills!X10&lt;&gt;"",1+(Skills!X10/10)*(Z3079/1000)/100,1)</f>
        <v/>
      </c>
      <c r="J3086">
        <f>((Inputs!$B$6*(1+Inputs!$B$7/100))+(((Inputs!$B$12*(1+Inputs!$B$13/100))-(Inputs!$B$12*(1+Inputs!$B$13/100)))+0.25*(Inputs!$B$14-Inputs!$B$14))*(1+Inputs!$B$7/100))*(F3086/100)</f>
        <v/>
      </c>
      <c r="K3086">
        <f>J3086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3086)</f>
        <v/>
      </c>
      <c r="L3086">
        <f>K3086*(MIN(Inputs!$B$22+(F3098-Calc!F22),(Inputs!$B$23+(IF(ArtifactsInput!$M$15,CHOOSE(ArtifactsInput!$N$15+1,25,30,35,40,45,50)/100*(Inputs!$B$11-Inputs!$B$11),0))))/100+(Inputs!$B$23+(IF(ArtifactsInput!$M$15,CHOOSE(ArtifactsInput!$N$15+1,25,30,35,40,45,50)/100*(Inputs!$B$11-Inputs!$B$11),0)))/100)/2</f>
        <v/>
      </c>
      <c r="M3086">
        <f>L3086*(1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6">
        <f>L3086*(1-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3086*(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6">
        <f>(1-Summary!$B$11)*S3086+Summary!$B$11*U3086</f>
        <v/>
      </c>
      <c r="P3086">
        <f>IF(B3117=0,0,O3086/B3117)</f>
        <v/>
      </c>
      <c r="Q3086">
        <f>IFERROR(1/(IF(Inputs!$B$38="pvp",15,MAX(0.1,Skills!E10-IF(Skills!F10=TRUE,4.0,0)))*(1-IF(AND(ArtifactsInput!$M$27,Inputs!$B$4="Chapter Hunt"),CHOOSE(ArtifactsInput!$N$27+1,20,24,28,32,36,40),0)/100)),0)</f>
        <v/>
      </c>
      <c r="R3086">
        <f>IF(AND(Inputs!$B$38&lt;&gt;"pvp",Inputs!$B$43&gt;0),IF(MAX(0,Inputs!$B$43-B3114)&lt;=0,0,(INT(MAX(0,Inputs!$B$43-B3114)/(IF(Inputs!$B$38="pvp",15,MAX(0.1,Skills!E10-IF(Skills!F10=TRUE,4.0,0)))*(1-IF(AND(ArtifactsInput!$M$27,Inputs!$B$4="Chapter Hunt"),CHOOSE(ArtifactsInput!$N$27+1,20,24,28,32,36,40),0)/100)))+1)),0)</f>
        <v/>
      </c>
      <c r="S3086">
        <f>IF(C3086,(H3086*N3086*IF(AND(Inputs!$B$38&lt;&gt;"pvp",Inputs!$B$43&gt;0),((Skills!G10*((R3086-1)*IF(Skills!H10&gt;0,Skills!I10/Skills!H10,1)+IF(Skills!H10&gt;0,MIN(Skills!I10,MAX(0,MAX(0,Inputs!$B$43-B3114)-((R3086-1)*(IF(Inputs!$B$38="pvp",15,MAX(0.1,Skills!E10-IF(Skills!F10=TRUE,4.0,0)))*(1-IF(AND(ArtifactsInput!$M$27,Inputs!$B$4="Chapter Hunt"),CHOOSE(ArtifactsInput!$N$27+1,20,24,28,32,36,40),0)/100)))))/Skills!H10,1)))/Inputs!$B$43),G3086*Q3086))*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3086*(1-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3086*(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3086*(1-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3086*(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86">
        <f>IF(C3086,(H3086*N3086*IF(AND(Inputs!$B$38&lt;&gt;"pvp",Inputs!$B$43&gt;0),((Skills!G10*((R3086-1)*IF(Skills!H10&gt;0,Skills!I10/Skills!H10,1)+IF(Skills!H10&gt;0,MIN(Skills!I10,MAX(0,MAX(0,Inputs!$B$43-B3114)-((R3086-1)*(IF(Inputs!$B$38="pvp",15,MAX(0.1,Skills!E10-IF(Skills!F10=TRUE,4.0,0)))*(1-IF(AND(ArtifactsInput!$M$27,Inputs!$B$4="Chapter Hunt"),CHOOSE(ArtifactsInput!$N$27+1,20,24,28,32,36,40),0)/100)))))/Skills!H10,1)))/Inputs!$B$43),G3086*Q3086))*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7">
      <c r="A3087">
        <f>Skills!A11</f>
        <v/>
      </c>
      <c r="B3087">
        <f>Skills!B11</f>
        <v/>
      </c>
      <c r="C3087">
        <f>TRUE</f>
        <v/>
      </c>
      <c r="D3087">
        <f>IF(Skills!C11=1,60+Inputs!$B$25+Inputs!$B$29,IF(Skills!C11=2,90+Inputs!$B$26+Inputs!$B$29,IF(Skills!C11=3,120+Inputs!$B$27+Inputs!$B$29,MAX(0,(Inputs!$B$3-100)*3)+Inputs!$B$28+Inputs!$B$29)))</f>
        <v/>
      </c>
      <c r="E3087">
        <f>INDEX(FactorTable!$B$2:$Y$301, MATCH(ROUND(MIN(300,MAX(1,D3087)),0), FactorTable!$A$2:$A$301,0), Skills!M11+1)</f>
        <v/>
      </c>
      <c r="F3087">
        <f>IF(Skills!N11=TRUE,(Skills!L11/10)*(E3087/1000),Skills!L11/10)+Skills!O11</f>
        <v/>
      </c>
      <c r="G3087">
        <f>Calc!G11</f>
        <v/>
      </c>
      <c r="H3087">
        <f>Calc!H11</f>
        <v/>
      </c>
      <c r="I3087">
        <f>IF(Skills!X11&lt;&gt;"",1+(Skills!X11/10)*(Z3079/1000)/100,1)</f>
        <v/>
      </c>
      <c r="J3087" t="inlineStr"/>
      <c r="K3087" t="inlineStr"/>
      <c r="L3087" t="inlineStr"/>
      <c r="M3087" t="inlineStr"/>
      <c r="N3087" t="inlineStr"/>
      <c r="O3087">
        <f>(1-Summary!$B$11)*S3087+Summary!$B$11*U3087</f>
        <v/>
      </c>
      <c r="P3087">
        <f>IF(B3117=0,0,O3087/B3117)</f>
        <v/>
      </c>
      <c r="Q3087">
        <f>IFERROR(1/(IF(Inputs!$B$38="pvp",15,MAX(0.1,Skills!E11-IF(Skills!F11=TRUE,4.0,0)))*(1-IF(AND(ArtifactsInput!$M$27,Inputs!$B$4="Chapter Hunt"),CHOOSE(ArtifactsInput!$N$27+1,20,24,28,32,36,40),0)/100)),0)</f>
        <v/>
      </c>
      <c r="R3087" t="n">
        <v>0</v>
      </c>
      <c r="S3087" t="n">
        <v>0</v>
      </c>
      <c r="U3087" t="n">
        <v>0</v>
      </c>
    </row>
    <row r="3088">
      <c r="A3088">
        <f>Skills!A12</f>
        <v/>
      </c>
      <c r="B3088">
        <f>Skills!B12</f>
        <v/>
      </c>
      <c r="C3088">
        <f>TRUE</f>
        <v/>
      </c>
      <c r="D3088">
        <f>IF(Skills!C12=1,60+Inputs!$B$25+Inputs!$B$29,IF(Skills!C12=2,90+Inputs!$B$26+Inputs!$B$29,IF(Skills!C12=3,120+Inputs!$B$27+Inputs!$B$29,MAX(0,(Inputs!$B$3-100)*3)+Inputs!$B$28+Inputs!$B$29)))</f>
        <v/>
      </c>
      <c r="E3088">
        <f>INDEX(FactorTable!$B$2:$Y$301, MATCH(ROUND(MIN(300,MAX(1,D3088)),0), FactorTable!$A$2:$A$301,0), Skills!M12+1)</f>
        <v/>
      </c>
      <c r="F3088">
        <f>IF(Skills!N12=TRUE,(Skills!L12/10)*(E3088/1000),Skills!L12/10)+Skills!O12</f>
        <v/>
      </c>
      <c r="G3088">
        <f>Calc!G12</f>
        <v/>
      </c>
      <c r="H3088">
        <f>Calc!H12</f>
        <v/>
      </c>
      <c r="I3088">
        <f>IF(Skills!X12&lt;&gt;"",1+(Skills!X12/10)*(Z3079/1000)/100,1)</f>
        <v/>
      </c>
      <c r="J3088" t="inlineStr"/>
      <c r="K3088" t="inlineStr"/>
      <c r="L3088" t="inlineStr"/>
      <c r="M3088" t="inlineStr"/>
      <c r="N3088" t="inlineStr"/>
      <c r="O3088">
        <f>(1-Summary!$B$11)*S3088+Summary!$B$11*U3088</f>
        <v/>
      </c>
      <c r="P3088">
        <f>IF(B3117=0,0,O3088/B3117)</f>
        <v/>
      </c>
      <c r="Q3088">
        <f>IFERROR(1/(IF(Inputs!$B$38="pvp",15,MAX(0.1,Skills!E12-IF(Skills!F12=TRUE,4.0,0)))*(1-IF(AND(ArtifactsInput!$M$27,Inputs!$B$4="Chapter Hunt"),CHOOSE(ArtifactsInput!$N$27+1,20,24,28,32,36,40),0)/100)),0)</f>
        <v/>
      </c>
      <c r="R3088" t="n">
        <v>0</v>
      </c>
      <c r="S3088" t="n">
        <v>0</v>
      </c>
      <c r="U3088" t="n">
        <v>0</v>
      </c>
    </row>
    <row r="3089">
      <c r="A3089">
        <f>Skills!A13</f>
        <v/>
      </c>
      <c r="B3089">
        <f>Skills!B13</f>
        <v/>
      </c>
      <c r="C3089">
        <f>Inputs!$B$3&gt;=105</f>
        <v/>
      </c>
      <c r="D3089">
        <f>IF(Skills!C13=1,60+Inputs!$B$25+Inputs!$B$29,IF(Skills!C13=2,90+Inputs!$B$26+Inputs!$B$29,IF(Skills!C13=3,120+Inputs!$B$27+Inputs!$B$29,MAX(0,(Inputs!$B$3-100)*3)+Inputs!$B$28+Inputs!$B$29)))</f>
        <v/>
      </c>
      <c r="E3089">
        <f>INDEX(FactorTable!$B$2:$Y$301, MATCH(ROUND(MIN(300,MAX(1,D3089)),0), FactorTable!$A$2:$A$301,0), Skills!M13+1)</f>
        <v/>
      </c>
      <c r="F3089">
        <f>IF(Skills!N13=TRUE,(Skills!L13/10)*(E3089/1000),Skills!L13/10)+Skills!O13</f>
        <v/>
      </c>
      <c r="G3089">
        <f>Calc!G13</f>
        <v/>
      </c>
      <c r="H3089">
        <f>Calc!H13</f>
        <v/>
      </c>
      <c r="I3089">
        <f>IF(Skills!X13&lt;&gt;"",1+(Skills!X13/10)*(Z3079/1000)/100,1)</f>
        <v/>
      </c>
      <c r="J3089">
        <f>((Inputs!$B$6*(1+Inputs!$B$7/100))+(((Inputs!$B$12*(1+Inputs!$B$13/100))-(Inputs!$B$12*(1+Inputs!$B$13/100)))+0.25*(Inputs!$B$14-Inputs!$B$14))*(1+Inputs!$B$7/100))*(F3089/100)</f>
        <v/>
      </c>
      <c r="K3089">
        <f>J3089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3089)</f>
        <v/>
      </c>
      <c r="L3089">
        <f>K3089*(MIN(Inputs!$B$22+(F3098-Calc!F22),(Inputs!$B$23+(IF(ArtifactsInput!$M$15,CHOOSE(ArtifactsInput!$N$15+1,25,30,35,40,45,50)/100*(Inputs!$B$11-Inputs!$B$11),0))))/100+(Inputs!$B$23+(IF(ArtifactsInput!$M$15,CHOOSE(ArtifactsInput!$N$15+1,25,30,35,40,45,50)/100*(Inputs!$B$11-Inputs!$B$11),0)))/100)/2</f>
        <v/>
      </c>
      <c r="M3089">
        <f>L3089*(1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89">
        <f>L3089*(1-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3089*(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89">
        <f>(1-Summary!$B$11)*S3089+Summary!$B$11*U3089</f>
        <v/>
      </c>
      <c r="P3089">
        <f>IF(B3117=0,0,O3089/B3117)</f>
        <v/>
      </c>
      <c r="Q3089">
        <f>IFERROR(1/(IF(Inputs!$B$38="pvp",15,MAX(0.1,Skills!E13-IF(Skills!F13=TRUE,4.0,0)))*(1-IF(AND(ArtifactsInput!$M$27,Inputs!$B$4="Chapter Hunt"),CHOOSE(ArtifactsInput!$N$27+1,20,24,28,32,36,40),0)/100)),0)</f>
        <v/>
      </c>
      <c r="R3089">
        <f>IF(AND(Inputs!$B$38&lt;&gt;"pvp",Inputs!$B$43&gt;0),IF(MAX(0,Inputs!$B$43-B3114)&lt;=0,0,(INT(MAX(0,Inputs!$B$43-B3114)/(IF(Inputs!$B$38="pvp",15,MAX(0.1,Skills!E13-IF(Skills!F13=TRUE,4.0,0)))*(1-IF(AND(ArtifactsInput!$M$27,Inputs!$B$4="Chapter Hunt"),CHOOSE(ArtifactsInput!$N$27+1,20,24,28,32,36,40),0)/100)))+1)),0)</f>
        <v/>
      </c>
      <c r="S3089">
        <f>IF(C3089,(H3089*N3089*IF(AND(Inputs!$B$38&lt;&gt;"pvp",Inputs!$B$43&gt;0),((Skills!G13*((R3089-1)*IF(Skills!H13&gt;0,Skills!I13/Skills!H13,1)+IF(Skills!H13&gt;0,MIN(Skills!I13,MAX(0,MAX(0,Inputs!$B$43-B3114)-((R3089-1)*(IF(Inputs!$B$38="pvp",15,MAX(0.1,Skills!E13-IF(Skills!F13=TRUE,4.0,0)))*(1-IF(AND(ArtifactsInput!$M$27,Inputs!$B$4="Chapter Hunt"),CHOOSE(ArtifactsInput!$N$27+1,20,24,28,32,36,40),0)/100)))))/Skills!H13,1)))/Inputs!$B$43),G3089*Q3089))*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3089*(1-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3089*(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3089*(1-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3089*(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89">
        <f>IF(C3089,(H3089*N3089*IF(AND(Inputs!$B$38&lt;&gt;"pvp",Inputs!$B$43&gt;0),((Skills!G13*((R3089-1)*IF(Skills!H13&gt;0,Skills!I13/Skills!H13,1)+IF(Skills!H13&gt;0,MIN(Skills!I13,MAX(0,MAX(0,Inputs!$B$43-B3114)-((R3089-1)*(IF(Inputs!$B$38="pvp",15,MAX(0.1,Skills!E13-IF(Skills!F13=TRUE,4.0,0)))*(1-IF(AND(ArtifactsInput!$M$27,Inputs!$B$4="Chapter Hunt"),CHOOSE(ArtifactsInput!$N$27+1,20,24,28,32,36,40),0)/100)))))/Skills!H13,1)))/Inputs!$B$43),G3089*Q3089))*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0">
      <c r="A3090">
        <f>Skills!A14</f>
        <v/>
      </c>
      <c r="B3090">
        <f>Skills!B14</f>
        <v/>
      </c>
      <c r="C3090">
        <f>Inputs!$B$3&gt;=113</f>
        <v/>
      </c>
      <c r="D3090">
        <f>IF(Skills!C14=1,60+Inputs!$B$25+Inputs!$B$29,IF(Skills!C14=2,90+Inputs!$B$26+Inputs!$B$29,IF(Skills!C14=3,120+Inputs!$B$27+Inputs!$B$29,MAX(0,(Inputs!$B$3-100)*3)+Inputs!$B$28+Inputs!$B$29)))</f>
        <v/>
      </c>
      <c r="E3090">
        <f>INDEX(FactorTable!$B$2:$Y$301, MATCH(ROUND(MIN(300,MAX(1,D3090)),0), FactorTable!$A$2:$A$301,0), Skills!M14+1)</f>
        <v/>
      </c>
      <c r="F3090">
        <f>IF(Skills!N14=TRUE,(Skills!L14/10)*(E3090/1000),Skills!L14/10)+Skills!O14</f>
        <v/>
      </c>
      <c r="G3090">
        <f>Calc!G14</f>
        <v/>
      </c>
      <c r="H3090">
        <f>Calc!H14</f>
        <v/>
      </c>
      <c r="I3090">
        <f>IF(Skills!X14&lt;&gt;"",1+(Skills!X14/10)*(Z3079/1000)/100,1)</f>
        <v/>
      </c>
      <c r="J3090">
        <f>((Inputs!$B$6*(1+Inputs!$B$7/100))+(((Inputs!$B$12*(1+Inputs!$B$13/100))-(Inputs!$B$12*(1+Inputs!$B$13/100)))+0.25*(Inputs!$B$14-Inputs!$B$14))*(1+Inputs!$B$7/100))*(F3090/100)</f>
        <v/>
      </c>
      <c r="K3090">
        <f>J3090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3090)</f>
        <v/>
      </c>
      <c r="L3090">
        <f>K3090*(MIN(Inputs!$B$22+(F3098-Calc!F22),(Inputs!$B$23+(IF(ArtifactsInput!$M$15,CHOOSE(ArtifactsInput!$N$15+1,25,30,35,40,45,50)/100*(Inputs!$B$11-Inputs!$B$11),0))))/100+(Inputs!$B$23+(IF(ArtifactsInput!$M$15,CHOOSE(ArtifactsInput!$N$15+1,25,30,35,40,45,50)/100*(Inputs!$B$11-Inputs!$B$11),0)))/100)/2</f>
        <v/>
      </c>
      <c r="M3090">
        <f>L3090*(1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0">
        <f>L3090*(1-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3090*(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0">
        <f>(1-Summary!$B$11)*S3090+Summary!$B$11*U3090</f>
        <v/>
      </c>
      <c r="P3090">
        <f>IF(B3117=0,0,O3090/B3117)</f>
        <v/>
      </c>
      <c r="Q3090">
        <f>IFERROR(1/(IF(Inputs!$B$38="pvp",15,MAX(0.1,Skills!E14-IF(Skills!F14=TRUE,4.0,0)))*(1-IF(AND(ArtifactsInput!$M$27,Inputs!$B$4="Chapter Hunt"),CHOOSE(ArtifactsInput!$N$27+1,20,24,28,32,36,40),0)/100)),0)</f>
        <v/>
      </c>
      <c r="R3090" t="n">
        <v>0</v>
      </c>
      <c r="S3090">
        <f>IF(C3090,((H3090*B3113)/(1+Skills!H14*H3090*B3113)*N3090)*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3090*(1-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3090*(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3090*(1-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3090*(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90">
        <f>IF(C3090,((H3090*B3113)/(1+Skills!H14*H3090*B3113)*N3090)*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1">
      <c r="A3091">
        <f>Skills!A15</f>
        <v/>
      </c>
      <c r="B3091">
        <f>Skills!B15</f>
        <v/>
      </c>
      <c r="C3091">
        <f>Inputs!$B$3&gt;=107</f>
        <v/>
      </c>
      <c r="D3091">
        <f>IF(Skills!C15=1,60+Inputs!$B$25+Inputs!$B$29,IF(Skills!C15=2,90+Inputs!$B$26+Inputs!$B$29,IF(Skills!C15=3,120+Inputs!$B$27+Inputs!$B$29,MAX(0,(Inputs!$B$3-100)*3)+Inputs!$B$28+Inputs!$B$29)))</f>
        <v/>
      </c>
      <c r="E3091">
        <f>INDEX(FactorTable!$B$2:$Y$301, MATCH(ROUND(MIN(300,MAX(1,D3091)),0), FactorTable!$A$2:$A$301,0), Skills!M15+1)</f>
        <v/>
      </c>
      <c r="F3091">
        <f>IF(Skills!N15=TRUE,(Skills!L15/10)*(E3091/1000),Skills!L15/10)+Skills!O15</f>
        <v/>
      </c>
      <c r="G3091">
        <f>Calc!G15</f>
        <v/>
      </c>
      <c r="H3091">
        <f>Calc!H15</f>
        <v/>
      </c>
      <c r="I3091">
        <f>IF(Skills!X15&lt;&gt;"",1+(Skills!X15/10)*(Z3079/1000)/100,1)</f>
        <v/>
      </c>
      <c r="J3091">
        <f>((Inputs!$B$6*(1+Inputs!$B$7/100))+(((Inputs!$B$12*(1+Inputs!$B$13/100))-(Inputs!$B$12*(1+Inputs!$B$13/100)))+0.25*(Inputs!$B$14-Inputs!$B$14))*(1+Inputs!$B$7/100))*(F3091/100)</f>
        <v/>
      </c>
      <c r="K3091">
        <f>J3091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3091)</f>
        <v/>
      </c>
      <c r="L3091">
        <f>K3091*(MIN(Inputs!$B$22+(F3098-Calc!F22),(Inputs!$B$23+(IF(ArtifactsInput!$M$15,CHOOSE(ArtifactsInput!$N$15+1,25,30,35,40,45,50)/100*(Inputs!$B$11-Inputs!$B$11),0))))/100+(Inputs!$B$23+(IF(ArtifactsInput!$M$15,CHOOSE(ArtifactsInput!$N$15+1,25,30,35,40,45,50)/100*(Inputs!$B$11-Inputs!$B$11),0)))/100)/2</f>
        <v/>
      </c>
      <c r="M3091">
        <f>L3091*(1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1">
        <f>L3091*(1-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1">
        <f>(1-Summary!$B$11)*S3091+Summary!$B$11*U3091</f>
        <v/>
      </c>
      <c r="P3091">
        <f>IF(B3117=0,0,O3091/B3117)</f>
        <v/>
      </c>
      <c r="Q3091">
        <f>IFERROR(1/(IF(Inputs!$B$38="pvp",15,MAX(0.1,Skills!E15-IF(Skills!F15=TRUE,4.0,0)))*(1-IF(AND(ArtifactsInput!$M$27,Inputs!$B$4="Chapter Hunt"),CHOOSE(ArtifactsInput!$N$27+1,20,24,28,32,36,40),0)/100)),0)</f>
        <v/>
      </c>
      <c r="R3091">
        <f>IF(AND(Inputs!$B$38&lt;&gt;"pvp",Inputs!$B$43&gt;0),IF(MAX(0,Inputs!$B$43-B3114)&lt;=0,0,(INT(MAX(0,Inputs!$B$43-B3114)/(IF(Inputs!$B$38="pvp",15,MAX(0.1,Skills!E15-IF(Skills!F15=TRUE,4.0,0)))*(1-IF(AND(ArtifactsInput!$M$27,Inputs!$B$4="Chapter Hunt"),CHOOSE(ArtifactsInput!$N$27+1,20,24,28,32,36,40),0)/100)))+1)),0)</f>
        <v/>
      </c>
      <c r="S3091">
        <f>IF(C3091,(H3091*N3091*IF(AND(Inputs!$B$38&lt;&gt;"pvp",Inputs!$B$43&gt;0),((Skills!G15*((R3091-1)*IF(Skills!H15&gt;0,Skills!I15/Skills!H15,1)+IF(Skills!H15&gt;0,MIN(Skills!I15,MAX(0,MAX(0,Inputs!$B$43-B3114)-((R3091-1)*(IF(Inputs!$B$38="pvp",15,MAX(0.1,Skills!E15-IF(Skills!F15=TRUE,4.0,0)))*(1-IF(AND(ArtifactsInput!$M$27,Inputs!$B$4="Chapter Hunt"),CHOOSE(ArtifactsInput!$N$27+1,20,24,28,32,36,40),0)/100)))))/Skills!H15,1)))/Inputs!$B$43),G3091*Q3091))*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3091*(1-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3091*(1-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91">
        <f>IF(C3091,(H3091*N3091*IF(AND(Inputs!$B$38&lt;&gt;"pvp",Inputs!$B$43&gt;0),((Skills!G15*((R3091-1)*IF(Skills!H15&gt;0,Skills!I15/Skills!H15,1)+IF(Skills!H15&gt;0,MIN(Skills!I15,MAX(0,MAX(0,Inputs!$B$43-B3114)-((R3091-1)*(IF(Inputs!$B$38="pvp",15,MAX(0.1,Skills!E15-IF(Skills!F15=TRUE,4.0,0)))*(1-IF(AND(ArtifactsInput!$M$27,Inputs!$B$4="Chapter Hunt"),CHOOSE(ArtifactsInput!$N$27+1,20,24,28,32,36,40),0)/100)))))/Skills!H15,1)))/Inputs!$B$43),G3091*Q3091))*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2">
      <c r="A3092">
        <f>Skills!A16</f>
        <v/>
      </c>
      <c r="B3092">
        <f>Skills!B16</f>
        <v/>
      </c>
      <c r="C3092">
        <f>Inputs!$B$3&gt;=107</f>
        <v/>
      </c>
      <c r="D3092">
        <f>IF(Skills!C16=1,60+Inputs!$B$25+Inputs!$B$29,IF(Skills!C16=2,90+Inputs!$B$26+Inputs!$B$29,IF(Skills!C16=3,120+Inputs!$B$27+Inputs!$B$29,MAX(0,(Inputs!$B$3-100)*3)+Inputs!$B$28+Inputs!$B$29)))</f>
        <v/>
      </c>
      <c r="E3092">
        <f>INDEX(FactorTable!$B$2:$Y$301, MATCH(ROUND(MIN(300,MAX(1,D3092)),0), FactorTable!$A$2:$A$301,0), Skills!M16+1)</f>
        <v/>
      </c>
      <c r="F3092">
        <f>IF(Skills!N16=TRUE,(Skills!L16/10)*(E3092/1000),Skills!L16/10)+Skills!O16</f>
        <v/>
      </c>
      <c r="G3092">
        <f>Calc!G16</f>
        <v/>
      </c>
      <c r="H3092">
        <f>Calc!H16</f>
        <v/>
      </c>
      <c r="I3092">
        <f>IF(Skills!X16&lt;&gt;"",1+(Skills!X16/10)*(Z3079/1000)/100,1)</f>
        <v/>
      </c>
      <c r="J3092">
        <f>((Inputs!$B$6*(1+Inputs!$B$7/100))+(((Inputs!$B$12*(1+Inputs!$B$13/100))-(Inputs!$B$12*(1+Inputs!$B$13/100)))+0.25*(Inputs!$B$14-Inputs!$B$14))*(1+Inputs!$B$7/100))*(F3092/100)</f>
        <v/>
      </c>
      <c r="K3092">
        <f>J3092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3092)</f>
        <v/>
      </c>
      <c r="L3092">
        <f>K3092*(MIN(Inputs!$B$22+(F3098-Calc!F22),(Inputs!$B$23+(IF(ArtifactsInput!$M$15,CHOOSE(ArtifactsInput!$N$15+1,25,30,35,40,45,50)/100*(Inputs!$B$11-Inputs!$B$11),0))))/100+(Inputs!$B$23+(IF(ArtifactsInput!$M$15,CHOOSE(ArtifactsInput!$N$15+1,25,30,35,40,45,50)/100*(Inputs!$B$11-Inputs!$B$11),0)))/100)/2</f>
        <v/>
      </c>
      <c r="M3092">
        <f>L3092*(1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92">
        <f>L3092*(1-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3092*(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92">
        <f>(1-Summary!$B$11)*S3092+Summary!$B$11*U3092</f>
        <v/>
      </c>
      <c r="P3092">
        <f>IF(B3117=0,0,O3092/B3117)</f>
        <v/>
      </c>
      <c r="Q3092">
        <f>IFERROR(1/(IF(Inputs!$B$38="pvp",15,MAX(0.1,Skills!E16-IF(Skills!F16=TRUE,4.0,0)))*(1-IF(AND(ArtifactsInput!$M$27,Inputs!$B$4="Chapter Hunt"),CHOOSE(ArtifactsInput!$N$27+1,20,24,28,32,36,40),0)/100)),0)</f>
        <v/>
      </c>
      <c r="R3092">
        <f>IF(AND(Inputs!$B$38&lt;&gt;"pvp",Inputs!$B$43&gt;0),IF(MAX(0,Inputs!$B$43-B3114)&lt;=0,0,(INT(MAX(0,Inputs!$B$43-B3114)/(IF(Inputs!$B$38="pvp",15,MAX(0.1,Skills!E16-IF(Skills!F16=TRUE,4.0,0)))*(1-IF(AND(ArtifactsInput!$M$27,Inputs!$B$4="Chapter Hunt"),CHOOSE(ArtifactsInput!$N$27+1,20,24,28,32,36,40),0)/100)))+1)),0)</f>
        <v/>
      </c>
      <c r="S3092">
        <f>IF(C3092,(H3092*N3092*IF(AND(Inputs!$B$38&lt;&gt;"pvp",Inputs!$B$43&gt;0),((Skills!G16*((R3092-1)*IF(Skills!H16&gt;0,Skills!I16/Skills!H16,1)+IF(Skills!H16&gt;0,MIN(Skills!I16,MAX(0,MAX(0,Inputs!$B$43-B3114)-((R3092-1)*(IF(Inputs!$B$38="pvp",15,MAX(0.1,Skills!E16-IF(Skills!F16=TRUE,4.0,0)))*(1-IF(AND(ArtifactsInput!$M$27,Inputs!$B$4="Chapter Hunt"),CHOOSE(ArtifactsInput!$N$27+1,20,24,28,32,36,40),0)/100)))))/Skills!H16,1)))/Inputs!$B$43),G3092*Q3092)*(1+IF(Inputs!$B$3&gt;=126,0.05*(B3112+Q3089+(H3090*B3113)/(1+Skills!H14*H3090*B3113)+Q3100),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3092*(1-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3092*(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3092*(1-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3092*(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92">
        <f>IF(C3092,(H3092*N3092*IF(AND(Inputs!$B$38&lt;&gt;"pvp",Inputs!$B$43&gt;0),((Skills!G16*((R3092-1)*IF(Skills!H16&gt;0,Skills!I16/Skills!H16,1)+IF(Skills!H16&gt;0,MIN(Skills!I16,MAX(0,MAX(0,Inputs!$B$43-B3114)-((R3092-1)*(IF(Inputs!$B$38="pvp",15,MAX(0.1,Skills!E16-IF(Skills!F16=TRUE,4.0,0)))*(1-IF(AND(ArtifactsInput!$M$27,Inputs!$B$4="Chapter Hunt"),CHOOSE(ArtifactsInput!$N$27+1,20,24,28,32,36,40),0)/100)))))/Skills!H16,1)))/Inputs!$B$43),G3092*Q3092)*(1+IF(Inputs!$B$3&gt;=126,0.05*(B3112+Q3089+(H3090*B3113)/(1+Skills!H14*H3090*B3113)+Q3100),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93">
      <c r="A3093">
        <f>Skills!A17</f>
        <v/>
      </c>
      <c r="B3093">
        <f>Skills!B17</f>
        <v/>
      </c>
      <c r="C3093">
        <f>TRUE</f>
        <v/>
      </c>
      <c r="D3093">
        <f>IF(Skills!C17=1,60+Inputs!$B$25+Inputs!$B$29,IF(Skills!C17=2,90+Inputs!$B$26+Inputs!$B$29,IF(Skills!C17=3,120+Inputs!$B$27+Inputs!$B$29,MAX(0,(Inputs!$B$3-100)*3)+Inputs!$B$28+Inputs!$B$29)))</f>
        <v/>
      </c>
      <c r="E3093">
        <f>INDEX(FactorTable!$B$2:$Y$301, MATCH(ROUND(MIN(300,MAX(1,D3093)),0), FactorTable!$A$2:$A$301,0), Skills!M17+1)</f>
        <v/>
      </c>
      <c r="F3093">
        <f>IF(Skills!N17=TRUE,(Skills!L17/10)*(E3093/1000),Skills!L17/10)+Skills!O17</f>
        <v/>
      </c>
      <c r="G3093">
        <f>Calc!G17</f>
        <v/>
      </c>
      <c r="H3093">
        <f>Calc!H17</f>
        <v/>
      </c>
      <c r="I3093">
        <f>IF(Skills!X17&lt;&gt;"",1+(Skills!X17/10)*(Z3079/1000)/100,1)</f>
        <v/>
      </c>
      <c r="J3093" t="inlineStr"/>
      <c r="K3093" t="inlineStr"/>
      <c r="L3093" t="inlineStr"/>
      <c r="M3093" t="inlineStr"/>
      <c r="N3093" t="inlineStr"/>
      <c r="O3093">
        <f>(1-Summary!$B$11)*S3093+Summary!$B$11*U3093</f>
        <v/>
      </c>
      <c r="P3093">
        <f>IF(B3117=0,0,O3093/B3117)</f>
        <v/>
      </c>
      <c r="Q3093">
        <f>IFERROR(1/(IF(Inputs!$B$38="pvp",15,MAX(0.1,Skills!E17-IF(Skills!F17=TRUE,4.0,0)))*(1-IF(AND(ArtifactsInput!$M$27,Inputs!$B$4="Chapter Hunt"),CHOOSE(ArtifactsInput!$N$27+1,20,24,28,32,36,40),0)/100)),0)</f>
        <v/>
      </c>
      <c r="R3093">
        <f>IF(AND(Inputs!$B$38&lt;&gt;"pvp",Inputs!$B$43&gt;0),IF(Inputs!$B$43&lt;=0,0,(INT(Inputs!$B$43/(IF(Inputs!$B$38="pvp",15,MAX(0.1,Skills!E17-IF(Skills!F17=TRUE,4.0,0)))*(1-IF(AND(ArtifactsInput!$M$27,Inputs!$B$4="Chapter Hunt"),CHOOSE(ArtifactsInput!$N$27+1,20,24,28,32,36,40),0)/100)))+1)),0)</f>
        <v/>
      </c>
      <c r="S3093" t="n">
        <v>0</v>
      </c>
      <c r="U3093" t="n">
        <v>0</v>
      </c>
    </row>
    <row r="3094">
      <c r="A3094">
        <f>Skills!A18</f>
        <v/>
      </c>
      <c r="B3094">
        <f>Skills!B18</f>
        <v/>
      </c>
      <c r="C3094">
        <f>TRUE</f>
        <v/>
      </c>
      <c r="D3094">
        <f>IF(Skills!C18=1,60+Inputs!$B$25+Inputs!$B$29,IF(Skills!C18=2,90+Inputs!$B$26+Inputs!$B$29,IF(Skills!C18=3,120+Inputs!$B$27+Inputs!$B$29,MAX(0,(Inputs!$B$3-100)*3)+Inputs!$B$28+Inputs!$B$29)))</f>
        <v/>
      </c>
      <c r="E3094">
        <f>INDEX(FactorTable!$B$2:$Y$301, MATCH(ROUND(MIN(300,MAX(1,D3094)),0), FactorTable!$A$2:$A$301,0), Skills!M18+1)</f>
        <v/>
      </c>
      <c r="F3094">
        <f>IF(Skills!N18=TRUE,(Skills!L18/10)*(E3094/1000),Skills!L18/10)+Skills!O18</f>
        <v/>
      </c>
      <c r="G3094">
        <f>Calc!G18</f>
        <v/>
      </c>
      <c r="H3094">
        <f>Calc!H18</f>
        <v/>
      </c>
      <c r="I3094">
        <f>IF(Skills!X18&lt;&gt;"",1+(Skills!X18/10)*(Z3079/1000)/100,1)</f>
        <v/>
      </c>
      <c r="J3094" t="inlineStr"/>
      <c r="K3094" t="inlineStr"/>
      <c r="L3094" t="inlineStr"/>
      <c r="M3094" t="inlineStr"/>
      <c r="N3094" t="inlineStr"/>
      <c r="O3094">
        <f>(1-Summary!$B$11)*S3094+Summary!$B$11*U3094</f>
        <v/>
      </c>
      <c r="P3094">
        <f>IF(B3117=0,0,O3094/B3117)</f>
        <v/>
      </c>
      <c r="Q3094">
        <f>IFERROR(1/(IF(Inputs!$B$38="pvp",15,MAX(0.1,Skills!E18-IF(Skills!F18=TRUE,4.0,0)))*(1-IF(AND(ArtifactsInput!$M$27,Inputs!$B$4="Chapter Hunt"),CHOOSE(ArtifactsInput!$N$27+1,20,24,28,32,36,40),0)/100)),0)</f>
        <v/>
      </c>
      <c r="R3094">
        <f>IF(AND(Inputs!$B$38&lt;&gt;"pvp",Inputs!$B$43&gt;0),IF(Inputs!$B$43&lt;=0,0,(INT(Inputs!$B$43/(IF(Inputs!$B$38="pvp",15,MAX(0.1,Skills!E18-IF(Skills!F18=TRUE,4.0,0)))*(1-IF(AND(ArtifactsInput!$M$27,Inputs!$B$4="Chapter Hunt"),CHOOSE(ArtifactsInput!$N$27+1,20,24,28,32,36,40),0)/100)))+1)),0)</f>
        <v/>
      </c>
      <c r="S3094" t="n">
        <v>0</v>
      </c>
      <c r="U3094" t="n">
        <v>0</v>
      </c>
    </row>
    <row r="3095">
      <c r="A3095">
        <f>Skills!A19</f>
        <v/>
      </c>
      <c r="B3095">
        <f>Skills!B19</f>
        <v/>
      </c>
      <c r="C3095">
        <f>Inputs!$B$3&gt;=110</f>
        <v/>
      </c>
      <c r="D3095">
        <f>IF(Skills!C19=1,60+Inputs!$B$25+Inputs!$B$29,IF(Skills!C19=2,90+Inputs!$B$26+Inputs!$B$29,IF(Skills!C19=3,120+Inputs!$B$27+Inputs!$B$29,MAX(0,(Inputs!$B$3-100)*3)+Inputs!$B$28+Inputs!$B$29)))</f>
        <v/>
      </c>
      <c r="E3095">
        <f>INDEX(FactorTable!$B$2:$Y$301, MATCH(ROUND(MIN(300,MAX(1,D3095)),0), FactorTable!$A$2:$A$301,0), Skills!M19+1)</f>
        <v/>
      </c>
      <c r="F3095">
        <f>IF(Skills!N19=TRUE,(Skills!L19/10)*(E3095/1000),Skills!L19/10)+Skills!O19</f>
        <v/>
      </c>
      <c r="G3095">
        <f>Calc!G19</f>
        <v/>
      </c>
      <c r="H3095">
        <f>Calc!H19</f>
        <v/>
      </c>
      <c r="I3095">
        <f>IF(Skills!X19&lt;&gt;"",1+(Skills!X19/10)*(Z3079/1000)/100,1)</f>
        <v/>
      </c>
      <c r="J3095" t="inlineStr"/>
      <c r="K3095" t="inlineStr"/>
      <c r="L3095" t="inlineStr"/>
      <c r="M3095" t="inlineStr"/>
      <c r="N3095" t="inlineStr"/>
      <c r="O3095">
        <f>(1-Summary!$B$11)*S3095+Summary!$B$11*U3095</f>
        <v/>
      </c>
      <c r="P3095">
        <f>IF(B3117=0,0,O3095/B3117)</f>
        <v/>
      </c>
      <c r="Q3095">
        <f>IFERROR(1/(IF(Inputs!$B$38="pvp",15,MAX(0.1,Skills!E19-IF(Skills!F19=TRUE,4.0,0)))*(1-IF(AND(ArtifactsInput!$M$27,Inputs!$B$4="Chapter Hunt"),CHOOSE(ArtifactsInput!$N$27+1,20,24,28,32,36,40),0)/100)),0)</f>
        <v/>
      </c>
      <c r="R3095">
        <f>IF(AND(Inputs!$B$38&lt;&gt;"pvp",Inputs!$B$43&gt;0),IF(Inputs!$B$43&lt;=0,0,(INT(Inputs!$B$43/(IF(Inputs!$B$38="pvp",15,MAX(0.1,Skills!E19-IF(Skills!F19=TRUE,4.0,0)))*(1-IF(AND(ArtifactsInput!$M$27,Inputs!$B$4="Chapter Hunt"),CHOOSE(ArtifactsInput!$N$27+1,20,24,28,32,36,40),0)/100)))+1)),0)</f>
        <v/>
      </c>
      <c r="S3095" t="n">
        <v>0</v>
      </c>
      <c r="U3095" t="n">
        <v>0</v>
      </c>
    </row>
    <row r="3096">
      <c r="A3096">
        <f>Skills!A20</f>
        <v/>
      </c>
      <c r="B3096">
        <f>Skills!B20</f>
        <v/>
      </c>
      <c r="C3096">
        <f>TRUE</f>
        <v/>
      </c>
      <c r="D3096">
        <f>IF(Skills!C20=1,60+Inputs!$B$25+Inputs!$B$29,IF(Skills!C20=2,90+Inputs!$B$26+Inputs!$B$29,IF(Skills!C20=3,120+Inputs!$B$27+Inputs!$B$29,MAX(0,(Inputs!$B$3-100)*3)+Inputs!$B$28+Inputs!$B$29)))</f>
        <v/>
      </c>
      <c r="E3096">
        <f>INDEX(FactorTable!$B$2:$Y$301, MATCH(ROUND(MIN(300,MAX(1,D3096)),0), FactorTable!$A$2:$A$301,0), Skills!M20+1)</f>
        <v/>
      </c>
      <c r="F3096">
        <f>IF(Skills!N20=TRUE,(Skills!L20/10)*(E3096/1000),Skills!L20/10)+Skills!O20</f>
        <v/>
      </c>
      <c r="G3096">
        <f>Calc!G20</f>
        <v/>
      </c>
      <c r="H3096">
        <f>Calc!H20</f>
        <v/>
      </c>
      <c r="I3096">
        <f>IF(Skills!X20&lt;&gt;"",1+(Skills!X20/10)*(Z3079/1000)/100,1)</f>
        <v/>
      </c>
      <c r="J3096" t="inlineStr"/>
      <c r="K3096" t="inlineStr"/>
      <c r="L3096" t="inlineStr"/>
      <c r="M3096" t="inlineStr"/>
      <c r="N3096" t="inlineStr"/>
      <c r="O3096">
        <f>(1-Summary!$B$11)*S3096+Summary!$B$11*U3096</f>
        <v/>
      </c>
      <c r="P3096">
        <f>IF(B3117=0,0,O3096/B3117)</f>
        <v/>
      </c>
      <c r="Q3096">
        <f>IFERROR(1/(IF(Inputs!$B$38="pvp",15,MAX(0.1,Skills!E20-IF(Skills!F20=TRUE,4.0,0)))*(1-IF(AND(ArtifactsInput!$M$27,Inputs!$B$4="Chapter Hunt"),CHOOSE(ArtifactsInput!$N$27+1,20,24,28,32,36,40),0)/100)),0)</f>
        <v/>
      </c>
      <c r="R3096" t="n">
        <v>0</v>
      </c>
      <c r="S3096" t="n">
        <v>0</v>
      </c>
      <c r="U3096" t="n">
        <v>0</v>
      </c>
    </row>
    <row r="3097">
      <c r="A3097">
        <f>Skills!A21</f>
        <v/>
      </c>
      <c r="B3097">
        <f>Skills!B21</f>
        <v/>
      </c>
      <c r="C3097">
        <f>TRUE</f>
        <v/>
      </c>
      <c r="D3097">
        <f>IF(Skills!C21=1,60+Inputs!$B$25+Inputs!$B$29,IF(Skills!C21=2,90+Inputs!$B$26+Inputs!$B$29,IF(Skills!C21=3,120+Inputs!$B$27+Inputs!$B$29,MAX(0,(Inputs!$B$3-100)*3)+Inputs!$B$28+Inputs!$B$29)))</f>
        <v/>
      </c>
      <c r="E3097">
        <f>INDEX(FactorTable!$B$2:$Y$301, MATCH(ROUND(MIN(300,MAX(1,D3097)),0), FactorTable!$A$2:$A$301,0), Skills!M21+1)</f>
        <v/>
      </c>
      <c r="F3097">
        <f>IF(Skills!N21=TRUE,(Skills!L21/10)*(E3097/1000),Skills!L21/10)+Skills!O21</f>
        <v/>
      </c>
      <c r="G3097">
        <f>Calc!G21</f>
        <v/>
      </c>
      <c r="H3097">
        <f>Calc!H21</f>
        <v/>
      </c>
      <c r="I3097">
        <f>IF(Skills!X21&lt;&gt;"",1+(Skills!X21/10)*(Z3079/1000)/100,1)</f>
        <v/>
      </c>
      <c r="J3097" t="inlineStr"/>
      <c r="K3097" t="inlineStr"/>
      <c r="L3097" t="inlineStr"/>
      <c r="M3097" t="inlineStr"/>
      <c r="N3097" t="inlineStr"/>
      <c r="O3097">
        <f>(1-Summary!$B$11)*S3097+Summary!$B$11*U3097</f>
        <v/>
      </c>
      <c r="P3097">
        <f>IF(B3117=0,0,O3097/B3117)</f>
        <v/>
      </c>
      <c r="Q3097">
        <f>IFERROR(1/(IF(Inputs!$B$38="pvp",15,MAX(0.1,Skills!E21-IF(Skills!F21=TRUE,4.0,0)))*(1-IF(AND(ArtifactsInput!$M$27,Inputs!$B$4="Chapter Hunt"),CHOOSE(ArtifactsInput!$N$27+1,20,24,28,32,36,40),0)/100)),0)</f>
        <v/>
      </c>
      <c r="R3097" t="n">
        <v>0</v>
      </c>
      <c r="S3097" t="n">
        <v>0</v>
      </c>
      <c r="U3097" t="n">
        <v>0</v>
      </c>
    </row>
    <row r="3098">
      <c r="A3098">
        <f>Skills!A22</f>
        <v/>
      </c>
      <c r="B3098">
        <f>Skills!B22</f>
        <v/>
      </c>
      <c r="C3098">
        <f>TRUE</f>
        <v/>
      </c>
      <c r="D3098">
        <f>IF(Skills!C22=1,60+Inputs!$B$25+Inputs!$B$29,IF(Skills!C22=2,90+Inputs!$B$26+Inputs!$B$29,IF(Skills!C22=3,120+Inputs!$B$27+Inputs!$B$29,MAX(0,(Inputs!$B$3-100)*3)+Inputs!$B$28+Inputs!$B$29)))</f>
        <v/>
      </c>
      <c r="E3098">
        <f>INDEX(FactorTable!$B$2:$Y$301, MATCH(ROUND(MIN(300,MAX(1,D3098)),0), FactorTable!$A$2:$A$301,0), Skills!M22+1)</f>
        <v/>
      </c>
      <c r="F3098">
        <f>IF(Skills!N22=TRUE,(Skills!L22/10)*(E3098/1000),Skills!L22/10)+Skills!O22</f>
        <v/>
      </c>
      <c r="G3098">
        <f>Calc!G22</f>
        <v/>
      </c>
      <c r="H3098">
        <f>Calc!H22</f>
        <v/>
      </c>
      <c r="I3098">
        <f>IF(Skills!X22&lt;&gt;"",1+(Skills!X22/10)*(Z3079/1000)/100,1)</f>
        <v/>
      </c>
      <c r="J3098" t="inlineStr"/>
      <c r="K3098" t="inlineStr"/>
      <c r="L3098" t="inlineStr"/>
      <c r="M3098" t="inlineStr"/>
      <c r="N3098" t="inlineStr"/>
      <c r="O3098">
        <f>(1-Summary!$B$11)*S3098+Summary!$B$11*U3098</f>
        <v/>
      </c>
      <c r="P3098">
        <f>IF(B3117=0,0,O3098/B3117)</f>
        <v/>
      </c>
      <c r="Q3098">
        <f>IFERROR(1/(IF(Inputs!$B$38="pvp",15,MAX(0.1,Skills!E22-IF(Skills!F22=TRUE,4.0,0)))*(1-IF(AND(ArtifactsInput!$M$27,Inputs!$B$4="Chapter Hunt"),CHOOSE(ArtifactsInput!$N$27+1,20,24,28,32,36,40),0)/100)),0)</f>
        <v/>
      </c>
      <c r="R3098" t="n">
        <v>0</v>
      </c>
      <c r="S3098" t="n">
        <v>0</v>
      </c>
      <c r="U3098" t="n">
        <v>0</v>
      </c>
    </row>
    <row r="3099">
      <c r="A3099">
        <f>Skills!A23</f>
        <v/>
      </c>
      <c r="B3099">
        <f>Skills!B23</f>
        <v/>
      </c>
      <c r="C3099">
        <f>TRUE</f>
        <v/>
      </c>
      <c r="D3099">
        <f>IF(Skills!C23=1,60+Inputs!$B$25+Inputs!$B$29,IF(Skills!C23=2,90+Inputs!$B$26+Inputs!$B$29,IF(Skills!C23=3,120+Inputs!$B$27+Inputs!$B$29,MAX(0,(Inputs!$B$3-100)*3)+Inputs!$B$28+Inputs!$B$29)))</f>
        <v/>
      </c>
      <c r="E3099">
        <f>INDEX(FactorTable!$B$2:$Y$301, MATCH(ROUND(MIN(300,MAX(1,D3099)),0), FactorTable!$A$2:$A$301,0), Skills!M23+1)</f>
        <v/>
      </c>
      <c r="F3099">
        <f>IF(Skills!N23=TRUE,(Skills!L23/10)*(E3099/1000),Skills!L23/10)+Skills!O23</f>
        <v/>
      </c>
      <c r="G3099">
        <f>Calc!G23</f>
        <v/>
      </c>
      <c r="H3099">
        <f>Calc!H23</f>
        <v/>
      </c>
      <c r="I3099">
        <f>IF(Skills!X23&lt;&gt;"",1+(Skills!X23/10)*(Z3079/1000)/100,1)</f>
        <v/>
      </c>
      <c r="J3099" t="inlineStr"/>
      <c r="K3099" t="inlineStr"/>
      <c r="L3099" t="inlineStr"/>
      <c r="M3099" t="inlineStr"/>
      <c r="N3099" t="inlineStr"/>
      <c r="O3099">
        <f>(1-Summary!$B$11)*S3099+Summary!$B$11*U3099</f>
        <v/>
      </c>
      <c r="P3099">
        <f>IF(B3117=0,0,O3099/B3117)</f>
        <v/>
      </c>
      <c r="Q3099">
        <f>IFERROR(1/(IF(Inputs!$B$38="pvp",15,MAX(0.1,Skills!E23-IF(Skills!F23=TRUE,4.0,0)))*(1-IF(AND(ArtifactsInput!$M$27,Inputs!$B$4="Chapter Hunt"),CHOOSE(ArtifactsInput!$N$27+1,20,24,28,32,36,40),0)/100)),0)</f>
        <v/>
      </c>
      <c r="R3099" t="n">
        <v>0</v>
      </c>
      <c r="S3099" t="n">
        <v>0</v>
      </c>
      <c r="U3099" t="n">
        <v>0</v>
      </c>
    </row>
    <row r="3100">
      <c r="A3100">
        <f>Skills!A24</f>
        <v/>
      </c>
      <c r="B3100">
        <f>Skills!B24</f>
        <v/>
      </c>
      <c r="C3100">
        <f>Inputs!$B$3&gt;=115</f>
        <v/>
      </c>
      <c r="D3100">
        <f>IF(Skills!C24=1,60+Inputs!$B$25+Inputs!$B$29,IF(Skills!C24=2,90+Inputs!$B$26+Inputs!$B$29,IF(Skills!C24=3,120+Inputs!$B$27+Inputs!$B$29,MAX(0,(Inputs!$B$3-100)*3)+Inputs!$B$28+Inputs!$B$29)))</f>
        <v/>
      </c>
      <c r="E3100">
        <f>INDEX(FactorTable!$B$2:$Y$301, MATCH(ROUND(MIN(300,MAX(1,D3100)),0), FactorTable!$A$2:$A$301,0), Skills!M24+1)</f>
        <v/>
      </c>
      <c r="F3100">
        <f>IF(Skills!N24=TRUE,(Skills!L24/10)*(E3100/1000),Skills!L24/10)+Skills!O24</f>
        <v/>
      </c>
      <c r="G3100">
        <f>Calc!G24</f>
        <v/>
      </c>
      <c r="H3100">
        <f>Calc!H24</f>
        <v/>
      </c>
      <c r="I3100">
        <f>IF(Skills!X24&lt;&gt;"",1+(Skills!X24/10)*(Z3079/1000)/100,1)</f>
        <v/>
      </c>
      <c r="J3100">
        <f>((Inputs!$B$6*(1+Inputs!$B$7/100))+(((Inputs!$B$12*(1+Inputs!$B$13/100))-(Inputs!$B$12*(1+Inputs!$B$13/100)))+0.25*(Inputs!$B$14-Inputs!$B$14))*(1+Inputs!$B$7/100))*(F3100/100)</f>
        <v/>
      </c>
      <c r="K3100">
        <f>J3100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3100)</f>
        <v/>
      </c>
      <c r="L3100">
        <f>K3100*(MIN(Inputs!$B$22+(F3098-Calc!F22),(Inputs!$B$23+(IF(ArtifactsInput!$M$15,CHOOSE(ArtifactsInput!$N$15+1,25,30,35,40,45,50)/100*(Inputs!$B$11-Inputs!$B$11),0))))/100+(Inputs!$B$23+(IF(ArtifactsInput!$M$15,CHOOSE(ArtifactsInput!$N$15+1,25,30,35,40,45,50)/100*(Inputs!$B$11-Inputs!$B$11),0)))/100)/2</f>
        <v/>
      </c>
      <c r="M3100">
        <f>L3100*(1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0">
        <f>L3100*(1-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3100*(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0">
        <f>(1-Summary!$B$11)*S3100+Summary!$B$11*U3100</f>
        <v/>
      </c>
      <c r="P3100">
        <f>IF(B3117=0,0,O3100/B3117)</f>
        <v/>
      </c>
      <c r="Q3100">
        <f>IFERROR(1/(IF(Inputs!$B$38="pvp",15,MAX(0.1,Skills!E24-IF(Skills!F24=TRUE,4.0,0)))*(1-IF(AND(ArtifactsInput!$M$27,Inputs!$B$4="Chapter Hunt"),CHOOSE(ArtifactsInput!$N$27+1,20,24,28,32,36,40),0)/100)),0)</f>
        <v/>
      </c>
      <c r="R3100">
        <f>IF(AND(Inputs!$B$38&lt;&gt;"pvp",Inputs!$B$43&gt;0),IF(MAX(0,Inputs!$B$43-B3114)&lt;=0,0,(INT(MAX(0,Inputs!$B$43-B3114)/(IF(Inputs!$B$38="pvp",15,MAX(0.1,Skills!E24-IF(Skills!F24=TRUE,4.0,0)))*(1-IF(AND(ArtifactsInput!$M$27,Inputs!$B$4="Chapter Hunt"),CHOOSE(ArtifactsInput!$N$27+1,20,24,28,32,36,40),0)/100)))+1)),0)</f>
        <v/>
      </c>
      <c r="S3100">
        <f>IF(C3100,(H3100*N3100*IF(AND(Inputs!$B$38&lt;&gt;"pvp",Inputs!$B$43&gt;0),((Skills!G24*((R3100-1)*IF(Skills!H24&gt;0,Skills!I24/Skills!H24,1)+IF(Skills!H24&gt;0,MIN(Skills!I24,MAX(0,MAX(0,Inputs!$B$43-B3114)-((R3100-1)*(IF(Inputs!$B$38="pvp",15,MAX(0.1,Skills!E24-IF(Skills!F24=TRUE,4.0,0)))*(1-IF(AND(ArtifactsInput!$M$27,Inputs!$B$4="Chapter Hunt"),CHOOSE(ArtifactsInput!$N$27+1,20,24,28,32,36,40),0)/100)))))/Skills!H24,1)))/Inputs!$B$43),G3100*Q3100)*(1+IF(Inputs!$B$3&gt;=130,0.2*(Skills!I16/Skills!E15+IF(Inputs!$B$3&gt;=126,0.05*(B3112+Q3089+(H3090*B3113)/(1+Skills!H14*H3090*B3113)+Q3100),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3100*(1-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3100*(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3100*(1-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3100*(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00">
        <f>IF(C3100,(H3100*N3100*IF(AND(Inputs!$B$38&lt;&gt;"pvp",Inputs!$B$43&gt;0),((Skills!G24*((R3100-1)*IF(Skills!H24&gt;0,Skills!I24/Skills!H24,1)+IF(Skills!H24&gt;0,MIN(Skills!I24,MAX(0,MAX(0,Inputs!$B$43-B3114)-((R3100-1)*(IF(Inputs!$B$38="pvp",15,MAX(0.1,Skills!E24-IF(Skills!F24=TRUE,4.0,0)))*(1-IF(AND(ArtifactsInput!$M$27,Inputs!$B$4="Chapter Hunt"),CHOOSE(ArtifactsInput!$N$27+1,20,24,28,32,36,40),0)/100)))))/Skills!H24,1)))/Inputs!$B$43),G3100*Q3100)*(1+IF(Inputs!$B$3&gt;=130,0.2*(Skills!I16/Skills!E15+IF(Inputs!$B$3&gt;=126,0.05*(B3112+Q3089+(H3090*B3113)/(1+Skills!H14*H3090*B3113)+Q3100),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1">
      <c r="A3101">
        <f>Skills!A25</f>
        <v/>
      </c>
      <c r="B3101">
        <f>Skills!B25</f>
        <v/>
      </c>
      <c r="C3101">
        <f>Inputs!$B$3&gt;=117</f>
        <v/>
      </c>
      <c r="D3101">
        <f>IF(Skills!C25=1,60+Inputs!$B$25+Inputs!$B$29,IF(Skills!C25=2,90+Inputs!$B$26+Inputs!$B$29,IF(Skills!C25=3,120+Inputs!$B$27+Inputs!$B$29,MAX(0,(Inputs!$B$3-100)*3)+Inputs!$B$28+Inputs!$B$29)))</f>
        <v/>
      </c>
      <c r="E3101">
        <f>INDEX(FactorTable!$B$2:$Y$301, MATCH(ROUND(MIN(300,MAX(1,D3101)),0), FactorTable!$A$2:$A$301,0), Skills!M25+1)</f>
        <v/>
      </c>
      <c r="F3101">
        <f>IF(Skills!N25=TRUE,(Skills!L25/10)*(E3101/1000),Skills!L25/10)+Skills!O25</f>
        <v/>
      </c>
      <c r="G3101">
        <f>Calc!G25</f>
        <v/>
      </c>
      <c r="H3101">
        <f>Calc!H25</f>
        <v/>
      </c>
      <c r="I3101">
        <f>IF(Skills!X25&lt;&gt;"",1+(Skills!X25/10)*(Z3079/1000)/100,1)</f>
        <v/>
      </c>
      <c r="J3101" t="inlineStr"/>
      <c r="K3101" t="inlineStr"/>
      <c r="L3101" t="inlineStr"/>
      <c r="M3101" t="inlineStr"/>
      <c r="N3101" t="inlineStr"/>
      <c r="O3101">
        <f>(1-Summary!$B$11)*S3101+Summary!$B$11*U3101</f>
        <v/>
      </c>
      <c r="P3101">
        <f>IF(B3117=0,0,O3101/B3117)</f>
        <v/>
      </c>
      <c r="Q3101">
        <f>IFERROR(1/(IF(Inputs!$B$38="pvp",15,MAX(0.1,Skills!E25-IF(Skills!F25=TRUE,4.0,0)))*(1-IF(AND(ArtifactsInput!$M$27,Inputs!$B$4="Chapter Hunt"),CHOOSE(ArtifactsInput!$N$27+1,20,24,28,32,36,40),0)/100)),0)</f>
        <v/>
      </c>
      <c r="R3101" t="n">
        <v>0</v>
      </c>
      <c r="S3101" t="n">
        <v>0</v>
      </c>
      <c r="U3101" t="n">
        <v>0</v>
      </c>
    </row>
    <row r="3102">
      <c r="A3102">
        <f>Skills!A26</f>
        <v/>
      </c>
      <c r="B3102">
        <f>Skills!B26</f>
        <v/>
      </c>
      <c r="C3102">
        <f>Inputs!$B$3&gt;=120</f>
        <v/>
      </c>
      <c r="D3102">
        <f>IF(Skills!C26=1,60+Inputs!$B$25+Inputs!$B$29,IF(Skills!C26=2,90+Inputs!$B$26+Inputs!$B$29,IF(Skills!C26=3,120+Inputs!$B$27+Inputs!$B$29,MAX(0,(Inputs!$B$3-100)*3)+Inputs!$B$28+Inputs!$B$29)))</f>
        <v/>
      </c>
      <c r="E3102">
        <f>INDEX(FactorTable!$B$2:$Y$301, MATCH(ROUND(MIN(300,MAX(1,D3102)),0), FactorTable!$A$2:$A$301,0), Skills!M26+1)</f>
        <v/>
      </c>
      <c r="F3102">
        <f>IF(Skills!N26=TRUE,(Skills!L26/10)*(E3102/1000),Skills!L26/10)+Skills!O26</f>
        <v/>
      </c>
      <c r="G3102">
        <f>Calc!G26</f>
        <v/>
      </c>
      <c r="H3102">
        <f>Calc!H26</f>
        <v/>
      </c>
      <c r="I3102">
        <f>IF(Skills!X26&lt;&gt;"",1+(Skills!X26/10)*(Z3079/1000)/100,1)</f>
        <v/>
      </c>
      <c r="J3102" t="inlineStr"/>
      <c r="K3102" t="inlineStr"/>
      <c r="L3102" t="inlineStr"/>
      <c r="M3102" t="inlineStr"/>
      <c r="N3102" t="inlineStr"/>
      <c r="O3102">
        <f>(1-Summary!$B$11)*S3102+Summary!$B$11*U3102</f>
        <v/>
      </c>
      <c r="P3102">
        <f>IF(B3117=0,0,O3102/B3117)</f>
        <v/>
      </c>
      <c r="Q3102">
        <f>IFERROR(1/(IF(Inputs!$B$38="pvp",15,MAX(0.1,Skills!E26-IF(Skills!F26=TRUE,4.0,0)))*(1-IF(AND(ArtifactsInput!$M$27,Inputs!$B$4="Chapter Hunt"),CHOOSE(ArtifactsInput!$N$27+1,20,24,28,32,36,40),0)/100)),0)</f>
        <v/>
      </c>
      <c r="R3102" t="n">
        <v>0</v>
      </c>
      <c r="S3102" t="n">
        <v>0</v>
      </c>
      <c r="U3102" t="n">
        <v>0</v>
      </c>
    </row>
    <row r="3103">
      <c r="A3103">
        <f>Skills!A27</f>
        <v/>
      </c>
      <c r="B3103">
        <f>Skills!B27</f>
        <v/>
      </c>
      <c r="C3103">
        <f>Inputs!$B$3&gt;=125</f>
        <v/>
      </c>
      <c r="D3103">
        <f>IF(Skills!C27=1,60+Inputs!$B$25+Inputs!$B$29,IF(Skills!C27=2,90+Inputs!$B$26+Inputs!$B$29,IF(Skills!C27=3,120+Inputs!$B$27+Inputs!$B$29,MAX(0,(Inputs!$B$3-100)*3)+Inputs!$B$28+Inputs!$B$29)))</f>
        <v/>
      </c>
      <c r="E3103">
        <f>INDEX(FactorTable!$B$2:$Y$301, MATCH(ROUND(MIN(300,MAX(1,D3103)),0), FactorTable!$A$2:$A$301,0), Skills!M27+1)</f>
        <v/>
      </c>
      <c r="F3103">
        <f>IF(Skills!N27=TRUE,(Skills!L27/10)*(E3103/1000),Skills!L27/10)+Skills!O27</f>
        <v/>
      </c>
      <c r="G3103">
        <f>Calc!G27</f>
        <v/>
      </c>
      <c r="H3103">
        <f>Calc!H27</f>
        <v/>
      </c>
      <c r="I3103">
        <f>IF(Skills!X27&lt;&gt;"",1+(Skills!X27/10)*(Z3079/1000)/100,1)</f>
        <v/>
      </c>
      <c r="J3103" t="inlineStr"/>
      <c r="K3103" t="inlineStr"/>
      <c r="L3103" t="inlineStr"/>
      <c r="M3103" t="inlineStr"/>
      <c r="N3103" t="inlineStr"/>
      <c r="O3103">
        <f>(1-Summary!$B$11)*S3103+Summary!$B$11*U3103</f>
        <v/>
      </c>
      <c r="P3103">
        <f>IF(B3117=0,0,O3103/B3117)</f>
        <v/>
      </c>
      <c r="Q3103">
        <f>IFERROR(1/(IF(Inputs!$B$38="pvp",15,MAX(0.1,Skills!E27-IF(Skills!F27=TRUE,4.0,0)))*(1-IF(AND(ArtifactsInput!$M$27,Inputs!$B$4="Chapter Hunt"),CHOOSE(ArtifactsInput!$N$27+1,20,24,28,32,36,40),0)/100)),0)</f>
        <v/>
      </c>
      <c r="R3103" t="n">
        <v>0</v>
      </c>
      <c r="S3103" t="n">
        <v>0</v>
      </c>
      <c r="U3103" t="n">
        <v>0</v>
      </c>
    </row>
    <row r="3104">
      <c r="A3104">
        <f>Skills!A28</f>
        <v/>
      </c>
      <c r="B3104">
        <f>Skills!B28</f>
        <v/>
      </c>
      <c r="C3104">
        <f>Inputs!$B$3&gt;=118</f>
        <v/>
      </c>
      <c r="D3104">
        <f>IF(Skills!C28=1,60+Inputs!$B$25+Inputs!$B$29,IF(Skills!C28=2,90+Inputs!$B$26+Inputs!$B$29,IF(Skills!C28=3,120+Inputs!$B$27+Inputs!$B$29,MAX(0,(Inputs!$B$3-100)*3)+Inputs!$B$28+Inputs!$B$29)))</f>
        <v/>
      </c>
      <c r="E3104">
        <f>INDEX(FactorTable!$B$2:$Y$301, MATCH(ROUND(MIN(300,MAX(1,D3104)),0), FactorTable!$A$2:$A$301,0), Skills!M28+1)</f>
        <v/>
      </c>
      <c r="F3104">
        <f>IF(Skills!N28=TRUE,(Skills!L28/10)*(E3104/1000),Skills!L28/10)+Skills!O28</f>
        <v/>
      </c>
      <c r="G3104">
        <f>Calc!G28</f>
        <v/>
      </c>
      <c r="H3104">
        <f>Calc!H28</f>
        <v/>
      </c>
      <c r="I3104">
        <f>IF(Skills!X28&lt;&gt;"",1+(Skills!X28/10)*(Z3079/1000)/100,1)</f>
        <v/>
      </c>
      <c r="J3104">
        <f>((Inputs!$B$6*(1+Inputs!$B$7/100))+(((Inputs!$B$12*(1+Inputs!$B$13/100))-(Inputs!$B$12*(1+Inputs!$B$13/100)))+0.25*(Inputs!$B$14-Inputs!$B$14))*(1+Inputs!$B$7/100))*(F3104/100)</f>
        <v/>
      </c>
      <c r="K3104">
        <f>J3104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3099/100)*(1+IF(Inputs!$B$3&gt;=120,F3102,0)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3103*5,0)))/100)*(B3106*B3107*B3108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3104)</f>
        <v/>
      </c>
      <c r="L3104">
        <f>K3104*(MIN(Inputs!$B$22+(F3098-Calc!F22),(Inputs!$B$23+(IF(ArtifactsInput!$M$15,CHOOSE(ArtifactsInput!$N$15+1,25,30,35,40,45,50)/100*(Inputs!$B$11-Inputs!$B$11),0))))/100+(Inputs!$B$23+(IF(ArtifactsInput!$M$15,CHOOSE(ArtifactsInput!$N$15+1,25,30,35,40,45,50)/100*(Inputs!$B$11-Inputs!$B$11),0)))/100)/2</f>
        <v/>
      </c>
      <c r="M3104">
        <f>L3104*(1+(Inputs!$B$10+(F3097-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4">
        <f>L3104*(1-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3104*(MIN((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4">
        <f>(1-Summary!$B$11)*S3104+Summary!$B$11*U3104</f>
        <v/>
      </c>
      <c r="P3104">
        <f>IF(B3117=0,0,O3104/B3117)</f>
        <v/>
      </c>
      <c r="Q3104">
        <f>IFERROR(1/(IF(Inputs!$B$38="pvp",15,MAX(0.1,Skills!E28-IF(Skills!F28=TRUE,4.0,0)))*(1-IF(AND(ArtifactsInput!$M$27,Inputs!$B$4="Chapter Hunt"),CHOOSE(ArtifactsInput!$N$27+1,20,24,28,32,36,40),0)/100)),0)</f>
        <v/>
      </c>
      <c r="R3104">
        <f>IF(AND(Inputs!$B$38&lt;&gt;"pvp",Inputs!$B$43&gt;0),IF(MAX(0,Inputs!$B$43-B3114)&lt;=0,0,(INT(MAX(0,Inputs!$B$43-B3114)/(IF(Inputs!$B$38="pvp",15,MAX(0.1,Skills!E28-IF(Skills!F28=TRUE,4.0,0)))*(1-IF(AND(ArtifactsInput!$M$27,Inputs!$B$4="Chapter Hunt"),CHOOSE(ArtifactsInput!$N$27+1,20,24,28,32,36,40),0)/100)))+1)),0)</f>
        <v/>
      </c>
      <c r="S3104">
        <f>IF(C3104,(H3104*N3104*IF(AND(Inputs!$B$38&lt;&gt;"pvp",Inputs!$B$43&gt;0),((Skills!G28*((R3104-1)*IF(Skills!H28&gt;0,Skills!I28/Skills!H28,1)+IF(Skills!H28&gt;0,MIN(Skills!I28,MAX(0,MAX(0,Inputs!$B$43-B3114)-((R3104-1)*(IF(Inputs!$B$38="pvp",15,MAX(0.1,Skills!E28-IF(Skills!F28=TRUE,4.0,0)))*(1-IF(AND(ArtifactsInput!$M$27,Inputs!$B$4="Chapter Hunt"),CHOOSE(ArtifactsInput!$N$27+1,20,24,28,32,36,40),0)/100)))))/Skills!H28,1)))/Inputs!$B$43),G3104*Q3104))*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3104*(1-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3104*(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3104*(1-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3104*(MIN(100,(Inputs!$B$9+(F3096-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04">
        <f>IF(C3104,(H3104*N3104*IF(AND(Inputs!$B$38&lt;&gt;"pvp",Inputs!$B$43&gt;0),((Skills!G28*((R3104-1)*IF(Skills!H28&gt;0,Skills!I28/Skills!H28,1)+IF(Skills!H28&gt;0,MIN(Skills!I28,MAX(0,MAX(0,Inputs!$B$43-B3114)-((R3104-1)*(IF(Inputs!$B$38="pvp",15,MAX(0.1,Skills!E28-IF(Skills!F28=TRUE,4.0,0)))*(1-IF(AND(ArtifactsInput!$M$27,Inputs!$B$4="Chapter Hunt"),CHOOSE(ArtifactsInput!$N$27+1,20,24,28,32,36,40),0)/100)))))/Skills!H28,1)))/Inputs!$B$43),G3104*Q3104))*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6">
      <c r="A3106" t="inlineStr">
        <is>
          <t>Burning Magic Multiplier</t>
        </is>
      </c>
      <c r="B3106">
        <f>1+(F3087*Skills!Z11)/100</f>
        <v/>
      </c>
    </row>
    <row r="3107">
      <c r="A3107" t="inlineStr">
        <is>
          <t>Elemental Decrease Multiplier (always-on)</t>
        </is>
      </c>
      <c r="B3107">
        <f>1+(F3088+(IF(AND(ArtifactsInput!$M$35,Inputs!$B$4&lt;&gt;"Chapter Hunt"),CHOOSE(ArtifactsInput!$N$35+1,15,18,21,24,27,30)*(1-EXP(-(0.2*B3110)*5)),0)+IF(AND(ArtifactsInput!$M$22,Inputs!$B$4&lt;&gt;"Chapter Hunt"),CHOOSE(ArtifactsInput!$N$22+1,10,12,14,16,18,20)*((0*(((0.15*B3110*5))^0/1)+1*(((0.15*B3110*5))^1/1)+2*(((0.15*B3110*5))^2/2)+3*(((0.15*B3110*5))^3/6)+4*(((0.15*B3110*5))^4/24)+5*(((0.15*B3110*5))^5/120))/((((0.15*B3110*5))^0/1)+(((0.15*B3110*5))^1/1)+(((0.15*B3110*5))^2/2)+(((0.15*B3110*5))^3/6)+(((0.15*B3110*5))^4/24)+(((0.15*B3110*5))^5/120))),0)))/100</f>
        <v/>
      </c>
    </row>
    <row r="3108">
      <c r="A3108" t="inlineStr">
        <is>
          <t>Average Buff Multiplier (Magic Guard + Meditation + Artifact Attack%, summed; then Infinity)</t>
        </is>
      </c>
      <c r="B3108">
        <f>(1+(F3082*IF(AND(Inputs!$B$38&lt;&gt;"pvp",Inputs!$B$43&gt;0),(((R3082-1)*(Skills!T6*(1+((Inputs!$B$34+(ArtifactsInput!$M$7-ArtifactsInput!$M$7)*CHOOSE(ArtifactsInput!$N$7+1,6,7.2,8.4,9.6,10.8,12)))/100))+MIN((Skills!T6*(1+((Inputs!$B$34+(ArtifactsInput!$M$7-ArtifactsInput!$M$7)*CHOOSE(ArtifactsInput!$N$7+1,6,7.2,8.4,9.6,10.8,12)))/100)),MAX(0,Inputs!$B$43-((R3082-1)*Skills!E6))))/Inputs!$B$43),IF(Inputs!$B$38="pvp",MIN((Skills!T6*(1+((Inputs!$B$34+(ArtifactsInput!$M$7-ArtifactsInput!$M$7)*CHOOSE(ArtifactsInput!$N$7+1,6,7.2,8.4,9.6,10.8,12)))/100)),15)/15,(Skills!T6*(1+((Inputs!$B$34+(ArtifactsInput!$M$7-ArtifactsInput!$M$7)*CHOOSE(ArtifactsInput!$N$7+1,6,7.2,8.4,9.6,10.8,12)))/100))/Skills!E6))+F3093*IF(AND(Inputs!$B$38&lt;&gt;"pvp",Inputs!$B$43&gt;0),(((R3093-1)*(Skills!T17*(1+((Inputs!$B$34+(ArtifactsInput!$M$7-ArtifactsInput!$M$7)*CHOOSE(ArtifactsInput!$N$7+1,6,7.2,8.4,9.6,10.8,12)))/100))+MIN((Skills!T17*(1+((Inputs!$B$34+(ArtifactsInput!$M$7-ArtifactsInput!$M$7)*CHOOSE(ArtifactsInput!$N$7+1,6,7.2,8.4,9.6,10.8,12)))/100)),MAX(0,Inputs!$B$43-((R3093-1)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3095=TRUE,(1+F3095*IF(AND(Inputs!$B$38&lt;&gt;"pvp",Inputs!$B$43&gt;0),(((R3095-1)*(Skills!T19*(1+((Inputs!$B$34+(ArtifactsInput!$M$7-ArtifactsInput!$M$7)*CHOOSE(ArtifactsInput!$N$7+1,6,7.2,8.4,9.6,10.8,12)))/100))+MIN((Skills!T19*(1+((Inputs!$B$34+(ArtifactsInput!$M$7-ArtifactsInput!$M$7)*CHOOSE(ArtifactsInput!$N$7+1,6,7.2,8.4,9.6,10.8,12)))/100)),MAX(0,Inputs!$B$43-((R3095-1)*Skills!E19))))/Inputs!$B$43),IF(Inputs!$B$38="pvp",MIN((Skills!T19*(1+((Inputs!$B$34+(ArtifactsInput!$M$7-ArtifactsInput!$M$7)*CHOOSE(ArtifactsInput!$N$7+1,6,7.2,8.4,9.6,10.8,12)))/100)),15)/15,(Skills!T19*(1+((Inputs!$B$34+(ArtifactsInput!$M$7-ArtifactsInput!$M$7)*CHOOSE(ArtifactsInput!$N$7+1,6,7.2,8.4,9.6,10.8,12)))/100))/Skills!E19))/100),1)</f>
        <v/>
      </c>
    </row>
    <row r="3109">
      <c r="A3109" t="inlineStr">
        <is>
          <t>Attack Speed Buff Bonus % (Nimble Feet, averaged)</t>
        </is>
      </c>
      <c r="B3109">
        <f>F3094*IF(AND(Inputs!$B$38&lt;&gt;"pvp",Inputs!$B$43&gt;0),(((R3094-1)*(Skills!T18*(1+((Inputs!$B$34+(ArtifactsInput!$M$7-ArtifactsInput!$M$7)*CHOOSE(ArtifactsInput!$N$7+1,6,7.2,8.4,9.6,10.8,12)))/100))+MIN((Skills!T18*(1+((Inputs!$B$34+(ArtifactsInput!$M$7-ArtifactsInput!$M$7)*CHOOSE(ArtifactsInput!$N$7+1,6,7.2,8.4,9.6,10.8,12)))/100)),MAX(0,Inputs!$B$43-((R3094-1)*Skills!E18))))/Inputs!$B$43),IF(Inputs!$B$38="pvp",MIN((Skills!T18*(1+((Inputs!$B$34+(ArtifactsInput!$M$7-ArtifactsInput!$M$7)*CHOOSE(ArtifactsInput!$N$7+1,6,7.2,8.4,9.6,10.8,12)))/100)),15)/15,(Skills!T18*(1+((Inputs!$B$34+(ArtifactsInput!$M$7-ArtifactsInput!$M$7)*CHOOSE(ArtifactsInput!$N$7+1,6,7.2,8.4,9.6,10.8,12)))/100))/Skills!E18))</f>
        <v/>
      </c>
    </row>
    <row r="3110">
      <c r="A3110" t="inlineStr">
        <is>
          <t>Actions Per Second</t>
        </is>
      </c>
      <c r="B3110">
        <f>1+MIN(150,150*(1-(1-(Inputs!$B$11+(ArtifactsInput!$M$15-ArtifactsInput!$M$15)*CHOOSE(ArtifactsInput!$N$15+1,8,9.6,11.2,12.8,14.4,16))/150)*(1-B3109/150)))/100</f>
        <v/>
      </c>
    </row>
    <row r="3111">
      <c r="A3111" t="inlineStr">
        <is>
          <t>Skill + Buff Cast Rate</t>
        </is>
      </c>
      <c r="B3111">
        <f>IF(AND(Inputs!$B$38&lt;&gt;"pvp",Inputs!$B$43&gt;0),SUMPRODUCT((Skills!F2:F28=TRUE)*(C3078:C3104=TRUE)*R3078:R3104)/Inputs!$B$43,SUMPRODUCT((Skills!F2:F28=TRUE)*(C3078:C3104=TRUE)*Q3078:Q3104))</f>
        <v/>
      </c>
    </row>
    <row r="3112">
      <c r="A3112" t="inlineStr">
        <is>
          <t>Basic Attacks Per Second</t>
        </is>
      </c>
      <c r="B3112">
        <f>MAX(0,B3110-B3111)</f>
        <v/>
      </c>
    </row>
    <row r="3113">
      <c r="A3113" t="inlineStr">
        <is>
          <t>Meteor Proc — combined trigger cast rate</t>
        </is>
      </c>
      <c r="B3113">
        <f>IF(AND(Inputs!$B$38&lt;&gt;"pvp",Inputs!$B$43&gt;0),SUMPRODUCT((Skills!V2:V28=TRUE)*(C3078:C3104=TRUE)*R3078:R3104*Skills!W2:W28)/Inputs!$B$43,SUMPRODUCT((Skills!V2:V28=TRUE)*(C3078:C3104=TRUE)*Q3078:Q3104*Skills!W2:W28))+B3112</f>
        <v/>
      </c>
    </row>
    <row r="3114">
      <c r="A3114" t="inlineStr">
        <is>
          <t>Buff-Casting Startup Delay (s, fixed-duration only)</t>
        </is>
      </c>
      <c r="B3114">
        <f>IF(AND(Inputs!$B$38&lt;&gt;"pvp",Inputs!$B$43&gt;0),SUMPRODUCT((Skills!T2:T28&gt;0)*(Skills!F2:F28=TRUE)*(C3078:C3104=TRUE))/B3110,0)</f>
        <v/>
      </c>
    </row>
    <row r="3115">
      <c r="A3115" t="inlineStr">
        <is>
          <t>Boss-Only Total DPS (this block's swept value)</t>
        </is>
      </c>
      <c r="B3115">
        <f>SUM(S3078:S3104)</f>
        <v/>
      </c>
    </row>
    <row r="3116">
      <c r="A3116" t="inlineStr">
        <is>
          <t>Normal-Only Total DPS (this block's swept value)</t>
        </is>
      </c>
      <c r="B3116">
        <f>SUM(U3078:U3104)</f>
        <v/>
      </c>
    </row>
    <row r="3117">
      <c r="A3117" s="6" t="inlineStr">
        <is>
          <t>TOTAL DPS</t>
        </is>
      </c>
      <c r="B3117" s="6">
        <f>SUM(O3078:O3104)</f>
        <v/>
      </c>
    </row>
    <row r="3120">
      <c r="A3120" s="6" t="inlineStr">
        <is>
          <t>Stat: CDR = 4.5s</t>
        </is>
      </c>
    </row>
    <row r="3121">
      <c r="A3121" s="5" t="inlineStr">
        <is>
          <t>Key</t>
        </is>
      </c>
      <c r="B3121" s="5" t="inlineStr">
        <is>
          <t>Name</t>
        </is>
      </c>
      <c r="C3121" s="5" t="inlineStr">
        <is>
          <t>Unlocked</t>
        </is>
      </c>
      <c r="D3121" s="5" t="inlineStr">
        <is>
          <t>InputLevel</t>
        </is>
      </c>
      <c r="E3121" s="5" t="inlineStr">
        <is>
          <t>Factor</t>
        </is>
      </c>
      <c r="F3121" s="5" t="inlineStr">
        <is>
          <t>CoefficientPercent</t>
        </is>
      </c>
      <c r="G3121" s="5" t="inlineStr">
        <is>
          <t>EffectiveHits</t>
        </is>
      </c>
      <c r="H3121" s="5" t="inlineStr">
        <is>
          <t>ProcProbability</t>
        </is>
      </c>
      <c r="I3121" s="5" t="inlineStr">
        <is>
          <t>MapleHeroMultiplier</t>
        </is>
      </c>
      <c r="J3121" s="5" t="inlineStr">
        <is>
          <t>BaseDamage</t>
        </is>
      </c>
      <c r="K3121" s="5" t="inlineStr">
        <is>
          <t>BaseHitDamage</t>
        </is>
      </c>
      <c r="L3121" s="5" t="inlineStr">
        <is>
          <t>NonCritAvg</t>
        </is>
      </c>
      <c r="M3121" s="5" t="inlineStr">
        <is>
          <t>CritAvg</t>
        </is>
      </c>
      <c r="N3121" s="5" t="inlineStr">
        <is>
          <t>ExpectedDamage(perHit)</t>
        </is>
      </c>
      <c r="O3121" s="5" t="inlineStr">
        <is>
          <t>DPS</t>
        </is>
      </c>
      <c r="P3121" s="5" t="inlineStr">
        <is>
          <t>% of Total</t>
        </is>
      </c>
      <c r="R3121" t="inlineStr">
        <is>
          <t>helpers</t>
        </is>
      </c>
    </row>
    <row r="3122">
      <c r="A3122">
        <f>Skills!A2</f>
        <v/>
      </c>
      <c r="B3122">
        <f>Skills!B2</f>
        <v/>
      </c>
      <c r="C3122">
        <f>TRUE</f>
        <v/>
      </c>
      <c r="D3122" t="inlineStr"/>
      <c r="E3122" t="inlineStr"/>
      <c r="F3122">
        <f>T3124+Skills!O2</f>
        <v/>
      </c>
      <c r="G3122">
        <f>Calc!G2</f>
        <v/>
      </c>
      <c r="H3122">
        <f>Calc!H2</f>
        <v/>
      </c>
      <c r="I3122">
        <f>IF(Skills!X2&lt;&gt;"",1+(Skills!X2/10)*(Z3123/1000)/100,1)</f>
        <v/>
      </c>
      <c r="J3122">
        <f>((Inputs!$B$6*(1+Inputs!$B$7/100))+(((Inputs!$B$12*(1+Inputs!$B$13/100))-(Inputs!$B$12*(1+Inputs!$B$13/100)))+0.25*(Inputs!$B$14-Inputs!$B$14))*(1+Inputs!$B$7/100))*(F3122/100)</f>
        <v/>
      </c>
      <c r="K3122">
        <f>J3122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3122)</f>
        <v/>
      </c>
      <c r="L3122">
        <f>K3122*(MIN(Inputs!$B$22+(F3142-Calc!F22),(Inputs!$B$23+(IF(ArtifactsInput!$M$15,CHOOSE(ArtifactsInput!$N$15+1,25,30,35,40,45,50)/100*(Inputs!$B$11-Inputs!$B$11),0))))/100+(Inputs!$B$23+(IF(ArtifactsInput!$M$15,CHOOSE(ArtifactsInput!$N$15+1,25,30,35,40,45,50)/100*(Inputs!$B$11-Inputs!$B$11),0)))/100)/2</f>
        <v/>
      </c>
      <c r="M3122">
        <f>L3122*(1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2">
        <f>L3122*(1-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3122*(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2">
        <f>(1-Summary!$B$11)*S3122+Summary!$B$11*U3122</f>
        <v/>
      </c>
      <c r="P3122">
        <f>IF(B3161=0,0,O3122/B3161)</f>
        <v/>
      </c>
      <c r="Q3122">
        <f>IFERROR(1/(IF(Inputs!$B$38="pvp",15,MAX(0.1,Skills!E2-IF(Skills!F2=TRUE,4.5,0)))*(1-IF(AND(ArtifactsInput!$M$27,Inputs!$B$4="Chapter Hunt"),CHOOSE(ArtifactsInput!$N$27+1,20,24,28,32,36,40),0)/100)),0)</f>
        <v/>
      </c>
      <c r="R3122" t="n">
        <v>0</v>
      </c>
      <c r="S3122">
        <f>(Skills!G2*N3122*B3156)*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3122*(1-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3122*(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3122*(1-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3122*(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3122">
        <f>MAX(0,(Inputs!$B$3-100)*3)+Inputs!$B$28+Inputs!$B$29</f>
        <v/>
      </c>
      <c r="U3122">
        <f>(Skills!G2*N3122*B3156)*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3122">
        <f>MAX(0,(Inputs!$B$3-100)*3)+Inputs!$B$28+Inputs!$B$29</f>
        <v/>
      </c>
    </row>
    <row r="3123">
      <c r="A3123">
        <f>Skills!A3</f>
        <v/>
      </c>
      <c r="B3123">
        <f>Skills!B3</f>
        <v/>
      </c>
      <c r="C3123">
        <f>TRUE</f>
        <v/>
      </c>
      <c r="D3123">
        <f>IF(Skills!C3=1,60+Inputs!$B$25+Inputs!$B$29,IF(Skills!C3=2,90+Inputs!$B$26+Inputs!$B$29,IF(Skills!C3=3,120+Inputs!$B$27+Inputs!$B$29,MAX(0,(Inputs!$B$3-100)*3)+Inputs!$B$28+Inputs!$B$29)))</f>
        <v/>
      </c>
      <c r="E3123">
        <f>INDEX(FactorTable!$B$2:$Y$301, MATCH(ROUND(MIN(300,MAX(1,D3123)),0), FactorTable!$A$2:$A$301,0), Skills!M3+1)</f>
        <v/>
      </c>
      <c r="F3123">
        <f>IF(Skills!N3=TRUE,(Skills!L3/10)*(E3123/1000),Skills!L3/10)+Skills!O3</f>
        <v/>
      </c>
      <c r="G3123">
        <f>Calc!G3</f>
        <v/>
      </c>
      <c r="H3123">
        <f>Calc!H3</f>
        <v/>
      </c>
      <c r="I3123">
        <f>IF(Skills!X3&lt;&gt;"",1+(Skills!X3/10)*(Z3123/1000)/100,1)</f>
        <v/>
      </c>
      <c r="J3123">
        <f>((Inputs!$B$6*(1+Inputs!$B$7/100))+(((Inputs!$B$12*(1+Inputs!$B$13/100))-(Inputs!$B$12*(1+Inputs!$B$13/100)))+0.25*(Inputs!$B$14-Inputs!$B$14))*(1+Inputs!$B$7/100))*(F3123/100)</f>
        <v/>
      </c>
      <c r="K3123">
        <f>J3123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3123)</f>
        <v/>
      </c>
      <c r="L3123">
        <f>K3123*(MIN(Inputs!$B$22+(F3142-Calc!F22),(Inputs!$B$23+(IF(ArtifactsInput!$M$15,CHOOSE(ArtifactsInput!$N$15+1,25,30,35,40,45,50)/100*(Inputs!$B$11-Inputs!$B$11),0))))/100+(Inputs!$B$23+(IF(ArtifactsInput!$M$15,CHOOSE(ArtifactsInput!$N$15+1,25,30,35,40,45,50)/100*(Inputs!$B$11-Inputs!$B$11),0)))/100)/2</f>
        <v/>
      </c>
      <c r="M3123">
        <f>L3123*(1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3">
        <f>L3123*(1-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3123*(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3">
        <f>(1-Summary!$B$11)*S3123+Summary!$B$11*U3123</f>
        <v/>
      </c>
      <c r="P3123">
        <f>IF(B3161=0,0,O3123/B3161)</f>
        <v/>
      </c>
      <c r="Q3123">
        <f>IFERROR(1/(IF(Inputs!$B$38="pvp",15,MAX(0.1,Skills!E3-IF(Skills!F3=TRUE,4.5,0)))*(1-IF(AND(ArtifactsInput!$M$27,Inputs!$B$4="Chapter Hunt"),CHOOSE(ArtifactsInput!$N$27+1,20,24,28,32,36,40),0)/100)),0)</f>
        <v/>
      </c>
      <c r="R3123">
        <f>IF(AND(Inputs!$B$38&lt;&gt;"pvp",Inputs!$B$43&gt;0),IF(MAX(0,Inputs!$B$43-B3158)&lt;=0,0,(INT(MAX(0,Inputs!$B$43-B3158)/(IF(Inputs!$B$38="pvp",15,MAX(0.1,Skills!E3-IF(Skills!F3=TRUE,4.5,0)))*(1-IF(AND(ArtifactsInput!$M$27,Inputs!$B$4="Chapter Hunt"),CHOOSE(ArtifactsInput!$N$27+1,20,24,28,32,36,40),0)/100)))+1)),0)</f>
        <v/>
      </c>
      <c r="S3123">
        <f>IF(C3123,(H3123*N3123*IF(AND(Inputs!$B$38&lt;&gt;"pvp",Inputs!$B$43&gt;0),((Skills!G3*((R3123-1)*IF(Skills!H3&gt;0,Skills!I3/Skills!H3,1)+IF(Skills!H3&gt;0,MIN(Skills!I3,MAX(0,MAX(0,Inputs!$B$43-B3158)-((R3123-1)*(IF(Inputs!$B$38="pvp",15,MAX(0.1,Skills!E3-IF(Skills!F3=TRUE,4.5,0)))*(1-IF(AND(ArtifactsInput!$M$27,Inputs!$B$4="Chapter Hunt"),CHOOSE(ArtifactsInput!$N$27+1,20,24,28,32,36,40),0)/100)))))/Skills!H3,1)))/Inputs!$B$43),G3123*Q3123))*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3123*(1-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3123*(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3123*(1-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3123*(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123">
        <f>INDEX(FactorTable!$B$2:$Y$301, MATCH(ROUND(MIN(300,MAX(1,T3122)),0), FactorTable!$A$2:$A$301,0), 22)</f>
        <v/>
      </c>
      <c r="U3123">
        <f>IF(C3123,(H3123*N3123*IF(AND(Inputs!$B$38&lt;&gt;"pvp",Inputs!$B$43&gt;0),((Skills!G3*((R3123-1)*IF(Skills!H3&gt;0,Skills!I3/Skills!H3,1)+IF(Skills!H3&gt;0,MIN(Skills!I3,MAX(0,MAX(0,Inputs!$B$43-B3158)-((R3123-1)*(IF(Inputs!$B$38="pvp",15,MAX(0.1,Skills!E3-IF(Skills!F3=TRUE,4.5,0)))*(1-IF(AND(ArtifactsInput!$M$27,Inputs!$B$4="Chapter Hunt"),CHOOSE(ArtifactsInput!$N$27+1,20,24,28,32,36,40),0)/100)))))/Skills!H3,1)))/Inputs!$B$43),G3123*Q3123))*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123">
        <f>INDEX(FactorTable!$B$2:$Y$301, MATCH(ROUND(MIN(300,MAX(1,Z3122)),0), FactorTable!$A$2:$A$301,0), 24)</f>
        <v/>
      </c>
    </row>
    <row r="3124">
      <c r="A3124">
        <f>Skills!A4</f>
        <v/>
      </c>
      <c r="B3124">
        <f>Skills!B4</f>
        <v/>
      </c>
      <c r="C3124">
        <f>TRUE</f>
        <v/>
      </c>
      <c r="D3124">
        <f>IF(Skills!C4=1,60+Inputs!$B$25+Inputs!$B$29,IF(Skills!C4=2,90+Inputs!$B$26+Inputs!$B$29,IF(Skills!C4=3,120+Inputs!$B$27+Inputs!$B$29,MAX(0,(Inputs!$B$3-100)*3)+Inputs!$B$28+Inputs!$B$29)))</f>
        <v/>
      </c>
      <c r="E3124">
        <f>INDEX(FactorTable!$B$2:$Y$301, MATCH(ROUND(MIN(300,MAX(1,D3124)),0), FactorTable!$A$2:$A$301,0), Skills!M4+1)</f>
        <v/>
      </c>
      <c r="F3124">
        <f>IF(Skills!N4=TRUE,(Skills!L4/10)*(E3124/1000),Skills!L4/10)+Skills!O4</f>
        <v/>
      </c>
      <c r="G3124">
        <f>Calc!G4</f>
        <v/>
      </c>
      <c r="H3124">
        <f>Calc!H4</f>
        <v/>
      </c>
      <c r="I3124">
        <f>IF(Skills!X4&lt;&gt;"",1+(Skills!X4/10)*(Z3123/1000)/100,1)</f>
        <v/>
      </c>
      <c r="J3124">
        <f>((Inputs!$B$6*(1+Inputs!$B$7/100))+(((Inputs!$B$12*(1+Inputs!$B$13/100))-(Inputs!$B$12*(1+Inputs!$B$13/100)))+0.25*(Inputs!$B$14-Inputs!$B$14))*(1+Inputs!$B$7/100))*(F3124/100)</f>
        <v/>
      </c>
      <c r="K3124">
        <f>J3124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3124)</f>
        <v/>
      </c>
      <c r="L3124">
        <f>K3124*(MIN(Inputs!$B$22+(F3142-Calc!F22),(Inputs!$B$23+(IF(ArtifactsInput!$M$15,CHOOSE(ArtifactsInput!$N$15+1,25,30,35,40,45,50)/100*(Inputs!$B$11-Inputs!$B$11),0))))/100+(Inputs!$B$23+(IF(ArtifactsInput!$M$15,CHOOSE(ArtifactsInput!$N$15+1,25,30,35,40,45,50)/100*(Inputs!$B$11-Inputs!$B$11),0)))/100)/2</f>
        <v/>
      </c>
      <c r="M3124">
        <f>L3124*(1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4">
        <f>L3124*(1-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3124*(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4">
        <f>(1-Summary!$B$11)*S3124+Summary!$B$11*U3124</f>
        <v/>
      </c>
      <c r="P3124">
        <f>IF(B3161=0,0,O3124/B3161)</f>
        <v/>
      </c>
      <c r="Q3124">
        <f>IFERROR(1/(IF(Inputs!$B$38="pvp",15,MAX(0.1,Skills!E4-IF(Skills!F4=TRUE,4.5,0)))*(1-IF(AND(ArtifactsInput!$M$27,Inputs!$B$4="Chapter Hunt"),CHOOSE(ArtifactsInput!$N$27+1,20,24,28,32,36,40),0)/100)),0)</f>
        <v/>
      </c>
      <c r="R3124">
        <f>IF(AND(Inputs!$B$38&lt;&gt;"pvp",Inputs!$B$43&gt;0),IF(MAX(0,Inputs!$B$43-B3158)&lt;=0,0,(INT(MAX(0,Inputs!$B$43-B3158)/(IF(Inputs!$B$38="pvp",15,MAX(0.1,Skills!E4-IF(Skills!F4=TRUE,4.5,0)))*(1-IF(AND(ArtifactsInput!$M$27,Inputs!$B$4="Chapter Hunt"),CHOOSE(ArtifactsInput!$N$27+1,20,24,28,32,36,40),0)/100)))+1)),0)</f>
        <v/>
      </c>
      <c r="S3124">
        <f>IF(C3124,(H3124*N3124*IF(AND(Inputs!$B$38&lt;&gt;"pvp",Inputs!$B$43&gt;0),((Skills!G4*((R3124-1)*IF(Skills!H4&gt;0,Skills!I4/Skills!H4,1)+IF(Skills!H4&gt;0,MIN(Skills!I4,MAX(0,MAX(0,Inputs!$B$43-B3158)-((R3124-1)*(IF(Inputs!$B$38="pvp",15,MAX(0.1,Skills!E4-IF(Skills!F4=TRUE,4.5,0)))*(1-IF(AND(ArtifactsInput!$M$27,Inputs!$B$4="Chapter Hunt"),CHOOSE(ArtifactsInput!$N$27+1,20,24,28,32,36,40),0)/100)))))/Skills!H4,1)))/Inputs!$B$43),G3124*Q3124))*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3124*(1-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3124*(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3124*(1-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3124*(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124">
        <f>290*T3123/1000</f>
        <v/>
      </c>
      <c r="U3124">
        <f>IF(C3124,(H3124*N3124*IF(AND(Inputs!$B$38&lt;&gt;"pvp",Inputs!$B$43&gt;0),((Skills!G4*((R3124-1)*IF(Skills!H4&gt;0,Skills!I4/Skills!H4,1)+IF(Skills!H4&gt;0,MIN(Skills!I4,MAX(0,MAX(0,Inputs!$B$43-B3158)-((R3124-1)*(IF(Inputs!$B$38="pvp",15,MAX(0.1,Skills!E4-IF(Skills!F4=TRUE,4.5,0)))*(1-IF(AND(ArtifactsInput!$M$27,Inputs!$B$4="Chapter Hunt"),CHOOSE(ArtifactsInput!$N$27+1,20,24,28,32,36,40),0)/100)))))/Skills!H4,1)))/Inputs!$B$43),G3124*Q3124))*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5">
      <c r="A3125">
        <f>Skills!A5</f>
        <v/>
      </c>
      <c r="B3125">
        <f>Skills!B5</f>
        <v/>
      </c>
      <c r="C3125">
        <f>TRUE</f>
        <v/>
      </c>
      <c r="D3125">
        <f>IF(Skills!C5=1,60+Inputs!$B$25+Inputs!$B$29,IF(Skills!C5=2,90+Inputs!$B$26+Inputs!$B$29,IF(Skills!C5=3,120+Inputs!$B$27+Inputs!$B$29,MAX(0,(Inputs!$B$3-100)*3)+Inputs!$B$28+Inputs!$B$29)))</f>
        <v/>
      </c>
      <c r="E3125">
        <f>INDEX(FactorTable!$B$2:$Y$301, MATCH(ROUND(MIN(300,MAX(1,D3125)),0), FactorTable!$A$2:$A$301,0), Skills!M5+1)</f>
        <v/>
      </c>
      <c r="F3125">
        <f>IF(Skills!N5=TRUE,(Skills!L5/10)*(E3125/1000),Skills!L5/10)+Skills!O5</f>
        <v/>
      </c>
      <c r="G3125">
        <f>Calc!G5</f>
        <v/>
      </c>
      <c r="H3125">
        <f>Calc!H5</f>
        <v/>
      </c>
      <c r="I3125">
        <f>IF(Skills!X5&lt;&gt;"",1+(Skills!X5/10)*(Z3123/1000)/100,1)</f>
        <v/>
      </c>
      <c r="J3125">
        <f>((Inputs!$B$6*(1+Inputs!$B$7/100))+(((Inputs!$B$12*(1+Inputs!$B$13/100))-(Inputs!$B$12*(1+Inputs!$B$13/100)))+0.25*(Inputs!$B$14-Inputs!$B$14))*(1+Inputs!$B$7/100))*(F3125/100)</f>
        <v/>
      </c>
      <c r="K3125">
        <f>J3125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3125)</f>
        <v/>
      </c>
      <c r="L3125">
        <f>K3125*(MIN(Inputs!$B$22+(F3142-Calc!F22),(Inputs!$B$23+(IF(ArtifactsInput!$M$15,CHOOSE(ArtifactsInput!$N$15+1,25,30,35,40,45,50)/100*(Inputs!$B$11-Inputs!$B$11),0))))/100+(Inputs!$B$23+(IF(ArtifactsInput!$M$15,CHOOSE(ArtifactsInput!$N$15+1,25,30,35,40,45,50)/100*(Inputs!$B$11-Inputs!$B$11),0)))/100)/2</f>
        <v/>
      </c>
      <c r="M3125">
        <f>L3125*(1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5">
        <f>L3125*(1-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3125*(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5">
        <f>(1-Summary!$B$11)*S3125+Summary!$B$11*U3125</f>
        <v/>
      </c>
      <c r="P3125">
        <f>IF(B3161=0,0,O3125/B3161)</f>
        <v/>
      </c>
      <c r="Q3125">
        <f>IFERROR(1/(IF(Inputs!$B$38="pvp",15,MAX(0.1,Skills!E5-IF(Skills!F5=TRUE,4.5,0)))*(1-IF(AND(ArtifactsInput!$M$27,Inputs!$B$4="Chapter Hunt"),CHOOSE(ArtifactsInput!$N$27+1,20,24,28,32,36,40),0)/100)),0)</f>
        <v/>
      </c>
      <c r="R3125">
        <f>IF(AND(Inputs!$B$38&lt;&gt;"pvp",Inputs!$B$43&gt;0),IF(MAX(0,Inputs!$B$43-B3158)&lt;=0,0,(INT(MAX(0,Inputs!$B$43-B3158)/(IF(Inputs!$B$38="pvp",15,MAX(0.1,Skills!E5-IF(Skills!F5=TRUE,4.5,0)))*(1-IF(AND(ArtifactsInput!$M$27,Inputs!$B$4="Chapter Hunt"),CHOOSE(ArtifactsInput!$N$27+1,20,24,28,32,36,40),0)/100)))+1)),0)</f>
        <v/>
      </c>
      <c r="S3125">
        <f>IF(C3125,(H3125*N3125*IF(AND(Inputs!$B$38&lt;&gt;"pvp",Inputs!$B$43&gt;0),((Skills!G5*((R3125-1)*IF(Skills!H5&gt;0,Skills!I5/Skills!H5,1)+IF(Skills!H5&gt;0,MIN(Skills!I5,MAX(0,MAX(0,Inputs!$B$43-B3158)-((R3125-1)*(IF(Inputs!$B$38="pvp",15,MAX(0.1,Skills!E5-IF(Skills!F5=TRUE,4.5,0)))*(1-IF(AND(ArtifactsInput!$M$27,Inputs!$B$4="Chapter Hunt"),CHOOSE(ArtifactsInput!$N$27+1,20,24,28,32,36,40),0)/100)))))/Skills!H5,1)))/Inputs!$B$43),G3125*Q3125))*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3125*(1-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3125*(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3125*(1-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3125*(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25">
        <f>IF(C3125,(H3125*N3125*IF(AND(Inputs!$B$38&lt;&gt;"pvp",Inputs!$B$43&gt;0),((Skills!G5*((R3125-1)*IF(Skills!H5&gt;0,Skills!I5/Skills!H5,1)+IF(Skills!H5&gt;0,MIN(Skills!I5,MAX(0,MAX(0,Inputs!$B$43-B3158)-((R3125-1)*(IF(Inputs!$B$38="pvp",15,MAX(0.1,Skills!E5-IF(Skills!F5=TRUE,4.5,0)))*(1-IF(AND(ArtifactsInput!$M$27,Inputs!$B$4="Chapter Hunt"),CHOOSE(ArtifactsInput!$N$27+1,20,24,28,32,36,40),0)/100)))))/Skills!H5,1)))/Inputs!$B$43),G3125*Q3125))*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6">
      <c r="A3126">
        <f>Skills!A6</f>
        <v/>
      </c>
      <c r="B3126">
        <f>Skills!B6</f>
        <v/>
      </c>
      <c r="C3126">
        <f>TRUE</f>
        <v/>
      </c>
      <c r="D3126">
        <f>IF(Skills!C6=1,60+Inputs!$B$25+Inputs!$B$29,IF(Skills!C6=2,90+Inputs!$B$26+Inputs!$B$29,IF(Skills!C6=3,120+Inputs!$B$27+Inputs!$B$29,MAX(0,(Inputs!$B$3-100)*3)+Inputs!$B$28+Inputs!$B$29)))</f>
        <v/>
      </c>
      <c r="E3126">
        <f>INDEX(FactorTable!$B$2:$Y$301, MATCH(ROUND(MIN(300,MAX(1,D3126)),0), FactorTable!$A$2:$A$301,0), Skills!M6+1)</f>
        <v/>
      </c>
      <c r="F3126">
        <f>IF(Skills!N6=TRUE,(Skills!L6/10)*(E3126/1000),Skills!L6/10)+Skills!O6</f>
        <v/>
      </c>
      <c r="G3126">
        <f>Calc!G6</f>
        <v/>
      </c>
      <c r="H3126">
        <f>Calc!H6</f>
        <v/>
      </c>
      <c r="I3126">
        <f>IF(Skills!X6&lt;&gt;"",1+(Skills!X6/10)*(Z3123/1000)/100,1)</f>
        <v/>
      </c>
      <c r="J3126" t="inlineStr"/>
      <c r="K3126" t="inlineStr"/>
      <c r="L3126" t="inlineStr"/>
      <c r="M3126" t="inlineStr"/>
      <c r="N3126" t="inlineStr"/>
      <c r="O3126">
        <f>(1-Summary!$B$11)*S3126+Summary!$B$11*U3126</f>
        <v/>
      </c>
      <c r="P3126">
        <f>IF(B3161=0,0,O3126/B3161)</f>
        <v/>
      </c>
      <c r="Q3126">
        <f>IFERROR(1/(IF(Inputs!$B$38="pvp",15,MAX(0.1,Skills!E6-IF(Skills!F6=TRUE,4.5,0)))*(1-IF(AND(ArtifactsInput!$M$27,Inputs!$B$4="Chapter Hunt"),CHOOSE(ArtifactsInput!$N$27+1,20,24,28,32,36,40),0)/100)),0)</f>
        <v/>
      </c>
      <c r="R3126">
        <f>IF(AND(Inputs!$B$38&lt;&gt;"pvp",Inputs!$B$43&gt;0),IF(Inputs!$B$43&lt;=0,0,(INT(Inputs!$B$43/(IF(Inputs!$B$38="pvp",15,MAX(0.1,Skills!E6-IF(Skills!F6=TRUE,4.5,0)))*(1-IF(AND(ArtifactsInput!$M$27,Inputs!$B$4="Chapter Hunt"),CHOOSE(ArtifactsInput!$N$27+1,20,24,28,32,36,40),0)/100)))+1)),0)</f>
        <v/>
      </c>
      <c r="S3126" t="n">
        <v>0</v>
      </c>
      <c r="U3126" t="n">
        <v>0</v>
      </c>
    </row>
    <row r="3127">
      <c r="A3127">
        <f>Skills!A7</f>
        <v/>
      </c>
      <c r="B3127">
        <f>Skills!B7</f>
        <v/>
      </c>
      <c r="C3127">
        <f>TRUE</f>
        <v/>
      </c>
      <c r="D3127">
        <f>IF(Skills!C7=1,60+Inputs!$B$25+Inputs!$B$29,IF(Skills!C7=2,90+Inputs!$B$26+Inputs!$B$29,IF(Skills!C7=3,120+Inputs!$B$27+Inputs!$B$29,MAX(0,(Inputs!$B$3-100)*3)+Inputs!$B$28+Inputs!$B$29)))</f>
        <v/>
      </c>
      <c r="E3127">
        <f>INDEX(FactorTable!$B$2:$Y$301, MATCH(ROUND(MIN(300,MAX(1,D3127)),0), FactorTable!$A$2:$A$301,0), Skills!M7+1)</f>
        <v/>
      </c>
      <c r="F3127">
        <f>IF(Skills!N7=TRUE,(Skills!L7/10)*(E3127/1000),Skills!L7/10)+Skills!O7</f>
        <v/>
      </c>
      <c r="G3127">
        <f>Calc!G7</f>
        <v/>
      </c>
      <c r="H3127">
        <f>Calc!H7</f>
        <v/>
      </c>
      <c r="I3127">
        <f>IF(Skills!X7&lt;&gt;"",1+(Skills!X7/10)*(Z3123/1000)/100,1)</f>
        <v/>
      </c>
      <c r="J3127">
        <f>((Inputs!$B$6*(1+Inputs!$B$7/100))+(((Inputs!$B$12*(1+Inputs!$B$13/100))-(Inputs!$B$12*(1+Inputs!$B$13/100)))+0.25*(Inputs!$B$14-Inputs!$B$14))*(1+Inputs!$B$7/100))*(F3127/100)</f>
        <v/>
      </c>
      <c r="K3127">
        <f>J3127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3127)</f>
        <v/>
      </c>
      <c r="L3127">
        <f>K3127*(MIN(Inputs!$B$22+(F3142-Calc!F22),(Inputs!$B$23+(IF(ArtifactsInput!$M$15,CHOOSE(ArtifactsInput!$N$15+1,25,30,35,40,45,50)/100*(Inputs!$B$11-Inputs!$B$11),0))))/100+(Inputs!$B$23+(IF(ArtifactsInput!$M$15,CHOOSE(ArtifactsInput!$N$15+1,25,30,35,40,45,50)/100*(Inputs!$B$11-Inputs!$B$11),0)))/100)/2</f>
        <v/>
      </c>
      <c r="M3127">
        <f>L3127*(1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7">
        <f>L3127*(1-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3127*(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7">
        <f>(1-Summary!$B$11)*S3127+Summary!$B$11*U3127</f>
        <v/>
      </c>
      <c r="P3127">
        <f>IF(B3161=0,0,O3127/B3161)</f>
        <v/>
      </c>
      <c r="Q3127">
        <f>IFERROR(1/(IF(Inputs!$B$38="pvp",15,MAX(0.1,Skills!E7-IF(Skills!F7=TRUE,4.5,0)))*(1-IF(AND(ArtifactsInput!$M$27,Inputs!$B$4="Chapter Hunt"),CHOOSE(ArtifactsInput!$N$27+1,20,24,28,32,36,40),0)/100)),0)</f>
        <v/>
      </c>
      <c r="R3127">
        <f>IF(AND(Inputs!$B$38&lt;&gt;"pvp",Inputs!$B$43&gt;0),IF(MAX(0,Inputs!$B$43-B3158)&lt;=0,0,(INT(MAX(0,Inputs!$B$43-B3158)/(IF(Inputs!$B$38="pvp",15,MAX(0.1,Skills!E7-IF(Skills!F7=TRUE,4.5,0)))*(1-IF(AND(ArtifactsInput!$M$27,Inputs!$B$4="Chapter Hunt"),CHOOSE(ArtifactsInput!$N$27+1,20,24,28,32,36,40),0)/100)))+1)),0)</f>
        <v/>
      </c>
      <c r="S3127">
        <f>IF(C3127,(H3127*N3127*IF(AND(Inputs!$B$38&lt;&gt;"pvp",Inputs!$B$43&gt;0),((Skills!G7*((R3127-1)*IF(Skills!H7&gt;0,Skills!I7/Skills!H7,1)+IF(Skills!H7&gt;0,MIN(Skills!I7,MAX(0,MAX(0,Inputs!$B$43-B3158)-((R3127-1)*(IF(Inputs!$B$38="pvp",15,MAX(0.1,Skills!E7-IF(Skills!F7=TRUE,4.5,0)))*(1-IF(AND(ArtifactsInput!$M$27,Inputs!$B$4="Chapter Hunt"),CHOOSE(ArtifactsInput!$N$27+1,20,24,28,32,36,40),0)/100)))))/Skills!H7,1)))/Inputs!$B$43),G3127*Q3127))*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3127*(1-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3127*(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3127*(1-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3127*(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27">
        <f>IF(C3127,(H3127*N3127*IF(AND(Inputs!$B$38&lt;&gt;"pvp",Inputs!$B$43&gt;0),((Skills!G7*((R3127-1)*IF(Skills!H7&gt;0,Skills!I7/Skills!H7,1)+IF(Skills!H7&gt;0,MIN(Skills!I7,MAX(0,MAX(0,Inputs!$B$43-B3158)-((R3127-1)*(IF(Inputs!$B$38="pvp",15,MAX(0.1,Skills!E7-IF(Skills!F7=TRUE,4.5,0)))*(1-IF(AND(ArtifactsInput!$M$27,Inputs!$B$4="Chapter Hunt"),CHOOSE(ArtifactsInput!$N$27+1,20,24,28,32,36,40),0)/100)))))/Skills!H7,1)))/Inputs!$B$43),G3127*Q3127))*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8">
      <c r="A3128">
        <f>Skills!A8</f>
        <v/>
      </c>
      <c r="B3128">
        <f>Skills!B8</f>
        <v/>
      </c>
      <c r="C3128">
        <f>TRUE</f>
        <v/>
      </c>
      <c r="D3128">
        <f>IF(Skills!C8=1,60+Inputs!$B$25+Inputs!$B$29,IF(Skills!C8=2,90+Inputs!$B$26+Inputs!$B$29,IF(Skills!C8=3,120+Inputs!$B$27+Inputs!$B$29,MAX(0,(Inputs!$B$3-100)*3)+Inputs!$B$28+Inputs!$B$29)))</f>
        <v/>
      </c>
      <c r="E3128">
        <f>INDEX(FactorTable!$B$2:$Y$301, MATCH(ROUND(MIN(300,MAX(1,D3128)),0), FactorTable!$A$2:$A$301,0), Skills!M8+1)</f>
        <v/>
      </c>
      <c r="F3128">
        <f>IF(Skills!N8=TRUE,(Skills!L8/10)*(E3128/1000),Skills!L8/10)+Skills!O8</f>
        <v/>
      </c>
      <c r="G3128">
        <f>Calc!G8</f>
        <v/>
      </c>
      <c r="H3128">
        <f>Calc!H8</f>
        <v/>
      </c>
      <c r="I3128">
        <f>IF(Skills!X8&lt;&gt;"",1+(Skills!X8/10)*(Z3123/1000)/100,1)</f>
        <v/>
      </c>
      <c r="J3128">
        <f>((Inputs!$B$6*(1+Inputs!$B$7/100))+(((Inputs!$B$12*(1+Inputs!$B$13/100))-(Inputs!$B$12*(1+Inputs!$B$13/100)))+0.25*(Inputs!$B$14-Inputs!$B$14))*(1+Inputs!$B$7/100))*(F3128/100)</f>
        <v/>
      </c>
      <c r="K3128">
        <f>J3128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3128)</f>
        <v/>
      </c>
      <c r="L3128">
        <f>K3128*(MIN(Inputs!$B$22+(F3142-Calc!F22),(Inputs!$B$23+(IF(ArtifactsInput!$M$15,CHOOSE(ArtifactsInput!$N$15+1,25,30,35,40,45,50)/100*(Inputs!$B$11-Inputs!$B$11),0))))/100+(Inputs!$B$23+(IF(ArtifactsInput!$M$15,CHOOSE(ArtifactsInput!$N$15+1,25,30,35,40,45,50)/100*(Inputs!$B$11-Inputs!$B$11),0)))/100)/2</f>
        <v/>
      </c>
      <c r="M3128">
        <f>L3128*(1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8">
        <f>L3128*(1-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3128*(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8">
        <f>(1-Summary!$B$11)*S3128+Summary!$B$11*U3128</f>
        <v/>
      </c>
      <c r="P3128">
        <f>IF(B3161=0,0,O3128/B3161)</f>
        <v/>
      </c>
      <c r="Q3128">
        <f>IFERROR(1/(IF(Inputs!$B$38="pvp",15,MAX(0.1,Skills!E8-IF(Skills!F8=TRUE,4.5,0)))*(1-IF(AND(ArtifactsInput!$M$27,Inputs!$B$4="Chapter Hunt"),CHOOSE(ArtifactsInput!$N$27+1,20,24,28,32,36,40),0)/100)),0)</f>
        <v/>
      </c>
      <c r="R3128">
        <f>IF(AND(Inputs!$B$38&lt;&gt;"pvp",Inputs!$B$43&gt;0),IF(MAX(0,Inputs!$B$43-B3158)&lt;=0,0,(INT(MAX(0,Inputs!$B$43-B3158)/(IF(Inputs!$B$38="pvp",15,MAX(0.1,Skills!E8-IF(Skills!F8=TRUE,4.5,0)))*(1-IF(AND(ArtifactsInput!$M$27,Inputs!$B$4="Chapter Hunt"),CHOOSE(ArtifactsInput!$N$27+1,20,24,28,32,36,40),0)/100)))+1)),0)</f>
        <v/>
      </c>
      <c r="S3128">
        <f>IF(C3128,(H3128*N3128*IF(AND(Inputs!$B$38&lt;&gt;"pvp",Inputs!$B$43&gt;0),((Skills!G8*((R3128-1)*IF(Skills!H8&gt;0,Skills!I8/Skills!H8,1)+IF(Skills!H8&gt;0,MIN(Skills!I8,MAX(0,MAX(0,Inputs!$B$43-B3158)-((R3128-1)*(IF(Inputs!$B$38="pvp",15,MAX(0.1,Skills!E8-IF(Skills!F8=TRUE,4.5,0)))*(1-IF(AND(ArtifactsInput!$M$27,Inputs!$B$4="Chapter Hunt"),CHOOSE(ArtifactsInput!$N$27+1,20,24,28,32,36,40),0)/100)))))/Skills!H8,1)))/Inputs!$B$43),G3128*Q3128))*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3128*(1-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3128*(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3128*(1-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3128*(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28">
        <f>IF(C3128,(H3128*N3128*IF(AND(Inputs!$B$38&lt;&gt;"pvp",Inputs!$B$43&gt;0),((Skills!G8*((R3128-1)*IF(Skills!H8&gt;0,Skills!I8/Skills!H8,1)+IF(Skills!H8&gt;0,MIN(Skills!I8,MAX(0,MAX(0,Inputs!$B$43-B3158)-((R3128-1)*(IF(Inputs!$B$38="pvp",15,MAX(0.1,Skills!E8-IF(Skills!F8=TRUE,4.5,0)))*(1-IF(AND(ArtifactsInput!$M$27,Inputs!$B$4="Chapter Hunt"),CHOOSE(ArtifactsInput!$N$27+1,20,24,28,32,36,40),0)/100)))))/Skills!H8,1)))/Inputs!$B$43),G3128*Q3128))*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29">
      <c r="A3129">
        <f>Skills!A9</f>
        <v/>
      </c>
      <c r="B3129">
        <f>Skills!B9</f>
        <v/>
      </c>
      <c r="C3129">
        <f>Inputs!$B$3&gt;=103</f>
        <v/>
      </c>
      <c r="D3129">
        <f>IF(Skills!C9=1,60+Inputs!$B$25+Inputs!$B$29,IF(Skills!C9=2,90+Inputs!$B$26+Inputs!$B$29,IF(Skills!C9=3,120+Inputs!$B$27+Inputs!$B$29,MAX(0,(Inputs!$B$3-100)*3)+Inputs!$B$28+Inputs!$B$29)))</f>
        <v/>
      </c>
      <c r="E3129">
        <f>INDEX(FactorTable!$B$2:$Y$301, MATCH(ROUND(MIN(300,MAX(1,D3129)),0), FactorTable!$A$2:$A$301,0), Skills!M9+1)</f>
        <v/>
      </c>
      <c r="F3129">
        <f>IF(Skills!N9=TRUE,(Skills!L9/10)*(E3129/1000),Skills!L9/10)+Skills!O9</f>
        <v/>
      </c>
      <c r="G3129">
        <f>Calc!G9</f>
        <v/>
      </c>
      <c r="H3129">
        <f>Calc!H9</f>
        <v/>
      </c>
      <c r="I3129">
        <f>IF(Skills!X9&lt;&gt;"",1+(Skills!X9/10)*(Z3123/1000)/100,1)</f>
        <v/>
      </c>
      <c r="J3129">
        <f>((Inputs!$B$6*(1+Inputs!$B$7/100))+(((Inputs!$B$12*(1+Inputs!$B$13/100))-(Inputs!$B$12*(1+Inputs!$B$13/100)))+0.25*(Inputs!$B$14-Inputs!$B$14))*(1+Inputs!$B$7/100))*(F3129/100)</f>
        <v/>
      </c>
      <c r="K3129">
        <f>J3129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3129)</f>
        <v/>
      </c>
      <c r="L3129">
        <f>K3129*(MIN(Inputs!$B$22+(F3142-Calc!F22),(Inputs!$B$23+(IF(ArtifactsInput!$M$15,CHOOSE(ArtifactsInput!$N$15+1,25,30,35,40,45,50)/100*(Inputs!$B$11-Inputs!$B$11),0))))/100+(Inputs!$B$23+(IF(ArtifactsInput!$M$15,CHOOSE(ArtifactsInput!$N$15+1,25,30,35,40,45,50)/100*(Inputs!$B$11-Inputs!$B$11),0)))/100)/2</f>
        <v/>
      </c>
      <c r="M3129">
        <f>L3129*(1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29">
        <f>L3129*(1-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3129*(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29">
        <f>(1-Summary!$B$11)*S3129+Summary!$B$11*U3129</f>
        <v/>
      </c>
      <c r="P3129">
        <f>IF(B3161=0,0,O3129/B3161)</f>
        <v/>
      </c>
      <c r="Q3129">
        <f>IFERROR(1/(IF(Inputs!$B$38="pvp",15,MAX(0.1,Skills!E9-IF(Skills!F7=TRUE,4.5,0)))*(1-IF(AND(ArtifactsInput!$M$27,Inputs!$B$4="Chapter Hunt"),CHOOSE(ArtifactsInput!$N$27+1,20,24,28,32,36,40),0)/100)),0)</f>
        <v/>
      </c>
      <c r="R3129">
        <f>IF(AND(Inputs!$B$38&lt;&gt;"pvp",Inputs!$B$43&gt;0),IF(MAX(0,Inputs!$B$43-B3158)&lt;=0,0,(INT(MAX(0,Inputs!$B$43-B3158)/(IF(Inputs!$B$38="pvp",15,MAX(0.1,Skills!E9-IF(Skills!F7=TRUE,4.5,0)))*(1-IF(AND(ArtifactsInput!$M$27,Inputs!$B$4="Chapter Hunt"),CHOOSE(ArtifactsInput!$N$27+1,20,24,28,32,36,40),0)/100)))+1)),0)</f>
        <v/>
      </c>
      <c r="S3129">
        <f>IF(C3129,(H3129*N3129*IF(AND(Inputs!$B$38&lt;&gt;"pvp",Inputs!$B$43&gt;0),((Skills!G9*((R3129-1)*IF(Skills!H9&gt;0,Skills!I9/Skills!H9,1)+IF(Skills!H9&gt;0,MIN(Skills!I9,MAX(0,MAX(0,Inputs!$B$43-B3158)-((R3129-1)*(IF(Inputs!$B$38="pvp",15,MAX(0.1,Skills!E9-IF(Skills!F7=TRUE,4.5,0)))*(1-IF(AND(ArtifactsInput!$M$27,Inputs!$B$4="Chapter Hunt"),CHOOSE(ArtifactsInput!$N$27+1,20,24,28,32,36,40),0)/100)))))/Skills!H9,1)))/Inputs!$B$43),G3129*Q3129))*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3129*(1-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3129*(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3129*(1-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3129*(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29">
        <f>IF(C3129,(H3129*N3129*IF(AND(Inputs!$B$38&lt;&gt;"pvp",Inputs!$B$43&gt;0),((Skills!G9*((R3129-1)*IF(Skills!H9&gt;0,Skills!I9/Skills!H9,1)+IF(Skills!H9&gt;0,MIN(Skills!I9,MAX(0,MAX(0,Inputs!$B$43-B3158)-((R3129-1)*(IF(Inputs!$B$38="pvp",15,MAX(0.1,Skills!E9-IF(Skills!F7=TRUE,4.5,0)))*(1-IF(AND(ArtifactsInput!$M$27,Inputs!$B$4="Chapter Hunt"),CHOOSE(ArtifactsInput!$N$27+1,20,24,28,32,36,40),0)/100)))))/Skills!H9,1)))/Inputs!$B$43),G3129*Q3129))*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0">
      <c r="A3130">
        <f>Skills!A10</f>
        <v/>
      </c>
      <c r="B3130">
        <f>Skills!B10</f>
        <v/>
      </c>
      <c r="C3130">
        <f>TRUE</f>
        <v/>
      </c>
      <c r="D3130">
        <f>IF(Skills!C10=1,60+Inputs!$B$25+Inputs!$B$29,IF(Skills!C10=2,90+Inputs!$B$26+Inputs!$B$29,IF(Skills!C10=3,120+Inputs!$B$27+Inputs!$B$29,MAX(0,(Inputs!$B$3-100)*3)+Inputs!$B$28+Inputs!$B$29)))</f>
        <v/>
      </c>
      <c r="E3130">
        <f>INDEX(FactorTable!$B$2:$Y$301, MATCH(ROUND(MIN(300,MAX(1,D3130)),0), FactorTable!$A$2:$A$301,0), Skills!M10+1)</f>
        <v/>
      </c>
      <c r="F3130">
        <f>IF(Skills!N10=TRUE,(Skills!L10/10)*(E3130/1000),Skills!L10/10)+Skills!O10</f>
        <v/>
      </c>
      <c r="G3130">
        <f>Calc!G10</f>
        <v/>
      </c>
      <c r="H3130">
        <f>Calc!H10</f>
        <v/>
      </c>
      <c r="I3130">
        <f>IF(Skills!X10&lt;&gt;"",1+(Skills!X10/10)*(Z3123/1000)/100,1)</f>
        <v/>
      </c>
      <c r="J3130">
        <f>((Inputs!$B$6*(1+Inputs!$B$7/100))+(((Inputs!$B$12*(1+Inputs!$B$13/100))-(Inputs!$B$12*(1+Inputs!$B$13/100)))+0.25*(Inputs!$B$14-Inputs!$B$14))*(1+Inputs!$B$7/100))*(F3130/100)</f>
        <v/>
      </c>
      <c r="K3130">
        <f>J3130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3130)</f>
        <v/>
      </c>
      <c r="L3130">
        <f>K3130*(MIN(Inputs!$B$22+(F3142-Calc!F22),(Inputs!$B$23+(IF(ArtifactsInput!$M$15,CHOOSE(ArtifactsInput!$N$15+1,25,30,35,40,45,50)/100*(Inputs!$B$11-Inputs!$B$11),0))))/100+(Inputs!$B$23+(IF(ArtifactsInput!$M$15,CHOOSE(ArtifactsInput!$N$15+1,25,30,35,40,45,50)/100*(Inputs!$B$11-Inputs!$B$11),0)))/100)/2</f>
        <v/>
      </c>
      <c r="M3130">
        <f>L3130*(1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0">
        <f>L3130*(1-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3130*(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0">
        <f>(1-Summary!$B$11)*S3130+Summary!$B$11*U3130</f>
        <v/>
      </c>
      <c r="P3130">
        <f>IF(B3161=0,0,O3130/B3161)</f>
        <v/>
      </c>
      <c r="Q3130">
        <f>IFERROR(1/(IF(Inputs!$B$38="pvp",15,MAX(0.1,Skills!E10-IF(Skills!F10=TRUE,4.5,0)))*(1-IF(AND(ArtifactsInput!$M$27,Inputs!$B$4="Chapter Hunt"),CHOOSE(ArtifactsInput!$N$27+1,20,24,28,32,36,40),0)/100)),0)</f>
        <v/>
      </c>
      <c r="R3130">
        <f>IF(AND(Inputs!$B$38&lt;&gt;"pvp",Inputs!$B$43&gt;0),IF(MAX(0,Inputs!$B$43-B3158)&lt;=0,0,(INT(MAX(0,Inputs!$B$43-B3158)/(IF(Inputs!$B$38="pvp",15,MAX(0.1,Skills!E10-IF(Skills!F10=TRUE,4.5,0)))*(1-IF(AND(ArtifactsInput!$M$27,Inputs!$B$4="Chapter Hunt"),CHOOSE(ArtifactsInput!$N$27+1,20,24,28,32,36,40),0)/100)))+1)),0)</f>
        <v/>
      </c>
      <c r="S3130">
        <f>IF(C3130,(H3130*N3130*IF(AND(Inputs!$B$38&lt;&gt;"pvp",Inputs!$B$43&gt;0),((Skills!G10*((R3130-1)*IF(Skills!H10&gt;0,Skills!I10/Skills!H10,1)+IF(Skills!H10&gt;0,MIN(Skills!I10,MAX(0,MAX(0,Inputs!$B$43-B3158)-((R3130-1)*(IF(Inputs!$B$38="pvp",15,MAX(0.1,Skills!E10-IF(Skills!F10=TRUE,4.5,0)))*(1-IF(AND(ArtifactsInput!$M$27,Inputs!$B$4="Chapter Hunt"),CHOOSE(ArtifactsInput!$N$27+1,20,24,28,32,36,40),0)/100)))))/Skills!H10,1)))/Inputs!$B$43),G3130*Q3130))*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3130*(1-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3130*(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3130*(1-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3130*(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30">
        <f>IF(C3130,(H3130*N3130*IF(AND(Inputs!$B$38&lt;&gt;"pvp",Inputs!$B$43&gt;0),((Skills!G10*((R3130-1)*IF(Skills!H10&gt;0,Skills!I10/Skills!H10,1)+IF(Skills!H10&gt;0,MIN(Skills!I10,MAX(0,MAX(0,Inputs!$B$43-B3158)-((R3130-1)*(IF(Inputs!$B$38="pvp",15,MAX(0.1,Skills!E10-IF(Skills!F10=TRUE,4.5,0)))*(1-IF(AND(ArtifactsInput!$M$27,Inputs!$B$4="Chapter Hunt"),CHOOSE(ArtifactsInput!$N$27+1,20,24,28,32,36,40),0)/100)))))/Skills!H10,1)))/Inputs!$B$43),G3130*Q3130))*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1">
      <c r="A3131">
        <f>Skills!A11</f>
        <v/>
      </c>
      <c r="B3131">
        <f>Skills!B11</f>
        <v/>
      </c>
      <c r="C3131">
        <f>TRUE</f>
        <v/>
      </c>
      <c r="D3131">
        <f>IF(Skills!C11=1,60+Inputs!$B$25+Inputs!$B$29,IF(Skills!C11=2,90+Inputs!$B$26+Inputs!$B$29,IF(Skills!C11=3,120+Inputs!$B$27+Inputs!$B$29,MAX(0,(Inputs!$B$3-100)*3)+Inputs!$B$28+Inputs!$B$29)))</f>
        <v/>
      </c>
      <c r="E3131">
        <f>INDEX(FactorTable!$B$2:$Y$301, MATCH(ROUND(MIN(300,MAX(1,D3131)),0), FactorTable!$A$2:$A$301,0), Skills!M11+1)</f>
        <v/>
      </c>
      <c r="F3131">
        <f>IF(Skills!N11=TRUE,(Skills!L11/10)*(E3131/1000),Skills!L11/10)+Skills!O11</f>
        <v/>
      </c>
      <c r="G3131">
        <f>Calc!G11</f>
        <v/>
      </c>
      <c r="H3131">
        <f>Calc!H11</f>
        <v/>
      </c>
      <c r="I3131">
        <f>IF(Skills!X11&lt;&gt;"",1+(Skills!X11/10)*(Z3123/1000)/100,1)</f>
        <v/>
      </c>
      <c r="J3131" t="inlineStr"/>
      <c r="K3131" t="inlineStr"/>
      <c r="L3131" t="inlineStr"/>
      <c r="M3131" t="inlineStr"/>
      <c r="N3131" t="inlineStr"/>
      <c r="O3131">
        <f>(1-Summary!$B$11)*S3131+Summary!$B$11*U3131</f>
        <v/>
      </c>
      <c r="P3131">
        <f>IF(B3161=0,0,O3131/B3161)</f>
        <v/>
      </c>
      <c r="Q3131">
        <f>IFERROR(1/(IF(Inputs!$B$38="pvp",15,MAX(0.1,Skills!E11-IF(Skills!F11=TRUE,4.5,0)))*(1-IF(AND(ArtifactsInput!$M$27,Inputs!$B$4="Chapter Hunt"),CHOOSE(ArtifactsInput!$N$27+1,20,24,28,32,36,40),0)/100)),0)</f>
        <v/>
      </c>
      <c r="R3131" t="n">
        <v>0</v>
      </c>
      <c r="S3131" t="n">
        <v>0</v>
      </c>
      <c r="U3131" t="n">
        <v>0</v>
      </c>
    </row>
    <row r="3132">
      <c r="A3132">
        <f>Skills!A12</f>
        <v/>
      </c>
      <c r="B3132">
        <f>Skills!B12</f>
        <v/>
      </c>
      <c r="C3132">
        <f>TRUE</f>
        <v/>
      </c>
      <c r="D3132">
        <f>IF(Skills!C12=1,60+Inputs!$B$25+Inputs!$B$29,IF(Skills!C12=2,90+Inputs!$B$26+Inputs!$B$29,IF(Skills!C12=3,120+Inputs!$B$27+Inputs!$B$29,MAX(0,(Inputs!$B$3-100)*3)+Inputs!$B$28+Inputs!$B$29)))</f>
        <v/>
      </c>
      <c r="E3132">
        <f>INDEX(FactorTable!$B$2:$Y$301, MATCH(ROUND(MIN(300,MAX(1,D3132)),0), FactorTable!$A$2:$A$301,0), Skills!M12+1)</f>
        <v/>
      </c>
      <c r="F3132">
        <f>IF(Skills!N12=TRUE,(Skills!L12/10)*(E3132/1000),Skills!L12/10)+Skills!O12</f>
        <v/>
      </c>
      <c r="G3132">
        <f>Calc!G12</f>
        <v/>
      </c>
      <c r="H3132">
        <f>Calc!H12</f>
        <v/>
      </c>
      <c r="I3132">
        <f>IF(Skills!X12&lt;&gt;"",1+(Skills!X12/10)*(Z3123/1000)/100,1)</f>
        <v/>
      </c>
      <c r="J3132" t="inlineStr"/>
      <c r="K3132" t="inlineStr"/>
      <c r="L3132" t="inlineStr"/>
      <c r="M3132" t="inlineStr"/>
      <c r="N3132" t="inlineStr"/>
      <c r="O3132">
        <f>(1-Summary!$B$11)*S3132+Summary!$B$11*U3132</f>
        <v/>
      </c>
      <c r="P3132">
        <f>IF(B3161=0,0,O3132/B3161)</f>
        <v/>
      </c>
      <c r="Q3132">
        <f>IFERROR(1/(IF(Inputs!$B$38="pvp",15,MAX(0.1,Skills!E12-IF(Skills!F12=TRUE,4.5,0)))*(1-IF(AND(ArtifactsInput!$M$27,Inputs!$B$4="Chapter Hunt"),CHOOSE(ArtifactsInput!$N$27+1,20,24,28,32,36,40),0)/100)),0)</f>
        <v/>
      </c>
      <c r="R3132" t="n">
        <v>0</v>
      </c>
      <c r="S3132" t="n">
        <v>0</v>
      </c>
      <c r="U3132" t="n">
        <v>0</v>
      </c>
    </row>
    <row r="3133">
      <c r="A3133">
        <f>Skills!A13</f>
        <v/>
      </c>
      <c r="B3133">
        <f>Skills!B13</f>
        <v/>
      </c>
      <c r="C3133">
        <f>Inputs!$B$3&gt;=105</f>
        <v/>
      </c>
      <c r="D3133">
        <f>IF(Skills!C13=1,60+Inputs!$B$25+Inputs!$B$29,IF(Skills!C13=2,90+Inputs!$B$26+Inputs!$B$29,IF(Skills!C13=3,120+Inputs!$B$27+Inputs!$B$29,MAX(0,(Inputs!$B$3-100)*3)+Inputs!$B$28+Inputs!$B$29)))</f>
        <v/>
      </c>
      <c r="E3133">
        <f>INDEX(FactorTable!$B$2:$Y$301, MATCH(ROUND(MIN(300,MAX(1,D3133)),0), FactorTable!$A$2:$A$301,0), Skills!M13+1)</f>
        <v/>
      </c>
      <c r="F3133">
        <f>IF(Skills!N13=TRUE,(Skills!L13/10)*(E3133/1000),Skills!L13/10)+Skills!O13</f>
        <v/>
      </c>
      <c r="G3133">
        <f>Calc!G13</f>
        <v/>
      </c>
      <c r="H3133">
        <f>Calc!H13</f>
        <v/>
      </c>
      <c r="I3133">
        <f>IF(Skills!X13&lt;&gt;"",1+(Skills!X13/10)*(Z3123/1000)/100,1)</f>
        <v/>
      </c>
      <c r="J3133">
        <f>((Inputs!$B$6*(1+Inputs!$B$7/100))+(((Inputs!$B$12*(1+Inputs!$B$13/100))-(Inputs!$B$12*(1+Inputs!$B$13/100)))+0.25*(Inputs!$B$14-Inputs!$B$14))*(1+Inputs!$B$7/100))*(F3133/100)</f>
        <v/>
      </c>
      <c r="K3133">
        <f>J3133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3133)</f>
        <v/>
      </c>
      <c r="L3133">
        <f>K3133*(MIN(Inputs!$B$22+(F3142-Calc!F22),(Inputs!$B$23+(IF(ArtifactsInput!$M$15,CHOOSE(ArtifactsInput!$N$15+1,25,30,35,40,45,50)/100*(Inputs!$B$11-Inputs!$B$11),0))))/100+(Inputs!$B$23+(IF(ArtifactsInput!$M$15,CHOOSE(ArtifactsInput!$N$15+1,25,30,35,40,45,50)/100*(Inputs!$B$11-Inputs!$B$11),0)))/100)/2</f>
        <v/>
      </c>
      <c r="M3133">
        <f>L3133*(1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3">
        <f>L3133*(1-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3133*(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3">
        <f>(1-Summary!$B$11)*S3133+Summary!$B$11*U3133</f>
        <v/>
      </c>
      <c r="P3133">
        <f>IF(B3161=0,0,O3133/B3161)</f>
        <v/>
      </c>
      <c r="Q3133">
        <f>IFERROR(1/(IF(Inputs!$B$38="pvp",15,MAX(0.1,Skills!E13-IF(Skills!F13=TRUE,4.5,0)))*(1-IF(AND(ArtifactsInput!$M$27,Inputs!$B$4="Chapter Hunt"),CHOOSE(ArtifactsInput!$N$27+1,20,24,28,32,36,40),0)/100)),0)</f>
        <v/>
      </c>
      <c r="R3133">
        <f>IF(AND(Inputs!$B$38&lt;&gt;"pvp",Inputs!$B$43&gt;0),IF(MAX(0,Inputs!$B$43-B3158)&lt;=0,0,(INT(MAX(0,Inputs!$B$43-B3158)/(IF(Inputs!$B$38="pvp",15,MAX(0.1,Skills!E13-IF(Skills!F13=TRUE,4.5,0)))*(1-IF(AND(ArtifactsInput!$M$27,Inputs!$B$4="Chapter Hunt"),CHOOSE(ArtifactsInput!$N$27+1,20,24,28,32,36,40),0)/100)))+1)),0)</f>
        <v/>
      </c>
      <c r="S3133">
        <f>IF(C3133,(H3133*N3133*IF(AND(Inputs!$B$38&lt;&gt;"pvp",Inputs!$B$43&gt;0),((Skills!G13*((R3133-1)*IF(Skills!H13&gt;0,Skills!I13/Skills!H13,1)+IF(Skills!H13&gt;0,MIN(Skills!I13,MAX(0,MAX(0,Inputs!$B$43-B3158)-((R3133-1)*(IF(Inputs!$B$38="pvp",15,MAX(0.1,Skills!E13-IF(Skills!F13=TRUE,4.5,0)))*(1-IF(AND(ArtifactsInput!$M$27,Inputs!$B$4="Chapter Hunt"),CHOOSE(ArtifactsInput!$N$27+1,20,24,28,32,36,40),0)/100)))))/Skills!H13,1)))/Inputs!$B$43),G3133*Q3133))*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3133*(1-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3133*(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3133*(1-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3133*(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33">
        <f>IF(C3133,(H3133*N3133*IF(AND(Inputs!$B$38&lt;&gt;"pvp",Inputs!$B$43&gt;0),((Skills!G13*((R3133-1)*IF(Skills!H13&gt;0,Skills!I13/Skills!H13,1)+IF(Skills!H13&gt;0,MIN(Skills!I13,MAX(0,MAX(0,Inputs!$B$43-B3158)-((R3133-1)*(IF(Inputs!$B$38="pvp",15,MAX(0.1,Skills!E13-IF(Skills!F13=TRUE,4.5,0)))*(1-IF(AND(ArtifactsInput!$M$27,Inputs!$B$4="Chapter Hunt"),CHOOSE(ArtifactsInput!$N$27+1,20,24,28,32,36,40),0)/100)))))/Skills!H13,1)))/Inputs!$B$43),G3133*Q3133))*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4">
      <c r="A3134">
        <f>Skills!A14</f>
        <v/>
      </c>
      <c r="B3134">
        <f>Skills!B14</f>
        <v/>
      </c>
      <c r="C3134">
        <f>Inputs!$B$3&gt;=113</f>
        <v/>
      </c>
      <c r="D3134">
        <f>IF(Skills!C14=1,60+Inputs!$B$25+Inputs!$B$29,IF(Skills!C14=2,90+Inputs!$B$26+Inputs!$B$29,IF(Skills!C14=3,120+Inputs!$B$27+Inputs!$B$29,MAX(0,(Inputs!$B$3-100)*3)+Inputs!$B$28+Inputs!$B$29)))</f>
        <v/>
      </c>
      <c r="E3134">
        <f>INDEX(FactorTable!$B$2:$Y$301, MATCH(ROUND(MIN(300,MAX(1,D3134)),0), FactorTable!$A$2:$A$301,0), Skills!M14+1)</f>
        <v/>
      </c>
      <c r="F3134">
        <f>IF(Skills!N14=TRUE,(Skills!L14/10)*(E3134/1000),Skills!L14/10)+Skills!O14</f>
        <v/>
      </c>
      <c r="G3134">
        <f>Calc!G14</f>
        <v/>
      </c>
      <c r="H3134">
        <f>Calc!H14</f>
        <v/>
      </c>
      <c r="I3134">
        <f>IF(Skills!X14&lt;&gt;"",1+(Skills!X14/10)*(Z3123/1000)/100,1)</f>
        <v/>
      </c>
      <c r="J3134">
        <f>((Inputs!$B$6*(1+Inputs!$B$7/100))+(((Inputs!$B$12*(1+Inputs!$B$13/100))-(Inputs!$B$12*(1+Inputs!$B$13/100)))+0.25*(Inputs!$B$14-Inputs!$B$14))*(1+Inputs!$B$7/100))*(F3134/100)</f>
        <v/>
      </c>
      <c r="K3134">
        <f>J3134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3134)</f>
        <v/>
      </c>
      <c r="L3134">
        <f>K3134*(MIN(Inputs!$B$22+(F3142-Calc!F22),(Inputs!$B$23+(IF(ArtifactsInput!$M$15,CHOOSE(ArtifactsInput!$N$15+1,25,30,35,40,45,50)/100*(Inputs!$B$11-Inputs!$B$11),0))))/100+(Inputs!$B$23+(IF(ArtifactsInput!$M$15,CHOOSE(ArtifactsInput!$N$15+1,25,30,35,40,45,50)/100*(Inputs!$B$11-Inputs!$B$11),0)))/100)/2</f>
        <v/>
      </c>
      <c r="M3134">
        <f>L3134*(1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4">
        <f>L3134*(1-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3134*(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4">
        <f>(1-Summary!$B$11)*S3134+Summary!$B$11*U3134</f>
        <v/>
      </c>
      <c r="P3134">
        <f>IF(B3161=0,0,O3134/B3161)</f>
        <v/>
      </c>
      <c r="Q3134">
        <f>IFERROR(1/(IF(Inputs!$B$38="pvp",15,MAX(0.1,Skills!E14-IF(Skills!F14=TRUE,4.5,0)))*(1-IF(AND(ArtifactsInput!$M$27,Inputs!$B$4="Chapter Hunt"),CHOOSE(ArtifactsInput!$N$27+1,20,24,28,32,36,40),0)/100)),0)</f>
        <v/>
      </c>
      <c r="R3134" t="n">
        <v>0</v>
      </c>
      <c r="S3134">
        <f>IF(C3134,((H3134*B3157)/(1+Skills!H14*H3134*B3157)*N3134)*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3134*(1-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3134*(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3134*(1-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3134*(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34">
        <f>IF(C3134,((H3134*B3157)/(1+Skills!H14*H3134*B3157)*N3134)*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5">
      <c r="A3135">
        <f>Skills!A15</f>
        <v/>
      </c>
      <c r="B3135">
        <f>Skills!B15</f>
        <v/>
      </c>
      <c r="C3135">
        <f>Inputs!$B$3&gt;=107</f>
        <v/>
      </c>
      <c r="D3135">
        <f>IF(Skills!C15=1,60+Inputs!$B$25+Inputs!$B$29,IF(Skills!C15=2,90+Inputs!$B$26+Inputs!$B$29,IF(Skills!C15=3,120+Inputs!$B$27+Inputs!$B$29,MAX(0,(Inputs!$B$3-100)*3)+Inputs!$B$28+Inputs!$B$29)))</f>
        <v/>
      </c>
      <c r="E3135">
        <f>INDEX(FactorTable!$B$2:$Y$301, MATCH(ROUND(MIN(300,MAX(1,D3135)),0), FactorTable!$A$2:$A$301,0), Skills!M15+1)</f>
        <v/>
      </c>
      <c r="F3135">
        <f>IF(Skills!N15=TRUE,(Skills!L15/10)*(E3135/1000),Skills!L15/10)+Skills!O15</f>
        <v/>
      </c>
      <c r="G3135">
        <f>Calc!G15</f>
        <v/>
      </c>
      <c r="H3135">
        <f>Calc!H15</f>
        <v/>
      </c>
      <c r="I3135">
        <f>IF(Skills!X15&lt;&gt;"",1+(Skills!X15/10)*(Z3123/1000)/100,1)</f>
        <v/>
      </c>
      <c r="J3135">
        <f>((Inputs!$B$6*(1+Inputs!$B$7/100))+(((Inputs!$B$12*(1+Inputs!$B$13/100))-(Inputs!$B$12*(1+Inputs!$B$13/100)))+0.25*(Inputs!$B$14-Inputs!$B$14))*(1+Inputs!$B$7/100))*(F3135/100)</f>
        <v/>
      </c>
      <c r="K3135">
        <f>J3135*(1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3135)</f>
        <v/>
      </c>
      <c r="L3135">
        <f>K3135*(MIN(Inputs!$B$22+(F3142-Calc!F22),(Inputs!$B$23+(IF(ArtifactsInput!$M$15,CHOOSE(ArtifactsInput!$N$15+1,25,30,35,40,45,50)/100*(Inputs!$B$11-Inputs!$B$11),0))))/100+(Inputs!$B$23+(IF(ArtifactsInput!$M$15,CHOOSE(ArtifactsInput!$N$15+1,25,30,35,40,45,50)/100*(Inputs!$B$11-Inputs!$B$11),0)))/100)/2</f>
        <v/>
      </c>
      <c r="M3135">
        <f>L3135*(1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5">
        <f>L3135*(1-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3135*(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5">
        <f>(1-Summary!$B$11)*S3135+Summary!$B$11*U3135</f>
        <v/>
      </c>
      <c r="P3135">
        <f>IF(B3161=0,0,O3135/B3161)</f>
        <v/>
      </c>
      <c r="Q3135">
        <f>IFERROR(1/(IF(Inputs!$B$38="pvp",15,MAX(0.1,Skills!E15-IF(Skills!F15=TRUE,4.5,0)))*(1-IF(AND(ArtifactsInput!$M$27,Inputs!$B$4="Chapter Hunt"),CHOOSE(ArtifactsInput!$N$27+1,20,24,28,32,36,40),0)/100)),0)</f>
        <v/>
      </c>
      <c r="R3135">
        <f>IF(AND(Inputs!$B$38&lt;&gt;"pvp",Inputs!$B$43&gt;0),IF(MAX(0,Inputs!$B$43-B3158)&lt;=0,0,(INT(MAX(0,Inputs!$B$43-B3158)/(IF(Inputs!$B$38="pvp",15,MAX(0.1,Skills!E15-IF(Skills!F15=TRUE,4.5,0)))*(1-IF(AND(ArtifactsInput!$M$27,Inputs!$B$4="Chapter Hunt"),CHOOSE(ArtifactsInput!$N$27+1,20,24,28,32,36,40),0)/100)))+1)),0)</f>
        <v/>
      </c>
      <c r="S3135">
        <f>IF(C3135,(H3135*N3135*IF(AND(Inputs!$B$38&lt;&gt;"pvp",Inputs!$B$43&gt;0),((Skills!G15*((R3135-1)*IF(Skills!H15&gt;0,Skills!I15/Skills!H15,1)+IF(Skills!H15&gt;0,MIN(Skills!I15,MAX(0,MAX(0,Inputs!$B$43-B3158)-((R3135-1)*(IF(Inputs!$B$38="pvp",15,MAX(0.1,Skills!E15-IF(Skills!F15=TRUE,4.5,0)))*(1-IF(AND(ArtifactsInput!$M$27,Inputs!$B$4="Chapter Hunt"),CHOOSE(ArtifactsInput!$N$27+1,20,24,28,32,36,40),0)/100)))))/Skills!H15,1)))/Inputs!$B$43),G3135*Q3135))*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3135*(1-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3135*(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3135*(1-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3135*(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35">
        <f>IF(C3135,(H3135*N3135*IF(AND(Inputs!$B$38&lt;&gt;"pvp",Inputs!$B$43&gt;0),((Skills!G15*((R3135-1)*IF(Skills!H15&gt;0,Skills!I15/Skills!H15,1)+IF(Skills!H15&gt;0,MIN(Skills!I15,MAX(0,MAX(0,Inputs!$B$43-B3158)-((R3135-1)*(IF(Inputs!$B$38="pvp",15,MAX(0.1,Skills!E15-IF(Skills!F15=TRUE,4.5,0)))*(1-IF(AND(ArtifactsInput!$M$27,Inputs!$B$4="Chapter Hunt"),CHOOSE(ArtifactsInput!$N$27+1,20,24,28,32,36,40),0)/100)))))/Skills!H15,1)))/Inputs!$B$43),G3135*Q3135))*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6">
      <c r="A3136">
        <f>Skills!A16</f>
        <v/>
      </c>
      <c r="B3136">
        <f>Skills!B16</f>
        <v/>
      </c>
      <c r="C3136">
        <f>Inputs!$B$3&gt;=107</f>
        <v/>
      </c>
      <c r="D3136">
        <f>IF(Skills!C16=1,60+Inputs!$B$25+Inputs!$B$29,IF(Skills!C16=2,90+Inputs!$B$26+Inputs!$B$29,IF(Skills!C16=3,120+Inputs!$B$27+Inputs!$B$29,MAX(0,(Inputs!$B$3-100)*3)+Inputs!$B$28+Inputs!$B$29)))</f>
        <v/>
      </c>
      <c r="E3136">
        <f>INDEX(FactorTable!$B$2:$Y$301, MATCH(ROUND(MIN(300,MAX(1,D3136)),0), FactorTable!$A$2:$A$301,0), Skills!M16+1)</f>
        <v/>
      </c>
      <c r="F3136">
        <f>IF(Skills!N16=TRUE,(Skills!L16/10)*(E3136/1000),Skills!L16/10)+Skills!O16</f>
        <v/>
      </c>
      <c r="G3136">
        <f>Calc!G16</f>
        <v/>
      </c>
      <c r="H3136">
        <f>Calc!H16</f>
        <v/>
      </c>
      <c r="I3136">
        <f>IF(Skills!X16&lt;&gt;"",1+(Skills!X16/10)*(Z3123/1000)/100,1)</f>
        <v/>
      </c>
      <c r="J3136">
        <f>((Inputs!$B$6*(1+Inputs!$B$7/100))+(((Inputs!$B$12*(1+Inputs!$B$13/100))-(Inputs!$B$12*(1+Inputs!$B$13/100)))+0.25*(Inputs!$B$14-Inputs!$B$14))*(1+Inputs!$B$7/100))*(F3136/100)</f>
        <v/>
      </c>
      <c r="K3136">
        <f>J3136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3136)</f>
        <v/>
      </c>
      <c r="L3136">
        <f>K3136*(MIN(Inputs!$B$22+(F3142-Calc!F22),(Inputs!$B$23+(IF(ArtifactsInput!$M$15,CHOOSE(ArtifactsInput!$N$15+1,25,30,35,40,45,50)/100*(Inputs!$B$11-Inputs!$B$11),0))))/100+(Inputs!$B$23+(IF(ArtifactsInput!$M$15,CHOOSE(ArtifactsInput!$N$15+1,25,30,35,40,45,50)/100*(Inputs!$B$11-Inputs!$B$11),0)))/100)/2</f>
        <v/>
      </c>
      <c r="M3136">
        <f>L3136*(1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6">
        <f>L3136*(1-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3136*(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6">
        <f>(1-Summary!$B$11)*S3136+Summary!$B$11*U3136</f>
        <v/>
      </c>
      <c r="P3136">
        <f>IF(B3161=0,0,O3136/B3161)</f>
        <v/>
      </c>
      <c r="Q3136">
        <f>IFERROR(1/(IF(Inputs!$B$38="pvp",15,MAX(0.1,Skills!E16-IF(Skills!F16=TRUE,4.5,0)))*(1-IF(AND(ArtifactsInput!$M$27,Inputs!$B$4="Chapter Hunt"),CHOOSE(ArtifactsInput!$N$27+1,20,24,28,32,36,40),0)/100)),0)</f>
        <v/>
      </c>
      <c r="R3136">
        <f>IF(AND(Inputs!$B$38&lt;&gt;"pvp",Inputs!$B$43&gt;0),IF(MAX(0,Inputs!$B$43-B3158)&lt;=0,0,(INT(MAX(0,Inputs!$B$43-B3158)/(IF(Inputs!$B$38="pvp",15,MAX(0.1,Skills!E16-IF(Skills!F16=TRUE,4.5,0)))*(1-IF(AND(ArtifactsInput!$M$27,Inputs!$B$4="Chapter Hunt"),CHOOSE(ArtifactsInput!$N$27+1,20,24,28,32,36,40),0)/100)))+1)),0)</f>
        <v/>
      </c>
      <c r="S3136">
        <f>IF(C3136,(H3136*N3136*IF(AND(Inputs!$B$38&lt;&gt;"pvp",Inputs!$B$43&gt;0),((Skills!G16*((R3136-1)*IF(Skills!H16&gt;0,Skills!I16/Skills!H16,1)+IF(Skills!H16&gt;0,MIN(Skills!I16,MAX(0,MAX(0,Inputs!$B$43-B3158)-((R3136-1)*(IF(Inputs!$B$38="pvp",15,MAX(0.1,Skills!E16-IF(Skills!F16=TRUE,4.5,0)))*(1-IF(AND(ArtifactsInput!$M$27,Inputs!$B$4="Chapter Hunt"),CHOOSE(ArtifactsInput!$N$27+1,20,24,28,32,36,40),0)/100)))))/Skills!H16,1)))/Inputs!$B$43),G3136*Q3136)*(1+IF(Inputs!$B$3&gt;=126,0.05*(B3156+Q3133+(H3134*B3157)/(1+Skills!H14*H3134*B3157)+Q3144),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3136*(1-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3136*(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3136*(1-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3136*(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36">
        <f>IF(C3136,(H3136*N3136*IF(AND(Inputs!$B$38&lt;&gt;"pvp",Inputs!$B$43&gt;0),((Skills!G16*((R3136-1)*IF(Skills!H16&gt;0,Skills!I16/Skills!H16,1)+IF(Skills!H16&gt;0,MIN(Skills!I16,MAX(0,MAX(0,Inputs!$B$43-B3158)-((R3136-1)*(IF(Inputs!$B$38="pvp",15,MAX(0.1,Skills!E16-IF(Skills!F16=TRUE,4.5,0)))*(1-IF(AND(ArtifactsInput!$M$27,Inputs!$B$4="Chapter Hunt"),CHOOSE(ArtifactsInput!$N$27+1,20,24,28,32,36,40),0)/100)))))/Skills!H16,1)))/Inputs!$B$43),G3136*Q3136)*(1+IF(Inputs!$B$3&gt;=126,0.05*(B3156+Q3133+(H3134*B3157)/(1+Skills!H14*H3134*B3157)+Q3144),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37">
      <c r="A3137">
        <f>Skills!A17</f>
        <v/>
      </c>
      <c r="B3137">
        <f>Skills!B17</f>
        <v/>
      </c>
      <c r="C3137">
        <f>TRUE</f>
        <v/>
      </c>
      <c r="D3137">
        <f>IF(Skills!C17=1,60+Inputs!$B$25+Inputs!$B$29,IF(Skills!C17=2,90+Inputs!$B$26+Inputs!$B$29,IF(Skills!C17=3,120+Inputs!$B$27+Inputs!$B$29,MAX(0,(Inputs!$B$3-100)*3)+Inputs!$B$28+Inputs!$B$29)))</f>
        <v/>
      </c>
      <c r="E3137">
        <f>INDEX(FactorTable!$B$2:$Y$301, MATCH(ROUND(MIN(300,MAX(1,D3137)),0), FactorTable!$A$2:$A$301,0), Skills!M17+1)</f>
        <v/>
      </c>
      <c r="F3137">
        <f>IF(Skills!N17=TRUE,(Skills!L17/10)*(E3137/1000),Skills!L17/10)+Skills!O17</f>
        <v/>
      </c>
      <c r="G3137">
        <f>Calc!G17</f>
        <v/>
      </c>
      <c r="H3137">
        <f>Calc!H17</f>
        <v/>
      </c>
      <c r="I3137">
        <f>IF(Skills!X17&lt;&gt;"",1+(Skills!X17/10)*(Z3123/1000)/100,1)</f>
        <v/>
      </c>
      <c r="J3137" t="inlineStr"/>
      <c r="K3137" t="inlineStr"/>
      <c r="L3137" t="inlineStr"/>
      <c r="M3137" t="inlineStr"/>
      <c r="N3137" t="inlineStr"/>
      <c r="O3137">
        <f>(1-Summary!$B$11)*S3137+Summary!$B$11*U3137</f>
        <v/>
      </c>
      <c r="P3137">
        <f>IF(B3161=0,0,O3137/B3161)</f>
        <v/>
      </c>
      <c r="Q3137">
        <f>IFERROR(1/(IF(Inputs!$B$38="pvp",15,MAX(0.1,Skills!E17-IF(Skills!F17=TRUE,4.5,0)))*(1-IF(AND(ArtifactsInput!$M$27,Inputs!$B$4="Chapter Hunt"),CHOOSE(ArtifactsInput!$N$27+1,20,24,28,32,36,40),0)/100)),0)</f>
        <v/>
      </c>
      <c r="R3137">
        <f>IF(AND(Inputs!$B$38&lt;&gt;"pvp",Inputs!$B$43&gt;0),IF(Inputs!$B$43&lt;=0,0,(INT(Inputs!$B$43/(IF(Inputs!$B$38="pvp",15,MAX(0.1,Skills!E17-IF(Skills!F17=TRUE,4.5,0)))*(1-IF(AND(ArtifactsInput!$M$27,Inputs!$B$4="Chapter Hunt"),CHOOSE(ArtifactsInput!$N$27+1,20,24,28,32,36,40),0)/100)))+1)),0)</f>
        <v/>
      </c>
      <c r="S3137" t="n">
        <v>0</v>
      </c>
      <c r="U3137" t="n">
        <v>0</v>
      </c>
    </row>
    <row r="3138">
      <c r="A3138">
        <f>Skills!A18</f>
        <v/>
      </c>
      <c r="B3138">
        <f>Skills!B18</f>
        <v/>
      </c>
      <c r="C3138">
        <f>TRUE</f>
        <v/>
      </c>
      <c r="D3138">
        <f>IF(Skills!C18=1,60+Inputs!$B$25+Inputs!$B$29,IF(Skills!C18=2,90+Inputs!$B$26+Inputs!$B$29,IF(Skills!C18=3,120+Inputs!$B$27+Inputs!$B$29,MAX(0,(Inputs!$B$3-100)*3)+Inputs!$B$28+Inputs!$B$29)))</f>
        <v/>
      </c>
      <c r="E3138">
        <f>INDEX(FactorTable!$B$2:$Y$301, MATCH(ROUND(MIN(300,MAX(1,D3138)),0), FactorTable!$A$2:$A$301,0), Skills!M18+1)</f>
        <v/>
      </c>
      <c r="F3138">
        <f>IF(Skills!N18=TRUE,(Skills!L18/10)*(E3138/1000),Skills!L18/10)+Skills!O18</f>
        <v/>
      </c>
      <c r="G3138">
        <f>Calc!G18</f>
        <v/>
      </c>
      <c r="H3138">
        <f>Calc!H18</f>
        <v/>
      </c>
      <c r="I3138">
        <f>IF(Skills!X18&lt;&gt;"",1+(Skills!X18/10)*(Z3123/1000)/100,1)</f>
        <v/>
      </c>
      <c r="J3138" t="inlineStr"/>
      <c r="K3138" t="inlineStr"/>
      <c r="L3138" t="inlineStr"/>
      <c r="M3138" t="inlineStr"/>
      <c r="N3138" t="inlineStr"/>
      <c r="O3138">
        <f>(1-Summary!$B$11)*S3138+Summary!$B$11*U3138</f>
        <v/>
      </c>
      <c r="P3138">
        <f>IF(B3161=0,0,O3138/B3161)</f>
        <v/>
      </c>
      <c r="Q3138">
        <f>IFERROR(1/(IF(Inputs!$B$38="pvp",15,MAX(0.1,Skills!E18-IF(Skills!F18=TRUE,4.5,0)))*(1-IF(AND(ArtifactsInput!$M$27,Inputs!$B$4="Chapter Hunt"),CHOOSE(ArtifactsInput!$N$27+1,20,24,28,32,36,40),0)/100)),0)</f>
        <v/>
      </c>
      <c r="R3138">
        <f>IF(AND(Inputs!$B$38&lt;&gt;"pvp",Inputs!$B$43&gt;0),IF(Inputs!$B$43&lt;=0,0,(INT(Inputs!$B$43/(IF(Inputs!$B$38="pvp",15,MAX(0.1,Skills!E18-IF(Skills!F18=TRUE,4.5,0)))*(1-IF(AND(ArtifactsInput!$M$27,Inputs!$B$4="Chapter Hunt"),CHOOSE(ArtifactsInput!$N$27+1,20,24,28,32,36,40),0)/100)))+1)),0)</f>
        <v/>
      </c>
      <c r="S3138" t="n">
        <v>0</v>
      </c>
      <c r="U3138" t="n">
        <v>0</v>
      </c>
    </row>
    <row r="3139">
      <c r="A3139">
        <f>Skills!A19</f>
        <v/>
      </c>
      <c r="B3139">
        <f>Skills!B19</f>
        <v/>
      </c>
      <c r="C3139">
        <f>Inputs!$B$3&gt;=110</f>
        <v/>
      </c>
      <c r="D3139">
        <f>IF(Skills!C19=1,60+Inputs!$B$25+Inputs!$B$29,IF(Skills!C19=2,90+Inputs!$B$26+Inputs!$B$29,IF(Skills!C19=3,120+Inputs!$B$27+Inputs!$B$29,MAX(0,(Inputs!$B$3-100)*3)+Inputs!$B$28+Inputs!$B$29)))</f>
        <v/>
      </c>
      <c r="E3139">
        <f>INDEX(FactorTable!$B$2:$Y$301, MATCH(ROUND(MIN(300,MAX(1,D3139)),0), FactorTable!$A$2:$A$301,0), Skills!M19+1)</f>
        <v/>
      </c>
      <c r="F3139">
        <f>IF(Skills!N19=TRUE,(Skills!L19/10)*(E3139/1000),Skills!L19/10)+Skills!O19</f>
        <v/>
      </c>
      <c r="G3139">
        <f>Calc!G19</f>
        <v/>
      </c>
      <c r="H3139">
        <f>Calc!H19</f>
        <v/>
      </c>
      <c r="I3139">
        <f>IF(Skills!X19&lt;&gt;"",1+(Skills!X19/10)*(Z3123/1000)/100,1)</f>
        <v/>
      </c>
      <c r="J3139" t="inlineStr"/>
      <c r="K3139" t="inlineStr"/>
      <c r="L3139" t="inlineStr"/>
      <c r="M3139" t="inlineStr"/>
      <c r="N3139" t="inlineStr"/>
      <c r="O3139">
        <f>(1-Summary!$B$11)*S3139+Summary!$B$11*U3139</f>
        <v/>
      </c>
      <c r="P3139">
        <f>IF(B3161=0,0,O3139/B3161)</f>
        <v/>
      </c>
      <c r="Q3139">
        <f>IFERROR(1/(IF(Inputs!$B$38="pvp",15,MAX(0.1,Skills!E19-IF(Skills!F19=TRUE,4.5,0)))*(1-IF(AND(ArtifactsInput!$M$27,Inputs!$B$4="Chapter Hunt"),CHOOSE(ArtifactsInput!$N$27+1,20,24,28,32,36,40),0)/100)),0)</f>
        <v/>
      </c>
      <c r="R3139">
        <f>IF(AND(Inputs!$B$38&lt;&gt;"pvp",Inputs!$B$43&gt;0),IF(Inputs!$B$43&lt;=0,0,(INT(Inputs!$B$43/(IF(Inputs!$B$38="pvp",15,MAX(0.1,Skills!E19-IF(Skills!F19=TRUE,4.5,0)))*(1-IF(AND(ArtifactsInput!$M$27,Inputs!$B$4="Chapter Hunt"),CHOOSE(ArtifactsInput!$N$27+1,20,24,28,32,36,40),0)/100)))+1)),0)</f>
        <v/>
      </c>
      <c r="S3139" t="n">
        <v>0</v>
      </c>
      <c r="U3139" t="n">
        <v>0</v>
      </c>
    </row>
    <row r="3140">
      <c r="A3140">
        <f>Skills!A20</f>
        <v/>
      </c>
      <c r="B3140">
        <f>Skills!B20</f>
        <v/>
      </c>
      <c r="C3140">
        <f>TRUE</f>
        <v/>
      </c>
      <c r="D3140">
        <f>IF(Skills!C20=1,60+Inputs!$B$25+Inputs!$B$29,IF(Skills!C20=2,90+Inputs!$B$26+Inputs!$B$29,IF(Skills!C20=3,120+Inputs!$B$27+Inputs!$B$29,MAX(0,(Inputs!$B$3-100)*3)+Inputs!$B$28+Inputs!$B$29)))</f>
        <v/>
      </c>
      <c r="E3140">
        <f>INDEX(FactorTable!$B$2:$Y$301, MATCH(ROUND(MIN(300,MAX(1,D3140)),0), FactorTable!$A$2:$A$301,0), Skills!M20+1)</f>
        <v/>
      </c>
      <c r="F3140">
        <f>IF(Skills!N20=TRUE,(Skills!L20/10)*(E3140/1000),Skills!L20/10)+Skills!O20</f>
        <v/>
      </c>
      <c r="G3140">
        <f>Calc!G20</f>
        <v/>
      </c>
      <c r="H3140">
        <f>Calc!H20</f>
        <v/>
      </c>
      <c r="I3140">
        <f>IF(Skills!X20&lt;&gt;"",1+(Skills!X20/10)*(Z3123/1000)/100,1)</f>
        <v/>
      </c>
      <c r="J3140" t="inlineStr"/>
      <c r="K3140" t="inlineStr"/>
      <c r="L3140" t="inlineStr"/>
      <c r="M3140" t="inlineStr"/>
      <c r="N3140" t="inlineStr"/>
      <c r="O3140">
        <f>(1-Summary!$B$11)*S3140+Summary!$B$11*U3140</f>
        <v/>
      </c>
      <c r="P3140">
        <f>IF(B3161=0,0,O3140/B3161)</f>
        <v/>
      </c>
      <c r="Q3140">
        <f>IFERROR(1/(IF(Inputs!$B$38="pvp",15,MAX(0.1,Skills!E20-IF(Skills!F20=TRUE,4.5,0)))*(1-IF(AND(ArtifactsInput!$M$27,Inputs!$B$4="Chapter Hunt"),CHOOSE(ArtifactsInput!$N$27+1,20,24,28,32,36,40),0)/100)),0)</f>
        <v/>
      </c>
      <c r="R3140" t="n">
        <v>0</v>
      </c>
      <c r="S3140" t="n">
        <v>0</v>
      </c>
      <c r="U3140" t="n">
        <v>0</v>
      </c>
    </row>
    <row r="3141">
      <c r="A3141">
        <f>Skills!A21</f>
        <v/>
      </c>
      <c r="B3141">
        <f>Skills!B21</f>
        <v/>
      </c>
      <c r="C3141">
        <f>TRUE</f>
        <v/>
      </c>
      <c r="D3141">
        <f>IF(Skills!C21=1,60+Inputs!$B$25+Inputs!$B$29,IF(Skills!C21=2,90+Inputs!$B$26+Inputs!$B$29,IF(Skills!C21=3,120+Inputs!$B$27+Inputs!$B$29,MAX(0,(Inputs!$B$3-100)*3)+Inputs!$B$28+Inputs!$B$29)))</f>
        <v/>
      </c>
      <c r="E3141">
        <f>INDEX(FactorTable!$B$2:$Y$301, MATCH(ROUND(MIN(300,MAX(1,D3141)),0), FactorTable!$A$2:$A$301,0), Skills!M21+1)</f>
        <v/>
      </c>
      <c r="F3141">
        <f>IF(Skills!N21=TRUE,(Skills!L21/10)*(E3141/1000),Skills!L21/10)+Skills!O21</f>
        <v/>
      </c>
      <c r="G3141">
        <f>Calc!G21</f>
        <v/>
      </c>
      <c r="H3141">
        <f>Calc!H21</f>
        <v/>
      </c>
      <c r="I3141">
        <f>IF(Skills!X21&lt;&gt;"",1+(Skills!X21/10)*(Z3123/1000)/100,1)</f>
        <v/>
      </c>
      <c r="J3141" t="inlineStr"/>
      <c r="K3141" t="inlineStr"/>
      <c r="L3141" t="inlineStr"/>
      <c r="M3141" t="inlineStr"/>
      <c r="N3141" t="inlineStr"/>
      <c r="O3141">
        <f>(1-Summary!$B$11)*S3141+Summary!$B$11*U3141</f>
        <v/>
      </c>
      <c r="P3141">
        <f>IF(B3161=0,0,O3141/B3161)</f>
        <v/>
      </c>
      <c r="Q3141">
        <f>IFERROR(1/(IF(Inputs!$B$38="pvp",15,MAX(0.1,Skills!E21-IF(Skills!F21=TRUE,4.5,0)))*(1-IF(AND(ArtifactsInput!$M$27,Inputs!$B$4="Chapter Hunt"),CHOOSE(ArtifactsInput!$N$27+1,20,24,28,32,36,40),0)/100)),0)</f>
        <v/>
      </c>
      <c r="R3141" t="n">
        <v>0</v>
      </c>
      <c r="S3141" t="n">
        <v>0</v>
      </c>
      <c r="U3141" t="n">
        <v>0</v>
      </c>
    </row>
    <row r="3142">
      <c r="A3142">
        <f>Skills!A22</f>
        <v/>
      </c>
      <c r="B3142">
        <f>Skills!B22</f>
        <v/>
      </c>
      <c r="C3142">
        <f>TRUE</f>
        <v/>
      </c>
      <c r="D3142">
        <f>IF(Skills!C22=1,60+Inputs!$B$25+Inputs!$B$29,IF(Skills!C22=2,90+Inputs!$B$26+Inputs!$B$29,IF(Skills!C22=3,120+Inputs!$B$27+Inputs!$B$29,MAX(0,(Inputs!$B$3-100)*3)+Inputs!$B$28+Inputs!$B$29)))</f>
        <v/>
      </c>
      <c r="E3142">
        <f>INDEX(FactorTable!$B$2:$Y$301, MATCH(ROUND(MIN(300,MAX(1,D3142)),0), FactorTable!$A$2:$A$301,0), Skills!M22+1)</f>
        <v/>
      </c>
      <c r="F3142">
        <f>IF(Skills!N22=TRUE,(Skills!L22/10)*(E3142/1000),Skills!L22/10)+Skills!O22</f>
        <v/>
      </c>
      <c r="G3142">
        <f>Calc!G22</f>
        <v/>
      </c>
      <c r="H3142">
        <f>Calc!H22</f>
        <v/>
      </c>
      <c r="I3142">
        <f>IF(Skills!X22&lt;&gt;"",1+(Skills!X22/10)*(Z3123/1000)/100,1)</f>
        <v/>
      </c>
      <c r="J3142" t="inlineStr"/>
      <c r="K3142" t="inlineStr"/>
      <c r="L3142" t="inlineStr"/>
      <c r="M3142" t="inlineStr"/>
      <c r="N3142" t="inlineStr"/>
      <c r="O3142">
        <f>(1-Summary!$B$11)*S3142+Summary!$B$11*U3142</f>
        <v/>
      </c>
      <c r="P3142">
        <f>IF(B3161=0,0,O3142/B3161)</f>
        <v/>
      </c>
      <c r="Q3142">
        <f>IFERROR(1/(IF(Inputs!$B$38="pvp",15,MAX(0.1,Skills!E22-IF(Skills!F22=TRUE,4.5,0)))*(1-IF(AND(ArtifactsInput!$M$27,Inputs!$B$4="Chapter Hunt"),CHOOSE(ArtifactsInput!$N$27+1,20,24,28,32,36,40),0)/100)),0)</f>
        <v/>
      </c>
      <c r="R3142" t="n">
        <v>0</v>
      </c>
      <c r="S3142" t="n">
        <v>0</v>
      </c>
      <c r="U3142" t="n">
        <v>0</v>
      </c>
    </row>
    <row r="3143">
      <c r="A3143">
        <f>Skills!A23</f>
        <v/>
      </c>
      <c r="B3143">
        <f>Skills!B23</f>
        <v/>
      </c>
      <c r="C3143">
        <f>TRUE</f>
        <v/>
      </c>
      <c r="D3143">
        <f>IF(Skills!C23=1,60+Inputs!$B$25+Inputs!$B$29,IF(Skills!C23=2,90+Inputs!$B$26+Inputs!$B$29,IF(Skills!C23=3,120+Inputs!$B$27+Inputs!$B$29,MAX(0,(Inputs!$B$3-100)*3)+Inputs!$B$28+Inputs!$B$29)))</f>
        <v/>
      </c>
      <c r="E3143">
        <f>INDEX(FactorTable!$B$2:$Y$301, MATCH(ROUND(MIN(300,MAX(1,D3143)),0), FactorTable!$A$2:$A$301,0), Skills!M23+1)</f>
        <v/>
      </c>
      <c r="F3143">
        <f>IF(Skills!N23=TRUE,(Skills!L23/10)*(E3143/1000),Skills!L23/10)+Skills!O23</f>
        <v/>
      </c>
      <c r="G3143">
        <f>Calc!G23</f>
        <v/>
      </c>
      <c r="H3143">
        <f>Calc!H23</f>
        <v/>
      </c>
      <c r="I3143">
        <f>IF(Skills!X23&lt;&gt;"",1+(Skills!X23/10)*(Z3123/1000)/100,1)</f>
        <v/>
      </c>
      <c r="J3143" t="inlineStr"/>
      <c r="K3143" t="inlineStr"/>
      <c r="L3143" t="inlineStr"/>
      <c r="M3143" t="inlineStr"/>
      <c r="N3143" t="inlineStr"/>
      <c r="O3143">
        <f>(1-Summary!$B$11)*S3143+Summary!$B$11*U3143</f>
        <v/>
      </c>
      <c r="P3143">
        <f>IF(B3161=0,0,O3143/B3161)</f>
        <v/>
      </c>
      <c r="Q3143">
        <f>IFERROR(1/(IF(Inputs!$B$38="pvp",15,MAX(0.1,Skills!E23-IF(Skills!F23=TRUE,4.5,0)))*(1-IF(AND(ArtifactsInput!$M$27,Inputs!$B$4="Chapter Hunt"),CHOOSE(ArtifactsInput!$N$27+1,20,24,28,32,36,40),0)/100)),0)</f>
        <v/>
      </c>
      <c r="R3143" t="n">
        <v>0</v>
      </c>
      <c r="S3143" t="n">
        <v>0</v>
      </c>
      <c r="U3143" t="n">
        <v>0</v>
      </c>
    </row>
    <row r="3144">
      <c r="A3144">
        <f>Skills!A24</f>
        <v/>
      </c>
      <c r="B3144">
        <f>Skills!B24</f>
        <v/>
      </c>
      <c r="C3144">
        <f>Inputs!$B$3&gt;=115</f>
        <v/>
      </c>
      <c r="D3144">
        <f>IF(Skills!C24=1,60+Inputs!$B$25+Inputs!$B$29,IF(Skills!C24=2,90+Inputs!$B$26+Inputs!$B$29,IF(Skills!C24=3,120+Inputs!$B$27+Inputs!$B$29,MAX(0,(Inputs!$B$3-100)*3)+Inputs!$B$28+Inputs!$B$29)))</f>
        <v/>
      </c>
      <c r="E3144">
        <f>INDEX(FactorTable!$B$2:$Y$301, MATCH(ROUND(MIN(300,MAX(1,D3144)),0), FactorTable!$A$2:$A$301,0), Skills!M24+1)</f>
        <v/>
      </c>
      <c r="F3144">
        <f>IF(Skills!N24=TRUE,(Skills!L24/10)*(E3144/1000),Skills!L24/10)+Skills!O24</f>
        <v/>
      </c>
      <c r="G3144">
        <f>Calc!G24</f>
        <v/>
      </c>
      <c r="H3144">
        <f>Calc!H24</f>
        <v/>
      </c>
      <c r="I3144">
        <f>IF(Skills!X24&lt;&gt;"",1+(Skills!X24/10)*(Z3123/1000)/100,1)</f>
        <v/>
      </c>
      <c r="J3144">
        <f>((Inputs!$B$6*(1+Inputs!$B$7/100))+(((Inputs!$B$12*(1+Inputs!$B$13/100))-(Inputs!$B$12*(1+Inputs!$B$13/100)))+0.25*(Inputs!$B$14-Inputs!$B$14))*(1+Inputs!$B$7/100))*(F3144/100)</f>
        <v/>
      </c>
      <c r="K3144">
        <f>J3144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3144)</f>
        <v/>
      </c>
      <c r="L3144">
        <f>K3144*(MIN(Inputs!$B$22+(F3142-Calc!F22),(Inputs!$B$23+(IF(ArtifactsInput!$M$15,CHOOSE(ArtifactsInput!$N$15+1,25,30,35,40,45,50)/100*(Inputs!$B$11-Inputs!$B$11),0))))/100+(Inputs!$B$23+(IF(ArtifactsInput!$M$15,CHOOSE(ArtifactsInput!$N$15+1,25,30,35,40,45,50)/100*(Inputs!$B$11-Inputs!$B$11),0)))/100)/2</f>
        <v/>
      </c>
      <c r="M3144">
        <f>L3144*(1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4">
        <f>L3144*(1-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3144*(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4">
        <f>(1-Summary!$B$11)*S3144+Summary!$B$11*U3144</f>
        <v/>
      </c>
      <c r="P3144">
        <f>IF(B3161=0,0,O3144/B3161)</f>
        <v/>
      </c>
      <c r="Q3144">
        <f>IFERROR(1/(IF(Inputs!$B$38="pvp",15,MAX(0.1,Skills!E24-IF(Skills!F24=TRUE,4.5,0)))*(1-IF(AND(ArtifactsInput!$M$27,Inputs!$B$4="Chapter Hunt"),CHOOSE(ArtifactsInput!$N$27+1,20,24,28,32,36,40),0)/100)),0)</f>
        <v/>
      </c>
      <c r="R3144">
        <f>IF(AND(Inputs!$B$38&lt;&gt;"pvp",Inputs!$B$43&gt;0),IF(MAX(0,Inputs!$B$43-B3158)&lt;=0,0,(INT(MAX(0,Inputs!$B$43-B3158)/(IF(Inputs!$B$38="pvp",15,MAX(0.1,Skills!E24-IF(Skills!F24=TRUE,4.5,0)))*(1-IF(AND(ArtifactsInput!$M$27,Inputs!$B$4="Chapter Hunt"),CHOOSE(ArtifactsInput!$N$27+1,20,24,28,32,36,40),0)/100)))+1)),0)</f>
        <v/>
      </c>
      <c r="S3144">
        <f>IF(C3144,(H3144*N3144*IF(AND(Inputs!$B$38&lt;&gt;"pvp",Inputs!$B$43&gt;0),((Skills!G24*((R3144-1)*IF(Skills!H24&gt;0,Skills!I24/Skills!H24,1)+IF(Skills!H24&gt;0,MIN(Skills!I24,MAX(0,MAX(0,Inputs!$B$43-B3158)-((R3144-1)*(IF(Inputs!$B$38="pvp",15,MAX(0.1,Skills!E24-IF(Skills!F24=TRUE,4.5,0)))*(1-IF(AND(ArtifactsInput!$M$27,Inputs!$B$4="Chapter Hunt"),CHOOSE(ArtifactsInput!$N$27+1,20,24,28,32,36,40),0)/100)))))/Skills!H24,1)))/Inputs!$B$43),G3144*Q3144)*(1+IF(Inputs!$B$3&gt;=130,0.2*(Skills!I16/Skills!E15+IF(Inputs!$B$3&gt;=126,0.05*(B3156+Q3133+(H3134*B3157)/(1+Skills!H14*H3134*B3157)+Q3144),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3144*(1-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3144*(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3144*(1-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3144*(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4">
        <f>IF(C3144,(H3144*N3144*IF(AND(Inputs!$B$38&lt;&gt;"pvp",Inputs!$B$43&gt;0),((Skills!G24*((R3144-1)*IF(Skills!H24&gt;0,Skills!I24/Skills!H24,1)+IF(Skills!H24&gt;0,MIN(Skills!I24,MAX(0,MAX(0,Inputs!$B$43-B3158)-((R3144-1)*(IF(Inputs!$B$38="pvp",15,MAX(0.1,Skills!E24-IF(Skills!F24=TRUE,4.5,0)))*(1-IF(AND(ArtifactsInput!$M$27,Inputs!$B$4="Chapter Hunt"),CHOOSE(ArtifactsInput!$N$27+1,20,24,28,32,36,40),0)/100)))))/Skills!H24,1)))/Inputs!$B$43),G3144*Q3144)*(1+IF(Inputs!$B$3&gt;=130,0.2*(Skills!I16/Skills!E15+IF(Inputs!$B$3&gt;=126,0.05*(B3156+Q3133+(H3134*B3157)/(1+Skills!H14*H3134*B3157)+Q3144),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5">
      <c r="A3145">
        <f>Skills!A25</f>
        <v/>
      </c>
      <c r="B3145">
        <f>Skills!B25</f>
        <v/>
      </c>
      <c r="C3145">
        <f>Inputs!$B$3&gt;=117</f>
        <v/>
      </c>
      <c r="D3145">
        <f>IF(Skills!C25=1,60+Inputs!$B$25+Inputs!$B$29,IF(Skills!C25=2,90+Inputs!$B$26+Inputs!$B$29,IF(Skills!C25=3,120+Inputs!$B$27+Inputs!$B$29,MAX(0,(Inputs!$B$3-100)*3)+Inputs!$B$28+Inputs!$B$29)))</f>
        <v/>
      </c>
      <c r="E3145">
        <f>INDEX(FactorTable!$B$2:$Y$301, MATCH(ROUND(MIN(300,MAX(1,D3145)),0), FactorTable!$A$2:$A$301,0), Skills!M25+1)</f>
        <v/>
      </c>
      <c r="F3145">
        <f>IF(Skills!N25=TRUE,(Skills!L25/10)*(E3145/1000),Skills!L25/10)+Skills!O25</f>
        <v/>
      </c>
      <c r="G3145">
        <f>Calc!G25</f>
        <v/>
      </c>
      <c r="H3145">
        <f>Calc!H25</f>
        <v/>
      </c>
      <c r="I3145">
        <f>IF(Skills!X25&lt;&gt;"",1+(Skills!X25/10)*(Z3123/1000)/100,1)</f>
        <v/>
      </c>
      <c r="J3145" t="inlineStr"/>
      <c r="K3145" t="inlineStr"/>
      <c r="L3145" t="inlineStr"/>
      <c r="M3145" t="inlineStr"/>
      <c r="N3145" t="inlineStr"/>
      <c r="O3145">
        <f>(1-Summary!$B$11)*S3145+Summary!$B$11*U3145</f>
        <v/>
      </c>
      <c r="P3145">
        <f>IF(B3161=0,0,O3145/B3161)</f>
        <v/>
      </c>
      <c r="Q3145">
        <f>IFERROR(1/(IF(Inputs!$B$38="pvp",15,MAX(0.1,Skills!E25-IF(Skills!F25=TRUE,4.5,0)))*(1-IF(AND(ArtifactsInput!$M$27,Inputs!$B$4="Chapter Hunt"),CHOOSE(ArtifactsInput!$N$27+1,20,24,28,32,36,40),0)/100)),0)</f>
        <v/>
      </c>
      <c r="R3145" t="n">
        <v>0</v>
      </c>
      <c r="S3145" t="n">
        <v>0</v>
      </c>
      <c r="U3145" t="n">
        <v>0</v>
      </c>
    </row>
    <row r="3146">
      <c r="A3146">
        <f>Skills!A26</f>
        <v/>
      </c>
      <c r="B3146">
        <f>Skills!B26</f>
        <v/>
      </c>
      <c r="C3146">
        <f>Inputs!$B$3&gt;=120</f>
        <v/>
      </c>
      <c r="D3146">
        <f>IF(Skills!C26=1,60+Inputs!$B$25+Inputs!$B$29,IF(Skills!C26=2,90+Inputs!$B$26+Inputs!$B$29,IF(Skills!C26=3,120+Inputs!$B$27+Inputs!$B$29,MAX(0,(Inputs!$B$3-100)*3)+Inputs!$B$28+Inputs!$B$29)))</f>
        <v/>
      </c>
      <c r="E3146">
        <f>INDEX(FactorTable!$B$2:$Y$301, MATCH(ROUND(MIN(300,MAX(1,D3146)),0), FactorTable!$A$2:$A$301,0), Skills!M26+1)</f>
        <v/>
      </c>
      <c r="F3146">
        <f>IF(Skills!N26=TRUE,(Skills!L26/10)*(E3146/1000),Skills!L26/10)+Skills!O26</f>
        <v/>
      </c>
      <c r="G3146">
        <f>Calc!G26</f>
        <v/>
      </c>
      <c r="H3146">
        <f>Calc!H26</f>
        <v/>
      </c>
      <c r="I3146">
        <f>IF(Skills!X26&lt;&gt;"",1+(Skills!X26/10)*(Z3123/1000)/100,1)</f>
        <v/>
      </c>
      <c r="J3146" t="inlineStr"/>
      <c r="K3146" t="inlineStr"/>
      <c r="L3146" t="inlineStr"/>
      <c r="M3146" t="inlineStr"/>
      <c r="N3146" t="inlineStr"/>
      <c r="O3146">
        <f>(1-Summary!$B$11)*S3146+Summary!$B$11*U3146</f>
        <v/>
      </c>
      <c r="P3146">
        <f>IF(B3161=0,0,O3146/B3161)</f>
        <v/>
      </c>
      <c r="Q3146">
        <f>IFERROR(1/(IF(Inputs!$B$38="pvp",15,MAX(0.1,Skills!E26-IF(Skills!F26=TRUE,4.5,0)))*(1-IF(AND(ArtifactsInput!$M$27,Inputs!$B$4="Chapter Hunt"),CHOOSE(ArtifactsInput!$N$27+1,20,24,28,32,36,40),0)/100)),0)</f>
        <v/>
      </c>
      <c r="R3146" t="n">
        <v>0</v>
      </c>
      <c r="S3146" t="n">
        <v>0</v>
      </c>
      <c r="U3146" t="n">
        <v>0</v>
      </c>
    </row>
    <row r="3147">
      <c r="A3147">
        <f>Skills!A27</f>
        <v/>
      </c>
      <c r="B3147">
        <f>Skills!B27</f>
        <v/>
      </c>
      <c r="C3147">
        <f>Inputs!$B$3&gt;=125</f>
        <v/>
      </c>
      <c r="D3147">
        <f>IF(Skills!C27=1,60+Inputs!$B$25+Inputs!$B$29,IF(Skills!C27=2,90+Inputs!$B$26+Inputs!$B$29,IF(Skills!C27=3,120+Inputs!$B$27+Inputs!$B$29,MAX(0,(Inputs!$B$3-100)*3)+Inputs!$B$28+Inputs!$B$29)))</f>
        <v/>
      </c>
      <c r="E3147">
        <f>INDEX(FactorTable!$B$2:$Y$301, MATCH(ROUND(MIN(300,MAX(1,D3147)),0), FactorTable!$A$2:$A$301,0), Skills!M27+1)</f>
        <v/>
      </c>
      <c r="F3147">
        <f>IF(Skills!N27=TRUE,(Skills!L27/10)*(E3147/1000),Skills!L27/10)+Skills!O27</f>
        <v/>
      </c>
      <c r="G3147">
        <f>Calc!G27</f>
        <v/>
      </c>
      <c r="H3147">
        <f>Calc!H27</f>
        <v/>
      </c>
      <c r="I3147">
        <f>IF(Skills!X27&lt;&gt;"",1+(Skills!X27/10)*(Z3123/1000)/100,1)</f>
        <v/>
      </c>
      <c r="J3147" t="inlineStr"/>
      <c r="K3147" t="inlineStr"/>
      <c r="L3147" t="inlineStr"/>
      <c r="M3147" t="inlineStr"/>
      <c r="N3147" t="inlineStr"/>
      <c r="O3147">
        <f>(1-Summary!$B$11)*S3147+Summary!$B$11*U3147</f>
        <v/>
      </c>
      <c r="P3147">
        <f>IF(B3161=0,0,O3147/B3161)</f>
        <v/>
      </c>
      <c r="Q3147">
        <f>IFERROR(1/(IF(Inputs!$B$38="pvp",15,MAX(0.1,Skills!E27-IF(Skills!F27=TRUE,4.5,0)))*(1-IF(AND(ArtifactsInput!$M$27,Inputs!$B$4="Chapter Hunt"),CHOOSE(ArtifactsInput!$N$27+1,20,24,28,32,36,40),0)/100)),0)</f>
        <v/>
      </c>
      <c r="R3147" t="n">
        <v>0</v>
      </c>
      <c r="S3147" t="n">
        <v>0</v>
      </c>
      <c r="U3147" t="n">
        <v>0</v>
      </c>
    </row>
    <row r="3148">
      <c r="A3148">
        <f>Skills!A28</f>
        <v/>
      </c>
      <c r="B3148">
        <f>Skills!B28</f>
        <v/>
      </c>
      <c r="C3148">
        <f>Inputs!$B$3&gt;=118</f>
        <v/>
      </c>
      <c r="D3148">
        <f>IF(Skills!C28=1,60+Inputs!$B$25+Inputs!$B$29,IF(Skills!C28=2,90+Inputs!$B$26+Inputs!$B$29,IF(Skills!C28=3,120+Inputs!$B$27+Inputs!$B$29,MAX(0,(Inputs!$B$3-100)*3)+Inputs!$B$28+Inputs!$B$29)))</f>
        <v/>
      </c>
      <c r="E3148">
        <f>INDEX(FactorTable!$B$2:$Y$301, MATCH(ROUND(MIN(300,MAX(1,D3148)),0), FactorTable!$A$2:$A$301,0), Skills!M28+1)</f>
        <v/>
      </c>
      <c r="F3148">
        <f>IF(Skills!N28=TRUE,(Skills!L28/10)*(E3148/1000),Skills!L28/10)+Skills!O28</f>
        <v/>
      </c>
      <c r="G3148">
        <f>Calc!G28</f>
        <v/>
      </c>
      <c r="H3148">
        <f>Calc!H28</f>
        <v/>
      </c>
      <c r="I3148">
        <f>IF(Skills!X28&lt;&gt;"",1+(Skills!X28/10)*(Z3123/1000)/100,1)</f>
        <v/>
      </c>
      <c r="J3148">
        <f>((Inputs!$B$6*(1+Inputs!$B$7/100))+(((Inputs!$B$12*(1+Inputs!$B$13/100))-(Inputs!$B$12*(1+Inputs!$B$13/100)))+0.25*(Inputs!$B$14-Inputs!$B$14))*(1+Inputs!$B$7/100))*(F3148/100)</f>
        <v/>
      </c>
      <c r="K3148">
        <f>J3148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3143/100)*(1+IF(Inputs!$B$3&gt;=120,F3146,0)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3147*5,0)))/100)*(B3150*B3151*B3152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3148)</f>
        <v/>
      </c>
      <c r="L3148">
        <f>K3148*(MIN(Inputs!$B$22+(F3142-Calc!F22),(Inputs!$B$23+(IF(ArtifactsInput!$M$15,CHOOSE(ArtifactsInput!$N$15+1,25,30,35,40,45,50)/100*(Inputs!$B$11-Inputs!$B$11),0))))/100+(Inputs!$B$23+(IF(ArtifactsInput!$M$15,CHOOSE(ArtifactsInput!$N$15+1,25,30,35,40,45,50)/100*(Inputs!$B$11-Inputs!$B$11),0)))/100)/2</f>
        <v/>
      </c>
      <c r="M3148">
        <f>L3148*(1+(Inputs!$B$10+(F3141-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8">
        <f>L3148*(1-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3148*(MIN((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8">
        <f>(1-Summary!$B$11)*S3148+Summary!$B$11*U3148</f>
        <v/>
      </c>
      <c r="P3148">
        <f>IF(B3161=0,0,O3148/B3161)</f>
        <v/>
      </c>
      <c r="Q3148">
        <f>IFERROR(1/(IF(Inputs!$B$38="pvp",15,MAX(0.1,Skills!E28-IF(Skills!F28=TRUE,4.5,0)))*(1-IF(AND(ArtifactsInput!$M$27,Inputs!$B$4="Chapter Hunt"),CHOOSE(ArtifactsInput!$N$27+1,20,24,28,32,36,40),0)/100)),0)</f>
        <v/>
      </c>
      <c r="R3148">
        <f>IF(AND(Inputs!$B$38&lt;&gt;"pvp",Inputs!$B$43&gt;0),IF(MAX(0,Inputs!$B$43-B3158)&lt;=0,0,(INT(MAX(0,Inputs!$B$43-B3158)/(IF(Inputs!$B$38="pvp",15,MAX(0.1,Skills!E28-IF(Skills!F28=TRUE,4.5,0)))*(1-IF(AND(ArtifactsInput!$M$27,Inputs!$B$4="Chapter Hunt"),CHOOSE(ArtifactsInput!$N$27+1,20,24,28,32,36,40),0)/100)))+1)),0)</f>
        <v/>
      </c>
      <c r="S3148">
        <f>IF(C3148,(H3148*N3148*IF(AND(Inputs!$B$38&lt;&gt;"pvp",Inputs!$B$43&gt;0),((Skills!G28*((R3148-1)*IF(Skills!H28&gt;0,Skills!I28/Skills!H28,1)+IF(Skills!H28&gt;0,MIN(Skills!I28,MAX(0,MAX(0,Inputs!$B$43-B3158)-((R3148-1)*(IF(Inputs!$B$38="pvp",15,MAX(0.1,Skills!E28-IF(Skills!F28=TRUE,4.5,0)))*(1-IF(AND(ArtifactsInput!$M$27,Inputs!$B$4="Chapter Hunt"),CHOOSE(ArtifactsInput!$N$27+1,20,24,28,32,36,40),0)/100)))))/Skills!H28,1)))/Inputs!$B$43),G3148*Q3148))*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3148*(1-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3148*(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3148*(1-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3148*(MIN(100,(Inputs!$B$9+(F3140-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8">
        <f>IF(C3148,(H3148*N3148*IF(AND(Inputs!$B$38&lt;&gt;"pvp",Inputs!$B$43&gt;0),((Skills!G28*((R3148-1)*IF(Skills!H28&gt;0,Skills!I28/Skills!H28,1)+IF(Skills!H28&gt;0,MIN(Skills!I28,MAX(0,MAX(0,Inputs!$B$43-B3158)-((R3148-1)*(IF(Inputs!$B$38="pvp",15,MAX(0.1,Skills!E28-IF(Skills!F28=TRUE,4.5,0)))*(1-IF(AND(ArtifactsInput!$M$27,Inputs!$B$4="Chapter Hunt"),CHOOSE(ArtifactsInput!$N$27+1,20,24,28,32,36,40),0)/100)))))/Skills!H28,1)))/Inputs!$B$43),G3148*Q3148))*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0">
      <c r="A3150" t="inlineStr">
        <is>
          <t>Burning Magic Multiplier</t>
        </is>
      </c>
      <c r="B3150">
        <f>1+(F3131*Skills!Z11)/100</f>
        <v/>
      </c>
    </row>
    <row r="3151">
      <c r="A3151" t="inlineStr">
        <is>
          <t>Elemental Decrease Multiplier (always-on)</t>
        </is>
      </c>
      <c r="B3151">
        <f>1+(F3132+(IF(AND(ArtifactsInput!$M$35,Inputs!$B$4&lt;&gt;"Chapter Hunt"),CHOOSE(ArtifactsInput!$N$35+1,15,18,21,24,27,30)*(1-EXP(-(0.2*B3154)*5)),0)+IF(AND(ArtifactsInput!$M$22,Inputs!$B$4&lt;&gt;"Chapter Hunt"),CHOOSE(ArtifactsInput!$N$22+1,10,12,14,16,18,20)*((0*(((0.15*B3154*5))^0/1)+1*(((0.15*B3154*5))^1/1)+2*(((0.15*B3154*5))^2/2)+3*(((0.15*B3154*5))^3/6)+4*(((0.15*B3154*5))^4/24)+5*(((0.15*B3154*5))^5/120))/((((0.15*B3154*5))^0/1)+(((0.15*B3154*5))^1/1)+(((0.15*B3154*5))^2/2)+(((0.15*B3154*5))^3/6)+(((0.15*B3154*5))^4/24)+(((0.15*B3154*5))^5/120))),0)))/100</f>
        <v/>
      </c>
    </row>
    <row r="3152">
      <c r="A3152" t="inlineStr">
        <is>
          <t>Average Buff Multiplier (Magic Guard + Meditation + Artifact Attack%, summed; then Infinity)</t>
        </is>
      </c>
      <c r="B3152">
        <f>(1+(F3126*IF(AND(Inputs!$B$38&lt;&gt;"pvp",Inputs!$B$43&gt;0),(((R3126-1)*(Skills!T6*(1+((Inputs!$B$34+(ArtifactsInput!$M$7-ArtifactsInput!$M$7)*CHOOSE(ArtifactsInput!$N$7+1,6,7.2,8.4,9.6,10.8,12)))/100))+MIN((Skills!T6*(1+((Inputs!$B$34+(ArtifactsInput!$M$7-ArtifactsInput!$M$7)*CHOOSE(ArtifactsInput!$N$7+1,6,7.2,8.4,9.6,10.8,12)))/100)),MAX(0,Inputs!$B$43-((R3126-1)*Skills!E6))))/Inputs!$B$43),IF(Inputs!$B$38="pvp",MIN((Skills!T6*(1+((Inputs!$B$34+(ArtifactsInput!$M$7-ArtifactsInput!$M$7)*CHOOSE(ArtifactsInput!$N$7+1,6,7.2,8.4,9.6,10.8,12)))/100)),15)/15,(Skills!T6*(1+((Inputs!$B$34+(ArtifactsInput!$M$7-ArtifactsInput!$M$7)*CHOOSE(ArtifactsInput!$N$7+1,6,7.2,8.4,9.6,10.8,12)))/100))/Skills!E6))+F3137*IF(AND(Inputs!$B$38&lt;&gt;"pvp",Inputs!$B$43&gt;0),(((R3137-1)*(Skills!T17*(1+((Inputs!$B$34+(ArtifactsInput!$M$7-ArtifactsInput!$M$7)*CHOOSE(ArtifactsInput!$N$7+1,6,7.2,8.4,9.6,10.8,12)))/100))+MIN((Skills!T17*(1+((Inputs!$B$34+(ArtifactsInput!$M$7-ArtifactsInput!$M$7)*CHOOSE(ArtifactsInput!$N$7+1,6,7.2,8.4,9.6,10.8,12)))/100)),MAX(0,Inputs!$B$43-((R3137-1)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3139=TRUE,(1+F3139*IF(AND(Inputs!$B$38&lt;&gt;"pvp",Inputs!$B$43&gt;0),(((R3139-1)*(Skills!T19*(1+((Inputs!$B$34+(ArtifactsInput!$M$7-ArtifactsInput!$M$7)*CHOOSE(ArtifactsInput!$N$7+1,6,7.2,8.4,9.6,10.8,12)))/100))+MIN((Skills!T19*(1+((Inputs!$B$34+(ArtifactsInput!$M$7-ArtifactsInput!$M$7)*CHOOSE(ArtifactsInput!$N$7+1,6,7.2,8.4,9.6,10.8,12)))/100)),MAX(0,Inputs!$B$43-((R3139-1)*Skills!E19))))/Inputs!$B$43),IF(Inputs!$B$38="pvp",MIN((Skills!T19*(1+((Inputs!$B$34+(ArtifactsInput!$M$7-ArtifactsInput!$M$7)*CHOOSE(ArtifactsInput!$N$7+1,6,7.2,8.4,9.6,10.8,12)))/100)),15)/15,(Skills!T19*(1+((Inputs!$B$34+(ArtifactsInput!$M$7-ArtifactsInput!$M$7)*CHOOSE(ArtifactsInput!$N$7+1,6,7.2,8.4,9.6,10.8,12)))/100))/Skills!E19))/100),1)</f>
        <v/>
      </c>
    </row>
    <row r="3153">
      <c r="A3153" t="inlineStr">
        <is>
          <t>Attack Speed Buff Bonus % (Nimble Feet, averaged)</t>
        </is>
      </c>
      <c r="B3153">
        <f>F3138*IF(AND(Inputs!$B$38&lt;&gt;"pvp",Inputs!$B$43&gt;0),(((R3138-1)*(Skills!T18*(1+((Inputs!$B$34+(ArtifactsInput!$M$7-ArtifactsInput!$M$7)*CHOOSE(ArtifactsInput!$N$7+1,6,7.2,8.4,9.6,10.8,12)))/100))+MIN((Skills!T18*(1+((Inputs!$B$34+(ArtifactsInput!$M$7-ArtifactsInput!$M$7)*CHOOSE(ArtifactsInput!$N$7+1,6,7.2,8.4,9.6,10.8,12)))/100)),MAX(0,Inputs!$B$43-((R3138-1)*Skills!E18))))/Inputs!$B$43),IF(Inputs!$B$38="pvp",MIN((Skills!T18*(1+((Inputs!$B$34+(ArtifactsInput!$M$7-ArtifactsInput!$M$7)*CHOOSE(ArtifactsInput!$N$7+1,6,7.2,8.4,9.6,10.8,12)))/100)),15)/15,(Skills!T18*(1+((Inputs!$B$34+(ArtifactsInput!$M$7-ArtifactsInput!$M$7)*CHOOSE(ArtifactsInput!$N$7+1,6,7.2,8.4,9.6,10.8,12)))/100))/Skills!E18))</f>
        <v/>
      </c>
    </row>
    <row r="3154">
      <c r="A3154" t="inlineStr">
        <is>
          <t>Actions Per Second</t>
        </is>
      </c>
      <c r="B3154">
        <f>1+MIN(150,150*(1-(1-(Inputs!$B$11+(ArtifactsInput!$M$15-ArtifactsInput!$M$15)*CHOOSE(ArtifactsInput!$N$15+1,8,9.6,11.2,12.8,14.4,16))/150)*(1-B3153/150)))/100</f>
        <v/>
      </c>
    </row>
    <row r="3155">
      <c r="A3155" t="inlineStr">
        <is>
          <t>Skill + Buff Cast Rate</t>
        </is>
      </c>
      <c r="B3155">
        <f>IF(AND(Inputs!$B$38&lt;&gt;"pvp",Inputs!$B$43&gt;0),SUMPRODUCT((Skills!F2:F28=TRUE)*(C3122:C3148=TRUE)*R3122:R3148)/Inputs!$B$43,SUMPRODUCT((Skills!F2:F28=TRUE)*(C3122:C3148=TRUE)*Q3122:Q3148))</f>
        <v/>
      </c>
    </row>
    <row r="3156">
      <c r="A3156" t="inlineStr">
        <is>
          <t>Basic Attacks Per Second</t>
        </is>
      </c>
      <c r="B3156">
        <f>MAX(0,B3154-B3155)</f>
        <v/>
      </c>
    </row>
    <row r="3157">
      <c r="A3157" t="inlineStr">
        <is>
          <t>Meteor Proc — combined trigger cast rate</t>
        </is>
      </c>
      <c r="B3157">
        <f>IF(AND(Inputs!$B$38&lt;&gt;"pvp",Inputs!$B$43&gt;0),SUMPRODUCT((Skills!V2:V28=TRUE)*(C3122:C3148=TRUE)*R3122:R3148*Skills!W2:W28)/Inputs!$B$43,SUMPRODUCT((Skills!V2:V28=TRUE)*(C3122:C3148=TRUE)*Q3122:Q3148*Skills!W2:W28))+B3156</f>
        <v/>
      </c>
    </row>
    <row r="3158">
      <c r="A3158" t="inlineStr">
        <is>
          <t>Buff-Casting Startup Delay (s, fixed-duration only)</t>
        </is>
      </c>
      <c r="B3158">
        <f>IF(AND(Inputs!$B$38&lt;&gt;"pvp",Inputs!$B$43&gt;0),SUMPRODUCT((Skills!T2:T28&gt;0)*(Skills!F2:F28=TRUE)*(C3122:C3148=TRUE))/B3154,0)</f>
        <v/>
      </c>
    </row>
    <row r="3159">
      <c r="A3159" t="inlineStr">
        <is>
          <t>Boss-Only Total DPS (this block's swept value)</t>
        </is>
      </c>
      <c r="B3159">
        <f>SUM(S3122:S3148)</f>
        <v/>
      </c>
    </row>
    <row r="3160">
      <c r="A3160" t="inlineStr">
        <is>
          <t>Normal-Only Total DPS (this block's swept value)</t>
        </is>
      </c>
      <c r="B3160">
        <f>SUM(U3122:U3148)</f>
        <v/>
      </c>
    </row>
    <row r="3161">
      <c r="A3161" s="6" t="inlineStr">
        <is>
          <t>TOTAL DPS</t>
        </is>
      </c>
      <c r="B3161" s="6">
        <f>SUM(O3122:O3148)</f>
        <v/>
      </c>
    </row>
    <row r="3164">
      <c r="A3164" s="6" t="inlineStr">
        <is>
          <t>Stat: CDR = 5.0s</t>
        </is>
      </c>
    </row>
    <row r="3165">
      <c r="A3165" s="5" t="inlineStr">
        <is>
          <t>Key</t>
        </is>
      </c>
      <c r="B3165" s="5" t="inlineStr">
        <is>
          <t>Name</t>
        </is>
      </c>
      <c r="C3165" s="5" t="inlineStr">
        <is>
          <t>Unlocked</t>
        </is>
      </c>
      <c r="D3165" s="5" t="inlineStr">
        <is>
          <t>InputLevel</t>
        </is>
      </c>
      <c r="E3165" s="5" t="inlineStr">
        <is>
          <t>Factor</t>
        </is>
      </c>
      <c r="F3165" s="5" t="inlineStr">
        <is>
          <t>CoefficientPercent</t>
        </is>
      </c>
      <c r="G3165" s="5" t="inlineStr">
        <is>
          <t>EffectiveHits</t>
        </is>
      </c>
      <c r="H3165" s="5" t="inlineStr">
        <is>
          <t>ProcProbability</t>
        </is>
      </c>
      <c r="I3165" s="5" t="inlineStr">
        <is>
          <t>MapleHeroMultiplier</t>
        </is>
      </c>
      <c r="J3165" s="5" t="inlineStr">
        <is>
          <t>BaseDamage</t>
        </is>
      </c>
      <c r="K3165" s="5" t="inlineStr">
        <is>
          <t>BaseHitDamage</t>
        </is>
      </c>
      <c r="L3165" s="5" t="inlineStr">
        <is>
          <t>NonCritAvg</t>
        </is>
      </c>
      <c r="M3165" s="5" t="inlineStr">
        <is>
          <t>CritAvg</t>
        </is>
      </c>
      <c r="N3165" s="5" t="inlineStr">
        <is>
          <t>ExpectedDamage(perHit)</t>
        </is>
      </c>
      <c r="O3165" s="5" t="inlineStr">
        <is>
          <t>DPS</t>
        </is>
      </c>
      <c r="P3165" s="5" t="inlineStr">
        <is>
          <t>% of Total</t>
        </is>
      </c>
      <c r="R3165" t="inlineStr">
        <is>
          <t>helpers</t>
        </is>
      </c>
    </row>
    <row r="3166">
      <c r="A3166">
        <f>Skills!A2</f>
        <v/>
      </c>
      <c r="B3166">
        <f>Skills!B2</f>
        <v/>
      </c>
      <c r="C3166">
        <f>TRUE</f>
        <v/>
      </c>
      <c r="D3166" t="inlineStr"/>
      <c r="E3166" t="inlineStr"/>
      <c r="F3166">
        <f>T3168+Skills!O2</f>
        <v/>
      </c>
      <c r="G3166">
        <f>Calc!G2</f>
        <v/>
      </c>
      <c r="H3166">
        <f>Calc!H2</f>
        <v/>
      </c>
      <c r="I3166">
        <f>IF(Skills!X2&lt;&gt;"",1+(Skills!X2/10)*(Z3167/1000)/100,1)</f>
        <v/>
      </c>
      <c r="J3166">
        <f>((Inputs!$B$6*(1+Inputs!$B$7/100))+(((Inputs!$B$12*(1+Inputs!$B$13/100))-(Inputs!$B$12*(1+Inputs!$B$13/100)))+0.25*(Inputs!$B$14-Inputs!$B$14))*(1+Inputs!$B$7/100))*(F3166/100)</f>
        <v/>
      </c>
      <c r="K3166">
        <f>J3166*(1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2="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3166)</f>
        <v/>
      </c>
      <c r="L3166">
        <f>K3166*(MIN(Inputs!$B$22+(F3186-Calc!F22),(Inputs!$B$23+(IF(ArtifactsInput!$M$15,CHOOSE(ArtifactsInput!$N$15+1,25,30,35,40,45,50)/100*(Inputs!$B$11-Inputs!$B$11),0))))/100+(Inputs!$B$23+(IF(ArtifactsInput!$M$15,CHOOSE(ArtifactsInput!$N$15+1,25,30,35,40,45,50)/100*(Inputs!$B$11-Inputs!$B$11),0)))/100)/2</f>
        <v/>
      </c>
      <c r="M3166">
        <f>L3166*(1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66">
        <f>L3166*(1-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3166*(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66">
        <f>(1-Summary!$B$11)*S3166+Summary!$B$11*U3166</f>
        <v/>
      </c>
      <c r="P3166">
        <f>IF(B3205=0,0,O3166/B3205)</f>
        <v/>
      </c>
      <c r="Q3166">
        <f>IFERROR(1/(IF(Inputs!$B$38="pvp",15,MAX(0.1,Skills!E2-IF(Skills!F2=TRUE,5.0,0)))*(1-IF(AND(ArtifactsInput!$M$27,Inputs!$B$4="Chapter Hunt"),CHOOSE(ArtifactsInput!$N$27+1,20,24,28,32,36,40),0)/100)),0)</f>
        <v/>
      </c>
      <c r="R3166" t="n">
        <v>0</v>
      </c>
      <c r="S3166">
        <f>(Skills!G2*N3166*B3200)*IF(Inputs!$B$38="pvp",1,1+(Inputs!$B$20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3166*(1-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3166*(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3166*(1-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3166*(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f>
        <v/>
      </c>
      <c r="T3166">
        <f>MAX(0,(Inputs!$B$3-100)*3)+Inputs!$B$28+Inputs!$B$29</f>
        <v/>
      </c>
      <c r="U3166">
        <f>(Skills!G2*N3166*B3200)*IF(Inputs!$B$38="pvp",1,(1+(Inputs!$B$21+Skills!Q2+(IF(ArtifactsInput!$M$33,CHOOSE(ArtifactsInput!$N$33+1,30,36,42,48,54,60),0)))/100)*(MIN((6+Inputs!$B$33+IF(Inputs!$B$3&gt;=136,1,0)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f>
        <v/>
      </c>
      <c r="Z3166">
        <f>MAX(0,(Inputs!$B$3-100)*3)+Inputs!$B$28+Inputs!$B$29</f>
        <v/>
      </c>
    </row>
    <row r="3167">
      <c r="A3167">
        <f>Skills!A3</f>
        <v/>
      </c>
      <c r="B3167">
        <f>Skills!B3</f>
        <v/>
      </c>
      <c r="C3167">
        <f>TRUE</f>
        <v/>
      </c>
      <c r="D3167">
        <f>IF(Skills!C3=1,60+Inputs!$B$25+Inputs!$B$29,IF(Skills!C3=2,90+Inputs!$B$26+Inputs!$B$29,IF(Skills!C3=3,120+Inputs!$B$27+Inputs!$B$29,MAX(0,(Inputs!$B$3-100)*3)+Inputs!$B$28+Inputs!$B$29)))</f>
        <v/>
      </c>
      <c r="E3167">
        <f>INDEX(FactorTable!$B$2:$Y$301, MATCH(ROUND(MIN(300,MAX(1,D3167)),0), FactorTable!$A$2:$A$301,0), Skills!M3+1)</f>
        <v/>
      </c>
      <c r="F3167">
        <f>IF(Skills!N3=TRUE,(Skills!L3/10)*(E3167/1000),Skills!L3/10)+Skills!O3</f>
        <v/>
      </c>
      <c r="G3167">
        <f>Calc!G3</f>
        <v/>
      </c>
      <c r="H3167">
        <f>Calc!H3</f>
        <v/>
      </c>
      <c r="I3167">
        <f>IF(Skills!X3&lt;&gt;"",1+(Skills!X3/10)*(Z3167/1000)/100,1)</f>
        <v/>
      </c>
      <c r="J3167">
        <f>((Inputs!$B$6*(1+Inputs!$B$7/100))+(((Inputs!$B$12*(1+Inputs!$B$13/100))-(Inputs!$B$12*(1+Inputs!$B$13/100)))+0.25*(Inputs!$B$14-Inputs!$B$14))*(1+Inputs!$B$7/100))*(F3167/100)</f>
        <v/>
      </c>
      <c r="K3167">
        <f>J3167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3167)</f>
        <v/>
      </c>
      <c r="L3167">
        <f>K3167*(MIN(Inputs!$B$22+(F3186-Calc!F22),(Inputs!$B$23+(IF(ArtifactsInput!$M$15,CHOOSE(ArtifactsInput!$N$15+1,25,30,35,40,45,50)/100*(Inputs!$B$11-Inputs!$B$11),0))))/100+(Inputs!$B$23+(IF(ArtifactsInput!$M$15,CHOOSE(ArtifactsInput!$N$15+1,25,30,35,40,45,50)/100*(Inputs!$B$11-Inputs!$B$11),0)))/100)/2</f>
        <v/>
      </c>
      <c r="M3167">
        <f>L3167*(1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67">
        <f>L3167*(1-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3167*(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67">
        <f>(1-Summary!$B$11)*S3167+Summary!$B$11*U3167</f>
        <v/>
      </c>
      <c r="P3167">
        <f>IF(B3205=0,0,O3167/B3205)</f>
        <v/>
      </c>
      <c r="Q3167">
        <f>IFERROR(1/(IF(Inputs!$B$38="pvp",15,MAX(0.1,Skills!E3-IF(Skills!F3=TRUE,5.0,0)))*(1-IF(AND(ArtifactsInput!$M$27,Inputs!$B$4="Chapter Hunt"),CHOOSE(ArtifactsInput!$N$27+1,20,24,28,32,36,40),0)/100)),0)</f>
        <v/>
      </c>
      <c r="R3167">
        <f>IF(AND(Inputs!$B$38&lt;&gt;"pvp",Inputs!$B$43&gt;0),IF(MAX(0,Inputs!$B$43-B3202)&lt;=0,0,(INT(MAX(0,Inputs!$B$43-B3202)/(IF(Inputs!$B$38="pvp",15,MAX(0.1,Skills!E3-IF(Skills!F3=TRUE,5.0,0)))*(1-IF(AND(ArtifactsInput!$M$27,Inputs!$B$4="Chapter Hunt"),CHOOSE(ArtifactsInput!$N$27+1,20,24,28,32,36,40),0)/100)))+1)),0)</f>
        <v/>
      </c>
      <c r="S3167">
        <f>IF(C3167,(H3167*N3167*IF(AND(Inputs!$B$38&lt;&gt;"pvp",Inputs!$B$43&gt;0),((Skills!G3*((R3167-1)*IF(Skills!H3&gt;0,Skills!I3/Skills!H3,1)+IF(Skills!H3&gt;0,MIN(Skills!I3,MAX(0,MAX(0,Inputs!$B$43-B3202)-((R3167-1)*(IF(Inputs!$B$38="pvp",15,MAX(0.1,Skills!E3-IF(Skills!F3=TRUE,5.0,0)))*(1-IF(AND(ArtifactsInput!$M$27,Inputs!$B$4="Chapter Hunt"),CHOOSE(ArtifactsInput!$N$27+1,20,24,28,32,36,40),0)/100)))))/Skills!H3,1)))/Inputs!$B$43),G3167*Q3167))*IF(Inputs!$B$38="pvp",1,1+(Inputs!$B$20+Skills!P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3167*(1-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3167*(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3167*(1-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3167*(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167">
        <f>INDEX(FactorTable!$B$2:$Y$301, MATCH(ROUND(MIN(300,MAX(1,T3166)),0), FactorTable!$A$2:$A$301,0), 22)</f>
        <v/>
      </c>
      <c r="U3167">
        <f>IF(C3167,(H3167*N3167*IF(AND(Inputs!$B$38&lt;&gt;"pvp",Inputs!$B$43&gt;0),((Skills!G3*((R3167-1)*IF(Skills!H3&gt;0,Skills!I3/Skills!H3,1)+IF(Skills!H3&gt;0,MIN(Skills!I3,MAX(0,MAX(0,Inputs!$B$43-B3202)-((R3167-1)*(IF(Inputs!$B$38="pvp",15,MAX(0.1,Skills!E3-IF(Skills!F3=TRUE,5.0,0)))*(1-IF(AND(ArtifactsInput!$M$27,Inputs!$B$4="Chapter Hunt"),CHOOSE(ArtifactsInput!$N$27+1,20,24,28,32,36,40),0)/100)))))/Skills!H3,1)))/Inputs!$B$43),G3167*Q3167))*IF(Inputs!$B$38="pvp",1,(1+(Inputs!$B$21+Skills!Q3+(IF(ArtifactsInput!$M$33,CHOOSE(ArtifactsInput!$N$33+1,30,36,42,48,54,60),0)))/100)*(MIN(Skills!R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167">
        <f>INDEX(FactorTable!$B$2:$Y$301, MATCH(ROUND(MIN(300,MAX(1,Z3166)),0), FactorTable!$A$2:$A$301,0), 24)</f>
        <v/>
      </c>
    </row>
    <row r="3168">
      <c r="A3168">
        <f>Skills!A4</f>
        <v/>
      </c>
      <c r="B3168">
        <f>Skills!B4</f>
        <v/>
      </c>
      <c r="C3168">
        <f>TRUE</f>
        <v/>
      </c>
      <c r="D3168">
        <f>IF(Skills!C4=1,60+Inputs!$B$25+Inputs!$B$29,IF(Skills!C4=2,90+Inputs!$B$26+Inputs!$B$29,IF(Skills!C4=3,120+Inputs!$B$27+Inputs!$B$29,MAX(0,(Inputs!$B$3-100)*3)+Inputs!$B$28+Inputs!$B$29)))</f>
        <v/>
      </c>
      <c r="E3168">
        <f>INDEX(FactorTable!$B$2:$Y$301, MATCH(ROUND(MIN(300,MAX(1,D3168)),0), FactorTable!$A$2:$A$301,0), Skills!M4+1)</f>
        <v/>
      </c>
      <c r="F3168">
        <f>IF(Skills!N4=TRUE,(Skills!L4/10)*(E3168/1000),Skills!L4/10)+Skills!O4</f>
        <v/>
      </c>
      <c r="G3168">
        <f>Calc!G4</f>
        <v/>
      </c>
      <c r="H3168">
        <f>Calc!H4</f>
        <v/>
      </c>
      <c r="I3168">
        <f>IF(Skills!X4&lt;&gt;"",1+(Skills!X4/10)*(Z3167/1000)/100,1)</f>
        <v/>
      </c>
      <c r="J3168">
        <f>((Inputs!$B$6*(1+Inputs!$B$7/100))+(((Inputs!$B$12*(1+Inputs!$B$13/100))-(Inputs!$B$12*(1+Inputs!$B$13/100)))+0.25*(Inputs!$B$14-Inputs!$B$14))*(1+Inputs!$B$7/100))*(F3168/100)</f>
        <v/>
      </c>
      <c r="K3168">
        <f>J3168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3168)</f>
        <v/>
      </c>
      <c r="L3168">
        <f>K3168*(MIN(Inputs!$B$22+(F3186-Calc!F22),(Inputs!$B$23+(IF(ArtifactsInput!$M$15,CHOOSE(ArtifactsInput!$N$15+1,25,30,35,40,45,50)/100*(Inputs!$B$11-Inputs!$B$11),0))))/100+(Inputs!$B$23+(IF(ArtifactsInput!$M$15,CHOOSE(ArtifactsInput!$N$15+1,25,30,35,40,45,50)/100*(Inputs!$B$11-Inputs!$B$11),0)))/100)/2</f>
        <v/>
      </c>
      <c r="M3168">
        <f>L3168*(1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68">
        <f>L3168*(1-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3168*(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68">
        <f>(1-Summary!$B$11)*S3168+Summary!$B$11*U3168</f>
        <v/>
      </c>
      <c r="P3168">
        <f>IF(B3205=0,0,O3168/B3205)</f>
        <v/>
      </c>
      <c r="Q3168">
        <f>IFERROR(1/(IF(Inputs!$B$38="pvp",15,MAX(0.1,Skills!E4-IF(Skills!F4=TRUE,5.0,0)))*(1-IF(AND(ArtifactsInput!$M$27,Inputs!$B$4="Chapter Hunt"),CHOOSE(ArtifactsInput!$N$27+1,20,24,28,32,36,40),0)/100)),0)</f>
        <v/>
      </c>
      <c r="R3168">
        <f>IF(AND(Inputs!$B$38&lt;&gt;"pvp",Inputs!$B$43&gt;0),IF(MAX(0,Inputs!$B$43-B3202)&lt;=0,0,(INT(MAX(0,Inputs!$B$43-B3202)/(IF(Inputs!$B$38="pvp",15,MAX(0.1,Skills!E4-IF(Skills!F4=TRUE,5.0,0)))*(1-IF(AND(ArtifactsInput!$M$27,Inputs!$B$4="Chapter Hunt"),CHOOSE(ArtifactsInput!$N$27+1,20,24,28,32,36,40),0)/100)))+1)),0)</f>
        <v/>
      </c>
      <c r="S3168">
        <f>IF(C3168,(H3168*N3168*IF(AND(Inputs!$B$38&lt;&gt;"pvp",Inputs!$B$43&gt;0),((Skills!G4*((R3168-1)*IF(Skills!H4&gt;0,Skills!I4/Skills!H4,1)+IF(Skills!H4&gt;0,MIN(Skills!I4,MAX(0,MAX(0,Inputs!$B$43-B3202)-((R3168-1)*(IF(Inputs!$B$38="pvp",15,MAX(0.1,Skills!E4-IF(Skills!F4=TRUE,5.0,0)))*(1-IF(AND(ArtifactsInput!$M$27,Inputs!$B$4="Chapter Hunt"),CHOOSE(ArtifactsInput!$N$27+1,20,24,28,32,36,40),0)/100)))))/Skills!H4,1)))/Inputs!$B$43),G3168*Q3168))*IF(Inputs!$B$38="pvp",1,1+(Inputs!$B$20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3168*(1-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3168*(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3168*(1-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3168*(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168">
        <f>290*T3167/1000</f>
        <v/>
      </c>
      <c r="U3168">
        <f>IF(C3168,(H3168*N3168*IF(AND(Inputs!$B$38&lt;&gt;"pvp",Inputs!$B$43&gt;0),((Skills!G4*((R3168-1)*IF(Skills!H4&gt;0,Skills!I4/Skills!H4,1)+IF(Skills!H4&gt;0,MIN(Skills!I4,MAX(0,MAX(0,Inputs!$B$43-B3202)-((R3168-1)*(IF(Inputs!$B$38="pvp",15,MAX(0.1,Skills!E4-IF(Skills!F4=TRUE,5.0,0)))*(1-IF(AND(ArtifactsInput!$M$27,Inputs!$B$4="Chapter Hunt"),CHOOSE(ArtifactsInput!$N$27+1,20,24,28,32,36,40),0)/100)))))/Skills!H4,1)))/Inputs!$B$43),G3168*Q3168))*IF(Inputs!$B$38="pvp",1,(1+(Inputs!$B$21+Skills!Q4+(IF(ArtifactsInput!$M$33,CHOOSE(ArtifactsInput!$N$33+1,30,36,42,48,54,60),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69">
      <c r="A3169">
        <f>Skills!A5</f>
        <v/>
      </c>
      <c r="B3169">
        <f>Skills!B5</f>
        <v/>
      </c>
      <c r="C3169">
        <f>TRUE</f>
        <v/>
      </c>
      <c r="D3169">
        <f>IF(Skills!C5=1,60+Inputs!$B$25+Inputs!$B$29,IF(Skills!C5=2,90+Inputs!$B$26+Inputs!$B$29,IF(Skills!C5=3,120+Inputs!$B$27+Inputs!$B$29,MAX(0,(Inputs!$B$3-100)*3)+Inputs!$B$28+Inputs!$B$29)))</f>
        <v/>
      </c>
      <c r="E3169">
        <f>INDEX(FactorTable!$B$2:$Y$301, MATCH(ROUND(MIN(300,MAX(1,D3169)),0), FactorTable!$A$2:$A$301,0), Skills!M5+1)</f>
        <v/>
      </c>
      <c r="F3169">
        <f>IF(Skills!N5=TRUE,(Skills!L5/10)*(E3169/1000),Skills!L5/10)+Skills!O5</f>
        <v/>
      </c>
      <c r="G3169">
        <f>Calc!G5</f>
        <v/>
      </c>
      <c r="H3169">
        <f>Calc!H5</f>
        <v/>
      </c>
      <c r="I3169">
        <f>IF(Skills!X5&lt;&gt;"",1+(Skills!X5/10)*(Z3167/1000)/100,1)</f>
        <v/>
      </c>
      <c r="J3169">
        <f>((Inputs!$B$6*(1+Inputs!$B$7/100))+(((Inputs!$B$12*(1+Inputs!$B$13/100))-(Inputs!$B$12*(1+Inputs!$B$13/100)))+0.25*(Inputs!$B$14-Inputs!$B$14))*(1+Inputs!$B$7/100))*(F3169/100)</f>
        <v/>
      </c>
      <c r="K3169">
        <f>J3169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3169)</f>
        <v/>
      </c>
      <c r="L3169">
        <f>K3169*(MIN(Inputs!$B$22+(F3186-Calc!F22),(Inputs!$B$23+(IF(ArtifactsInput!$M$15,CHOOSE(ArtifactsInput!$N$15+1,25,30,35,40,45,50)/100*(Inputs!$B$11-Inputs!$B$11),0))))/100+(Inputs!$B$23+(IF(ArtifactsInput!$M$15,CHOOSE(ArtifactsInput!$N$15+1,25,30,35,40,45,50)/100*(Inputs!$B$11-Inputs!$B$11),0)))/100)/2</f>
        <v/>
      </c>
      <c r="M3169">
        <f>L3169*(1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69">
        <f>L3169*(1-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3169*(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69">
        <f>(1-Summary!$B$11)*S3169+Summary!$B$11*U3169</f>
        <v/>
      </c>
      <c r="P3169">
        <f>IF(B3205=0,0,O3169/B3205)</f>
        <v/>
      </c>
      <c r="Q3169">
        <f>IFERROR(1/(IF(Inputs!$B$38="pvp",15,MAX(0.1,Skills!E5-IF(Skills!F5=TRUE,5.0,0)))*(1-IF(AND(ArtifactsInput!$M$27,Inputs!$B$4="Chapter Hunt"),CHOOSE(ArtifactsInput!$N$27+1,20,24,28,32,36,40),0)/100)),0)</f>
        <v/>
      </c>
      <c r="R3169">
        <f>IF(AND(Inputs!$B$38&lt;&gt;"pvp",Inputs!$B$43&gt;0),IF(MAX(0,Inputs!$B$43-B3202)&lt;=0,0,(INT(MAX(0,Inputs!$B$43-B3202)/(IF(Inputs!$B$38="pvp",15,MAX(0.1,Skills!E5-IF(Skills!F5=TRUE,5.0,0)))*(1-IF(AND(ArtifactsInput!$M$27,Inputs!$B$4="Chapter Hunt"),CHOOSE(ArtifactsInput!$N$27+1,20,24,28,32,36,40),0)/100)))+1)),0)</f>
        <v/>
      </c>
      <c r="S3169">
        <f>IF(C3169,(H3169*N3169*IF(AND(Inputs!$B$38&lt;&gt;"pvp",Inputs!$B$43&gt;0),((Skills!G5*((R3169-1)*IF(Skills!H5&gt;0,Skills!I5/Skills!H5,1)+IF(Skills!H5&gt;0,MIN(Skills!I5,MAX(0,MAX(0,Inputs!$B$43-B3202)-((R3169-1)*(IF(Inputs!$B$38="pvp",15,MAX(0.1,Skills!E5-IF(Skills!F5=TRUE,5.0,0)))*(1-IF(AND(ArtifactsInput!$M$27,Inputs!$B$4="Chapter Hunt"),CHOOSE(ArtifactsInput!$N$27+1,20,24,28,32,36,40),0)/100)))))/Skills!H5,1)))/Inputs!$B$43),G3169*Q3169))*IF(Inputs!$B$38="pvp",1,1+(Inputs!$B$20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3169*(1-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3169*(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3169*(1-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3169*(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69">
        <f>IF(C3169,(H3169*N3169*IF(AND(Inputs!$B$38&lt;&gt;"pvp",Inputs!$B$43&gt;0),((Skills!G5*((R3169-1)*IF(Skills!H5&gt;0,Skills!I5/Skills!H5,1)+IF(Skills!H5&gt;0,MIN(Skills!I5,MAX(0,MAX(0,Inputs!$B$43-B3202)-((R3169-1)*(IF(Inputs!$B$38="pvp",15,MAX(0.1,Skills!E5-IF(Skills!F5=TRUE,5.0,0)))*(1-IF(AND(ArtifactsInput!$M$27,Inputs!$B$4="Chapter Hunt"),CHOOSE(ArtifactsInput!$N$27+1,20,24,28,32,36,40),0)/100)))))/Skills!H5,1)))/Inputs!$B$43),G3169*Q3169))*IF(Inputs!$B$38="pvp",1,(1+(Inputs!$B$21+Skills!Q5+(IF(ArtifactsInput!$M$33,CHOOSE(ArtifactsInput!$N$33+1,30,36,42,48,54,60)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0">
      <c r="A3170">
        <f>Skills!A6</f>
        <v/>
      </c>
      <c r="B3170">
        <f>Skills!B6</f>
        <v/>
      </c>
      <c r="C3170">
        <f>TRUE</f>
        <v/>
      </c>
      <c r="D3170">
        <f>IF(Skills!C6=1,60+Inputs!$B$25+Inputs!$B$29,IF(Skills!C6=2,90+Inputs!$B$26+Inputs!$B$29,IF(Skills!C6=3,120+Inputs!$B$27+Inputs!$B$29,MAX(0,(Inputs!$B$3-100)*3)+Inputs!$B$28+Inputs!$B$29)))</f>
        <v/>
      </c>
      <c r="E3170">
        <f>INDEX(FactorTable!$B$2:$Y$301, MATCH(ROUND(MIN(300,MAX(1,D3170)),0), FactorTable!$A$2:$A$301,0), Skills!M6+1)</f>
        <v/>
      </c>
      <c r="F3170">
        <f>IF(Skills!N6=TRUE,(Skills!L6/10)*(E3170/1000),Skills!L6/10)+Skills!O6</f>
        <v/>
      </c>
      <c r="G3170">
        <f>Calc!G6</f>
        <v/>
      </c>
      <c r="H3170">
        <f>Calc!H6</f>
        <v/>
      </c>
      <c r="I3170">
        <f>IF(Skills!X6&lt;&gt;"",1+(Skills!X6/10)*(Z3167/1000)/100,1)</f>
        <v/>
      </c>
      <c r="J3170" t="inlineStr"/>
      <c r="K3170" t="inlineStr"/>
      <c r="L3170" t="inlineStr"/>
      <c r="M3170" t="inlineStr"/>
      <c r="N3170" t="inlineStr"/>
      <c r="O3170">
        <f>(1-Summary!$B$11)*S3170+Summary!$B$11*U3170</f>
        <v/>
      </c>
      <c r="P3170">
        <f>IF(B3205=0,0,O3170/B3205)</f>
        <v/>
      </c>
      <c r="Q3170">
        <f>IFERROR(1/(IF(Inputs!$B$38="pvp",15,MAX(0.1,Skills!E6-IF(Skills!F6=TRUE,5.0,0)))*(1-IF(AND(ArtifactsInput!$M$27,Inputs!$B$4="Chapter Hunt"),CHOOSE(ArtifactsInput!$N$27+1,20,24,28,32,36,40),0)/100)),0)</f>
        <v/>
      </c>
      <c r="R3170">
        <f>IF(AND(Inputs!$B$38&lt;&gt;"pvp",Inputs!$B$43&gt;0),IF(Inputs!$B$43&lt;=0,0,(INT(Inputs!$B$43/(IF(Inputs!$B$38="pvp",15,MAX(0.1,Skills!E6-IF(Skills!F6=TRUE,5.0,0)))*(1-IF(AND(ArtifactsInput!$M$27,Inputs!$B$4="Chapter Hunt"),CHOOSE(ArtifactsInput!$N$27+1,20,24,28,32,36,40),0)/100)))+1)),0)</f>
        <v/>
      </c>
      <c r="S3170" t="n">
        <v>0</v>
      </c>
      <c r="U3170" t="n">
        <v>0</v>
      </c>
    </row>
    <row r="3171">
      <c r="A3171">
        <f>Skills!A7</f>
        <v/>
      </c>
      <c r="B3171">
        <f>Skills!B7</f>
        <v/>
      </c>
      <c r="C3171">
        <f>TRUE</f>
        <v/>
      </c>
      <c r="D3171">
        <f>IF(Skills!C7=1,60+Inputs!$B$25+Inputs!$B$29,IF(Skills!C7=2,90+Inputs!$B$26+Inputs!$B$29,IF(Skills!C7=3,120+Inputs!$B$27+Inputs!$B$29,MAX(0,(Inputs!$B$3-100)*3)+Inputs!$B$28+Inputs!$B$29)))</f>
        <v/>
      </c>
      <c r="E3171">
        <f>INDEX(FactorTable!$B$2:$Y$301, MATCH(ROUND(MIN(300,MAX(1,D3171)),0), FactorTable!$A$2:$A$301,0), Skills!M7+1)</f>
        <v/>
      </c>
      <c r="F3171">
        <f>IF(Skills!N7=TRUE,(Skills!L7/10)*(E3171/1000),Skills!L7/10)+Skills!O7</f>
        <v/>
      </c>
      <c r="G3171">
        <f>Calc!G7</f>
        <v/>
      </c>
      <c r="H3171">
        <f>Calc!H7</f>
        <v/>
      </c>
      <c r="I3171">
        <f>IF(Skills!X7&lt;&gt;"",1+(Skills!X7/10)*(Z3167/1000)/100,1)</f>
        <v/>
      </c>
      <c r="J3171">
        <f>((Inputs!$B$6*(1+Inputs!$B$7/100))+(((Inputs!$B$12*(1+Inputs!$B$13/100))-(Inputs!$B$12*(1+Inputs!$B$13/100)))+0.25*(Inputs!$B$14-Inputs!$B$14))*(1+Inputs!$B$7/100))*(F3171/100)</f>
        <v/>
      </c>
      <c r="K3171">
        <f>J3171*(1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7="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3171)</f>
        <v/>
      </c>
      <c r="L3171">
        <f>K3171*(MIN(Inputs!$B$22+(F3186-Calc!F22),(Inputs!$B$23+(IF(ArtifactsInput!$M$15,CHOOSE(ArtifactsInput!$N$15+1,25,30,35,40,45,50)/100*(Inputs!$B$11-Inputs!$B$11),0))))/100+(Inputs!$B$23+(IF(ArtifactsInput!$M$15,CHOOSE(ArtifactsInput!$N$15+1,25,30,35,40,45,50)/100*(Inputs!$B$11-Inputs!$B$11),0)))/100)/2</f>
        <v/>
      </c>
      <c r="M3171">
        <f>L3171*(1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1">
        <f>L3171*(1-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1">
        <f>(1-Summary!$B$11)*S3171+Summary!$B$11*U3171</f>
        <v/>
      </c>
      <c r="P3171">
        <f>IF(B3205=0,0,O3171/B3205)</f>
        <v/>
      </c>
      <c r="Q3171">
        <f>IFERROR(1/(IF(Inputs!$B$38="pvp",15,MAX(0.1,Skills!E7-IF(Skills!F7=TRUE,5.0,0)))*(1-IF(AND(ArtifactsInput!$M$27,Inputs!$B$4="Chapter Hunt"),CHOOSE(ArtifactsInput!$N$27+1,20,24,28,32,36,40),0)/100)),0)</f>
        <v/>
      </c>
      <c r="R3171">
        <f>IF(AND(Inputs!$B$38&lt;&gt;"pvp",Inputs!$B$43&gt;0),IF(MAX(0,Inputs!$B$43-B3202)&lt;=0,0,(INT(MAX(0,Inputs!$B$43-B3202)/(IF(Inputs!$B$38="pvp",15,MAX(0.1,Skills!E7-IF(Skills!F7=TRUE,5.0,0)))*(1-IF(AND(ArtifactsInput!$M$27,Inputs!$B$4="Chapter Hunt"),CHOOSE(ArtifactsInput!$N$27+1,20,24,28,32,36,40),0)/100)))+1)),0)</f>
        <v/>
      </c>
      <c r="S3171">
        <f>IF(C3171,(H3171*N3171*IF(AND(Inputs!$B$38&lt;&gt;"pvp",Inputs!$B$43&gt;0),((Skills!G7*((R3171-1)*IF(Skills!H7&gt;0,Skills!I7/Skills!H7,1)+IF(Skills!H7&gt;0,MIN(Skills!I7,MAX(0,MAX(0,Inputs!$B$43-B3202)-((R3171-1)*(IF(Inputs!$B$38="pvp",15,MAX(0.1,Skills!E7-IF(Skills!F7=TRUE,5.0,0)))*(1-IF(AND(ArtifactsInput!$M$27,Inputs!$B$4="Chapter Hunt"),CHOOSE(ArtifactsInput!$N$27+1,20,24,28,32,36,40),0)/100)))))/Skills!H7,1)))/Inputs!$B$43),G3171*Q3171))*IF(Inputs!$B$38="pvp",1,1+(Inputs!$B$20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3171*(1-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3171*(1-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1">
        <f>IF(C3171,(H3171*N3171*IF(AND(Inputs!$B$38&lt;&gt;"pvp",Inputs!$B$43&gt;0),((Skills!G7*((R3171-1)*IF(Skills!H7&gt;0,Skills!I7/Skills!H7,1)+IF(Skills!H7&gt;0,MIN(Skills!I7,MAX(0,MAX(0,Inputs!$B$43-B3202)-((R3171-1)*(IF(Inputs!$B$38="pvp",15,MAX(0.1,Skills!E7-IF(Skills!F7=TRUE,5.0,0)))*(1-IF(AND(ArtifactsInput!$M$27,Inputs!$B$4="Chapter Hunt"),CHOOSE(ArtifactsInput!$N$27+1,20,24,28,32,36,40),0)/100)))))/Skills!H7,1)))/Inputs!$B$43),G3171*Q3171))*IF(Inputs!$B$38="pvp",1,(1+(Inputs!$B$21+Skills!Q7+(IF(ArtifactsInput!$M$33,CHOOSE(ArtifactsInput!$N$33+1,30,36,42,48,54,60)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2">
      <c r="A3172">
        <f>Skills!A8</f>
        <v/>
      </c>
      <c r="B3172">
        <f>Skills!B8</f>
        <v/>
      </c>
      <c r="C3172">
        <f>TRUE</f>
        <v/>
      </c>
      <c r="D3172">
        <f>IF(Skills!C8=1,60+Inputs!$B$25+Inputs!$B$29,IF(Skills!C8=2,90+Inputs!$B$26+Inputs!$B$29,IF(Skills!C8=3,120+Inputs!$B$27+Inputs!$B$29,MAX(0,(Inputs!$B$3-100)*3)+Inputs!$B$28+Inputs!$B$29)))</f>
        <v/>
      </c>
      <c r="E3172">
        <f>INDEX(FactorTable!$B$2:$Y$301, MATCH(ROUND(MIN(300,MAX(1,D3172)),0), FactorTable!$A$2:$A$301,0), Skills!M8+1)</f>
        <v/>
      </c>
      <c r="F3172">
        <f>IF(Skills!N8=TRUE,(Skills!L8/10)*(E3172/1000),Skills!L8/10)+Skills!O8</f>
        <v/>
      </c>
      <c r="G3172">
        <f>Calc!G8</f>
        <v/>
      </c>
      <c r="H3172">
        <f>Calc!H8</f>
        <v/>
      </c>
      <c r="I3172">
        <f>IF(Skills!X8&lt;&gt;"",1+(Skills!X8/10)*(Z3167/1000)/100,1)</f>
        <v/>
      </c>
      <c r="J3172">
        <f>((Inputs!$B$6*(1+Inputs!$B$7/100))+(((Inputs!$B$12*(1+Inputs!$B$13/100))-(Inputs!$B$12*(1+Inputs!$B$13/100)))+0.25*(Inputs!$B$14-Inputs!$B$14))*(1+Inputs!$B$7/100))*(F3172/100)</f>
        <v/>
      </c>
      <c r="K3172">
        <f>J3172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3172)</f>
        <v/>
      </c>
      <c r="L3172">
        <f>K3172*(MIN(Inputs!$B$22+(F3186-Calc!F22),(Inputs!$B$23+(IF(ArtifactsInput!$M$15,CHOOSE(ArtifactsInput!$N$15+1,25,30,35,40,45,50)/100*(Inputs!$B$11-Inputs!$B$11),0))))/100+(Inputs!$B$23+(IF(ArtifactsInput!$M$15,CHOOSE(ArtifactsInput!$N$15+1,25,30,35,40,45,50)/100*(Inputs!$B$11-Inputs!$B$11),0)))/100)/2</f>
        <v/>
      </c>
      <c r="M3172">
        <f>L3172*(1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2">
        <f>L3172*(1-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3172*(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2">
        <f>(1-Summary!$B$11)*S3172+Summary!$B$11*U3172</f>
        <v/>
      </c>
      <c r="P3172">
        <f>IF(B3205=0,0,O3172/B3205)</f>
        <v/>
      </c>
      <c r="Q3172">
        <f>IFERROR(1/(IF(Inputs!$B$38="pvp",15,MAX(0.1,Skills!E8-IF(Skills!F8=TRUE,5.0,0)))*(1-IF(AND(ArtifactsInput!$M$27,Inputs!$B$4="Chapter Hunt"),CHOOSE(ArtifactsInput!$N$27+1,20,24,28,32,36,40),0)/100)),0)</f>
        <v/>
      </c>
      <c r="R3172">
        <f>IF(AND(Inputs!$B$38&lt;&gt;"pvp",Inputs!$B$43&gt;0),IF(MAX(0,Inputs!$B$43-B3202)&lt;=0,0,(INT(MAX(0,Inputs!$B$43-B3202)/(IF(Inputs!$B$38="pvp",15,MAX(0.1,Skills!E8-IF(Skills!F8=TRUE,5.0,0)))*(1-IF(AND(ArtifactsInput!$M$27,Inputs!$B$4="Chapter Hunt"),CHOOSE(ArtifactsInput!$N$27+1,20,24,28,32,36,40),0)/100)))+1)),0)</f>
        <v/>
      </c>
      <c r="S3172">
        <f>IF(C3172,(H3172*N3172*IF(AND(Inputs!$B$38&lt;&gt;"pvp",Inputs!$B$43&gt;0),((Skills!G8*((R3172-1)*IF(Skills!H8&gt;0,Skills!I8/Skills!H8,1)+IF(Skills!H8&gt;0,MIN(Skills!I8,MAX(0,MAX(0,Inputs!$B$43-B3202)-((R3172-1)*(IF(Inputs!$B$38="pvp",15,MAX(0.1,Skills!E8-IF(Skills!F8=TRUE,5.0,0)))*(1-IF(AND(ArtifactsInput!$M$27,Inputs!$B$4="Chapter Hunt"),CHOOSE(ArtifactsInput!$N$27+1,20,24,28,32,36,40),0)/100)))))/Skills!H8,1)))/Inputs!$B$43),G3172*Q3172))*IF(Inputs!$B$38="pvp",1,1+(Inputs!$B$20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3172*(1-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3172*(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3172*(1-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3172*(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2">
        <f>IF(C3172,(H3172*N3172*IF(AND(Inputs!$B$38&lt;&gt;"pvp",Inputs!$B$43&gt;0),((Skills!G8*((R3172-1)*IF(Skills!H8&gt;0,Skills!I8/Skills!H8,1)+IF(Skills!H8&gt;0,MIN(Skills!I8,MAX(0,MAX(0,Inputs!$B$43-B3202)-((R3172-1)*(IF(Inputs!$B$38="pvp",15,MAX(0.1,Skills!E8-IF(Skills!F8=TRUE,5.0,0)))*(1-IF(AND(ArtifactsInput!$M$27,Inputs!$B$4="Chapter Hunt"),CHOOSE(ArtifactsInput!$N$27+1,20,24,28,32,36,40),0)/100)))))/Skills!H8,1)))/Inputs!$B$43),G3172*Q3172))*IF(Inputs!$B$38="pvp",1,(1+(Inputs!$B$21+Skills!Q8+(IF(ArtifactsInput!$M$33,CHOOSE(ArtifactsInput!$N$33+1,30,36,42,48,54,60),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3">
      <c r="A3173">
        <f>Skills!A9</f>
        <v/>
      </c>
      <c r="B3173">
        <f>Skills!B9</f>
        <v/>
      </c>
      <c r="C3173">
        <f>Inputs!$B$3&gt;=103</f>
        <v/>
      </c>
      <c r="D3173">
        <f>IF(Skills!C9=1,60+Inputs!$B$25+Inputs!$B$29,IF(Skills!C9=2,90+Inputs!$B$26+Inputs!$B$29,IF(Skills!C9=3,120+Inputs!$B$27+Inputs!$B$29,MAX(0,(Inputs!$B$3-100)*3)+Inputs!$B$28+Inputs!$B$29)))</f>
        <v/>
      </c>
      <c r="E3173">
        <f>INDEX(FactorTable!$B$2:$Y$301, MATCH(ROUND(MIN(300,MAX(1,D3173)),0), FactorTable!$A$2:$A$301,0), Skills!M9+1)</f>
        <v/>
      </c>
      <c r="F3173">
        <f>IF(Skills!N9=TRUE,(Skills!L9/10)*(E3173/1000),Skills!L9/10)+Skills!O9</f>
        <v/>
      </c>
      <c r="G3173">
        <f>Calc!G9</f>
        <v/>
      </c>
      <c r="H3173">
        <f>Calc!H9</f>
        <v/>
      </c>
      <c r="I3173">
        <f>IF(Skills!X9&lt;&gt;"",1+(Skills!X9/10)*(Z3167/1000)/100,1)</f>
        <v/>
      </c>
      <c r="J3173">
        <f>((Inputs!$B$6*(1+Inputs!$B$7/100))+(((Inputs!$B$12*(1+Inputs!$B$13/100))-(Inputs!$B$12*(1+Inputs!$B$13/100)))+0.25*(Inputs!$B$14-Inputs!$B$14))*(1+Inputs!$B$7/100))*(F3173/100)</f>
        <v/>
      </c>
      <c r="K3173">
        <f>J3173*(1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9="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3173)</f>
        <v/>
      </c>
      <c r="L3173">
        <f>K3173*(MIN(Inputs!$B$22+(F3186-Calc!F22),(Inputs!$B$23+(IF(ArtifactsInput!$M$15,CHOOSE(ArtifactsInput!$N$15+1,25,30,35,40,45,50)/100*(Inputs!$B$11-Inputs!$B$11),0))))/100+(Inputs!$B$23+(IF(ArtifactsInput!$M$15,CHOOSE(ArtifactsInput!$N$15+1,25,30,35,40,45,50)/100*(Inputs!$B$11-Inputs!$B$11),0)))/100)/2</f>
        <v/>
      </c>
      <c r="M3173">
        <f>L3173*(1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3">
        <f>L3173*(1-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3173*(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3">
        <f>(1-Summary!$B$11)*S3173+Summary!$B$11*U3173</f>
        <v/>
      </c>
      <c r="P3173">
        <f>IF(B3205=0,0,O3173/B3205)</f>
        <v/>
      </c>
      <c r="Q3173">
        <f>IFERROR(1/(IF(Inputs!$B$38="pvp",15,MAX(0.1,Skills!E9-IF(Skills!F7=TRUE,5.0,0)))*(1-IF(AND(ArtifactsInput!$M$27,Inputs!$B$4="Chapter Hunt"),CHOOSE(ArtifactsInput!$N$27+1,20,24,28,32,36,40),0)/100)),0)</f>
        <v/>
      </c>
      <c r="R3173">
        <f>IF(AND(Inputs!$B$38&lt;&gt;"pvp",Inputs!$B$43&gt;0),IF(MAX(0,Inputs!$B$43-B3202)&lt;=0,0,(INT(MAX(0,Inputs!$B$43-B3202)/(IF(Inputs!$B$38="pvp",15,MAX(0.1,Skills!E9-IF(Skills!F7=TRUE,5.0,0)))*(1-IF(AND(ArtifactsInput!$M$27,Inputs!$B$4="Chapter Hunt"),CHOOSE(ArtifactsInput!$N$27+1,20,24,28,32,36,40),0)/100)))+1)),0)</f>
        <v/>
      </c>
      <c r="S3173">
        <f>IF(C3173,(H3173*N3173*IF(AND(Inputs!$B$38&lt;&gt;"pvp",Inputs!$B$43&gt;0),((Skills!G9*((R3173-1)*IF(Skills!H9&gt;0,Skills!I9/Skills!H9,1)+IF(Skills!H9&gt;0,MIN(Skills!I9,MAX(0,MAX(0,Inputs!$B$43-B3202)-((R3173-1)*(IF(Inputs!$B$38="pvp",15,MAX(0.1,Skills!E9-IF(Skills!F7=TRUE,5.0,0)))*(1-IF(AND(ArtifactsInput!$M$27,Inputs!$B$4="Chapter Hunt"),CHOOSE(ArtifactsInput!$N$27+1,20,24,28,32,36,40),0)/100)))))/Skills!H9,1)))/Inputs!$B$43),G3173*Q3173))*IF(Inputs!$B$38="pvp",1,1+(Inputs!$B$20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3173*(1-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3173*(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3173*(1-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3173*(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3">
        <f>IF(C3173,(H3173*N3173*IF(AND(Inputs!$B$38&lt;&gt;"pvp",Inputs!$B$43&gt;0),((Skills!G9*((R3173-1)*IF(Skills!H9&gt;0,Skills!I9/Skills!H9,1)+IF(Skills!H9&gt;0,MIN(Skills!I9,MAX(0,MAX(0,Inputs!$B$43-B3202)-((R3173-1)*(IF(Inputs!$B$38="pvp",15,MAX(0.1,Skills!E9-IF(Skills!F7=TRUE,5.0,0)))*(1-IF(AND(ArtifactsInput!$M$27,Inputs!$B$4="Chapter Hunt"),CHOOSE(ArtifactsInput!$N$27+1,20,24,28,32,36,40),0)/100)))))/Skills!H9,1)))/Inputs!$B$43),G3173*Q3173))*IF(Inputs!$B$38="pvp",1,(1+(Inputs!$B$21+Skills!Q9+(IF(ArtifactsInput!$M$33,CHOOSE(ArtifactsInput!$N$33+1,30,36,42,48,54,60)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4">
      <c r="A3174">
        <f>Skills!A10</f>
        <v/>
      </c>
      <c r="B3174">
        <f>Skills!B10</f>
        <v/>
      </c>
      <c r="C3174">
        <f>TRUE</f>
        <v/>
      </c>
      <c r="D3174">
        <f>IF(Skills!C10=1,60+Inputs!$B$25+Inputs!$B$29,IF(Skills!C10=2,90+Inputs!$B$26+Inputs!$B$29,IF(Skills!C10=3,120+Inputs!$B$27+Inputs!$B$29,MAX(0,(Inputs!$B$3-100)*3)+Inputs!$B$28+Inputs!$B$29)))</f>
        <v/>
      </c>
      <c r="E3174">
        <f>INDEX(FactorTable!$B$2:$Y$301, MATCH(ROUND(MIN(300,MAX(1,D3174)),0), FactorTable!$A$2:$A$301,0), Skills!M10+1)</f>
        <v/>
      </c>
      <c r="F3174">
        <f>IF(Skills!N10=TRUE,(Skills!L10/10)*(E3174/1000),Skills!L10/10)+Skills!O10</f>
        <v/>
      </c>
      <c r="G3174">
        <f>Calc!G10</f>
        <v/>
      </c>
      <c r="H3174">
        <f>Calc!H10</f>
        <v/>
      </c>
      <c r="I3174">
        <f>IF(Skills!X10&lt;&gt;"",1+(Skills!X10/10)*(Z3167/1000)/100,1)</f>
        <v/>
      </c>
      <c r="J3174">
        <f>((Inputs!$B$6*(1+Inputs!$B$7/100))+(((Inputs!$B$12*(1+Inputs!$B$13/100))-(Inputs!$B$12*(1+Inputs!$B$13/100)))+0.25*(Inputs!$B$14-Inputs!$B$14))*(1+Inputs!$B$7/100))*(F3174/100)</f>
        <v/>
      </c>
      <c r="K3174">
        <f>J3174*(1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10="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3174)</f>
        <v/>
      </c>
      <c r="L3174">
        <f>K3174*(MIN(Inputs!$B$22+(F3186-Calc!F22),(Inputs!$B$23+(IF(ArtifactsInput!$M$15,CHOOSE(ArtifactsInput!$N$15+1,25,30,35,40,45,50)/100*(Inputs!$B$11-Inputs!$B$11),0))))/100+(Inputs!$B$23+(IF(ArtifactsInput!$M$15,CHOOSE(ArtifactsInput!$N$15+1,25,30,35,40,45,50)/100*(Inputs!$B$11-Inputs!$B$11),0)))/100)/2</f>
        <v/>
      </c>
      <c r="M3174">
        <f>L3174*(1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4">
        <f>L3174*(1-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3174*(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4">
        <f>(1-Summary!$B$11)*S3174+Summary!$B$11*U3174</f>
        <v/>
      </c>
      <c r="P3174">
        <f>IF(B3205=0,0,O3174/B3205)</f>
        <v/>
      </c>
      <c r="Q3174">
        <f>IFERROR(1/(IF(Inputs!$B$38="pvp",15,MAX(0.1,Skills!E10-IF(Skills!F10=TRUE,5.0,0)))*(1-IF(AND(ArtifactsInput!$M$27,Inputs!$B$4="Chapter Hunt"),CHOOSE(ArtifactsInput!$N$27+1,20,24,28,32,36,40),0)/100)),0)</f>
        <v/>
      </c>
      <c r="R3174">
        <f>IF(AND(Inputs!$B$38&lt;&gt;"pvp",Inputs!$B$43&gt;0),IF(MAX(0,Inputs!$B$43-B3202)&lt;=0,0,(INT(MAX(0,Inputs!$B$43-B3202)/(IF(Inputs!$B$38="pvp",15,MAX(0.1,Skills!E10-IF(Skills!F10=TRUE,5.0,0)))*(1-IF(AND(ArtifactsInput!$M$27,Inputs!$B$4="Chapter Hunt"),CHOOSE(ArtifactsInput!$N$27+1,20,24,28,32,36,40),0)/100)))+1)),0)</f>
        <v/>
      </c>
      <c r="S3174">
        <f>IF(C3174,(H3174*N3174*IF(AND(Inputs!$B$38&lt;&gt;"pvp",Inputs!$B$43&gt;0),((Skills!G10*((R3174-1)*IF(Skills!H10&gt;0,Skills!I10/Skills!H10,1)+IF(Skills!H10&gt;0,MIN(Skills!I10,MAX(0,MAX(0,Inputs!$B$43-B3202)-((R3174-1)*(IF(Inputs!$B$38="pvp",15,MAX(0.1,Skills!E10-IF(Skills!F10=TRUE,5.0,0)))*(1-IF(AND(ArtifactsInput!$M$27,Inputs!$B$4="Chapter Hunt"),CHOOSE(ArtifactsInput!$N$27+1,20,24,28,32,36,40),0)/100)))))/Skills!H10,1)))/Inputs!$B$43),G3174*Q3174))*IF(Inputs!$B$38="pvp",1,1+(Inputs!$B$20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3174*(1-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3174*(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3174*(1-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3174*(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4">
        <f>IF(C3174,(H3174*N3174*IF(AND(Inputs!$B$38&lt;&gt;"pvp",Inputs!$B$43&gt;0),((Skills!G10*((R3174-1)*IF(Skills!H10&gt;0,Skills!I10/Skills!H10,1)+IF(Skills!H10&gt;0,MIN(Skills!I10,MAX(0,MAX(0,Inputs!$B$43-B3202)-((R3174-1)*(IF(Inputs!$B$38="pvp",15,MAX(0.1,Skills!E10-IF(Skills!F10=TRUE,5.0,0)))*(1-IF(AND(ArtifactsInput!$M$27,Inputs!$B$4="Chapter Hunt"),CHOOSE(ArtifactsInput!$N$27+1,20,24,28,32,36,40),0)/100)))))/Skills!H10,1)))/Inputs!$B$43),G3174*Q3174))*IF(Inputs!$B$38="pvp",1,(1+(Inputs!$B$21+Skills!Q10+(IF(ArtifactsInput!$M$33,CHOOSE(ArtifactsInput!$N$33+1,30,36,42,48,54,60)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5">
      <c r="A3175">
        <f>Skills!A11</f>
        <v/>
      </c>
      <c r="B3175">
        <f>Skills!B11</f>
        <v/>
      </c>
      <c r="C3175">
        <f>TRUE</f>
        <v/>
      </c>
      <c r="D3175">
        <f>IF(Skills!C11=1,60+Inputs!$B$25+Inputs!$B$29,IF(Skills!C11=2,90+Inputs!$B$26+Inputs!$B$29,IF(Skills!C11=3,120+Inputs!$B$27+Inputs!$B$29,MAX(0,(Inputs!$B$3-100)*3)+Inputs!$B$28+Inputs!$B$29)))</f>
        <v/>
      </c>
      <c r="E3175">
        <f>INDEX(FactorTable!$B$2:$Y$301, MATCH(ROUND(MIN(300,MAX(1,D3175)),0), FactorTable!$A$2:$A$301,0), Skills!M11+1)</f>
        <v/>
      </c>
      <c r="F3175">
        <f>IF(Skills!N11=TRUE,(Skills!L11/10)*(E3175/1000),Skills!L11/10)+Skills!O11</f>
        <v/>
      </c>
      <c r="G3175">
        <f>Calc!G11</f>
        <v/>
      </c>
      <c r="H3175">
        <f>Calc!H11</f>
        <v/>
      </c>
      <c r="I3175">
        <f>IF(Skills!X11&lt;&gt;"",1+(Skills!X11/10)*(Z3167/1000)/100,1)</f>
        <v/>
      </c>
      <c r="J3175" t="inlineStr"/>
      <c r="K3175" t="inlineStr"/>
      <c r="L3175" t="inlineStr"/>
      <c r="M3175" t="inlineStr"/>
      <c r="N3175" t="inlineStr"/>
      <c r="O3175">
        <f>(1-Summary!$B$11)*S3175+Summary!$B$11*U3175</f>
        <v/>
      </c>
      <c r="P3175">
        <f>IF(B3205=0,0,O3175/B3205)</f>
        <v/>
      </c>
      <c r="Q3175">
        <f>IFERROR(1/(IF(Inputs!$B$38="pvp",15,MAX(0.1,Skills!E11-IF(Skills!F11=TRUE,5.0,0)))*(1-IF(AND(ArtifactsInput!$M$27,Inputs!$B$4="Chapter Hunt"),CHOOSE(ArtifactsInput!$N$27+1,20,24,28,32,36,40),0)/100)),0)</f>
        <v/>
      </c>
      <c r="R3175" t="n">
        <v>0</v>
      </c>
      <c r="S3175" t="n">
        <v>0</v>
      </c>
      <c r="U3175" t="n">
        <v>0</v>
      </c>
    </row>
    <row r="3176">
      <c r="A3176">
        <f>Skills!A12</f>
        <v/>
      </c>
      <c r="B3176">
        <f>Skills!B12</f>
        <v/>
      </c>
      <c r="C3176">
        <f>TRUE</f>
        <v/>
      </c>
      <c r="D3176">
        <f>IF(Skills!C12=1,60+Inputs!$B$25+Inputs!$B$29,IF(Skills!C12=2,90+Inputs!$B$26+Inputs!$B$29,IF(Skills!C12=3,120+Inputs!$B$27+Inputs!$B$29,MAX(0,(Inputs!$B$3-100)*3)+Inputs!$B$28+Inputs!$B$29)))</f>
        <v/>
      </c>
      <c r="E3176">
        <f>INDEX(FactorTable!$B$2:$Y$301, MATCH(ROUND(MIN(300,MAX(1,D3176)),0), FactorTable!$A$2:$A$301,0), Skills!M12+1)</f>
        <v/>
      </c>
      <c r="F3176">
        <f>IF(Skills!N12=TRUE,(Skills!L12/10)*(E3176/1000),Skills!L12/10)+Skills!O12</f>
        <v/>
      </c>
      <c r="G3176">
        <f>Calc!G12</f>
        <v/>
      </c>
      <c r="H3176">
        <f>Calc!H12</f>
        <v/>
      </c>
      <c r="I3176">
        <f>IF(Skills!X12&lt;&gt;"",1+(Skills!X12/10)*(Z3167/1000)/100,1)</f>
        <v/>
      </c>
      <c r="J3176" t="inlineStr"/>
      <c r="K3176" t="inlineStr"/>
      <c r="L3176" t="inlineStr"/>
      <c r="M3176" t="inlineStr"/>
      <c r="N3176" t="inlineStr"/>
      <c r="O3176">
        <f>(1-Summary!$B$11)*S3176+Summary!$B$11*U3176</f>
        <v/>
      </c>
      <c r="P3176">
        <f>IF(B3205=0,0,O3176/B3205)</f>
        <v/>
      </c>
      <c r="Q3176">
        <f>IFERROR(1/(IF(Inputs!$B$38="pvp",15,MAX(0.1,Skills!E12-IF(Skills!F12=TRUE,5.0,0)))*(1-IF(AND(ArtifactsInput!$M$27,Inputs!$B$4="Chapter Hunt"),CHOOSE(ArtifactsInput!$N$27+1,20,24,28,32,36,40),0)/100)),0)</f>
        <v/>
      </c>
      <c r="R3176" t="n">
        <v>0</v>
      </c>
      <c r="S3176" t="n">
        <v>0</v>
      </c>
      <c r="U3176" t="n">
        <v>0</v>
      </c>
    </row>
    <row r="3177">
      <c r="A3177">
        <f>Skills!A13</f>
        <v/>
      </c>
      <c r="B3177">
        <f>Skills!B13</f>
        <v/>
      </c>
      <c r="C3177">
        <f>Inputs!$B$3&gt;=105</f>
        <v/>
      </c>
      <c r="D3177">
        <f>IF(Skills!C13=1,60+Inputs!$B$25+Inputs!$B$29,IF(Skills!C13=2,90+Inputs!$B$26+Inputs!$B$29,IF(Skills!C13=3,120+Inputs!$B$27+Inputs!$B$29,MAX(0,(Inputs!$B$3-100)*3)+Inputs!$B$28+Inputs!$B$29)))</f>
        <v/>
      </c>
      <c r="E3177">
        <f>INDEX(FactorTable!$B$2:$Y$301, MATCH(ROUND(MIN(300,MAX(1,D3177)),0), FactorTable!$A$2:$A$301,0), Skills!M13+1)</f>
        <v/>
      </c>
      <c r="F3177">
        <f>IF(Skills!N13=TRUE,(Skills!L13/10)*(E3177/1000),Skills!L13/10)+Skills!O13</f>
        <v/>
      </c>
      <c r="G3177">
        <f>Calc!G13</f>
        <v/>
      </c>
      <c r="H3177">
        <f>Calc!H13</f>
        <v/>
      </c>
      <c r="I3177">
        <f>IF(Skills!X13&lt;&gt;"",1+(Skills!X13/10)*(Z3167/1000)/100,1)</f>
        <v/>
      </c>
      <c r="J3177">
        <f>((Inputs!$B$6*(1+Inputs!$B$7/100))+(((Inputs!$B$12*(1+Inputs!$B$13/100))-(Inputs!$B$12*(1+Inputs!$B$13/100)))+0.25*(Inputs!$B$14-Inputs!$B$14))*(1+Inputs!$B$7/100))*(F3177/100)</f>
        <v/>
      </c>
      <c r="K3177">
        <f>J3177*(1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13="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3177)</f>
        <v/>
      </c>
      <c r="L3177">
        <f>K3177*(MIN(Inputs!$B$22+(F3186-Calc!F22),(Inputs!$B$23+(IF(ArtifactsInput!$M$15,CHOOSE(ArtifactsInput!$N$15+1,25,30,35,40,45,50)/100*(Inputs!$B$11-Inputs!$B$11),0))))/100+(Inputs!$B$23+(IF(ArtifactsInput!$M$15,CHOOSE(ArtifactsInput!$N$15+1,25,30,35,40,45,50)/100*(Inputs!$B$11-Inputs!$B$11),0)))/100)/2</f>
        <v/>
      </c>
      <c r="M3177">
        <f>L3177*(1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7">
        <f>L3177*(1-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3177*(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7">
        <f>(1-Summary!$B$11)*S3177+Summary!$B$11*U3177</f>
        <v/>
      </c>
      <c r="P3177">
        <f>IF(B3205=0,0,O3177/B3205)</f>
        <v/>
      </c>
      <c r="Q3177">
        <f>IFERROR(1/(IF(Inputs!$B$38="pvp",15,MAX(0.1,Skills!E13-IF(Skills!F13=TRUE,5.0,0)))*(1-IF(AND(ArtifactsInput!$M$27,Inputs!$B$4="Chapter Hunt"),CHOOSE(ArtifactsInput!$N$27+1,20,24,28,32,36,40),0)/100)),0)</f>
        <v/>
      </c>
      <c r="R3177">
        <f>IF(AND(Inputs!$B$38&lt;&gt;"pvp",Inputs!$B$43&gt;0),IF(MAX(0,Inputs!$B$43-B3202)&lt;=0,0,(INT(MAX(0,Inputs!$B$43-B3202)/(IF(Inputs!$B$38="pvp",15,MAX(0.1,Skills!E13-IF(Skills!F13=TRUE,5.0,0)))*(1-IF(AND(ArtifactsInput!$M$27,Inputs!$B$4="Chapter Hunt"),CHOOSE(ArtifactsInput!$N$27+1,20,24,28,32,36,40),0)/100)))+1)),0)</f>
        <v/>
      </c>
      <c r="S3177">
        <f>IF(C3177,(H3177*N3177*IF(AND(Inputs!$B$38&lt;&gt;"pvp",Inputs!$B$43&gt;0),((Skills!G13*((R3177-1)*IF(Skills!H13&gt;0,Skills!I13/Skills!H13,1)+IF(Skills!H13&gt;0,MIN(Skills!I13,MAX(0,MAX(0,Inputs!$B$43-B3202)-((R3177-1)*(IF(Inputs!$B$38="pvp",15,MAX(0.1,Skills!E13-IF(Skills!F13=TRUE,5.0,0)))*(1-IF(AND(ArtifactsInput!$M$27,Inputs!$B$4="Chapter Hunt"),CHOOSE(ArtifactsInput!$N$27+1,20,24,28,32,36,40),0)/100)))))/Skills!H13,1)))/Inputs!$B$43),G3177*Q3177))*IF(Inputs!$B$38="pvp",1,1+(Inputs!$B$20+Skills!P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3177*(1-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3177*(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3177*(1-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3177*(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7">
        <f>IF(C3177,(H3177*N3177*IF(AND(Inputs!$B$38&lt;&gt;"pvp",Inputs!$B$43&gt;0),((Skills!G13*((R3177-1)*IF(Skills!H13&gt;0,Skills!I13/Skills!H13,1)+IF(Skills!H13&gt;0,MIN(Skills!I13,MAX(0,MAX(0,Inputs!$B$43-B3202)-((R3177-1)*(IF(Inputs!$B$38="pvp",15,MAX(0.1,Skills!E13-IF(Skills!F13=TRUE,5.0,0)))*(1-IF(AND(ArtifactsInput!$M$27,Inputs!$B$4="Chapter Hunt"),CHOOSE(ArtifactsInput!$N$27+1,20,24,28,32,36,40),0)/100)))))/Skills!H13,1)))/Inputs!$B$43),G3177*Q3177))*IF(Inputs!$B$38="pvp",1,(1+(Inputs!$B$21+Skills!Q13+(IF(ArtifactsInput!$M$33,CHOOSE(ArtifactsInput!$N$33+1,30,36,42,48,54,60),0)))/100)*(MIN(Skills!R13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8">
      <c r="A3178">
        <f>Skills!A14</f>
        <v/>
      </c>
      <c r="B3178">
        <f>Skills!B14</f>
        <v/>
      </c>
      <c r="C3178">
        <f>Inputs!$B$3&gt;=113</f>
        <v/>
      </c>
      <c r="D3178">
        <f>IF(Skills!C14=1,60+Inputs!$B$25+Inputs!$B$29,IF(Skills!C14=2,90+Inputs!$B$26+Inputs!$B$29,IF(Skills!C14=3,120+Inputs!$B$27+Inputs!$B$29,MAX(0,(Inputs!$B$3-100)*3)+Inputs!$B$28+Inputs!$B$29)))</f>
        <v/>
      </c>
      <c r="E3178">
        <f>INDEX(FactorTable!$B$2:$Y$301, MATCH(ROUND(MIN(300,MAX(1,D3178)),0), FactorTable!$A$2:$A$301,0), Skills!M14+1)</f>
        <v/>
      </c>
      <c r="F3178">
        <f>IF(Skills!N14=TRUE,(Skills!L14/10)*(E3178/1000),Skills!L14/10)+Skills!O14</f>
        <v/>
      </c>
      <c r="G3178">
        <f>Calc!G14</f>
        <v/>
      </c>
      <c r="H3178">
        <f>Calc!H14</f>
        <v/>
      </c>
      <c r="I3178">
        <f>IF(Skills!X14&lt;&gt;"",1+(Skills!X14/10)*(Z3167/1000)/100,1)</f>
        <v/>
      </c>
      <c r="J3178">
        <f>((Inputs!$B$6*(1+Inputs!$B$7/100))+(((Inputs!$B$12*(1+Inputs!$B$13/100))-(Inputs!$B$12*(1+Inputs!$B$13/100)))+0.25*(Inputs!$B$14-Inputs!$B$14))*(1+Inputs!$B$7/100))*(F3178/100)</f>
        <v/>
      </c>
      <c r="K3178">
        <f>J3178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14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3178)</f>
        <v/>
      </c>
      <c r="L3178">
        <f>K3178*(MIN(Inputs!$B$22+(F3186-Calc!F22),(Inputs!$B$23+(IF(ArtifactsInput!$M$15,CHOOSE(ArtifactsInput!$N$15+1,25,30,35,40,45,50)/100*(Inputs!$B$11-Inputs!$B$11),0))))/100+(Inputs!$B$23+(IF(ArtifactsInput!$M$15,CHOOSE(ArtifactsInput!$N$15+1,25,30,35,40,45,50)/100*(Inputs!$B$11-Inputs!$B$11),0)))/100)/2</f>
        <v/>
      </c>
      <c r="M3178">
        <f>L3178*(1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8">
        <f>L3178*(1-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3178*(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8">
        <f>(1-Summary!$B$11)*S3178+Summary!$B$11*U3178</f>
        <v/>
      </c>
      <c r="P3178">
        <f>IF(B3205=0,0,O3178/B3205)</f>
        <v/>
      </c>
      <c r="Q3178">
        <f>IFERROR(1/(IF(Inputs!$B$38="pvp",15,MAX(0.1,Skills!E14-IF(Skills!F14=TRUE,5.0,0)))*(1-IF(AND(ArtifactsInput!$M$27,Inputs!$B$4="Chapter Hunt"),CHOOSE(ArtifactsInput!$N$27+1,20,24,28,32,36,40),0)/100)),0)</f>
        <v/>
      </c>
      <c r="R3178" t="n">
        <v>0</v>
      </c>
      <c r="S3178">
        <f>IF(C3178,((H3178*B3201)/(1+Skills!H14*H3178*B3201)*N3178)*IF(Inputs!$B$38="pvp",1,1+(Inputs!$B$20+Skills!P14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3178*(1-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3178*(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3178*(1-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3178*(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8">
        <f>IF(C3178,((H3178*B3201)/(1+Skills!H14*H3178*B3201)*N3178)*IF(Inputs!$B$38="pvp",1,(1+(Inputs!$B$21+Skills!Q14+(IF(ArtifactsInput!$M$33,CHOOSE(ArtifactsInput!$N$33+1,30,36,42,48,54,60),0)))/100)*(MIN(Skills!R14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9">
      <c r="A3179">
        <f>Skills!A15</f>
        <v/>
      </c>
      <c r="B3179">
        <f>Skills!B15</f>
        <v/>
      </c>
      <c r="C3179">
        <f>Inputs!$B$3&gt;=107</f>
        <v/>
      </c>
      <c r="D3179">
        <f>IF(Skills!C15=1,60+Inputs!$B$25+Inputs!$B$29,IF(Skills!C15=2,90+Inputs!$B$26+Inputs!$B$29,IF(Skills!C15=3,120+Inputs!$B$27+Inputs!$B$29,MAX(0,(Inputs!$B$3-100)*3)+Inputs!$B$28+Inputs!$B$29)))</f>
        <v/>
      </c>
      <c r="E3179">
        <f>INDEX(FactorTable!$B$2:$Y$301, MATCH(ROUND(MIN(300,MAX(1,D3179)),0), FactorTable!$A$2:$A$301,0), Skills!M15+1)</f>
        <v/>
      </c>
      <c r="F3179">
        <f>IF(Skills!N15=TRUE,(Skills!L15/10)*(E3179/1000),Skills!L15/10)+Skills!O15</f>
        <v/>
      </c>
      <c r="G3179">
        <f>Calc!G15</f>
        <v/>
      </c>
      <c r="H3179">
        <f>Calc!H15</f>
        <v/>
      </c>
      <c r="I3179">
        <f>IF(Skills!X15&lt;&gt;"",1+(Skills!X15/10)*(Z3167/1000)/100,1)</f>
        <v/>
      </c>
      <c r="J3179">
        <f>((Inputs!$B$6*(1+Inputs!$B$7/100))+(((Inputs!$B$12*(1+Inputs!$B$13/100))-(Inputs!$B$12*(1+Inputs!$B$13/100)))+0.25*(Inputs!$B$14-Inputs!$B$14))*(1+Inputs!$B$7/100))*(F3179/100)</f>
        <v/>
      </c>
      <c r="K3179">
        <f>J3179*(1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15="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3179)</f>
        <v/>
      </c>
      <c r="L3179">
        <f>K3179*(MIN(Inputs!$B$22+(F3186-Calc!F22),(Inputs!$B$23+(IF(ArtifactsInput!$M$15,CHOOSE(ArtifactsInput!$N$15+1,25,30,35,40,45,50)/100*(Inputs!$B$11-Inputs!$B$11),0))))/100+(Inputs!$B$23+(IF(ArtifactsInput!$M$15,CHOOSE(ArtifactsInput!$N$15+1,25,30,35,40,45,50)/100*(Inputs!$B$11-Inputs!$B$11),0)))/100)/2</f>
        <v/>
      </c>
      <c r="M3179">
        <f>L3179*(1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9">
        <f>L3179*(1-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3179*(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9">
        <f>(1-Summary!$B$11)*S3179+Summary!$B$11*U3179</f>
        <v/>
      </c>
      <c r="P3179">
        <f>IF(B3205=0,0,O3179/B3205)</f>
        <v/>
      </c>
      <c r="Q3179">
        <f>IFERROR(1/(IF(Inputs!$B$38="pvp",15,MAX(0.1,Skills!E15-IF(Skills!F15=TRUE,5.0,0)))*(1-IF(AND(ArtifactsInput!$M$27,Inputs!$B$4="Chapter Hunt"),CHOOSE(ArtifactsInput!$N$27+1,20,24,28,32,36,40),0)/100)),0)</f>
        <v/>
      </c>
      <c r="R3179">
        <f>IF(AND(Inputs!$B$38&lt;&gt;"pvp",Inputs!$B$43&gt;0),IF(MAX(0,Inputs!$B$43-B3202)&lt;=0,0,(INT(MAX(0,Inputs!$B$43-B3202)/(IF(Inputs!$B$38="pvp",15,MAX(0.1,Skills!E15-IF(Skills!F15=TRUE,5.0,0)))*(1-IF(AND(ArtifactsInput!$M$27,Inputs!$B$4="Chapter Hunt"),CHOOSE(ArtifactsInput!$N$27+1,20,24,28,32,36,40),0)/100)))+1)),0)</f>
        <v/>
      </c>
      <c r="S3179">
        <f>IF(C3179,(H3179*N3179*IF(AND(Inputs!$B$38&lt;&gt;"pvp",Inputs!$B$43&gt;0),((Skills!G15*((R3179-1)*IF(Skills!H15&gt;0,Skills!I15/Skills!H15,1)+IF(Skills!H15&gt;0,MIN(Skills!I15,MAX(0,MAX(0,Inputs!$B$43-B3202)-((R3179-1)*(IF(Inputs!$B$38="pvp",15,MAX(0.1,Skills!E15-IF(Skills!F15=TRUE,5.0,0)))*(1-IF(AND(ArtifactsInput!$M$27,Inputs!$B$4="Chapter Hunt"),CHOOSE(ArtifactsInput!$N$27+1,20,24,28,32,36,40),0)/100)))))/Skills!H15,1)))/Inputs!$B$43),G3179*Q3179))*IF(Inputs!$B$38="pvp",1,1+(Inputs!$B$20+Skills!P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3179*(1-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3179*(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3179*(1-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3179*(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79">
        <f>IF(C3179,(H3179*N3179*IF(AND(Inputs!$B$38&lt;&gt;"pvp",Inputs!$B$43&gt;0),((Skills!G15*((R3179-1)*IF(Skills!H15&gt;0,Skills!I15/Skills!H15,1)+IF(Skills!H15&gt;0,MIN(Skills!I15,MAX(0,MAX(0,Inputs!$B$43-B3202)-((R3179-1)*(IF(Inputs!$B$38="pvp",15,MAX(0.1,Skills!E15-IF(Skills!F15=TRUE,5.0,0)))*(1-IF(AND(ArtifactsInput!$M$27,Inputs!$B$4="Chapter Hunt"),CHOOSE(ArtifactsInput!$N$27+1,20,24,28,32,36,40),0)/100)))))/Skills!H15,1)))/Inputs!$B$43),G3179*Q3179))*IF(Inputs!$B$38="pvp",1,(1+(Inputs!$B$21+Skills!Q15+(IF(ArtifactsInput!$M$33,CHOOSE(ArtifactsInput!$N$33+1,30,36,42,48,54,60),0)))/100)*(MIN(Skills!R15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80">
      <c r="A3180">
        <f>Skills!A16</f>
        <v/>
      </c>
      <c r="B3180">
        <f>Skills!B16</f>
        <v/>
      </c>
      <c r="C3180">
        <f>Inputs!$B$3&gt;=107</f>
        <v/>
      </c>
      <c r="D3180">
        <f>IF(Skills!C16=1,60+Inputs!$B$25+Inputs!$B$29,IF(Skills!C16=2,90+Inputs!$B$26+Inputs!$B$29,IF(Skills!C16=3,120+Inputs!$B$27+Inputs!$B$29,MAX(0,(Inputs!$B$3-100)*3)+Inputs!$B$28+Inputs!$B$29)))</f>
        <v/>
      </c>
      <c r="E3180">
        <f>INDEX(FactorTable!$B$2:$Y$301, MATCH(ROUND(MIN(300,MAX(1,D3180)),0), FactorTable!$A$2:$A$301,0), Skills!M16+1)</f>
        <v/>
      </c>
      <c r="F3180">
        <f>IF(Skills!N16=TRUE,(Skills!L16/10)*(E3180/1000),Skills!L16/10)+Skills!O16</f>
        <v/>
      </c>
      <c r="G3180">
        <f>Calc!G16</f>
        <v/>
      </c>
      <c r="H3180">
        <f>Calc!H16</f>
        <v/>
      </c>
      <c r="I3180">
        <f>IF(Skills!X16&lt;&gt;"",1+(Skills!X16/10)*(Z3167/1000)/100,1)</f>
        <v/>
      </c>
      <c r="J3180">
        <f>((Inputs!$B$6*(1+Inputs!$B$7/100))+(((Inputs!$B$12*(1+Inputs!$B$13/100))-(Inputs!$B$12*(1+Inputs!$B$13/100)))+0.25*(Inputs!$B$14-Inputs!$B$14))*(1+Inputs!$B$7/100))*(F3180/100)</f>
        <v/>
      </c>
      <c r="K3180">
        <f>J3180*(1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16="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3180)</f>
        <v/>
      </c>
      <c r="L3180">
        <f>K3180*(MIN(Inputs!$B$22+(F3186-Calc!F22),(Inputs!$B$23+(IF(ArtifactsInput!$M$15,CHOOSE(ArtifactsInput!$N$15+1,25,30,35,40,45,50)/100*(Inputs!$B$11-Inputs!$B$11),0))))/100+(Inputs!$B$23+(IF(ArtifactsInput!$M$15,CHOOSE(ArtifactsInput!$N$15+1,25,30,35,40,45,50)/100*(Inputs!$B$11-Inputs!$B$11),0)))/100)/2</f>
        <v/>
      </c>
      <c r="M3180">
        <f>L3180*(1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0">
        <f>L3180*(1-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3180*(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0">
        <f>(1-Summary!$B$11)*S3180+Summary!$B$11*U3180</f>
        <v/>
      </c>
      <c r="P3180">
        <f>IF(B3205=0,0,O3180/B3205)</f>
        <v/>
      </c>
      <c r="Q3180">
        <f>IFERROR(1/(IF(Inputs!$B$38="pvp",15,MAX(0.1,Skills!E16-IF(Skills!F16=TRUE,5.0,0)))*(1-IF(AND(ArtifactsInput!$M$27,Inputs!$B$4="Chapter Hunt"),CHOOSE(ArtifactsInput!$N$27+1,20,24,28,32,36,40),0)/100)),0)</f>
        <v/>
      </c>
      <c r="R3180">
        <f>IF(AND(Inputs!$B$38&lt;&gt;"pvp",Inputs!$B$43&gt;0),IF(MAX(0,Inputs!$B$43-B3202)&lt;=0,0,(INT(MAX(0,Inputs!$B$43-B3202)/(IF(Inputs!$B$38="pvp",15,MAX(0.1,Skills!E16-IF(Skills!F16=TRUE,5.0,0)))*(1-IF(AND(ArtifactsInput!$M$27,Inputs!$B$4="Chapter Hunt"),CHOOSE(ArtifactsInput!$N$27+1,20,24,28,32,36,40),0)/100)))+1)),0)</f>
        <v/>
      </c>
      <c r="S3180">
        <f>IF(C3180,(H3180*N3180*IF(AND(Inputs!$B$38&lt;&gt;"pvp",Inputs!$B$43&gt;0),((Skills!G16*((R3180-1)*IF(Skills!H16&gt;0,Skills!I16/Skills!H16,1)+IF(Skills!H16&gt;0,MIN(Skills!I16,MAX(0,MAX(0,Inputs!$B$43-B3202)-((R3180-1)*(IF(Inputs!$B$38="pvp",15,MAX(0.1,Skills!E16-IF(Skills!F16=TRUE,5.0,0)))*(1-IF(AND(ArtifactsInput!$M$27,Inputs!$B$4="Chapter Hunt"),CHOOSE(ArtifactsInput!$N$27+1,20,24,28,32,36,40),0)/100)))))/Skills!H16,1)))/Inputs!$B$43),G3180*Q3180)*(1+IF(Inputs!$B$3&gt;=126,0.05*(B3200+Q3177+(H3178*B3201)/(1+Skills!H14*H3178*B3201)+Q3188),0)*Skills!E15))*IF(Inputs!$B$38="pvp",1,1+(Inputs!$B$20+Skills!P16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3180*(1-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3180*(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3180*(1-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3180*(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80">
        <f>IF(C3180,(H3180*N3180*IF(AND(Inputs!$B$38&lt;&gt;"pvp",Inputs!$B$43&gt;0),((Skills!G16*((R3180-1)*IF(Skills!H16&gt;0,Skills!I16/Skills!H16,1)+IF(Skills!H16&gt;0,MIN(Skills!I16,MAX(0,MAX(0,Inputs!$B$43-B3202)-((R3180-1)*(IF(Inputs!$B$38="pvp",15,MAX(0.1,Skills!E16-IF(Skills!F16=TRUE,5.0,0)))*(1-IF(AND(ArtifactsInput!$M$27,Inputs!$B$4="Chapter Hunt"),CHOOSE(ArtifactsInput!$N$27+1,20,24,28,32,36,40),0)/100)))))/Skills!H16,1)))/Inputs!$B$43),G3180*Q3180)*(1+IF(Inputs!$B$3&gt;=126,0.05*(B3200+Q3177+(H3178*B3201)/(1+Skills!H14*H3178*B3201)+Q3188),0)*Skills!E15))*IF(Inputs!$B$38="pvp",1,(1+(Inputs!$B$21+Skills!Q16+(IF(ArtifactsInput!$M$33,CHOOSE(ArtifactsInput!$N$33+1,30,36,42,48,54,60),0)))/100)*(MIN(Skills!R16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81">
      <c r="A3181">
        <f>Skills!A17</f>
        <v/>
      </c>
      <c r="B3181">
        <f>Skills!B17</f>
        <v/>
      </c>
      <c r="C3181">
        <f>TRUE</f>
        <v/>
      </c>
      <c r="D3181">
        <f>IF(Skills!C17=1,60+Inputs!$B$25+Inputs!$B$29,IF(Skills!C17=2,90+Inputs!$B$26+Inputs!$B$29,IF(Skills!C17=3,120+Inputs!$B$27+Inputs!$B$29,MAX(0,(Inputs!$B$3-100)*3)+Inputs!$B$28+Inputs!$B$29)))</f>
        <v/>
      </c>
      <c r="E3181">
        <f>INDEX(FactorTable!$B$2:$Y$301, MATCH(ROUND(MIN(300,MAX(1,D3181)),0), FactorTable!$A$2:$A$301,0), Skills!M17+1)</f>
        <v/>
      </c>
      <c r="F3181">
        <f>IF(Skills!N17=TRUE,(Skills!L17/10)*(E3181/1000),Skills!L17/10)+Skills!O17</f>
        <v/>
      </c>
      <c r="G3181">
        <f>Calc!G17</f>
        <v/>
      </c>
      <c r="H3181">
        <f>Calc!H17</f>
        <v/>
      </c>
      <c r="I3181">
        <f>IF(Skills!X17&lt;&gt;"",1+(Skills!X17/10)*(Z3167/1000)/100,1)</f>
        <v/>
      </c>
      <c r="J3181" t="inlineStr"/>
      <c r="K3181" t="inlineStr"/>
      <c r="L3181" t="inlineStr"/>
      <c r="M3181" t="inlineStr"/>
      <c r="N3181" t="inlineStr"/>
      <c r="O3181">
        <f>(1-Summary!$B$11)*S3181+Summary!$B$11*U3181</f>
        <v/>
      </c>
      <c r="P3181">
        <f>IF(B3205=0,0,O3181/B3205)</f>
        <v/>
      </c>
      <c r="Q3181">
        <f>IFERROR(1/(IF(Inputs!$B$38="pvp",15,MAX(0.1,Skills!E17-IF(Skills!F17=TRUE,5.0,0)))*(1-IF(AND(ArtifactsInput!$M$27,Inputs!$B$4="Chapter Hunt"),CHOOSE(ArtifactsInput!$N$27+1,20,24,28,32,36,40),0)/100)),0)</f>
        <v/>
      </c>
      <c r="R3181">
        <f>IF(AND(Inputs!$B$38&lt;&gt;"pvp",Inputs!$B$43&gt;0),IF(Inputs!$B$43&lt;=0,0,(INT(Inputs!$B$43/(IF(Inputs!$B$38="pvp",15,MAX(0.1,Skills!E17-IF(Skills!F17=TRUE,5.0,0)))*(1-IF(AND(ArtifactsInput!$M$27,Inputs!$B$4="Chapter Hunt"),CHOOSE(ArtifactsInput!$N$27+1,20,24,28,32,36,40),0)/100)))+1)),0)</f>
        <v/>
      </c>
      <c r="S3181" t="n">
        <v>0</v>
      </c>
      <c r="U3181" t="n">
        <v>0</v>
      </c>
    </row>
    <row r="3182">
      <c r="A3182">
        <f>Skills!A18</f>
        <v/>
      </c>
      <c r="B3182">
        <f>Skills!B18</f>
        <v/>
      </c>
      <c r="C3182">
        <f>TRUE</f>
        <v/>
      </c>
      <c r="D3182">
        <f>IF(Skills!C18=1,60+Inputs!$B$25+Inputs!$B$29,IF(Skills!C18=2,90+Inputs!$B$26+Inputs!$B$29,IF(Skills!C18=3,120+Inputs!$B$27+Inputs!$B$29,MAX(0,(Inputs!$B$3-100)*3)+Inputs!$B$28+Inputs!$B$29)))</f>
        <v/>
      </c>
      <c r="E3182">
        <f>INDEX(FactorTable!$B$2:$Y$301, MATCH(ROUND(MIN(300,MAX(1,D3182)),0), FactorTable!$A$2:$A$301,0), Skills!M18+1)</f>
        <v/>
      </c>
      <c r="F3182">
        <f>IF(Skills!N18=TRUE,(Skills!L18/10)*(E3182/1000),Skills!L18/10)+Skills!O18</f>
        <v/>
      </c>
      <c r="G3182">
        <f>Calc!G18</f>
        <v/>
      </c>
      <c r="H3182">
        <f>Calc!H18</f>
        <v/>
      </c>
      <c r="I3182">
        <f>IF(Skills!X18&lt;&gt;"",1+(Skills!X18/10)*(Z3167/1000)/100,1)</f>
        <v/>
      </c>
      <c r="J3182" t="inlineStr"/>
      <c r="K3182" t="inlineStr"/>
      <c r="L3182" t="inlineStr"/>
      <c r="M3182" t="inlineStr"/>
      <c r="N3182" t="inlineStr"/>
      <c r="O3182">
        <f>(1-Summary!$B$11)*S3182+Summary!$B$11*U3182</f>
        <v/>
      </c>
      <c r="P3182">
        <f>IF(B3205=0,0,O3182/B3205)</f>
        <v/>
      </c>
      <c r="Q3182">
        <f>IFERROR(1/(IF(Inputs!$B$38="pvp",15,MAX(0.1,Skills!E18-IF(Skills!F18=TRUE,5.0,0)))*(1-IF(AND(ArtifactsInput!$M$27,Inputs!$B$4="Chapter Hunt"),CHOOSE(ArtifactsInput!$N$27+1,20,24,28,32,36,40),0)/100)),0)</f>
        <v/>
      </c>
      <c r="R3182">
        <f>IF(AND(Inputs!$B$38&lt;&gt;"pvp",Inputs!$B$43&gt;0),IF(Inputs!$B$43&lt;=0,0,(INT(Inputs!$B$43/(IF(Inputs!$B$38="pvp",15,MAX(0.1,Skills!E18-IF(Skills!F18=TRUE,5.0,0)))*(1-IF(AND(ArtifactsInput!$M$27,Inputs!$B$4="Chapter Hunt"),CHOOSE(ArtifactsInput!$N$27+1,20,24,28,32,36,40),0)/100)))+1)),0)</f>
        <v/>
      </c>
      <c r="S3182" t="n">
        <v>0</v>
      </c>
      <c r="U3182" t="n">
        <v>0</v>
      </c>
    </row>
    <row r="3183">
      <c r="A3183">
        <f>Skills!A19</f>
        <v/>
      </c>
      <c r="B3183">
        <f>Skills!B19</f>
        <v/>
      </c>
      <c r="C3183">
        <f>Inputs!$B$3&gt;=110</f>
        <v/>
      </c>
      <c r="D3183">
        <f>IF(Skills!C19=1,60+Inputs!$B$25+Inputs!$B$29,IF(Skills!C19=2,90+Inputs!$B$26+Inputs!$B$29,IF(Skills!C19=3,120+Inputs!$B$27+Inputs!$B$29,MAX(0,(Inputs!$B$3-100)*3)+Inputs!$B$28+Inputs!$B$29)))</f>
        <v/>
      </c>
      <c r="E3183">
        <f>INDEX(FactorTable!$B$2:$Y$301, MATCH(ROUND(MIN(300,MAX(1,D3183)),0), FactorTable!$A$2:$A$301,0), Skills!M19+1)</f>
        <v/>
      </c>
      <c r="F3183">
        <f>IF(Skills!N19=TRUE,(Skills!L19/10)*(E3183/1000),Skills!L19/10)+Skills!O19</f>
        <v/>
      </c>
      <c r="G3183">
        <f>Calc!G19</f>
        <v/>
      </c>
      <c r="H3183">
        <f>Calc!H19</f>
        <v/>
      </c>
      <c r="I3183">
        <f>IF(Skills!X19&lt;&gt;"",1+(Skills!X19/10)*(Z3167/1000)/100,1)</f>
        <v/>
      </c>
      <c r="J3183" t="inlineStr"/>
      <c r="K3183" t="inlineStr"/>
      <c r="L3183" t="inlineStr"/>
      <c r="M3183" t="inlineStr"/>
      <c r="N3183" t="inlineStr"/>
      <c r="O3183">
        <f>(1-Summary!$B$11)*S3183+Summary!$B$11*U3183</f>
        <v/>
      </c>
      <c r="P3183">
        <f>IF(B3205=0,0,O3183/B3205)</f>
        <v/>
      </c>
      <c r="Q3183">
        <f>IFERROR(1/(IF(Inputs!$B$38="pvp",15,MAX(0.1,Skills!E19-IF(Skills!F19=TRUE,5.0,0)))*(1-IF(AND(ArtifactsInput!$M$27,Inputs!$B$4="Chapter Hunt"),CHOOSE(ArtifactsInput!$N$27+1,20,24,28,32,36,40),0)/100)),0)</f>
        <v/>
      </c>
      <c r="R3183">
        <f>IF(AND(Inputs!$B$38&lt;&gt;"pvp",Inputs!$B$43&gt;0),IF(Inputs!$B$43&lt;=0,0,(INT(Inputs!$B$43/(IF(Inputs!$B$38="pvp",15,MAX(0.1,Skills!E19-IF(Skills!F19=TRUE,5.0,0)))*(1-IF(AND(ArtifactsInput!$M$27,Inputs!$B$4="Chapter Hunt"),CHOOSE(ArtifactsInput!$N$27+1,20,24,28,32,36,40),0)/100)))+1)),0)</f>
        <v/>
      </c>
      <c r="S3183" t="n">
        <v>0</v>
      </c>
      <c r="U3183" t="n">
        <v>0</v>
      </c>
    </row>
    <row r="3184">
      <c r="A3184">
        <f>Skills!A20</f>
        <v/>
      </c>
      <c r="B3184">
        <f>Skills!B20</f>
        <v/>
      </c>
      <c r="C3184">
        <f>TRUE</f>
        <v/>
      </c>
      <c r="D3184">
        <f>IF(Skills!C20=1,60+Inputs!$B$25+Inputs!$B$29,IF(Skills!C20=2,90+Inputs!$B$26+Inputs!$B$29,IF(Skills!C20=3,120+Inputs!$B$27+Inputs!$B$29,MAX(0,(Inputs!$B$3-100)*3)+Inputs!$B$28+Inputs!$B$29)))</f>
        <v/>
      </c>
      <c r="E3184">
        <f>INDEX(FactorTable!$B$2:$Y$301, MATCH(ROUND(MIN(300,MAX(1,D3184)),0), FactorTable!$A$2:$A$301,0), Skills!M20+1)</f>
        <v/>
      </c>
      <c r="F3184">
        <f>IF(Skills!N20=TRUE,(Skills!L20/10)*(E3184/1000),Skills!L20/10)+Skills!O20</f>
        <v/>
      </c>
      <c r="G3184">
        <f>Calc!G20</f>
        <v/>
      </c>
      <c r="H3184">
        <f>Calc!H20</f>
        <v/>
      </c>
      <c r="I3184">
        <f>IF(Skills!X20&lt;&gt;"",1+(Skills!X20/10)*(Z3167/1000)/100,1)</f>
        <v/>
      </c>
      <c r="J3184" t="inlineStr"/>
      <c r="K3184" t="inlineStr"/>
      <c r="L3184" t="inlineStr"/>
      <c r="M3184" t="inlineStr"/>
      <c r="N3184" t="inlineStr"/>
      <c r="O3184">
        <f>(1-Summary!$B$11)*S3184+Summary!$B$11*U3184</f>
        <v/>
      </c>
      <c r="P3184">
        <f>IF(B3205=0,0,O3184/B3205)</f>
        <v/>
      </c>
      <c r="Q3184">
        <f>IFERROR(1/(IF(Inputs!$B$38="pvp",15,MAX(0.1,Skills!E20-IF(Skills!F20=TRUE,5.0,0)))*(1-IF(AND(ArtifactsInput!$M$27,Inputs!$B$4="Chapter Hunt"),CHOOSE(ArtifactsInput!$N$27+1,20,24,28,32,36,40),0)/100)),0)</f>
        <v/>
      </c>
      <c r="R3184" t="n">
        <v>0</v>
      </c>
      <c r="S3184" t="n">
        <v>0</v>
      </c>
      <c r="U3184" t="n">
        <v>0</v>
      </c>
    </row>
    <row r="3185">
      <c r="A3185">
        <f>Skills!A21</f>
        <v/>
      </c>
      <c r="B3185">
        <f>Skills!B21</f>
        <v/>
      </c>
      <c r="C3185">
        <f>TRUE</f>
        <v/>
      </c>
      <c r="D3185">
        <f>IF(Skills!C21=1,60+Inputs!$B$25+Inputs!$B$29,IF(Skills!C21=2,90+Inputs!$B$26+Inputs!$B$29,IF(Skills!C21=3,120+Inputs!$B$27+Inputs!$B$29,MAX(0,(Inputs!$B$3-100)*3)+Inputs!$B$28+Inputs!$B$29)))</f>
        <v/>
      </c>
      <c r="E3185">
        <f>INDEX(FactorTable!$B$2:$Y$301, MATCH(ROUND(MIN(300,MAX(1,D3185)),0), FactorTable!$A$2:$A$301,0), Skills!M21+1)</f>
        <v/>
      </c>
      <c r="F3185">
        <f>IF(Skills!N21=TRUE,(Skills!L21/10)*(E3185/1000),Skills!L21/10)+Skills!O21</f>
        <v/>
      </c>
      <c r="G3185">
        <f>Calc!G21</f>
        <v/>
      </c>
      <c r="H3185">
        <f>Calc!H21</f>
        <v/>
      </c>
      <c r="I3185">
        <f>IF(Skills!X21&lt;&gt;"",1+(Skills!X21/10)*(Z3167/1000)/100,1)</f>
        <v/>
      </c>
      <c r="J3185" t="inlineStr"/>
      <c r="K3185" t="inlineStr"/>
      <c r="L3185" t="inlineStr"/>
      <c r="M3185" t="inlineStr"/>
      <c r="N3185" t="inlineStr"/>
      <c r="O3185">
        <f>(1-Summary!$B$11)*S3185+Summary!$B$11*U3185</f>
        <v/>
      </c>
      <c r="P3185">
        <f>IF(B3205=0,0,O3185/B3205)</f>
        <v/>
      </c>
      <c r="Q3185">
        <f>IFERROR(1/(IF(Inputs!$B$38="pvp",15,MAX(0.1,Skills!E21-IF(Skills!F21=TRUE,5.0,0)))*(1-IF(AND(ArtifactsInput!$M$27,Inputs!$B$4="Chapter Hunt"),CHOOSE(ArtifactsInput!$N$27+1,20,24,28,32,36,40),0)/100)),0)</f>
        <v/>
      </c>
      <c r="R3185" t="n">
        <v>0</v>
      </c>
      <c r="S3185" t="n">
        <v>0</v>
      </c>
      <c r="U3185" t="n">
        <v>0</v>
      </c>
    </row>
    <row r="3186">
      <c r="A3186">
        <f>Skills!A22</f>
        <v/>
      </c>
      <c r="B3186">
        <f>Skills!B22</f>
        <v/>
      </c>
      <c r="C3186">
        <f>TRUE</f>
        <v/>
      </c>
      <c r="D3186">
        <f>IF(Skills!C22=1,60+Inputs!$B$25+Inputs!$B$29,IF(Skills!C22=2,90+Inputs!$B$26+Inputs!$B$29,IF(Skills!C22=3,120+Inputs!$B$27+Inputs!$B$29,MAX(0,(Inputs!$B$3-100)*3)+Inputs!$B$28+Inputs!$B$29)))</f>
        <v/>
      </c>
      <c r="E3186">
        <f>INDEX(FactorTable!$B$2:$Y$301, MATCH(ROUND(MIN(300,MAX(1,D3186)),0), FactorTable!$A$2:$A$301,0), Skills!M22+1)</f>
        <v/>
      </c>
      <c r="F3186">
        <f>IF(Skills!N22=TRUE,(Skills!L22/10)*(E3186/1000),Skills!L22/10)+Skills!O22</f>
        <v/>
      </c>
      <c r="G3186">
        <f>Calc!G22</f>
        <v/>
      </c>
      <c r="H3186">
        <f>Calc!H22</f>
        <v/>
      </c>
      <c r="I3186">
        <f>IF(Skills!X22&lt;&gt;"",1+(Skills!X22/10)*(Z3167/1000)/100,1)</f>
        <v/>
      </c>
      <c r="J3186" t="inlineStr"/>
      <c r="K3186" t="inlineStr"/>
      <c r="L3186" t="inlineStr"/>
      <c r="M3186" t="inlineStr"/>
      <c r="N3186" t="inlineStr"/>
      <c r="O3186">
        <f>(1-Summary!$B$11)*S3186+Summary!$B$11*U3186</f>
        <v/>
      </c>
      <c r="P3186">
        <f>IF(B3205=0,0,O3186/B3205)</f>
        <v/>
      </c>
      <c r="Q3186">
        <f>IFERROR(1/(IF(Inputs!$B$38="pvp",15,MAX(0.1,Skills!E22-IF(Skills!F22=TRUE,5.0,0)))*(1-IF(AND(ArtifactsInput!$M$27,Inputs!$B$4="Chapter Hunt"),CHOOSE(ArtifactsInput!$N$27+1,20,24,28,32,36,40),0)/100)),0)</f>
        <v/>
      </c>
      <c r="R3186" t="n">
        <v>0</v>
      </c>
      <c r="S3186" t="n">
        <v>0</v>
      </c>
      <c r="U3186" t="n">
        <v>0</v>
      </c>
    </row>
    <row r="3187">
      <c r="A3187">
        <f>Skills!A23</f>
        <v/>
      </c>
      <c r="B3187">
        <f>Skills!B23</f>
        <v/>
      </c>
      <c r="C3187">
        <f>TRUE</f>
        <v/>
      </c>
      <c r="D3187">
        <f>IF(Skills!C23=1,60+Inputs!$B$25+Inputs!$B$29,IF(Skills!C23=2,90+Inputs!$B$26+Inputs!$B$29,IF(Skills!C23=3,120+Inputs!$B$27+Inputs!$B$29,MAX(0,(Inputs!$B$3-100)*3)+Inputs!$B$28+Inputs!$B$29)))</f>
        <v/>
      </c>
      <c r="E3187">
        <f>INDEX(FactorTable!$B$2:$Y$301, MATCH(ROUND(MIN(300,MAX(1,D3187)),0), FactorTable!$A$2:$A$301,0), Skills!M23+1)</f>
        <v/>
      </c>
      <c r="F3187">
        <f>IF(Skills!N23=TRUE,(Skills!L23/10)*(E3187/1000),Skills!L23/10)+Skills!O23</f>
        <v/>
      </c>
      <c r="G3187">
        <f>Calc!G23</f>
        <v/>
      </c>
      <c r="H3187">
        <f>Calc!H23</f>
        <v/>
      </c>
      <c r="I3187">
        <f>IF(Skills!X23&lt;&gt;"",1+(Skills!X23/10)*(Z3167/1000)/100,1)</f>
        <v/>
      </c>
      <c r="J3187" t="inlineStr"/>
      <c r="K3187" t="inlineStr"/>
      <c r="L3187" t="inlineStr"/>
      <c r="M3187" t="inlineStr"/>
      <c r="N3187" t="inlineStr"/>
      <c r="O3187">
        <f>(1-Summary!$B$11)*S3187+Summary!$B$11*U3187</f>
        <v/>
      </c>
      <c r="P3187">
        <f>IF(B3205=0,0,O3187/B3205)</f>
        <v/>
      </c>
      <c r="Q3187">
        <f>IFERROR(1/(IF(Inputs!$B$38="pvp",15,MAX(0.1,Skills!E23-IF(Skills!F23=TRUE,5.0,0)))*(1-IF(AND(ArtifactsInput!$M$27,Inputs!$B$4="Chapter Hunt"),CHOOSE(ArtifactsInput!$N$27+1,20,24,28,32,36,40),0)/100)),0)</f>
        <v/>
      </c>
      <c r="R3187" t="n">
        <v>0</v>
      </c>
      <c r="S3187" t="n">
        <v>0</v>
      </c>
      <c r="U3187" t="n">
        <v>0</v>
      </c>
    </row>
    <row r="3188">
      <c r="A3188">
        <f>Skills!A24</f>
        <v/>
      </c>
      <c r="B3188">
        <f>Skills!B24</f>
        <v/>
      </c>
      <c r="C3188">
        <f>Inputs!$B$3&gt;=115</f>
        <v/>
      </c>
      <c r="D3188">
        <f>IF(Skills!C24=1,60+Inputs!$B$25+Inputs!$B$29,IF(Skills!C24=2,90+Inputs!$B$26+Inputs!$B$29,IF(Skills!C24=3,120+Inputs!$B$27+Inputs!$B$29,MAX(0,(Inputs!$B$3-100)*3)+Inputs!$B$28+Inputs!$B$29)))</f>
        <v/>
      </c>
      <c r="E3188">
        <f>INDEX(FactorTable!$B$2:$Y$301, MATCH(ROUND(MIN(300,MAX(1,D3188)),0), FactorTable!$A$2:$A$301,0), Skills!M24+1)</f>
        <v/>
      </c>
      <c r="F3188">
        <f>IF(Skills!N24=TRUE,(Skills!L24/10)*(E3188/1000),Skills!L24/10)+Skills!O24</f>
        <v/>
      </c>
      <c r="G3188">
        <f>Calc!G24</f>
        <v/>
      </c>
      <c r="H3188">
        <f>Calc!H24</f>
        <v/>
      </c>
      <c r="I3188">
        <f>IF(Skills!X24&lt;&gt;"",1+(Skills!X24/10)*(Z3167/1000)/100,1)</f>
        <v/>
      </c>
      <c r="J3188">
        <f>((Inputs!$B$6*(1+Inputs!$B$7/100))+(((Inputs!$B$12*(1+Inputs!$B$13/100))-(Inputs!$B$12*(1+Inputs!$B$13/100)))+0.25*(Inputs!$B$14-Inputs!$B$14))*(1+Inputs!$B$7/100))*(F3188/100)</f>
        <v/>
      </c>
      <c r="K3188">
        <f>J3188*(1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24="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3188)</f>
        <v/>
      </c>
      <c r="L3188">
        <f>K3188*(MIN(Inputs!$B$22+(F3186-Calc!F22),(Inputs!$B$23+(IF(ArtifactsInput!$M$15,CHOOSE(ArtifactsInput!$N$15+1,25,30,35,40,45,50)/100*(Inputs!$B$11-Inputs!$B$11),0))))/100+(Inputs!$B$23+(IF(ArtifactsInput!$M$15,CHOOSE(ArtifactsInput!$N$15+1,25,30,35,40,45,50)/100*(Inputs!$B$11-Inputs!$B$11),0)))/100)/2</f>
        <v/>
      </c>
      <c r="M3188">
        <f>L3188*(1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8">
        <f>L3188*(1-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3188*(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8">
        <f>(1-Summary!$B$11)*S3188+Summary!$B$11*U3188</f>
        <v/>
      </c>
      <c r="P3188">
        <f>IF(B3205=0,0,O3188/B3205)</f>
        <v/>
      </c>
      <c r="Q3188">
        <f>IFERROR(1/(IF(Inputs!$B$38="pvp",15,MAX(0.1,Skills!E24-IF(Skills!F24=TRUE,5.0,0)))*(1-IF(AND(ArtifactsInput!$M$27,Inputs!$B$4="Chapter Hunt"),CHOOSE(ArtifactsInput!$N$27+1,20,24,28,32,36,40),0)/100)),0)</f>
        <v/>
      </c>
      <c r="R3188">
        <f>IF(AND(Inputs!$B$38&lt;&gt;"pvp",Inputs!$B$43&gt;0),IF(MAX(0,Inputs!$B$43-B3202)&lt;=0,0,(INT(MAX(0,Inputs!$B$43-B3202)/(IF(Inputs!$B$38="pvp",15,MAX(0.1,Skills!E24-IF(Skills!F24=TRUE,5.0,0)))*(1-IF(AND(ArtifactsInput!$M$27,Inputs!$B$4="Chapter Hunt"),CHOOSE(ArtifactsInput!$N$27+1,20,24,28,32,36,40),0)/100)))+1)),0)</f>
        <v/>
      </c>
      <c r="S3188">
        <f>IF(C3188,(H3188*N3188*IF(AND(Inputs!$B$38&lt;&gt;"pvp",Inputs!$B$43&gt;0),((Skills!G24*((R3188-1)*IF(Skills!H24&gt;0,Skills!I24/Skills!H24,1)+IF(Skills!H24&gt;0,MIN(Skills!I24,MAX(0,MAX(0,Inputs!$B$43-B3202)-((R3188-1)*(IF(Inputs!$B$38="pvp",15,MAX(0.1,Skills!E24-IF(Skills!F24=TRUE,5.0,0)))*(1-IF(AND(ArtifactsInput!$M$27,Inputs!$B$4="Chapter Hunt"),CHOOSE(ArtifactsInput!$N$27+1,20,24,28,32,36,40),0)/100)))))/Skills!H24,1)))/Inputs!$B$43),G3188*Q3188)*(1+IF(Inputs!$B$3&gt;=130,0.2*(Skills!I16/Skills!E15+IF(Inputs!$B$3&gt;=126,0.05*(B3200+Q3177+(H3178*B3201)/(1+Skills!H14*H3178*B3201)+Q3188),0)*Skills!I16),0)))*IF(Inputs!$B$38="pvp",1,1+(Inputs!$B$20+Skills!P24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3188*(1-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3188*(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3188*(1-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3188*(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88">
        <f>IF(C3188,(H3188*N3188*IF(AND(Inputs!$B$38&lt;&gt;"pvp",Inputs!$B$43&gt;0),((Skills!G24*((R3188-1)*IF(Skills!H24&gt;0,Skills!I24/Skills!H24,1)+IF(Skills!H24&gt;0,MIN(Skills!I24,MAX(0,MAX(0,Inputs!$B$43-B3202)-((R3188-1)*(IF(Inputs!$B$38="pvp",15,MAX(0.1,Skills!E24-IF(Skills!F24=TRUE,5.0,0)))*(1-IF(AND(ArtifactsInput!$M$27,Inputs!$B$4="Chapter Hunt"),CHOOSE(ArtifactsInput!$N$27+1,20,24,28,32,36,40),0)/100)))))/Skills!H24,1)))/Inputs!$B$43),G3188*Q3188)*(1+IF(Inputs!$B$3&gt;=130,0.2*(Skills!I16/Skills!E15+IF(Inputs!$B$3&gt;=126,0.05*(B3200+Q3177+(H3178*B3201)/(1+Skills!H14*H3178*B3201)+Q3188),0)*Skills!I16),0)))*IF(Inputs!$B$38="pvp",1,(1+(Inputs!$B$21+Skills!Q24+(IF(ArtifactsInput!$M$33,CHOOSE(ArtifactsInput!$N$33+1,30,36,42,48,54,60),0)))/100)*(MIN(Skills!R24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89">
      <c r="A3189">
        <f>Skills!A25</f>
        <v/>
      </c>
      <c r="B3189">
        <f>Skills!B25</f>
        <v/>
      </c>
      <c r="C3189">
        <f>Inputs!$B$3&gt;=117</f>
        <v/>
      </c>
      <c r="D3189">
        <f>IF(Skills!C25=1,60+Inputs!$B$25+Inputs!$B$29,IF(Skills!C25=2,90+Inputs!$B$26+Inputs!$B$29,IF(Skills!C25=3,120+Inputs!$B$27+Inputs!$B$29,MAX(0,(Inputs!$B$3-100)*3)+Inputs!$B$28+Inputs!$B$29)))</f>
        <v/>
      </c>
      <c r="E3189">
        <f>INDEX(FactorTable!$B$2:$Y$301, MATCH(ROUND(MIN(300,MAX(1,D3189)),0), FactorTable!$A$2:$A$301,0), Skills!M25+1)</f>
        <v/>
      </c>
      <c r="F3189">
        <f>IF(Skills!N25=TRUE,(Skills!L25/10)*(E3189/1000),Skills!L25/10)+Skills!O25</f>
        <v/>
      </c>
      <c r="G3189">
        <f>Calc!G25</f>
        <v/>
      </c>
      <c r="H3189">
        <f>Calc!H25</f>
        <v/>
      </c>
      <c r="I3189">
        <f>IF(Skills!X25&lt;&gt;"",1+(Skills!X25/10)*(Z3167/1000)/100,1)</f>
        <v/>
      </c>
      <c r="J3189" t="inlineStr"/>
      <c r="K3189" t="inlineStr"/>
      <c r="L3189" t="inlineStr"/>
      <c r="M3189" t="inlineStr"/>
      <c r="N3189" t="inlineStr"/>
      <c r="O3189">
        <f>(1-Summary!$B$11)*S3189+Summary!$B$11*U3189</f>
        <v/>
      </c>
      <c r="P3189">
        <f>IF(B3205=0,0,O3189/B3205)</f>
        <v/>
      </c>
      <c r="Q3189">
        <f>IFERROR(1/(IF(Inputs!$B$38="pvp",15,MAX(0.1,Skills!E25-IF(Skills!F25=TRUE,5.0,0)))*(1-IF(AND(ArtifactsInput!$M$27,Inputs!$B$4="Chapter Hunt"),CHOOSE(ArtifactsInput!$N$27+1,20,24,28,32,36,40),0)/100)),0)</f>
        <v/>
      </c>
      <c r="R3189" t="n">
        <v>0</v>
      </c>
      <c r="S3189" t="n">
        <v>0</v>
      </c>
      <c r="U3189" t="n">
        <v>0</v>
      </c>
    </row>
    <row r="3190">
      <c r="A3190">
        <f>Skills!A26</f>
        <v/>
      </c>
      <c r="B3190">
        <f>Skills!B26</f>
        <v/>
      </c>
      <c r="C3190">
        <f>Inputs!$B$3&gt;=120</f>
        <v/>
      </c>
      <c r="D3190">
        <f>IF(Skills!C26=1,60+Inputs!$B$25+Inputs!$B$29,IF(Skills!C26=2,90+Inputs!$B$26+Inputs!$B$29,IF(Skills!C26=3,120+Inputs!$B$27+Inputs!$B$29,MAX(0,(Inputs!$B$3-100)*3)+Inputs!$B$28+Inputs!$B$29)))</f>
        <v/>
      </c>
      <c r="E3190">
        <f>INDEX(FactorTable!$B$2:$Y$301, MATCH(ROUND(MIN(300,MAX(1,D3190)),0), FactorTable!$A$2:$A$301,0), Skills!M26+1)</f>
        <v/>
      </c>
      <c r="F3190">
        <f>IF(Skills!N26=TRUE,(Skills!L26/10)*(E3190/1000),Skills!L26/10)+Skills!O26</f>
        <v/>
      </c>
      <c r="G3190">
        <f>Calc!G26</f>
        <v/>
      </c>
      <c r="H3190">
        <f>Calc!H26</f>
        <v/>
      </c>
      <c r="I3190">
        <f>IF(Skills!X26&lt;&gt;"",1+(Skills!X26/10)*(Z3167/1000)/100,1)</f>
        <v/>
      </c>
      <c r="J3190" t="inlineStr"/>
      <c r="K3190" t="inlineStr"/>
      <c r="L3190" t="inlineStr"/>
      <c r="M3190" t="inlineStr"/>
      <c r="N3190" t="inlineStr"/>
      <c r="O3190">
        <f>(1-Summary!$B$11)*S3190+Summary!$B$11*U3190</f>
        <v/>
      </c>
      <c r="P3190">
        <f>IF(B3205=0,0,O3190/B3205)</f>
        <v/>
      </c>
      <c r="Q3190">
        <f>IFERROR(1/(IF(Inputs!$B$38="pvp",15,MAX(0.1,Skills!E26-IF(Skills!F26=TRUE,5.0,0)))*(1-IF(AND(ArtifactsInput!$M$27,Inputs!$B$4="Chapter Hunt"),CHOOSE(ArtifactsInput!$N$27+1,20,24,28,32,36,40),0)/100)),0)</f>
        <v/>
      </c>
      <c r="R3190" t="n">
        <v>0</v>
      </c>
      <c r="S3190" t="n">
        <v>0</v>
      </c>
      <c r="U3190" t="n">
        <v>0</v>
      </c>
    </row>
    <row r="3191">
      <c r="A3191">
        <f>Skills!A27</f>
        <v/>
      </c>
      <c r="B3191">
        <f>Skills!B27</f>
        <v/>
      </c>
      <c r="C3191">
        <f>Inputs!$B$3&gt;=125</f>
        <v/>
      </c>
      <c r="D3191">
        <f>IF(Skills!C27=1,60+Inputs!$B$25+Inputs!$B$29,IF(Skills!C27=2,90+Inputs!$B$26+Inputs!$B$29,IF(Skills!C27=3,120+Inputs!$B$27+Inputs!$B$29,MAX(0,(Inputs!$B$3-100)*3)+Inputs!$B$28+Inputs!$B$29)))</f>
        <v/>
      </c>
      <c r="E3191">
        <f>INDEX(FactorTable!$B$2:$Y$301, MATCH(ROUND(MIN(300,MAX(1,D3191)),0), FactorTable!$A$2:$A$301,0), Skills!M27+1)</f>
        <v/>
      </c>
      <c r="F3191">
        <f>IF(Skills!N27=TRUE,(Skills!L27/10)*(E3191/1000),Skills!L27/10)+Skills!O27</f>
        <v/>
      </c>
      <c r="G3191">
        <f>Calc!G27</f>
        <v/>
      </c>
      <c r="H3191">
        <f>Calc!H27</f>
        <v/>
      </c>
      <c r="I3191">
        <f>IF(Skills!X27&lt;&gt;"",1+(Skills!X27/10)*(Z3167/1000)/100,1)</f>
        <v/>
      </c>
      <c r="J3191" t="inlineStr"/>
      <c r="K3191" t="inlineStr"/>
      <c r="L3191" t="inlineStr"/>
      <c r="M3191" t="inlineStr"/>
      <c r="N3191" t="inlineStr"/>
      <c r="O3191">
        <f>(1-Summary!$B$11)*S3191+Summary!$B$11*U3191</f>
        <v/>
      </c>
      <c r="P3191">
        <f>IF(B3205=0,0,O3191/B3205)</f>
        <v/>
      </c>
      <c r="Q3191">
        <f>IFERROR(1/(IF(Inputs!$B$38="pvp",15,MAX(0.1,Skills!E27-IF(Skills!F27=TRUE,5.0,0)))*(1-IF(AND(ArtifactsInput!$M$27,Inputs!$B$4="Chapter Hunt"),CHOOSE(ArtifactsInput!$N$27+1,20,24,28,32,36,40),0)/100)),0)</f>
        <v/>
      </c>
      <c r="R3191" t="n">
        <v>0</v>
      </c>
      <c r="S3191" t="n">
        <v>0</v>
      </c>
      <c r="U3191" t="n">
        <v>0</v>
      </c>
    </row>
    <row r="3192">
      <c r="A3192">
        <f>Skills!A28</f>
        <v/>
      </c>
      <c r="B3192">
        <f>Skills!B28</f>
        <v/>
      </c>
      <c r="C3192">
        <f>Inputs!$B$3&gt;=118</f>
        <v/>
      </c>
      <c r="D3192">
        <f>IF(Skills!C28=1,60+Inputs!$B$25+Inputs!$B$29,IF(Skills!C28=2,90+Inputs!$B$26+Inputs!$B$29,IF(Skills!C28=3,120+Inputs!$B$27+Inputs!$B$29,MAX(0,(Inputs!$B$3-100)*3)+Inputs!$B$28+Inputs!$B$29)))</f>
        <v/>
      </c>
      <c r="E3192">
        <f>INDEX(FactorTable!$B$2:$Y$301, MATCH(ROUND(MIN(300,MAX(1,D3192)),0), FactorTable!$A$2:$A$301,0), Skills!M28+1)</f>
        <v/>
      </c>
      <c r="F3192">
        <f>IF(Skills!N28=TRUE,(Skills!L28/10)*(E3192/1000),Skills!L28/10)+Skills!O28</f>
        <v/>
      </c>
      <c r="G3192">
        <f>Calc!G28</f>
        <v/>
      </c>
      <c r="H3192">
        <f>Calc!H28</f>
        <v/>
      </c>
      <c r="I3192">
        <f>IF(Skills!X28&lt;&gt;"",1+(Skills!X28/10)*(Z3167/1000)/100,1)</f>
        <v/>
      </c>
      <c r="J3192">
        <f>((Inputs!$B$6*(1+Inputs!$B$7/100))+(((Inputs!$B$12*(1+Inputs!$B$13/100))-(Inputs!$B$12*(1+Inputs!$B$13/100)))+0.25*(Inputs!$B$14-Inputs!$B$14))*(1+Inputs!$B$7/100))*(F3192/100)</f>
        <v/>
      </c>
      <c r="K3192">
        <f>J3192*(1+((Inputs!$B$12*(1+Inputs!$B$13/100))*0.01+Inputs!$B$14*0.0025)/100)*(1+Inputs!$B$15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F3187/100)*(1+IF(Inputs!$B$3&gt;=120,F3190,0)/100)^5*(1+(IF(Skills!A28="BASIC_ATTACK",Inputs!$B$17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IF(Inputs!$B$3&gt;=125,F3191*5,0)))/100)*(B3194*B3195*B3196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3192)</f>
        <v/>
      </c>
      <c r="L3192">
        <f>K3192*(MIN(Inputs!$B$22+(F3186-Calc!F22),(Inputs!$B$23+(IF(ArtifactsInput!$M$15,CHOOSE(ArtifactsInput!$N$15+1,25,30,35,40,45,50)/100*(Inputs!$B$11-Inputs!$B$11),0))))/100+(Inputs!$B$23+(IF(ArtifactsInput!$M$15,CHOOSE(ArtifactsInput!$N$15+1,25,30,35,40,45,50)/100*(Inputs!$B$11-Inputs!$B$11),0)))/100)/2</f>
        <v/>
      </c>
      <c r="M3192">
        <f>L3192*(1+(Inputs!$B$10+(F3185-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2">
        <f>L3192*(1-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3192*(MIN((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2">
        <f>(1-Summary!$B$11)*S3192+Summary!$B$11*U3192</f>
        <v/>
      </c>
      <c r="P3192">
        <f>IF(B3205=0,0,O3192/B3205)</f>
        <v/>
      </c>
      <c r="Q3192">
        <f>IFERROR(1/(IF(Inputs!$B$38="pvp",15,MAX(0.1,Skills!E28-IF(Skills!F28=TRUE,5.0,0)))*(1-IF(AND(ArtifactsInput!$M$27,Inputs!$B$4="Chapter Hunt"),CHOOSE(ArtifactsInput!$N$27+1,20,24,28,32,36,40),0)/100)),0)</f>
        <v/>
      </c>
      <c r="R3192">
        <f>IF(AND(Inputs!$B$38&lt;&gt;"pvp",Inputs!$B$43&gt;0),IF(MAX(0,Inputs!$B$43-B3202)&lt;=0,0,(INT(MAX(0,Inputs!$B$43-B3202)/(IF(Inputs!$B$38="pvp",15,MAX(0.1,Skills!E28-IF(Skills!F28=TRUE,5.0,0)))*(1-IF(AND(ArtifactsInput!$M$27,Inputs!$B$4="Chapter Hunt"),CHOOSE(ArtifactsInput!$N$27+1,20,24,28,32,36,40),0)/100)))+1)),0)</f>
        <v/>
      </c>
      <c r="S3192">
        <f>IF(C3192,(H3192*N3192*IF(AND(Inputs!$B$38&lt;&gt;"pvp",Inputs!$B$43&gt;0),((Skills!G28*((R3192-1)*IF(Skills!H28&gt;0,Skills!I28/Skills!H28,1)+IF(Skills!H28&gt;0,MIN(Skills!I28,MAX(0,MAX(0,Inputs!$B$43-B3202)-((R3192-1)*(IF(Inputs!$B$38="pvp",15,MAX(0.1,Skills!E28-IF(Skills!F28=TRUE,5.0,0)))*(1-IF(AND(ArtifactsInput!$M$27,Inputs!$B$4="Chapter Hunt"),CHOOSE(ArtifactsInput!$N$27+1,20,24,28,32,36,40),0)/100)))))/Skills!H28,1)))/Inputs!$B$43),G3192*Q3192))*IF(Inputs!$B$38="pvp",1,1+(Inputs!$B$20+Skills!P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3192*(1-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3192*(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3192*(1-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3192*(MIN(100,(Inputs!$B$9+(F3184-Calc!F20)+(ArtifactsInput!$M$24-ArtifactsInput!$M$24)*CHOOSE(ArtifactsInput!$N$24+1,10,12,14,16,18,20)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92">
        <f>IF(C3192,(H3192*N3192*IF(AND(Inputs!$B$38&lt;&gt;"pvp",Inputs!$B$43&gt;0),((Skills!G28*((R3192-1)*IF(Skills!H28&gt;0,Skills!I28/Skills!H28,1)+IF(Skills!H28&gt;0,MIN(Skills!I28,MAX(0,MAX(0,Inputs!$B$43-B3202)-((R3192-1)*(IF(Inputs!$B$38="pvp",15,MAX(0.1,Skills!E28-IF(Skills!F28=TRUE,5.0,0)))*(1-IF(AND(ArtifactsInput!$M$27,Inputs!$B$4="Chapter Hunt"),CHOOSE(ArtifactsInput!$N$27+1,20,24,28,32,36,40),0)/100)))))/Skills!H28,1)))/Inputs!$B$43),G3192*Q3192))*IF(Inputs!$B$38="pvp",1,(1+(Inputs!$B$21+Skills!Q28+(IF(ArtifactsInput!$M$33,CHOOSE(ArtifactsInput!$N$33+1,30,36,42,48,54,60),0)))/100)*(MIN(Skills!R28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4">
      <c r="A3194" t="inlineStr">
        <is>
          <t>Burning Magic Multiplier</t>
        </is>
      </c>
      <c r="B3194">
        <f>1+(F3175*Skills!Z11)/100</f>
        <v/>
      </c>
    </row>
    <row r="3195">
      <c r="A3195" t="inlineStr">
        <is>
          <t>Elemental Decrease Multiplier (always-on)</t>
        </is>
      </c>
      <c r="B3195">
        <f>1+(F3176+(IF(AND(ArtifactsInput!$M$35,Inputs!$B$4&lt;&gt;"Chapter Hunt"),CHOOSE(ArtifactsInput!$N$35+1,15,18,21,24,27,30)*(1-EXP(-(0.2*B3198)*5)),0)+IF(AND(ArtifactsInput!$M$22,Inputs!$B$4&lt;&gt;"Chapter Hunt"),CHOOSE(ArtifactsInput!$N$22+1,10,12,14,16,18,20)*((0*(((0.15*B3198*5))^0/1)+1*(((0.15*B3198*5))^1/1)+2*(((0.15*B3198*5))^2/2)+3*(((0.15*B3198*5))^3/6)+4*(((0.15*B3198*5))^4/24)+5*(((0.15*B3198*5))^5/120))/((((0.15*B3198*5))^0/1)+(((0.15*B3198*5))^1/1)+(((0.15*B3198*5))^2/2)+(((0.15*B3198*5))^3/6)+(((0.15*B3198*5))^4/24)+(((0.15*B3198*5))^5/120))),0)))/100</f>
        <v/>
      </c>
    </row>
    <row r="3196">
      <c r="A3196" t="inlineStr">
        <is>
          <t>Average Buff Multiplier (Magic Guard + Meditation + Artifact Attack%, summed; then Infinity)</t>
        </is>
      </c>
      <c r="B3196">
        <f>(1+(F3170*IF(AND(Inputs!$B$38&lt;&gt;"pvp",Inputs!$B$43&gt;0),(((R3170-1)*(Skills!T6*(1+((Inputs!$B$34+(ArtifactsInput!$M$7-ArtifactsInput!$M$7)*CHOOSE(ArtifactsInput!$N$7+1,6,7.2,8.4,9.6,10.8,12)))/100))+MIN((Skills!T6*(1+((Inputs!$B$34+(ArtifactsInput!$M$7-ArtifactsInput!$M$7)*CHOOSE(ArtifactsInput!$N$7+1,6,7.2,8.4,9.6,10.8,12)))/100)),MAX(0,Inputs!$B$43-((R3170-1)*Skills!E6))))/Inputs!$B$43),IF(Inputs!$B$38="pvp",MIN((Skills!T6*(1+((Inputs!$B$34+(ArtifactsInput!$M$7-ArtifactsInput!$M$7)*CHOOSE(ArtifactsInput!$N$7+1,6,7.2,8.4,9.6,10.8,12)))/100)),15)/15,(Skills!T6*(1+((Inputs!$B$34+(ArtifactsInput!$M$7-ArtifactsInput!$M$7)*CHOOSE(ArtifactsInput!$N$7+1,6,7.2,8.4,9.6,10.8,12)))/100))/Skills!E6))+F3181*IF(AND(Inputs!$B$38&lt;&gt;"pvp",Inputs!$B$43&gt;0),(((R3181-1)*(Skills!T17*(1+((Inputs!$B$34+(ArtifactsInput!$M$7-ArtifactsInput!$M$7)*CHOOSE(ArtifactsInput!$N$7+1,6,7.2,8.4,9.6,10.8,12)))/100))+MIN((Skills!T17*(1+((Inputs!$B$34+(ArtifactsInput!$M$7-ArtifactsInput!$M$7)*CHOOSE(ArtifactsInput!$N$7+1,6,7.2,8.4,9.6,10.8,12)))/100)),MAX(0,Inputs!$B$43-((R3181-1)*Skills!E17))))/Inputs!$B$43),IF(Inputs!$B$38="pvp",MIN((Skills!T17*(1+((Inputs!$B$34+(ArtifactsInput!$M$7-ArtifactsInput!$M$7)*CHOOSE(ArtifactsInput!$N$7+1,6,7.2,8.4,9.6,10.8,12)))/100)),15)/15,(Skills!T17*(1+((Inputs!$B$34+(ArtifactsInput!$M$7-ArtifactsInput!$M$7)*CHOOSE(ArtifactsInput!$N$7+1,6,7.2,8.4,9.6,10.8,12)))/100))/Skills!E17))+(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3183=TRUE,(1+F3183*IF(AND(Inputs!$B$38&lt;&gt;"pvp",Inputs!$B$43&gt;0),(((R3183-1)*(Skills!T19*(1+((Inputs!$B$34+(ArtifactsInput!$M$7-ArtifactsInput!$M$7)*CHOOSE(ArtifactsInput!$N$7+1,6,7.2,8.4,9.6,10.8,12)))/100))+MIN((Skills!T19*(1+((Inputs!$B$34+(ArtifactsInput!$M$7-ArtifactsInput!$M$7)*CHOOSE(ArtifactsInput!$N$7+1,6,7.2,8.4,9.6,10.8,12)))/100)),MAX(0,Inputs!$B$43-((R3183-1)*Skills!E19))))/Inputs!$B$43),IF(Inputs!$B$38="pvp",MIN((Skills!T19*(1+((Inputs!$B$34+(ArtifactsInput!$M$7-ArtifactsInput!$M$7)*CHOOSE(ArtifactsInput!$N$7+1,6,7.2,8.4,9.6,10.8,12)))/100)),15)/15,(Skills!T19*(1+((Inputs!$B$34+(ArtifactsInput!$M$7-ArtifactsInput!$M$7)*CHOOSE(ArtifactsInput!$N$7+1,6,7.2,8.4,9.6,10.8,12)))/100))/Skills!E19))/100),1)</f>
        <v/>
      </c>
    </row>
    <row r="3197">
      <c r="A3197" t="inlineStr">
        <is>
          <t>Attack Speed Buff Bonus % (Nimble Feet, averaged)</t>
        </is>
      </c>
      <c r="B3197">
        <f>F3182*IF(AND(Inputs!$B$38&lt;&gt;"pvp",Inputs!$B$43&gt;0),(((R3182-1)*(Skills!T18*(1+((Inputs!$B$34+(ArtifactsInput!$M$7-ArtifactsInput!$M$7)*CHOOSE(ArtifactsInput!$N$7+1,6,7.2,8.4,9.6,10.8,12)))/100))+MIN((Skills!T18*(1+((Inputs!$B$34+(ArtifactsInput!$M$7-ArtifactsInput!$M$7)*CHOOSE(ArtifactsInput!$N$7+1,6,7.2,8.4,9.6,10.8,12)))/100)),MAX(0,Inputs!$B$43-((R3182-1)*Skills!E18))))/Inputs!$B$43),IF(Inputs!$B$38="pvp",MIN((Skills!T18*(1+((Inputs!$B$34+(ArtifactsInput!$M$7-ArtifactsInput!$M$7)*CHOOSE(ArtifactsInput!$N$7+1,6,7.2,8.4,9.6,10.8,12)))/100)),15)/15,(Skills!T18*(1+((Inputs!$B$34+(ArtifactsInput!$M$7-ArtifactsInput!$M$7)*CHOOSE(ArtifactsInput!$N$7+1,6,7.2,8.4,9.6,10.8,12)))/100))/Skills!E18))</f>
        <v/>
      </c>
    </row>
    <row r="3198">
      <c r="A3198" t="inlineStr">
        <is>
          <t>Actions Per Second</t>
        </is>
      </c>
      <c r="B3198">
        <f>1+MIN(150,150*(1-(1-(Inputs!$B$11+(ArtifactsInput!$M$15-ArtifactsInput!$M$15)*CHOOSE(ArtifactsInput!$N$15+1,8,9.6,11.2,12.8,14.4,16))/150)*(1-B3197/150)))/100</f>
        <v/>
      </c>
    </row>
    <row r="3199">
      <c r="A3199" t="inlineStr">
        <is>
          <t>Skill + Buff Cast Rate</t>
        </is>
      </c>
      <c r="B3199">
        <f>IF(AND(Inputs!$B$38&lt;&gt;"pvp",Inputs!$B$43&gt;0),SUMPRODUCT((Skills!F2:F28=TRUE)*(C3166:C3192=TRUE)*R3166:R3192)/Inputs!$B$43,SUMPRODUCT((Skills!F2:F28=TRUE)*(C3166:C3192=TRUE)*Q3166:Q3192))</f>
        <v/>
      </c>
    </row>
    <row r="3200">
      <c r="A3200" t="inlineStr">
        <is>
          <t>Basic Attacks Per Second</t>
        </is>
      </c>
      <c r="B3200">
        <f>MAX(0,B3198-B3199)</f>
        <v/>
      </c>
    </row>
    <row r="3201">
      <c r="A3201" t="inlineStr">
        <is>
          <t>Meteor Proc — combined trigger cast rate</t>
        </is>
      </c>
      <c r="B3201">
        <f>IF(AND(Inputs!$B$38&lt;&gt;"pvp",Inputs!$B$43&gt;0),SUMPRODUCT((Skills!V2:V28=TRUE)*(C3166:C3192=TRUE)*R3166:R3192*Skills!W2:W28)/Inputs!$B$43,SUMPRODUCT((Skills!V2:V28=TRUE)*(C3166:C3192=TRUE)*Q3166:Q3192*Skills!W2:W28))+B3200</f>
        <v/>
      </c>
    </row>
    <row r="3202">
      <c r="A3202" t="inlineStr">
        <is>
          <t>Buff-Casting Startup Delay (s, fixed-duration only)</t>
        </is>
      </c>
      <c r="B3202">
        <f>IF(AND(Inputs!$B$38&lt;&gt;"pvp",Inputs!$B$43&gt;0),SUMPRODUCT((Skills!T2:T28&gt;0)*(Skills!F2:F28=TRUE)*(C3166:C3192=TRUE))/B3198,0)</f>
        <v/>
      </c>
    </row>
    <row r="3203">
      <c r="A3203" t="inlineStr">
        <is>
          <t>Boss-Only Total DPS (this block's swept value)</t>
        </is>
      </c>
      <c r="B3203">
        <f>SUM(S3166:S3192)</f>
        <v/>
      </c>
    </row>
    <row r="3204">
      <c r="A3204" t="inlineStr">
        <is>
          <t>Normal-Only Total DPS (this block's swept value)</t>
        </is>
      </c>
      <c r="B3204">
        <f>SUM(U3166:U3192)</f>
        <v/>
      </c>
    </row>
    <row r="3205">
      <c r="A3205" s="6" t="inlineStr">
        <is>
          <t>TOTAL DPS</t>
        </is>
      </c>
      <c r="B3205" s="6">
        <f>SUM(O3166:O3192)</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Fire/Poison Arch Mage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32185</v>
      </c>
      <c r="D5">
        <f>C5*Sensitivity!H25</f>
        <v/>
      </c>
      <c r="E5">
        <f>SUMIF($B$5:$B$10,B5,$D$5:$D$10)</f>
        <v/>
      </c>
      <c r="F5">
        <f>TRUE</f>
        <v/>
      </c>
      <c r="G5">
        <f>IF(NOT(F5),1,1+E5/Summary!$B$3)</f>
        <v/>
      </c>
      <c r="I5" s="8" t="inlineStr">
        <is>
          <t>Attack (flat)</t>
        </is>
      </c>
      <c r="J5" s="7" t="n">
        <v>24240</v>
      </c>
      <c r="K5">
        <f>J5*Sensitivity!H25</f>
        <v/>
      </c>
      <c r="L5">
        <f>SUMIF($I$5:$I$10,I5,$K$5:$K$10)</f>
        <v/>
      </c>
      <c r="M5">
        <f>TRUE</f>
        <v/>
      </c>
      <c r="N5">
        <f>IF(NOT(M5),1,1+L5/Summary!$B$3)</f>
        <v/>
      </c>
      <c r="Q5" t="inlineStr">
        <is>
          <t>Max Damage %</t>
        </is>
      </c>
    </row>
    <row r="6">
      <c r="A6" s="6" t="inlineStr">
        <is>
          <t>Line 2</t>
        </is>
      </c>
      <c r="B6" s="7" t="inlineStr">
        <is>
          <t>Critical Damage %</t>
        </is>
      </c>
      <c r="C6" s="7" t="n">
        <v>12.9</v>
      </c>
      <c r="D6">
        <f>IF(B6="(none)",0,C6*(IF(B6="Main Stat (flat)",Sensitivity!H5,IF(B6="Main Stat %",Sensitivity!H6,IF(B6="Attack (flat)",Sensitivity!H25,IF(B6="Min Damage %",Sensitivity!H12,IF(B6="Max Damage %",Sensitivity!H13,IF(B6="Damage %",Sensitivity!H7,IF(B6="Critical Rate %",IF(AND(Inputs!$B$9+Artifacts!$B$32&gt;=100,NOT(ArtifactsInput!$M$42),NOT(ArtifactsInput!$M$24)),Sensitivity!H15,Sensitivity!H14),IF(B6="Critical Damage %",Sensitivity!H15,IF(B6="Boss Monster Damage %",Sensitivity!H9,IF(B6="Normal Monster Damage %",Sensitivity!H10,IF(B6="Defense Penetration %",Sensitivity!H17,IF(B6="Defense (flat)",0,IF(B6="Skill Level Bonus — 1st Job",Sensitivity!H20,IF(B6="Skill Level Bonus — 2nd Job",Sensitivity!H21,IF(B6="Skill Level Bonus — 3rd Job",Sensitivity!H22,IF(B6="Skill Level Bonus — 4th Job",Sensitivity!H23,IF(B6="Skill Level Bonus — All Skills",Sensitivity!H24,IF(B6="Final Damage %",Sensitivity!H11,IF(B6="Basic Attack Damage %",Sensitivity!H18,IF(B6="Skill Damage %",Sensitivity!H19,IF(B6="Attack Speed %",Sensitivity!H16,0)))))))))))))))))))))))</f>
        <v/>
      </c>
      <c r="E6">
        <f>SUMIF($B$5:$B$10,B6,$D$5:$D$10)</f>
        <v/>
      </c>
      <c r="F6">
        <f>AND(B6&lt;&gt;"(none)",COUNTIF($B$5:B5,B6)=0)</f>
        <v/>
      </c>
      <c r="G6">
        <f>IF(NOT(F6),1,1+E6/Summary!$B$3)</f>
        <v/>
      </c>
      <c r="I6" s="7" t="inlineStr">
        <is>
          <t>Skill Level Bonus — 4th Job</t>
        </is>
      </c>
      <c r="J6" s="7" t="n">
        <v>6</v>
      </c>
      <c r="K6">
        <f>IF(I6="(none)",0,J6*(IF(I6="Main Stat (flat)",Sensitivity!H5,IF(I6="Main Stat %",Sensitivity!H6,IF(I6="Attack (flat)",Sensitivity!H25,IF(I6="Min Damage %",Sensitivity!H12,IF(I6="Max Damage %",Sensitivity!H13,IF(I6="Damage %",Sensitivity!H7,IF(I6="Critical Rate %",IF(AND(Inputs!$B$9+Artifacts!$B$32&gt;=100,NOT(ArtifactsInput!$M$42),NOT(ArtifactsInput!$M$24)),Sensitivity!H15,Sensitivity!H14),IF(I6="Critical Damage %",Sensitivity!H15,IF(I6="Boss Monster Damage %",Sensitivity!H9,IF(I6="Normal Monster Damage %",Sensitivity!H10,IF(I6="Defense Penetration %",Sensitivity!H17,IF(I6="Defense (flat)",0,IF(I6="Skill Level Bonus — 1st Job",Sensitivity!H20,IF(I6="Skill Level Bonus — 2nd Job",Sensitivity!H21,IF(I6="Skill Level Bonus — 3rd Job",Sensitivity!H22,IF(I6="Skill Level Bonus — 4th Job",Sensitivity!H23,IF(I6="Skill Level Bonus — All Skills",Sensitivity!H24,IF(I6="Final Damage %",Sensitivity!H11,IF(I6="Basic Attack Damage %",Sensitivity!H18,IF(I6="Skill Damage %",Sensitivity!H19,IF(I6="Attack Speed %",Sensitivity!H16,0)))))))))))))))))))))))</f>
        <v/>
      </c>
      <c r="L6">
        <f>SUMIF($I$5:$I$10,I6,$K$5:$K$10)</f>
        <v/>
      </c>
      <c r="M6">
        <f>AND(I6&lt;&gt;"(none)",COUNTIF($I$5:I5,I6)=0)</f>
        <v/>
      </c>
      <c r="N6">
        <f>IF(NOT(M6),1,1+L6/Summary!$B$3)</f>
        <v/>
      </c>
      <c r="Q6" t="inlineStr">
        <is>
          <t>Damage %</t>
        </is>
      </c>
    </row>
    <row r="7">
      <c r="A7" s="6" t="inlineStr">
        <is>
          <t>Line 3</t>
        </is>
      </c>
      <c r="B7" s="7" t="inlineStr">
        <is>
          <t>Critical Rate %</t>
        </is>
      </c>
      <c r="C7" s="7" t="n">
        <v>12.9</v>
      </c>
      <c r="D7">
        <f>IF(B7="(none)",0,C7*(IF(B7="Main Stat (flat)",Sensitivity!H5,IF(B7="Main Stat %",Sensitivity!H6,IF(B7="Attack (flat)",Sensitivity!H25,IF(B7="Min Damage %",Sensitivity!H12,IF(B7="Max Damage %",Sensitivity!H13,IF(B7="Damage %",Sensitivity!H7,IF(B7="Critical Rate %",IF(AND(Inputs!$B$9+Artifacts!$B$32&gt;=100,NOT(ArtifactsInput!$M$42),NOT(ArtifactsInput!$M$24)),Sensitivity!H15,Sensitivity!H14),IF(B7="Critical Damage %",Sensitivity!H15,IF(B7="Boss Monster Damage %",Sensitivity!H9,IF(B7="Normal Monster Damage %",Sensitivity!H10,IF(B7="Defense Penetration %",Sensitivity!H17,IF(B7="Defense (flat)",0,IF(B7="Skill Level Bonus — 1st Job",Sensitivity!H20,IF(B7="Skill Level Bonus — 2nd Job",Sensitivity!H21,IF(B7="Skill Level Bonus — 3rd Job",Sensitivity!H22,IF(B7="Skill Level Bonus — 4th Job",Sensitivity!H23,IF(B7="Skill Level Bonus — All Skills",Sensitivity!H24,IF(B7="Final Damage %",Sensitivity!H11,IF(B7="Basic Attack Damage %",Sensitivity!H18,IF(B7="Skill Damage %",Sensitivity!H19,IF(B7="Attack Speed %",Sensitivity!H16,0)))))))))))))))))))))))</f>
        <v/>
      </c>
      <c r="E7">
        <f>SUMIF($B$5:$B$10,B7,$D$5:$D$10)</f>
        <v/>
      </c>
      <c r="F7">
        <f>AND(B7&lt;&gt;"(none)",COUNTIF($B$5:B6,B7)=0)</f>
        <v/>
      </c>
      <c r="G7">
        <f>IF(NOT(F7),1,1+E7/Summary!$B$3)</f>
        <v/>
      </c>
      <c r="I7" s="7" t="inlineStr">
        <is>
          <t>Critical Rate %</t>
        </is>
      </c>
      <c r="J7" s="7" t="n">
        <v>11.9</v>
      </c>
      <c r="K7">
        <f>IF(I7="(none)",0,J7*(IF(I7="Main Stat (flat)",Sensitivity!H5,IF(I7="Main Stat %",Sensitivity!H6,IF(I7="Attack (flat)",Sensitivity!H25,IF(I7="Min Damage %",Sensitivity!H12,IF(I7="Max Damage %",Sensitivity!H13,IF(I7="Damage %",Sensitivity!H7,IF(I7="Critical Rate %",IF(AND(Inputs!$B$9+Artifacts!$B$32&gt;=100,NOT(ArtifactsInput!$M$42),NOT(ArtifactsInput!$M$24)),Sensitivity!H15,Sensitivity!H14),IF(I7="Critical Damage %",Sensitivity!H15,IF(I7="Boss Monster Damage %",Sensitivity!H9,IF(I7="Normal Monster Damage %",Sensitivity!H10,IF(I7="Defense Penetration %",Sensitivity!H17,IF(I7="Defense (flat)",0,IF(I7="Skill Level Bonus — 1st Job",Sensitivity!H20,IF(I7="Skill Level Bonus — 2nd Job",Sensitivity!H21,IF(I7="Skill Level Bonus — 3rd Job",Sensitivity!H22,IF(I7="Skill Level Bonus — 4th Job",Sensitivity!H23,IF(I7="Skill Level Bonus — All Skills",Sensitivity!H24,IF(I7="Final Damage %",Sensitivity!H11,IF(I7="Basic Attack Damage %",Sensitivity!H18,IF(I7="Skill Damage %",Sensitivity!H19,IF(I7="Attack Speed %",Sensitivity!H16,0)))))))))))))))))))))))</f>
        <v/>
      </c>
      <c r="L7">
        <f>SUMIF($I$5:$I$10,I7,$K$5:$K$10)</f>
        <v/>
      </c>
      <c r="M7">
        <f>AND(I7&lt;&gt;"(none)",COUNTIF($I$5:I6,I7)=0)</f>
        <v/>
      </c>
      <c r="N7">
        <f>IF(NOT(M7),1,1+L7/Summary!$B$3)</f>
        <v/>
      </c>
      <c r="Q7" t="inlineStr">
        <is>
          <t>Critical Rate %</t>
        </is>
      </c>
    </row>
    <row r="8">
      <c r="A8" s="6" t="inlineStr">
        <is>
          <t>Line 4</t>
        </is>
      </c>
      <c r="B8" s="7" t="inlineStr">
        <is>
          <t>Skill Level Bonus — 3rd Job</t>
        </is>
      </c>
      <c r="C8" s="7" t="n">
        <v>11</v>
      </c>
      <c r="D8">
        <f>IF(B8="(none)",0,C8*(IF(B8="Main Stat (flat)",Sensitivity!H5,IF(B8="Main Stat %",Sensitivity!H6,IF(B8="Attack (flat)",Sensitivity!H25,IF(B8="Min Damage %",Sensitivity!H12,IF(B8="Max Damage %",Sensitivity!H13,IF(B8="Damage %",Sensitivity!H7,IF(B8="Critical Rate %",IF(AND(Inputs!$B$9+Artifacts!$B$32&gt;=100,NOT(ArtifactsInput!$M$42),NOT(ArtifactsInput!$M$24)),Sensitivity!H15,Sensitivity!H14),IF(B8="Critical Damage %",Sensitivity!H15,IF(B8="Boss Monster Damage %",Sensitivity!H9,IF(B8="Normal Monster Damage %",Sensitivity!H10,IF(B8="Defense Penetration %",Sensitivity!H17,IF(B8="Defense (flat)",0,IF(B8="Skill Level Bonus — 1st Job",Sensitivity!H20,IF(B8="Skill Level Bonus — 2nd Job",Sensitivity!H21,IF(B8="Skill Level Bonus — 3rd Job",Sensitivity!H22,IF(B8="Skill Level Bonus — 4th Job",Sensitivity!H23,IF(B8="Skill Level Bonus — All Skills",Sensitivity!H24,IF(B8="Final Damage %",Sensitivity!H11,IF(B8="Basic Attack Damage %",Sensitivity!H18,IF(B8="Skill Damage %",Sensitivity!H19,IF(B8="Attack Speed %",Sensitivity!H16,0)))))))))))))))))))))))</f>
        <v/>
      </c>
      <c r="E8">
        <f>SUMIF($B$5:$B$10,B8,$D$5:$D$10)</f>
        <v/>
      </c>
      <c r="F8">
        <f>AND(B8&lt;&gt;"(none)",COUNTIF($B$5:B7,B8)=0)</f>
        <v/>
      </c>
      <c r="G8">
        <f>IF(NOT(F8),1,1+E8/Summary!$B$3)</f>
        <v/>
      </c>
      <c r="I8" s="7" t="inlineStr">
        <is>
          <t>Critical Damage %</t>
        </is>
      </c>
      <c r="J8" s="7" t="n">
        <v>12</v>
      </c>
      <c r="K8">
        <f>IF(I8="(none)",0,J8*(IF(I8="Main Stat (flat)",Sensitivity!H5,IF(I8="Main Stat %",Sensitivity!H6,IF(I8="Attack (flat)",Sensitivity!H25,IF(I8="Min Damage %",Sensitivity!H12,IF(I8="Max Damage %",Sensitivity!H13,IF(I8="Damage %",Sensitivity!H7,IF(I8="Critical Rate %",IF(AND(Inputs!$B$9+Artifacts!$B$32&gt;=100,NOT(ArtifactsInput!$M$42),NOT(ArtifactsInput!$M$24)),Sensitivity!H15,Sensitivity!H14),IF(I8="Critical Damage %",Sensitivity!H15,IF(I8="Boss Monster Damage %",Sensitivity!H9,IF(I8="Normal Monster Damage %",Sensitivity!H10,IF(I8="Defense Penetration %",Sensitivity!H17,IF(I8="Defense (flat)",0,IF(I8="Skill Level Bonus — 1st Job",Sensitivity!H20,IF(I8="Skill Level Bonus — 2nd Job",Sensitivity!H21,IF(I8="Skill Level Bonus — 3rd Job",Sensitivity!H22,IF(I8="Skill Level Bonus — 4th Job",Sensitivity!H23,IF(I8="Skill Level Bonus — All Skills",Sensitivity!H24,IF(I8="Final Damage %",Sensitivity!H11,IF(I8="Basic Attack Damage %",Sensitivity!H18,IF(I8="Skill Damage %",Sensitivity!H19,IF(I8="Attack Speed %",Sensitivity!H16,0)))))))))))))))))))))))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(flat)",Sensitivity!H25,IF(B9="Min Damage %",Sensitivity!H12,IF(B9="Max Damage %",Sensitivity!H13,IF(B9="Damage %",Sensitivity!H7,IF(B9="Critical Rate %",IF(AND(Inputs!$B$9+Artifacts!$B$32&gt;=100,NOT(ArtifactsInput!$M$42),NOT(ArtifactsInput!$M$24)),Sensitivity!H15,Sensitivity!H14),IF(B9="Critical Damage %",Sensitivity!H15,IF(B9="Boss Monster Damage %",Sensitivity!H9,IF(B9="Normal Monster Damage %",Sensitivity!H10,IF(B9="Defense Penetration %",Sensitivity!H17,IF(B9="Defense (flat)",0,IF(B9="Skill Level Bonus — 1st Job",Sensitivity!H20,IF(B9="Skill Level Bonus — 2nd Job",Sensitivity!H21,IF(B9="Skill Level Bonus — 3rd Job",Sensitivity!H22,IF(B9="Skill Level Bonus — 4th Job",Sensitivity!H23,IF(B9="Skill Level Bonus — All Skills",Sensitivity!H24,IF(B9="Final Damage %",Sensitivity!H11,IF(B9="Basic Attack Damage %",Sensitivity!H18,IF(B9="Skill Damage %",Sensitivity!H19,IF(B9="Attack Speed %",Sensitivity!H16,0)))))))))))))))))))))))</f>
        <v/>
      </c>
      <c r="E9">
        <f>SUMIF($B$5:$B$10,B9,$D$5:$D$10)</f>
        <v/>
      </c>
      <c r="F9">
        <f>AND(B9&lt;&gt;"(none)",COUNTIF($B$5:B8,B9)=0)</f>
        <v/>
      </c>
      <c r="G9">
        <f>IF(NOT(F9),1,1+E9/Summary!$B$3)</f>
        <v/>
      </c>
      <c r="I9" s="7" t="inlineStr">
        <is>
          <t>(none)</t>
        </is>
      </c>
      <c r="J9" s="7" t="n">
        <v>0</v>
      </c>
      <c r="K9">
        <f>IF(I9="(none)",0,J9*(IF(I9="Main Stat (flat)",Sensitivity!H5,IF(I9="Main Stat %",Sensitivity!H6,IF(I9="Attack (flat)",Sensitivity!H25,IF(I9="Min Damage %",Sensitivity!H12,IF(I9="Max Damage %",Sensitivity!H13,IF(I9="Damage %",Sensitivity!H7,IF(I9="Critical Rate %",IF(AND(Inputs!$B$9+Artifacts!$B$32&gt;=100,NOT(ArtifactsInput!$M$42),NOT(ArtifactsInput!$M$24)),Sensitivity!H15,Sensitivity!H14),IF(I9="Critical Damage %",Sensitivity!H15,IF(I9="Boss Monster Damage %",Sensitivity!H9,IF(I9="Normal Monster Damage %",Sensitivity!H10,IF(I9="Defense Penetration %",Sensitivity!H17,IF(I9="Defense (flat)",0,IF(I9="Skill Level Bonus — 1st Job",Sensitivity!H20,IF(I9="Skill Level Bonus — 2nd Job",Sensitivity!H21,IF(I9="Skill Level Bonus — 3rd Job",Sensitivity!H22,IF(I9="Skill Level Bonus — 4th Job",Sensitivity!H23,IF(I9="Skill Level Bonus — All Skills",Sensitivity!H24,IF(I9="Final Damage %",Sensitivity!H11,IF(I9="Basic Attack Damage %",Sensitivity!H18,IF(I9="Skill Damage %",Sensitivity!H19,IF(I9="Attack Speed %",Sensitivity!H16,0)))))))))))))))))))))))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(flat)",Sensitivity!H25,IF(B10="Min Damage %",Sensitivity!H12,IF(B10="Max Damage %",Sensitivity!H13,IF(B10="Damage %",Sensitivity!H7,IF(B10="Critical Rate %",IF(AND(Inputs!$B$9+Artifacts!$B$32&gt;=100,NOT(ArtifactsInput!$M$42),NOT(ArtifactsInput!$M$24)),Sensitivity!H15,Sensitivity!H14),IF(B10="Critical Damage %",Sensitivity!H15,IF(B10="Boss Monster Damage %",Sensitivity!H9,IF(B10="Normal Monster Damage %",Sensitivity!H10,IF(B10="Defense Penetration %",Sensitivity!H17,IF(B10="Defense (flat)",0,IF(B10="Skill Level Bonus — 1st Job",Sensitivity!H20,IF(B10="Skill Level Bonus — 2nd Job",Sensitivity!H21,IF(B10="Skill Level Bonus — 3rd Job",Sensitivity!H22,IF(B10="Skill Level Bonus — 4th Job",Sensitivity!H23,IF(B10="Skill Level Bonus — All Skills",Sensitivity!H24,IF(B10="Final Damage %",Sensitivity!H11,IF(B10="Basic Attack Damage %",Sensitivity!H18,IF(B10="Skill Damage %",Sensitivity!H19,IF(B10="Attack Speed %",Sensitivity!H16,0)))))))))))))))))))))))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(flat)",Sensitivity!H25,IF(I10="Min Damage %",Sensitivity!H12,IF(I10="Max Damage %",Sensitivity!H13,IF(I10="Damage %",Sensitivity!H7,IF(I10="Critical Rate %",IF(AND(Inputs!$B$9+Artifacts!$B$32&gt;=100,NOT(ArtifactsInput!$M$42),NOT(ArtifactsInput!$M$24)),Sensitivity!H15,Sensitivity!H14),IF(I10="Critical Damage %",Sensitivity!H15,IF(I10="Boss Monster Damage %",Sensitivity!H9,IF(I10="Normal Monster Damage %",Sensitivity!H10,IF(I10="Defense Penetration %",Sensitivity!H17,IF(I10="Defense (flat)",0,IF(I10="Skill Level Bonus — 1st Job",Sensitivity!H20,IF(I10="Skill Level Bonus — 2nd Job",Sensitivity!H21,IF(I10="Skill Level Bonus — 3rd Job",Sensitivity!H22,IF(I10="Skill Level Bonus — 4th Job",Sensitivity!H23,IF(I10="Skill Level Bonus — All Skills",Sensitivity!H24,IF(I10="Final Damage %",Sensitivity!H11,IF(I10="Basic Attack Damage %",Sensitivity!H18,IF(I10="Skill Damage %",Sensitivity!H19,IF(I10="Attack Speed %",Sensitivity!H16,0)))))))))))))))))))))))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IF(AND(Inputs!$B$9+Artifacts!$B$32&gt;=100,NOT(ArtifactsInput!$M$42),NOT(ArtifactsInput!$M$24)),Sensitivity!H15,Sensitivity!H14)</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Sensitivity!H16</f>
        <v/>
      </c>
      <c r="J3" t="inlineStr">
        <is>
          <t>All Skill Level</t>
        </is>
      </c>
      <c r="K3">
        <f>Sensitivity!H24</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Sensitivity!H7</f>
        <v/>
      </c>
      <c r="J4" t="inlineStr">
        <is>
          <t>Attack Speed %</t>
        </is>
      </c>
      <c r="K4">
        <f>Sensitivity!H16</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Sensitivity!H12</f>
        <v/>
      </c>
      <c r="J5" t="inlineStr">
        <is>
          <t>Basic Attack Damage %</t>
        </is>
      </c>
      <c r="K5">
        <f>Sensitivity!H18</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Sensitivity!H13</f>
        <v/>
      </c>
      <c r="J6" t="inlineStr">
        <is>
          <t>Basic Attack Target Increase</t>
        </is>
      </c>
      <c r="K6">
        <f>Sensitivity!H28</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Sensitivity!H29</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Sensitivity!H15</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f>Sensitivity!H6</f>
        <v/>
      </c>
      <c r="J9" t="inlineStr">
        <is>
          <t>Critical Damage %</t>
        </is>
      </c>
      <c r="K9">
        <f>Sensitivity!H15</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IF(AND(Inputs!$B$9+Artifacts!$B$32&gt;=100,NOT(ArtifactsInput!$M$42),NOT(ArtifactsInput!$M$24)),Sensitivity!H15,Sensitivity!H14)</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Sensitivity!H7</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Sensitivity!H17</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f>Sensitivity!H5</f>
        <v/>
      </c>
      <c r="J16" t="inlineStr">
        <is>
          <t>Final Damage %</t>
        </is>
      </c>
      <c r="K16">
        <f>Sensitivity!H11</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f>Sensitivity!H5</f>
        <v/>
      </c>
    </row>
    <row r="18">
      <c r="A18" t="inlineStr">
        <is>
          <t>ALL</t>
        </is>
      </c>
      <c r="B18" t="inlineStr">
        <is>
          <t>normal</t>
        </is>
      </c>
      <c r="C18" t="n">
        <v>2</v>
      </c>
      <c r="D18" t="inlineStr">
        <is>
          <t>Critical Rate %</t>
        </is>
      </c>
      <c r="E18" t="n">
        <v>3</v>
      </c>
      <c r="F18" t="n">
        <v>2.5</v>
      </c>
      <c r="G18" t="b">
        <v>0</v>
      </c>
      <c r="H18">
        <f>IF(AND(Inputs!$B$9+Artifacts!$B$32&gt;=100,NOT(ArtifactsInput!$M$42),NOT(ArtifactsInput!$M$24)),Sensitivity!H15,Sensitivity!H14)</f>
        <v/>
      </c>
      <c r="J18" t="inlineStr">
        <is>
          <t>Int %</t>
        </is>
      </c>
      <c r="K18">
        <f>Sensitivity!H6</f>
        <v/>
      </c>
    </row>
    <row r="19">
      <c r="A19" t="inlineStr">
        <is>
          <t>ALL</t>
        </is>
      </c>
      <c r="B19" t="inlineStr">
        <is>
          <t>normal</t>
        </is>
      </c>
      <c r="C19" t="n">
        <v>2</v>
      </c>
      <c r="D19" t="inlineStr">
        <is>
          <t>Attack Speed %</t>
        </is>
      </c>
      <c r="E19" t="n">
        <v>3</v>
      </c>
      <c r="F19" t="n">
        <v>2.5</v>
      </c>
      <c r="G19" t="b">
        <v>0</v>
      </c>
      <c r="H19">
        <f>Sensitivity!H16</f>
        <v/>
      </c>
      <c r="J19" t="inlineStr">
        <is>
          <t>Luk</t>
        </is>
      </c>
      <c r="K19" t="inlineStr">
        <is>
          <t>0</t>
        </is>
      </c>
    </row>
    <row r="20">
      <c r="A20" t="inlineStr">
        <is>
          <t>ALL</t>
        </is>
      </c>
      <c r="B20" t="inlineStr">
        <is>
          <t>normal</t>
        </is>
      </c>
      <c r="C20" t="n">
        <v>2</v>
      </c>
      <c r="D20" t="inlineStr">
        <is>
          <t>Damage %</t>
        </is>
      </c>
      <c r="E20" t="n">
        <v>5</v>
      </c>
      <c r="F20" t="n">
        <v>4</v>
      </c>
      <c r="G20" t="b">
        <v>0</v>
      </c>
      <c r="H20">
        <f>Sensitivity!H7</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Sensitivity!H12</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Sensitivity!H13</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Sensitivity!H13</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f>Sensitivity!H6</f>
        <v/>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Sensitivity!H12</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Sensitivity!H27</f>
        <v/>
      </c>
    </row>
    <row r="28">
      <c r="A28" t="inlineStr">
        <is>
          <t>ALL</t>
        </is>
      </c>
      <c r="B28" t="inlineStr">
        <is>
          <t>normal</t>
        </is>
      </c>
      <c r="C28" t="n">
        <v>2</v>
      </c>
      <c r="D28" t="inlineStr">
        <is>
          <t>Max HP %</t>
        </is>
      </c>
      <c r="E28" t="n">
        <v>6</v>
      </c>
      <c r="F28" t="n">
        <v>9</v>
      </c>
      <c r="G28" t="b">
        <v>0</v>
      </c>
      <c r="H28" t="inlineStr">
        <is>
          <t>0</t>
        </is>
      </c>
      <c r="J28" t="inlineStr">
        <is>
          <t>Skill Damage %</t>
        </is>
      </c>
      <c r="K28">
        <f>Sensitivity!H19</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f>Sensitivity!H5</f>
        <v/>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IF(AND(Inputs!$B$9+Artifacts!$B$32&gt;=100,NOT(ArtifactsInput!$M$42),NOT(ArtifactsInput!$M$24)),Sensitivity!H15,Sensitivity!H14)</f>
        <v/>
      </c>
    </row>
    <row r="35">
      <c r="A35" t="inlineStr">
        <is>
          <t>ALL</t>
        </is>
      </c>
      <c r="B35" t="inlineStr">
        <is>
          <t>normal</t>
        </is>
      </c>
      <c r="C35" t="n">
        <v>3</v>
      </c>
      <c r="D35" t="inlineStr">
        <is>
          <t>Attack Speed %</t>
        </is>
      </c>
      <c r="E35" t="n">
        <v>3</v>
      </c>
      <c r="F35" t="n">
        <v>2.5</v>
      </c>
      <c r="G35" t="b">
        <v>0</v>
      </c>
      <c r="H35">
        <f>Sensitivity!H16</f>
        <v/>
      </c>
    </row>
    <row r="36">
      <c r="A36" t="inlineStr">
        <is>
          <t>ALL</t>
        </is>
      </c>
      <c r="B36" t="inlineStr">
        <is>
          <t>normal</t>
        </is>
      </c>
      <c r="C36" t="n">
        <v>3</v>
      </c>
      <c r="D36" t="inlineStr">
        <is>
          <t>Damage %</t>
        </is>
      </c>
      <c r="E36" t="n">
        <v>5</v>
      </c>
      <c r="F36" t="n">
        <v>4</v>
      </c>
      <c r="G36" t="b">
        <v>0</v>
      </c>
      <c r="H36">
        <f>Sensitivity!H7</f>
        <v/>
      </c>
    </row>
    <row r="37">
      <c r="A37" t="inlineStr">
        <is>
          <t>ALL</t>
        </is>
      </c>
      <c r="B37" t="inlineStr">
        <is>
          <t>normal</t>
        </is>
      </c>
      <c r="C37" t="n">
        <v>3</v>
      </c>
      <c r="D37" t="inlineStr">
        <is>
          <t>Min Damage Multiplier %</t>
        </is>
      </c>
      <c r="E37" t="n">
        <v>3</v>
      </c>
      <c r="F37" t="n">
        <v>4</v>
      </c>
      <c r="G37" t="b">
        <v>0</v>
      </c>
      <c r="H37">
        <f>Sensitivity!H12</f>
        <v/>
      </c>
    </row>
    <row r="38">
      <c r="A38" t="inlineStr">
        <is>
          <t>ALL</t>
        </is>
      </c>
      <c r="B38" t="inlineStr">
        <is>
          <t>normal</t>
        </is>
      </c>
      <c r="C38" t="n">
        <v>3</v>
      </c>
      <c r="D38" t="inlineStr">
        <is>
          <t>Max Damage Multiplier %</t>
        </is>
      </c>
      <c r="E38" t="n">
        <v>3</v>
      </c>
      <c r="F38" t="n">
        <v>4</v>
      </c>
      <c r="G38" t="b">
        <v>0</v>
      </c>
      <c r="H38">
        <f>Sensitivity!H13</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f>Sensitivity!H6</f>
        <v/>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f>Sensitivity!H5</f>
        <v/>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IF(AND(Inputs!$B$9+Artifacts!$B$32&gt;=100,NOT(ArtifactsInput!$M$42),NOT(ArtifactsInput!$M$24)),Sensitivity!H15,Sensitivity!H14)</f>
        <v/>
      </c>
    </row>
    <row r="51">
      <c r="A51" t="inlineStr">
        <is>
          <t>ALL</t>
        </is>
      </c>
      <c r="B51" t="inlineStr">
        <is>
          <t>rare</t>
        </is>
      </c>
      <c r="C51" t="n">
        <v>1</v>
      </c>
      <c r="D51" t="inlineStr">
        <is>
          <t>Attack Speed %</t>
        </is>
      </c>
      <c r="E51" t="n">
        <v>3.5</v>
      </c>
      <c r="F51" t="n">
        <v>2.5</v>
      </c>
      <c r="G51" t="b">
        <v>1</v>
      </c>
      <c r="H51">
        <f>Sensitivity!H16</f>
        <v/>
      </c>
    </row>
    <row r="52">
      <c r="A52" t="inlineStr">
        <is>
          <t>ALL</t>
        </is>
      </c>
      <c r="B52" t="inlineStr">
        <is>
          <t>rare</t>
        </is>
      </c>
      <c r="C52" t="n">
        <v>1</v>
      </c>
      <c r="D52" t="inlineStr">
        <is>
          <t>Damage %</t>
        </is>
      </c>
      <c r="E52" t="n">
        <v>8</v>
      </c>
      <c r="F52" t="n">
        <v>4</v>
      </c>
      <c r="G52" t="b">
        <v>1</v>
      </c>
      <c r="H52">
        <f>Sensitivity!H7</f>
        <v/>
      </c>
    </row>
    <row r="53">
      <c r="A53" t="inlineStr">
        <is>
          <t>ALL</t>
        </is>
      </c>
      <c r="B53" t="inlineStr">
        <is>
          <t>rare</t>
        </is>
      </c>
      <c r="C53" t="n">
        <v>1</v>
      </c>
      <c r="D53" t="inlineStr">
        <is>
          <t>Min Damage Multiplier %</t>
        </is>
      </c>
      <c r="E53" t="n">
        <v>6</v>
      </c>
      <c r="F53" t="n">
        <v>4</v>
      </c>
      <c r="G53" t="b">
        <v>1</v>
      </c>
      <c r="H53">
        <f>Sensitivity!H12</f>
        <v/>
      </c>
    </row>
    <row r="54">
      <c r="A54" t="inlineStr">
        <is>
          <t>ALL</t>
        </is>
      </c>
      <c r="B54" t="inlineStr">
        <is>
          <t>rare</t>
        </is>
      </c>
      <c r="C54" t="n">
        <v>1</v>
      </c>
      <c r="D54" t="inlineStr">
        <is>
          <t>Max Damage Multiplier %</t>
        </is>
      </c>
      <c r="E54" t="n">
        <v>6</v>
      </c>
      <c r="F54" t="n">
        <v>4</v>
      </c>
      <c r="G54" t="b">
        <v>1</v>
      </c>
      <c r="H54">
        <f>Sensitivity!H13</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f>Sensitivity!H6</f>
        <v/>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f>Sensitivity!H5</f>
        <v/>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IF(AND(Inputs!$B$9+Artifacts!$B$32&gt;=100,NOT(ArtifactsInput!$M$42),NOT(ArtifactsInput!$M$24)),Sensitivity!H15,Sensitivity!H14)</f>
        <v/>
      </c>
    </row>
    <row r="67">
      <c r="A67" t="inlineStr">
        <is>
          <t>ALL</t>
        </is>
      </c>
      <c r="B67" t="inlineStr">
        <is>
          <t>rare</t>
        </is>
      </c>
      <c r="C67" t="n">
        <v>2</v>
      </c>
      <c r="D67" t="inlineStr">
        <is>
          <t>Critical Rate %</t>
        </is>
      </c>
      <c r="E67" t="n">
        <v>4.5</v>
      </c>
      <c r="F67" t="n">
        <v>0.6</v>
      </c>
      <c r="G67" t="b">
        <v>1</v>
      </c>
      <c r="H67">
        <f>IF(AND(Inputs!$B$9+Artifacts!$B$32&gt;=100,NOT(ArtifactsInput!$M$42),NOT(ArtifactsInput!$M$24)),Sensitivity!H15,Sensitivity!H14)</f>
        <v/>
      </c>
    </row>
    <row r="68">
      <c r="A68" t="inlineStr">
        <is>
          <t>ALL</t>
        </is>
      </c>
      <c r="B68" t="inlineStr">
        <is>
          <t>rare</t>
        </is>
      </c>
      <c r="C68" t="n">
        <v>2</v>
      </c>
      <c r="D68" t="inlineStr">
        <is>
          <t>Attack Speed %</t>
        </is>
      </c>
      <c r="E68" t="n">
        <v>3</v>
      </c>
      <c r="F68" t="n">
        <v>1.9</v>
      </c>
      <c r="G68" t="b">
        <v>0</v>
      </c>
      <c r="H68">
        <f>Sensitivity!H16</f>
        <v/>
      </c>
    </row>
    <row r="69">
      <c r="A69" t="inlineStr">
        <is>
          <t>ALL</t>
        </is>
      </c>
      <c r="B69" t="inlineStr">
        <is>
          <t>rare</t>
        </is>
      </c>
      <c r="C69" t="n">
        <v>2</v>
      </c>
      <c r="D69" t="inlineStr">
        <is>
          <t>Attack Speed %</t>
        </is>
      </c>
      <c r="E69" t="n">
        <v>3.5</v>
      </c>
      <c r="F69" t="n">
        <v>0.6</v>
      </c>
      <c r="G69" t="b">
        <v>1</v>
      </c>
      <c r="H69">
        <f>Sensitivity!H16</f>
        <v/>
      </c>
    </row>
    <row r="70">
      <c r="A70" t="inlineStr">
        <is>
          <t>ALL</t>
        </is>
      </c>
      <c r="B70" t="inlineStr">
        <is>
          <t>rare</t>
        </is>
      </c>
      <c r="C70" t="n">
        <v>2</v>
      </c>
      <c r="D70" t="inlineStr">
        <is>
          <t>Damage %</t>
        </is>
      </c>
      <c r="E70" t="n">
        <v>5</v>
      </c>
      <c r="F70" t="n">
        <v>3.04</v>
      </c>
      <c r="G70" t="b">
        <v>0</v>
      </c>
      <c r="H70">
        <f>Sensitivity!H7</f>
        <v/>
      </c>
    </row>
    <row r="71">
      <c r="A71" t="inlineStr">
        <is>
          <t>ALL</t>
        </is>
      </c>
      <c r="B71" t="inlineStr">
        <is>
          <t>rare</t>
        </is>
      </c>
      <c r="C71" t="n">
        <v>2</v>
      </c>
      <c r="D71" t="inlineStr">
        <is>
          <t>Damage %</t>
        </is>
      </c>
      <c r="E71" t="n">
        <v>8</v>
      </c>
      <c r="F71" t="n">
        <v>0.96</v>
      </c>
      <c r="G71" t="b">
        <v>1</v>
      </c>
      <c r="H71">
        <f>Sensitivity!H7</f>
        <v/>
      </c>
    </row>
    <row r="72">
      <c r="A72" t="inlineStr">
        <is>
          <t>ALL</t>
        </is>
      </c>
      <c r="B72" t="inlineStr">
        <is>
          <t>rare</t>
        </is>
      </c>
      <c r="C72" t="n">
        <v>2</v>
      </c>
      <c r="D72" t="inlineStr">
        <is>
          <t>Min Damage Multiplier %</t>
        </is>
      </c>
      <c r="E72" t="n">
        <v>3</v>
      </c>
      <c r="F72" t="n">
        <v>3.04</v>
      </c>
      <c r="G72" t="b">
        <v>0</v>
      </c>
      <c r="H72">
        <f>Sensitivity!H12</f>
        <v/>
      </c>
    </row>
    <row r="73">
      <c r="A73" t="inlineStr">
        <is>
          <t>ALL</t>
        </is>
      </c>
      <c r="B73" t="inlineStr">
        <is>
          <t>rare</t>
        </is>
      </c>
      <c r="C73" t="n">
        <v>2</v>
      </c>
      <c r="D73" t="inlineStr">
        <is>
          <t>Min Damage Multiplier %</t>
        </is>
      </c>
      <c r="E73" t="n">
        <v>6</v>
      </c>
      <c r="F73" t="n">
        <v>0.96</v>
      </c>
      <c r="G73" t="b">
        <v>1</v>
      </c>
      <c r="H73">
        <f>Sensitivity!H12</f>
        <v/>
      </c>
    </row>
    <row r="74">
      <c r="A74" t="inlineStr">
        <is>
          <t>ALL</t>
        </is>
      </c>
      <c r="B74" t="inlineStr">
        <is>
          <t>rare</t>
        </is>
      </c>
      <c r="C74" t="n">
        <v>2</v>
      </c>
      <c r="D74" t="inlineStr">
        <is>
          <t>Max Damage Multiplier %</t>
        </is>
      </c>
      <c r="E74" t="n">
        <v>3</v>
      </c>
      <c r="F74" t="n">
        <v>3.04</v>
      </c>
      <c r="G74" t="b">
        <v>0</v>
      </c>
      <c r="H74">
        <f>Sensitivity!H13</f>
        <v/>
      </c>
    </row>
    <row r="75">
      <c r="A75" t="inlineStr">
        <is>
          <t>ALL</t>
        </is>
      </c>
      <c r="B75" t="inlineStr">
        <is>
          <t>rare</t>
        </is>
      </c>
      <c r="C75" t="n">
        <v>2</v>
      </c>
      <c r="D75" t="inlineStr">
        <is>
          <t>Max Damage Multiplier %</t>
        </is>
      </c>
      <c r="E75" t="n">
        <v>6</v>
      </c>
      <c r="F75" t="n">
        <v>0.96</v>
      </c>
      <c r="G75" t="b">
        <v>1</v>
      </c>
      <c r="H75">
        <f>Sensitivity!H13</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f>Sensitivity!H6</f>
        <v/>
      </c>
    </row>
    <row r="81">
      <c r="A81" t="inlineStr">
        <is>
          <t>ALL</t>
        </is>
      </c>
      <c r="B81" t="inlineStr">
        <is>
          <t>rare</t>
        </is>
      </c>
      <c r="C81" t="n">
        <v>2</v>
      </c>
      <c r="D81" t="inlineStr">
        <is>
          <t>Int %</t>
        </is>
      </c>
      <c r="E81" t="n">
        <v>4.5</v>
      </c>
      <c r="F81" t="n">
        <v>1.08</v>
      </c>
      <c r="G81" t="b">
        <v>1</v>
      </c>
      <c r="H81">
        <f>Sensitivity!H6</f>
        <v/>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f>Sensitivity!H5</f>
        <v/>
      </c>
    </row>
    <row r="95">
      <c r="A95" t="inlineStr">
        <is>
          <t>ALL</t>
        </is>
      </c>
      <c r="B95" t="inlineStr">
        <is>
          <t>rare</t>
        </is>
      </c>
      <c r="C95" t="n">
        <v>2</v>
      </c>
      <c r="D95" t="inlineStr">
        <is>
          <t>Int</t>
        </is>
      </c>
      <c r="E95" t="n">
        <v>100</v>
      </c>
      <c r="F95" t="n">
        <v>2.28</v>
      </c>
      <c r="G95" t="b">
        <v>1</v>
      </c>
      <c r="H95">
        <f>Sensitivity!H5</f>
        <v/>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IF(AND(Inputs!$B$9+Artifacts!$B$32&gt;=100,NOT(ArtifactsInput!$M$42),NOT(ArtifactsInput!$M$24)),Sensitivity!H15,Sensitivity!H14)</f>
        <v/>
      </c>
    </row>
    <row r="99">
      <c r="A99" t="inlineStr">
        <is>
          <t>ALL</t>
        </is>
      </c>
      <c r="B99" t="inlineStr">
        <is>
          <t>rare</t>
        </is>
      </c>
      <c r="C99" t="n">
        <v>3</v>
      </c>
      <c r="D99" t="inlineStr">
        <is>
          <t>Critical Rate %</t>
        </is>
      </c>
      <c r="E99" t="n">
        <v>4.5</v>
      </c>
      <c r="F99" t="n">
        <v>0.2</v>
      </c>
      <c r="G99" t="b">
        <v>1</v>
      </c>
      <c r="H99">
        <f>IF(AND(Inputs!$B$9+Artifacts!$B$32&gt;=100,NOT(ArtifactsInput!$M$42),NOT(ArtifactsInput!$M$24)),Sensitivity!H15,Sensitivity!H14)</f>
        <v/>
      </c>
    </row>
    <row r="100">
      <c r="A100" t="inlineStr">
        <is>
          <t>ALL</t>
        </is>
      </c>
      <c r="B100" t="inlineStr">
        <is>
          <t>rare</t>
        </is>
      </c>
      <c r="C100" t="n">
        <v>3</v>
      </c>
      <c r="D100" t="inlineStr">
        <is>
          <t>Attack Speed %</t>
        </is>
      </c>
      <c r="E100" t="n">
        <v>3</v>
      </c>
      <c r="F100" t="n">
        <v>2.3</v>
      </c>
      <c r="G100" t="b">
        <v>0</v>
      </c>
      <c r="H100">
        <f>Sensitivity!H16</f>
        <v/>
      </c>
    </row>
    <row r="101">
      <c r="A101" t="inlineStr">
        <is>
          <t>ALL</t>
        </is>
      </c>
      <c r="B101" t="inlineStr">
        <is>
          <t>rare</t>
        </is>
      </c>
      <c r="C101" t="n">
        <v>3</v>
      </c>
      <c r="D101" t="inlineStr">
        <is>
          <t>Attack Speed %</t>
        </is>
      </c>
      <c r="E101" t="n">
        <v>3.5</v>
      </c>
      <c r="F101" t="n">
        <v>0.2</v>
      </c>
      <c r="G101" t="b">
        <v>1</v>
      </c>
      <c r="H101">
        <f>Sensitivity!H16</f>
        <v/>
      </c>
    </row>
    <row r="102">
      <c r="A102" t="inlineStr">
        <is>
          <t>ALL</t>
        </is>
      </c>
      <c r="B102" t="inlineStr">
        <is>
          <t>rare</t>
        </is>
      </c>
      <c r="C102" t="n">
        <v>3</v>
      </c>
      <c r="D102" t="inlineStr">
        <is>
          <t>Damage %</t>
        </is>
      </c>
      <c r="E102" t="n">
        <v>5</v>
      </c>
      <c r="F102" t="n">
        <v>3.68</v>
      </c>
      <c r="G102" t="b">
        <v>0</v>
      </c>
      <c r="H102">
        <f>Sensitivity!H7</f>
        <v/>
      </c>
    </row>
    <row r="103">
      <c r="A103" t="inlineStr">
        <is>
          <t>ALL</t>
        </is>
      </c>
      <c r="B103" t="inlineStr">
        <is>
          <t>rare</t>
        </is>
      </c>
      <c r="C103" t="n">
        <v>3</v>
      </c>
      <c r="D103" t="inlineStr">
        <is>
          <t>Damage %</t>
        </is>
      </c>
      <c r="E103" t="n">
        <v>8</v>
      </c>
      <c r="F103" t="n">
        <v>0.32</v>
      </c>
      <c r="G103" t="b">
        <v>1</v>
      </c>
      <c r="H103">
        <f>Sensitivity!H7</f>
        <v/>
      </c>
    </row>
    <row r="104">
      <c r="A104" t="inlineStr">
        <is>
          <t>ALL</t>
        </is>
      </c>
      <c r="B104" t="inlineStr">
        <is>
          <t>rare</t>
        </is>
      </c>
      <c r="C104" t="n">
        <v>3</v>
      </c>
      <c r="D104" t="inlineStr">
        <is>
          <t>Min Damage Multiplier %</t>
        </is>
      </c>
      <c r="E104" t="n">
        <v>3</v>
      </c>
      <c r="F104" t="n">
        <v>3.68</v>
      </c>
      <c r="G104" t="b">
        <v>0</v>
      </c>
      <c r="H104">
        <f>Sensitivity!H12</f>
        <v/>
      </c>
    </row>
    <row r="105">
      <c r="A105" t="inlineStr">
        <is>
          <t>ALL</t>
        </is>
      </c>
      <c r="B105" t="inlineStr">
        <is>
          <t>rare</t>
        </is>
      </c>
      <c r="C105" t="n">
        <v>3</v>
      </c>
      <c r="D105" t="inlineStr">
        <is>
          <t>Min Damage Multiplier %</t>
        </is>
      </c>
      <c r="E105" t="n">
        <v>6</v>
      </c>
      <c r="F105" t="n">
        <v>0.32</v>
      </c>
      <c r="G105" t="b">
        <v>1</v>
      </c>
      <c r="H105">
        <f>Sensitivity!H12</f>
        <v/>
      </c>
    </row>
    <row r="106">
      <c r="A106" t="inlineStr">
        <is>
          <t>ALL</t>
        </is>
      </c>
      <c r="B106" t="inlineStr">
        <is>
          <t>rare</t>
        </is>
      </c>
      <c r="C106" t="n">
        <v>3</v>
      </c>
      <c r="D106" t="inlineStr">
        <is>
          <t>Max Damage Multiplier %</t>
        </is>
      </c>
      <c r="E106" t="n">
        <v>3</v>
      </c>
      <c r="F106" t="n">
        <v>3.68</v>
      </c>
      <c r="G106" t="b">
        <v>0</v>
      </c>
      <c r="H106">
        <f>Sensitivity!H13</f>
        <v/>
      </c>
    </row>
    <row r="107">
      <c r="A107" t="inlineStr">
        <is>
          <t>ALL</t>
        </is>
      </c>
      <c r="B107" t="inlineStr">
        <is>
          <t>rare</t>
        </is>
      </c>
      <c r="C107" t="n">
        <v>3</v>
      </c>
      <c r="D107" t="inlineStr">
        <is>
          <t>Max Damage Multiplier %</t>
        </is>
      </c>
      <c r="E107" t="n">
        <v>6</v>
      </c>
      <c r="F107" t="n">
        <v>0.32</v>
      </c>
      <c r="G107" t="b">
        <v>1</v>
      </c>
      <c r="H107">
        <f>Sensitivity!H13</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f>Sensitivity!H6</f>
        <v/>
      </c>
    </row>
    <row r="113">
      <c r="A113" t="inlineStr">
        <is>
          <t>ALL</t>
        </is>
      </c>
      <c r="B113" t="inlineStr">
        <is>
          <t>rare</t>
        </is>
      </c>
      <c r="C113" t="n">
        <v>3</v>
      </c>
      <c r="D113" t="inlineStr">
        <is>
          <t>Int %</t>
        </is>
      </c>
      <c r="E113" t="n">
        <v>4.5</v>
      </c>
      <c r="F113" t="n">
        <v>0.36</v>
      </c>
      <c r="G113" t="b">
        <v>1</v>
      </c>
      <c r="H113">
        <f>Sensitivity!H6</f>
        <v/>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f>Sensitivity!H5</f>
        <v/>
      </c>
    </row>
    <row r="127">
      <c r="A127" t="inlineStr">
        <is>
          <t>ALL</t>
        </is>
      </c>
      <c r="B127" t="inlineStr">
        <is>
          <t>rare</t>
        </is>
      </c>
      <c r="C127" t="n">
        <v>3</v>
      </c>
      <c r="D127" t="inlineStr">
        <is>
          <t>Int</t>
        </is>
      </c>
      <c r="E127" t="n">
        <v>100</v>
      </c>
      <c r="F127" t="n">
        <v>0.76</v>
      </c>
      <c r="G127" t="b">
        <v>1</v>
      </c>
      <c r="H127">
        <f>Sensitivity!H5</f>
        <v/>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IF(AND(Inputs!$B$9+Artifacts!$B$32&gt;=100,NOT(ArtifactsInput!$M$42),NOT(ArtifactsInput!$M$24)),Sensitivity!H15,Sensitivity!H14)</f>
        <v/>
      </c>
    </row>
    <row r="131">
      <c r="A131" t="inlineStr">
        <is>
          <t>ALL</t>
        </is>
      </c>
      <c r="B131" t="inlineStr">
        <is>
          <t>epic</t>
        </is>
      </c>
      <c r="C131" t="n">
        <v>1</v>
      </c>
      <c r="D131" t="inlineStr">
        <is>
          <t>Attack Speed %</t>
        </is>
      </c>
      <c r="E131" t="n">
        <v>4</v>
      </c>
      <c r="F131" t="n">
        <v>2.5</v>
      </c>
      <c r="G131" t="b">
        <v>1</v>
      </c>
      <c r="H131">
        <f>Sensitivity!H16</f>
        <v/>
      </c>
    </row>
    <row r="132">
      <c r="A132" t="inlineStr">
        <is>
          <t>ALL</t>
        </is>
      </c>
      <c r="B132" t="inlineStr">
        <is>
          <t>epic</t>
        </is>
      </c>
      <c r="C132" t="n">
        <v>1</v>
      </c>
      <c r="D132" t="inlineStr">
        <is>
          <t>Damage %</t>
        </is>
      </c>
      <c r="E132" t="n">
        <v>12</v>
      </c>
      <c r="F132" t="n">
        <v>4</v>
      </c>
      <c r="G132" t="b">
        <v>1</v>
      </c>
      <c r="H132">
        <f>Sensitivity!H7</f>
        <v/>
      </c>
    </row>
    <row r="133">
      <c r="A133" t="inlineStr">
        <is>
          <t>ALL</t>
        </is>
      </c>
      <c r="B133" t="inlineStr">
        <is>
          <t>epic</t>
        </is>
      </c>
      <c r="C133" t="n">
        <v>1</v>
      </c>
      <c r="D133" t="inlineStr">
        <is>
          <t>Min Damage Multiplier %</t>
        </is>
      </c>
      <c r="E133" t="n">
        <v>8</v>
      </c>
      <c r="F133" t="n">
        <v>4</v>
      </c>
      <c r="G133" t="b">
        <v>1</v>
      </c>
      <c r="H133">
        <f>Sensitivity!H12</f>
        <v/>
      </c>
    </row>
    <row r="134">
      <c r="A134" t="inlineStr">
        <is>
          <t>ALL</t>
        </is>
      </c>
      <c r="B134" t="inlineStr">
        <is>
          <t>epic</t>
        </is>
      </c>
      <c r="C134" t="n">
        <v>1</v>
      </c>
      <c r="D134" t="inlineStr">
        <is>
          <t>Max Damage Multiplier %</t>
        </is>
      </c>
      <c r="E134" t="n">
        <v>8</v>
      </c>
      <c r="F134" t="n">
        <v>4</v>
      </c>
      <c r="G134" t="b">
        <v>1</v>
      </c>
      <c r="H134">
        <f>Sensitivity!H13</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f>Sensitivity!H6</f>
        <v/>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f>Sensitivity!H5</f>
        <v/>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IF(AND(Inputs!$B$9+Artifacts!$B$32&gt;=100,NOT(ArtifactsInput!$M$42),NOT(ArtifactsInput!$M$24)),Sensitivity!H15,Sensitivity!H14)</f>
        <v/>
      </c>
    </row>
    <row r="147">
      <c r="A147" t="inlineStr">
        <is>
          <t>ALL</t>
        </is>
      </c>
      <c r="B147" t="inlineStr">
        <is>
          <t>epic</t>
        </is>
      </c>
      <c r="C147" t="n">
        <v>2</v>
      </c>
      <c r="D147" t="inlineStr">
        <is>
          <t>Critical Rate %</t>
        </is>
      </c>
      <c r="E147" t="n">
        <v>6</v>
      </c>
      <c r="F147" t="n">
        <v>0.6</v>
      </c>
      <c r="G147" t="b">
        <v>1</v>
      </c>
      <c r="H147">
        <f>IF(AND(Inputs!$B$9+Artifacts!$B$32&gt;=100,NOT(ArtifactsInput!$M$42),NOT(ArtifactsInput!$M$24)),Sensitivity!H15,Sensitivity!H14)</f>
        <v/>
      </c>
    </row>
    <row r="148">
      <c r="A148" t="inlineStr">
        <is>
          <t>ALL</t>
        </is>
      </c>
      <c r="B148" t="inlineStr">
        <is>
          <t>epic</t>
        </is>
      </c>
      <c r="C148" t="n">
        <v>2</v>
      </c>
      <c r="D148" t="inlineStr">
        <is>
          <t>Attack Speed %</t>
        </is>
      </c>
      <c r="E148" t="n">
        <v>3.5</v>
      </c>
      <c r="F148" t="n">
        <v>1.9</v>
      </c>
      <c r="G148" t="b">
        <v>0</v>
      </c>
      <c r="H148">
        <f>Sensitivity!H16</f>
        <v/>
      </c>
    </row>
    <row r="149">
      <c r="A149" t="inlineStr">
        <is>
          <t>ALL</t>
        </is>
      </c>
      <c r="B149" t="inlineStr">
        <is>
          <t>epic</t>
        </is>
      </c>
      <c r="C149" t="n">
        <v>2</v>
      </c>
      <c r="D149" t="inlineStr">
        <is>
          <t>Attack Speed %</t>
        </is>
      </c>
      <c r="E149" t="n">
        <v>4</v>
      </c>
      <c r="F149" t="n">
        <v>0.6</v>
      </c>
      <c r="G149" t="b">
        <v>1</v>
      </c>
      <c r="H149">
        <f>Sensitivity!H16</f>
        <v/>
      </c>
    </row>
    <row r="150">
      <c r="A150" t="inlineStr">
        <is>
          <t>ALL</t>
        </is>
      </c>
      <c r="B150" t="inlineStr">
        <is>
          <t>epic</t>
        </is>
      </c>
      <c r="C150" t="n">
        <v>2</v>
      </c>
      <c r="D150" t="inlineStr">
        <is>
          <t>Damage %</t>
        </is>
      </c>
      <c r="E150" t="n">
        <v>8</v>
      </c>
      <c r="F150" t="n">
        <v>3.04</v>
      </c>
      <c r="G150" t="b">
        <v>0</v>
      </c>
      <c r="H150">
        <f>Sensitivity!H7</f>
        <v/>
      </c>
    </row>
    <row r="151">
      <c r="A151" t="inlineStr">
        <is>
          <t>ALL</t>
        </is>
      </c>
      <c r="B151" t="inlineStr">
        <is>
          <t>epic</t>
        </is>
      </c>
      <c r="C151" t="n">
        <v>2</v>
      </c>
      <c r="D151" t="inlineStr">
        <is>
          <t>Damage %</t>
        </is>
      </c>
      <c r="E151" t="n">
        <v>12</v>
      </c>
      <c r="F151" t="n">
        <v>0.96</v>
      </c>
      <c r="G151" t="b">
        <v>1</v>
      </c>
      <c r="H151">
        <f>Sensitivity!H7</f>
        <v/>
      </c>
    </row>
    <row r="152">
      <c r="A152" t="inlineStr">
        <is>
          <t>ALL</t>
        </is>
      </c>
      <c r="B152" t="inlineStr">
        <is>
          <t>epic</t>
        </is>
      </c>
      <c r="C152" t="n">
        <v>2</v>
      </c>
      <c r="D152" t="inlineStr">
        <is>
          <t>Min Damage Multiplier %</t>
        </is>
      </c>
      <c r="E152" t="n">
        <v>6</v>
      </c>
      <c r="F152" t="n">
        <v>3.04</v>
      </c>
      <c r="G152" t="b">
        <v>0</v>
      </c>
      <c r="H152">
        <f>Sensitivity!H12</f>
        <v/>
      </c>
    </row>
    <row r="153">
      <c r="A153" t="inlineStr">
        <is>
          <t>ALL</t>
        </is>
      </c>
      <c r="B153" t="inlineStr">
        <is>
          <t>epic</t>
        </is>
      </c>
      <c r="C153" t="n">
        <v>2</v>
      </c>
      <c r="D153" t="inlineStr">
        <is>
          <t>Min Damage Multiplier %</t>
        </is>
      </c>
      <c r="E153" t="n">
        <v>8</v>
      </c>
      <c r="F153" t="n">
        <v>0.96</v>
      </c>
      <c r="G153" t="b">
        <v>1</v>
      </c>
      <c r="H153">
        <f>Sensitivity!H12</f>
        <v/>
      </c>
    </row>
    <row r="154">
      <c r="A154" t="inlineStr">
        <is>
          <t>ALL</t>
        </is>
      </c>
      <c r="B154" t="inlineStr">
        <is>
          <t>epic</t>
        </is>
      </c>
      <c r="C154" t="n">
        <v>2</v>
      </c>
      <c r="D154" t="inlineStr">
        <is>
          <t>Max Damage Multiplier %</t>
        </is>
      </c>
      <c r="E154" t="n">
        <v>6</v>
      </c>
      <c r="F154" t="n">
        <v>3.04</v>
      </c>
      <c r="G154" t="b">
        <v>0</v>
      </c>
      <c r="H154">
        <f>Sensitivity!H13</f>
        <v/>
      </c>
    </row>
    <row r="155">
      <c r="A155" t="inlineStr">
        <is>
          <t>ALL</t>
        </is>
      </c>
      <c r="B155" t="inlineStr">
        <is>
          <t>epic</t>
        </is>
      </c>
      <c r="C155" t="n">
        <v>2</v>
      </c>
      <c r="D155" t="inlineStr">
        <is>
          <t>Max Damage Multiplier %</t>
        </is>
      </c>
      <c r="E155" t="n">
        <v>8</v>
      </c>
      <c r="F155" t="n">
        <v>0.96</v>
      </c>
      <c r="G155" t="b">
        <v>1</v>
      </c>
      <c r="H155">
        <f>Sensitivity!H13</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f>Sensitivity!H6</f>
        <v/>
      </c>
    </row>
    <row r="161">
      <c r="A161" t="inlineStr">
        <is>
          <t>ALL</t>
        </is>
      </c>
      <c r="B161" t="inlineStr">
        <is>
          <t>epic</t>
        </is>
      </c>
      <c r="C161" t="n">
        <v>2</v>
      </c>
      <c r="D161" t="inlineStr">
        <is>
          <t>Int %</t>
        </is>
      </c>
      <c r="E161" t="n">
        <v>6</v>
      </c>
      <c r="F161" t="n">
        <v>1.08</v>
      </c>
      <c r="G161" t="b">
        <v>1</v>
      </c>
      <c r="H161">
        <f>Sensitivity!H6</f>
        <v/>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f>Sensitivity!H5</f>
        <v/>
      </c>
    </row>
    <row r="175">
      <c r="A175" t="inlineStr">
        <is>
          <t>ALL</t>
        </is>
      </c>
      <c r="B175" t="inlineStr">
        <is>
          <t>epic</t>
        </is>
      </c>
      <c r="C175" t="n">
        <v>2</v>
      </c>
      <c r="D175" t="inlineStr">
        <is>
          <t>Int</t>
        </is>
      </c>
      <c r="E175" t="n">
        <v>200</v>
      </c>
      <c r="F175" t="n">
        <v>2.22</v>
      </c>
      <c r="G175" t="b">
        <v>1</v>
      </c>
      <c r="H175">
        <f>Sensitivity!H5</f>
        <v/>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IF(AND(Inputs!$B$9+Artifacts!$B$32&gt;=100,NOT(ArtifactsInput!$M$42),NOT(ArtifactsInput!$M$24)),Sensitivity!H15,Sensitivity!H14)</f>
        <v/>
      </c>
    </row>
    <row r="179">
      <c r="A179" t="inlineStr">
        <is>
          <t>ALL</t>
        </is>
      </c>
      <c r="B179" t="inlineStr">
        <is>
          <t>epic</t>
        </is>
      </c>
      <c r="C179" t="n">
        <v>3</v>
      </c>
      <c r="D179" t="inlineStr">
        <is>
          <t>Critical Rate %</t>
        </is>
      </c>
      <c r="E179" t="n">
        <v>6</v>
      </c>
      <c r="F179" t="n">
        <v>0.2</v>
      </c>
      <c r="G179" t="b">
        <v>1</v>
      </c>
      <c r="H179">
        <f>IF(AND(Inputs!$B$9+Artifacts!$B$32&gt;=100,NOT(ArtifactsInput!$M$42),NOT(ArtifactsInput!$M$24)),Sensitivity!H15,Sensitivity!H14)</f>
        <v/>
      </c>
    </row>
    <row r="180">
      <c r="A180" t="inlineStr">
        <is>
          <t>ALL</t>
        </is>
      </c>
      <c r="B180" t="inlineStr">
        <is>
          <t>epic</t>
        </is>
      </c>
      <c r="C180" t="n">
        <v>3</v>
      </c>
      <c r="D180" t="inlineStr">
        <is>
          <t>Attack Speed %</t>
        </is>
      </c>
      <c r="E180" t="n">
        <v>3.5</v>
      </c>
      <c r="F180" t="n">
        <v>2.3</v>
      </c>
      <c r="G180" t="b">
        <v>0</v>
      </c>
      <c r="H180">
        <f>Sensitivity!H16</f>
        <v/>
      </c>
    </row>
    <row r="181">
      <c r="A181" t="inlineStr">
        <is>
          <t>ALL</t>
        </is>
      </c>
      <c r="B181" t="inlineStr">
        <is>
          <t>epic</t>
        </is>
      </c>
      <c r="C181" t="n">
        <v>3</v>
      </c>
      <c r="D181" t="inlineStr">
        <is>
          <t>Attack Speed %</t>
        </is>
      </c>
      <c r="E181" t="n">
        <v>4</v>
      </c>
      <c r="F181" t="n">
        <v>0.2</v>
      </c>
      <c r="G181" t="b">
        <v>1</v>
      </c>
      <c r="H181">
        <f>Sensitivity!H16</f>
        <v/>
      </c>
    </row>
    <row r="182">
      <c r="A182" t="inlineStr">
        <is>
          <t>ALL</t>
        </is>
      </c>
      <c r="B182" t="inlineStr">
        <is>
          <t>epic</t>
        </is>
      </c>
      <c r="C182" t="n">
        <v>3</v>
      </c>
      <c r="D182" t="inlineStr">
        <is>
          <t>Damage %</t>
        </is>
      </c>
      <c r="E182" t="n">
        <v>8</v>
      </c>
      <c r="F182" t="n">
        <v>3.68</v>
      </c>
      <c r="G182" t="b">
        <v>0</v>
      </c>
      <c r="H182">
        <f>Sensitivity!H7</f>
        <v/>
      </c>
    </row>
    <row r="183">
      <c r="A183" t="inlineStr">
        <is>
          <t>ALL</t>
        </is>
      </c>
      <c r="B183" t="inlineStr">
        <is>
          <t>epic</t>
        </is>
      </c>
      <c r="C183" t="n">
        <v>3</v>
      </c>
      <c r="D183" t="inlineStr">
        <is>
          <t>Damage %</t>
        </is>
      </c>
      <c r="E183" t="n">
        <v>12</v>
      </c>
      <c r="F183" t="n">
        <v>0.32</v>
      </c>
      <c r="G183" t="b">
        <v>1</v>
      </c>
      <c r="H183">
        <f>Sensitivity!H7</f>
        <v/>
      </c>
    </row>
    <row r="184">
      <c r="A184" t="inlineStr">
        <is>
          <t>ALL</t>
        </is>
      </c>
      <c r="B184" t="inlineStr">
        <is>
          <t>epic</t>
        </is>
      </c>
      <c r="C184" t="n">
        <v>3</v>
      </c>
      <c r="D184" t="inlineStr">
        <is>
          <t>Min Damage Multiplier %</t>
        </is>
      </c>
      <c r="E184" t="n">
        <v>6</v>
      </c>
      <c r="F184" t="n">
        <v>3.68</v>
      </c>
      <c r="G184" t="b">
        <v>0</v>
      </c>
      <c r="H184">
        <f>Sensitivity!H12</f>
        <v/>
      </c>
    </row>
    <row r="185">
      <c r="A185" t="inlineStr">
        <is>
          <t>ALL</t>
        </is>
      </c>
      <c r="B185" t="inlineStr">
        <is>
          <t>epic</t>
        </is>
      </c>
      <c r="C185" t="n">
        <v>3</v>
      </c>
      <c r="D185" t="inlineStr">
        <is>
          <t>Min Damage Multiplier %</t>
        </is>
      </c>
      <c r="E185" t="n">
        <v>8</v>
      </c>
      <c r="F185" t="n">
        <v>0.32</v>
      </c>
      <c r="G185" t="b">
        <v>1</v>
      </c>
      <c r="H185">
        <f>Sensitivity!H12</f>
        <v/>
      </c>
    </row>
    <row r="186">
      <c r="A186" t="inlineStr">
        <is>
          <t>ALL</t>
        </is>
      </c>
      <c r="B186" t="inlineStr">
        <is>
          <t>epic</t>
        </is>
      </c>
      <c r="C186" t="n">
        <v>3</v>
      </c>
      <c r="D186" t="inlineStr">
        <is>
          <t>Max Damage Multiplier %</t>
        </is>
      </c>
      <c r="E186" t="n">
        <v>6</v>
      </c>
      <c r="F186" t="n">
        <v>3.68</v>
      </c>
      <c r="G186" t="b">
        <v>0</v>
      </c>
      <c r="H186">
        <f>Sensitivity!H13</f>
        <v/>
      </c>
    </row>
    <row r="187">
      <c r="A187" t="inlineStr">
        <is>
          <t>ALL</t>
        </is>
      </c>
      <c r="B187" t="inlineStr">
        <is>
          <t>epic</t>
        </is>
      </c>
      <c r="C187" t="n">
        <v>3</v>
      </c>
      <c r="D187" t="inlineStr">
        <is>
          <t>Max Damage Multiplier %</t>
        </is>
      </c>
      <c r="E187" t="n">
        <v>8</v>
      </c>
      <c r="F187" t="n">
        <v>0.32</v>
      </c>
      <c r="G187" t="b">
        <v>1</v>
      </c>
      <c r="H187">
        <f>Sensitivity!H13</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f>Sensitivity!H6</f>
        <v/>
      </c>
    </row>
    <row r="193">
      <c r="A193" t="inlineStr">
        <is>
          <t>ALL</t>
        </is>
      </c>
      <c r="B193" t="inlineStr">
        <is>
          <t>epic</t>
        </is>
      </c>
      <c r="C193" t="n">
        <v>3</v>
      </c>
      <c r="D193" t="inlineStr">
        <is>
          <t>Int %</t>
        </is>
      </c>
      <c r="E193" t="n">
        <v>6</v>
      </c>
      <c r="F193" t="n">
        <v>0.36</v>
      </c>
      <c r="G193" t="b">
        <v>1</v>
      </c>
      <c r="H193">
        <f>Sensitivity!H6</f>
        <v/>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f>Sensitivity!H5</f>
        <v/>
      </c>
    </row>
    <row r="207">
      <c r="A207" t="inlineStr">
        <is>
          <t>ALL</t>
        </is>
      </c>
      <c r="B207" t="inlineStr">
        <is>
          <t>epic</t>
        </is>
      </c>
      <c r="C207" t="n">
        <v>3</v>
      </c>
      <c r="D207" t="inlineStr">
        <is>
          <t>Int</t>
        </is>
      </c>
      <c r="E207" t="n">
        <v>200</v>
      </c>
      <c r="F207" t="n">
        <v>0.74</v>
      </c>
      <c r="G207" t="b">
        <v>1</v>
      </c>
      <c r="H207">
        <f>Sensitivity!H5</f>
        <v/>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IF(AND(Inputs!$B$9+Artifacts!$B$32&gt;=100,NOT(ArtifactsInput!$M$42),NOT(ArtifactsInput!$M$24)),Sensitivity!H15,Sensitivity!H14)</f>
        <v/>
      </c>
    </row>
    <row r="211">
      <c r="A211" t="inlineStr">
        <is>
          <t>ALL</t>
        </is>
      </c>
      <c r="B211" t="inlineStr">
        <is>
          <t>unique</t>
        </is>
      </c>
      <c r="C211" t="n">
        <v>1</v>
      </c>
      <c r="D211" t="inlineStr">
        <is>
          <t>Attack Speed %</t>
        </is>
      </c>
      <c r="E211" t="n">
        <v>5</v>
      </c>
      <c r="F211" t="n">
        <v>2.5</v>
      </c>
      <c r="G211" t="b">
        <v>1</v>
      </c>
      <c r="H211">
        <f>Sensitivity!H16</f>
        <v/>
      </c>
    </row>
    <row r="212">
      <c r="A212" t="inlineStr">
        <is>
          <t>ALL</t>
        </is>
      </c>
      <c r="B212" t="inlineStr">
        <is>
          <t>unique</t>
        </is>
      </c>
      <c r="C212" t="n">
        <v>1</v>
      </c>
      <c r="D212" t="inlineStr">
        <is>
          <t>Damage %</t>
        </is>
      </c>
      <c r="E212" t="n">
        <v>18</v>
      </c>
      <c r="F212" t="n">
        <v>4</v>
      </c>
      <c r="G212" t="b">
        <v>1</v>
      </c>
      <c r="H212">
        <f>Sensitivity!H7</f>
        <v/>
      </c>
    </row>
    <row r="213">
      <c r="A213" t="inlineStr">
        <is>
          <t>ALL</t>
        </is>
      </c>
      <c r="B213" t="inlineStr">
        <is>
          <t>unique</t>
        </is>
      </c>
      <c r="C213" t="n">
        <v>1</v>
      </c>
      <c r="D213" t="inlineStr">
        <is>
          <t>Min Damage Multiplier %</t>
        </is>
      </c>
      <c r="E213" t="n">
        <v>10</v>
      </c>
      <c r="F213" t="n">
        <v>4</v>
      </c>
      <c r="G213" t="b">
        <v>1</v>
      </c>
      <c r="H213">
        <f>Sensitivity!H12</f>
        <v/>
      </c>
    </row>
    <row r="214">
      <c r="A214" t="inlineStr">
        <is>
          <t>ALL</t>
        </is>
      </c>
      <c r="B214" t="inlineStr">
        <is>
          <t>unique</t>
        </is>
      </c>
      <c r="C214" t="n">
        <v>1</v>
      </c>
      <c r="D214" t="inlineStr">
        <is>
          <t>Max Damage Multiplier %</t>
        </is>
      </c>
      <c r="E214" t="n">
        <v>10</v>
      </c>
      <c r="F214" t="n">
        <v>4</v>
      </c>
      <c r="G214" t="b">
        <v>1</v>
      </c>
      <c r="H214">
        <f>Sensitivity!H13</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f>Sensitivity!H6</f>
        <v/>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f>Sensitivity!H5</f>
        <v/>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IF(AND(Inputs!$B$9+Artifacts!$B$32&gt;=100,NOT(ArtifactsInput!$M$42),NOT(ArtifactsInput!$M$24)),Sensitivity!H15,Sensitivity!H14)</f>
        <v/>
      </c>
    </row>
    <row r="227">
      <c r="A227" t="inlineStr">
        <is>
          <t>ALL</t>
        </is>
      </c>
      <c r="B227" t="inlineStr">
        <is>
          <t>unique</t>
        </is>
      </c>
      <c r="C227" t="n">
        <v>2</v>
      </c>
      <c r="D227" t="inlineStr">
        <is>
          <t>Critical Rate %</t>
        </is>
      </c>
      <c r="E227" t="n">
        <v>9</v>
      </c>
      <c r="F227" t="n">
        <v>0.6</v>
      </c>
      <c r="G227" t="b">
        <v>1</v>
      </c>
      <c r="H227">
        <f>IF(AND(Inputs!$B$9+Artifacts!$B$32&gt;=100,NOT(ArtifactsInput!$M$42),NOT(ArtifactsInput!$M$24)),Sensitivity!H15,Sensitivity!H14)</f>
        <v/>
      </c>
    </row>
    <row r="228">
      <c r="A228" t="inlineStr">
        <is>
          <t>ALL</t>
        </is>
      </c>
      <c r="B228" t="inlineStr">
        <is>
          <t>unique</t>
        </is>
      </c>
      <c r="C228" t="n">
        <v>2</v>
      </c>
      <c r="D228" t="inlineStr">
        <is>
          <t>Attack Speed %</t>
        </is>
      </c>
      <c r="E228" t="n">
        <v>4</v>
      </c>
      <c r="F228" t="n">
        <v>1.9</v>
      </c>
      <c r="G228" t="b">
        <v>0</v>
      </c>
      <c r="H228">
        <f>Sensitivity!H16</f>
        <v/>
      </c>
    </row>
    <row r="229">
      <c r="A229" t="inlineStr">
        <is>
          <t>ALL</t>
        </is>
      </c>
      <c r="B229" t="inlineStr">
        <is>
          <t>unique</t>
        </is>
      </c>
      <c r="C229" t="n">
        <v>2</v>
      </c>
      <c r="D229" t="inlineStr">
        <is>
          <t>Attack Speed %</t>
        </is>
      </c>
      <c r="E229" t="n">
        <v>5</v>
      </c>
      <c r="F229" t="n">
        <v>0.6</v>
      </c>
      <c r="G229" t="b">
        <v>1</v>
      </c>
      <c r="H229">
        <f>Sensitivity!H16</f>
        <v/>
      </c>
    </row>
    <row r="230">
      <c r="A230" t="inlineStr">
        <is>
          <t>ALL</t>
        </is>
      </c>
      <c r="B230" t="inlineStr">
        <is>
          <t>unique</t>
        </is>
      </c>
      <c r="C230" t="n">
        <v>2</v>
      </c>
      <c r="D230" t="inlineStr">
        <is>
          <t>Damage %</t>
        </is>
      </c>
      <c r="E230" t="n">
        <v>12</v>
      </c>
      <c r="F230" t="n">
        <v>3.04</v>
      </c>
      <c r="G230" t="b">
        <v>0</v>
      </c>
      <c r="H230">
        <f>Sensitivity!H7</f>
        <v/>
      </c>
    </row>
    <row r="231">
      <c r="A231" t="inlineStr">
        <is>
          <t>ALL</t>
        </is>
      </c>
      <c r="B231" t="inlineStr">
        <is>
          <t>unique</t>
        </is>
      </c>
      <c r="C231" t="n">
        <v>2</v>
      </c>
      <c r="D231" t="inlineStr">
        <is>
          <t>Damage %</t>
        </is>
      </c>
      <c r="E231" t="n">
        <v>18</v>
      </c>
      <c r="F231" t="n">
        <v>0.96</v>
      </c>
      <c r="G231" t="b">
        <v>1</v>
      </c>
      <c r="H231">
        <f>Sensitivity!H7</f>
        <v/>
      </c>
    </row>
    <row r="232">
      <c r="A232" t="inlineStr">
        <is>
          <t>ALL</t>
        </is>
      </c>
      <c r="B232" t="inlineStr">
        <is>
          <t>unique</t>
        </is>
      </c>
      <c r="C232" t="n">
        <v>2</v>
      </c>
      <c r="D232" t="inlineStr">
        <is>
          <t>Min Damage Multiplier %</t>
        </is>
      </c>
      <c r="E232" t="n">
        <v>8</v>
      </c>
      <c r="F232" t="n">
        <v>3.04</v>
      </c>
      <c r="G232" t="b">
        <v>0</v>
      </c>
      <c r="H232">
        <f>Sensitivity!H12</f>
        <v/>
      </c>
    </row>
    <row r="233">
      <c r="A233" t="inlineStr">
        <is>
          <t>ALL</t>
        </is>
      </c>
      <c r="B233" t="inlineStr">
        <is>
          <t>unique</t>
        </is>
      </c>
      <c r="C233" t="n">
        <v>2</v>
      </c>
      <c r="D233" t="inlineStr">
        <is>
          <t>Min Damage Multiplier %</t>
        </is>
      </c>
      <c r="E233" t="n">
        <v>10</v>
      </c>
      <c r="F233" t="n">
        <v>0.96</v>
      </c>
      <c r="G233" t="b">
        <v>1</v>
      </c>
      <c r="H233">
        <f>Sensitivity!H12</f>
        <v/>
      </c>
    </row>
    <row r="234">
      <c r="A234" t="inlineStr">
        <is>
          <t>ALL</t>
        </is>
      </c>
      <c r="B234" t="inlineStr">
        <is>
          <t>unique</t>
        </is>
      </c>
      <c r="C234" t="n">
        <v>2</v>
      </c>
      <c r="D234" t="inlineStr">
        <is>
          <t>Max Damage Multiplier %</t>
        </is>
      </c>
      <c r="E234" t="n">
        <v>8</v>
      </c>
      <c r="F234" t="n">
        <v>3.04</v>
      </c>
      <c r="G234" t="b">
        <v>0</v>
      </c>
      <c r="H234">
        <f>Sensitivity!H13</f>
        <v/>
      </c>
    </row>
    <row r="235">
      <c r="A235" t="inlineStr">
        <is>
          <t>ALL</t>
        </is>
      </c>
      <c r="B235" t="inlineStr">
        <is>
          <t>unique</t>
        </is>
      </c>
      <c r="C235" t="n">
        <v>2</v>
      </c>
      <c r="D235" t="inlineStr">
        <is>
          <t>Max Damage Multiplier %</t>
        </is>
      </c>
      <c r="E235" t="n">
        <v>10</v>
      </c>
      <c r="F235" t="n">
        <v>0.96</v>
      </c>
      <c r="G235" t="b">
        <v>1</v>
      </c>
      <c r="H235">
        <f>Sensitivity!H13</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f>Sensitivity!H6</f>
        <v/>
      </c>
    </row>
    <row r="241">
      <c r="A241" t="inlineStr">
        <is>
          <t>ALL</t>
        </is>
      </c>
      <c r="B241" t="inlineStr">
        <is>
          <t>unique</t>
        </is>
      </c>
      <c r="C241" t="n">
        <v>2</v>
      </c>
      <c r="D241" t="inlineStr">
        <is>
          <t>Int %</t>
        </is>
      </c>
      <c r="E241" t="n">
        <v>9</v>
      </c>
      <c r="F241" t="n">
        <v>1.08</v>
      </c>
      <c r="G241" t="b">
        <v>1</v>
      </c>
      <c r="H241">
        <f>Sensitivity!H6</f>
        <v/>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f>Sensitivity!H5</f>
        <v/>
      </c>
    </row>
    <row r="255">
      <c r="A255" t="inlineStr">
        <is>
          <t>ALL</t>
        </is>
      </c>
      <c r="B255" t="inlineStr">
        <is>
          <t>unique</t>
        </is>
      </c>
      <c r="C255" t="n">
        <v>2</v>
      </c>
      <c r="D255" t="inlineStr">
        <is>
          <t>Int</t>
        </is>
      </c>
      <c r="E255" t="n">
        <v>400</v>
      </c>
      <c r="F255" t="n">
        <v>2.22</v>
      </c>
      <c r="G255" t="b">
        <v>1</v>
      </c>
      <c r="H255">
        <f>Sensitivity!H5</f>
        <v/>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IF(AND(Inputs!$B$9+Artifacts!$B$32&gt;=100,NOT(ArtifactsInput!$M$42),NOT(ArtifactsInput!$M$24)),Sensitivity!H15,Sensitivity!H14)</f>
        <v/>
      </c>
    </row>
    <row r="259">
      <c r="A259" t="inlineStr">
        <is>
          <t>ALL</t>
        </is>
      </c>
      <c r="B259" t="inlineStr">
        <is>
          <t>unique</t>
        </is>
      </c>
      <c r="C259" t="n">
        <v>3</v>
      </c>
      <c r="D259" t="inlineStr">
        <is>
          <t>Critical Rate %</t>
        </is>
      </c>
      <c r="E259" t="n">
        <v>9</v>
      </c>
      <c r="F259" t="n">
        <v>0.2</v>
      </c>
      <c r="G259" t="b">
        <v>1</v>
      </c>
      <c r="H259">
        <f>IF(AND(Inputs!$B$9+Artifacts!$B$32&gt;=100,NOT(ArtifactsInput!$M$42),NOT(ArtifactsInput!$M$24)),Sensitivity!H15,Sensitivity!H14)</f>
        <v/>
      </c>
    </row>
    <row r="260">
      <c r="A260" t="inlineStr">
        <is>
          <t>ALL</t>
        </is>
      </c>
      <c r="B260" t="inlineStr">
        <is>
          <t>unique</t>
        </is>
      </c>
      <c r="C260" t="n">
        <v>3</v>
      </c>
      <c r="D260" t="inlineStr">
        <is>
          <t>Attack Speed %</t>
        </is>
      </c>
      <c r="E260" t="n">
        <v>4</v>
      </c>
      <c r="F260" t="n">
        <v>2.3</v>
      </c>
      <c r="G260" t="b">
        <v>0</v>
      </c>
      <c r="H260">
        <f>Sensitivity!H16</f>
        <v/>
      </c>
    </row>
    <row r="261">
      <c r="A261" t="inlineStr">
        <is>
          <t>ALL</t>
        </is>
      </c>
      <c r="B261" t="inlineStr">
        <is>
          <t>unique</t>
        </is>
      </c>
      <c r="C261" t="n">
        <v>3</v>
      </c>
      <c r="D261" t="inlineStr">
        <is>
          <t>Attack Speed %</t>
        </is>
      </c>
      <c r="E261" t="n">
        <v>5</v>
      </c>
      <c r="F261" t="n">
        <v>0.2</v>
      </c>
      <c r="G261" t="b">
        <v>1</v>
      </c>
      <c r="H261">
        <f>Sensitivity!H16</f>
        <v/>
      </c>
    </row>
    <row r="262">
      <c r="A262" t="inlineStr">
        <is>
          <t>ALL</t>
        </is>
      </c>
      <c r="B262" t="inlineStr">
        <is>
          <t>unique</t>
        </is>
      </c>
      <c r="C262" t="n">
        <v>3</v>
      </c>
      <c r="D262" t="inlineStr">
        <is>
          <t>Damage %</t>
        </is>
      </c>
      <c r="E262" t="n">
        <v>12</v>
      </c>
      <c r="F262" t="n">
        <v>3.68</v>
      </c>
      <c r="G262" t="b">
        <v>0</v>
      </c>
      <c r="H262">
        <f>Sensitivity!H7</f>
        <v/>
      </c>
    </row>
    <row r="263">
      <c r="A263" t="inlineStr">
        <is>
          <t>ALL</t>
        </is>
      </c>
      <c r="B263" t="inlineStr">
        <is>
          <t>unique</t>
        </is>
      </c>
      <c r="C263" t="n">
        <v>3</v>
      </c>
      <c r="D263" t="inlineStr">
        <is>
          <t>Damage %</t>
        </is>
      </c>
      <c r="E263" t="n">
        <v>18</v>
      </c>
      <c r="F263" t="n">
        <v>0.32</v>
      </c>
      <c r="G263" t="b">
        <v>1</v>
      </c>
      <c r="H263">
        <f>Sensitivity!H7</f>
        <v/>
      </c>
    </row>
    <row r="264">
      <c r="A264" t="inlineStr">
        <is>
          <t>ALL</t>
        </is>
      </c>
      <c r="B264" t="inlineStr">
        <is>
          <t>unique</t>
        </is>
      </c>
      <c r="C264" t="n">
        <v>3</v>
      </c>
      <c r="D264" t="inlineStr">
        <is>
          <t>Min Damage Multiplier %</t>
        </is>
      </c>
      <c r="E264" t="n">
        <v>8</v>
      </c>
      <c r="F264" t="n">
        <v>3.68</v>
      </c>
      <c r="G264" t="b">
        <v>0</v>
      </c>
      <c r="H264">
        <f>Sensitivity!H12</f>
        <v/>
      </c>
    </row>
    <row r="265">
      <c r="A265" t="inlineStr">
        <is>
          <t>ALL</t>
        </is>
      </c>
      <c r="B265" t="inlineStr">
        <is>
          <t>unique</t>
        </is>
      </c>
      <c r="C265" t="n">
        <v>3</v>
      </c>
      <c r="D265" t="inlineStr">
        <is>
          <t>Min Damage Multiplier %</t>
        </is>
      </c>
      <c r="E265" t="n">
        <v>10</v>
      </c>
      <c r="F265" t="n">
        <v>0.32</v>
      </c>
      <c r="G265" t="b">
        <v>1</v>
      </c>
      <c r="H265">
        <f>Sensitivity!H12</f>
        <v/>
      </c>
    </row>
    <row r="266">
      <c r="A266" t="inlineStr">
        <is>
          <t>ALL</t>
        </is>
      </c>
      <c r="B266" t="inlineStr">
        <is>
          <t>unique</t>
        </is>
      </c>
      <c r="C266" t="n">
        <v>3</v>
      </c>
      <c r="D266" t="inlineStr">
        <is>
          <t>Max Damage Multiplier %</t>
        </is>
      </c>
      <c r="E266" t="n">
        <v>8</v>
      </c>
      <c r="F266" t="n">
        <v>3.68</v>
      </c>
      <c r="G266" t="b">
        <v>0</v>
      </c>
      <c r="H266">
        <f>Sensitivity!H13</f>
        <v/>
      </c>
    </row>
    <row r="267">
      <c r="A267" t="inlineStr">
        <is>
          <t>ALL</t>
        </is>
      </c>
      <c r="B267" t="inlineStr">
        <is>
          <t>unique</t>
        </is>
      </c>
      <c r="C267" t="n">
        <v>3</v>
      </c>
      <c r="D267" t="inlineStr">
        <is>
          <t>Max Damage Multiplier %</t>
        </is>
      </c>
      <c r="E267" t="n">
        <v>10</v>
      </c>
      <c r="F267" t="n">
        <v>0.32</v>
      </c>
      <c r="G267" t="b">
        <v>1</v>
      </c>
      <c r="H267">
        <f>Sensitivity!H13</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f>Sensitivity!H6</f>
        <v/>
      </c>
    </row>
    <row r="273">
      <c r="A273" t="inlineStr">
        <is>
          <t>ALL</t>
        </is>
      </c>
      <c r="B273" t="inlineStr">
        <is>
          <t>unique</t>
        </is>
      </c>
      <c r="C273" t="n">
        <v>3</v>
      </c>
      <c r="D273" t="inlineStr">
        <is>
          <t>Int %</t>
        </is>
      </c>
      <c r="E273" t="n">
        <v>9</v>
      </c>
      <c r="F273" t="n">
        <v>0.36</v>
      </c>
      <c r="G273" t="b">
        <v>1</v>
      </c>
      <c r="H273">
        <f>Sensitivity!H6</f>
        <v/>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f>Sensitivity!H5</f>
        <v/>
      </c>
    </row>
    <row r="287">
      <c r="A287" t="inlineStr">
        <is>
          <t>ALL</t>
        </is>
      </c>
      <c r="B287" t="inlineStr">
        <is>
          <t>unique</t>
        </is>
      </c>
      <c r="C287" t="n">
        <v>3</v>
      </c>
      <c r="D287" t="inlineStr">
        <is>
          <t>Int</t>
        </is>
      </c>
      <c r="E287" t="n">
        <v>400</v>
      </c>
      <c r="F287" t="n">
        <v>0.74</v>
      </c>
      <c r="G287" t="b">
        <v>1</v>
      </c>
      <c r="H287">
        <f>Sensitivity!H5</f>
        <v/>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IF(AND(Inputs!$B$9+Artifacts!$B$32&gt;=100,NOT(ArtifactsInput!$M$42),NOT(ArtifactsInput!$M$24)),Sensitivity!H15,Sensitivity!H14)</f>
        <v/>
      </c>
    </row>
    <row r="291">
      <c r="A291" t="inlineStr">
        <is>
          <t>ALL</t>
        </is>
      </c>
      <c r="B291" t="inlineStr">
        <is>
          <t>legendary</t>
        </is>
      </c>
      <c r="C291" t="n">
        <v>1</v>
      </c>
      <c r="D291" t="inlineStr">
        <is>
          <t>Attack Speed %</t>
        </is>
      </c>
      <c r="E291" t="n">
        <v>7</v>
      </c>
      <c r="F291" t="n">
        <v>2.5</v>
      </c>
      <c r="G291" t="b">
        <v>0</v>
      </c>
      <c r="H291">
        <f>Sensitivity!H16</f>
        <v/>
      </c>
    </row>
    <row r="292">
      <c r="A292" t="inlineStr">
        <is>
          <t>ALL</t>
        </is>
      </c>
      <c r="B292" t="inlineStr">
        <is>
          <t>legendary</t>
        </is>
      </c>
      <c r="C292" t="n">
        <v>1</v>
      </c>
      <c r="D292" t="inlineStr">
        <is>
          <t>Damage %</t>
        </is>
      </c>
      <c r="E292" t="n">
        <v>25</v>
      </c>
      <c r="F292" t="n">
        <v>4</v>
      </c>
      <c r="G292" t="b">
        <v>0</v>
      </c>
      <c r="H292">
        <f>Sensitivity!H7</f>
        <v/>
      </c>
    </row>
    <row r="293">
      <c r="A293" t="inlineStr">
        <is>
          <t>ALL</t>
        </is>
      </c>
      <c r="B293" t="inlineStr">
        <is>
          <t>legendary</t>
        </is>
      </c>
      <c r="C293" t="n">
        <v>1</v>
      </c>
      <c r="D293" t="inlineStr">
        <is>
          <t>Min Damage Multiplier %</t>
        </is>
      </c>
      <c r="E293" t="n">
        <v>15</v>
      </c>
      <c r="F293" t="n">
        <v>4</v>
      </c>
      <c r="G293" t="b">
        <v>0</v>
      </c>
      <c r="H293">
        <f>Sensitivity!H12</f>
        <v/>
      </c>
    </row>
    <row r="294">
      <c r="A294" t="inlineStr">
        <is>
          <t>ALL</t>
        </is>
      </c>
      <c r="B294" t="inlineStr">
        <is>
          <t>legendary</t>
        </is>
      </c>
      <c r="C294" t="n">
        <v>1</v>
      </c>
      <c r="D294" t="inlineStr">
        <is>
          <t>Max Damage Multiplier %</t>
        </is>
      </c>
      <c r="E294" t="n">
        <v>15</v>
      </c>
      <c r="F294" t="n">
        <v>4</v>
      </c>
      <c r="G294" t="b">
        <v>0</v>
      </c>
      <c r="H294">
        <f>Sensitivity!H13</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f>Sensitivity!H6</f>
        <v/>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f>Sensitivity!H5</f>
        <v/>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IF(AND(Inputs!$B$9+Artifacts!$B$32&gt;=100,NOT(ArtifactsInput!$M$42),NOT(ArtifactsInput!$M$24)),Sensitivity!H15,Sensitivity!H14)</f>
        <v/>
      </c>
    </row>
    <row r="307">
      <c r="A307" t="inlineStr">
        <is>
          <t>ALL</t>
        </is>
      </c>
      <c r="B307" t="inlineStr">
        <is>
          <t>legendary</t>
        </is>
      </c>
      <c r="C307" t="n">
        <v>2</v>
      </c>
      <c r="D307" t="inlineStr">
        <is>
          <t>Critical Rate %</t>
        </is>
      </c>
      <c r="E307" t="n">
        <v>12</v>
      </c>
      <c r="F307" t="n">
        <v>0.6</v>
      </c>
      <c r="G307" t="b">
        <v>1</v>
      </c>
      <c r="H307">
        <f>IF(AND(Inputs!$B$9+Artifacts!$B$32&gt;=100,NOT(ArtifactsInput!$M$42),NOT(ArtifactsInput!$M$24)),Sensitivity!H15,Sensitivity!H14)</f>
        <v/>
      </c>
    </row>
    <row r="308">
      <c r="A308" t="inlineStr">
        <is>
          <t>ALL</t>
        </is>
      </c>
      <c r="B308" t="inlineStr">
        <is>
          <t>legendary</t>
        </is>
      </c>
      <c r="C308" t="n">
        <v>2</v>
      </c>
      <c r="D308" t="inlineStr">
        <is>
          <t>Attack Speed %</t>
        </is>
      </c>
      <c r="E308" t="n">
        <v>5</v>
      </c>
      <c r="F308" t="n">
        <v>1.9</v>
      </c>
      <c r="G308" t="b">
        <v>0</v>
      </c>
      <c r="H308">
        <f>Sensitivity!H16</f>
        <v/>
      </c>
    </row>
    <row r="309">
      <c r="A309" t="inlineStr">
        <is>
          <t>ALL</t>
        </is>
      </c>
      <c r="B309" t="inlineStr">
        <is>
          <t>legendary</t>
        </is>
      </c>
      <c r="C309" t="n">
        <v>2</v>
      </c>
      <c r="D309" t="inlineStr">
        <is>
          <t>Attack Speed %</t>
        </is>
      </c>
      <c r="E309" t="n">
        <v>7</v>
      </c>
      <c r="F309" t="n">
        <v>0.6</v>
      </c>
      <c r="G309" t="b">
        <v>1</v>
      </c>
      <c r="H309">
        <f>Sensitivity!H16</f>
        <v/>
      </c>
    </row>
    <row r="310">
      <c r="A310" t="inlineStr">
        <is>
          <t>ALL</t>
        </is>
      </c>
      <c r="B310" t="inlineStr">
        <is>
          <t>legendary</t>
        </is>
      </c>
      <c r="C310" t="n">
        <v>2</v>
      </c>
      <c r="D310" t="inlineStr">
        <is>
          <t>Damage %</t>
        </is>
      </c>
      <c r="E310" t="n">
        <v>18</v>
      </c>
      <c r="F310" t="n">
        <v>3.04</v>
      </c>
      <c r="G310" t="b">
        <v>0</v>
      </c>
      <c r="H310">
        <f>Sensitivity!H7</f>
        <v/>
      </c>
    </row>
    <row r="311">
      <c r="A311" t="inlineStr">
        <is>
          <t>ALL</t>
        </is>
      </c>
      <c r="B311" t="inlineStr">
        <is>
          <t>legendary</t>
        </is>
      </c>
      <c r="C311" t="n">
        <v>2</v>
      </c>
      <c r="D311" t="inlineStr">
        <is>
          <t>Damage %</t>
        </is>
      </c>
      <c r="E311" t="n">
        <v>25</v>
      </c>
      <c r="F311" t="n">
        <v>0.96</v>
      </c>
      <c r="G311" t="b">
        <v>1</v>
      </c>
      <c r="H311">
        <f>Sensitivity!H7</f>
        <v/>
      </c>
    </row>
    <row r="312">
      <c r="A312" t="inlineStr">
        <is>
          <t>ALL</t>
        </is>
      </c>
      <c r="B312" t="inlineStr">
        <is>
          <t>legendary</t>
        </is>
      </c>
      <c r="C312" t="n">
        <v>2</v>
      </c>
      <c r="D312" t="inlineStr">
        <is>
          <t>Min Damage Multiplier %</t>
        </is>
      </c>
      <c r="E312" t="n">
        <v>10</v>
      </c>
      <c r="F312" t="n">
        <v>3.04</v>
      </c>
      <c r="G312" t="b">
        <v>0</v>
      </c>
      <c r="H312">
        <f>Sensitivity!H12</f>
        <v/>
      </c>
    </row>
    <row r="313">
      <c r="A313" t="inlineStr">
        <is>
          <t>ALL</t>
        </is>
      </c>
      <c r="B313" t="inlineStr">
        <is>
          <t>legendary</t>
        </is>
      </c>
      <c r="C313" t="n">
        <v>2</v>
      </c>
      <c r="D313" t="inlineStr">
        <is>
          <t>Min Damage Multiplier %</t>
        </is>
      </c>
      <c r="E313" t="n">
        <v>15</v>
      </c>
      <c r="F313" t="n">
        <v>0.96</v>
      </c>
      <c r="G313" t="b">
        <v>1</v>
      </c>
      <c r="H313">
        <f>Sensitivity!H12</f>
        <v/>
      </c>
    </row>
    <row r="314">
      <c r="A314" t="inlineStr">
        <is>
          <t>ALL</t>
        </is>
      </c>
      <c r="B314" t="inlineStr">
        <is>
          <t>legendary</t>
        </is>
      </c>
      <c r="C314" t="n">
        <v>2</v>
      </c>
      <c r="D314" t="inlineStr">
        <is>
          <t>Max Damage Multiplier %</t>
        </is>
      </c>
      <c r="E314" t="n">
        <v>10</v>
      </c>
      <c r="F314" t="n">
        <v>3.04</v>
      </c>
      <c r="G314" t="b">
        <v>0</v>
      </c>
      <c r="H314">
        <f>Sensitivity!H13</f>
        <v/>
      </c>
    </row>
    <row r="315">
      <c r="A315" t="inlineStr">
        <is>
          <t>ALL</t>
        </is>
      </c>
      <c r="B315" t="inlineStr">
        <is>
          <t>legendary</t>
        </is>
      </c>
      <c r="C315" t="n">
        <v>2</v>
      </c>
      <c r="D315" t="inlineStr">
        <is>
          <t>Max Damage Multiplier %</t>
        </is>
      </c>
      <c r="E315" t="n">
        <v>15</v>
      </c>
      <c r="F315" t="n">
        <v>0.96</v>
      </c>
      <c r="G315" t="b">
        <v>1</v>
      </c>
      <c r="H315">
        <f>Sensitivity!H13</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f>Sensitivity!H6</f>
        <v/>
      </c>
    </row>
    <row r="321">
      <c r="A321" t="inlineStr">
        <is>
          <t>ALL</t>
        </is>
      </c>
      <c r="B321" t="inlineStr">
        <is>
          <t>legendary</t>
        </is>
      </c>
      <c r="C321" t="n">
        <v>2</v>
      </c>
      <c r="D321" t="inlineStr">
        <is>
          <t>Int %</t>
        </is>
      </c>
      <c r="E321" t="n">
        <v>12</v>
      </c>
      <c r="F321" t="n">
        <v>1.08</v>
      </c>
      <c r="G321" t="b">
        <v>1</v>
      </c>
      <c r="H321">
        <f>Sensitivity!H6</f>
        <v/>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f>Sensitivity!H5</f>
        <v/>
      </c>
    </row>
    <row r="335">
      <c r="A335" t="inlineStr">
        <is>
          <t>ALL</t>
        </is>
      </c>
      <c r="B335" t="inlineStr">
        <is>
          <t>legendary</t>
        </is>
      </c>
      <c r="C335" t="n">
        <v>2</v>
      </c>
      <c r="D335" t="inlineStr">
        <is>
          <t>Int</t>
        </is>
      </c>
      <c r="E335" t="n">
        <v>600</v>
      </c>
      <c r="F335" t="n">
        <v>2.22</v>
      </c>
      <c r="G335" t="b">
        <v>1</v>
      </c>
      <c r="H335">
        <f>Sensitivity!H5</f>
        <v/>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IF(AND(Inputs!$B$9+Artifacts!$B$32&gt;=100,NOT(ArtifactsInput!$M$42),NOT(ArtifactsInput!$M$24)),Sensitivity!H15,Sensitivity!H14)</f>
        <v/>
      </c>
    </row>
    <row r="339">
      <c r="A339" t="inlineStr">
        <is>
          <t>ALL</t>
        </is>
      </c>
      <c r="B339" t="inlineStr">
        <is>
          <t>legendary</t>
        </is>
      </c>
      <c r="C339" t="n">
        <v>3</v>
      </c>
      <c r="D339" t="inlineStr">
        <is>
          <t>Critical Rate %</t>
        </is>
      </c>
      <c r="E339" t="n">
        <v>12</v>
      </c>
      <c r="F339" t="n">
        <v>0.2</v>
      </c>
      <c r="G339" t="b">
        <v>1</v>
      </c>
      <c r="H339">
        <f>IF(AND(Inputs!$B$9+Artifacts!$B$32&gt;=100,NOT(ArtifactsInput!$M$42),NOT(ArtifactsInput!$M$24)),Sensitivity!H15,Sensitivity!H14)</f>
        <v/>
      </c>
    </row>
    <row r="340">
      <c r="A340" t="inlineStr">
        <is>
          <t>ALL</t>
        </is>
      </c>
      <c r="B340" t="inlineStr">
        <is>
          <t>legendary</t>
        </is>
      </c>
      <c r="C340" t="n">
        <v>3</v>
      </c>
      <c r="D340" t="inlineStr">
        <is>
          <t>Attack Speed %</t>
        </is>
      </c>
      <c r="E340" t="n">
        <v>5</v>
      </c>
      <c r="F340" t="n">
        <v>2.3</v>
      </c>
      <c r="G340" t="b">
        <v>0</v>
      </c>
      <c r="H340">
        <f>Sensitivity!H16</f>
        <v/>
      </c>
    </row>
    <row r="341">
      <c r="A341" t="inlineStr">
        <is>
          <t>ALL</t>
        </is>
      </c>
      <c r="B341" t="inlineStr">
        <is>
          <t>legendary</t>
        </is>
      </c>
      <c r="C341" t="n">
        <v>3</v>
      </c>
      <c r="D341" t="inlineStr">
        <is>
          <t>Attack Speed %</t>
        </is>
      </c>
      <c r="E341" t="n">
        <v>7</v>
      </c>
      <c r="F341" t="n">
        <v>0.2</v>
      </c>
      <c r="G341" t="b">
        <v>1</v>
      </c>
      <c r="H341">
        <f>Sensitivity!H16</f>
        <v/>
      </c>
    </row>
    <row r="342">
      <c r="A342" t="inlineStr">
        <is>
          <t>ALL</t>
        </is>
      </c>
      <c r="B342" t="inlineStr">
        <is>
          <t>legendary</t>
        </is>
      </c>
      <c r="C342" t="n">
        <v>3</v>
      </c>
      <c r="D342" t="inlineStr">
        <is>
          <t>Damage %</t>
        </is>
      </c>
      <c r="E342" t="n">
        <v>18</v>
      </c>
      <c r="F342" t="n">
        <v>3.68</v>
      </c>
      <c r="G342" t="b">
        <v>0</v>
      </c>
      <c r="H342">
        <f>Sensitivity!H7</f>
        <v/>
      </c>
    </row>
    <row r="343">
      <c r="A343" t="inlineStr">
        <is>
          <t>ALL</t>
        </is>
      </c>
      <c r="B343" t="inlineStr">
        <is>
          <t>legendary</t>
        </is>
      </c>
      <c r="C343" t="n">
        <v>3</v>
      </c>
      <c r="D343" t="inlineStr">
        <is>
          <t>Damage %</t>
        </is>
      </c>
      <c r="E343" t="n">
        <v>25</v>
      </c>
      <c r="F343" t="n">
        <v>0.32</v>
      </c>
      <c r="G343" t="b">
        <v>1</v>
      </c>
      <c r="H343">
        <f>Sensitivity!H7</f>
        <v/>
      </c>
    </row>
    <row r="344">
      <c r="A344" t="inlineStr">
        <is>
          <t>ALL</t>
        </is>
      </c>
      <c r="B344" t="inlineStr">
        <is>
          <t>legendary</t>
        </is>
      </c>
      <c r="C344" t="n">
        <v>3</v>
      </c>
      <c r="D344" t="inlineStr">
        <is>
          <t>Min Damage Multiplier %</t>
        </is>
      </c>
      <c r="E344" t="n">
        <v>10</v>
      </c>
      <c r="F344" t="n">
        <v>3.68</v>
      </c>
      <c r="G344" t="b">
        <v>0</v>
      </c>
      <c r="H344">
        <f>Sensitivity!H12</f>
        <v/>
      </c>
    </row>
    <row r="345">
      <c r="A345" t="inlineStr">
        <is>
          <t>ALL</t>
        </is>
      </c>
      <c r="B345" t="inlineStr">
        <is>
          <t>legendary</t>
        </is>
      </c>
      <c r="C345" t="n">
        <v>3</v>
      </c>
      <c r="D345" t="inlineStr">
        <is>
          <t>Min Damage Multiplier %</t>
        </is>
      </c>
      <c r="E345" t="n">
        <v>15</v>
      </c>
      <c r="F345" t="n">
        <v>0.32</v>
      </c>
      <c r="G345" t="b">
        <v>1</v>
      </c>
      <c r="H345">
        <f>Sensitivity!H12</f>
        <v/>
      </c>
    </row>
    <row r="346">
      <c r="A346" t="inlineStr">
        <is>
          <t>ALL</t>
        </is>
      </c>
      <c r="B346" t="inlineStr">
        <is>
          <t>legendary</t>
        </is>
      </c>
      <c r="C346" t="n">
        <v>3</v>
      </c>
      <c r="D346" t="inlineStr">
        <is>
          <t>Max Damage Multiplier %</t>
        </is>
      </c>
      <c r="E346" t="n">
        <v>10</v>
      </c>
      <c r="F346" t="n">
        <v>3.68</v>
      </c>
      <c r="G346" t="b">
        <v>0</v>
      </c>
      <c r="H346">
        <f>Sensitivity!H13</f>
        <v/>
      </c>
    </row>
    <row r="347">
      <c r="A347" t="inlineStr">
        <is>
          <t>ALL</t>
        </is>
      </c>
      <c r="B347" t="inlineStr">
        <is>
          <t>legendary</t>
        </is>
      </c>
      <c r="C347" t="n">
        <v>3</v>
      </c>
      <c r="D347" t="inlineStr">
        <is>
          <t>Max Damage Multiplier %</t>
        </is>
      </c>
      <c r="E347" t="n">
        <v>15</v>
      </c>
      <c r="F347" t="n">
        <v>0.32</v>
      </c>
      <c r="G347" t="b">
        <v>1</v>
      </c>
      <c r="H347">
        <f>Sensitivity!H13</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f>Sensitivity!H6</f>
        <v/>
      </c>
    </row>
    <row r="353">
      <c r="A353" t="inlineStr">
        <is>
          <t>ALL</t>
        </is>
      </c>
      <c r="B353" t="inlineStr">
        <is>
          <t>legendary</t>
        </is>
      </c>
      <c r="C353" t="n">
        <v>3</v>
      </c>
      <c r="D353" t="inlineStr">
        <is>
          <t>Int %</t>
        </is>
      </c>
      <c r="E353" t="n">
        <v>12</v>
      </c>
      <c r="F353" t="n">
        <v>0.36</v>
      </c>
      <c r="G353" t="b">
        <v>1</v>
      </c>
      <c r="H353">
        <f>Sensitivity!H6</f>
        <v/>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f>Sensitivity!H5</f>
        <v/>
      </c>
    </row>
    <row r="367">
      <c r="A367" t="inlineStr">
        <is>
          <t>ALL</t>
        </is>
      </c>
      <c r="B367" t="inlineStr">
        <is>
          <t>legendary</t>
        </is>
      </c>
      <c r="C367" t="n">
        <v>3</v>
      </c>
      <c r="D367" t="inlineStr">
        <is>
          <t>Int</t>
        </is>
      </c>
      <c r="E367" t="n">
        <v>600</v>
      </c>
      <c r="F367" t="n">
        <v>0.74</v>
      </c>
      <c r="G367" t="b">
        <v>1</v>
      </c>
      <c r="H367">
        <f>Sensitivity!H5</f>
        <v/>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IF(AND(Inputs!$B$9+Artifacts!$B$32&gt;=100,NOT(ArtifactsInput!$M$42),NOT(ArtifactsInput!$M$24)),Sensitivity!H15,Sensitivity!H14)</f>
        <v/>
      </c>
    </row>
    <row r="371">
      <c r="A371" t="inlineStr">
        <is>
          <t>ALL</t>
        </is>
      </c>
      <c r="B371" t="inlineStr">
        <is>
          <t>mystic</t>
        </is>
      </c>
      <c r="C371" t="n">
        <v>1</v>
      </c>
      <c r="D371" t="inlineStr">
        <is>
          <t>Attack Speed %</t>
        </is>
      </c>
      <c r="E371" t="n">
        <v>10</v>
      </c>
      <c r="F371" t="n">
        <v>2.5</v>
      </c>
      <c r="G371" t="b">
        <v>0</v>
      </c>
      <c r="H371">
        <f>Sensitivity!H16</f>
        <v/>
      </c>
    </row>
    <row r="372">
      <c r="A372" t="inlineStr">
        <is>
          <t>ALL</t>
        </is>
      </c>
      <c r="B372" t="inlineStr">
        <is>
          <t>mystic</t>
        </is>
      </c>
      <c r="C372" t="n">
        <v>1</v>
      </c>
      <c r="D372" t="inlineStr">
        <is>
          <t>Damage %</t>
        </is>
      </c>
      <c r="E372" t="n">
        <v>35</v>
      </c>
      <c r="F372" t="n">
        <v>4</v>
      </c>
      <c r="G372" t="b">
        <v>0</v>
      </c>
      <c r="H372">
        <f>Sensitivity!H7</f>
        <v/>
      </c>
    </row>
    <row r="373">
      <c r="A373" t="inlineStr">
        <is>
          <t>ALL</t>
        </is>
      </c>
      <c r="B373" t="inlineStr">
        <is>
          <t>mystic</t>
        </is>
      </c>
      <c r="C373" t="n">
        <v>1</v>
      </c>
      <c r="D373" t="inlineStr">
        <is>
          <t>Min Damage Multiplier %</t>
        </is>
      </c>
      <c r="E373" t="n">
        <v>25</v>
      </c>
      <c r="F373" t="n">
        <v>4</v>
      </c>
      <c r="G373" t="b">
        <v>0</v>
      </c>
      <c r="H373">
        <f>Sensitivity!H12</f>
        <v/>
      </c>
    </row>
    <row r="374">
      <c r="A374" t="inlineStr">
        <is>
          <t>ALL</t>
        </is>
      </c>
      <c r="B374" t="inlineStr">
        <is>
          <t>mystic</t>
        </is>
      </c>
      <c r="C374" t="n">
        <v>1</v>
      </c>
      <c r="D374" t="inlineStr">
        <is>
          <t>Max Damage Multiplier %</t>
        </is>
      </c>
      <c r="E374" t="n">
        <v>25</v>
      </c>
      <c r="F374" t="n">
        <v>4</v>
      </c>
      <c r="G374" t="b">
        <v>0</v>
      </c>
      <c r="H374">
        <f>Sensitivity!H13</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f>Sensitivity!H6</f>
        <v/>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f>Sensitivity!H5</f>
        <v/>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IF(AND(Inputs!$B$9+Artifacts!$B$32&gt;=100,NOT(ArtifactsInput!$M$42),NOT(ArtifactsInput!$M$24)),Sensitivity!H15,Sensitivity!H14)</f>
        <v/>
      </c>
    </row>
    <row r="387">
      <c r="A387" t="inlineStr">
        <is>
          <t>ALL</t>
        </is>
      </c>
      <c r="B387" t="inlineStr">
        <is>
          <t>mystic</t>
        </is>
      </c>
      <c r="C387" t="n">
        <v>2</v>
      </c>
      <c r="D387" t="inlineStr">
        <is>
          <t>Critical Rate %</t>
        </is>
      </c>
      <c r="E387" t="n">
        <v>15</v>
      </c>
      <c r="F387" t="n">
        <v>0.6</v>
      </c>
      <c r="G387" t="b">
        <v>1</v>
      </c>
      <c r="H387">
        <f>IF(AND(Inputs!$B$9+Artifacts!$B$32&gt;=100,NOT(ArtifactsInput!$M$42),NOT(ArtifactsInput!$M$24)),Sensitivity!H15,Sensitivity!H14)</f>
        <v/>
      </c>
    </row>
    <row r="388">
      <c r="A388" t="inlineStr">
        <is>
          <t>ALL</t>
        </is>
      </c>
      <c r="B388" t="inlineStr">
        <is>
          <t>mystic</t>
        </is>
      </c>
      <c r="C388" t="n">
        <v>2</v>
      </c>
      <c r="D388" t="inlineStr">
        <is>
          <t>Attack Speed %</t>
        </is>
      </c>
      <c r="E388" t="n">
        <v>7</v>
      </c>
      <c r="F388" t="n">
        <v>1.9</v>
      </c>
      <c r="G388" t="b">
        <v>0</v>
      </c>
      <c r="H388">
        <f>Sensitivity!H16</f>
        <v/>
      </c>
    </row>
    <row r="389">
      <c r="A389" t="inlineStr">
        <is>
          <t>ALL</t>
        </is>
      </c>
      <c r="B389" t="inlineStr">
        <is>
          <t>mystic</t>
        </is>
      </c>
      <c r="C389" t="n">
        <v>2</v>
      </c>
      <c r="D389" t="inlineStr">
        <is>
          <t>Attack Speed %</t>
        </is>
      </c>
      <c r="E389" t="n">
        <v>10</v>
      </c>
      <c r="F389" t="n">
        <v>0.6</v>
      </c>
      <c r="G389" t="b">
        <v>1</v>
      </c>
      <c r="H389">
        <f>Sensitivity!H16</f>
        <v/>
      </c>
    </row>
    <row r="390">
      <c r="A390" t="inlineStr">
        <is>
          <t>ALL</t>
        </is>
      </c>
      <c r="B390" t="inlineStr">
        <is>
          <t>mystic</t>
        </is>
      </c>
      <c r="C390" t="n">
        <v>2</v>
      </c>
      <c r="D390" t="inlineStr">
        <is>
          <t>Damage %</t>
        </is>
      </c>
      <c r="E390" t="n">
        <v>25</v>
      </c>
      <c r="F390" t="n">
        <v>3.04</v>
      </c>
      <c r="G390" t="b">
        <v>0</v>
      </c>
      <c r="H390">
        <f>Sensitivity!H7</f>
        <v/>
      </c>
    </row>
    <row r="391">
      <c r="A391" t="inlineStr">
        <is>
          <t>ALL</t>
        </is>
      </c>
      <c r="B391" t="inlineStr">
        <is>
          <t>mystic</t>
        </is>
      </c>
      <c r="C391" t="n">
        <v>2</v>
      </c>
      <c r="D391" t="inlineStr">
        <is>
          <t>Damage %</t>
        </is>
      </c>
      <c r="E391" t="n">
        <v>35</v>
      </c>
      <c r="F391" t="n">
        <v>0.96</v>
      </c>
      <c r="G391" t="b">
        <v>1</v>
      </c>
      <c r="H391">
        <f>Sensitivity!H7</f>
        <v/>
      </c>
    </row>
    <row r="392">
      <c r="A392" t="inlineStr">
        <is>
          <t>ALL</t>
        </is>
      </c>
      <c r="B392" t="inlineStr">
        <is>
          <t>mystic</t>
        </is>
      </c>
      <c r="C392" t="n">
        <v>2</v>
      </c>
      <c r="D392" t="inlineStr">
        <is>
          <t>Min Damage Multiplier %</t>
        </is>
      </c>
      <c r="E392" t="n">
        <v>15</v>
      </c>
      <c r="F392" t="n">
        <v>3.04</v>
      </c>
      <c r="G392" t="b">
        <v>0</v>
      </c>
      <c r="H392">
        <f>Sensitivity!H12</f>
        <v/>
      </c>
    </row>
    <row r="393">
      <c r="A393" t="inlineStr">
        <is>
          <t>ALL</t>
        </is>
      </c>
      <c r="B393" t="inlineStr">
        <is>
          <t>mystic</t>
        </is>
      </c>
      <c r="C393" t="n">
        <v>2</v>
      </c>
      <c r="D393" t="inlineStr">
        <is>
          <t>Min Damage Multiplier %</t>
        </is>
      </c>
      <c r="E393" t="n">
        <v>25</v>
      </c>
      <c r="F393" t="n">
        <v>0.96</v>
      </c>
      <c r="G393" t="b">
        <v>1</v>
      </c>
      <c r="H393">
        <f>Sensitivity!H12</f>
        <v/>
      </c>
    </row>
    <row r="394">
      <c r="A394" t="inlineStr">
        <is>
          <t>ALL</t>
        </is>
      </c>
      <c r="B394" t="inlineStr">
        <is>
          <t>mystic</t>
        </is>
      </c>
      <c r="C394" t="n">
        <v>2</v>
      </c>
      <c r="D394" t="inlineStr">
        <is>
          <t>Max Damage Multiplier %</t>
        </is>
      </c>
      <c r="E394" t="n">
        <v>15</v>
      </c>
      <c r="F394" t="n">
        <v>3.04</v>
      </c>
      <c r="G394" t="b">
        <v>0</v>
      </c>
      <c r="H394">
        <f>Sensitivity!H13</f>
        <v/>
      </c>
    </row>
    <row r="395">
      <c r="A395" t="inlineStr">
        <is>
          <t>ALL</t>
        </is>
      </c>
      <c r="B395" t="inlineStr">
        <is>
          <t>mystic</t>
        </is>
      </c>
      <c r="C395" t="n">
        <v>2</v>
      </c>
      <c r="D395" t="inlineStr">
        <is>
          <t>Max Damage Multiplier %</t>
        </is>
      </c>
      <c r="E395" t="n">
        <v>25</v>
      </c>
      <c r="F395" t="n">
        <v>0.96</v>
      </c>
      <c r="G395" t="b">
        <v>1</v>
      </c>
      <c r="H395">
        <f>Sensitivity!H13</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f>Sensitivity!H6</f>
        <v/>
      </c>
    </row>
    <row r="401">
      <c r="A401" t="inlineStr">
        <is>
          <t>ALL</t>
        </is>
      </c>
      <c r="B401" t="inlineStr">
        <is>
          <t>mystic</t>
        </is>
      </c>
      <c r="C401" t="n">
        <v>2</v>
      </c>
      <c r="D401" t="inlineStr">
        <is>
          <t>Int %</t>
        </is>
      </c>
      <c r="E401" t="n">
        <v>15</v>
      </c>
      <c r="F401" t="n">
        <v>1.08</v>
      </c>
      <c r="G401" t="b">
        <v>1</v>
      </c>
      <c r="H401">
        <f>Sensitivity!H6</f>
        <v/>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f>Sensitivity!H5</f>
        <v/>
      </c>
    </row>
    <row r="415">
      <c r="A415" t="inlineStr">
        <is>
          <t>ALL</t>
        </is>
      </c>
      <c r="B415" t="inlineStr">
        <is>
          <t>mystic</t>
        </is>
      </c>
      <c r="C415" t="n">
        <v>2</v>
      </c>
      <c r="D415" t="inlineStr">
        <is>
          <t>Int</t>
        </is>
      </c>
      <c r="E415" t="n">
        <v>1000</v>
      </c>
      <c r="F415" t="n">
        <v>2.22</v>
      </c>
      <c r="G415" t="b">
        <v>1</v>
      </c>
      <c r="H415">
        <f>Sensitivity!H5</f>
        <v/>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IF(AND(Inputs!$B$9+Artifacts!$B$32&gt;=100,NOT(ArtifactsInput!$M$42),NOT(ArtifactsInput!$M$24)),Sensitivity!H15,Sensitivity!H14)</f>
        <v/>
      </c>
    </row>
    <row r="419">
      <c r="A419" t="inlineStr">
        <is>
          <t>ALL</t>
        </is>
      </c>
      <c r="B419" t="inlineStr">
        <is>
          <t>mystic</t>
        </is>
      </c>
      <c r="C419" t="n">
        <v>3</v>
      </c>
      <c r="D419" t="inlineStr">
        <is>
          <t>Critical Rate %</t>
        </is>
      </c>
      <c r="E419" t="n">
        <v>15</v>
      </c>
      <c r="F419" t="n">
        <v>0.2</v>
      </c>
      <c r="G419" t="b">
        <v>1</v>
      </c>
      <c r="H419">
        <f>IF(AND(Inputs!$B$9+Artifacts!$B$32&gt;=100,NOT(ArtifactsInput!$M$42),NOT(ArtifactsInput!$M$24)),Sensitivity!H15,Sensitivity!H14)</f>
        <v/>
      </c>
    </row>
    <row r="420">
      <c r="A420" t="inlineStr">
        <is>
          <t>ALL</t>
        </is>
      </c>
      <c r="B420" t="inlineStr">
        <is>
          <t>mystic</t>
        </is>
      </c>
      <c r="C420" t="n">
        <v>3</v>
      </c>
      <c r="D420" t="inlineStr">
        <is>
          <t>Attack Speed %</t>
        </is>
      </c>
      <c r="E420" t="n">
        <v>7</v>
      </c>
      <c r="F420" t="n">
        <v>2.3</v>
      </c>
      <c r="G420" t="b">
        <v>0</v>
      </c>
      <c r="H420">
        <f>Sensitivity!H16</f>
        <v/>
      </c>
    </row>
    <row r="421">
      <c r="A421" t="inlineStr">
        <is>
          <t>ALL</t>
        </is>
      </c>
      <c r="B421" t="inlineStr">
        <is>
          <t>mystic</t>
        </is>
      </c>
      <c r="C421" t="n">
        <v>3</v>
      </c>
      <c r="D421" t="inlineStr">
        <is>
          <t>Attack Speed %</t>
        </is>
      </c>
      <c r="E421" t="n">
        <v>10</v>
      </c>
      <c r="F421" t="n">
        <v>0.2</v>
      </c>
      <c r="G421" t="b">
        <v>1</v>
      </c>
      <c r="H421">
        <f>Sensitivity!H16</f>
        <v/>
      </c>
    </row>
    <row r="422">
      <c r="A422" t="inlineStr">
        <is>
          <t>ALL</t>
        </is>
      </c>
      <c r="B422" t="inlineStr">
        <is>
          <t>mystic</t>
        </is>
      </c>
      <c r="C422" t="n">
        <v>3</v>
      </c>
      <c r="D422" t="inlineStr">
        <is>
          <t>Damage %</t>
        </is>
      </c>
      <c r="E422" t="n">
        <v>25</v>
      </c>
      <c r="F422" t="n">
        <v>3.68</v>
      </c>
      <c r="G422" t="b">
        <v>0</v>
      </c>
      <c r="H422">
        <f>Sensitivity!H7</f>
        <v/>
      </c>
    </row>
    <row r="423">
      <c r="A423" t="inlineStr">
        <is>
          <t>ALL</t>
        </is>
      </c>
      <c r="B423" t="inlineStr">
        <is>
          <t>mystic</t>
        </is>
      </c>
      <c r="C423" t="n">
        <v>3</v>
      </c>
      <c r="D423" t="inlineStr">
        <is>
          <t>Damage %</t>
        </is>
      </c>
      <c r="E423" t="n">
        <v>35</v>
      </c>
      <c r="F423" t="n">
        <v>0.32</v>
      </c>
      <c r="G423" t="b">
        <v>1</v>
      </c>
      <c r="H423">
        <f>Sensitivity!H7</f>
        <v/>
      </c>
    </row>
    <row r="424">
      <c r="A424" t="inlineStr">
        <is>
          <t>ALL</t>
        </is>
      </c>
      <c r="B424" t="inlineStr">
        <is>
          <t>mystic</t>
        </is>
      </c>
      <c r="C424" t="n">
        <v>3</v>
      </c>
      <c r="D424" t="inlineStr">
        <is>
          <t>Min Damage Multiplier %</t>
        </is>
      </c>
      <c r="E424" t="n">
        <v>15</v>
      </c>
      <c r="F424" t="n">
        <v>3.68</v>
      </c>
      <c r="G424" t="b">
        <v>0</v>
      </c>
      <c r="H424">
        <f>Sensitivity!H12</f>
        <v/>
      </c>
    </row>
    <row r="425">
      <c r="A425" t="inlineStr">
        <is>
          <t>ALL</t>
        </is>
      </c>
      <c r="B425" t="inlineStr">
        <is>
          <t>mystic</t>
        </is>
      </c>
      <c r="C425" t="n">
        <v>3</v>
      </c>
      <c r="D425" t="inlineStr">
        <is>
          <t>Min Damage Multiplier %</t>
        </is>
      </c>
      <c r="E425" t="n">
        <v>25</v>
      </c>
      <c r="F425" t="n">
        <v>0.32</v>
      </c>
      <c r="G425" t="b">
        <v>1</v>
      </c>
      <c r="H425">
        <f>Sensitivity!H12</f>
        <v/>
      </c>
    </row>
    <row r="426">
      <c r="A426" t="inlineStr">
        <is>
          <t>ALL</t>
        </is>
      </c>
      <c r="B426" t="inlineStr">
        <is>
          <t>mystic</t>
        </is>
      </c>
      <c r="C426" t="n">
        <v>3</v>
      </c>
      <c r="D426" t="inlineStr">
        <is>
          <t>Max Damage Multiplier %</t>
        </is>
      </c>
      <c r="E426" t="n">
        <v>15</v>
      </c>
      <c r="F426" t="n">
        <v>3.68</v>
      </c>
      <c r="G426" t="b">
        <v>0</v>
      </c>
      <c r="H426">
        <f>Sensitivity!H13</f>
        <v/>
      </c>
    </row>
    <row r="427">
      <c r="A427" t="inlineStr">
        <is>
          <t>ALL</t>
        </is>
      </c>
      <c r="B427" t="inlineStr">
        <is>
          <t>mystic</t>
        </is>
      </c>
      <c r="C427" t="n">
        <v>3</v>
      </c>
      <c r="D427" t="inlineStr">
        <is>
          <t>Max Damage Multiplier %</t>
        </is>
      </c>
      <c r="E427" t="n">
        <v>25</v>
      </c>
      <c r="F427" t="n">
        <v>0.32</v>
      </c>
      <c r="G427" t="b">
        <v>1</v>
      </c>
      <c r="H427">
        <f>Sensitivity!H13</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f>Sensitivity!H6</f>
        <v/>
      </c>
    </row>
    <row r="433">
      <c r="A433" t="inlineStr">
        <is>
          <t>ALL</t>
        </is>
      </c>
      <c r="B433" t="inlineStr">
        <is>
          <t>mystic</t>
        </is>
      </c>
      <c r="C433" t="n">
        <v>3</v>
      </c>
      <c r="D433" t="inlineStr">
        <is>
          <t>Int %</t>
        </is>
      </c>
      <c r="E433" t="n">
        <v>15</v>
      </c>
      <c r="F433" t="n">
        <v>0.36</v>
      </c>
      <c r="G433" t="b">
        <v>1</v>
      </c>
      <c r="H433">
        <f>Sensitivity!H6</f>
        <v/>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f>Sensitivity!H5</f>
        <v/>
      </c>
    </row>
    <row r="447">
      <c r="A447" t="inlineStr">
        <is>
          <t>ALL</t>
        </is>
      </c>
      <c r="B447" t="inlineStr">
        <is>
          <t>mystic</t>
        </is>
      </c>
      <c r="C447" t="n">
        <v>3</v>
      </c>
      <c r="D447" t="inlineStr">
        <is>
          <t>Int</t>
        </is>
      </c>
      <c r="E447" t="n">
        <v>1000</v>
      </c>
      <c r="F447" t="n">
        <v>0.74</v>
      </c>
      <c r="G447" t="b">
        <v>1</v>
      </c>
      <c r="H447">
        <f>Sensitivity!H5</f>
        <v/>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Sensitivity!H27</f>
        <v/>
      </c>
    </row>
    <row r="451">
      <c r="A451" t="inlineStr">
        <is>
          <t>head</t>
        </is>
      </c>
      <c r="B451" t="inlineStr">
        <is>
          <t>epic</t>
        </is>
      </c>
      <c r="C451" t="n">
        <v>2</v>
      </c>
      <c r="D451" t="inlineStr">
        <is>
          <t>Skill Cooldown Decrease (seconds)</t>
        </is>
      </c>
      <c r="E451" t="n">
        <v>0.5</v>
      </c>
      <c r="F451" t="n">
        <v>0.24</v>
      </c>
      <c r="G451" t="b">
        <v>1</v>
      </c>
      <c r="H451">
        <f>Sensitivity!H27</f>
        <v/>
      </c>
    </row>
    <row r="452">
      <c r="A452" t="inlineStr">
        <is>
          <t>head</t>
        </is>
      </c>
      <c r="B452" t="inlineStr">
        <is>
          <t>epic</t>
        </is>
      </c>
      <c r="C452" t="n">
        <v>3</v>
      </c>
      <c r="D452" t="inlineStr">
        <is>
          <t>Skill Cooldown Decrease (seconds)</t>
        </is>
      </c>
      <c r="E452" t="n">
        <v>0.5</v>
      </c>
      <c r="F452" t="n">
        <v>0.08</v>
      </c>
      <c r="G452" t="b">
        <v>1</v>
      </c>
      <c r="H452">
        <f>Sensitivity!H27</f>
        <v/>
      </c>
    </row>
    <row r="453">
      <c r="A453" t="inlineStr">
        <is>
          <t>head</t>
        </is>
      </c>
      <c r="B453" t="inlineStr">
        <is>
          <t>unique</t>
        </is>
      </c>
      <c r="C453" t="n">
        <v>1</v>
      </c>
      <c r="D453" t="inlineStr">
        <is>
          <t>Skill Cooldown Decrease (seconds)</t>
        </is>
      </c>
      <c r="E453" t="n">
        <v>1</v>
      </c>
      <c r="F453" t="n">
        <v>1</v>
      </c>
      <c r="G453" t="b">
        <v>1</v>
      </c>
      <c r="H453">
        <f>Sensitivity!H27</f>
        <v/>
      </c>
    </row>
    <row r="454">
      <c r="A454" t="inlineStr">
        <is>
          <t>head</t>
        </is>
      </c>
      <c r="B454" t="inlineStr">
        <is>
          <t>unique</t>
        </is>
      </c>
      <c r="C454" t="n">
        <v>2</v>
      </c>
      <c r="D454" t="inlineStr">
        <is>
          <t>Skill Cooldown Decrease (seconds)</t>
        </is>
      </c>
      <c r="E454" t="n">
        <v>1</v>
      </c>
      <c r="F454" t="n">
        <v>0.24</v>
      </c>
      <c r="G454" t="b">
        <v>1</v>
      </c>
      <c r="H454">
        <f>Sensitivity!H27</f>
        <v/>
      </c>
    </row>
    <row r="455">
      <c r="A455" t="inlineStr">
        <is>
          <t>head</t>
        </is>
      </c>
      <c r="B455" t="inlineStr">
        <is>
          <t>unique</t>
        </is>
      </c>
      <c r="C455" t="n">
        <v>2</v>
      </c>
      <c r="D455" t="inlineStr">
        <is>
          <t>Skill Cooldown Decrease (seconds)</t>
        </is>
      </c>
      <c r="E455" t="n">
        <v>0.5</v>
      </c>
      <c r="F455" t="n">
        <v>0.76</v>
      </c>
      <c r="G455" t="b">
        <v>0</v>
      </c>
      <c r="H455">
        <f>Sensitivity!H27</f>
        <v/>
      </c>
    </row>
    <row r="456">
      <c r="A456" t="inlineStr">
        <is>
          <t>head</t>
        </is>
      </c>
      <c r="B456" t="inlineStr">
        <is>
          <t>unique</t>
        </is>
      </c>
      <c r="C456" t="n">
        <v>3</v>
      </c>
      <c r="D456" t="inlineStr">
        <is>
          <t>Skill Cooldown Decrease (seconds)</t>
        </is>
      </c>
      <c r="E456" t="n">
        <v>1</v>
      </c>
      <c r="F456" t="n">
        <v>0.08</v>
      </c>
      <c r="G456" t="b">
        <v>1</v>
      </c>
      <c r="H456">
        <f>Sensitivity!H27</f>
        <v/>
      </c>
    </row>
    <row r="457">
      <c r="A457" t="inlineStr">
        <is>
          <t>head</t>
        </is>
      </c>
      <c r="B457" t="inlineStr">
        <is>
          <t>unique</t>
        </is>
      </c>
      <c r="C457" t="n">
        <v>3</v>
      </c>
      <c r="D457" t="inlineStr">
        <is>
          <t>Skill Cooldown Decrease (seconds)</t>
        </is>
      </c>
      <c r="E457" t="n">
        <v>0.5</v>
      </c>
      <c r="F457" t="n">
        <v>0.92</v>
      </c>
      <c r="G457" t="b">
        <v>0</v>
      </c>
      <c r="H457">
        <f>Sensitivity!H27</f>
        <v/>
      </c>
    </row>
    <row r="458">
      <c r="A458" t="inlineStr">
        <is>
          <t>head</t>
        </is>
      </c>
      <c r="B458" t="inlineStr">
        <is>
          <t>legendary</t>
        </is>
      </c>
      <c r="C458" t="n">
        <v>1</v>
      </c>
      <c r="D458" t="inlineStr">
        <is>
          <t>Skill Cooldown Decrease (seconds)</t>
        </is>
      </c>
      <c r="E458" t="n">
        <v>1.5</v>
      </c>
      <c r="F458" t="n">
        <v>1</v>
      </c>
      <c r="G458" t="b">
        <v>1</v>
      </c>
      <c r="H458">
        <f>Sensitivity!H27</f>
        <v/>
      </c>
    </row>
    <row r="459">
      <c r="A459" t="inlineStr">
        <is>
          <t>head</t>
        </is>
      </c>
      <c r="B459" t="inlineStr">
        <is>
          <t>legendary</t>
        </is>
      </c>
      <c r="C459" t="n">
        <v>2</v>
      </c>
      <c r="D459" t="inlineStr">
        <is>
          <t>Skill Cooldown Decrease (seconds)</t>
        </is>
      </c>
      <c r="E459" t="n">
        <v>1.5</v>
      </c>
      <c r="F459" t="n">
        <v>0.24</v>
      </c>
      <c r="G459" t="b">
        <v>1</v>
      </c>
      <c r="H459">
        <f>Sensitivity!H27</f>
        <v/>
      </c>
    </row>
    <row r="460">
      <c r="A460" t="inlineStr">
        <is>
          <t>head</t>
        </is>
      </c>
      <c r="B460" t="inlineStr">
        <is>
          <t>legendary</t>
        </is>
      </c>
      <c r="C460" t="n">
        <v>2</v>
      </c>
      <c r="D460" t="inlineStr">
        <is>
          <t>Skill Cooldown Decrease (seconds)</t>
        </is>
      </c>
      <c r="E460" t="n">
        <v>1</v>
      </c>
      <c r="F460" t="n">
        <v>0.76</v>
      </c>
      <c r="G460" t="b">
        <v>0</v>
      </c>
      <c r="H460">
        <f>Sensitivity!H27</f>
        <v/>
      </c>
    </row>
    <row r="461">
      <c r="A461" t="inlineStr">
        <is>
          <t>head</t>
        </is>
      </c>
      <c r="B461" t="inlineStr">
        <is>
          <t>legendary</t>
        </is>
      </c>
      <c r="C461" t="n">
        <v>3</v>
      </c>
      <c r="D461" t="inlineStr">
        <is>
          <t>Skill Cooldown Decrease (seconds)</t>
        </is>
      </c>
      <c r="E461" t="n">
        <v>1.5</v>
      </c>
      <c r="F461" t="n">
        <v>0.08</v>
      </c>
      <c r="G461" t="b">
        <v>1</v>
      </c>
      <c r="H461">
        <f>Sensitivity!H27</f>
        <v/>
      </c>
    </row>
    <row r="462">
      <c r="A462" t="inlineStr">
        <is>
          <t>head</t>
        </is>
      </c>
      <c r="B462" t="inlineStr">
        <is>
          <t>legendary</t>
        </is>
      </c>
      <c r="C462" t="n">
        <v>3</v>
      </c>
      <c r="D462" t="inlineStr">
        <is>
          <t>Skill Cooldown Decrease (seconds)</t>
        </is>
      </c>
      <c r="E462" t="n">
        <v>1</v>
      </c>
      <c r="F462" t="n">
        <v>0.92</v>
      </c>
      <c r="G462" t="b">
        <v>0</v>
      </c>
      <c r="H462">
        <f>Sensitivity!H27</f>
        <v/>
      </c>
    </row>
    <row r="463">
      <c r="A463" t="inlineStr">
        <is>
          <t>head</t>
        </is>
      </c>
      <c r="B463" t="inlineStr">
        <is>
          <t>mystic</t>
        </is>
      </c>
      <c r="C463" t="n">
        <v>1</v>
      </c>
      <c r="D463" t="inlineStr">
        <is>
          <t>Skill Cooldown Decrease (seconds)</t>
        </is>
      </c>
      <c r="E463" t="n">
        <v>2</v>
      </c>
      <c r="F463" t="n">
        <v>1</v>
      </c>
      <c r="G463" t="b">
        <v>1</v>
      </c>
      <c r="H463">
        <f>Sensitivity!H27</f>
        <v/>
      </c>
    </row>
    <row r="464">
      <c r="A464" t="inlineStr">
        <is>
          <t>head</t>
        </is>
      </c>
      <c r="B464" t="inlineStr">
        <is>
          <t>mystic</t>
        </is>
      </c>
      <c r="C464" t="n">
        <v>2</v>
      </c>
      <c r="D464" t="inlineStr">
        <is>
          <t>Skill Cooldown Decrease (seconds)</t>
        </is>
      </c>
      <c r="E464" t="n">
        <v>2</v>
      </c>
      <c r="F464" t="n">
        <v>0.24</v>
      </c>
      <c r="G464" t="b">
        <v>1</v>
      </c>
      <c r="H464">
        <f>Sensitivity!H27</f>
        <v/>
      </c>
    </row>
    <row r="465">
      <c r="A465" t="inlineStr">
        <is>
          <t>head</t>
        </is>
      </c>
      <c r="B465" t="inlineStr">
        <is>
          <t>mystic</t>
        </is>
      </c>
      <c r="C465" t="n">
        <v>2</v>
      </c>
      <c r="D465" t="inlineStr">
        <is>
          <t>Skill Cooldown Decrease (seconds)</t>
        </is>
      </c>
      <c r="E465" t="n">
        <v>1.5</v>
      </c>
      <c r="F465" t="n">
        <v>0.76</v>
      </c>
      <c r="G465" t="b">
        <v>0</v>
      </c>
      <c r="H465">
        <f>Sensitivity!H27</f>
        <v/>
      </c>
    </row>
    <row r="466">
      <c r="A466" t="inlineStr">
        <is>
          <t>head</t>
        </is>
      </c>
      <c r="B466" t="inlineStr">
        <is>
          <t>mystic</t>
        </is>
      </c>
      <c r="C466" t="n">
        <v>3</v>
      </c>
      <c r="D466" t="inlineStr">
        <is>
          <t>Skill Cooldown Decrease (seconds)</t>
        </is>
      </c>
      <c r="E466" t="n">
        <v>2</v>
      </c>
      <c r="F466" t="n">
        <v>0.08</v>
      </c>
      <c r="G466" t="b">
        <v>1</v>
      </c>
      <c r="H466">
        <f>Sensitivity!H27</f>
        <v/>
      </c>
    </row>
    <row r="467">
      <c r="A467" t="inlineStr">
        <is>
          <t>head</t>
        </is>
      </c>
      <c r="B467" t="inlineStr">
        <is>
          <t>mystic</t>
        </is>
      </c>
      <c r="C467" t="n">
        <v>3</v>
      </c>
      <c r="D467" t="inlineStr">
        <is>
          <t>Skill Cooldown Decrease (seconds)</t>
        </is>
      </c>
      <c r="E467" t="n">
        <v>1.5</v>
      </c>
      <c r="F467" t="n">
        <v>0.92</v>
      </c>
      <c r="G467" t="b">
        <v>0</v>
      </c>
      <c r="H467">
        <f>Sensitivity!H27</f>
        <v/>
      </c>
    </row>
    <row r="468">
      <c r="A468" t="inlineStr">
        <is>
          <t>cape</t>
        </is>
      </c>
      <c r="B468" t="inlineStr">
        <is>
          <t>epic</t>
        </is>
      </c>
      <c r="C468" t="n">
        <v>1</v>
      </c>
      <c r="D468" t="inlineStr">
        <is>
          <t>Final Damage %</t>
        </is>
      </c>
      <c r="E468" t="n">
        <v>3</v>
      </c>
      <c r="F468" t="n">
        <v>1</v>
      </c>
      <c r="G468" t="b">
        <v>1</v>
      </c>
      <c r="H468">
        <f>Sensitivity!H11</f>
        <v/>
      </c>
    </row>
    <row r="469">
      <c r="A469" t="inlineStr">
        <is>
          <t>cape</t>
        </is>
      </c>
      <c r="B469" t="inlineStr">
        <is>
          <t>epic</t>
        </is>
      </c>
      <c r="C469" t="n">
        <v>2</v>
      </c>
      <c r="D469" t="inlineStr">
        <is>
          <t>Final Damage %</t>
        </is>
      </c>
      <c r="E469" t="n">
        <v>3</v>
      </c>
      <c r="F469" t="n">
        <v>0.24</v>
      </c>
      <c r="G469" t="b">
        <v>1</v>
      </c>
      <c r="H469">
        <f>Sensitivity!H11</f>
        <v/>
      </c>
    </row>
    <row r="470">
      <c r="A470" t="inlineStr">
        <is>
          <t>cape</t>
        </is>
      </c>
      <c r="B470" t="inlineStr">
        <is>
          <t>epic</t>
        </is>
      </c>
      <c r="C470" t="n">
        <v>3</v>
      </c>
      <c r="D470" t="inlineStr">
        <is>
          <t>Final Damage %</t>
        </is>
      </c>
      <c r="E470" t="n">
        <v>3</v>
      </c>
      <c r="F470" t="n">
        <v>0.08</v>
      </c>
      <c r="G470" t="b">
        <v>1</v>
      </c>
      <c r="H470">
        <f>Sensitivity!H11</f>
        <v/>
      </c>
    </row>
    <row r="471">
      <c r="A471" t="inlineStr">
        <is>
          <t>cape</t>
        </is>
      </c>
      <c r="B471" t="inlineStr">
        <is>
          <t>unique</t>
        </is>
      </c>
      <c r="C471" t="n">
        <v>1</v>
      </c>
      <c r="D471" t="inlineStr">
        <is>
          <t>Final Damage %</t>
        </is>
      </c>
      <c r="E471" t="n">
        <v>5</v>
      </c>
      <c r="F471" t="n">
        <v>1</v>
      </c>
      <c r="G471" t="b">
        <v>1</v>
      </c>
      <c r="H471">
        <f>Sensitivity!H11</f>
        <v/>
      </c>
    </row>
    <row r="472">
      <c r="A472" t="inlineStr">
        <is>
          <t>cape</t>
        </is>
      </c>
      <c r="B472" t="inlineStr">
        <is>
          <t>unique</t>
        </is>
      </c>
      <c r="C472" t="n">
        <v>2</v>
      </c>
      <c r="D472" t="inlineStr">
        <is>
          <t>Final Damage %</t>
        </is>
      </c>
      <c r="E472" t="n">
        <v>5</v>
      </c>
      <c r="F472" t="n">
        <v>0.24</v>
      </c>
      <c r="G472" t="b">
        <v>1</v>
      </c>
      <c r="H472">
        <f>Sensitivity!H11</f>
        <v/>
      </c>
    </row>
    <row r="473">
      <c r="A473" t="inlineStr">
        <is>
          <t>cape</t>
        </is>
      </c>
      <c r="B473" t="inlineStr">
        <is>
          <t>unique</t>
        </is>
      </c>
      <c r="C473" t="n">
        <v>2</v>
      </c>
      <c r="D473" t="inlineStr">
        <is>
          <t>Final Damage %</t>
        </is>
      </c>
      <c r="E473" t="n">
        <v>3</v>
      </c>
      <c r="F473" t="n">
        <v>0.76</v>
      </c>
      <c r="G473" t="b">
        <v>0</v>
      </c>
      <c r="H473">
        <f>Sensitivity!H11</f>
        <v/>
      </c>
    </row>
    <row r="474">
      <c r="A474" t="inlineStr">
        <is>
          <t>cape</t>
        </is>
      </c>
      <c r="B474" t="inlineStr">
        <is>
          <t>unique</t>
        </is>
      </c>
      <c r="C474" t="n">
        <v>3</v>
      </c>
      <c r="D474" t="inlineStr">
        <is>
          <t>Final Damage %</t>
        </is>
      </c>
      <c r="E474" t="n">
        <v>5</v>
      </c>
      <c r="F474" t="n">
        <v>0.08</v>
      </c>
      <c r="G474" t="b">
        <v>1</v>
      </c>
      <c r="H474">
        <f>Sensitivity!H11</f>
        <v/>
      </c>
    </row>
    <row r="475">
      <c r="A475" t="inlineStr">
        <is>
          <t>cape</t>
        </is>
      </c>
      <c r="B475" t="inlineStr">
        <is>
          <t>unique</t>
        </is>
      </c>
      <c r="C475" t="n">
        <v>3</v>
      </c>
      <c r="D475" t="inlineStr">
        <is>
          <t>Final Damage %</t>
        </is>
      </c>
      <c r="E475" t="n">
        <v>3</v>
      </c>
      <c r="F475" t="n">
        <v>0.92</v>
      </c>
      <c r="G475" t="b">
        <v>0</v>
      </c>
      <c r="H475">
        <f>Sensitivity!H11</f>
        <v/>
      </c>
    </row>
    <row r="476">
      <c r="A476" t="inlineStr">
        <is>
          <t>cape</t>
        </is>
      </c>
      <c r="B476" t="inlineStr">
        <is>
          <t>legendary</t>
        </is>
      </c>
      <c r="C476" t="n">
        <v>1</v>
      </c>
      <c r="D476" t="inlineStr">
        <is>
          <t>Final Damage %</t>
        </is>
      </c>
      <c r="E476" t="n">
        <v>8</v>
      </c>
      <c r="F476" t="n">
        <v>1</v>
      </c>
      <c r="G476" t="b">
        <v>1</v>
      </c>
      <c r="H476">
        <f>Sensitivity!H11</f>
        <v/>
      </c>
    </row>
    <row r="477">
      <c r="A477" t="inlineStr">
        <is>
          <t>cape</t>
        </is>
      </c>
      <c r="B477" t="inlineStr">
        <is>
          <t>legendary</t>
        </is>
      </c>
      <c r="C477" t="n">
        <v>2</v>
      </c>
      <c r="D477" t="inlineStr">
        <is>
          <t>Final Damage %</t>
        </is>
      </c>
      <c r="E477" t="n">
        <v>8</v>
      </c>
      <c r="F477" t="n">
        <v>0.24</v>
      </c>
      <c r="G477" t="b">
        <v>1</v>
      </c>
      <c r="H477">
        <f>Sensitivity!H11</f>
        <v/>
      </c>
    </row>
    <row r="478">
      <c r="A478" t="inlineStr">
        <is>
          <t>cape</t>
        </is>
      </c>
      <c r="B478" t="inlineStr">
        <is>
          <t>legendary</t>
        </is>
      </c>
      <c r="C478" t="n">
        <v>2</v>
      </c>
      <c r="D478" t="inlineStr">
        <is>
          <t>Final Damage %</t>
        </is>
      </c>
      <c r="E478" t="n">
        <v>5</v>
      </c>
      <c r="F478" t="n">
        <v>0.76</v>
      </c>
      <c r="G478" t="b">
        <v>0</v>
      </c>
      <c r="H478">
        <f>Sensitivity!H11</f>
        <v/>
      </c>
    </row>
    <row r="479">
      <c r="A479" t="inlineStr">
        <is>
          <t>cape</t>
        </is>
      </c>
      <c r="B479" t="inlineStr">
        <is>
          <t>legendary</t>
        </is>
      </c>
      <c r="C479" t="n">
        <v>3</v>
      </c>
      <c r="D479" t="inlineStr">
        <is>
          <t>Final Damage %</t>
        </is>
      </c>
      <c r="E479" t="n">
        <v>8</v>
      </c>
      <c r="F479" t="n">
        <v>0.08</v>
      </c>
      <c r="G479" t="b">
        <v>1</v>
      </c>
      <c r="H479">
        <f>Sensitivity!H11</f>
        <v/>
      </c>
    </row>
    <row r="480">
      <c r="A480" t="inlineStr">
        <is>
          <t>cape</t>
        </is>
      </c>
      <c r="B480" t="inlineStr">
        <is>
          <t>legendary</t>
        </is>
      </c>
      <c r="C480" t="n">
        <v>3</v>
      </c>
      <c r="D480" t="inlineStr">
        <is>
          <t>Final Damage %</t>
        </is>
      </c>
      <c r="E480" t="n">
        <v>5</v>
      </c>
      <c r="F480" t="n">
        <v>0.92</v>
      </c>
      <c r="G480" t="b">
        <v>0</v>
      </c>
      <c r="H480">
        <f>Sensitivity!H11</f>
        <v/>
      </c>
    </row>
    <row r="481">
      <c r="A481" t="inlineStr">
        <is>
          <t>cape</t>
        </is>
      </c>
      <c r="B481" t="inlineStr">
        <is>
          <t>mystic</t>
        </is>
      </c>
      <c r="C481" t="n">
        <v>1</v>
      </c>
      <c r="D481" t="inlineStr">
        <is>
          <t>Final Damage %</t>
        </is>
      </c>
      <c r="E481" t="n">
        <v>12</v>
      </c>
      <c r="F481" t="n">
        <v>1</v>
      </c>
      <c r="G481" t="b">
        <v>1</v>
      </c>
      <c r="H481">
        <f>Sensitivity!H11</f>
        <v/>
      </c>
    </row>
    <row r="482">
      <c r="A482" t="inlineStr">
        <is>
          <t>cape</t>
        </is>
      </c>
      <c r="B482" t="inlineStr">
        <is>
          <t>mystic</t>
        </is>
      </c>
      <c r="C482" t="n">
        <v>2</v>
      </c>
      <c r="D482" t="inlineStr">
        <is>
          <t>Final Damage %</t>
        </is>
      </c>
      <c r="E482" t="n">
        <v>12</v>
      </c>
      <c r="F482" t="n">
        <v>0.24</v>
      </c>
      <c r="G482" t="b">
        <v>1</v>
      </c>
      <c r="H482">
        <f>Sensitivity!H11</f>
        <v/>
      </c>
    </row>
    <row r="483">
      <c r="A483" t="inlineStr">
        <is>
          <t>cape</t>
        </is>
      </c>
      <c r="B483" t="inlineStr">
        <is>
          <t>mystic</t>
        </is>
      </c>
      <c r="C483" t="n">
        <v>2</v>
      </c>
      <c r="D483" t="inlineStr">
        <is>
          <t>Final Damage %</t>
        </is>
      </c>
      <c r="E483" t="n">
        <v>8</v>
      </c>
      <c r="F483" t="n">
        <v>0.76</v>
      </c>
      <c r="G483" t="b">
        <v>0</v>
      </c>
      <c r="H483">
        <f>Sensitivity!H11</f>
        <v/>
      </c>
    </row>
    <row r="484">
      <c r="A484" t="inlineStr">
        <is>
          <t>cape</t>
        </is>
      </c>
      <c r="B484" t="inlineStr">
        <is>
          <t>mystic</t>
        </is>
      </c>
      <c r="C484" t="n">
        <v>3</v>
      </c>
      <c r="D484" t="inlineStr">
        <is>
          <t>Final Damage %</t>
        </is>
      </c>
      <c r="E484" t="n">
        <v>12</v>
      </c>
      <c r="F484" t="n">
        <v>0.08</v>
      </c>
      <c r="G484" t="b">
        <v>1</v>
      </c>
      <c r="H484">
        <f>Sensitivity!H11</f>
        <v/>
      </c>
    </row>
    <row r="485">
      <c r="A485" t="inlineStr">
        <is>
          <t>cape</t>
        </is>
      </c>
      <c r="B485" t="inlineStr">
        <is>
          <t>mystic</t>
        </is>
      </c>
      <c r="C485" t="n">
        <v>3</v>
      </c>
      <c r="D485" t="inlineStr">
        <is>
          <t>Final Damage %</t>
        </is>
      </c>
      <c r="E485" t="n">
        <v>8</v>
      </c>
      <c r="F485" t="n">
        <v>0.92</v>
      </c>
      <c r="G485" t="b">
        <v>0</v>
      </c>
      <c r="H485">
        <f>Sensitivity!H11</f>
        <v/>
      </c>
    </row>
    <row r="486">
      <c r="A486" t="inlineStr">
        <is>
          <t>chest</t>
        </is>
      </c>
      <c r="B486" t="inlineStr">
        <is>
          <t>unique</t>
        </is>
      </c>
      <c r="C486" t="n">
        <v>1</v>
      </c>
      <c r="D486" t="inlineStr">
        <is>
          <t>Basic Attack Target Increase</t>
        </is>
      </c>
      <c r="E486" t="n">
        <v>1</v>
      </c>
      <c r="F486" t="n">
        <v>1</v>
      </c>
      <c r="G486" t="b">
        <v>1</v>
      </c>
      <c r="H486">
        <f>Sensitivity!H28</f>
        <v/>
      </c>
    </row>
    <row r="487">
      <c r="A487" t="inlineStr">
        <is>
          <t>chest</t>
        </is>
      </c>
      <c r="B487" t="inlineStr">
        <is>
          <t>unique</t>
        </is>
      </c>
      <c r="C487" t="n">
        <v>2</v>
      </c>
      <c r="D487" t="inlineStr">
        <is>
          <t>Basic Attack Target Increase</t>
        </is>
      </c>
      <c r="E487" t="n">
        <v>1</v>
      </c>
      <c r="F487" t="n">
        <v>0.24</v>
      </c>
      <c r="G487" t="b">
        <v>1</v>
      </c>
      <c r="H487">
        <f>Sensitivity!H28</f>
        <v/>
      </c>
    </row>
    <row r="488">
      <c r="A488" t="inlineStr">
        <is>
          <t>chest</t>
        </is>
      </c>
      <c r="B488" t="inlineStr">
        <is>
          <t>unique</t>
        </is>
      </c>
      <c r="C488" t="n">
        <v>3</v>
      </c>
      <c r="D488" t="inlineStr">
        <is>
          <t>Basic Attack Target Increase</t>
        </is>
      </c>
      <c r="E488" t="n">
        <v>1</v>
      </c>
      <c r="F488" t="n">
        <v>0.08</v>
      </c>
      <c r="G488" t="b">
        <v>1</v>
      </c>
      <c r="H488">
        <f>Sensitivity!H28</f>
        <v/>
      </c>
    </row>
    <row r="489">
      <c r="A489" t="inlineStr">
        <is>
          <t>chest</t>
        </is>
      </c>
      <c r="B489" t="inlineStr">
        <is>
          <t>legendary</t>
        </is>
      </c>
      <c r="C489" t="n">
        <v>1</v>
      </c>
      <c r="D489" t="inlineStr">
        <is>
          <t>Basic Attack Target Increase</t>
        </is>
      </c>
      <c r="E489" t="n">
        <v>2</v>
      </c>
      <c r="F489" t="n">
        <v>1</v>
      </c>
      <c r="G489" t="b">
        <v>1</v>
      </c>
      <c r="H489">
        <f>Sensitivity!H28</f>
        <v/>
      </c>
    </row>
    <row r="490">
      <c r="A490" t="inlineStr">
        <is>
          <t>chest</t>
        </is>
      </c>
      <c r="B490" t="inlineStr">
        <is>
          <t>legendary</t>
        </is>
      </c>
      <c r="C490" t="n">
        <v>2</v>
      </c>
      <c r="D490" t="inlineStr">
        <is>
          <t>Basic Attack Target Increase</t>
        </is>
      </c>
      <c r="E490" t="n">
        <v>2</v>
      </c>
      <c r="F490" t="n">
        <v>0.24</v>
      </c>
      <c r="G490" t="b">
        <v>1</v>
      </c>
      <c r="H490">
        <f>Sensitivity!H28</f>
        <v/>
      </c>
    </row>
    <row r="491">
      <c r="A491" t="inlineStr">
        <is>
          <t>chest</t>
        </is>
      </c>
      <c r="B491" t="inlineStr">
        <is>
          <t>legendary</t>
        </is>
      </c>
      <c r="C491" t="n">
        <v>2</v>
      </c>
      <c r="D491" t="inlineStr">
        <is>
          <t>Basic Attack Target Increase</t>
        </is>
      </c>
      <c r="E491" t="n">
        <v>1</v>
      </c>
      <c r="F491" t="n">
        <v>0.76</v>
      </c>
      <c r="G491" t="b">
        <v>0</v>
      </c>
      <c r="H491">
        <f>Sensitivity!H28</f>
        <v/>
      </c>
    </row>
    <row r="492">
      <c r="A492" t="inlineStr">
        <is>
          <t>chest</t>
        </is>
      </c>
      <c r="B492" t="inlineStr">
        <is>
          <t>legendary</t>
        </is>
      </c>
      <c r="C492" t="n">
        <v>3</v>
      </c>
      <c r="D492" t="inlineStr">
        <is>
          <t>Basic Attack Target Increase</t>
        </is>
      </c>
      <c r="E492" t="n">
        <v>2</v>
      </c>
      <c r="F492" t="n">
        <v>0.08</v>
      </c>
      <c r="G492" t="b">
        <v>1</v>
      </c>
      <c r="H492">
        <f>Sensitivity!H28</f>
        <v/>
      </c>
    </row>
    <row r="493">
      <c r="A493" t="inlineStr">
        <is>
          <t>chest</t>
        </is>
      </c>
      <c r="B493" t="inlineStr">
        <is>
          <t>legendary</t>
        </is>
      </c>
      <c r="C493" t="n">
        <v>3</v>
      </c>
      <c r="D493" t="inlineStr">
        <is>
          <t>Basic Attack Target Increase</t>
        </is>
      </c>
      <c r="E493" t="n">
        <v>1</v>
      </c>
      <c r="F493" t="n">
        <v>0.92</v>
      </c>
      <c r="G493" t="b">
        <v>0</v>
      </c>
      <c r="H493">
        <f>Sensitivity!H28</f>
        <v/>
      </c>
    </row>
    <row r="494">
      <c r="A494" t="inlineStr">
        <is>
          <t>chest</t>
        </is>
      </c>
      <c r="B494" t="inlineStr">
        <is>
          <t>mystic</t>
        </is>
      </c>
      <c r="C494" t="n">
        <v>1</v>
      </c>
      <c r="D494" t="inlineStr">
        <is>
          <t>Basic Attack Target Increase</t>
        </is>
      </c>
      <c r="E494" t="n">
        <v>3</v>
      </c>
      <c r="F494" t="n">
        <v>1</v>
      </c>
      <c r="G494" t="b">
        <v>1</v>
      </c>
      <c r="H494">
        <f>Sensitivity!H28</f>
        <v/>
      </c>
    </row>
    <row r="495">
      <c r="A495" t="inlineStr">
        <is>
          <t>chest</t>
        </is>
      </c>
      <c r="B495" t="inlineStr">
        <is>
          <t>mystic</t>
        </is>
      </c>
      <c r="C495" t="n">
        <v>2</v>
      </c>
      <c r="D495" t="inlineStr">
        <is>
          <t>Basic Attack Target Increase</t>
        </is>
      </c>
      <c r="E495" t="n">
        <v>3</v>
      </c>
      <c r="F495" t="n">
        <v>0.24</v>
      </c>
      <c r="G495" t="b">
        <v>1</v>
      </c>
      <c r="H495">
        <f>Sensitivity!H28</f>
        <v/>
      </c>
    </row>
    <row r="496">
      <c r="A496" t="inlineStr">
        <is>
          <t>chest</t>
        </is>
      </c>
      <c r="B496" t="inlineStr">
        <is>
          <t>mystic</t>
        </is>
      </c>
      <c r="C496" t="n">
        <v>2</v>
      </c>
      <c r="D496" t="inlineStr">
        <is>
          <t>Basic Attack Target Increase</t>
        </is>
      </c>
      <c r="E496" t="n">
        <v>2</v>
      </c>
      <c r="F496" t="n">
        <v>0.76</v>
      </c>
      <c r="G496" t="b">
        <v>0</v>
      </c>
      <c r="H496">
        <f>Sensitivity!H28</f>
        <v/>
      </c>
    </row>
    <row r="497">
      <c r="A497" t="inlineStr">
        <is>
          <t>chest</t>
        </is>
      </c>
      <c r="B497" t="inlineStr">
        <is>
          <t>mystic</t>
        </is>
      </c>
      <c r="C497" t="n">
        <v>3</v>
      </c>
      <c r="D497" t="inlineStr">
        <is>
          <t>Basic Attack Target Increase</t>
        </is>
      </c>
      <c r="E497" t="n">
        <v>3</v>
      </c>
      <c r="F497" t="n">
        <v>0.08</v>
      </c>
      <c r="G497" t="b">
        <v>1</v>
      </c>
      <c r="H497">
        <f>Sensitivity!H28</f>
        <v/>
      </c>
    </row>
    <row r="498">
      <c r="A498" t="inlineStr">
        <is>
          <t>chest</t>
        </is>
      </c>
      <c r="B498" t="inlineStr">
        <is>
          <t>mystic</t>
        </is>
      </c>
      <c r="C498" t="n">
        <v>3</v>
      </c>
      <c r="D498" t="inlineStr">
        <is>
          <t>Basic Attack Target Increase</t>
        </is>
      </c>
      <c r="E498" t="n">
        <v>2</v>
      </c>
      <c r="F498" t="n">
        <v>0.92</v>
      </c>
      <c r="G498" t="b">
        <v>0</v>
      </c>
      <c r="H498">
        <f>Sensitivity!H28</f>
        <v/>
      </c>
    </row>
    <row r="499">
      <c r="A499" t="inlineStr">
        <is>
          <t>shoulders</t>
        </is>
      </c>
      <c r="B499" t="inlineStr">
        <is>
          <t>unique</t>
        </is>
      </c>
      <c r="C499" t="n">
        <v>1</v>
      </c>
      <c r="D499" t="inlineStr">
        <is>
          <t>Defense Penetration</t>
        </is>
      </c>
      <c r="E499" t="n">
        <v>8</v>
      </c>
      <c r="F499" t="n">
        <v>1</v>
      </c>
      <c r="G499" t="b">
        <v>1</v>
      </c>
      <c r="H499">
        <f>Sensitivity!H17</f>
        <v/>
      </c>
    </row>
    <row r="500">
      <c r="A500" t="inlineStr">
        <is>
          <t>shoulders</t>
        </is>
      </c>
      <c r="B500" t="inlineStr">
        <is>
          <t>unique</t>
        </is>
      </c>
      <c r="C500" t="n">
        <v>2</v>
      </c>
      <c r="D500" t="inlineStr">
        <is>
          <t>Defense Penetration</t>
        </is>
      </c>
      <c r="E500" t="n">
        <v>8</v>
      </c>
      <c r="F500" t="n">
        <v>0.24</v>
      </c>
      <c r="G500" t="b">
        <v>1</v>
      </c>
      <c r="H500">
        <f>Sensitivity!H17</f>
        <v/>
      </c>
    </row>
    <row r="501">
      <c r="A501" t="inlineStr">
        <is>
          <t>shoulders</t>
        </is>
      </c>
      <c r="B501" t="inlineStr">
        <is>
          <t>unique</t>
        </is>
      </c>
      <c r="C501" t="n">
        <v>3</v>
      </c>
      <c r="D501" t="inlineStr">
        <is>
          <t>Defense Penetration</t>
        </is>
      </c>
      <c r="E501" t="n">
        <v>8</v>
      </c>
      <c r="F501" t="n">
        <v>0.08</v>
      </c>
      <c r="G501" t="b">
        <v>1</v>
      </c>
      <c r="H501">
        <f>Sensitivity!H17</f>
        <v/>
      </c>
    </row>
    <row r="502">
      <c r="A502" t="inlineStr">
        <is>
          <t>shoulders</t>
        </is>
      </c>
      <c r="B502" t="inlineStr">
        <is>
          <t>legendary</t>
        </is>
      </c>
      <c r="C502" t="n">
        <v>1</v>
      </c>
      <c r="D502" t="inlineStr">
        <is>
          <t>Defense Penetration</t>
        </is>
      </c>
      <c r="E502" t="n">
        <v>12</v>
      </c>
      <c r="F502" t="n">
        <v>1</v>
      </c>
      <c r="G502" t="b">
        <v>1</v>
      </c>
      <c r="H502">
        <f>Sensitivity!H17</f>
        <v/>
      </c>
    </row>
    <row r="503">
      <c r="A503" t="inlineStr">
        <is>
          <t>shoulders</t>
        </is>
      </c>
      <c r="B503" t="inlineStr">
        <is>
          <t>legendary</t>
        </is>
      </c>
      <c r="C503" t="n">
        <v>2</v>
      </c>
      <c r="D503" t="inlineStr">
        <is>
          <t>Defense Penetration</t>
        </is>
      </c>
      <c r="E503" t="n">
        <v>12</v>
      </c>
      <c r="F503" t="n">
        <v>0.24</v>
      </c>
      <c r="G503" t="b">
        <v>1</v>
      </c>
      <c r="H503">
        <f>Sensitivity!H17</f>
        <v/>
      </c>
    </row>
    <row r="504">
      <c r="A504" t="inlineStr">
        <is>
          <t>shoulders</t>
        </is>
      </c>
      <c r="B504" t="inlineStr">
        <is>
          <t>legendary</t>
        </is>
      </c>
      <c r="C504" t="n">
        <v>2</v>
      </c>
      <c r="D504" t="inlineStr">
        <is>
          <t>Defense Penetration</t>
        </is>
      </c>
      <c r="E504" t="n">
        <v>8</v>
      </c>
      <c r="F504" t="n">
        <v>0.76</v>
      </c>
      <c r="G504" t="b">
        <v>0</v>
      </c>
      <c r="H504">
        <f>Sensitivity!H17</f>
        <v/>
      </c>
    </row>
    <row r="505">
      <c r="A505" t="inlineStr">
        <is>
          <t>shoulders</t>
        </is>
      </c>
      <c r="B505" t="inlineStr">
        <is>
          <t>legendary</t>
        </is>
      </c>
      <c r="C505" t="n">
        <v>3</v>
      </c>
      <c r="D505" t="inlineStr">
        <is>
          <t>Defense Penetration</t>
        </is>
      </c>
      <c r="E505" t="n">
        <v>12</v>
      </c>
      <c r="F505" t="n">
        <v>0.08</v>
      </c>
      <c r="G505" t="b">
        <v>1</v>
      </c>
      <c r="H505">
        <f>Sensitivity!H17</f>
        <v/>
      </c>
    </row>
    <row r="506">
      <c r="A506" t="inlineStr">
        <is>
          <t>shoulders</t>
        </is>
      </c>
      <c r="B506" t="inlineStr">
        <is>
          <t>legendary</t>
        </is>
      </c>
      <c r="C506" t="n">
        <v>3</v>
      </c>
      <c r="D506" t="inlineStr">
        <is>
          <t>Defense Penetration</t>
        </is>
      </c>
      <c r="E506" t="n">
        <v>8</v>
      </c>
      <c r="F506" t="n">
        <v>0.92</v>
      </c>
      <c r="G506" t="b">
        <v>0</v>
      </c>
      <c r="H506">
        <f>Sensitivity!H17</f>
        <v/>
      </c>
    </row>
    <row r="507">
      <c r="A507" t="inlineStr">
        <is>
          <t>shoulders</t>
        </is>
      </c>
      <c r="B507" t="inlineStr">
        <is>
          <t>mystic</t>
        </is>
      </c>
      <c r="C507" t="n">
        <v>1</v>
      </c>
      <c r="D507" t="inlineStr">
        <is>
          <t>Defense Penetration</t>
        </is>
      </c>
      <c r="E507" t="n">
        <v>20</v>
      </c>
      <c r="F507" t="n">
        <v>1</v>
      </c>
      <c r="G507" t="b">
        <v>1</v>
      </c>
      <c r="H507">
        <f>Sensitivity!H17</f>
        <v/>
      </c>
    </row>
    <row r="508">
      <c r="A508" t="inlineStr">
        <is>
          <t>shoulders</t>
        </is>
      </c>
      <c r="B508" t="inlineStr">
        <is>
          <t>mystic</t>
        </is>
      </c>
      <c r="C508" t="n">
        <v>2</v>
      </c>
      <c r="D508" t="inlineStr">
        <is>
          <t>Defense Penetration</t>
        </is>
      </c>
      <c r="E508" t="n">
        <v>20</v>
      </c>
      <c r="F508" t="n">
        <v>0.24</v>
      </c>
      <c r="G508" t="b">
        <v>1</v>
      </c>
      <c r="H508">
        <f>Sensitivity!H17</f>
        <v/>
      </c>
    </row>
    <row r="509">
      <c r="A509" t="inlineStr">
        <is>
          <t>shoulders</t>
        </is>
      </c>
      <c r="B509" t="inlineStr">
        <is>
          <t>mystic</t>
        </is>
      </c>
      <c r="C509" t="n">
        <v>2</v>
      </c>
      <c r="D509" t="inlineStr">
        <is>
          <t>Defense Penetration</t>
        </is>
      </c>
      <c r="E509" t="n">
        <v>12</v>
      </c>
      <c r="F509" t="n">
        <v>0.76</v>
      </c>
      <c r="G509" t="b">
        <v>0</v>
      </c>
      <c r="H509">
        <f>Sensitivity!H17</f>
        <v/>
      </c>
    </row>
    <row r="510">
      <c r="A510" t="inlineStr">
        <is>
          <t>shoulders</t>
        </is>
      </c>
      <c r="B510" t="inlineStr">
        <is>
          <t>mystic</t>
        </is>
      </c>
      <c r="C510" t="n">
        <v>3</v>
      </c>
      <c r="D510" t="inlineStr">
        <is>
          <t>Defense Penetration</t>
        </is>
      </c>
      <c r="E510" t="n">
        <v>20</v>
      </c>
      <c r="F510" t="n">
        <v>0.08</v>
      </c>
      <c r="G510" t="b">
        <v>1</v>
      </c>
      <c r="H510">
        <f>Sensitivity!H17</f>
        <v/>
      </c>
    </row>
    <row r="511">
      <c r="A511" t="inlineStr">
        <is>
          <t>shoulders</t>
        </is>
      </c>
      <c r="B511" t="inlineStr">
        <is>
          <t>mystic</t>
        </is>
      </c>
      <c r="C511" t="n">
        <v>3</v>
      </c>
      <c r="D511" t="inlineStr">
        <is>
          <t>Defense Penetration</t>
        </is>
      </c>
      <c r="E511" t="n">
        <v>12</v>
      </c>
      <c r="F511" t="n">
        <v>0.92</v>
      </c>
      <c r="G511" t="b">
        <v>0</v>
      </c>
      <c r="H511">
        <f>Sensitivity!H17</f>
        <v/>
      </c>
    </row>
    <row r="512">
      <c r="A512" t="inlineStr">
        <is>
          <t>legs</t>
        </is>
      </c>
      <c r="B512" t="inlineStr">
        <is>
          <t>epic</t>
        </is>
      </c>
      <c r="C512" t="n">
        <v>1</v>
      </c>
      <c r="D512" t="inlineStr">
        <is>
          <t>Final Damage %</t>
        </is>
      </c>
      <c r="E512" t="n">
        <v>3</v>
      </c>
      <c r="F512" t="n">
        <v>1</v>
      </c>
      <c r="G512" t="b">
        <v>1</v>
      </c>
      <c r="H512">
        <f>Sensitivity!H11</f>
        <v/>
      </c>
    </row>
    <row r="513">
      <c r="A513" t="inlineStr">
        <is>
          <t>legs</t>
        </is>
      </c>
      <c r="B513" t="inlineStr">
        <is>
          <t>epic</t>
        </is>
      </c>
      <c r="C513" t="n">
        <v>2</v>
      </c>
      <c r="D513" t="inlineStr">
        <is>
          <t>Final Damage %</t>
        </is>
      </c>
      <c r="E513" t="n">
        <v>3</v>
      </c>
      <c r="F513" t="n">
        <v>0.24</v>
      </c>
      <c r="G513" t="b">
        <v>1</v>
      </c>
      <c r="H513">
        <f>Sensitivity!H11</f>
        <v/>
      </c>
    </row>
    <row r="514">
      <c r="A514" t="inlineStr">
        <is>
          <t>legs</t>
        </is>
      </c>
      <c r="B514" t="inlineStr">
        <is>
          <t>epic</t>
        </is>
      </c>
      <c r="C514" t="n">
        <v>3</v>
      </c>
      <c r="D514" t="inlineStr">
        <is>
          <t>Final Damage %</t>
        </is>
      </c>
      <c r="E514" t="n">
        <v>3</v>
      </c>
      <c r="F514" t="n">
        <v>0.08</v>
      </c>
      <c r="G514" t="b">
        <v>1</v>
      </c>
      <c r="H514">
        <f>Sensitivity!H11</f>
        <v/>
      </c>
    </row>
    <row r="515">
      <c r="A515" t="inlineStr">
        <is>
          <t>legs</t>
        </is>
      </c>
      <c r="B515" t="inlineStr">
        <is>
          <t>unique</t>
        </is>
      </c>
      <c r="C515" t="n">
        <v>1</v>
      </c>
      <c r="D515" t="inlineStr">
        <is>
          <t>Final Damage %</t>
        </is>
      </c>
      <c r="E515" t="n">
        <v>5</v>
      </c>
      <c r="F515" t="n">
        <v>1</v>
      </c>
      <c r="G515" t="b">
        <v>1</v>
      </c>
      <c r="H515">
        <f>Sensitivity!H11</f>
        <v/>
      </c>
    </row>
    <row r="516">
      <c r="A516" t="inlineStr">
        <is>
          <t>legs</t>
        </is>
      </c>
      <c r="B516" t="inlineStr">
        <is>
          <t>unique</t>
        </is>
      </c>
      <c r="C516" t="n">
        <v>2</v>
      </c>
      <c r="D516" t="inlineStr">
        <is>
          <t>Final Damage %</t>
        </is>
      </c>
      <c r="E516" t="n">
        <v>5</v>
      </c>
      <c r="F516" t="n">
        <v>0.24</v>
      </c>
      <c r="G516" t="b">
        <v>1</v>
      </c>
      <c r="H516">
        <f>Sensitivity!H11</f>
        <v/>
      </c>
    </row>
    <row r="517">
      <c r="A517" t="inlineStr">
        <is>
          <t>legs</t>
        </is>
      </c>
      <c r="B517" t="inlineStr">
        <is>
          <t>unique</t>
        </is>
      </c>
      <c r="C517" t="n">
        <v>2</v>
      </c>
      <c r="D517" t="inlineStr">
        <is>
          <t>Final Damage %</t>
        </is>
      </c>
      <c r="E517" t="n">
        <v>3</v>
      </c>
      <c r="F517" t="n">
        <v>0.76</v>
      </c>
      <c r="G517" t="b">
        <v>0</v>
      </c>
      <c r="H517">
        <f>Sensitivity!H11</f>
        <v/>
      </c>
    </row>
    <row r="518">
      <c r="A518" t="inlineStr">
        <is>
          <t>legs</t>
        </is>
      </c>
      <c r="B518" t="inlineStr">
        <is>
          <t>unique</t>
        </is>
      </c>
      <c r="C518" t="n">
        <v>3</v>
      </c>
      <c r="D518" t="inlineStr">
        <is>
          <t>Final Damage %</t>
        </is>
      </c>
      <c r="E518" t="n">
        <v>5</v>
      </c>
      <c r="F518" t="n">
        <v>0.08</v>
      </c>
      <c r="G518" t="b">
        <v>1</v>
      </c>
      <c r="H518">
        <f>Sensitivity!H11</f>
        <v/>
      </c>
    </row>
    <row r="519">
      <c r="A519" t="inlineStr">
        <is>
          <t>legs</t>
        </is>
      </c>
      <c r="B519" t="inlineStr">
        <is>
          <t>unique</t>
        </is>
      </c>
      <c r="C519" t="n">
        <v>3</v>
      </c>
      <c r="D519" t="inlineStr">
        <is>
          <t>Final Damage %</t>
        </is>
      </c>
      <c r="E519" t="n">
        <v>3</v>
      </c>
      <c r="F519" t="n">
        <v>0.92</v>
      </c>
      <c r="G519" t="b">
        <v>0</v>
      </c>
      <c r="H519">
        <f>Sensitivity!H11</f>
        <v/>
      </c>
    </row>
    <row r="520">
      <c r="A520" t="inlineStr">
        <is>
          <t>legs</t>
        </is>
      </c>
      <c r="B520" t="inlineStr">
        <is>
          <t>legendary</t>
        </is>
      </c>
      <c r="C520" t="n">
        <v>1</v>
      </c>
      <c r="D520" t="inlineStr">
        <is>
          <t>Final Damage %</t>
        </is>
      </c>
      <c r="E520" t="n">
        <v>8</v>
      </c>
      <c r="F520" t="n">
        <v>1</v>
      </c>
      <c r="G520" t="b">
        <v>1</v>
      </c>
      <c r="H520">
        <f>Sensitivity!H11</f>
        <v/>
      </c>
    </row>
    <row r="521">
      <c r="A521" t="inlineStr">
        <is>
          <t>legs</t>
        </is>
      </c>
      <c r="B521" t="inlineStr">
        <is>
          <t>legendary</t>
        </is>
      </c>
      <c r="C521" t="n">
        <v>2</v>
      </c>
      <c r="D521" t="inlineStr">
        <is>
          <t>Final Damage %</t>
        </is>
      </c>
      <c r="E521" t="n">
        <v>8</v>
      </c>
      <c r="F521" t="n">
        <v>0.24</v>
      </c>
      <c r="G521" t="b">
        <v>1</v>
      </c>
      <c r="H521">
        <f>Sensitivity!H11</f>
        <v/>
      </c>
    </row>
    <row r="522">
      <c r="A522" t="inlineStr">
        <is>
          <t>legs</t>
        </is>
      </c>
      <c r="B522" t="inlineStr">
        <is>
          <t>legendary</t>
        </is>
      </c>
      <c r="C522" t="n">
        <v>2</v>
      </c>
      <c r="D522" t="inlineStr">
        <is>
          <t>Final Damage %</t>
        </is>
      </c>
      <c r="E522" t="n">
        <v>5</v>
      </c>
      <c r="F522" t="n">
        <v>0.76</v>
      </c>
      <c r="G522" t="b">
        <v>0</v>
      </c>
      <c r="H522">
        <f>Sensitivity!H11</f>
        <v/>
      </c>
    </row>
    <row r="523">
      <c r="A523" t="inlineStr">
        <is>
          <t>legs</t>
        </is>
      </c>
      <c r="B523" t="inlineStr">
        <is>
          <t>legendary</t>
        </is>
      </c>
      <c r="C523" t="n">
        <v>3</v>
      </c>
      <c r="D523" t="inlineStr">
        <is>
          <t>Final Damage %</t>
        </is>
      </c>
      <c r="E523" t="n">
        <v>8</v>
      </c>
      <c r="F523" t="n">
        <v>0.08</v>
      </c>
      <c r="G523" t="b">
        <v>1</v>
      </c>
      <c r="H523">
        <f>Sensitivity!H11</f>
        <v/>
      </c>
    </row>
    <row r="524">
      <c r="A524" t="inlineStr">
        <is>
          <t>legs</t>
        </is>
      </c>
      <c r="B524" t="inlineStr">
        <is>
          <t>legendary</t>
        </is>
      </c>
      <c r="C524" t="n">
        <v>3</v>
      </c>
      <c r="D524" t="inlineStr">
        <is>
          <t>Final Damage %</t>
        </is>
      </c>
      <c r="E524" t="n">
        <v>5</v>
      </c>
      <c r="F524" t="n">
        <v>0.92</v>
      </c>
      <c r="G524" t="b">
        <v>0</v>
      </c>
      <c r="H524">
        <f>Sensitivity!H11</f>
        <v/>
      </c>
    </row>
    <row r="525">
      <c r="A525" t="inlineStr">
        <is>
          <t>legs</t>
        </is>
      </c>
      <c r="B525" t="inlineStr">
        <is>
          <t>mystic</t>
        </is>
      </c>
      <c r="C525" t="n">
        <v>1</v>
      </c>
      <c r="D525" t="inlineStr">
        <is>
          <t>Final Damage %</t>
        </is>
      </c>
      <c r="E525" t="n">
        <v>12</v>
      </c>
      <c r="F525" t="n">
        <v>1</v>
      </c>
      <c r="G525" t="b">
        <v>1</v>
      </c>
      <c r="H525">
        <f>Sensitivity!H11</f>
        <v/>
      </c>
    </row>
    <row r="526">
      <c r="A526" t="inlineStr">
        <is>
          <t>legs</t>
        </is>
      </c>
      <c r="B526" t="inlineStr">
        <is>
          <t>mystic</t>
        </is>
      </c>
      <c r="C526" t="n">
        <v>2</v>
      </c>
      <c r="D526" t="inlineStr">
        <is>
          <t>Final Damage %</t>
        </is>
      </c>
      <c r="E526" t="n">
        <v>12</v>
      </c>
      <c r="F526" t="n">
        <v>0.24</v>
      </c>
      <c r="G526" t="b">
        <v>1</v>
      </c>
      <c r="H526">
        <f>Sensitivity!H11</f>
        <v/>
      </c>
    </row>
    <row r="527">
      <c r="A527" t="inlineStr">
        <is>
          <t>legs</t>
        </is>
      </c>
      <c r="B527" t="inlineStr">
        <is>
          <t>mystic</t>
        </is>
      </c>
      <c r="C527" t="n">
        <v>2</v>
      </c>
      <c r="D527" t="inlineStr">
        <is>
          <t>Final Damage %</t>
        </is>
      </c>
      <c r="E527" t="n">
        <v>8</v>
      </c>
      <c r="F527" t="n">
        <v>0.76</v>
      </c>
      <c r="G527" t="b">
        <v>0</v>
      </c>
      <c r="H527">
        <f>Sensitivity!H11</f>
        <v/>
      </c>
    </row>
    <row r="528">
      <c r="A528" t="inlineStr">
        <is>
          <t>legs</t>
        </is>
      </c>
      <c r="B528" t="inlineStr">
        <is>
          <t>mystic</t>
        </is>
      </c>
      <c r="C528" t="n">
        <v>3</v>
      </c>
      <c r="D528" t="inlineStr">
        <is>
          <t>Final Damage %</t>
        </is>
      </c>
      <c r="E528" t="n">
        <v>12</v>
      </c>
      <c r="F528" t="n">
        <v>0.08</v>
      </c>
      <c r="G528" t="b">
        <v>1</v>
      </c>
      <c r="H528">
        <f>Sensitivity!H11</f>
        <v/>
      </c>
    </row>
    <row r="529">
      <c r="A529" t="inlineStr">
        <is>
          <t>legs</t>
        </is>
      </c>
      <c r="B529" t="inlineStr">
        <is>
          <t>mystic</t>
        </is>
      </c>
      <c r="C529" t="n">
        <v>3</v>
      </c>
      <c r="D529" t="inlineStr">
        <is>
          <t>Final Damage %</t>
        </is>
      </c>
      <c r="E529" t="n">
        <v>8</v>
      </c>
      <c r="F529" t="n">
        <v>0.92</v>
      </c>
      <c r="G529" t="b">
        <v>0</v>
      </c>
      <c r="H529">
        <f>Sensitivity!H11</f>
        <v/>
      </c>
    </row>
    <row r="530">
      <c r="A530" t="inlineStr">
        <is>
          <t>belt</t>
        </is>
      </c>
      <c r="B530" t="inlineStr">
        <is>
          <t>epic</t>
        </is>
      </c>
      <c r="C530" t="n">
        <v>1</v>
      </c>
      <c r="D530" t="inlineStr">
        <is>
          <t>Buff Duration Increase %</t>
        </is>
      </c>
      <c r="E530" t="n">
        <v>5</v>
      </c>
      <c r="F530" t="n">
        <v>1</v>
      </c>
      <c r="G530" t="b">
        <v>1</v>
      </c>
      <c r="H530">
        <f>Sensitivity!H29</f>
        <v/>
      </c>
    </row>
    <row r="531">
      <c r="A531" t="inlineStr">
        <is>
          <t>belt</t>
        </is>
      </c>
      <c r="B531" t="inlineStr">
        <is>
          <t>epic</t>
        </is>
      </c>
      <c r="C531" t="n">
        <v>2</v>
      </c>
      <c r="D531" t="inlineStr">
        <is>
          <t>Buff Duration Increase %</t>
        </is>
      </c>
      <c r="E531" t="n">
        <v>5</v>
      </c>
      <c r="F531" t="n">
        <v>0.24</v>
      </c>
      <c r="G531" t="b">
        <v>1</v>
      </c>
      <c r="H531">
        <f>Sensitivity!H29</f>
        <v/>
      </c>
    </row>
    <row r="532">
      <c r="A532" t="inlineStr">
        <is>
          <t>belt</t>
        </is>
      </c>
      <c r="B532" t="inlineStr">
        <is>
          <t>epic</t>
        </is>
      </c>
      <c r="C532" t="n">
        <v>3</v>
      </c>
      <c r="D532" t="inlineStr">
        <is>
          <t>Buff Duration Increase %</t>
        </is>
      </c>
      <c r="E532" t="n">
        <v>5</v>
      </c>
      <c r="F532" t="n">
        <v>0.08</v>
      </c>
      <c r="G532" t="b">
        <v>1</v>
      </c>
      <c r="H532">
        <f>Sensitivity!H29</f>
        <v/>
      </c>
    </row>
    <row r="533">
      <c r="A533" t="inlineStr">
        <is>
          <t>belt</t>
        </is>
      </c>
      <c r="B533" t="inlineStr">
        <is>
          <t>unique</t>
        </is>
      </c>
      <c r="C533" t="n">
        <v>1</v>
      </c>
      <c r="D533" t="inlineStr">
        <is>
          <t>Buff Duration Increase %</t>
        </is>
      </c>
      <c r="E533" t="n">
        <v>8</v>
      </c>
      <c r="F533" t="n">
        <v>1</v>
      </c>
      <c r="G533" t="b">
        <v>1</v>
      </c>
      <c r="H533">
        <f>Sensitivity!H29</f>
        <v/>
      </c>
    </row>
    <row r="534">
      <c r="A534" t="inlineStr">
        <is>
          <t>belt</t>
        </is>
      </c>
      <c r="B534" t="inlineStr">
        <is>
          <t>unique</t>
        </is>
      </c>
      <c r="C534" t="n">
        <v>2</v>
      </c>
      <c r="D534" t="inlineStr">
        <is>
          <t>Buff Duration Increase %</t>
        </is>
      </c>
      <c r="E534" t="n">
        <v>8</v>
      </c>
      <c r="F534" t="n">
        <v>0.24</v>
      </c>
      <c r="G534" t="b">
        <v>1</v>
      </c>
      <c r="H534">
        <f>Sensitivity!H29</f>
        <v/>
      </c>
    </row>
    <row r="535">
      <c r="A535" t="inlineStr">
        <is>
          <t>belt</t>
        </is>
      </c>
      <c r="B535" t="inlineStr">
        <is>
          <t>unique</t>
        </is>
      </c>
      <c r="C535" t="n">
        <v>2</v>
      </c>
      <c r="D535" t="inlineStr">
        <is>
          <t>Buff Duration Increase %</t>
        </is>
      </c>
      <c r="E535" t="n">
        <v>5</v>
      </c>
      <c r="F535" t="n">
        <v>0.76</v>
      </c>
      <c r="G535" t="b">
        <v>0</v>
      </c>
      <c r="H535">
        <f>Sensitivity!H29</f>
        <v/>
      </c>
    </row>
    <row r="536">
      <c r="A536" t="inlineStr">
        <is>
          <t>belt</t>
        </is>
      </c>
      <c r="B536" t="inlineStr">
        <is>
          <t>unique</t>
        </is>
      </c>
      <c r="C536" t="n">
        <v>3</v>
      </c>
      <c r="D536" t="inlineStr">
        <is>
          <t>Buff Duration Increase %</t>
        </is>
      </c>
      <c r="E536" t="n">
        <v>8</v>
      </c>
      <c r="F536" t="n">
        <v>0.08</v>
      </c>
      <c r="G536" t="b">
        <v>1</v>
      </c>
      <c r="H536">
        <f>Sensitivity!H29</f>
        <v/>
      </c>
    </row>
    <row r="537">
      <c r="A537" t="inlineStr">
        <is>
          <t>belt</t>
        </is>
      </c>
      <c r="B537" t="inlineStr">
        <is>
          <t>unique</t>
        </is>
      </c>
      <c r="C537" t="n">
        <v>3</v>
      </c>
      <c r="D537" t="inlineStr">
        <is>
          <t>Buff Duration Increase %</t>
        </is>
      </c>
      <c r="E537" t="n">
        <v>5</v>
      </c>
      <c r="F537" t="n">
        <v>0.92</v>
      </c>
      <c r="G537" t="b">
        <v>0</v>
      </c>
      <c r="H537">
        <f>Sensitivity!H29</f>
        <v/>
      </c>
    </row>
    <row r="538">
      <c r="A538" t="inlineStr">
        <is>
          <t>belt</t>
        </is>
      </c>
      <c r="B538" t="inlineStr">
        <is>
          <t>legendary</t>
        </is>
      </c>
      <c r="C538" t="n">
        <v>1</v>
      </c>
      <c r="D538" t="inlineStr">
        <is>
          <t>Buff Duration Increase %</t>
        </is>
      </c>
      <c r="E538" t="n">
        <v>12</v>
      </c>
      <c r="F538" t="n">
        <v>1</v>
      </c>
      <c r="G538" t="b">
        <v>1</v>
      </c>
      <c r="H538">
        <f>Sensitivity!H29</f>
        <v/>
      </c>
    </row>
    <row r="539">
      <c r="A539" t="inlineStr">
        <is>
          <t>belt</t>
        </is>
      </c>
      <c r="B539" t="inlineStr">
        <is>
          <t>legendary</t>
        </is>
      </c>
      <c r="C539" t="n">
        <v>2</v>
      </c>
      <c r="D539" t="inlineStr">
        <is>
          <t>Buff Duration Increase %</t>
        </is>
      </c>
      <c r="E539" t="n">
        <v>12</v>
      </c>
      <c r="F539" t="n">
        <v>0.24</v>
      </c>
      <c r="G539" t="b">
        <v>1</v>
      </c>
      <c r="H539">
        <f>Sensitivity!H29</f>
        <v/>
      </c>
    </row>
    <row r="540">
      <c r="A540" t="inlineStr">
        <is>
          <t>belt</t>
        </is>
      </c>
      <c r="B540" t="inlineStr">
        <is>
          <t>legendary</t>
        </is>
      </c>
      <c r="C540" t="n">
        <v>2</v>
      </c>
      <c r="D540" t="inlineStr">
        <is>
          <t>Buff Duration Increase %</t>
        </is>
      </c>
      <c r="E540" t="n">
        <v>8</v>
      </c>
      <c r="F540" t="n">
        <v>0.76</v>
      </c>
      <c r="G540" t="b">
        <v>0</v>
      </c>
      <c r="H540">
        <f>Sensitivity!H29</f>
        <v/>
      </c>
    </row>
    <row r="541">
      <c r="A541" t="inlineStr">
        <is>
          <t>belt</t>
        </is>
      </c>
      <c r="B541" t="inlineStr">
        <is>
          <t>legendary</t>
        </is>
      </c>
      <c r="C541" t="n">
        <v>3</v>
      </c>
      <c r="D541" t="inlineStr">
        <is>
          <t>Buff Duration Increase %</t>
        </is>
      </c>
      <c r="E541" t="n">
        <v>12</v>
      </c>
      <c r="F541" t="n">
        <v>0.08</v>
      </c>
      <c r="G541" t="b">
        <v>1</v>
      </c>
      <c r="H541">
        <f>Sensitivity!H29</f>
        <v/>
      </c>
    </row>
    <row r="542">
      <c r="A542" t="inlineStr">
        <is>
          <t>belt</t>
        </is>
      </c>
      <c r="B542" t="inlineStr">
        <is>
          <t>legendary</t>
        </is>
      </c>
      <c r="C542" t="n">
        <v>3</v>
      </c>
      <c r="D542" t="inlineStr">
        <is>
          <t>Buff Duration Increase %</t>
        </is>
      </c>
      <c r="E542" t="n">
        <v>8</v>
      </c>
      <c r="F542" t="n">
        <v>0.92</v>
      </c>
      <c r="G542" t="b">
        <v>0</v>
      </c>
      <c r="H542">
        <f>Sensitivity!H29</f>
        <v/>
      </c>
    </row>
    <row r="543">
      <c r="A543" t="inlineStr">
        <is>
          <t>belt</t>
        </is>
      </c>
      <c r="B543" t="inlineStr">
        <is>
          <t>mystic</t>
        </is>
      </c>
      <c r="C543" t="n">
        <v>1</v>
      </c>
      <c r="D543" t="inlineStr">
        <is>
          <t>Buff Duration Increase %</t>
        </is>
      </c>
      <c r="E543" t="n">
        <v>20</v>
      </c>
      <c r="F543" t="n">
        <v>1</v>
      </c>
      <c r="G543" t="b">
        <v>1</v>
      </c>
      <c r="H543">
        <f>Sensitivity!H29</f>
        <v/>
      </c>
    </row>
    <row r="544">
      <c r="A544" t="inlineStr">
        <is>
          <t>belt</t>
        </is>
      </c>
      <c r="B544" t="inlineStr">
        <is>
          <t>mystic</t>
        </is>
      </c>
      <c r="C544" t="n">
        <v>2</v>
      </c>
      <c r="D544" t="inlineStr">
        <is>
          <t>Buff Duration Increase %</t>
        </is>
      </c>
      <c r="E544" t="n">
        <v>20</v>
      </c>
      <c r="F544" t="n">
        <v>0.24</v>
      </c>
      <c r="G544" t="b">
        <v>1</v>
      </c>
      <c r="H544">
        <f>Sensitivity!H29</f>
        <v/>
      </c>
    </row>
    <row r="545">
      <c r="A545" t="inlineStr">
        <is>
          <t>belt</t>
        </is>
      </c>
      <c r="B545" t="inlineStr">
        <is>
          <t>mystic</t>
        </is>
      </c>
      <c r="C545" t="n">
        <v>2</v>
      </c>
      <c r="D545" t="inlineStr">
        <is>
          <t>Buff Duration Increase %</t>
        </is>
      </c>
      <c r="E545" t="n">
        <v>12</v>
      </c>
      <c r="F545" t="n">
        <v>0.76</v>
      </c>
      <c r="G545" t="b">
        <v>0</v>
      </c>
      <c r="H545">
        <f>Sensitivity!H29</f>
        <v/>
      </c>
    </row>
    <row r="546">
      <c r="A546" t="inlineStr">
        <is>
          <t>belt</t>
        </is>
      </c>
      <c r="B546" t="inlineStr">
        <is>
          <t>mystic</t>
        </is>
      </c>
      <c r="C546" t="n">
        <v>3</v>
      </c>
      <c r="D546" t="inlineStr">
        <is>
          <t>Buff Duration Increase %</t>
        </is>
      </c>
      <c r="E546" t="n">
        <v>20</v>
      </c>
      <c r="F546" t="n">
        <v>0.08</v>
      </c>
      <c r="G546" t="b">
        <v>1</v>
      </c>
      <c r="H546">
        <f>Sensitivity!H29</f>
        <v/>
      </c>
    </row>
    <row r="547">
      <c r="A547" t="inlineStr">
        <is>
          <t>belt</t>
        </is>
      </c>
      <c r="B547" t="inlineStr">
        <is>
          <t>mystic</t>
        </is>
      </c>
      <c r="C547" t="n">
        <v>3</v>
      </c>
      <c r="D547" t="inlineStr">
        <is>
          <t>Buff Duration Increase %</t>
        </is>
      </c>
      <c r="E547" t="n">
        <v>12</v>
      </c>
      <c r="F547" t="n">
        <v>0.92</v>
      </c>
      <c r="G547" t="b">
        <v>0</v>
      </c>
      <c r="H547">
        <f>Sensitivity!H29</f>
        <v/>
      </c>
    </row>
    <row r="548">
      <c r="A548" t="inlineStr">
        <is>
          <t>gloves</t>
        </is>
      </c>
      <c r="B548" t="inlineStr">
        <is>
          <t>epic</t>
        </is>
      </c>
      <c r="C548" t="n">
        <v>1</v>
      </c>
      <c r="D548" t="inlineStr">
        <is>
          <t>Critical Damage %</t>
        </is>
      </c>
      <c r="E548" t="n">
        <v>10</v>
      </c>
      <c r="F548" t="n">
        <v>1</v>
      </c>
      <c r="G548" t="b">
        <v>1</v>
      </c>
      <c r="H548">
        <f>Sensitivity!H15</f>
        <v/>
      </c>
    </row>
    <row r="549">
      <c r="A549" t="inlineStr">
        <is>
          <t>gloves</t>
        </is>
      </c>
      <c r="B549" t="inlineStr">
        <is>
          <t>epic</t>
        </is>
      </c>
      <c r="C549" t="n">
        <v>2</v>
      </c>
      <c r="D549" t="inlineStr">
        <is>
          <t>Critical Damage %</t>
        </is>
      </c>
      <c r="E549" t="n">
        <v>10</v>
      </c>
      <c r="F549" t="n">
        <v>0.24</v>
      </c>
      <c r="G549" t="b">
        <v>1</v>
      </c>
      <c r="H549">
        <f>Sensitivity!H15</f>
        <v/>
      </c>
    </row>
    <row r="550">
      <c r="A550" t="inlineStr">
        <is>
          <t>gloves</t>
        </is>
      </c>
      <c r="B550" t="inlineStr">
        <is>
          <t>epic</t>
        </is>
      </c>
      <c r="C550" t="n">
        <v>3</v>
      </c>
      <c r="D550" t="inlineStr">
        <is>
          <t>Critical Damage %</t>
        </is>
      </c>
      <c r="E550" t="n">
        <v>10</v>
      </c>
      <c r="F550" t="n">
        <v>0.08</v>
      </c>
      <c r="G550" t="b">
        <v>1</v>
      </c>
      <c r="H550">
        <f>Sensitivity!H15</f>
        <v/>
      </c>
    </row>
    <row r="551">
      <c r="A551" t="inlineStr">
        <is>
          <t>gloves</t>
        </is>
      </c>
      <c r="B551" t="inlineStr">
        <is>
          <t>unique</t>
        </is>
      </c>
      <c r="C551" t="n">
        <v>1</v>
      </c>
      <c r="D551" t="inlineStr">
        <is>
          <t>Critical Damage %</t>
        </is>
      </c>
      <c r="E551" t="n">
        <v>20</v>
      </c>
      <c r="F551" t="n">
        <v>1</v>
      </c>
      <c r="G551" t="b">
        <v>1</v>
      </c>
      <c r="H551">
        <f>Sensitivity!H15</f>
        <v/>
      </c>
    </row>
    <row r="552">
      <c r="A552" t="inlineStr">
        <is>
          <t>gloves</t>
        </is>
      </c>
      <c r="B552" t="inlineStr">
        <is>
          <t>unique</t>
        </is>
      </c>
      <c r="C552" t="n">
        <v>2</v>
      </c>
      <c r="D552" t="inlineStr">
        <is>
          <t>Critical Damage %</t>
        </is>
      </c>
      <c r="E552" t="n">
        <v>20</v>
      </c>
      <c r="F552" t="n">
        <v>0.24</v>
      </c>
      <c r="G552" t="b">
        <v>1</v>
      </c>
      <c r="H552">
        <f>Sensitivity!H15</f>
        <v/>
      </c>
    </row>
    <row r="553">
      <c r="A553" t="inlineStr">
        <is>
          <t>gloves</t>
        </is>
      </c>
      <c r="B553" t="inlineStr">
        <is>
          <t>unique</t>
        </is>
      </c>
      <c r="C553" t="n">
        <v>2</v>
      </c>
      <c r="D553" t="inlineStr">
        <is>
          <t>Critical Damage %</t>
        </is>
      </c>
      <c r="E553" t="n">
        <v>10</v>
      </c>
      <c r="F553" t="n">
        <v>0.76</v>
      </c>
      <c r="G553" t="b">
        <v>0</v>
      </c>
      <c r="H553">
        <f>Sensitivity!H15</f>
        <v/>
      </c>
    </row>
    <row r="554">
      <c r="A554" t="inlineStr">
        <is>
          <t>gloves</t>
        </is>
      </c>
      <c r="B554" t="inlineStr">
        <is>
          <t>unique</t>
        </is>
      </c>
      <c r="C554" t="n">
        <v>3</v>
      </c>
      <c r="D554" t="inlineStr">
        <is>
          <t>Critical Damage %</t>
        </is>
      </c>
      <c r="E554" t="n">
        <v>20</v>
      </c>
      <c r="F554" t="n">
        <v>0.08</v>
      </c>
      <c r="G554" t="b">
        <v>1</v>
      </c>
      <c r="H554">
        <f>Sensitivity!H15</f>
        <v/>
      </c>
    </row>
    <row r="555">
      <c r="A555" t="inlineStr">
        <is>
          <t>gloves</t>
        </is>
      </c>
      <c r="B555" t="inlineStr">
        <is>
          <t>unique</t>
        </is>
      </c>
      <c r="C555" t="n">
        <v>3</v>
      </c>
      <c r="D555" t="inlineStr">
        <is>
          <t>Critical Damage %</t>
        </is>
      </c>
      <c r="E555" t="n">
        <v>10</v>
      </c>
      <c r="F555" t="n">
        <v>0.92</v>
      </c>
      <c r="G555" t="b">
        <v>0</v>
      </c>
      <c r="H555">
        <f>Sensitivity!H15</f>
        <v/>
      </c>
    </row>
    <row r="556">
      <c r="A556" t="inlineStr">
        <is>
          <t>gloves</t>
        </is>
      </c>
      <c r="B556" t="inlineStr">
        <is>
          <t>legendary</t>
        </is>
      </c>
      <c r="C556" t="n">
        <v>1</v>
      </c>
      <c r="D556" t="inlineStr">
        <is>
          <t>Critical Damage %</t>
        </is>
      </c>
      <c r="E556" t="n">
        <v>30</v>
      </c>
      <c r="F556" t="n">
        <v>1</v>
      </c>
      <c r="G556" t="b">
        <v>1</v>
      </c>
      <c r="H556">
        <f>Sensitivity!H15</f>
        <v/>
      </c>
    </row>
    <row r="557">
      <c r="A557" t="inlineStr">
        <is>
          <t>gloves</t>
        </is>
      </c>
      <c r="B557" t="inlineStr">
        <is>
          <t>legendary</t>
        </is>
      </c>
      <c r="C557" t="n">
        <v>2</v>
      </c>
      <c r="D557" t="inlineStr">
        <is>
          <t>Critical Damage %</t>
        </is>
      </c>
      <c r="E557" t="n">
        <v>30</v>
      </c>
      <c r="F557" t="n">
        <v>0.24</v>
      </c>
      <c r="G557" t="b">
        <v>1</v>
      </c>
      <c r="H557">
        <f>Sensitivity!H15</f>
        <v/>
      </c>
    </row>
    <row r="558">
      <c r="A558" t="inlineStr">
        <is>
          <t>gloves</t>
        </is>
      </c>
      <c r="B558" t="inlineStr">
        <is>
          <t>legendary</t>
        </is>
      </c>
      <c r="C558" t="n">
        <v>2</v>
      </c>
      <c r="D558" t="inlineStr">
        <is>
          <t>Critical Damage %</t>
        </is>
      </c>
      <c r="E558" t="n">
        <v>20</v>
      </c>
      <c r="F558" t="n">
        <v>0.76</v>
      </c>
      <c r="G558" t="b">
        <v>0</v>
      </c>
      <c r="H558">
        <f>Sensitivity!H15</f>
        <v/>
      </c>
    </row>
    <row r="559">
      <c r="A559" t="inlineStr">
        <is>
          <t>gloves</t>
        </is>
      </c>
      <c r="B559" t="inlineStr">
        <is>
          <t>legendary</t>
        </is>
      </c>
      <c r="C559" t="n">
        <v>3</v>
      </c>
      <c r="D559" t="inlineStr">
        <is>
          <t>Critical Damage %</t>
        </is>
      </c>
      <c r="E559" t="n">
        <v>30</v>
      </c>
      <c r="F559" t="n">
        <v>0.08</v>
      </c>
      <c r="G559" t="b">
        <v>1</v>
      </c>
      <c r="H559">
        <f>Sensitivity!H15</f>
        <v/>
      </c>
    </row>
    <row r="560">
      <c r="A560" t="inlineStr">
        <is>
          <t>gloves</t>
        </is>
      </c>
      <c r="B560" t="inlineStr">
        <is>
          <t>legendary</t>
        </is>
      </c>
      <c r="C560" t="n">
        <v>3</v>
      </c>
      <c r="D560" t="inlineStr">
        <is>
          <t>Critical Damage %</t>
        </is>
      </c>
      <c r="E560" t="n">
        <v>20</v>
      </c>
      <c r="F560" t="n">
        <v>0.92</v>
      </c>
      <c r="G560" t="b">
        <v>0</v>
      </c>
      <c r="H560">
        <f>Sensitivity!H15</f>
        <v/>
      </c>
    </row>
    <row r="561">
      <c r="A561" t="inlineStr">
        <is>
          <t>gloves</t>
        </is>
      </c>
      <c r="B561" t="inlineStr">
        <is>
          <t>mystic</t>
        </is>
      </c>
      <c r="C561" t="n">
        <v>1</v>
      </c>
      <c r="D561" t="inlineStr">
        <is>
          <t>Critical Damage %</t>
        </is>
      </c>
      <c r="E561" t="n">
        <v>50</v>
      </c>
      <c r="F561" t="n">
        <v>1</v>
      </c>
      <c r="G561" t="b">
        <v>1</v>
      </c>
      <c r="H561">
        <f>Sensitivity!H15</f>
        <v/>
      </c>
    </row>
    <row r="562">
      <c r="A562" t="inlineStr">
        <is>
          <t>gloves</t>
        </is>
      </c>
      <c r="B562" t="inlineStr">
        <is>
          <t>mystic</t>
        </is>
      </c>
      <c r="C562" t="n">
        <v>2</v>
      </c>
      <c r="D562" t="inlineStr">
        <is>
          <t>Critical Damage %</t>
        </is>
      </c>
      <c r="E562" t="n">
        <v>50</v>
      </c>
      <c r="F562" t="n">
        <v>0.24</v>
      </c>
      <c r="G562" t="b">
        <v>1</v>
      </c>
      <c r="H562">
        <f>Sensitivity!H15</f>
        <v/>
      </c>
    </row>
    <row r="563">
      <c r="A563" t="inlineStr">
        <is>
          <t>gloves</t>
        </is>
      </c>
      <c r="B563" t="inlineStr">
        <is>
          <t>mystic</t>
        </is>
      </c>
      <c r="C563" t="n">
        <v>2</v>
      </c>
      <c r="D563" t="inlineStr">
        <is>
          <t>Critical Damage %</t>
        </is>
      </c>
      <c r="E563" t="n">
        <v>30</v>
      </c>
      <c r="F563" t="n">
        <v>0.76</v>
      </c>
      <c r="G563" t="b">
        <v>0</v>
      </c>
      <c r="H563">
        <f>Sensitivity!H15</f>
        <v/>
      </c>
    </row>
    <row r="564">
      <c r="A564" t="inlineStr">
        <is>
          <t>gloves</t>
        </is>
      </c>
      <c r="B564" t="inlineStr">
        <is>
          <t>mystic</t>
        </is>
      </c>
      <c r="C564" t="n">
        <v>3</v>
      </c>
      <c r="D564" t="inlineStr">
        <is>
          <t>Critical Damage %</t>
        </is>
      </c>
      <c r="E564" t="n">
        <v>50</v>
      </c>
      <c r="F564" t="n">
        <v>0.08</v>
      </c>
      <c r="G564" t="b">
        <v>1</v>
      </c>
      <c r="H564">
        <f>Sensitivity!H15</f>
        <v/>
      </c>
    </row>
    <row r="565">
      <c r="A565" t="inlineStr">
        <is>
          <t>gloves</t>
        </is>
      </c>
      <c r="B565" t="inlineStr">
        <is>
          <t>mystic</t>
        </is>
      </c>
      <c r="C565" t="n">
        <v>3</v>
      </c>
      <c r="D565" t="inlineStr">
        <is>
          <t>Critical Damage %</t>
        </is>
      </c>
      <c r="E565" t="n">
        <v>30</v>
      </c>
      <c r="F565" t="n">
        <v>0.92</v>
      </c>
      <c r="G565" t="b">
        <v>0</v>
      </c>
      <c r="H565">
        <f>Sensitivity!H15</f>
        <v/>
      </c>
    </row>
    <row r="566">
      <c r="A566" t="inlineStr">
        <is>
          <t>boots</t>
        </is>
      </c>
      <c r="B566" t="inlineStr">
        <is>
          <t>epic</t>
        </is>
      </c>
      <c r="C566" t="n">
        <v>1</v>
      </c>
      <c r="D566" t="inlineStr">
        <is>
          <t>Companion Summoning Time Increase %</t>
        </is>
      </c>
      <c r="E566" t="n">
        <v>5</v>
      </c>
      <c r="F566" t="n">
        <v>1</v>
      </c>
      <c r="G566" t="b">
        <v>1</v>
      </c>
      <c r="H566">
        <f>Sensitivity!H15</f>
        <v/>
      </c>
    </row>
    <row r="567">
      <c r="A567" t="inlineStr">
        <is>
          <t>boots</t>
        </is>
      </c>
      <c r="B567" t="inlineStr">
        <is>
          <t>epic</t>
        </is>
      </c>
      <c r="C567" t="n">
        <v>2</v>
      </c>
      <c r="D567" t="inlineStr">
        <is>
          <t>Companion Summoning Time Increase %</t>
        </is>
      </c>
      <c r="E567" t="n">
        <v>5</v>
      </c>
      <c r="F567" t="n">
        <v>0.24</v>
      </c>
      <c r="G567" t="b">
        <v>1</v>
      </c>
      <c r="H567">
        <f>Sensitivity!H15</f>
        <v/>
      </c>
    </row>
    <row r="568">
      <c r="A568" t="inlineStr">
        <is>
          <t>boots</t>
        </is>
      </c>
      <c r="B568" t="inlineStr">
        <is>
          <t>epic</t>
        </is>
      </c>
      <c r="C568" t="n">
        <v>3</v>
      </c>
      <c r="D568" t="inlineStr">
        <is>
          <t>Companion Summoning Time Increase %</t>
        </is>
      </c>
      <c r="E568" t="n">
        <v>5</v>
      </c>
      <c r="F568" t="n">
        <v>0.08</v>
      </c>
      <c r="G568" t="b">
        <v>1</v>
      </c>
      <c r="H568">
        <f>Sensitivity!H15</f>
        <v/>
      </c>
    </row>
    <row r="569">
      <c r="A569" t="inlineStr">
        <is>
          <t>boots</t>
        </is>
      </c>
      <c r="B569" t="inlineStr">
        <is>
          <t>unique</t>
        </is>
      </c>
      <c r="C569" t="n">
        <v>1</v>
      </c>
      <c r="D569" t="inlineStr">
        <is>
          <t>Companion Summoning Time Increase %</t>
        </is>
      </c>
      <c r="E569" t="n">
        <v>8</v>
      </c>
      <c r="F569" t="n">
        <v>1</v>
      </c>
      <c r="G569" t="b">
        <v>1</v>
      </c>
      <c r="H569">
        <f>Sensitivity!H15</f>
        <v/>
      </c>
    </row>
    <row r="570">
      <c r="A570" t="inlineStr">
        <is>
          <t>boots</t>
        </is>
      </c>
      <c r="B570" t="inlineStr">
        <is>
          <t>unique</t>
        </is>
      </c>
      <c r="C570" t="n">
        <v>2</v>
      </c>
      <c r="D570" t="inlineStr">
        <is>
          <t>Companion Summoning Time Increase %</t>
        </is>
      </c>
      <c r="E570" t="n">
        <v>8</v>
      </c>
      <c r="F570" t="n">
        <v>0.24</v>
      </c>
      <c r="G570" t="b">
        <v>1</v>
      </c>
      <c r="H570">
        <f>Sensitivity!H15</f>
        <v/>
      </c>
    </row>
    <row r="571">
      <c r="A571" t="inlineStr">
        <is>
          <t>boots</t>
        </is>
      </c>
      <c r="B571" t="inlineStr">
        <is>
          <t>unique</t>
        </is>
      </c>
      <c r="C571" t="n">
        <v>2</v>
      </c>
      <c r="D571" t="inlineStr">
        <is>
          <t>Companion Summoning Time Increase %</t>
        </is>
      </c>
      <c r="E571" t="n">
        <v>5</v>
      </c>
      <c r="F571" t="n">
        <v>0.76</v>
      </c>
      <c r="G571" t="b">
        <v>0</v>
      </c>
      <c r="H571">
        <f>Sensitivity!H15</f>
        <v/>
      </c>
    </row>
    <row r="572">
      <c r="A572" t="inlineStr">
        <is>
          <t>boots</t>
        </is>
      </c>
      <c r="B572" t="inlineStr">
        <is>
          <t>unique</t>
        </is>
      </c>
      <c r="C572" t="n">
        <v>3</v>
      </c>
      <c r="D572" t="inlineStr">
        <is>
          <t>Companion Summoning Time Increase %</t>
        </is>
      </c>
      <c r="E572" t="n">
        <v>8</v>
      </c>
      <c r="F572" t="n">
        <v>0.08</v>
      </c>
      <c r="G572" t="b">
        <v>1</v>
      </c>
      <c r="H572">
        <f>Sensitivity!H15</f>
        <v/>
      </c>
    </row>
    <row r="573">
      <c r="A573" t="inlineStr">
        <is>
          <t>boots</t>
        </is>
      </c>
      <c r="B573" t="inlineStr">
        <is>
          <t>unique</t>
        </is>
      </c>
      <c r="C573" t="n">
        <v>3</v>
      </c>
      <c r="D573" t="inlineStr">
        <is>
          <t>Companion Summoning Time Increase %</t>
        </is>
      </c>
      <c r="E573" t="n">
        <v>5</v>
      </c>
      <c r="F573" t="n">
        <v>0.92</v>
      </c>
      <c r="G573" t="b">
        <v>0</v>
      </c>
      <c r="H573">
        <f>Sensitivity!H15</f>
        <v/>
      </c>
    </row>
    <row r="574">
      <c r="A574" t="inlineStr">
        <is>
          <t>boots</t>
        </is>
      </c>
      <c r="B574" t="inlineStr">
        <is>
          <t>legendary</t>
        </is>
      </c>
      <c r="C574" t="n">
        <v>1</v>
      </c>
      <c r="D574" t="inlineStr">
        <is>
          <t>Companion Summoning Time Increase %</t>
        </is>
      </c>
      <c r="E574" t="n">
        <v>12</v>
      </c>
      <c r="F574" t="n">
        <v>1</v>
      </c>
      <c r="G574" t="b">
        <v>1</v>
      </c>
      <c r="H574">
        <f>Sensitivity!H15</f>
        <v/>
      </c>
    </row>
    <row r="575">
      <c r="A575" t="inlineStr">
        <is>
          <t>boots</t>
        </is>
      </c>
      <c r="B575" t="inlineStr">
        <is>
          <t>legendary</t>
        </is>
      </c>
      <c r="C575" t="n">
        <v>2</v>
      </c>
      <c r="D575" t="inlineStr">
        <is>
          <t>Companion Summoning Time Increase %</t>
        </is>
      </c>
      <c r="E575" t="n">
        <v>12</v>
      </c>
      <c r="F575" t="n">
        <v>0.24</v>
      </c>
      <c r="G575" t="b">
        <v>1</v>
      </c>
      <c r="H575">
        <f>Sensitivity!H15</f>
        <v/>
      </c>
    </row>
    <row r="576">
      <c r="A576" t="inlineStr">
        <is>
          <t>boots</t>
        </is>
      </c>
      <c r="B576" t="inlineStr">
        <is>
          <t>legendary</t>
        </is>
      </c>
      <c r="C576" t="n">
        <v>2</v>
      </c>
      <c r="D576" t="inlineStr">
        <is>
          <t>Companion Summoning Time Increase %</t>
        </is>
      </c>
      <c r="E576" t="n">
        <v>8</v>
      </c>
      <c r="F576" t="n">
        <v>0.76</v>
      </c>
      <c r="G576" t="b">
        <v>0</v>
      </c>
      <c r="H576">
        <f>Sensitivity!H15</f>
        <v/>
      </c>
    </row>
    <row r="577">
      <c r="A577" t="inlineStr">
        <is>
          <t>boots</t>
        </is>
      </c>
      <c r="B577" t="inlineStr">
        <is>
          <t>legendary</t>
        </is>
      </c>
      <c r="C577" t="n">
        <v>3</v>
      </c>
      <c r="D577" t="inlineStr">
        <is>
          <t>Companion Summoning Time Increase %</t>
        </is>
      </c>
      <c r="E577" t="n">
        <v>12</v>
      </c>
      <c r="F577" t="n">
        <v>0.08</v>
      </c>
      <c r="G577" t="b">
        <v>1</v>
      </c>
      <c r="H577">
        <f>Sensitivity!H15</f>
        <v/>
      </c>
    </row>
    <row r="578">
      <c r="A578" t="inlineStr">
        <is>
          <t>boots</t>
        </is>
      </c>
      <c r="B578" t="inlineStr">
        <is>
          <t>legendary</t>
        </is>
      </c>
      <c r="C578" t="n">
        <v>3</v>
      </c>
      <c r="D578" t="inlineStr">
        <is>
          <t>Companion Summoning Time Increase %</t>
        </is>
      </c>
      <c r="E578" t="n">
        <v>8</v>
      </c>
      <c r="F578" t="n">
        <v>0.92</v>
      </c>
      <c r="G578" t="b">
        <v>0</v>
      </c>
      <c r="H578">
        <f>Sensitivity!H15</f>
        <v/>
      </c>
    </row>
    <row r="579">
      <c r="A579" t="inlineStr">
        <is>
          <t>boots</t>
        </is>
      </c>
      <c r="B579" t="inlineStr">
        <is>
          <t>mystic</t>
        </is>
      </c>
      <c r="C579" t="n">
        <v>1</v>
      </c>
      <c r="D579" t="inlineStr">
        <is>
          <t>Companion Summoning Time Increase %</t>
        </is>
      </c>
      <c r="E579" t="n">
        <v>20</v>
      </c>
      <c r="F579" t="n">
        <v>1</v>
      </c>
      <c r="G579" t="b">
        <v>1</v>
      </c>
      <c r="H579">
        <f>Sensitivity!H15</f>
        <v/>
      </c>
    </row>
    <row r="580">
      <c r="A580" t="inlineStr">
        <is>
          <t>boots</t>
        </is>
      </c>
      <c r="B580" t="inlineStr">
        <is>
          <t>mystic</t>
        </is>
      </c>
      <c r="C580" t="n">
        <v>2</v>
      </c>
      <c r="D580" t="inlineStr">
        <is>
          <t>Companion Summoning Time Increase %</t>
        </is>
      </c>
      <c r="E580" t="n">
        <v>20</v>
      </c>
      <c r="F580" t="n">
        <v>0.24</v>
      </c>
      <c r="G580" t="b">
        <v>1</v>
      </c>
      <c r="H580">
        <f>Sensitivity!H15</f>
        <v/>
      </c>
    </row>
    <row r="581">
      <c r="A581" t="inlineStr">
        <is>
          <t>boots</t>
        </is>
      </c>
      <c r="B581" t="inlineStr">
        <is>
          <t>mystic</t>
        </is>
      </c>
      <c r="C581" t="n">
        <v>2</v>
      </c>
      <c r="D581" t="inlineStr">
        <is>
          <t>Companion Summoning Time Increase %</t>
        </is>
      </c>
      <c r="E581" t="n">
        <v>12</v>
      </c>
      <c r="F581" t="n">
        <v>0.76</v>
      </c>
      <c r="G581" t="b">
        <v>0</v>
      </c>
      <c r="H581">
        <f>Sensitivity!H15</f>
        <v/>
      </c>
    </row>
    <row r="582">
      <c r="A582" t="inlineStr">
        <is>
          <t>boots</t>
        </is>
      </c>
      <c r="B582" t="inlineStr">
        <is>
          <t>mystic</t>
        </is>
      </c>
      <c r="C582" t="n">
        <v>3</v>
      </c>
      <c r="D582" t="inlineStr">
        <is>
          <t>Companion Summoning Time Increase %</t>
        </is>
      </c>
      <c r="E582" t="n">
        <v>20</v>
      </c>
      <c r="F582" t="n">
        <v>0.08</v>
      </c>
      <c r="G582" t="b">
        <v>1</v>
      </c>
      <c r="H582">
        <f>Sensitivity!H15</f>
        <v/>
      </c>
    </row>
    <row r="583">
      <c r="A583" t="inlineStr">
        <is>
          <t>boots</t>
        </is>
      </c>
      <c r="B583" t="inlineStr">
        <is>
          <t>mystic</t>
        </is>
      </c>
      <c r="C583" t="n">
        <v>3</v>
      </c>
      <c r="D583" t="inlineStr">
        <is>
          <t>Companion Summoning Time Increase %</t>
        </is>
      </c>
      <c r="E583" t="n">
        <v>12</v>
      </c>
      <c r="F583" t="n">
        <v>0.92</v>
      </c>
      <c r="G583" t="b">
        <v>0</v>
      </c>
      <c r="H583">
        <f>Sensitivity!H15</f>
        <v/>
      </c>
    </row>
    <row r="584">
      <c r="A584" t="inlineStr">
        <is>
          <t>ring</t>
        </is>
      </c>
      <c r="B584" t="inlineStr">
        <is>
          <t>epic</t>
        </is>
      </c>
      <c r="C584" t="n">
        <v>1</v>
      </c>
      <c r="D584" t="inlineStr">
        <is>
          <t>All Skill Level</t>
        </is>
      </c>
      <c r="E584" t="n">
        <v>5</v>
      </c>
      <c r="F584" t="n">
        <v>1</v>
      </c>
      <c r="G584" t="b">
        <v>1</v>
      </c>
      <c r="H584">
        <f>Sensitivity!H24</f>
        <v/>
      </c>
    </row>
    <row r="585">
      <c r="A585" t="inlineStr">
        <is>
          <t>ring</t>
        </is>
      </c>
      <c r="B585" t="inlineStr">
        <is>
          <t>epic</t>
        </is>
      </c>
      <c r="C585" t="n">
        <v>2</v>
      </c>
      <c r="D585" t="inlineStr">
        <is>
          <t>All Skill Level</t>
        </is>
      </c>
      <c r="E585" t="n">
        <v>5</v>
      </c>
      <c r="F585" t="n">
        <v>0.24</v>
      </c>
      <c r="G585" t="b">
        <v>1</v>
      </c>
      <c r="H585">
        <f>Sensitivity!H24</f>
        <v/>
      </c>
    </row>
    <row r="586">
      <c r="A586" t="inlineStr">
        <is>
          <t>ring</t>
        </is>
      </c>
      <c r="B586" t="inlineStr">
        <is>
          <t>epic</t>
        </is>
      </c>
      <c r="C586" t="n">
        <v>3</v>
      </c>
      <c r="D586" t="inlineStr">
        <is>
          <t>All Skill Level</t>
        </is>
      </c>
      <c r="E586" t="n">
        <v>5</v>
      </c>
      <c r="F586" t="n">
        <v>0.08</v>
      </c>
      <c r="G586" t="b">
        <v>1</v>
      </c>
      <c r="H586">
        <f>Sensitivity!H24</f>
        <v/>
      </c>
    </row>
    <row r="587">
      <c r="A587" t="inlineStr">
        <is>
          <t>ring</t>
        </is>
      </c>
      <c r="B587" t="inlineStr">
        <is>
          <t>unique</t>
        </is>
      </c>
      <c r="C587" t="n">
        <v>1</v>
      </c>
      <c r="D587" t="inlineStr">
        <is>
          <t>All Skill Level</t>
        </is>
      </c>
      <c r="E587" t="n">
        <v>8</v>
      </c>
      <c r="F587" t="n">
        <v>1</v>
      </c>
      <c r="G587" t="b">
        <v>1</v>
      </c>
      <c r="H587">
        <f>Sensitivity!H24</f>
        <v/>
      </c>
    </row>
    <row r="588">
      <c r="A588" t="inlineStr">
        <is>
          <t>ring</t>
        </is>
      </c>
      <c r="B588" t="inlineStr">
        <is>
          <t>unique</t>
        </is>
      </c>
      <c r="C588" t="n">
        <v>2</v>
      </c>
      <c r="D588" t="inlineStr">
        <is>
          <t>All Skill Level</t>
        </is>
      </c>
      <c r="E588" t="n">
        <v>8</v>
      </c>
      <c r="F588" t="n">
        <v>0.24</v>
      </c>
      <c r="G588" t="b">
        <v>1</v>
      </c>
      <c r="H588">
        <f>Sensitivity!H24</f>
        <v/>
      </c>
    </row>
    <row r="589">
      <c r="A589" t="inlineStr">
        <is>
          <t>ring</t>
        </is>
      </c>
      <c r="B589" t="inlineStr">
        <is>
          <t>unique</t>
        </is>
      </c>
      <c r="C589" t="n">
        <v>2</v>
      </c>
      <c r="D589" t="inlineStr">
        <is>
          <t>All Skill Level</t>
        </is>
      </c>
      <c r="E589" t="n">
        <v>5</v>
      </c>
      <c r="F589" t="n">
        <v>0.76</v>
      </c>
      <c r="G589" t="b">
        <v>0</v>
      </c>
      <c r="H589">
        <f>Sensitivity!H24</f>
        <v/>
      </c>
    </row>
    <row r="590">
      <c r="A590" t="inlineStr">
        <is>
          <t>ring</t>
        </is>
      </c>
      <c r="B590" t="inlineStr">
        <is>
          <t>unique</t>
        </is>
      </c>
      <c r="C590" t="n">
        <v>3</v>
      </c>
      <c r="D590" t="inlineStr">
        <is>
          <t>All Skill Level</t>
        </is>
      </c>
      <c r="E590" t="n">
        <v>8</v>
      </c>
      <c r="F590" t="n">
        <v>0.08</v>
      </c>
      <c r="G590" t="b">
        <v>1</v>
      </c>
      <c r="H590">
        <f>Sensitivity!H24</f>
        <v/>
      </c>
    </row>
    <row r="591">
      <c r="A591" t="inlineStr">
        <is>
          <t>ring</t>
        </is>
      </c>
      <c r="B591" t="inlineStr">
        <is>
          <t>unique</t>
        </is>
      </c>
      <c r="C591" t="n">
        <v>3</v>
      </c>
      <c r="D591" t="inlineStr">
        <is>
          <t>All Skill Level</t>
        </is>
      </c>
      <c r="E591" t="n">
        <v>5</v>
      </c>
      <c r="F591" t="n">
        <v>0.92</v>
      </c>
      <c r="G591" t="b">
        <v>0</v>
      </c>
      <c r="H591">
        <f>Sensitivity!H24</f>
        <v/>
      </c>
    </row>
    <row r="592">
      <c r="A592" t="inlineStr">
        <is>
          <t>ring</t>
        </is>
      </c>
      <c r="B592" t="inlineStr">
        <is>
          <t>legendary</t>
        </is>
      </c>
      <c r="C592" t="n">
        <v>1</v>
      </c>
      <c r="D592" t="inlineStr">
        <is>
          <t>All Skill Level</t>
        </is>
      </c>
      <c r="E592" t="n">
        <v>12</v>
      </c>
      <c r="F592" t="n">
        <v>1</v>
      </c>
      <c r="G592" t="b">
        <v>1</v>
      </c>
      <c r="H592">
        <f>Sensitivity!H24</f>
        <v/>
      </c>
    </row>
    <row r="593">
      <c r="A593" t="inlineStr">
        <is>
          <t>ring</t>
        </is>
      </c>
      <c r="B593" t="inlineStr">
        <is>
          <t>legendary</t>
        </is>
      </c>
      <c r="C593" t="n">
        <v>2</v>
      </c>
      <c r="D593" t="inlineStr">
        <is>
          <t>All Skill Level</t>
        </is>
      </c>
      <c r="E593" t="n">
        <v>12</v>
      </c>
      <c r="F593" t="n">
        <v>0.24</v>
      </c>
      <c r="G593" t="b">
        <v>1</v>
      </c>
      <c r="H593">
        <f>Sensitivity!H24</f>
        <v/>
      </c>
    </row>
    <row r="594">
      <c r="A594" t="inlineStr">
        <is>
          <t>ring</t>
        </is>
      </c>
      <c r="B594" t="inlineStr">
        <is>
          <t>legendary</t>
        </is>
      </c>
      <c r="C594" t="n">
        <v>2</v>
      </c>
      <c r="D594" t="inlineStr">
        <is>
          <t>All Skill Level</t>
        </is>
      </c>
      <c r="E594" t="n">
        <v>8</v>
      </c>
      <c r="F594" t="n">
        <v>0.76</v>
      </c>
      <c r="G594" t="b">
        <v>0</v>
      </c>
      <c r="H594">
        <f>Sensitivity!H24</f>
        <v/>
      </c>
    </row>
    <row r="595">
      <c r="A595" t="inlineStr">
        <is>
          <t>ring</t>
        </is>
      </c>
      <c r="B595" t="inlineStr">
        <is>
          <t>legendary</t>
        </is>
      </c>
      <c r="C595" t="n">
        <v>3</v>
      </c>
      <c r="D595" t="inlineStr">
        <is>
          <t>All Skill Level</t>
        </is>
      </c>
      <c r="E595" t="n">
        <v>12</v>
      </c>
      <c r="F595" t="n">
        <v>0.08</v>
      </c>
      <c r="G595" t="b">
        <v>1</v>
      </c>
      <c r="H595">
        <f>Sensitivity!H24</f>
        <v/>
      </c>
    </row>
    <row r="596">
      <c r="A596" t="inlineStr">
        <is>
          <t>ring</t>
        </is>
      </c>
      <c r="B596" t="inlineStr">
        <is>
          <t>legendary</t>
        </is>
      </c>
      <c r="C596" t="n">
        <v>3</v>
      </c>
      <c r="D596" t="inlineStr">
        <is>
          <t>All Skill Level</t>
        </is>
      </c>
      <c r="E596" t="n">
        <v>8</v>
      </c>
      <c r="F596" t="n">
        <v>0.92</v>
      </c>
      <c r="G596" t="b">
        <v>0</v>
      </c>
      <c r="H596">
        <f>Sensitivity!H24</f>
        <v/>
      </c>
    </row>
    <row r="597">
      <c r="A597" t="inlineStr">
        <is>
          <t>ring</t>
        </is>
      </c>
      <c r="B597" t="inlineStr">
        <is>
          <t>mystic</t>
        </is>
      </c>
      <c r="C597" t="n">
        <v>1</v>
      </c>
      <c r="D597" t="inlineStr">
        <is>
          <t>All Skill Level</t>
        </is>
      </c>
      <c r="E597" t="n">
        <v>16</v>
      </c>
      <c r="F597" t="n">
        <v>1</v>
      </c>
      <c r="G597" t="b">
        <v>1</v>
      </c>
      <c r="H597">
        <f>Sensitivity!H24</f>
        <v/>
      </c>
    </row>
    <row r="598">
      <c r="A598" t="inlineStr">
        <is>
          <t>ring</t>
        </is>
      </c>
      <c r="B598" t="inlineStr">
        <is>
          <t>mystic</t>
        </is>
      </c>
      <c r="C598" t="n">
        <v>2</v>
      </c>
      <c r="D598" t="inlineStr">
        <is>
          <t>All Skill Level</t>
        </is>
      </c>
      <c r="E598" t="n">
        <v>16</v>
      </c>
      <c r="F598" t="n">
        <v>0.24</v>
      </c>
      <c r="G598" t="b">
        <v>1</v>
      </c>
      <c r="H598">
        <f>Sensitivity!H24</f>
        <v/>
      </c>
    </row>
    <row r="599">
      <c r="A599" t="inlineStr">
        <is>
          <t>ring</t>
        </is>
      </c>
      <c r="B599" t="inlineStr">
        <is>
          <t>mystic</t>
        </is>
      </c>
      <c r="C599" t="n">
        <v>2</v>
      </c>
      <c r="D599" t="inlineStr">
        <is>
          <t>All Skill Level</t>
        </is>
      </c>
      <c r="E599" t="n">
        <v>12</v>
      </c>
      <c r="F599" t="n">
        <v>0.76</v>
      </c>
      <c r="G599" t="b">
        <v>0</v>
      </c>
      <c r="H599">
        <f>Sensitivity!H24</f>
        <v/>
      </c>
    </row>
    <row r="600">
      <c r="A600" t="inlineStr">
        <is>
          <t>ring</t>
        </is>
      </c>
      <c r="B600" t="inlineStr">
        <is>
          <t>mystic</t>
        </is>
      </c>
      <c r="C600" t="n">
        <v>3</v>
      </c>
      <c r="D600" t="inlineStr">
        <is>
          <t>All Skill Level</t>
        </is>
      </c>
      <c r="E600" t="n">
        <v>16</v>
      </c>
      <c r="F600" t="n">
        <v>0.08</v>
      </c>
      <c r="G600" t="b">
        <v>1</v>
      </c>
      <c r="H600">
        <f>Sensitivity!H24</f>
        <v/>
      </c>
    </row>
    <row r="601">
      <c r="A601" t="inlineStr">
        <is>
          <t>ring</t>
        </is>
      </c>
      <c r="B601" t="inlineStr">
        <is>
          <t>mystic</t>
        </is>
      </c>
      <c r="C601" t="n">
        <v>3</v>
      </c>
      <c r="D601" t="inlineStr">
        <is>
          <t>All Skill Level</t>
        </is>
      </c>
      <c r="E601" t="n">
        <v>12</v>
      </c>
      <c r="F601" t="n">
        <v>0.92</v>
      </c>
      <c r="G601" t="b">
        <v>0</v>
      </c>
      <c r="H601">
        <f>Sensitivity!H24</f>
        <v/>
      </c>
    </row>
    <row r="602">
      <c r="A602" t="inlineStr">
        <is>
          <t>neck</t>
        </is>
      </c>
      <c r="B602" t="inlineStr">
        <is>
          <t>epic</t>
        </is>
      </c>
      <c r="C602" t="n">
        <v>1</v>
      </c>
      <c r="D602" t="inlineStr">
        <is>
          <t>All Skill Level</t>
        </is>
      </c>
      <c r="E602" t="n">
        <v>5</v>
      </c>
      <c r="F602" t="n">
        <v>1</v>
      </c>
      <c r="G602" t="b">
        <v>1</v>
      </c>
      <c r="H602">
        <f>Sensitivity!H24</f>
        <v/>
      </c>
    </row>
    <row r="603">
      <c r="A603" t="inlineStr">
        <is>
          <t>neck</t>
        </is>
      </c>
      <c r="B603" t="inlineStr">
        <is>
          <t>epic</t>
        </is>
      </c>
      <c r="C603" t="n">
        <v>2</v>
      </c>
      <c r="D603" t="inlineStr">
        <is>
          <t>All Skill Level</t>
        </is>
      </c>
      <c r="E603" t="n">
        <v>5</v>
      </c>
      <c r="F603" t="n">
        <v>0.24</v>
      </c>
      <c r="G603" t="b">
        <v>1</v>
      </c>
      <c r="H603">
        <f>Sensitivity!H24</f>
        <v/>
      </c>
    </row>
    <row r="604">
      <c r="A604" t="inlineStr">
        <is>
          <t>neck</t>
        </is>
      </c>
      <c r="B604" t="inlineStr">
        <is>
          <t>epic</t>
        </is>
      </c>
      <c r="C604" t="n">
        <v>3</v>
      </c>
      <c r="D604" t="inlineStr">
        <is>
          <t>All Skill Level</t>
        </is>
      </c>
      <c r="E604" t="n">
        <v>5</v>
      </c>
      <c r="F604" t="n">
        <v>0.08</v>
      </c>
      <c r="G604" t="b">
        <v>1</v>
      </c>
      <c r="H604">
        <f>Sensitivity!H24</f>
        <v/>
      </c>
    </row>
    <row r="605">
      <c r="A605" t="inlineStr">
        <is>
          <t>neck</t>
        </is>
      </c>
      <c r="B605" t="inlineStr">
        <is>
          <t>unique</t>
        </is>
      </c>
      <c r="C605" t="n">
        <v>1</v>
      </c>
      <c r="D605" t="inlineStr">
        <is>
          <t>All Skill Level</t>
        </is>
      </c>
      <c r="E605" t="n">
        <v>8</v>
      </c>
      <c r="F605" t="n">
        <v>1</v>
      </c>
      <c r="G605" t="b">
        <v>1</v>
      </c>
      <c r="H605">
        <f>Sensitivity!H24</f>
        <v/>
      </c>
    </row>
    <row r="606">
      <c r="A606" t="inlineStr">
        <is>
          <t>neck</t>
        </is>
      </c>
      <c r="B606" t="inlineStr">
        <is>
          <t>unique</t>
        </is>
      </c>
      <c r="C606" t="n">
        <v>2</v>
      </c>
      <c r="D606" t="inlineStr">
        <is>
          <t>All Skill Level</t>
        </is>
      </c>
      <c r="E606" t="n">
        <v>8</v>
      </c>
      <c r="F606" t="n">
        <v>0.24</v>
      </c>
      <c r="G606" t="b">
        <v>1</v>
      </c>
      <c r="H606">
        <f>Sensitivity!H24</f>
        <v/>
      </c>
    </row>
    <row r="607">
      <c r="A607" t="inlineStr">
        <is>
          <t>neck</t>
        </is>
      </c>
      <c r="B607" t="inlineStr">
        <is>
          <t>unique</t>
        </is>
      </c>
      <c r="C607" t="n">
        <v>2</v>
      </c>
      <c r="D607" t="inlineStr">
        <is>
          <t>All Skill Level</t>
        </is>
      </c>
      <c r="E607" t="n">
        <v>5</v>
      </c>
      <c r="F607" t="n">
        <v>0.76</v>
      </c>
      <c r="G607" t="b">
        <v>0</v>
      </c>
      <c r="H607">
        <f>Sensitivity!H24</f>
        <v/>
      </c>
    </row>
    <row r="608">
      <c r="A608" t="inlineStr">
        <is>
          <t>neck</t>
        </is>
      </c>
      <c r="B608" t="inlineStr">
        <is>
          <t>unique</t>
        </is>
      </c>
      <c r="C608" t="n">
        <v>3</v>
      </c>
      <c r="D608" t="inlineStr">
        <is>
          <t>All Skill Level</t>
        </is>
      </c>
      <c r="E608" t="n">
        <v>8</v>
      </c>
      <c r="F608" t="n">
        <v>0.08</v>
      </c>
      <c r="G608" t="b">
        <v>1</v>
      </c>
      <c r="H608">
        <f>Sensitivity!H24</f>
        <v/>
      </c>
    </row>
    <row r="609">
      <c r="A609" t="inlineStr">
        <is>
          <t>neck</t>
        </is>
      </c>
      <c r="B609" t="inlineStr">
        <is>
          <t>unique</t>
        </is>
      </c>
      <c r="C609" t="n">
        <v>3</v>
      </c>
      <c r="D609" t="inlineStr">
        <is>
          <t>All Skill Level</t>
        </is>
      </c>
      <c r="E609" t="n">
        <v>5</v>
      </c>
      <c r="F609" t="n">
        <v>0.92</v>
      </c>
      <c r="G609" t="b">
        <v>0</v>
      </c>
      <c r="H609">
        <f>Sensitivity!H24</f>
        <v/>
      </c>
    </row>
    <row r="610">
      <c r="A610" t="inlineStr">
        <is>
          <t>neck</t>
        </is>
      </c>
      <c r="B610" t="inlineStr">
        <is>
          <t>legendary</t>
        </is>
      </c>
      <c r="C610" t="n">
        <v>1</v>
      </c>
      <c r="D610" t="inlineStr">
        <is>
          <t>All Skill Level</t>
        </is>
      </c>
      <c r="E610" t="n">
        <v>12</v>
      </c>
      <c r="F610" t="n">
        <v>1</v>
      </c>
      <c r="G610" t="b">
        <v>1</v>
      </c>
      <c r="H610">
        <f>Sensitivity!H24</f>
        <v/>
      </c>
    </row>
    <row r="611">
      <c r="A611" t="inlineStr">
        <is>
          <t>neck</t>
        </is>
      </c>
      <c r="B611" t="inlineStr">
        <is>
          <t>legendary</t>
        </is>
      </c>
      <c r="C611" t="n">
        <v>2</v>
      </c>
      <c r="D611" t="inlineStr">
        <is>
          <t>All Skill Level</t>
        </is>
      </c>
      <c r="E611" t="n">
        <v>12</v>
      </c>
      <c r="F611" t="n">
        <v>0.24</v>
      </c>
      <c r="G611" t="b">
        <v>1</v>
      </c>
      <c r="H611">
        <f>Sensitivity!H24</f>
        <v/>
      </c>
    </row>
    <row r="612">
      <c r="A612" t="inlineStr">
        <is>
          <t>neck</t>
        </is>
      </c>
      <c r="B612" t="inlineStr">
        <is>
          <t>legendary</t>
        </is>
      </c>
      <c r="C612" t="n">
        <v>2</v>
      </c>
      <c r="D612" t="inlineStr">
        <is>
          <t>All Skill Level</t>
        </is>
      </c>
      <c r="E612" t="n">
        <v>8</v>
      </c>
      <c r="F612" t="n">
        <v>0.76</v>
      </c>
      <c r="G612" t="b">
        <v>0</v>
      </c>
      <c r="H612">
        <f>Sensitivity!H24</f>
        <v/>
      </c>
    </row>
    <row r="613">
      <c r="A613" t="inlineStr">
        <is>
          <t>neck</t>
        </is>
      </c>
      <c r="B613" t="inlineStr">
        <is>
          <t>legendary</t>
        </is>
      </c>
      <c r="C613" t="n">
        <v>3</v>
      </c>
      <c r="D613" t="inlineStr">
        <is>
          <t>All Skill Level</t>
        </is>
      </c>
      <c r="E613" t="n">
        <v>12</v>
      </c>
      <c r="F613" t="n">
        <v>0.08</v>
      </c>
      <c r="G613" t="b">
        <v>1</v>
      </c>
      <c r="H613">
        <f>Sensitivity!H24</f>
        <v/>
      </c>
    </row>
    <row r="614">
      <c r="A614" t="inlineStr">
        <is>
          <t>neck</t>
        </is>
      </c>
      <c r="B614" t="inlineStr">
        <is>
          <t>legendary</t>
        </is>
      </c>
      <c r="C614" t="n">
        <v>3</v>
      </c>
      <c r="D614" t="inlineStr">
        <is>
          <t>All Skill Level</t>
        </is>
      </c>
      <c r="E614" t="n">
        <v>8</v>
      </c>
      <c r="F614" t="n">
        <v>0.92</v>
      </c>
      <c r="G614" t="b">
        <v>0</v>
      </c>
      <c r="H614">
        <f>Sensitivity!H24</f>
        <v/>
      </c>
    </row>
    <row r="615">
      <c r="A615" t="inlineStr">
        <is>
          <t>neck</t>
        </is>
      </c>
      <c r="B615" t="inlineStr">
        <is>
          <t>mystic</t>
        </is>
      </c>
      <c r="C615" t="n">
        <v>1</v>
      </c>
      <c r="D615" t="inlineStr">
        <is>
          <t>All Skill Level</t>
        </is>
      </c>
      <c r="E615" t="n">
        <v>16</v>
      </c>
      <c r="F615" t="n">
        <v>1</v>
      </c>
      <c r="G615" t="b">
        <v>1</v>
      </c>
      <c r="H615">
        <f>Sensitivity!H24</f>
        <v/>
      </c>
    </row>
    <row r="616">
      <c r="A616" t="inlineStr">
        <is>
          <t>neck</t>
        </is>
      </c>
      <c r="B616" t="inlineStr">
        <is>
          <t>mystic</t>
        </is>
      </c>
      <c r="C616" t="n">
        <v>2</v>
      </c>
      <c r="D616" t="inlineStr">
        <is>
          <t>All Skill Level</t>
        </is>
      </c>
      <c r="E616" t="n">
        <v>16</v>
      </c>
      <c r="F616" t="n">
        <v>0.24</v>
      </c>
      <c r="G616" t="b">
        <v>1</v>
      </c>
      <c r="H616">
        <f>Sensitivity!H24</f>
        <v/>
      </c>
    </row>
    <row r="617">
      <c r="A617" t="inlineStr">
        <is>
          <t>neck</t>
        </is>
      </c>
      <c r="B617" t="inlineStr">
        <is>
          <t>mystic</t>
        </is>
      </c>
      <c r="C617" t="n">
        <v>2</v>
      </c>
      <c r="D617" t="inlineStr">
        <is>
          <t>All Skill Level</t>
        </is>
      </c>
      <c r="E617" t="n">
        <v>12</v>
      </c>
      <c r="F617" t="n">
        <v>0.76</v>
      </c>
      <c r="G617" t="b">
        <v>0</v>
      </c>
      <c r="H617">
        <f>Sensitivity!H24</f>
        <v/>
      </c>
    </row>
    <row r="618">
      <c r="A618" t="inlineStr">
        <is>
          <t>neck</t>
        </is>
      </c>
      <c r="B618" t="inlineStr">
        <is>
          <t>mystic</t>
        </is>
      </c>
      <c r="C618" t="n">
        <v>3</v>
      </c>
      <c r="D618" t="inlineStr">
        <is>
          <t>All Skill Level</t>
        </is>
      </c>
      <c r="E618" t="n">
        <v>16</v>
      </c>
      <c r="F618" t="n">
        <v>0.08</v>
      </c>
      <c r="G618" t="b">
        <v>1</v>
      </c>
      <c r="H618">
        <f>Sensitivity!H24</f>
        <v/>
      </c>
    </row>
    <row r="619">
      <c r="A619" t="inlineStr">
        <is>
          <t>neck</t>
        </is>
      </c>
      <c r="B619" t="inlineStr">
        <is>
          <t>mystic</t>
        </is>
      </c>
      <c r="C619" t="n">
        <v>3</v>
      </c>
      <c r="D619" t="inlineStr">
        <is>
          <t>All Skill Level</t>
        </is>
      </c>
      <c r="E619" t="n">
        <v>12</v>
      </c>
      <c r="F619" t="n">
        <v>0.92</v>
      </c>
      <c r="G619" t="b">
        <v>0</v>
      </c>
      <c r="H619">
        <f>Sensitivity!H24</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Sensitivity!H18</f>
        <v/>
      </c>
    </row>
    <row r="639">
      <c r="A639" t="inlineStr">
        <is>
          <t>ring2</t>
        </is>
      </c>
      <c r="B639" t="inlineStr">
        <is>
          <t>epic</t>
        </is>
      </c>
      <c r="C639" t="n">
        <v>2</v>
      </c>
      <c r="D639" t="inlineStr">
        <is>
          <t>Basic Attack Damage %</t>
        </is>
      </c>
      <c r="E639" t="n">
        <v>8</v>
      </c>
      <c r="F639" t="n">
        <v>0.24</v>
      </c>
      <c r="G639" t="b">
        <v>1</v>
      </c>
      <c r="H639">
        <f>Sensitivity!H18</f>
        <v/>
      </c>
    </row>
    <row r="640">
      <c r="A640" t="inlineStr">
        <is>
          <t>ring2</t>
        </is>
      </c>
      <c r="B640" t="inlineStr">
        <is>
          <t>epic</t>
        </is>
      </c>
      <c r="C640" t="n">
        <v>3</v>
      </c>
      <c r="D640" t="inlineStr">
        <is>
          <t>Basic Attack Damage %</t>
        </is>
      </c>
      <c r="E640" t="n">
        <v>8</v>
      </c>
      <c r="F640" t="n">
        <v>0.08</v>
      </c>
      <c r="G640" t="b">
        <v>1</v>
      </c>
      <c r="H640">
        <f>Sensitivity!H18</f>
        <v/>
      </c>
    </row>
    <row r="641">
      <c r="A641" t="inlineStr">
        <is>
          <t>ring2</t>
        </is>
      </c>
      <c r="B641" t="inlineStr">
        <is>
          <t>unique</t>
        </is>
      </c>
      <c r="C641" t="n">
        <v>1</v>
      </c>
      <c r="D641" t="inlineStr">
        <is>
          <t>Basic Attack Damage %</t>
        </is>
      </c>
      <c r="E641" t="n">
        <v>14</v>
      </c>
      <c r="F641" t="n">
        <v>1</v>
      </c>
      <c r="G641" t="b">
        <v>1</v>
      </c>
      <c r="H641">
        <f>Sensitivity!H18</f>
        <v/>
      </c>
    </row>
    <row r="642">
      <c r="A642" t="inlineStr">
        <is>
          <t>ring2</t>
        </is>
      </c>
      <c r="B642" t="inlineStr">
        <is>
          <t>unique</t>
        </is>
      </c>
      <c r="C642" t="n">
        <v>2</v>
      </c>
      <c r="D642" t="inlineStr">
        <is>
          <t>Basic Attack Damage %</t>
        </is>
      </c>
      <c r="E642" t="n">
        <v>14</v>
      </c>
      <c r="F642" t="n">
        <v>0.24</v>
      </c>
      <c r="G642" t="b">
        <v>1</v>
      </c>
      <c r="H642">
        <f>Sensitivity!H18</f>
        <v/>
      </c>
    </row>
    <row r="643">
      <c r="A643" t="inlineStr">
        <is>
          <t>ring2</t>
        </is>
      </c>
      <c r="B643" t="inlineStr">
        <is>
          <t>unique</t>
        </is>
      </c>
      <c r="C643" t="n">
        <v>2</v>
      </c>
      <c r="D643" t="inlineStr">
        <is>
          <t>Basic Attack Damage %</t>
        </is>
      </c>
      <c r="E643" t="n">
        <v>8</v>
      </c>
      <c r="F643" t="n">
        <v>0.76</v>
      </c>
      <c r="G643" t="b">
        <v>0</v>
      </c>
      <c r="H643">
        <f>Sensitivity!H18</f>
        <v/>
      </c>
    </row>
    <row r="644">
      <c r="A644" t="inlineStr">
        <is>
          <t>ring2</t>
        </is>
      </c>
      <c r="B644" t="inlineStr">
        <is>
          <t>unique</t>
        </is>
      </c>
      <c r="C644" t="n">
        <v>3</v>
      </c>
      <c r="D644" t="inlineStr">
        <is>
          <t>Basic Attack Damage %</t>
        </is>
      </c>
      <c r="E644" t="n">
        <v>14</v>
      </c>
      <c r="F644" t="n">
        <v>0.08</v>
      </c>
      <c r="G644" t="b">
        <v>1</v>
      </c>
      <c r="H644">
        <f>Sensitivity!H18</f>
        <v/>
      </c>
    </row>
    <row r="645">
      <c r="A645" t="inlineStr">
        <is>
          <t>ring2</t>
        </is>
      </c>
      <c r="B645" t="inlineStr">
        <is>
          <t>unique</t>
        </is>
      </c>
      <c r="C645" t="n">
        <v>3</v>
      </c>
      <c r="D645" t="inlineStr">
        <is>
          <t>Basic Attack Damage %</t>
        </is>
      </c>
      <c r="E645" t="n">
        <v>8</v>
      </c>
      <c r="F645" t="n">
        <v>0.92</v>
      </c>
      <c r="G645" t="b">
        <v>0</v>
      </c>
      <c r="H645">
        <f>Sensitivity!H18</f>
        <v/>
      </c>
    </row>
    <row r="646">
      <c r="A646" t="inlineStr">
        <is>
          <t>ring2</t>
        </is>
      </c>
      <c r="B646" t="inlineStr">
        <is>
          <t>legendary</t>
        </is>
      </c>
      <c r="C646" t="n">
        <v>1</v>
      </c>
      <c r="D646" t="inlineStr">
        <is>
          <t>Basic Attack Damage %</t>
        </is>
      </c>
      <c r="E646" t="n">
        <v>21</v>
      </c>
      <c r="F646" t="n">
        <v>1</v>
      </c>
      <c r="G646" t="b">
        <v>1</v>
      </c>
      <c r="H646">
        <f>Sensitivity!H18</f>
        <v/>
      </c>
    </row>
    <row r="647">
      <c r="A647" t="inlineStr">
        <is>
          <t>ring2</t>
        </is>
      </c>
      <c r="B647" t="inlineStr">
        <is>
          <t>legendary</t>
        </is>
      </c>
      <c r="C647" t="n">
        <v>2</v>
      </c>
      <c r="D647" t="inlineStr">
        <is>
          <t>Basic Attack Damage %</t>
        </is>
      </c>
      <c r="E647" t="n">
        <v>21</v>
      </c>
      <c r="F647" t="n">
        <v>0.24</v>
      </c>
      <c r="G647" t="b">
        <v>1</v>
      </c>
      <c r="H647">
        <f>Sensitivity!H18</f>
        <v/>
      </c>
    </row>
    <row r="648">
      <c r="A648" t="inlineStr">
        <is>
          <t>ring2</t>
        </is>
      </c>
      <c r="B648" t="inlineStr">
        <is>
          <t>legendary</t>
        </is>
      </c>
      <c r="C648" t="n">
        <v>2</v>
      </c>
      <c r="D648" t="inlineStr">
        <is>
          <t>Basic Attack Damage %</t>
        </is>
      </c>
      <c r="E648" t="n">
        <v>14</v>
      </c>
      <c r="F648" t="n">
        <v>0.76</v>
      </c>
      <c r="G648" t="b">
        <v>0</v>
      </c>
      <c r="H648">
        <f>Sensitivity!H18</f>
        <v/>
      </c>
    </row>
    <row r="649">
      <c r="A649" t="inlineStr">
        <is>
          <t>ring2</t>
        </is>
      </c>
      <c r="B649" t="inlineStr">
        <is>
          <t>legendary</t>
        </is>
      </c>
      <c r="C649" t="n">
        <v>3</v>
      </c>
      <c r="D649" t="inlineStr">
        <is>
          <t>Basic Attack Damage %</t>
        </is>
      </c>
      <c r="E649" t="n">
        <v>21</v>
      </c>
      <c r="F649" t="n">
        <v>0.08</v>
      </c>
      <c r="G649" t="b">
        <v>1</v>
      </c>
      <c r="H649">
        <f>Sensitivity!H18</f>
        <v/>
      </c>
    </row>
    <row r="650">
      <c r="A650" t="inlineStr">
        <is>
          <t>ring2</t>
        </is>
      </c>
      <c r="B650" t="inlineStr">
        <is>
          <t>legendary</t>
        </is>
      </c>
      <c r="C650" t="n">
        <v>3</v>
      </c>
      <c r="D650" t="inlineStr">
        <is>
          <t>Basic Attack Damage %</t>
        </is>
      </c>
      <c r="E650" t="n">
        <v>14</v>
      </c>
      <c r="F650" t="n">
        <v>0.92</v>
      </c>
      <c r="G650" t="b">
        <v>0</v>
      </c>
      <c r="H650">
        <f>Sensitivity!H18</f>
        <v/>
      </c>
    </row>
    <row r="651">
      <c r="A651" t="inlineStr">
        <is>
          <t>ring2</t>
        </is>
      </c>
      <c r="B651" t="inlineStr">
        <is>
          <t>mystic</t>
        </is>
      </c>
      <c r="C651" t="n">
        <v>1</v>
      </c>
      <c r="D651" t="inlineStr">
        <is>
          <t>Basic Attack Damage %</t>
        </is>
      </c>
      <c r="E651" t="n">
        <v>30</v>
      </c>
      <c r="F651" t="n">
        <v>1</v>
      </c>
      <c r="G651" t="b">
        <v>1</v>
      </c>
      <c r="H651">
        <f>Sensitivity!H18</f>
        <v/>
      </c>
    </row>
    <row r="652">
      <c r="A652" t="inlineStr">
        <is>
          <t>ring2</t>
        </is>
      </c>
      <c r="B652" t="inlineStr">
        <is>
          <t>mystic</t>
        </is>
      </c>
      <c r="C652" t="n">
        <v>2</v>
      </c>
      <c r="D652" t="inlineStr">
        <is>
          <t>Basic Attack Damage %</t>
        </is>
      </c>
      <c r="E652" t="n">
        <v>30</v>
      </c>
      <c r="F652" t="n">
        <v>0.24</v>
      </c>
      <c r="G652" t="b">
        <v>1</v>
      </c>
      <c r="H652">
        <f>Sensitivity!H18</f>
        <v/>
      </c>
    </row>
    <row r="653">
      <c r="A653" t="inlineStr">
        <is>
          <t>ring2</t>
        </is>
      </c>
      <c r="B653" t="inlineStr">
        <is>
          <t>mystic</t>
        </is>
      </c>
      <c r="C653" t="n">
        <v>2</v>
      </c>
      <c r="D653" t="inlineStr">
        <is>
          <t>Basic Attack Damage %</t>
        </is>
      </c>
      <c r="E653" t="n">
        <v>21</v>
      </c>
      <c r="F653" t="n">
        <v>0.76</v>
      </c>
      <c r="G653" t="b">
        <v>0</v>
      </c>
      <c r="H653">
        <f>Sensitivity!H18</f>
        <v/>
      </c>
    </row>
    <row r="654">
      <c r="A654" t="inlineStr">
        <is>
          <t>ring2</t>
        </is>
      </c>
      <c r="B654" t="inlineStr">
        <is>
          <t>mystic</t>
        </is>
      </c>
      <c r="C654" t="n">
        <v>3</v>
      </c>
      <c r="D654" t="inlineStr">
        <is>
          <t>Basic Attack Damage %</t>
        </is>
      </c>
      <c r="E654" t="n">
        <v>30</v>
      </c>
      <c r="F654" t="n">
        <v>0.08</v>
      </c>
      <c r="G654" t="b">
        <v>1</v>
      </c>
      <c r="H654">
        <f>Sensitivity!H18</f>
        <v/>
      </c>
    </row>
    <row r="655">
      <c r="A655" t="inlineStr">
        <is>
          <t>ring2</t>
        </is>
      </c>
      <c r="B655" t="inlineStr">
        <is>
          <t>mystic</t>
        </is>
      </c>
      <c r="C655" t="n">
        <v>3</v>
      </c>
      <c r="D655" t="inlineStr">
        <is>
          <t>Basic Attack Damage %</t>
        </is>
      </c>
      <c r="E655" t="n">
        <v>21</v>
      </c>
      <c r="F655" t="n">
        <v>0.92</v>
      </c>
      <c r="G655" t="b">
        <v>0</v>
      </c>
      <c r="H655">
        <f>Sensitivity!H18</f>
        <v/>
      </c>
    </row>
    <row r="656">
      <c r="A656" t="inlineStr">
        <is>
          <t>face</t>
        </is>
      </c>
      <c r="B656" t="inlineStr">
        <is>
          <t>epic</t>
        </is>
      </c>
      <c r="C656" t="n">
        <v>1</v>
      </c>
      <c r="D656" t="inlineStr">
        <is>
          <t>Final Damage %</t>
        </is>
      </c>
      <c r="E656" t="n">
        <v>3</v>
      </c>
      <c r="F656" t="n">
        <v>1</v>
      </c>
      <c r="G656" t="b">
        <v>1</v>
      </c>
      <c r="H656">
        <f>Sensitivity!H11</f>
        <v/>
      </c>
    </row>
    <row r="657">
      <c r="A657" t="inlineStr">
        <is>
          <t>face</t>
        </is>
      </c>
      <c r="B657" t="inlineStr">
        <is>
          <t>epic</t>
        </is>
      </c>
      <c r="C657" t="n">
        <v>2</v>
      </c>
      <c r="D657" t="inlineStr">
        <is>
          <t>Final Damage %</t>
        </is>
      </c>
      <c r="E657" t="n">
        <v>3</v>
      </c>
      <c r="F657" t="n">
        <v>0.24</v>
      </c>
      <c r="G657" t="b">
        <v>1</v>
      </c>
      <c r="H657">
        <f>Sensitivity!H11</f>
        <v/>
      </c>
    </row>
    <row r="658">
      <c r="A658" t="inlineStr">
        <is>
          <t>face</t>
        </is>
      </c>
      <c r="B658" t="inlineStr">
        <is>
          <t>epic</t>
        </is>
      </c>
      <c r="C658" t="n">
        <v>3</v>
      </c>
      <c r="D658" t="inlineStr">
        <is>
          <t>Final Damage %</t>
        </is>
      </c>
      <c r="E658" t="n">
        <v>3</v>
      </c>
      <c r="F658" t="n">
        <v>0.08</v>
      </c>
      <c r="G658" t="b">
        <v>1</v>
      </c>
      <c r="H658">
        <f>Sensitivity!H11</f>
        <v/>
      </c>
    </row>
    <row r="659">
      <c r="A659" t="inlineStr">
        <is>
          <t>face</t>
        </is>
      </c>
      <c r="B659" t="inlineStr">
        <is>
          <t>unique</t>
        </is>
      </c>
      <c r="C659" t="n">
        <v>1</v>
      </c>
      <c r="D659" t="inlineStr">
        <is>
          <t>Final Damage %</t>
        </is>
      </c>
      <c r="E659" t="n">
        <v>5</v>
      </c>
      <c r="F659" t="n">
        <v>1</v>
      </c>
      <c r="G659" t="b">
        <v>1</v>
      </c>
      <c r="H659">
        <f>Sensitivity!H11</f>
        <v/>
      </c>
    </row>
    <row r="660">
      <c r="A660" t="inlineStr">
        <is>
          <t>face</t>
        </is>
      </c>
      <c r="B660" t="inlineStr">
        <is>
          <t>unique</t>
        </is>
      </c>
      <c r="C660" t="n">
        <v>2</v>
      </c>
      <c r="D660" t="inlineStr">
        <is>
          <t>Final Damage %</t>
        </is>
      </c>
      <c r="E660" t="n">
        <v>5</v>
      </c>
      <c r="F660" t="n">
        <v>0.24</v>
      </c>
      <c r="G660" t="b">
        <v>1</v>
      </c>
      <c r="H660">
        <f>Sensitivity!H11</f>
        <v/>
      </c>
    </row>
    <row r="661">
      <c r="A661" t="inlineStr">
        <is>
          <t>face</t>
        </is>
      </c>
      <c r="B661" t="inlineStr">
        <is>
          <t>unique</t>
        </is>
      </c>
      <c r="C661" t="n">
        <v>2</v>
      </c>
      <c r="D661" t="inlineStr">
        <is>
          <t>Final Damage %</t>
        </is>
      </c>
      <c r="E661" t="n">
        <v>3</v>
      </c>
      <c r="F661" t="n">
        <v>0.76</v>
      </c>
      <c r="G661" t="b">
        <v>0</v>
      </c>
      <c r="H661">
        <f>Sensitivity!H11</f>
        <v/>
      </c>
    </row>
    <row r="662">
      <c r="A662" t="inlineStr">
        <is>
          <t>face</t>
        </is>
      </c>
      <c r="B662" t="inlineStr">
        <is>
          <t>unique</t>
        </is>
      </c>
      <c r="C662" t="n">
        <v>3</v>
      </c>
      <c r="D662" t="inlineStr">
        <is>
          <t>Final Damage %</t>
        </is>
      </c>
      <c r="E662" t="n">
        <v>5</v>
      </c>
      <c r="F662" t="n">
        <v>0.08</v>
      </c>
      <c r="G662" t="b">
        <v>1</v>
      </c>
      <c r="H662">
        <f>Sensitivity!H11</f>
        <v/>
      </c>
    </row>
    <row r="663">
      <c r="A663" t="inlineStr">
        <is>
          <t>face</t>
        </is>
      </c>
      <c r="B663" t="inlineStr">
        <is>
          <t>unique</t>
        </is>
      </c>
      <c r="C663" t="n">
        <v>3</v>
      </c>
      <c r="D663" t="inlineStr">
        <is>
          <t>Final Damage %</t>
        </is>
      </c>
      <c r="E663" t="n">
        <v>3</v>
      </c>
      <c r="F663" t="n">
        <v>0.92</v>
      </c>
      <c r="G663" t="b">
        <v>0</v>
      </c>
      <c r="H663">
        <f>Sensitivity!H11</f>
        <v/>
      </c>
    </row>
    <row r="664">
      <c r="A664" t="inlineStr">
        <is>
          <t>face</t>
        </is>
      </c>
      <c r="B664" t="inlineStr">
        <is>
          <t>legendary</t>
        </is>
      </c>
      <c r="C664" t="n">
        <v>1</v>
      </c>
      <c r="D664" t="inlineStr">
        <is>
          <t>Final Damage %</t>
        </is>
      </c>
      <c r="E664" t="n">
        <v>8</v>
      </c>
      <c r="F664" t="n">
        <v>1</v>
      </c>
      <c r="G664" t="b">
        <v>1</v>
      </c>
      <c r="H664">
        <f>Sensitivity!H11</f>
        <v/>
      </c>
    </row>
    <row r="665">
      <c r="A665" t="inlineStr">
        <is>
          <t>face</t>
        </is>
      </c>
      <c r="B665" t="inlineStr">
        <is>
          <t>legendary</t>
        </is>
      </c>
      <c r="C665" t="n">
        <v>2</v>
      </c>
      <c r="D665" t="inlineStr">
        <is>
          <t>Final Damage %</t>
        </is>
      </c>
      <c r="E665" t="n">
        <v>8</v>
      </c>
      <c r="F665" t="n">
        <v>0.24</v>
      </c>
      <c r="G665" t="b">
        <v>1</v>
      </c>
      <c r="H665">
        <f>Sensitivity!H11</f>
        <v/>
      </c>
    </row>
    <row r="666">
      <c r="A666" t="inlineStr">
        <is>
          <t>face</t>
        </is>
      </c>
      <c r="B666" t="inlineStr">
        <is>
          <t>legendary</t>
        </is>
      </c>
      <c r="C666" t="n">
        <v>2</v>
      </c>
      <c r="D666" t="inlineStr">
        <is>
          <t>Final Damage %</t>
        </is>
      </c>
      <c r="E666" t="n">
        <v>5</v>
      </c>
      <c r="F666" t="n">
        <v>0.76</v>
      </c>
      <c r="G666" t="b">
        <v>0</v>
      </c>
      <c r="H666">
        <f>Sensitivity!H11</f>
        <v/>
      </c>
    </row>
    <row r="667">
      <c r="A667" t="inlineStr">
        <is>
          <t>face</t>
        </is>
      </c>
      <c r="B667" t="inlineStr">
        <is>
          <t>legendary</t>
        </is>
      </c>
      <c r="C667" t="n">
        <v>3</v>
      </c>
      <c r="D667" t="inlineStr">
        <is>
          <t>Final Damage %</t>
        </is>
      </c>
      <c r="E667" t="n">
        <v>8</v>
      </c>
      <c r="F667" t="n">
        <v>0.08</v>
      </c>
      <c r="G667" t="b">
        <v>1</v>
      </c>
      <c r="H667">
        <f>Sensitivity!H11</f>
        <v/>
      </c>
    </row>
    <row r="668">
      <c r="A668" t="inlineStr">
        <is>
          <t>face</t>
        </is>
      </c>
      <c r="B668" t="inlineStr">
        <is>
          <t>legendary</t>
        </is>
      </c>
      <c r="C668" t="n">
        <v>3</v>
      </c>
      <c r="D668" t="inlineStr">
        <is>
          <t>Final Damage %</t>
        </is>
      </c>
      <c r="E668" t="n">
        <v>5</v>
      </c>
      <c r="F668" t="n">
        <v>0.92</v>
      </c>
      <c r="G668" t="b">
        <v>0</v>
      </c>
      <c r="H668">
        <f>Sensitivity!H11</f>
        <v/>
      </c>
    </row>
    <row r="669">
      <c r="A669" t="inlineStr">
        <is>
          <t>face</t>
        </is>
      </c>
      <c r="B669" t="inlineStr">
        <is>
          <t>mystic</t>
        </is>
      </c>
      <c r="C669" t="n">
        <v>1</v>
      </c>
      <c r="D669" t="inlineStr">
        <is>
          <t>Final Damage %</t>
        </is>
      </c>
      <c r="E669" t="n">
        <v>12</v>
      </c>
      <c r="F669" t="n">
        <v>1</v>
      </c>
      <c r="G669" t="b">
        <v>1</v>
      </c>
      <c r="H669">
        <f>Sensitivity!H11</f>
        <v/>
      </c>
    </row>
    <row r="670">
      <c r="A670" t="inlineStr">
        <is>
          <t>face</t>
        </is>
      </c>
      <c r="B670" t="inlineStr">
        <is>
          <t>mystic</t>
        </is>
      </c>
      <c r="C670" t="n">
        <v>2</v>
      </c>
      <c r="D670" t="inlineStr">
        <is>
          <t>Final Damage %</t>
        </is>
      </c>
      <c r="E670" t="n">
        <v>12</v>
      </c>
      <c r="F670" t="n">
        <v>0.24</v>
      </c>
      <c r="G670" t="b">
        <v>1</v>
      </c>
      <c r="H670">
        <f>Sensitivity!H11</f>
        <v/>
      </c>
    </row>
    <row r="671">
      <c r="A671" t="inlineStr">
        <is>
          <t>face</t>
        </is>
      </c>
      <c r="B671" t="inlineStr">
        <is>
          <t>mystic</t>
        </is>
      </c>
      <c r="C671" t="n">
        <v>2</v>
      </c>
      <c r="D671" t="inlineStr">
        <is>
          <t>Final Damage %</t>
        </is>
      </c>
      <c r="E671" t="n">
        <v>8</v>
      </c>
      <c r="F671" t="n">
        <v>0.76</v>
      </c>
      <c r="G671" t="b">
        <v>0</v>
      </c>
      <c r="H671">
        <f>Sensitivity!H11</f>
        <v/>
      </c>
    </row>
    <row r="672">
      <c r="A672" t="inlineStr">
        <is>
          <t>face</t>
        </is>
      </c>
      <c r="B672" t="inlineStr">
        <is>
          <t>mystic</t>
        </is>
      </c>
      <c r="C672" t="n">
        <v>3</v>
      </c>
      <c r="D672" t="inlineStr">
        <is>
          <t>Final Damage %</t>
        </is>
      </c>
      <c r="E672" t="n">
        <v>12</v>
      </c>
      <c r="F672" t="n">
        <v>0.08</v>
      </c>
      <c r="G672" t="b">
        <v>1</v>
      </c>
      <c r="H672">
        <f>Sensitivity!H11</f>
        <v/>
      </c>
    </row>
    <row r="673">
      <c r="A673" t="inlineStr">
        <is>
          <t>face</t>
        </is>
      </c>
      <c r="B673" t="inlineStr">
        <is>
          <t>mystic</t>
        </is>
      </c>
      <c r="C673" t="n">
        <v>3</v>
      </c>
      <c r="D673" t="inlineStr">
        <is>
          <t>Final Damage %</t>
        </is>
      </c>
      <c r="E673" t="n">
        <v>8</v>
      </c>
      <c r="F673" t="n">
        <v>0.92</v>
      </c>
      <c r="G673" t="b">
        <v>0</v>
      </c>
      <c r="H673">
        <f>Sensitivity!H11</f>
        <v/>
      </c>
    </row>
    <row r="674">
      <c r="A674" t="inlineStr">
        <is>
          <t>earrings</t>
        </is>
      </c>
      <c r="B674" t="inlineStr">
        <is>
          <t>epic</t>
        </is>
      </c>
      <c r="C674" t="n">
        <v>1</v>
      </c>
      <c r="D674" t="inlineStr">
        <is>
          <t>Skill Damage %</t>
        </is>
      </c>
      <c r="E674" t="n">
        <v>8</v>
      </c>
      <c r="F674" t="n">
        <v>1</v>
      </c>
      <c r="G674" t="b">
        <v>1</v>
      </c>
      <c r="H674">
        <f>Sensitivity!H19</f>
        <v/>
      </c>
    </row>
    <row r="675">
      <c r="A675" t="inlineStr">
        <is>
          <t>earrings</t>
        </is>
      </c>
      <c r="B675" t="inlineStr">
        <is>
          <t>epic</t>
        </is>
      </c>
      <c r="C675" t="n">
        <v>2</v>
      </c>
      <c r="D675" t="inlineStr">
        <is>
          <t>Skill Damage %</t>
        </is>
      </c>
      <c r="E675" t="n">
        <v>8</v>
      </c>
      <c r="F675" t="n">
        <v>0.24</v>
      </c>
      <c r="G675" t="b">
        <v>1</v>
      </c>
      <c r="H675">
        <f>Sensitivity!H19</f>
        <v/>
      </c>
    </row>
    <row r="676">
      <c r="A676" t="inlineStr">
        <is>
          <t>earrings</t>
        </is>
      </c>
      <c r="B676" t="inlineStr">
        <is>
          <t>epic</t>
        </is>
      </c>
      <c r="C676" t="n">
        <v>3</v>
      </c>
      <c r="D676" t="inlineStr">
        <is>
          <t>Skill Damage %</t>
        </is>
      </c>
      <c r="E676" t="n">
        <v>8</v>
      </c>
      <c r="F676" t="n">
        <v>0.08</v>
      </c>
      <c r="G676" t="b">
        <v>1</v>
      </c>
      <c r="H676">
        <f>Sensitivity!H19</f>
        <v/>
      </c>
    </row>
    <row r="677">
      <c r="A677" t="inlineStr">
        <is>
          <t>earrings</t>
        </is>
      </c>
      <c r="B677" t="inlineStr">
        <is>
          <t>unique</t>
        </is>
      </c>
      <c r="C677" t="n">
        <v>1</v>
      </c>
      <c r="D677" t="inlineStr">
        <is>
          <t>Skill Damage %</t>
        </is>
      </c>
      <c r="E677" t="n">
        <v>14</v>
      </c>
      <c r="F677" t="n">
        <v>1</v>
      </c>
      <c r="G677" t="b">
        <v>1</v>
      </c>
      <c r="H677">
        <f>Sensitivity!H19</f>
        <v/>
      </c>
    </row>
    <row r="678">
      <c r="A678" t="inlineStr">
        <is>
          <t>earrings</t>
        </is>
      </c>
      <c r="B678" t="inlineStr">
        <is>
          <t>unique</t>
        </is>
      </c>
      <c r="C678" t="n">
        <v>2</v>
      </c>
      <c r="D678" t="inlineStr">
        <is>
          <t>Skill Damage %</t>
        </is>
      </c>
      <c r="E678" t="n">
        <v>14</v>
      </c>
      <c r="F678" t="n">
        <v>0.24</v>
      </c>
      <c r="G678" t="b">
        <v>1</v>
      </c>
      <c r="H678">
        <f>Sensitivity!H19</f>
        <v/>
      </c>
    </row>
    <row r="679">
      <c r="A679" t="inlineStr">
        <is>
          <t>earrings</t>
        </is>
      </c>
      <c r="B679" t="inlineStr">
        <is>
          <t>unique</t>
        </is>
      </c>
      <c r="C679" t="n">
        <v>2</v>
      </c>
      <c r="D679" t="inlineStr">
        <is>
          <t>Skill Damage %</t>
        </is>
      </c>
      <c r="E679" t="n">
        <v>8</v>
      </c>
      <c r="F679" t="n">
        <v>0.76</v>
      </c>
      <c r="G679" t="b">
        <v>0</v>
      </c>
      <c r="H679">
        <f>Sensitivity!H19</f>
        <v/>
      </c>
    </row>
    <row r="680">
      <c r="A680" t="inlineStr">
        <is>
          <t>earrings</t>
        </is>
      </c>
      <c r="B680" t="inlineStr">
        <is>
          <t>unique</t>
        </is>
      </c>
      <c r="C680" t="n">
        <v>3</v>
      </c>
      <c r="D680" t="inlineStr">
        <is>
          <t>Skill Damage %</t>
        </is>
      </c>
      <c r="E680" t="n">
        <v>14</v>
      </c>
      <c r="F680" t="n">
        <v>0.08</v>
      </c>
      <c r="G680" t="b">
        <v>1</v>
      </c>
      <c r="H680">
        <f>Sensitivity!H19</f>
        <v/>
      </c>
    </row>
    <row r="681">
      <c r="A681" t="inlineStr">
        <is>
          <t>earrings</t>
        </is>
      </c>
      <c r="B681" t="inlineStr">
        <is>
          <t>unique</t>
        </is>
      </c>
      <c r="C681" t="n">
        <v>3</v>
      </c>
      <c r="D681" t="inlineStr">
        <is>
          <t>Skill Damage %</t>
        </is>
      </c>
      <c r="E681" t="n">
        <v>8</v>
      </c>
      <c r="F681" t="n">
        <v>0.92</v>
      </c>
      <c r="G681" t="b">
        <v>0</v>
      </c>
      <c r="H681">
        <f>Sensitivity!H19</f>
        <v/>
      </c>
    </row>
    <row r="682">
      <c r="A682" t="inlineStr">
        <is>
          <t>earrings</t>
        </is>
      </c>
      <c r="B682" t="inlineStr">
        <is>
          <t>legendary</t>
        </is>
      </c>
      <c r="C682" t="n">
        <v>1</v>
      </c>
      <c r="D682" t="inlineStr">
        <is>
          <t>Skill Damage %</t>
        </is>
      </c>
      <c r="E682" t="n">
        <v>21</v>
      </c>
      <c r="F682" t="n">
        <v>1</v>
      </c>
      <c r="G682" t="b">
        <v>1</v>
      </c>
      <c r="H682">
        <f>Sensitivity!H19</f>
        <v/>
      </c>
    </row>
    <row r="683">
      <c r="A683" t="inlineStr">
        <is>
          <t>earrings</t>
        </is>
      </c>
      <c r="B683" t="inlineStr">
        <is>
          <t>legendary</t>
        </is>
      </c>
      <c r="C683" t="n">
        <v>2</v>
      </c>
      <c r="D683" t="inlineStr">
        <is>
          <t>Skill Damage %</t>
        </is>
      </c>
      <c r="E683" t="n">
        <v>21</v>
      </c>
      <c r="F683" t="n">
        <v>0.24</v>
      </c>
      <c r="G683" t="b">
        <v>1</v>
      </c>
      <c r="H683">
        <f>Sensitivity!H19</f>
        <v/>
      </c>
    </row>
    <row r="684">
      <c r="A684" t="inlineStr">
        <is>
          <t>earrings</t>
        </is>
      </c>
      <c r="B684" t="inlineStr">
        <is>
          <t>legendary</t>
        </is>
      </c>
      <c r="C684" t="n">
        <v>2</v>
      </c>
      <c r="D684" t="inlineStr">
        <is>
          <t>Skill Damage %</t>
        </is>
      </c>
      <c r="E684" t="n">
        <v>14</v>
      </c>
      <c r="F684" t="n">
        <v>0.76</v>
      </c>
      <c r="G684" t="b">
        <v>0</v>
      </c>
      <c r="H684">
        <f>Sensitivity!H19</f>
        <v/>
      </c>
    </row>
    <row r="685">
      <c r="A685" t="inlineStr">
        <is>
          <t>earrings</t>
        </is>
      </c>
      <c r="B685" t="inlineStr">
        <is>
          <t>legendary</t>
        </is>
      </c>
      <c r="C685" t="n">
        <v>3</v>
      </c>
      <c r="D685" t="inlineStr">
        <is>
          <t>Skill Damage %</t>
        </is>
      </c>
      <c r="E685" t="n">
        <v>21</v>
      </c>
      <c r="F685" t="n">
        <v>0.08</v>
      </c>
      <c r="G685" t="b">
        <v>1</v>
      </c>
      <c r="H685">
        <f>Sensitivity!H19</f>
        <v/>
      </c>
    </row>
    <row r="686">
      <c r="A686" t="inlineStr">
        <is>
          <t>earrings</t>
        </is>
      </c>
      <c r="B686" t="inlineStr">
        <is>
          <t>legendary</t>
        </is>
      </c>
      <c r="C686" t="n">
        <v>3</v>
      </c>
      <c r="D686" t="inlineStr">
        <is>
          <t>Skill Damage %</t>
        </is>
      </c>
      <c r="E686" t="n">
        <v>14</v>
      </c>
      <c r="F686" t="n">
        <v>0.92</v>
      </c>
      <c r="G686" t="b">
        <v>0</v>
      </c>
      <c r="H686">
        <f>Sensitivity!H19</f>
        <v/>
      </c>
    </row>
    <row r="687">
      <c r="A687" t="inlineStr">
        <is>
          <t>earrings</t>
        </is>
      </c>
      <c r="B687" t="inlineStr">
        <is>
          <t>mystic</t>
        </is>
      </c>
      <c r="C687" t="n">
        <v>1</v>
      </c>
      <c r="D687" t="inlineStr">
        <is>
          <t>Skill Damage %</t>
        </is>
      </c>
      <c r="E687" t="n">
        <v>30</v>
      </c>
      <c r="F687" t="n">
        <v>1</v>
      </c>
      <c r="G687" t="b">
        <v>1</v>
      </c>
      <c r="H687">
        <f>Sensitivity!H19</f>
        <v/>
      </c>
    </row>
    <row r="688">
      <c r="A688" t="inlineStr">
        <is>
          <t>earrings</t>
        </is>
      </c>
      <c r="B688" t="inlineStr">
        <is>
          <t>mystic</t>
        </is>
      </c>
      <c r="C688" t="n">
        <v>2</v>
      </c>
      <c r="D688" t="inlineStr">
        <is>
          <t>Skill Damage %</t>
        </is>
      </c>
      <c r="E688" t="n">
        <v>30</v>
      </c>
      <c r="F688" t="n">
        <v>0.24</v>
      </c>
      <c r="G688" t="b">
        <v>1</v>
      </c>
      <c r="H688">
        <f>Sensitivity!H19</f>
        <v/>
      </c>
    </row>
    <row r="689">
      <c r="A689" t="inlineStr">
        <is>
          <t>earrings</t>
        </is>
      </c>
      <c r="B689" t="inlineStr">
        <is>
          <t>mystic</t>
        </is>
      </c>
      <c r="C689" t="n">
        <v>2</v>
      </c>
      <c r="D689" t="inlineStr">
        <is>
          <t>Skill Damage %</t>
        </is>
      </c>
      <c r="E689" t="n">
        <v>21</v>
      </c>
      <c r="F689" t="n">
        <v>0.76</v>
      </c>
      <c r="G689" t="b">
        <v>0</v>
      </c>
      <c r="H689">
        <f>Sensitivity!H19</f>
        <v/>
      </c>
    </row>
    <row r="690">
      <c r="A690" t="inlineStr">
        <is>
          <t>earrings</t>
        </is>
      </c>
      <c r="B690" t="inlineStr">
        <is>
          <t>mystic</t>
        </is>
      </c>
      <c r="C690" t="n">
        <v>3</v>
      </c>
      <c r="D690" t="inlineStr">
        <is>
          <t>Skill Damage %</t>
        </is>
      </c>
      <c r="E690" t="n">
        <v>30</v>
      </c>
      <c r="F690" t="n">
        <v>0.08</v>
      </c>
      <c r="G690" t="b">
        <v>1</v>
      </c>
      <c r="H690">
        <f>Sensitivity!H19</f>
        <v/>
      </c>
    </row>
    <row r="691">
      <c r="A691" t="inlineStr">
        <is>
          <t>earrings</t>
        </is>
      </c>
      <c r="B691" t="inlineStr">
        <is>
          <t>mystic</t>
        </is>
      </c>
      <c r="C691" t="n">
        <v>3</v>
      </c>
      <c r="D691" t="inlineStr">
        <is>
          <t>Skill Damage %</t>
        </is>
      </c>
      <c r="E691" t="n">
        <v>21</v>
      </c>
      <c r="F691" t="n">
        <v>0.92</v>
      </c>
      <c r="G691" t="b">
        <v>0</v>
      </c>
      <c r="H691">
        <f>Sensitivity!H19</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Fire/Poison Arch Mage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Legendary</t>
        </is>
      </c>
      <c r="D5" s="7" t="inlineStr">
        <is>
          <t>Critical Rate %</t>
        </is>
      </c>
      <c r="E5">
        <f>IF($N$5&gt;=1,IF($D$5="Main Stat %",(CHOOSE(MATCH($C$5,{"Rare","Epic","Unique","Legendary","Mystic","Mystic (Prime)"},0),2,3,4.5,7,10,12))*Sensitivity!$H$6,IF($D$5="Damage Taken Decrease %",0,IF($D$5="Defense %",0,IF($D$5="Accuracy",0,IF($D$5="Critical Rate %",(CHOOSE(MATCH($C$5,{"Rare","Epic","Unique","Legendary","Mystic","Mystic (Prime)"},0),2,3,4.5,7,10,12))*Sensitivity!$H$14,IF($D$5="Min Damage Multiplier %",(CHOOSE(MATCH($C$5,{"Rare","Epic","Unique","Legendary","Mystic","Mystic (Prime)"},0),2,3,4.5,7,10,12))*Sensitivity!$H$12,IF($D$5="Max Damage Multiplier %",(CHOOSE(MATCH($C$5,{"Rare","Epic","Unique","Legendary","Mystic","Mystic (Prime)"},0),2,3,4.5,7,10,12))*Sensitivity!$H$13,IF($D$5="Boss Monster Damage %",(CHOOSE(MATCH($C$5,{"Rare","Epic","Unique","Legendary","Mystic","Mystic (Prime)"},0),4,6,9,14,20,24))*Sensitivity!$H$9,IF($D$5="Normal Monster Damage %",(CHOOSE(MATCH($C$5,{"Rare","Epic","Unique","Legendary","Mystic","Mystic (Prime)"},0),4,6,9,14,20,24))*Sensitivity!$H$10,IF($D$5="Status Effect Damage %",0,IF($D$5="Damage %",(CHOOSE(MATCH($C$5,{"Rare","Epic","Unique","Legendary","Mystic","Mystic (Prime)"},0),4,6,9,14,20,24))*Sensitivity!$H$7,IF($D$5="Defense Penetration %",(CHOOSE(MATCH($C$5,{"Rare","Epic","Unique","Legendary","Mystic","Mystic (Prime)"},0),2,3,4.5,7,10,12))*Sensitivity!$H$17,0)))))))))))),0)</f>
        <v/>
      </c>
      <c r="F5" s="7" t="inlineStr">
        <is>
          <t>Epic</t>
        </is>
      </c>
      <c r="G5" s="7" t="inlineStr">
        <is>
          <t>Critical Rate %</t>
        </is>
      </c>
      <c r="H5">
        <f>IF($N$5&gt;=2,IF($G$5="Main Stat %",(CHOOSE(MATCH($F$5,{"Rare","Epic","Unique","Legendary","Mystic","Mystic (Prime)"},0),2,3,4.5,7,10,12))*Sensitivity!$H$6,IF($G$5="Damage Taken Decrease %",0,IF($G$5="Defense %",0,IF($G$5="Accuracy",0,IF($G$5="Critical Rate %",(CHOOSE(MATCH($F$5,{"Rare","Epic","Unique","Legendary","Mystic","Mystic (Prime)"},0),2,3,4.5,7,10,12))*Sensitivity!$H$14,IF($G$5="Min Damage Multiplier %",(CHOOSE(MATCH($F$5,{"Rare","Epic","Unique","Legendary","Mystic","Mystic (Prime)"},0),2,3,4.5,7,10,12))*Sensitivity!$H$12,IF($G$5="Max Damage Multiplier %",(CHOOSE(MATCH($F$5,{"Rare","Epic","Unique","Legendary","Mystic","Mystic (Prime)"},0),2,3,4.5,7,10,12))*Sensitivity!$H$13,IF($G$5="Boss Monster Damage %",(CHOOSE(MATCH($F$5,{"Rare","Epic","Unique","Legendary","Mystic","Mystic (Prime)"},0),4,6,9,14,20,24))*Sensitivity!$H$9,IF($G$5="Normal Monster Damage %",(CHOOSE(MATCH($F$5,{"Rare","Epic","Unique","Legendary","Mystic","Mystic (Prime)"},0),4,6,9,14,20,24))*Sensitivity!$H$10,IF($G$5="Status Effect Damage %",0,IF($G$5="Damage %",(CHOOSE(MATCH($F$5,{"Rare","Epic","Unique","Legendary","Mystic","Mystic (Prime)"},0),4,6,9,14,20,24))*Sensitivity!$H$7,IF($G$5="Defense Penetration %",(CHOOSE(MATCH($F$5,{"Rare","Epic","Unique","Legendary","Mystic","Mystic (Prime)"},0),2,3,4.5,7,10,12))*Sensitivity!$H$17,0)))))))))))),0)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Defense %</t>
        </is>
      </c>
      <c r="E6">
        <f>IF($N$6&gt;=1,IF($D$6="Main Stat %",(CHOOSE(MATCH($C$6,{"Rare","Epic","Unique","Legendary","Mystic","Mystic (Prime)"},0),2,3,4.5,7,10,12))*Sensitivity!$H$6,IF($D$6="Damage Taken Decrease %",0,IF($D$6="Defense %",0,IF($D$6="Accuracy",0,IF($D$6="Critical Rate %",(CHOOSE(MATCH($C$6,{"Rare","Epic","Unique","Legendary","Mystic","Mystic (Prime)"},0),2,3,4.5,7,10,12))*Sensitivity!$H$14,IF($D$6="Min Damage Multiplier %",(CHOOSE(MATCH($C$6,{"Rare","Epic","Unique","Legendary","Mystic","Mystic (Prime)"},0),2,3,4.5,7,10,12))*Sensitivity!$H$12,IF($D$6="Max Damage Multiplier %",(CHOOSE(MATCH($C$6,{"Rare","Epic","Unique","Legendary","Mystic","Mystic (Prime)"},0),2,3,4.5,7,10,12))*Sensitivity!$H$13,IF($D$6="Boss Monster Damage %",(CHOOSE(MATCH($C$6,{"Rare","Epic","Unique","Legendary","Mystic","Mystic (Prime)"},0),4,6,9,14,20,24))*Sensitivity!$H$9,IF($D$6="Normal Monster Damage %",(CHOOSE(MATCH($C$6,{"Rare","Epic","Unique","Legendary","Mystic","Mystic (Prime)"},0),4,6,9,14,20,24))*Sensitivity!$H$10,IF($D$6="Status Effect Damage %",0,IF($D$6="Damage %",(CHOOSE(MATCH($C$6,{"Rare","Epic","Unique","Legendary","Mystic","Mystic (Prime)"},0),4,6,9,14,20,24))*Sensitivity!$H$7,IF($D$6="Defense Penetration %",(CHOOSE(MATCH($C$6,{"Rare","Epic","Unique","Legendary","Mystic","Mystic (Prime)"},0),2,3,4.5,7,10,12))*Sensitivity!$H$17,0)))))))))))),0)</f>
        <v/>
      </c>
      <c r="F6" s="7" t="inlineStr">
        <is>
          <t>Rare</t>
        </is>
      </c>
      <c r="G6" s="7" t="inlineStr">
        <is>
          <t>Damage %</t>
        </is>
      </c>
      <c r="H6">
        <f>IF($N$6&gt;=2,IF($G$6="Main Stat %",(CHOOSE(MATCH($F$6,{"Rare","Epic","Unique","Legendary","Mystic","Mystic (Prime)"},0),2,3,4.5,7,10,12))*Sensitivity!$H$6,IF($G$6="Damage Taken Decrease %",0,IF($G$6="Defense %",0,IF($G$6="Accuracy",0,IF($G$6="Critical Rate %",(CHOOSE(MATCH($F$6,{"Rare","Epic","Unique","Legendary","Mystic","Mystic (Prime)"},0),2,3,4.5,7,10,12))*Sensitivity!$H$14,IF($G$6="Min Damage Multiplier %",(CHOOSE(MATCH($F$6,{"Rare","Epic","Unique","Legendary","Mystic","Mystic (Prime)"},0),2,3,4.5,7,10,12))*Sensitivity!$H$12,IF($G$6="Max Damage Multiplier %",(CHOOSE(MATCH($F$6,{"Rare","Epic","Unique","Legendary","Mystic","Mystic (Prime)"},0),2,3,4.5,7,10,12))*Sensitivity!$H$13,IF($G$6="Boss Monster Damage %",(CHOOSE(MATCH($F$6,{"Rare","Epic","Unique","Legendary","Mystic","Mystic (Prime)"},0),4,6,9,14,20,24))*Sensitivity!$H$9,IF($G$6="Normal Monster Damage %",(CHOOSE(MATCH($F$6,{"Rare","Epic","Unique","Legendary","Mystic","Mystic (Prime)"},0),4,6,9,14,20,24))*Sensitivity!$H$10,IF($G$6="Status Effect Damage %",0,IF($G$6="Damage %",(CHOOSE(MATCH($F$6,{"Rare","Epic","Unique","Legendary","Mystic","Mystic (Prime)"},0),4,6,9,14,20,24))*Sensitivity!$H$7,IF($G$6="Defense Penetration %",(CHOOSE(MATCH($F$6,{"Rare","Epic","Unique","Legendary","Mystic","Mystic (Prime)"},0),2,3,4.5,7,10,12))*Sensitivity!$H$17,0)))))))))))),0)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Boss Monster Damage %</t>
        </is>
      </c>
      <c r="E7">
        <f>IF($N$7&gt;=1,IF($D$7="Main Stat %",(CHOOSE(MATCH($C$7,{"Rare","Epic","Unique","Legendary","Mystic","Mystic (Prime)"},0),2,3,4.5,7,10,12))*Sensitivity!$H$6,IF($D$7="Damage Taken Decrease %",0,IF($D$7="Defense %",0,IF($D$7="Accuracy",0,IF($D$7="Critical Rate %",(CHOOSE(MATCH($C$7,{"Rare","Epic","Unique","Legendary","Mystic","Mystic (Prime)"},0),2,3,4.5,7,10,12))*Sensitivity!$H$14,IF($D$7="Min Damage Multiplier %",(CHOOSE(MATCH($C$7,{"Rare","Epic","Unique","Legendary","Mystic","Mystic (Prime)"},0),2,3,4.5,7,10,12))*Sensitivity!$H$12,IF($D$7="Max Damage Multiplier %",(CHOOSE(MATCH($C$7,{"Rare","Epic","Unique","Legendary","Mystic","Mystic (Prime)"},0),2,3,4.5,7,10,12))*Sensitivity!$H$13,IF($D$7="Boss Monster Damage %",(CHOOSE(MATCH($C$7,{"Rare","Epic","Unique","Legendary","Mystic","Mystic (Prime)"},0),4,6,9,14,20,24))*Sensitivity!$H$9,IF($D$7="Normal Monster Damage %",(CHOOSE(MATCH($C$7,{"Rare","Epic","Unique","Legendary","Mystic","Mystic (Prime)"},0),4,6,9,14,20,24))*Sensitivity!$H$10,IF($D$7="Status Effect Damage %",0,IF($D$7="Damage %",(CHOOSE(MATCH($C$7,{"Rare","Epic","Unique","Legendary","Mystic","Mystic (Prime)"},0),4,6,9,14,20,24))*Sensitivity!$H$7,IF($D$7="Defense Penetration %",(CHOOSE(MATCH($C$7,{"Rare","Epic","Unique","Legendary","Mystic","Mystic (Prime)"},0),2,3,4.5,7,10,12))*Sensitivity!$H$17,0)))))))))))),0)</f>
        <v/>
      </c>
      <c r="F7" s="7" t="inlineStr">
        <is>
          <t>Rare</t>
        </is>
      </c>
      <c r="G7" s="7" t="inlineStr">
        <is>
          <t>Damage Taken Decrease %</t>
        </is>
      </c>
      <c r="H7">
        <f>IF($N$7&gt;=2,IF($G$7="Main Stat %",(CHOOSE(MATCH($F$7,{"Rare","Epic","Unique","Legendary","Mystic","Mystic (Prime)"},0),2,3,4.5,7,10,12))*Sensitivity!$H$6,IF($G$7="Damage Taken Decrease %",0,IF($G$7="Defense %",0,IF($G$7="Accuracy",0,IF($G$7="Critical Rate %",(CHOOSE(MATCH($F$7,{"Rare","Epic","Unique","Legendary","Mystic","Mystic (Prime)"},0),2,3,4.5,7,10,12))*Sensitivity!$H$14,IF($G$7="Min Damage Multiplier %",(CHOOSE(MATCH($F$7,{"Rare","Epic","Unique","Legendary","Mystic","Mystic (Prime)"},0),2,3,4.5,7,10,12))*Sensitivity!$H$12,IF($G$7="Max Damage Multiplier %",(CHOOSE(MATCH($F$7,{"Rare","Epic","Unique","Legendary","Mystic","Mystic (Prime)"},0),2,3,4.5,7,10,12))*Sensitivity!$H$13,IF($G$7="Boss Monster Damage %",(CHOOSE(MATCH($F$7,{"Rare","Epic","Unique","Legendary","Mystic","Mystic (Prime)"},0),4,6,9,14,20,24))*Sensitivity!$H$9,IF($G$7="Normal Monster Damage %",(CHOOSE(MATCH($F$7,{"Rare","Epic","Unique","Legendary","Mystic","Mystic (Prime)"},0),4,6,9,14,20,24))*Sensitivity!$H$10,IF($G$7="Status Effect Damage %",0,IF($G$7="Damage %",(CHOOSE(MATCH($F$7,{"Rare","Epic","Unique","Legendary","Mystic","Mystic (Prime)"},0),4,6,9,14,20,24))*Sensitivity!$H$7,IF($G$7="Defense Penetration %",(CHOOSE(MATCH($F$7,{"Rare","Epic","Unique","Legendary","Mystic","Mystic (Prime)"},0),2,3,4.5,7,10,12))*Sensitivity!$H$17,0)))))))))))),0)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Mystic</t>
        </is>
      </c>
      <c r="D8" s="7" t="inlineStr">
        <is>
          <t>Critical Rate %</t>
        </is>
      </c>
      <c r="E8">
        <f>IF($N$8&gt;=1,IF($D$8="Main Stat %",(CHOOSE(MATCH($C$8,{"Rare","Epic","Unique","Legendary","Mystic","Mystic (Prime)"},0),2,3,4.5,7,10,12))*Sensitivity!$H$6,IF($D$8="Damage Taken Decrease %",0,IF($D$8="Defense %",0,IF($D$8="Accuracy",0,IF($D$8="Critical Rate %",(CHOOSE(MATCH($C$8,{"Rare","Epic","Unique","Legendary","Mystic","Mystic (Prime)"},0),2,3,4.5,7,10,12))*Sensitivity!$H$14,IF($D$8="Min Damage Multiplier %",(CHOOSE(MATCH($C$8,{"Rare","Epic","Unique","Legendary","Mystic","Mystic (Prime)"},0),2,3,4.5,7,10,12))*Sensitivity!$H$12,IF($D$8="Max Damage Multiplier %",(CHOOSE(MATCH($C$8,{"Rare","Epic","Unique","Legendary","Mystic","Mystic (Prime)"},0),2,3,4.5,7,10,12))*Sensitivity!$H$13,IF($D$8="Boss Monster Damage %",(CHOOSE(MATCH($C$8,{"Rare","Epic","Unique","Legendary","Mystic","Mystic (Prime)"},0),4,6,9,14,20,24))*Sensitivity!$H$9,IF($D$8="Normal Monster Damage %",(CHOOSE(MATCH($C$8,{"Rare","Epic","Unique","Legendary","Mystic","Mystic (Prime)"},0),4,6,9,14,20,24))*Sensitivity!$H$10,IF($D$8="Status Effect Damage %",0,IF($D$8="Damage %",(CHOOSE(MATCH($C$8,{"Rare","Epic","Unique","Legendary","Mystic","Mystic (Prime)"},0),4,6,9,14,20,24))*Sensitivity!$H$7,IF($D$8="Defense Penetration %",(CHOOSE(MATCH($C$8,{"Rare","Epic","Unique","Legendary","Mystic","Mystic (Prime)"},0),2,3,4.5,7,10,12))*Sensitivity!$H$17,0)))))))))))),0)</f>
        <v/>
      </c>
      <c r="F8" s="7" t="inlineStr">
        <is>
          <t>Rare</t>
        </is>
      </c>
      <c r="G8" s="7" t="inlineStr">
        <is>
          <t>Status Effect Damage %</t>
        </is>
      </c>
      <c r="H8">
        <f>IF($N$8&gt;=2,IF($G$8="Main Stat %",(CHOOSE(MATCH($F$8,{"Rare","Epic","Unique","Legendary","Mystic","Mystic (Prime)"},0),2,3,4.5,7,10,12))*Sensitivity!$H$6,IF($G$8="Damage Taken Decrease %",0,IF($G$8="Defense %",0,IF($G$8="Accuracy",0,IF($G$8="Critical Rate %",(CHOOSE(MATCH($F$8,{"Rare","Epic","Unique","Legendary","Mystic","Mystic (Prime)"},0),2,3,4.5,7,10,12))*Sensitivity!$H$14,IF($G$8="Min Damage Multiplier %",(CHOOSE(MATCH($F$8,{"Rare","Epic","Unique","Legendary","Mystic","Mystic (Prime)"},0),2,3,4.5,7,10,12))*Sensitivity!$H$12,IF($G$8="Max Damage Multiplier %",(CHOOSE(MATCH($F$8,{"Rare","Epic","Unique","Legendary","Mystic","Mystic (Prime)"},0),2,3,4.5,7,10,12))*Sensitivity!$H$13,IF($G$8="Boss Monster Damage %",(CHOOSE(MATCH($F$8,{"Rare","Epic","Unique","Legendary","Mystic","Mystic (Prime)"},0),4,6,9,14,20,24))*Sensitivity!$H$9,IF($G$8="Normal Monster Damage %",(CHOOSE(MATCH($F$8,{"Rare","Epic","Unique","Legendary","Mystic","Mystic (Prime)"},0),4,6,9,14,20,24))*Sensitivity!$H$10,IF($G$8="Status Effect Damage %",0,IF($G$8="Damage %",(CHOOSE(MATCH($F$8,{"Rare","Epic","Unique","Legendary","Mystic","Mystic (Prime)"},0),4,6,9,14,20,24))*Sensitivity!$H$7,IF($G$8="Defense Penetration %",(CHOOSE(MATCH($F$8,{"Rare","Epic","Unique","Legendary","Mystic","Mystic (Prime)"},0),2,3,4.5,7,10,12))*Sensitivity!$H$17,0)))))))))))),0)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4</v>
      </c>
      <c r="C10" s="7" t="inlineStr">
        <is>
          <t>Mystic (Prime)</t>
        </is>
      </c>
      <c r="D10" s="7" t="inlineStr">
        <is>
          <t>Min Damage Multiplier %</t>
        </is>
      </c>
      <c r="E10">
        <f>IF($N$10&gt;=1,IF($D$10="Main Stat %",(CHOOSE(MATCH($C$10,{"Rare","Epic","Unique","Legendary","Mystic","Mystic (Prime)"},0),2,3,4.5,7,10,12))*Sensitivity!$H$6,IF($D$10="Damage Taken Decrease %",0,IF($D$10="Defense %",0,IF($D$10="Accuracy",0,IF($D$10="Critical Rate %",(CHOOSE(MATCH($C$10,{"Rare","Epic","Unique","Legendary","Mystic","Mystic (Prime)"},0),2,3,4.5,7,10,12))*Sensitivity!$H$14,IF($D$10="Min Damage Multiplier %",(CHOOSE(MATCH($C$10,{"Rare","Epic","Unique","Legendary","Mystic","Mystic (Prime)"},0),2,3,4.5,7,10,12))*Sensitivity!$H$12,IF($D$10="Max Damage Multiplier %",(CHOOSE(MATCH($C$10,{"Rare","Epic","Unique","Legendary","Mystic","Mystic (Prime)"},0),2,3,4.5,7,10,12))*Sensitivity!$H$13,IF($D$10="Boss Monster Damage %",(CHOOSE(MATCH($C$10,{"Rare","Epic","Unique","Legendary","Mystic","Mystic (Prime)"},0),4,6,9,14,20,24))*Sensitivity!$H$9,IF($D$10="Normal Monster Damage %",(CHOOSE(MATCH($C$10,{"Rare","Epic","Unique","Legendary","Mystic","Mystic (Prime)"},0),4,6,9,14,20,24))*Sensitivity!$H$10,IF($D$10="Status Effect Damage %",0,IF($D$10="Damage %",(CHOOSE(MATCH($C$10,{"Rare","Epic","Unique","Legendary","Mystic","Mystic (Prime)"},0),4,6,9,14,20,24))*Sensitivity!$H$7,IF($D$10="Defense Penetration %",(CHOOSE(MATCH($C$10,{"Rare","Epic","Unique","Legendary","Mystic","Mystic (Prime)"},0),2,3,4.5,7,10,12))*Sensitivity!$H$17,0)))))))))))),0)</f>
        <v/>
      </c>
      <c r="F10" s="7" t="inlineStr">
        <is>
          <t>Unique</t>
        </is>
      </c>
      <c r="G10" s="7" t="inlineStr">
        <is>
          <t>Max Damage Multiplier %</t>
        </is>
      </c>
      <c r="H10">
        <f>IF($N$10&gt;=2,IF($G$10="Main Stat %",(CHOOSE(MATCH($F$10,{"Rare","Epic","Unique","Legendary","Mystic","Mystic (Prime)"},0),2,3,4.5,7,10,12))*Sensitivity!$H$6,IF($G$10="Damage Taken Decrease %",0,IF($G$10="Defense %",0,IF($G$10="Accuracy",0,IF($G$10="Critical Rate %",(CHOOSE(MATCH($F$10,{"Rare","Epic","Unique","Legendary","Mystic","Mystic (Prime)"},0),2,3,4.5,7,10,12))*Sensitivity!$H$14,IF($G$10="Min Damage Multiplier %",(CHOOSE(MATCH($F$10,{"Rare","Epic","Unique","Legendary","Mystic","Mystic (Prime)"},0),2,3,4.5,7,10,12))*Sensitivity!$H$12,IF($G$10="Max Damage Multiplier %",(CHOOSE(MATCH($F$10,{"Rare","Epic","Unique","Legendary","Mystic","Mystic (Prime)"},0),2,3,4.5,7,10,12))*Sensitivity!$H$13,IF($G$10="Boss Monster Damage %",(CHOOSE(MATCH($F$10,{"Rare","Epic","Unique","Legendary","Mystic","Mystic (Prime)"},0),4,6,9,14,20,24))*Sensitivity!$H$9,IF($G$10="Normal Monster Damage %",(CHOOSE(MATCH($F$10,{"Rare","Epic","Unique","Legendary","Mystic","Mystic (Prime)"},0),4,6,9,14,20,24))*Sensitivity!$H$10,IF($G$10="Status Effect Damage %",0,IF($G$10="Damage %",(CHOOSE(MATCH($F$10,{"Rare","Epic","Unique","Legendary","Mystic","Mystic (Prime)"},0),4,6,9,14,20,24))*Sensitivity!$H$7,IF($G$10="Defense Penetration %",(CHOOSE(MATCH($F$10,{"Rare","Epic","Unique","Legendary","Mystic","Mystic (Prime)"},0),2,3,4.5,7,10,12))*Sensitivity!$H$17,0)))))))))))),0)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4</v>
      </c>
      <c r="C11" s="7" t="inlineStr">
        <is>
          <t>Mystic</t>
        </is>
      </c>
      <c r="D11" s="7" t="inlineStr">
        <is>
          <t>Main Stat %</t>
        </is>
      </c>
      <c r="E11">
        <f>IF($N$11&gt;=1,IF($D$11="Main Stat %",(CHOOSE(MATCH($C$11,{"Rare","Epic","Unique","Legendary","Mystic","Mystic (Prime)"},0),2,3,4.5,7,10,12))*Sensitivity!$H$6,IF($D$11="Damage Taken Decrease %",0,IF($D$11="Defense %",0,IF($D$11="Accuracy",0,IF($D$11="Critical Rate %",(CHOOSE(MATCH($C$11,{"Rare","Epic","Unique","Legendary","Mystic","Mystic (Prime)"},0),2,3,4.5,7,10,12))*Sensitivity!$H$14,IF($D$11="Min Damage Multiplier %",(CHOOSE(MATCH($C$11,{"Rare","Epic","Unique","Legendary","Mystic","Mystic (Prime)"},0),2,3,4.5,7,10,12))*Sensitivity!$H$12,IF($D$11="Max Damage Multiplier %",(CHOOSE(MATCH($C$11,{"Rare","Epic","Unique","Legendary","Mystic","Mystic (Prime)"},0),2,3,4.5,7,10,12))*Sensitivity!$H$13,IF($D$11="Boss Monster Damage %",(CHOOSE(MATCH($C$11,{"Rare","Epic","Unique","Legendary","Mystic","Mystic (Prime)"},0),4,6,9,14,20,24))*Sensitivity!$H$9,IF($D$11="Normal Monster Damage %",(CHOOSE(MATCH($C$11,{"Rare","Epic","Unique","Legendary","Mystic","Mystic (Prime)"},0),4,6,9,14,20,24))*Sensitivity!$H$10,IF($D$11="Status Effect Damage %",0,IF($D$11="Damage %",(CHOOSE(MATCH($C$11,{"Rare","Epic","Unique","Legendary","Mystic","Mystic (Prime)"},0),4,6,9,14,20,24))*Sensitivity!$H$7,IF($D$11="Defense Penetration %",(CHOOSE(MATCH($C$11,{"Rare","Epic","Unique","Legendary","Mystic","Mystic (Prime)"},0),2,3,4.5,7,10,12))*Sensitivity!$H$17,0)))))))))))),0)</f>
        <v/>
      </c>
      <c r="F11" s="7" t="inlineStr">
        <is>
          <t>Legendary</t>
        </is>
      </c>
      <c r="G11" s="7" t="inlineStr">
        <is>
          <t>Critical Rate %</t>
        </is>
      </c>
      <c r="H11">
        <f>IF($N$11&gt;=2,IF($G$11="Main Stat %",(CHOOSE(MATCH($F$11,{"Rare","Epic","Unique","Legendary","Mystic","Mystic (Prime)"},0),2,3,4.5,7,10,12))*Sensitivity!$H$6,IF($G$11="Damage Taken Decrease %",0,IF($G$11="Defense %",0,IF($G$11="Accuracy",0,IF($G$11="Critical Rate %",(CHOOSE(MATCH($F$11,{"Rare","Epic","Unique","Legendary","Mystic","Mystic (Prime)"},0),2,3,4.5,7,10,12))*Sensitivity!$H$14,IF($G$11="Min Damage Multiplier %",(CHOOSE(MATCH($F$11,{"Rare","Epic","Unique","Legendary","Mystic","Mystic (Prime)"},0),2,3,4.5,7,10,12))*Sensitivity!$H$12,IF($G$11="Max Damage Multiplier %",(CHOOSE(MATCH($F$11,{"Rare","Epic","Unique","Legendary","Mystic","Mystic (Prime)"},0),2,3,4.5,7,10,12))*Sensitivity!$H$13,IF($G$11="Boss Monster Damage %",(CHOOSE(MATCH($F$11,{"Rare","Epic","Unique","Legendary","Mystic","Mystic (Prime)"},0),4,6,9,14,20,24))*Sensitivity!$H$9,IF($G$11="Normal Monster Damage %",(CHOOSE(MATCH($F$11,{"Rare","Epic","Unique","Legendary","Mystic","Mystic (Prime)"},0),4,6,9,14,20,24))*Sensitivity!$H$10,IF($G$11="Status Effect Damage %",0,IF($G$11="Damage %",(CHOOSE(MATCH($F$11,{"Rare","Epic","Unique","Legendary","Mystic","Mystic (Prime)"},0),4,6,9,14,20,24))*Sensitivity!$H$7,IF($G$11="Defense Penetration %",(CHOOSE(MATCH($F$11,{"Rare","Epic","Unique","Legendary","Mystic","Mystic (Prime)"},0),2,3,4.5,7,10,12))*Sensitivity!$H$17,0)))))))))))),0)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5</v>
      </c>
      <c r="C12" s="7" t="inlineStr">
        <is>
          <t>Rare</t>
        </is>
      </c>
      <c r="D12" s="7" t="inlineStr">
        <is>
          <t>Max Damage Multiplier %</t>
        </is>
      </c>
      <c r="E12">
        <f>IF($N$12&gt;=1,IF($D$12="Main Stat %",(CHOOSE(MATCH($C$12,{"Rare","Epic","Unique","Legendary","Mystic","Mystic (Prime)"},0),2,3,4.5,7,10,12))*Sensitivity!$H$6,IF($D$12="Damage Taken Decrease %",0,IF($D$12="Defense %",0,IF($D$12="Accuracy",0,IF($D$12="Critical Rate %",(CHOOSE(MATCH($C$12,{"Rare","Epic","Unique","Legendary","Mystic","Mystic (Prime)"},0),2,3,4.5,7,10,12))*Sensitivity!$H$14,IF($D$12="Min Damage Multiplier %",(CHOOSE(MATCH($C$12,{"Rare","Epic","Unique","Legendary","Mystic","Mystic (Prime)"},0),2,3,4.5,7,10,12))*Sensitivity!$H$12,IF($D$12="Max Damage Multiplier %",(CHOOSE(MATCH($C$12,{"Rare","Epic","Unique","Legendary","Mystic","Mystic (Prime)"},0),2,3,4.5,7,10,12))*Sensitivity!$H$13,IF($D$12="Boss Monster Damage %",(CHOOSE(MATCH($C$12,{"Rare","Epic","Unique","Legendary","Mystic","Mystic (Prime)"},0),4,6,9,14,20,24))*Sensitivity!$H$9,IF($D$12="Normal Monster Damage %",(CHOOSE(MATCH($C$12,{"Rare","Epic","Unique","Legendary","Mystic","Mystic (Prime)"},0),4,6,9,14,20,24))*Sensitivity!$H$10,IF($D$12="Status Effect Damage %",0,IF($D$12="Damage %",(CHOOSE(MATCH($C$12,{"Rare","Epic","Unique","Legendary","Mystic","Mystic (Prime)"},0),4,6,9,14,20,24))*Sensitivity!$H$7,IF($D$12="Defense Penetration %",(CHOOSE(MATCH($C$12,{"Rare","Epic","Unique","Legendary","Mystic","Mystic (Prime)"},0),2,3,4.5,7,10,12))*Sensitivity!$H$17,0)))))))))))),0)</f>
        <v/>
      </c>
      <c r="F12" s="7" t="inlineStr">
        <is>
          <t>Legendary</t>
        </is>
      </c>
      <c r="G12" s="7" t="inlineStr">
        <is>
          <t>Main Stat %</t>
        </is>
      </c>
      <c r="H12">
        <f>IF($N$12&gt;=2,IF($G$12="Main Stat %",(CHOOSE(MATCH($F$12,{"Rare","Epic","Unique","Legendary","Mystic","Mystic (Prime)"},0),2,3,4.5,7,10,12))*Sensitivity!$H$6,IF($G$12="Damage Taken Decrease %",0,IF($G$12="Defense %",0,IF($G$12="Accuracy",0,IF($G$12="Critical Rate %",(CHOOSE(MATCH($F$12,{"Rare","Epic","Unique","Legendary","Mystic","Mystic (Prime)"},0),2,3,4.5,7,10,12))*Sensitivity!$H$14,IF($G$12="Min Damage Multiplier %",(CHOOSE(MATCH($F$12,{"Rare","Epic","Unique","Legendary","Mystic","Mystic (Prime)"},0),2,3,4.5,7,10,12))*Sensitivity!$H$12,IF($G$12="Max Damage Multiplier %",(CHOOSE(MATCH($F$12,{"Rare","Epic","Unique","Legendary","Mystic","Mystic (Prime)"},0),2,3,4.5,7,10,12))*Sensitivity!$H$13,IF($G$12="Boss Monster Damage %",(CHOOSE(MATCH($F$12,{"Rare","Epic","Unique","Legendary","Mystic","Mystic (Prime)"},0),4,6,9,14,20,24))*Sensitivity!$H$9,IF($G$12="Normal Monster Damage %",(CHOOSE(MATCH($F$12,{"Rare","Epic","Unique","Legendary","Mystic","Mystic (Prime)"},0),4,6,9,14,20,24))*Sensitivity!$H$10,IF($G$12="Status Effect Damage %",0,IF($G$12="Damage %",(CHOOSE(MATCH($F$12,{"Rare","Epic","Unique","Legendary","Mystic","Mystic (Prime)"},0),4,6,9,14,20,24))*Sensitivity!$H$7,IF($G$12="Defense Penetration %",(CHOOSE(MATCH($F$12,{"Rare","Epic","Unique","Legendary","Mystic","Mystic (Prime)"},0),2,3,4.5,7,10,12))*Sensitivity!$H$17,0)))))))))))),0)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4</v>
      </c>
      <c r="C13" s="7" t="inlineStr">
        <is>
          <t>Unique</t>
        </is>
      </c>
      <c r="D13" s="7" t="inlineStr">
        <is>
          <t>Boss Monster Damage %</t>
        </is>
      </c>
      <c r="E13">
        <f>IF($N$13&gt;=1,IF($D$13="Main Stat %",(CHOOSE(MATCH($C$13,{"Rare","Epic","Unique","Legendary","Mystic","Mystic (Prime)"},0),2,3,4.5,7,10,12))*Sensitivity!$H$6,IF($D$13="Damage Taken Decrease %",0,IF($D$13="Defense %",0,IF($D$13="Accuracy",0,IF($D$13="Critical Rate %",(CHOOSE(MATCH($C$13,{"Rare","Epic","Unique","Legendary","Mystic","Mystic (Prime)"},0),2,3,4.5,7,10,12))*Sensitivity!$H$14,IF($D$13="Min Damage Multiplier %",(CHOOSE(MATCH($C$13,{"Rare","Epic","Unique","Legendary","Mystic","Mystic (Prime)"},0),2,3,4.5,7,10,12))*Sensitivity!$H$12,IF($D$13="Max Damage Multiplier %",(CHOOSE(MATCH($C$13,{"Rare","Epic","Unique","Legendary","Mystic","Mystic (Prime)"},0),2,3,4.5,7,10,12))*Sensitivity!$H$13,IF($D$13="Boss Monster Damage %",(CHOOSE(MATCH($C$13,{"Rare","Epic","Unique","Legendary","Mystic","Mystic (Prime)"},0),4,6,9,14,20,24))*Sensitivity!$H$9,IF($D$13="Normal Monster Damage %",(CHOOSE(MATCH($C$13,{"Rare","Epic","Unique","Legendary","Mystic","Mystic (Prime)"},0),4,6,9,14,20,24))*Sensitivity!$H$10,IF($D$13="Status Effect Damage %",0,IF($D$13="Damage %",(CHOOSE(MATCH($C$13,{"Rare","Epic","Unique","Legendary","Mystic","Mystic (Prime)"},0),4,6,9,14,20,24))*Sensitivity!$H$7,IF($D$13="Defense Penetration %",(CHOOSE(MATCH($C$13,{"Rare","Epic","Unique","Legendary","Mystic","Mystic (Prime)"},0),2,3,4.5,7,10,12))*Sensitivity!$H$17,0)))))))))))),0)</f>
        <v/>
      </c>
      <c r="F13" s="7" t="inlineStr">
        <is>
          <t>Rare</t>
        </is>
      </c>
      <c r="G13" s="7" t="inlineStr">
        <is>
          <t>Accuracy</t>
        </is>
      </c>
      <c r="H13">
        <f>IF($N$13&gt;=2,IF($G$13="Main Stat %",(CHOOSE(MATCH($F$13,{"Rare","Epic","Unique","Legendary","Mystic","Mystic (Prime)"},0),2,3,4.5,7,10,12))*Sensitivity!$H$6,IF($G$13="Damage Taken Decrease %",0,IF($G$13="Defense %",0,IF($G$13="Accuracy",0,IF($G$13="Critical Rate %",(CHOOSE(MATCH($F$13,{"Rare","Epic","Unique","Legendary","Mystic","Mystic (Prime)"},0),2,3,4.5,7,10,12))*Sensitivity!$H$14,IF($G$13="Min Damage Multiplier %",(CHOOSE(MATCH($F$13,{"Rare","Epic","Unique","Legendary","Mystic","Mystic (Prime)"},0),2,3,4.5,7,10,12))*Sensitivity!$H$12,IF($G$13="Max Damage Multiplier %",(CHOOSE(MATCH($F$13,{"Rare","Epic","Unique","Legendary","Mystic","Mystic (Prime)"},0),2,3,4.5,7,10,12))*Sensitivity!$H$13,IF($G$13="Boss Monster Damage %",(CHOOSE(MATCH($F$13,{"Rare","Epic","Unique","Legendary","Mystic","Mystic (Prime)"},0),4,6,9,14,20,24))*Sensitivity!$H$9,IF($G$13="Normal Monster Damage %",(CHOOSE(MATCH($F$13,{"Rare","Epic","Unique","Legendary","Mystic","Mystic (Prime)"},0),4,6,9,14,20,24))*Sensitivity!$H$10,IF($G$13="Status Effect Damage %",0,IF($G$13="Damage %",(CHOOSE(MATCH($F$13,{"Rare","Epic","Unique","Legendary","Mystic","Mystic (Prime)"},0),4,6,9,14,20,24))*Sensitivity!$H$7,IF($G$13="Defense Penetration %",(CHOOSE(MATCH($F$13,{"Rare","Epic","Unique","Legendary","Mystic","Mystic (Prime)"},0),2,3,4.5,7,10,12))*Sensitivity!$H$17,0)))))))))))),0)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4</v>
      </c>
      <c r="C14" s="7" t="inlineStr">
        <is>
          <t>Legendary</t>
        </is>
      </c>
      <c r="D14" s="7" t="inlineStr">
        <is>
          <t>Normal Monster Damage %</t>
        </is>
      </c>
      <c r="E14">
        <f>IF($N$14&gt;=1,IF($D$14="Main Stat %",(CHOOSE(MATCH($C$14,{"Rare","Epic","Unique","Legendary","Mystic","Mystic (Prime)"},0),2,3,4.5,7,10,12))*Sensitivity!$H$6,IF($D$14="Damage Taken Decrease %",0,IF($D$14="Defense %",0,IF($D$14="Accuracy",0,IF($D$14="Critical Rate %",(CHOOSE(MATCH($C$14,{"Rare","Epic","Unique","Legendary","Mystic","Mystic (Prime)"},0),2,3,4.5,7,10,12))*Sensitivity!$H$14,IF($D$14="Min Damage Multiplier %",(CHOOSE(MATCH($C$14,{"Rare","Epic","Unique","Legendary","Mystic","Mystic (Prime)"},0),2,3,4.5,7,10,12))*Sensitivity!$H$12,IF($D$14="Max Damage Multiplier %",(CHOOSE(MATCH($C$14,{"Rare","Epic","Unique","Legendary","Mystic","Mystic (Prime)"},0),2,3,4.5,7,10,12))*Sensitivity!$H$13,IF($D$14="Boss Monster Damage %",(CHOOSE(MATCH($C$14,{"Rare","Epic","Unique","Legendary","Mystic","Mystic (Prime)"},0),4,6,9,14,20,24))*Sensitivity!$H$9,IF($D$14="Normal Monster Damage %",(CHOOSE(MATCH($C$14,{"Rare","Epic","Unique","Legendary","Mystic","Mystic (Prime)"},0),4,6,9,14,20,24))*Sensitivity!$H$10,IF($D$14="Status Effect Damage %",0,IF($D$14="Damage %",(CHOOSE(MATCH($C$14,{"Rare","Epic","Unique","Legendary","Mystic","Mystic (Prime)"},0),4,6,9,14,20,24))*Sensitivity!$H$7,IF($D$14="Defense Penetration %",(CHOOSE(MATCH($C$14,{"Rare","Epic","Unique","Legendary","Mystic","Mystic (Prime)"},0),2,3,4.5,7,10,12))*Sensitivity!$H$17,0)))))))))))),0)</f>
        <v/>
      </c>
      <c r="F14" s="7" t="inlineStr">
        <is>
          <t>Epic</t>
        </is>
      </c>
      <c r="G14" s="7" t="inlineStr">
        <is>
          <t>Normal Monster Damage %</t>
        </is>
      </c>
      <c r="H14">
        <f>IF($N$14&gt;=2,IF($G$14="Main Stat %",(CHOOSE(MATCH($F$14,{"Rare","Epic","Unique","Legendary","Mystic","Mystic (Prime)"},0),2,3,4.5,7,10,12))*Sensitivity!$H$6,IF($G$14="Damage Taken Decrease %",0,IF($G$14="Defense %",0,IF($G$14="Accuracy",0,IF($G$14="Critical Rate %",(CHOOSE(MATCH($F$14,{"Rare","Epic","Unique","Legendary","Mystic","Mystic (Prime)"},0),2,3,4.5,7,10,12))*Sensitivity!$H$14,IF($G$14="Min Damage Multiplier %",(CHOOSE(MATCH($F$14,{"Rare","Epic","Unique","Legendary","Mystic","Mystic (Prime)"},0),2,3,4.5,7,10,12))*Sensitivity!$H$12,IF($G$14="Max Damage Multiplier %",(CHOOSE(MATCH($F$14,{"Rare","Epic","Unique","Legendary","Mystic","Mystic (Prime)"},0),2,3,4.5,7,10,12))*Sensitivity!$H$13,IF($G$14="Boss Monster Damage %",(CHOOSE(MATCH($F$14,{"Rare","Epic","Unique","Legendary","Mystic","Mystic (Prime)"},0),4,6,9,14,20,24))*Sensitivity!$H$9,IF($G$14="Normal Monster Damage %",(CHOOSE(MATCH($F$14,{"Rare","Epic","Unique","Legendary","Mystic","Mystic (Prime)"},0),4,6,9,14,20,24))*Sensitivity!$H$10,IF($G$14="Status Effect Damage %",0,IF($G$14="Damage %",(CHOOSE(MATCH($F$14,{"Rare","Epic","Unique","Legendary","Mystic","Mystic (Prime)"},0),4,6,9,14,20,24))*Sensitivity!$H$7,IF($G$14="Defense Penetration %",(CHOOSE(MATCH($F$14,{"Rare","Epic","Unique","Legendary","Mystic","Mystic (Prime)"},0),2,3,4.5,7,10,12))*Sensitivity!$H$17,0)))))))))))),0)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4</v>
      </c>
      <c r="C15" s="7" t="inlineStr">
        <is>
          <t>Unique</t>
        </is>
      </c>
      <c r="D15" s="7" t="inlineStr">
        <is>
          <t>Main Stat %</t>
        </is>
      </c>
      <c r="E15">
        <f>IF($N$15&gt;=1,IF($D$15="Main Stat %",(CHOOSE(MATCH($C$15,{"Rare","Epic","Unique","Legendary","Mystic","Mystic (Prime)"},0),2,3,4.5,7,10,12))*Sensitivity!$H$6,IF($D$15="Damage Taken Decrease %",0,IF($D$15="Defense %",0,IF($D$15="Accuracy",0,IF($D$15="Critical Rate %",(CHOOSE(MATCH($C$15,{"Rare","Epic","Unique","Legendary","Mystic","Mystic (Prime)"},0),2,3,4.5,7,10,12))*Sensitivity!$H$14,IF($D$15="Min Damage Multiplier %",(CHOOSE(MATCH($C$15,{"Rare","Epic","Unique","Legendary","Mystic","Mystic (Prime)"},0),2,3,4.5,7,10,12))*Sensitivity!$H$12,IF($D$15="Max Damage Multiplier %",(CHOOSE(MATCH($C$15,{"Rare","Epic","Unique","Legendary","Mystic","Mystic (Prime)"},0),2,3,4.5,7,10,12))*Sensitivity!$H$13,IF($D$15="Boss Monster Damage %",(CHOOSE(MATCH($C$15,{"Rare","Epic","Unique","Legendary","Mystic","Mystic (Prime)"},0),4,6,9,14,20,24))*Sensitivity!$H$9,IF($D$15="Normal Monster Damage %",(CHOOSE(MATCH($C$15,{"Rare","Epic","Unique","Legendary","Mystic","Mystic (Prime)"},0),4,6,9,14,20,24))*Sensitivity!$H$10,IF($D$15="Status Effect Damage %",0,IF($D$15="Damage %",(CHOOSE(MATCH($C$15,{"Rare","Epic","Unique","Legendary","Mystic","Mystic (Prime)"},0),4,6,9,14,20,24))*Sensitivity!$H$7,IF($D$15="Defense Penetration %",(CHOOSE(MATCH($C$15,{"Rare","Epic","Unique","Legendary","Mystic","Mystic (Prime)"},0),2,3,4.5,7,10,12))*Sensitivity!$H$17,0)))))))))))),0)</f>
        <v/>
      </c>
      <c r="F15" s="7" t="inlineStr">
        <is>
          <t>Mystic (Prime)</t>
        </is>
      </c>
      <c r="G15" s="7" t="inlineStr">
        <is>
          <t>Main Stat %</t>
        </is>
      </c>
      <c r="H15">
        <f>IF($N$15&gt;=2,IF($G$15="Main Stat %",(CHOOSE(MATCH($F$15,{"Rare","Epic","Unique","Legendary","Mystic","Mystic (Prime)"},0),2,3,4.5,7,10,12))*Sensitivity!$H$6,IF($G$15="Damage Taken Decrease %",0,IF($G$15="Defense %",0,IF($G$15="Accuracy",0,IF($G$15="Critical Rate %",(CHOOSE(MATCH($F$15,{"Rare","Epic","Unique","Legendary","Mystic","Mystic (Prime)"},0),2,3,4.5,7,10,12))*Sensitivity!$H$14,IF($G$15="Min Damage Multiplier %",(CHOOSE(MATCH($F$15,{"Rare","Epic","Unique","Legendary","Mystic","Mystic (Prime)"},0),2,3,4.5,7,10,12))*Sensitivity!$H$12,IF($G$15="Max Damage Multiplier %",(CHOOSE(MATCH($F$15,{"Rare","Epic","Unique","Legendary","Mystic","Mystic (Prime)"},0),2,3,4.5,7,10,12))*Sensitivity!$H$13,IF($G$15="Boss Monster Damage %",(CHOOSE(MATCH($F$15,{"Rare","Epic","Unique","Legendary","Mystic","Mystic (Prime)"},0),4,6,9,14,20,24))*Sensitivity!$H$9,IF($G$15="Normal Monster Damage %",(CHOOSE(MATCH($F$15,{"Rare","Epic","Unique","Legendary","Mystic","Mystic (Prime)"},0),4,6,9,14,20,24))*Sensitivity!$H$10,IF($G$15="Status Effect Damage %",0,IF($G$15="Damage %",(CHOOSE(MATCH($F$15,{"Rare","Epic","Unique","Legendary","Mystic","Mystic (Prime)"},0),4,6,9,14,20,24))*Sensitivity!$H$7,IF($G$15="Defense Penetration %",(CHOOSE(MATCH($F$15,{"Rare","Epic","Unique","Legendary","Mystic","Mystic (Prime)"},0),2,3,4.5,7,10,12))*Sensitivity!$H$17,0)))))))))))),0)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4</v>
      </c>
      <c r="C16" s="7" t="inlineStr">
        <is>
          <t>Unique</t>
        </is>
      </c>
      <c r="D16" s="7" t="inlineStr">
        <is>
          <t>Main Stat %</t>
        </is>
      </c>
      <c r="E16">
        <f>IF($N$16&gt;=1,IF($D$16="Main Stat %",(CHOOSE(MATCH($C$16,{"Rare","Epic","Unique","Legendary","Mystic","Mystic (Prime)"},0),2,3,4.5,7,10,12))*Sensitivity!$H$6,IF($D$16="Damage Taken Decrease %",0,IF($D$16="Defense %",0,IF($D$16="Accuracy",0,IF($D$16="Critical Rate %",(CHOOSE(MATCH($C$16,{"Rare","Epic","Unique","Legendary","Mystic","Mystic (Prime)"},0),2,3,4.5,7,10,12))*Sensitivity!$H$14,IF($D$16="Min Damage Multiplier %",(CHOOSE(MATCH($C$16,{"Rare","Epic","Unique","Legendary","Mystic","Mystic (Prime)"},0),2,3,4.5,7,10,12))*Sensitivity!$H$12,IF($D$16="Max Damage Multiplier %",(CHOOSE(MATCH($C$16,{"Rare","Epic","Unique","Legendary","Mystic","Mystic (Prime)"},0),2,3,4.5,7,10,12))*Sensitivity!$H$13,IF($D$16="Boss Monster Damage %",(CHOOSE(MATCH($C$16,{"Rare","Epic","Unique","Legendary","Mystic","Mystic (Prime)"},0),4,6,9,14,20,24))*Sensitivity!$H$9,IF($D$16="Normal Monster Damage %",(CHOOSE(MATCH($C$16,{"Rare","Epic","Unique","Legendary","Mystic","Mystic (Prime)"},0),4,6,9,14,20,24))*Sensitivity!$H$10,IF($D$16="Status Effect Damage %",0,IF($D$16="Damage %",(CHOOSE(MATCH($C$16,{"Rare","Epic","Unique","Legendary","Mystic","Mystic (Prime)"},0),4,6,9,14,20,24))*Sensitivity!$H$7,IF($D$16="Defense Penetration %",(CHOOSE(MATCH($C$16,{"Rare","Epic","Unique","Legendary","Mystic","Mystic (Prime)"},0),2,3,4.5,7,10,12))*Sensitivity!$H$17,0)))))))))))),0)</f>
        <v/>
      </c>
      <c r="F16" s="7" t="inlineStr">
        <is>
          <t>Legendary</t>
        </is>
      </c>
      <c r="G16" s="7" t="inlineStr">
        <is>
          <t>Boss Monster Damage %</t>
        </is>
      </c>
      <c r="H16">
        <f>IF($N$16&gt;=2,IF($G$16="Main Stat %",(CHOOSE(MATCH($F$16,{"Rare","Epic","Unique","Legendary","Mystic","Mystic (Prime)"},0),2,3,4.5,7,10,12))*Sensitivity!$H$6,IF($G$16="Damage Taken Decrease %",0,IF($G$16="Defense %",0,IF($G$16="Accuracy",0,IF($G$16="Critical Rate %",(CHOOSE(MATCH($F$16,{"Rare","Epic","Unique","Legendary","Mystic","Mystic (Prime)"},0),2,3,4.5,7,10,12))*Sensitivity!$H$14,IF($G$16="Min Damage Multiplier %",(CHOOSE(MATCH($F$16,{"Rare","Epic","Unique","Legendary","Mystic","Mystic (Prime)"},0),2,3,4.5,7,10,12))*Sensitivity!$H$12,IF($G$16="Max Damage Multiplier %",(CHOOSE(MATCH($F$16,{"Rare","Epic","Unique","Legendary","Mystic","Mystic (Prime)"},0),2,3,4.5,7,10,12))*Sensitivity!$H$13,IF($G$16="Boss Monster Damage %",(CHOOSE(MATCH($F$16,{"Rare","Epic","Unique","Legendary","Mystic","Mystic (Prime)"},0),4,6,9,14,20,24))*Sensitivity!$H$9,IF($G$16="Normal Monster Damage %",(CHOOSE(MATCH($F$16,{"Rare","Epic","Unique","Legendary","Mystic","Mystic (Prime)"},0),4,6,9,14,20,24))*Sensitivity!$H$10,IF($G$16="Status Effect Damage %",0,IF($G$16="Damage %",(CHOOSE(MATCH($F$16,{"Rare","Epic","Unique","Legendary","Mystic","Mystic (Prime)"},0),4,6,9,14,20,24))*Sensitivity!$H$7,IF($G$16="Defense Penetration %",(CHOOSE(MATCH($F$16,{"Rare","Epic","Unique","Legendary","Mystic","Mystic (Prime)"},0),2,3,4.5,7,10,12))*Sensitivity!$H$17,0)))))))))))),0)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Unique</t>
        </is>
      </c>
      <c r="D17" s="7" t="inlineStr">
        <is>
          <t>Main Stat %</t>
        </is>
      </c>
      <c r="E17">
        <f>IF($N$17&gt;=1,IF($D$17="Main Stat %",(CHOOSE(MATCH($C$17,{"Rare","Epic","Unique","Legendary","Mystic","Mystic (Prime)"},0),2,3,4.5,7,10,12))*Sensitivity!$H$6,IF($D$17="Damage Taken Decrease %",0,IF($D$17="Defense %",0,IF($D$17="Accuracy",0,IF($D$17="Critical Rate %",(CHOOSE(MATCH($C$17,{"Rare","Epic","Unique","Legendary","Mystic","Mystic (Prime)"},0),2,3,4.5,7,10,12))*Sensitivity!$H$14,IF($D$17="Min Damage Multiplier %",(CHOOSE(MATCH($C$17,{"Rare","Epic","Unique","Legendary","Mystic","Mystic (Prime)"},0),2,3,4.5,7,10,12))*Sensitivity!$H$12,IF($D$17="Max Damage Multiplier %",(CHOOSE(MATCH($C$17,{"Rare","Epic","Unique","Legendary","Mystic","Mystic (Prime)"},0),2,3,4.5,7,10,12))*Sensitivity!$H$13,IF($D$17="Boss Monster Damage %",(CHOOSE(MATCH($C$17,{"Rare","Epic","Unique","Legendary","Mystic","Mystic (Prime)"},0),4,6,9,14,20,24))*Sensitivity!$H$9,IF($D$17="Normal Monster Damage %",(CHOOSE(MATCH($C$17,{"Rare","Epic","Unique","Legendary","Mystic","Mystic (Prime)"},0),4,6,9,14,20,24))*Sensitivity!$H$10,IF($D$17="Status Effect Damage %",0,IF($D$17="Damage %",(CHOOSE(MATCH($C$17,{"Rare","Epic","Unique","Legendary","Mystic","Mystic (Prime)"},0),4,6,9,14,20,24))*Sensitivity!$H$7,IF($D$17="Defense Penetration %",(CHOOSE(MATCH($C$17,{"Rare","Epic","Unique","Legendary","Mystic","Mystic (Prime)"},0),2,3,4.5,7,10,12))*Sensitivity!$H$17,0)))))))))))),0)</f>
        <v/>
      </c>
      <c r="F17" s="7" t="inlineStr">
        <is>
          <t>Rare</t>
        </is>
      </c>
      <c r="G17" s="7" t="inlineStr">
        <is>
          <t>Defense %</t>
        </is>
      </c>
      <c r="H17">
        <f>IF($N$17&gt;=2,IF($G$17="Main Stat %",(CHOOSE(MATCH($F$17,{"Rare","Epic","Unique","Legendary","Mystic","Mystic (Prime)"},0),2,3,4.5,7,10,12))*Sensitivity!$H$6,IF($G$17="Damage Taken Decrease %",0,IF($G$17="Defense %",0,IF($G$17="Accuracy",0,IF($G$17="Critical Rate %",(CHOOSE(MATCH($F$17,{"Rare","Epic","Unique","Legendary","Mystic","Mystic (Prime)"},0),2,3,4.5,7,10,12))*Sensitivity!$H$14,IF($G$17="Min Damage Multiplier %",(CHOOSE(MATCH($F$17,{"Rare","Epic","Unique","Legendary","Mystic","Mystic (Prime)"},0),2,3,4.5,7,10,12))*Sensitivity!$H$12,IF($G$17="Max Damage Multiplier %",(CHOOSE(MATCH($F$17,{"Rare","Epic","Unique","Legendary","Mystic","Mystic (Prime)"},0),2,3,4.5,7,10,12))*Sensitivity!$H$13,IF($G$17="Boss Monster Damage %",(CHOOSE(MATCH($F$17,{"Rare","Epic","Unique","Legendary","Mystic","Mystic (Prime)"},0),4,6,9,14,20,24))*Sensitivity!$H$9,IF($G$17="Normal Monster Damage %",(CHOOSE(MATCH($F$17,{"Rare","Epic","Unique","Legendary","Mystic","Mystic (Prime)"},0),4,6,9,14,20,24))*Sensitivity!$H$10,IF($G$17="Status Effect Damage %",0,IF($G$17="Damage %",(CHOOSE(MATCH($F$17,{"Rare","Epic","Unique","Legendary","Mystic","Mystic (Prime)"},0),4,6,9,14,20,24))*Sensitivity!$H$7,IF($G$17="Defense Penetration %",(CHOOSE(MATCH($F$17,{"Rare","Epic","Unique","Legendary","Mystic","Mystic (Prime)"},0),2,3,4.5,7,10,12))*Sensitivity!$H$17,0)))))))))))),0)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0</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(Prime)"},0),2,3,4.5,7,10,12))*Sensitivity!$H$14,IF($D$18="Min Damage Multiplier %",(CHOOSE(MATCH($C$18,{"Rare","Epic","Unique","Legendary","Mystic","Mystic (Prime)"},0),2,3,4.5,7,10,12))*Sensitivity!$H$12,IF($D$18="Max Damage Multiplier %",(CHOOSE(MATCH($C$18,{"Rare","Epic","Unique","Legendary","Mystic","Mystic (Prime)"},0),2,3,4.5,7,10,12))*Sensitivity!$H$13,IF($D$18="Boss Monster Damage %",(CHOOSE(MATCH($C$18,{"Rare","Epic","Unique","Legendary","Mystic","Mystic (Prime)"},0),4,6,9,14,20,24))*Sensitivity!$H$9,IF($D$18="Normal Monster Damage %",(CHOOSE(MATCH($C$18,{"Rare","Epic","Unique","Legendary","Mystic","Mystic (Prime)"},0),4,6,9,14,20,24))*Sensitivity!$H$10,IF($D$18="Status Effect Damage %",0,IF($D$18="Damage %",(CHOOSE(MATCH($C$18,{"Rare","Epic","Unique","Legendary","Mystic","Mystic (Prime)"},0),4,6,9,14,20,24))*Sensitivity!$H$7,IF($D$18="Defense Penetration %",(CHOOSE(MATCH($C$18,{"Rare","Epic","Unique","Legendary","Mystic","Mystic (Prime)"},0),2,3,4.5,7,10,12))*Sensitivity!$H$17,0)))))))))))),0)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(Prime)"},0),2,3,4.5,7,10,12))*Sensitivity!$H$14,IF($G$18="Min Damage Multiplier %",(CHOOSE(MATCH($F$18,{"Rare","Epic","Unique","Legendary","Mystic","Mystic (Prime)"},0),2,3,4.5,7,10,12))*Sensitivity!$H$12,IF($G$18="Max Damage Multiplier %",(CHOOSE(MATCH($F$18,{"Rare","Epic","Unique","Legendary","Mystic","Mystic (Prime)"},0),2,3,4.5,7,10,12))*Sensitivity!$H$13,IF($G$18="Boss Monster Damage %",(CHOOSE(MATCH($F$18,{"Rare","Epic","Unique","Legendary","Mystic","Mystic (Prime)"},0),4,6,9,14,20,24))*Sensitivity!$H$9,IF($G$18="Normal Monster Damage %",(CHOOSE(MATCH($F$18,{"Rare","Epic","Unique","Legendary","Mystic","Mystic (Prime)"},0),4,6,9,14,20,24))*Sensitivity!$H$10,IF($G$18="Status Effect Damage %",0,IF($G$18="Damage %",(CHOOSE(MATCH($F$18,{"Rare","Epic","Unique","Legendary","Mystic","Mystic (Prime)"},0),4,6,9,14,20,24))*Sensitivity!$H$7,IF($G$18="Defense Penetration %",(CHOOSE(MATCH($F$18,{"Rare","Epic","Unique","Legendary","Mystic","Mystic (Prime)"},0),2,3,4.5,7,10,12))*Sensitivity!$H$17,0)))))))))))),0)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(Prime)"},0),2,3,4.5,7,10,12))*Sensitivity!$H$14,IF($D$20="Min Damage Multiplier %",(CHOOSE(MATCH($C$20,{"Rare","Epic","Unique","Legendary","Mystic","Mystic (Prime)"},0),2,3,4.5,7,10,12))*Sensitivity!$H$12,IF($D$20="Max Damage Multiplier %",(CHOOSE(MATCH($C$20,{"Rare","Epic","Unique","Legendary","Mystic","Mystic (Prime)"},0),2,3,4.5,7,10,12))*Sensitivity!$H$13,IF($D$20="Boss Monster Damage %",(CHOOSE(MATCH($C$20,{"Rare","Epic","Unique","Legendary","Mystic","Mystic (Prime)"},0),4,6,9,14,20,24))*Sensitivity!$H$9,IF($D$20="Normal Monster Damage %",(CHOOSE(MATCH($C$20,{"Rare","Epic","Unique","Legendary","Mystic","Mystic (Prime)"},0),4,6,9,14,20,24))*Sensitivity!$H$10,IF($D$20="Status Effect Damage %",0,IF($D$20="Damage %",(CHOOSE(MATCH($C$20,{"Rare","Epic","Unique","Legendary","Mystic","Mystic (Prime)"},0),4,6,9,14,20,24))*Sensitivity!$H$7,IF($D$20="Defense Penetration %",(CHOOSE(MATCH($C$20,{"Rare","Epic","Unique","Legendary","Mystic","Mystic (Prime)"},0),2,3,4.5,7,10,12))*Sensitivity!$H$17,0)))))))))))),0)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(Prime)"},0),2,3,4.5,7,10,12))*Sensitivity!$H$14,IF($G$20="Min Damage Multiplier %",(CHOOSE(MATCH($F$20,{"Rare","Epic","Unique","Legendary","Mystic","Mystic (Prime)"},0),2,3,4.5,7,10,12))*Sensitivity!$H$12,IF($G$20="Max Damage Multiplier %",(CHOOSE(MATCH($F$20,{"Rare","Epic","Unique","Legendary","Mystic","Mystic (Prime)"},0),2,3,4.5,7,10,12))*Sensitivity!$H$13,IF($G$20="Boss Monster Damage %",(CHOOSE(MATCH($F$20,{"Rare","Epic","Unique","Legendary","Mystic","Mystic (Prime)"},0),4,6,9,14,20,24))*Sensitivity!$H$9,IF($G$20="Normal Monster Damage %",(CHOOSE(MATCH($F$20,{"Rare","Epic","Unique","Legendary","Mystic","Mystic (Prime)"},0),4,6,9,14,20,24))*Sensitivity!$H$10,IF($G$20="Status Effect Damage %",0,IF($G$20="Damage %",(CHOOSE(MATCH($F$20,{"Rare","Epic","Unique","Legendary","Mystic","Mystic (Prime)"},0),4,6,9,14,20,24))*Sensitivity!$H$7,IF($G$20="Defense Penetration %",(CHOOSE(MATCH($F$20,{"Rare","Epic","Unique","Legendary","Mystic","Mystic (Prime)"},0),2,3,4.5,7,10,12))*Sensitivity!$H$17,0)))))))))))),0)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(Prime)"},0),2,3,4.5,7,10,12))*Sensitivity!$H$14,IF($J$20="Min Damage Multiplier %",(CHOOSE(MATCH($I$20,{"Rare","Epic","Unique","Legendary","Mystic","Mystic (Prime)"},0),2,3,4.5,7,10,12))*Sensitivity!$H$12,IF($J$20="Max Damage Multiplier %",(CHOOSE(MATCH($I$20,{"Rare","Epic","Unique","Legendary","Mystic","Mystic (Prime)"},0),2,3,4.5,7,10,12))*Sensitivity!$H$13,IF($J$20="Boss Monster Damage %",(CHOOSE(MATCH($I$20,{"Rare","Epic","Unique","Legendary","Mystic","Mystic (Prime)"},0),4,6,9,14,20,24))*Sensitivity!$H$9,IF($J$20="Normal Monster Damage %",(CHOOSE(MATCH($I$20,{"Rare","Epic","Unique","Legendary","Mystic","Mystic (Prime)"},0),4,6,9,14,20,24))*Sensitivity!$H$10,IF($J$20="Status Effect Damage %",0,IF($J$20="Damage %",(CHOOSE(MATCH($I$20,{"Rare","Epic","Unique","Legendary","Mystic","Mystic (Prime)"},0),4,6,9,14,20,24))*Sensitivity!$H$7,IF($J$20="Defense Penetration %",(CHOOSE(MATCH($I$20,{"Rare","Epic","Unique","Legendary","Mystic","Mystic (Prime)"},0),2,3,4.5,7,10,12))*Sensitivity!$H$17,0)))))))))))),0)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n">
        <v>1</v>
      </c>
      <c r="C21" s="7" t="inlineStr">
        <is>
          <t>Legendary</t>
        </is>
      </c>
      <c r="D21" s="7" t="inlineStr">
        <is>
          <t>Main Stat %</t>
        </is>
      </c>
      <c r="E21">
        <f>IF($N$21&gt;=1,IF($D$21="Main Stat %",(CHOOSE(MATCH($C$21,{"Rare","Epic","Unique","Legendary","Mystic","Mystic (Prime)"},0),2,3,4.5,7,10,12))*Sensitivity!$H$6,IF($D$21="Damage Taken Decrease %",0,IF($D$21="Defense %",0,IF($D$21="Accuracy",0,IF($D$21="Critical Rate %",(CHOOSE(MATCH($C$21,{"Rare","Epic","Unique","Legendary","Mystic","Mystic (Prime)"},0),2,3,4.5,7,10,12))*Sensitivity!$H$14,IF($D$21="Min Damage Multiplier %",(CHOOSE(MATCH($C$21,{"Rare","Epic","Unique","Legendary","Mystic","Mystic (Prime)"},0),2,3,4.5,7,10,12))*Sensitivity!$H$12,IF($D$21="Max Damage Multiplier %",(CHOOSE(MATCH($C$21,{"Rare","Epic","Unique","Legendary","Mystic","Mystic (Prime)"},0),2,3,4.5,7,10,12))*Sensitivity!$H$13,IF($D$21="Boss Monster Damage %",(CHOOSE(MATCH($C$21,{"Rare","Epic","Unique","Legendary","Mystic","Mystic (Prime)"},0),4,6,9,14,20,24))*Sensitivity!$H$9,IF($D$21="Normal Monster Damage %",(CHOOSE(MATCH($C$21,{"Rare","Epic","Unique","Legendary","Mystic","Mystic (Prime)"},0),4,6,9,14,20,24))*Sensitivity!$H$10,IF($D$21="Status Effect Damage %",0,IF($D$21="Damage %",(CHOOSE(MATCH($C$21,{"Rare","Epic","Unique","Legendary","Mystic","Mystic (Prime)"},0),4,6,9,14,20,24))*Sensitivity!$H$7,IF($D$21="Defense Penetration %",(CHOOSE(MATCH($C$21,{"Rare","Epic","Unique","Legendary","Mystic","Mystic (Prime)"},0),2,3,4.5,7,10,12))*Sensitivity!$H$17,0)))))))))))),0)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(Prime)"},0),2,3,4.5,7,10,12))*Sensitivity!$H$14,IF($G$21="Min Damage Multiplier %",(CHOOSE(MATCH($F$21,{"Rare","Epic","Unique","Legendary","Mystic","Mystic (Prime)"},0),2,3,4.5,7,10,12))*Sensitivity!$H$12,IF($G$21="Max Damage Multiplier %",(CHOOSE(MATCH($F$21,{"Rare","Epic","Unique","Legendary","Mystic","Mystic (Prime)"},0),2,3,4.5,7,10,12))*Sensitivity!$H$13,IF($G$21="Boss Monster Damage %",(CHOOSE(MATCH($F$21,{"Rare","Epic","Unique","Legendary","Mystic","Mystic (Prime)"},0),4,6,9,14,20,24))*Sensitivity!$H$9,IF($G$21="Normal Monster Damage %",(CHOOSE(MATCH($F$21,{"Rare","Epic","Unique","Legendary","Mystic","Mystic (Prime)"},0),4,6,9,14,20,24))*Sensitivity!$H$10,IF($G$21="Status Effect Damage %",0,IF($G$21="Damage %",(CHOOSE(MATCH($F$21,{"Rare","Epic","Unique","Legendary","Mystic","Mystic (Prime)"},0),4,6,9,14,20,24))*Sensitivity!$H$7,IF($G$21="Defense Penetration %",(CHOOSE(MATCH($F$21,{"Rare","Epic","Unique","Legendary","Mystic","Mystic (Prime)"},0),2,3,4.5,7,10,12))*Sensitivity!$H$17,0)))))))))))),0)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(Prime)"},0),2,3,4.5,7,10,12))*Sensitivity!$H$14,IF($J$21="Min Damage Multiplier %",(CHOOSE(MATCH($I$21,{"Rare","Epic","Unique","Legendary","Mystic","Mystic (Prime)"},0),2,3,4.5,7,10,12))*Sensitivity!$H$12,IF($J$21="Max Damage Multiplier %",(CHOOSE(MATCH($I$21,{"Rare","Epic","Unique","Legendary","Mystic","Mystic (Prime)"},0),2,3,4.5,7,10,12))*Sensitivity!$H$13,IF($J$21="Boss Monster Damage %",(CHOOSE(MATCH($I$21,{"Rare","Epic","Unique","Legendary","Mystic","Mystic (Prime)"},0),4,6,9,14,20,24))*Sensitivity!$H$9,IF($J$21="Normal Monster Damage %",(CHOOSE(MATCH($I$21,{"Rare","Epic","Unique","Legendary","Mystic","Mystic (Prime)"},0),4,6,9,14,20,24))*Sensitivity!$H$10,IF($J$21="Status Effect Damage %",0,IF($J$21="Damage %",(CHOOSE(MATCH($I$21,{"Rare","Epic","Unique","Legendary","Mystic","Mystic (Prime)"},0),4,6,9,14,20,24))*Sensitivity!$H$7,IF($J$21="Defense Penetration %",(CHOOSE(MATCH($I$21,{"Rare","Epic","Unique","Legendary","Mystic","Mystic (Prime)"},0),2,3,4.5,7,10,12))*Sensitivity!$H$17,0)))))))))))),0)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n">
        <v>2</v>
      </c>
      <c r="C22" s="7" t="inlineStr">
        <is>
          <t>Legendary</t>
        </is>
      </c>
      <c r="D22" s="7" t="inlineStr">
        <is>
          <t>Boss Monster Damage %</t>
        </is>
      </c>
      <c r="E22">
        <f>IF($N$22&gt;=1,IF($D$22="Main Stat %",(CHOOSE(MATCH($C$22,{"Rare","Epic","Unique","Legendary","Mystic","Mystic (Prime)"},0),2,3,4.5,7,10,12))*Sensitivity!$H$6,IF($D$22="Damage Taken Decrease %",0,IF($D$22="Defense %",0,IF($D$22="Accuracy",0,IF($D$22="Critical Rate %",(CHOOSE(MATCH($C$22,{"Rare","Epic","Unique","Legendary","Mystic","Mystic (Prime)"},0),2,3,4.5,7,10,12))*Sensitivity!$H$14,IF($D$22="Min Damage Multiplier %",(CHOOSE(MATCH($C$22,{"Rare","Epic","Unique","Legendary","Mystic","Mystic (Prime)"},0),2,3,4.5,7,10,12))*Sensitivity!$H$12,IF($D$22="Max Damage Multiplier %",(CHOOSE(MATCH($C$22,{"Rare","Epic","Unique","Legendary","Mystic","Mystic (Prime)"},0),2,3,4.5,7,10,12))*Sensitivity!$H$13,IF($D$22="Boss Monster Damage %",(CHOOSE(MATCH($C$22,{"Rare","Epic","Unique","Legendary","Mystic","Mystic (Prime)"},0),4,6,9,14,20,24))*Sensitivity!$H$9,IF($D$22="Normal Monster Damage %",(CHOOSE(MATCH($C$22,{"Rare","Epic","Unique","Legendary","Mystic","Mystic (Prime)"},0),4,6,9,14,20,24))*Sensitivity!$H$10,IF($D$22="Status Effect Damage %",0,IF($D$22="Damage %",(CHOOSE(MATCH($C$22,{"Rare","Epic","Unique","Legendary","Mystic","Mystic (Prime)"},0),4,6,9,14,20,24))*Sensitivity!$H$7,IF($D$22="Defense Penetration %",(CHOOSE(MATCH($C$22,{"Rare","Epic","Unique","Legendary","Mystic","Mystic (Prime)"},0),2,3,4.5,7,10,12))*Sensitivity!$H$17,0)))))))))))),0)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(Prime)"},0),2,3,4.5,7,10,12))*Sensitivity!$H$14,IF($G$22="Min Damage Multiplier %",(CHOOSE(MATCH($F$22,{"Rare","Epic","Unique","Legendary","Mystic","Mystic (Prime)"},0),2,3,4.5,7,10,12))*Sensitivity!$H$12,IF($G$22="Max Damage Multiplier %",(CHOOSE(MATCH($F$22,{"Rare","Epic","Unique","Legendary","Mystic","Mystic (Prime)"},0),2,3,4.5,7,10,12))*Sensitivity!$H$13,IF($G$22="Boss Monster Damage %",(CHOOSE(MATCH($F$22,{"Rare","Epic","Unique","Legendary","Mystic","Mystic (Prime)"},0),4,6,9,14,20,24))*Sensitivity!$H$9,IF($G$22="Normal Monster Damage %",(CHOOSE(MATCH($F$22,{"Rare","Epic","Unique","Legendary","Mystic","Mystic (Prime)"},0),4,6,9,14,20,24))*Sensitivity!$H$10,IF($G$22="Status Effect Damage %",0,IF($G$22="Damage %",(CHOOSE(MATCH($F$22,{"Rare","Epic","Unique","Legendary","Mystic","Mystic (Prime)"},0),4,6,9,14,20,24))*Sensitivity!$H$7,IF($G$22="Defense Penetration %",(CHOOSE(MATCH($F$22,{"Rare","Epic","Unique","Legendary","Mystic","Mystic (Prime)"},0),2,3,4.5,7,10,12))*Sensitivity!$H$17,0)))))))))))),0)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(Prime)"},0),2,3,4.5,7,10,12))*Sensitivity!$H$14,IF($J$22="Min Damage Multiplier %",(CHOOSE(MATCH($I$22,{"Rare","Epic","Unique","Legendary","Mystic","Mystic (Prime)"},0),2,3,4.5,7,10,12))*Sensitivity!$H$12,IF($J$22="Max Damage Multiplier %",(CHOOSE(MATCH($I$22,{"Rare","Epic","Unique","Legendary","Mystic","Mystic (Prime)"},0),2,3,4.5,7,10,12))*Sensitivity!$H$13,IF($J$22="Boss Monster Damage %",(CHOOSE(MATCH($I$22,{"Rare","Epic","Unique","Legendary","Mystic","Mystic (Prime)"},0),4,6,9,14,20,24))*Sensitivity!$H$9,IF($J$22="Normal Monster Damage %",(CHOOSE(MATCH($I$22,{"Rare","Epic","Unique","Legendary","Mystic","Mystic (Prime)"},0),4,6,9,14,20,24))*Sensitivity!$H$10,IF($J$22="Status Effect Damage %",0,IF($J$22="Damage %",(CHOOSE(MATCH($I$22,{"Rare","Epic","Unique","Legendary","Mystic","Mystic (Prime)"},0),4,6,9,14,20,24))*Sensitivity!$H$7,IF($J$22="Defense Penetration %",(CHOOSE(MATCH($I$22,{"Rare","Epic","Unique","Legendary","Mystic","Mystic (Prime)"},0),2,3,4.5,7,10,12))*Sensitivity!$H$17,0)))))))))))),0)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(Prime)"},0),2,3,4.5,7,10,12))*Sensitivity!$H$14,IF($D$23="Min Damage Multiplier %",(CHOOSE(MATCH($C$23,{"Rare","Epic","Unique","Legendary","Mystic","Mystic (Prime)"},0),2,3,4.5,7,10,12))*Sensitivity!$H$12,IF($D$23="Max Damage Multiplier %",(CHOOSE(MATCH($C$23,{"Rare","Epic","Unique","Legendary","Mystic","Mystic (Prime)"},0),2,3,4.5,7,10,12))*Sensitivity!$H$13,IF($D$23="Boss Monster Damage %",(CHOOSE(MATCH($C$23,{"Rare","Epic","Unique","Legendary","Mystic","Mystic (Prime)"},0),4,6,9,14,20,24))*Sensitivity!$H$9,IF($D$23="Normal Monster Damage %",(CHOOSE(MATCH($C$23,{"Rare","Epic","Unique","Legendary","Mystic","Mystic (Prime)"},0),4,6,9,14,20,24))*Sensitivity!$H$10,IF($D$23="Status Effect Damage %",0,IF($D$23="Damage %",(CHOOSE(MATCH($C$23,{"Rare","Epic","Unique","Legendary","Mystic","Mystic (Prime)"},0),4,6,9,14,20,24))*Sensitivity!$H$7,IF($D$23="Defense Penetration %",(CHOOSE(MATCH($C$23,{"Rare","Epic","Unique","Legendary","Mystic","Mystic (Prime)"},0),2,3,4.5,7,10,12))*Sensitivity!$H$17,0)))))))))))),0)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(Prime)"},0),2,3,4.5,7,10,12))*Sensitivity!$H$14,IF($G$23="Min Damage Multiplier %",(CHOOSE(MATCH($F$23,{"Rare","Epic","Unique","Legendary","Mystic","Mystic (Prime)"},0),2,3,4.5,7,10,12))*Sensitivity!$H$12,IF($G$23="Max Damage Multiplier %",(CHOOSE(MATCH($F$23,{"Rare","Epic","Unique","Legendary","Mystic","Mystic (Prime)"},0),2,3,4.5,7,10,12))*Sensitivity!$H$13,IF($G$23="Boss Monster Damage %",(CHOOSE(MATCH($F$23,{"Rare","Epic","Unique","Legendary","Mystic","Mystic (Prime)"},0),4,6,9,14,20,24))*Sensitivity!$H$9,IF($G$23="Normal Monster Damage %",(CHOOSE(MATCH($F$23,{"Rare","Epic","Unique","Legendary","Mystic","Mystic (Prime)"},0),4,6,9,14,20,24))*Sensitivity!$H$10,IF($G$23="Status Effect Damage %",0,IF($G$23="Damage %",(CHOOSE(MATCH($F$23,{"Rare","Epic","Unique","Legendary","Mystic","Mystic (Prime)"},0),4,6,9,14,20,24))*Sensitivity!$H$7,IF($G$23="Defense Penetration %",(CHOOSE(MATCH($F$23,{"Rare","Epic","Unique","Legendary","Mystic","Mystic (Prime)"},0),2,3,4.5,7,10,12))*Sensitivity!$H$17,0)))))))))))),0)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(Prime)"},0),2,3,4.5,7,10,12))*Sensitivity!$H$14,IF($J$23="Min Damage Multiplier %",(CHOOSE(MATCH($I$23,{"Rare","Epic","Unique","Legendary","Mystic","Mystic (Prime)"},0),2,3,4.5,7,10,12))*Sensitivity!$H$12,IF($J$23="Max Damage Multiplier %",(CHOOSE(MATCH($I$23,{"Rare","Epic","Unique","Legendary","Mystic","Mystic (Prime)"},0),2,3,4.5,7,10,12))*Sensitivity!$H$13,IF($J$23="Boss Monster Damage %",(CHOOSE(MATCH($I$23,{"Rare","Epic","Unique","Legendary","Mystic","Mystic (Prime)"},0),4,6,9,14,20,24))*Sensitivity!$H$9,IF($J$23="Normal Monster Damage %",(CHOOSE(MATCH($I$23,{"Rare","Epic","Unique","Legendary","Mystic","Mystic (Prime)"},0),4,6,9,14,20,24))*Sensitivity!$H$10,IF($J$23="Status Effect Damage %",0,IF($J$23="Damage %",(CHOOSE(MATCH($I$23,{"Rare","Epic","Unique","Legendary","Mystic","Mystic (Prime)"},0),4,6,9,14,20,24))*Sensitivity!$H$7,IF($J$23="Defense Penetration %",(CHOOSE(MATCH($I$23,{"Rare","Epic","Unique","Legendary","Mystic","Mystic (Prime)"},0),2,3,4.5,7,10,12))*Sensitivity!$H$17,0)))))))))))),0)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n">
        <v>1</v>
      </c>
      <c r="C24" s="7" t="inlineStr">
        <is>
          <t>Legendary</t>
        </is>
      </c>
      <c r="D24" s="7" t="inlineStr">
        <is>
          <t>Boss Monster Damage %</t>
        </is>
      </c>
      <c r="E24">
        <f>IF($N$24&gt;=1,IF($D$24="Main Stat %",(CHOOSE(MATCH($C$24,{"Rare","Epic","Unique","Legendary","Mystic","Mystic (Prime)"},0),2,3,4.5,7,10,12))*Sensitivity!$H$6,IF($D$24="Damage Taken Decrease %",0,IF($D$24="Defense %",0,IF($D$24="Accuracy",0,IF($D$24="Critical Rate %",(CHOOSE(MATCH($C$24,{"Rare","Epic","Unique","Legendary","Mystic","Mystic (Prime)"},0),2,3,4.5,7,10,12))*Sensitivity!$H$14,IF($D$24="Min Damage Multiplier %",(CHOOSE(MATCH($C$24,{"Rare","Epic","Unique","Legendary","Mystic","Mystic (Prime)"},0),2,3,4.5,7,10,12))*Sensitivity!$H$12,IF($D$24="Max Damage Multiplier %",(CHOOSE(MATCH($C$24,{"Rare","Epic","Unique","Legendary","Mystic","Mystic (Prime)"},0),2,3,4.5,7,10,12))*Sensitivity!$H$13,IF($D$24="Boss Monster Damage %",(CHOOSE(MATCH($C$24,{"Rare","Epic","Unique","Legendary","Mystic","Mystic (Prime)"},0),4,6,9,14,20,24))*Sensitivity!$H$9,IF($D$24="Normal Monster Damage %",(CHOOSE(MATCH($C$24,{"Rare","Epic","Unique","Legendary","Mystic","Mystic (Prime)"},0),4,6,9,14,20,24))*Sensitivity!$H$10,IF($D$24="Status Effect Damage %",0,IF($D$24="Damage %",(CHOOSE(MATCH($C$24,{"Rare","Epic","Unique","Legendary","Mystic","Mystic (Prime)"},0),4,6,9,14,20,24))*Sensitivity!$H$7,IF($D$24="Defense Penetration %",(CHOOSE(MATCH($C$24,{"Rare","Epic","Unique","Legendary","Mystic","Mystic (Prime)"},0),2,3,4.5,7,10,12))*Sensitivity!$H$17,0)))))))))))),0)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(Prime)"},0),2,3,4.5,7,10,12))*Sensitivity!$H$14,IF($G$24="Min Damage Multiplier %",(CHOOSE(MATCH($F$24,{"Rare","Epic","Unique","Legendary","Mystic","Mystic (Prime)"},0),2,3,4.5,7,10,12))*Sensitivity!$H$12,IF($G$24="Max Damage Multiplier %",(CHOOSE(MATCH($F$24,{"Rare","Epic","Unique","Legendary","Mystic","Mystic (Prime)"},0),2,3,4.5,7,10,12))*Sensitivity!$H$13,IF($G$24="Boss Monster Damage %",(CHOOSE(MATCH($F$24,{"Rare","Epic","Unique","Legendary","Mystic","Mystic (Prime)"},0),4,6,9,14,20,24))*Sensitivity!$H$9,IF($G$24="Normal Monster Damage %",(CHOOSE(MATCH($F$24,{"Rare","Epic","Unique","Legendary","Mystic","Mystic (Prime)"},0),4,6,9,14,20,24))*Sensitivity!$H$10,IF($G$24="Status Effect Damage %",0,IF($G$24="Damage %",(CHOOSE(MATCH($F$24,{"Rare","Epic","Unique","Legendary","Mystic","Mystic (Prime)"},0),4,6,9,14,20,24))*Sensitivity!$H$7,IF($G$24="Defense Penetration %",(CHOOSE(MATCH($F$24,{"Rare","Epic","Unique","Legendary","Mystic","Mystic (Prime)"},0),2,3,4.5,7,10,12))*Sensitivity!$H$17,0)))))))))))),0)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(Prime)"},0),2,3,4.5,7,10,12))*Sensitivity!$H$14,IF($J$24="Min Damage Multiplier %",(CHOOSE(MATCH($I$24,{"Rare","Epic","Unique","Legendary","Mystic","Mystic (Prime)"},0),2,3,4.5,7,10,12))*Sensitivity!$H$12,IF($J$24="Max Damage Multiplier %",(CHOOSE(MATCH($I$24,{"Rare","Epic","Unique","Legendary","Mystic","Mystic (Prime)"},0),2,3,4.5,7,10,12))*Sensitivity!$H$13,IF($J$24="Boss Monster Damage %",(CHOOSE(MATCH($I$24,{"Rare","Epic","Unique","Legendary","Mystic","Mystic (Prime)"},0),4,6,9,14,20,24))*Sensitivity!$H$9,IF($J$24="Normal Monster Damage %",(CHOOSE(MATCH($I$24,{"Rare","Epic","Unique","Legendary","Mystic","Mystic (Prime)"},0),4,6,9,14,20,24))*Sensitivity!$H$10,IF($J$24="Status Effect Damage %",0,IF($J$24="Damage %",(CHOOSE(MATCH($I$24,{"Rare","Epic","Unique","Legendary","Mystic","Mystic (Prime)"},0),4,6,9,14,20,24))*Sensitivity!$H$7,IF($J$24="Defense Penetration %",(CHOOSE(MATCH($I$24,{"Rare","Epic","Unique","Legendary","Mystic","Mystic (Prime)"},0),2,3,4.5,7,10,12))*Sensitivity!$H$17,0)))))))))))),0)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n">
        <v>1</v>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(Prime)"},0),2,3,4.5,7,10,12))*Sensitivity!$H$14,IF($D$25="Min Damage Multiplier %",(CHOOSE(MATCH($C$25,{"Rare","Epic","Unique","Legendary","Mystic","Mystic (Prime)"},0),2,3,4.5,7,10,12))*Sensitivity!$H$12,IF($D$25="Max Damage Multiplier %",(CHOOSE(MATCH($C$25,{"Rare","Epic","Unique","Legendary","Mystic","Mystic (Prime)"},0),2,3,4.5,7,10,12))*Sensitivity!$H$13,IF($D$25="Boss Monster Damage %",(CHOOSE(MATCH($C$25,{"Rare","Epic","Unique","Legendary","Mystic","Mystic (Prime)"},0),4,6,9,14,20,24))*Sensitivity!$H$9,IF($D$25="Normal Monster Damage %",(CHOOSE(MATCH($C$25,{"Rare","Epic","Unique","Legendary","Mystic","Mystic (Prime)"},0),4,6,9,14,20,24))*Sensitivity!$H$10,IF($D$25="Status Effect Damage %",0,IF($D$25="Damage %",(CHOOSE(MATCH($C$25,{"Rare","Epic","Unique","Legendary","Mystic","Mystic (Prime)"},0),4,6,9,14,20,24))*Sensitivity!$H$7,IF($D$25="Defense Penetration %",(CHOOSE(MATCH($C$25,{"Rare","Epic","Unique","Legendary","Mystic","Mystic (Prime)"},0),2,3,4.5,7,10,12))*Sensitivity!$H$17,0)))))))))))),0)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(Prime)"},0),2,3,4.5,7,10,12))*Sensitivity!$H$14,IF($G$25="Min Damage Multiplier %",(CHOOSE(MATCH($F$25,{"Rare","Epic","Unique","Legendary","Mystic","Mystic (Prime)"},0),2,3,4.5,7,10,12))*Sensitivity!$H$12,IF($G$25="Max Damage Multiplier %",(CHOOSE(MATCH($F$25,{"Rare","Epic","Unique","Legendary","Mystic","Mystic (Prime)"},0),2,3,4.5,7,10,12))*Sensitivity!$H$13,IF($G$25="Boss Monster Damage %",(CHOOSE(MATCH($F$25,{"Rare","Epic","Unique","Legendary","Mystic","Mystic (Prime)"},0),4,6,9,14,20,24))*Sensitivity!$H$9,IF($G$25="Normal Monster Damage %",(CHOOSE(MATCH($F$25,{"Rare","Epic","Unique","Legendary","Mystic","Mystic (Prime)"},0),4,6,9,14,20,24))*Sensitivity!$H$10,IF($G$25="Status Effect Damage %",0,IF($G$25="Damage %",(CHOOSE(MATCH($F$25,{"Rare","Epic","Unique","Legendary","Mystic","Mystic (Prime)"},0),4,6,9,14,20,24))*Sensitivity!$H$7,IF($G$25="Defense Penetration %",(CHOOSE(MATCH($F$25,{"Rare","Epic","Unique","Legendary","Mystic","Mystic (Prime)"},0),2,3,4.5,7,10,12))*Sensitivity!$H$17,0)))))))))))),0)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(Prime)"},0),2,3,4.5,7,10,12))*Sensitivity!$H$14,IF($J$25="Min Damage Multiplier %",(CHOOSE(MATCH($I$25,{"Rare","Epic","Unique","Legendary","Mystic","Mystic (Prime)"},0),2,3,4.5,7,10,12))*Sensitivity!$H$12,IF($J$25="Max Damage Multiplier %",(CHOOSE(MATCH($I$25,{"Rare","Epic","Unique","Legendary","Mystic","Mystic (Prime)"},0),2,3,4.5,7,10,12))*Sensitivity!$H$13,IF($J$25="Boss Monster Damage %",(CHOOSE(MATCH($I$25,{"Rare","Epic","Unique","Legendary","Mystic","Mystic (Prime)"},0),4,6,9,14,20,24))*Sensitivity!$H$9,IF($J$25="Normal Monster Damage %",(CHOOSE(MATCH($I$25,{"Rare","Epic","Unique","Legendary","Mystic","Mystic (Prime)"},0),4,6,9,14,20,24))*Sensitivity!$H$10,IF($J$25="Status Effect Damage %",0,IF($J$25="Damage %",(CHOOSE(MATCH($I$25,{"Rare","Epic","Unique","Legendary","Mystic","Mystic (Prime)"},0),4,6,9,14,20,24))*Sensitivity!$H$7,IF($J$25="Defense Penetration %",(CHOOSE(MATCH($I$25,{"Rare","Epic","Unique","Legendary","Mystic","Mystic (Prime)"},0),2,3,4.5,7,10,12))*Sensitivity!$H$17,0)))))))))))),0)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(Prime)"},0),2,3,4.5,7,10,12))*Sensitivity!$H$14,IF($D$26="Min Damage Multiplier %",(CHOOSE(MATCH($C$26,{"Rare","Epic","Unique","Legendary","Mystic","Mystic (Prime)"},0),2,3,4.5,7,10,12))*Sensitivity!$H$12,IF($D$26="Max Damage Multiplier %",(CHOOSE(MATCH($C$26,{"Rare","Epic","Unique","Legendary","Mystic","Mystic (Prime)"},0),2,3,4.5,7,10,12))*Sensitivity!$H$13,IF($D$26="Boss Monster Damage %",(CHOOSE(MATCH($C$26,{"Rare","Epic","Unique","Legendary","Mystic","Mystic (Prime)"},0),4,6,9,14,20,24))*Sensitivity!$H$9,IF($D$26="Normal Monster Damage %",(CHOOSE(MATCH($C$26,{"Rare","Epic","Unique","Legendary","Mystic","Mystic (Prime)"},0),4,6,9,14,20,24))*Sensitivity!$H$10,IF($D$26="Status Effect Damage %",0,IF($D$26="Damage %",(CHOOSE(MATCH($C$26,{"Rare","Epic","Unique","Legendary","Mystic","Mystic (Prime)"},0),4,6,9,14,20,24))*Sensitivity!$H$7,IF($D$26="Defense Penetration %",(CHOOSE(MATCH($C$26,{"Rare","Epic","Unique","Legendary","Mystic","Mystic (Prime)"},0),2,3,4.5,7,10,12))*Sensitivity!$H$17,0)))))))))))),0)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(Prime)"},0),2,3,4.5,7,10,12))*Sensitivity!$H$14,IF($G$26="Min Damage Multiplier %",(CHOOSE(MATCH($F$26,{"Rare","Epic","Unique","Legendary","Mystic","Mystic (Prime)"},0),2,3,4.5,7,10,12))*Sensitivity!$H$12,IF($G$26="Max Damage Multiplier %",(CHOOSE(MATCH($F$26,{"Rare","Epic","Unique","Legendary","Mystic","Mystic (Prime)"},0),2,3,4.5,7,10,12))*Sensitivity!$H$13,IF($G$26="Boss Monster Damage %",(CHOOSE(MATCH($F$26,{"Rare","Epic","Unique","Legendary","Mystic","Mystic (Prime)"},0),4,6,9,14,20,24))*Sensitivity!$H$9,IF($G$26="Normal Monster Damage %",(CHOOSE(MATCH($F$26,{"Rare","Epic","Unique","Legendary","Mystic","Mystic (Prime)"},0),4,6,9,14,20,24))*Sensitivity!$H$10,IF($G$26="Status Effect Damage %",0,IF($G$26="Damage %",(CHOOSE(MATCH($F$26,{"Rare","Epic","Unique","Legendary","Mystic","Mystic (Prime)"},0),4,6,9,14,20,24))*Sensitivity!$H$7,IF($G$26="Defense Penetration %",(CHOOSE(MATCH($F$26,{"Rare","Epic","Unique","Legendary","Mystic","Mystic (Prime)"},0),2,3,4.5,7,10,12))*Sensitivity!$H$17,0)))))))))))),0)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(Prime)"},0),2,3,4.5,7,10,12))*Sensitivity!$H$14,IF($J$26="Min Damage Multiplier %",(CHOOSE(MATCH($I$26,{"Rare","Epic","Unique","Legendary","Mystic","Mystic (Prime)"},0),2,3,4.5,7,10,12))*Sensitivity!$H$12,IF($J$26="Max Damage Multiplier %",(CHOOSE(MATCH($I$26,{"Rare","Epic","Unique","Legendary","Mystic","Mystic (Prime)"},0),2,3,4.5,7,10,12))*Sensitivity!$H$13,IF($J$26="Boss Monster Damage %",(CHOOSE(MATCH($I$26,{"Rare","Epic","Unique","Legendary","Mystic","Mystic (Prime)"},0),4,6,9,14,20,24))*Sensitivity!$H$9,IF($J$26="Normal Monster Damage %",(CHOOSE(MATCH($I$26,{"Rare","Epic","Unique","Legendary","Mystic","Mystic (Prime)"},0),4,6,9,14,20,24))*Sensitivity!$H$10,IF($J$26="Status Effect Damage %",0,IF($J$26="Damage %",(CHOOSE(MATCH($I$26,{"Rare","Epic","Unique","Legendary","Mystic","Mystic (Prime)"},0),4,6,9,14,20,24))*Sensitivity!$H$7,IF($J$26="Defense Penetration %",(CHOOSE(MATCH($I$26,{"Rare","Epic","Unique","Legendary","Mystic","Mystic (Prime)"},0),2,3,4.5,7,10,12))*Sensitivity!$H$17,0)))))))))))),0)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n">
        <v>0</v>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(Prime)"},0),2,3,4.5,7,10,12))*Sensitivity!$H$14,IF($D$27="Min Damage Multiplier %",(CHOOSE(MATCH($C$27,{"Rare","Epic","Unique","Legendary","Mystic","Mystic (Prime)"},0),2,3,4.5,7,10,12))*Sensitivity!$H$12,IF($D$27="Max Damage Multiplier %",(CHOOSE(MATCH($C$27,{"Rare","Epic","Unique","Legendary","Mystic","Mystic (Prime)"},0),2,3,4.5,7,10,12))*Sensitivity!$H$13,IF($D$27="Boss Monster Damage %",(CHOOSE(MATCH($C$27,{"Rare","Epic","Unique","Legendary","Mystic","Mystic (Prime)"},0),4,6,9,14,20,24))*Sensitivity!$H$9,IF($D$27="Normal Monster Damage %",(CHOOSE(MATCH($C$27,{"Rare","Epic","Unique","Legendary","Mystic","Mystic (Prime)"},0),4,6,9,14,20,24))*Sensitivity!$H$10,IF($D$27="Status Effect Damage %",0,IF($D$27="Damage %",(CHOOSE(MATCH($C$27,{"Rare","Epic","Unique","Legendary","Mystic","Mystic (Prime)"},0),4,6,9,14,20,24))*Sensitivity!$H$7,IF($D$27="Defense Penetration %",(CHOOSE(MATCH($C$27,{"Rare","Epic","Unique","Legendary","Mystic","Mystic (Prime)"},0),2,3,4.5,7,10,12))*Sensitivity!$H$17,0)))))))))))),0)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(Prime)"},0),2,3,4.5,7,10,12))*Sensitivity!$H$14,IF($G$27="Min Damage Multiplier %",(CHOOSE(MATCH($F$27,{"Rare","Epic","Unique","Legendary","Mystic","Mystic (Prime)"},0),2,3,4.5,7,10,12))*Sensitivity!$H$12,IF($G$27="Max Damage Multiplier %",(CHOOSE(MATCH($F$27,{"Rare","Epic","Unique","Legendary","Mystic","Mystic (Prime)"},0),2,3,4.5,7,10,12))*Sensitivity!$H$13,IF($G$27="Boss Monster Damage %",(CHOOSE(MATCH($F$27,{"Rare","Epic","Unique","Legendary","Mystic","Mystic (Prime)"},0),4,6,9,14,20,24))*Sensitivity!$H$9,IF($G$27="Normal Monster Damage %",(CHOOSE(MATCH($F$27,{"Rare","Epic","Unique","Legendary","Mystic","Mystic (Prime)"},0),4,6,9,14,20,24))*Sensitivity!$H$10,IF($G$27="Status Effect Damage %",0,IF($G$27="Damage %",(CHOOSE(MATCH($F$27,{"Rare","Epic","Unique","Legendary","Mystic","Mystic (Prime)"},0),4,6,9,14,20,24))*Sensitivity!$H$7,IF($G$27="Defense Penetration %",(CHOOSE(MATCH($F$27,{"Rare","Epic","Unique","Legendary","Mystic","Mystic (Prime)"},0),2,3,4.5,7,10,12))*Sensitivity!$H$17,0)))))))))))),0)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(Prime)"},0),2,3,4.5,7,10,12))*Sensitivity!$H$14,IF($J$27="Min Damage Multiplier %",(CHOOSE(MATCH($I$27,{"Rare","Epic","Unique","Legendary","Mystic","Mystic (Prime)"},0),2,3,4.5,7,10,12))*Sensitivity!$H$12,IF($J$27="Max Damage Multiplier %",(CHOOSE(MATCH($I$27,{"Rare","Epic","Unique","Legendary","Mystic","Mystic (Prime)"},0),2,3,4.5,7,10,12))*Sensitivity!$H$13,IF($J$27="Boss Monster Damage %",(CHOOSE(MATCH($I$27,{"Rare","Epic","Unique","Legendary","Mystic","Mystic (Prime)"},0),4,6,9,14,20,24))*Sensitivity!$H$9,IF($J$27="Normal Monster Damage %",(CHOOSE(MATCH($I$27,{"Rare","Epic","Unique","Legendary","Mystic","Mystic (Prime)"},0),4,6,9,14,20,24))*Sensitivity!$H$10,IF($J$27="Status Effect Damage %",0,IF($J$27="Damage %",(CHOOSE(MATCH($I$27,{"Rare","Epic","Unique","Legendary","Mystic","Mystic (Prime)"},0),4,6,9,14,20,24))*Sensitivity!$H$7,IF($J$27="Defense Penetration %",(CHOOSE(MATCH($I$27,{"Rare","Epic","Unique","Legendary","Mystic","Mystic (Prime)"},0),2,3,4.5,7,10,12))*Sensitivity!$H$17,0)))))))))))),0)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(Prime)"},0),2,3,4.5,7,10,12))*Sensitivity!$H$14,IF($D$28="Min Damage Multiplier %",(CHOOSE(MATCH($C$28,{"Rare","Epic","Unique","Legendary","Mystic","Mystic (Prime)"},0),2,3,4.5,7,10,12))*Sensitivity!$H$12,IF($D$28="Max Damage Multiplier %",(CHOOSE(MATCH($C$28,{"Rare","Epic","Unique","Legendary","Mystic","Mystic (Prime)"},0),2,3,4.5,7,10,12))*Sensitivity!$H$13,IF($D$28="Boss Monster Damage %",(CHOOSE(MATCH($C$28,{"Rare","Epic","Unique","Legendary","Mystic","Mystic (Prime)"},0),4,6,9,14,20,24))*Sensitivity!$H$9,IF($D$28="Normal Monster Damage %",(CHOOSE(MATCH($C$28,{"Rare","Epic","Unique","Legendary","Mystic","Mystic (Prime)"},0),4,6,9,14,20,24))*Sensitivity!$H$10,IF($D$28="Status Effect Damage %",0,IF($D$28="Damage %",(CHOOSE(MATCH($C$28,{"Rare","Epic","Unique","Legendary","Mystic","Mystic (Prime)"},0),4,6,9,14,20,24))*Sensitivity!$H$7,IF($D$28="Defense Penetration %",(CHOOSE(MATCH($C$28,{"Rare","Epic","Unique","Legendary","Mystic","Mystic (Prime)"},0),2,3,4.5,7,10,12))*Sensitivity!$H$17,0)))))))))))),0)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(Prime)"},0),2,3,4.5,7,10,12))*Sensitivity!$H$14,IF($G$28="Min Damage Multiplier %",(CHOOSE(MATCH($F$28,{"Rare","Epic","Unique","Legendary","Mystic","Mystic (Prime)"},0),2,3,4.5,7,10,12))*Sensitivity!$H$12,IF($G$28="Max Damage Multiplier %",(CHOOSE(MATCH($F$28,{"Rare","Epic","Unique","Legendary","Mystic","Mystic (Prime)"},0),2,3,4.5,7,10,12))*Sensitivity!$H$13,IF($G$28="Boss Monster Damage %",(CHOOSE(MATCH($F$28,{"Rare","Epic","Unique","Legendary","Mystic","Mystic (Prime)"},0),4,6,9,14,20,24))*Sensitivity!$H$9,IF($G$28="Normal Monster Damage %",(CHOOSE(MATCH($F$28,{"Rare","Epic","Unique","Legendary","Mystic","Mystic (Prime)"},0),4,6,9,14,20,24))*Sensitivity!$H$10,IF($G$28="Status Effect Damage %",0,IF($G$28="Damage %",(CHOOSE(MATCH($F$28,{"Rare","Epic","Unique","Legendary","Mystic","Mystic (Prime)"},0),4,6,9,14,20,24))*Sensitivity!$H$7,IF($G$28="Defense Penetration %",(CHOOSE(MATCH($F$28,{"Rare","Epic","Unique","Legendary","Mystic","Mystic (Prime)"},0),2,3,4.5,7,10,12))*Sensitivity!$H$17,0)))))))))))),0)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(Prime)"},0),2,3,4.5,7,10,12))*Sensitivity!$H$14,IF($J$28="Min Damage Multiplier %",(CHOOSE(MATCH($I$28,{"Rare","Epic","Unique","Legendary","Mystic","Mystic (Prime)"},0),2,3,4.5,7,10,12))*Sensitivity!$H$12,IF($J$28="Max Damage Multiplier %",(CHOOSE(MATCH($I$28,{"Rare","Epic","Unique","Legendary","Mystic","Mystic (Prime)"},0),2,3,4.5,7,10,12))*Sensitivity!$H$13,IF($J$28="Boss Monster Damage %",(CHOOSE(MATCH($I$28,{"Rare","Epic","Unique","Legendary","Mystic","Mystic (Prime)"},0),4,6,9,14,20,24))*Sensitivity!$H$9,IF($J$28="Normal Monster Damage %",(CHOOSE(MATCH($I$28,{"Rare","Epic","Unique","Legendary","Mystic","Mystic (Prime)"},0),4,6,9,14,20,24))*Sensitivity!$H$10,IF($J$28="Status Effect Damage %",0,IF($J$28="Damage %",(CHOOSE(MATCH($I$28,{"Rare","Epic","Unique","Legendary","Mystic","Mystic (Prime)"},0),4,6,9,14,20,24))*Sensitivity!$H$7,IF($J$28="Defense Penetration %",(CHOOSE(MATCH($I$28,{"Rare","Epic","Unique","Legendary","Mystic","Mystic (Prime)"},0),2,3,4.5,7,10,12))*Sensitivity!$H$17,0)))))))))))),0)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n">
        <v>1</v>
      </c>
      <c r="C29" s="7" t="inlineStr">
        <is>
          <t>Unique</t>
        </is>
      </c>
      <c r="D29" s="7" t="inlineStr">
        <is>
          <t>Critical Rate %</t>
        </is>
      </c>
      <c r="E29">
        <f>IF($N$29&gt;=1,IF($D$29="Main Stat %",(CHOOSE(MATCH($C$29,{"Rare","Epic","Unique","Legendary","Mystic","Mystic (Prime)"},0),2,3,4.5,7,10,12))*Sensitivity!$H$6,IF($D$29="Damage Taken Decrease %",0,IF($D$29="Defense %",0,IF($D$29="Accuracy",0,IF($D$29="Critical Rate %",(CHOOSE(MATCH($C$29,{"Rare","Epic","Unique","Legendary","Mystic","Mystic (Prime)"},0),2,3,4.5,7,10,12))*Sensitivity!$H$14,IF($D$29="Min Damage Multiplier %",(CHOOSE(MATCH($C$29,{"Rare","Epic","Unique","Legendary","Mystic","Mystic (Prime)"},0),2,3,4.5,7,10,12))*Sensitivity!$H$12,IF($D$29="Max Damage Multiplier %",(CHOOSE(MATCH($C$29,{"Rare","Epic","Unique","Legendary","Mystic","Mystic (Prime)"},0),2,3,4.5,7,10,12))*Sensitivity!$H$13,IF($D$29="Boss Monster Damage %",(CHOOSE(MATCH($C$29,{"Rare","Epic","Unique","Legendary","Mystic","Mystic (Prime)"},0),4,6,9,14,20,24))*Sensitivity!$H$9,IF($D$29="Normal Monster Damage %",(CHOOSE(MATCH($C$29,{"Rare","Epic","Unique","Legendary","Mystic","Mystic (Prime)"},0),4,6,9,14,20,24))*Sensitivity!$H$10,IF($D$29="Status Effect Damage %",0,IF($D$29="Damage %",(CHOOSE(MATCH($C$29,{"Rare","Epic","Unique","Legendary","Mystic","Mystic (Prime)"},0),4,6,9,14,20,24))*Sensitivity!$H$7,IF($D$29="Defense Penetration %",(CHOOSE(MATCH($C$29,{"Rare","Epic","Unique","Legendary","Mystic","Mystic (Prime)"},0),2,3,4.5,7,10,12))*Sensitivity!$H$17,0)))))))))))),0)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(Prime)"},0),2,3,4.5,7,10,12))*Sensitivity!$H$14,IF($G$29="Min Damage Multiplier %",(CHOOSE(MATCH($F$29,{"Rare","Epic","Unique","Legendary","Mystic","Mystic (Prime)"},0),2,3,4.5,7,10,12))*Sensitivity!$H$12,IF($G$29="Max Damage Multiplier %",(CHOOSE(MATCH($F$29,{"Rare","Epic","Unique","Legendary","Mystic","Mystic (Prime)"},0),2,3,4.5,7,10,12))*Sensitivity!$H$13,IF($G$29="Boss Monster Damage %",(CHOOSE(MATCH($F$29,{"Rare","Epic","Unique","Legendary","Mystic","Mystic (Prime)"},0),4,6,9,14,20,24))*Sensitivity!$H$9,IF($G$29="Normal Monster Damage %",(CHOOSE(MATCH($F$29,{"Rare","Epic","Unique","Legendary","Mystic","Mystic (Prime)"},0),4,6,9,14,20,24))*Sensitivity!$H$10,IF($G$29="Status Effect Damage %",0,IF($G$29="Damage %",(CHOOSE(MATCH($F$29,{"Rare","Epic","Unique","Legendary","Mystic","Mystic (Prime)"},0),4,6,9,14,20,24))*Sensitivity!$H$7,IF($G$29="Defense Penetration %",(CHOOSE(MATCH($F$29,{"Rare","Epic","Unique","Legendary","Mystic","Mystic (Prime)"},0),2,3,4.5,7,10,12))*Sensitivity!$H$17,0)))))))))))),0)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(Prime)"},0),2,3,4.5,7,10,12))*Sensitivity!$H$14,IF($J$29="Min Damage Multiplier %",(CHOOSE(MATCH($I$29,{"Rare","Epic","Unique","Legendary","Mystic","Mystic (Prime)"},0),2,3,4.5,7,10,12))*Sensitivity!$H$12,IF($J$29="Max Damage Multiplier %",(CHOOSE(MATCH($I$29,{"Rare","Epic","Unique","Legendary","Mystic","Mystic (Prime)"},0),2,3,4.5,7,10,12))*Sensitivity!$H$13,IF($J$29="Boss Monster Damage %",(CHOOSE(MATCH($I$29,{"Rare","Epic","Unique","Legendary","Mystic","Mystic (Prime)"},0),4,6,9,14,20,24))*Sensitivity!$H$9,IF($J$29="Normal Monster Damage %",(CHOOSE(MATCH($I$29,{"Rare","Epic","Unique","Legendary","Mystic","Mystic (Prime)"},0),4,6,9,14,20,24))*Sensitivity!$H$10,IF($J$29="Status Effect Damage %",0,IF($J$29="Damage %",(CHOOSE(MATCH($I$29,{"Rare","Epic","Unique","Legendary","Mystic","Mystic (Prime)"},0),4,6,9,14,20,24))*Sensitivity!$H$7,IF($J$29="Defense Penetration %",(CHOOSE(MATCH($I$29,{"Rare","Epic","Unique","Legendary","Mystic","Mystic (Prime)"},0),2,3,4.5,7,10,12))*Sensitivity!$H$17,0)))))))))))),0)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n">
        <v>1</v>
      </c>
      <c r="C30" s="7" t="inlineStr">
        <is>
          <t>Legendary</t>
        </is>
      </c>
      <c r="D30" s="7" t="inlineStr">
        <is>
          <t>Boss Monster Damage %</t>
        </is>
      </c>
      <c r="E30">
        <f>IF($N$30&gt;=1,IF($D$30="Main Stat %",(CHOOSE(MATCH($C$30,{"Rare","Epic","Unique","Legendary","Mystic","Mystic (Prime)"},0),2,3,4.5,7,10,12))*Sensitivity!$H$6,IF($D$30="Damage Taken Decrease %",0,IF($D$30="Defense %",0,IF($D$30="Accuracy",0,IF($D$30="Critical Rate %",(CHOOSE(MATCH($C$30,{"Rare","Epic","Unique","Legendary","Mystic","Mystic (Prime)"},0),2,3,4.5,7,10,12))*Sensitivity!$H$14,IF($D$30="Min Damage Multiplier %",(CHOOSE(MATCH($C$30,{"Rare","Epic","Unique","Legendary","Mystic","Mystic (Prime)"},0),2,3,4.5,7,10,12))*Sensitivity!$H$12,IF($D$30="Max Damage Multiplier %",(CHOOSE(MATCH($C$30,{"Rare","Epic","Unique","Legendary","Mystic","Mystic (Prime)"},0),2,3,4.5,7,10,12))*Sensitivity!$H$13,IF($D$30="Boss Monster Damage %",(CHOOSE(MATCH($C$30,{"Rare","Epic","Unique","Legendary","Mystic","Mystic (Prime)"},0),4,6,9,14,20,24))*Sensitivity!$H$9,IF($D$30="Normal Monster Damage %",(CHOOSE(MATCH($C$30,{"Rare","Epic","Unique","Legendary","Mystic","Mystic (Prime)"},0),4,6,9,14,20,24))*Sensitivity!$H$10,IF($D$30="Status Effect Damage %",0,IF($D$30="Damage %",(CHOOSE(MATCH($C$30,{"Rare","Epic","Unique","Legendary","Mystic","Mystic (Prime)"},0),4,6,9,14,20,24))*Sensitivity!$H$7,IF($D$30="Defense Penetration %",(CHOOSE(MATCH($C$30,{"Rare","Epic","Unique","Legendary","Mystic","Mystic (Prime)"},0),2,3,4.5,7,10,12))*Sensitivity!$H$17,0)))))))))))),0)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(Prime)"},0),2,3,4.5,7,10,12))*Sensitivity!$H$14,IF($G$30="Min Damage Multiplier %",(CHOOSE(MATCH($F$30,{"Rare","Epic","Unique","Legendary","Mystic","Mystic (Prime)"},0),2,3,4.5,7,10,12))*Sensitivity!$H$12,IF($G$30="Max Damage Multiplier %",(CHOOSE(MATCH($F$30,{"Rare","Epic","Unique","Legendary","Mystic","Mystic (Prime)"},0),2,3,4.5,7,10,12))*Sensitivity!$H$13,IF($G$30="Boss Monster Damage %",(CHOOSE(MATCH($F$30,{"Rare","Epic","Unique","Legendary","Mystic","Mystic (Prime)"},0),4,6,9,14,20,24))*Sensitivity!$H$9,IF($G$30="Normal Monster Damage %",(CHOOSE(MATCH($F$30,{"Rare","Epic","Unique","Legendary","Mystic","Mystic (Prime)"},0),4,6,9,14,20,24))*Sensitivity!$H$10,IF($G$30="Status Effect Damage %",0,IF($G$30="Damage %",(CHOOSE(MATCH($F$30,{"Rare","Epic","Unique","Legendary","Mystic","Mystic (Prime)"},0),4,6,9,14,20,24))*Sensitivity!$H$7,IF($G$30="Defense Penetration %",(CHOOSE(MATCH($F$30,{"Rare","Epic","Unique","Legendary","Mystic","Mystic (Prime)"},0),2,3,4.5,7,10,12))*Sensitivity!$H$17,0)))))))))))),0)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(Prime)"},0),2,3,4.5,7,10,12))*Sensitivity!$H$14,IF($J$30="Min Damage Multiplier %",(CHOOSE(MATCH($I$30,{"Rare","Epic","Unique","Legendary","Mystic","Mystic (Prime)"},0),2,3,4.5,7,10,12))*Sensitivity!$H$12,IF($J$30="Max Damage Multiplier %",(CHOOSE(MATCH($I$30,{"Rare","Epic","Unique","Legendary","Mystic","Mystic (Prime)"},0),2,3,4.5,7,10,12))*Sensitivity!$H$13,IF($J$30="Boss Monster Damage %",(CHOOSE(MATCH($I$30,{"Rare","Epic","Unique","Legendary","Mystic","Mystic (Prime)"},0),4,6,9,14,20,24))*Sensitivity!$H$9,IF($J$30="Normal Monster Damage %",(CHOOSE(MATCH($I$30,{"Rare","Epic","Unique","Legendary","Mystic","Mystic (Prime)"},0),4,6,9,14,20,24))*Sensitivity!$H$10,IF($J$30="Status Effect Damage %",0,IF($J$30="Damage %",(CHOOSE(MATCH($I$30,{"Rare","Epic","Unique","Legendary","Mystic","Mystic (Prime)"},0),4,6,9,14,20,24))*Sensitivity!$H$7,IF($J$30="Defense Penetration %",(CHOOSE(MATCH($I$30,{"Rare","Epic","Unique","Legendary","Mystic","Mystic (Prime)"},0),2,3,4.5,7,10,12))*Sensitivity!$H$17,0)))))))))))),0)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n">
        <v>1</v>
      </c>
      <c r="C31" s="7" t="inlineStr">
        <is>
          <t>Legendary</t>
        </is>
      </c>
      <c r="D31" s="7" t="inlineStr">
        <is>
          <t>Boss Monster Damage %</t>
        </is>
      </c>
      <c r="E31">
        <f>IF($N$31&gt;=1,IF($D$31="Main Stat %",(CHOOSE(MATCH($C$31,{"Rare","Epic","Unique","Legendary","Mystic","Mystic (Prime)"},0),2,3,4.5,7,10,12))*Sensitivity!$H$6,IF($D$31="Damage Taken Decrease %",0,IF($D$31="Defense %",0,IF($D$31="Accuracy",0,IF($D$31="Critical Rate %",(CHOOSE(MATCH($C$31,{"Rare","Epic","Unique","Legendary","Mystic","Mystic (Prime)"},0),2,3,4.5,7,10,12))*Sensitivity!$H$14,IF($D$31="Min Damage Multiplier %",(CHOOSE(MATCH($C$31,{"Rare","Epic","Unique","Legendary","Mystic","Mystic (Prime)"},0),2,3,4.5,7,10,12))*Sensitivity!$H$12,IF($D$31="Max Damage Multiplier %",(CHOOSE(MATCH($C$31,{"Rare","Epic","Unique","Legendary","Mystic","Mystic (Prime)"},0),2,3,4.5,7,10,12))*Sensitivity!$H$13,IF($D$31="Boss Monster Damage %",(CHOOSE(MATCH($C$31,{"Rare","Epic","Unique","Legendary","Mystic","Mystic (Prime)"},0),4,6,9,14,20,24))*Sensitivity!$H$9,IF($D$31="Normal Monster Damage %",(CHOOSE(MATCH($C$31,{"Rare","Epic","Unique","Legendary","Mystic","Mystic (Prime)"},0),4,6,9,14,20,24))*Sensitivity!$H$10,IF($D$31="Status Effect Damage %",0,IF($D$31="Damage %",(CHOOSE(MATCH($C$31,{"Rare","Epic","Unique","Legendary","Mystic","Mystic (Prime)"},0),4,6,9,14,20,24))*Sensitivity!$H$7,IF($D$31="Defense Penetration %",(CHOOSE(MATCH($C$31,{"Rare","Epic","Unique","Legendary","Mystic","Mystic (Prime)"},0),2,3,4.5,7,10,12))*Sensitivity!$H$17,0)))))))))))),0)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(Prime)"},0),2,3,4.5,7,10,12))*Sensitivity!$H$14,IF($G$31="Min Damage Multiplier %",(CHOOSE(MATCH($F$31,{"Rare","Epic","Unique","Legendary","Mystic","Mystic (Prime)"},0),2,3,4.5,7,10,12))*Sensitivity!$H$12,IF($G$31="Max Damage Multiplier %",(CHOOSE(MATCH($F$31,{"Rare","Epic","Unique","Legendary","Mystic","Mystic (Prime)"},0),2,3,4.5,7,10,12))*Sensitivity!$H$13,IF($G$31="Boss Monster Damage %",(CHOOSE(MATCH($F$31,{"Rare","Epic","Unique","Legendary","Mystic","Mystic (Prime)"},0),4,6,9,14,20,24))*Sensitivity!$H$9,IF($G$31="Normal Monster Damage %",(CHOOSE(MATCH($F$31,{"Rare","Epic","Unique","Legendary","Mystic","Mystic (Prime)"},0),4,6,9,14,20,24))*Sensitivity!$H$10,IF($G$31="Status Effect Damage %",0,IF($G$31="Damage %",(CHOOSE(MATCH($F$31,{"Rare","Epic","Unique","Legendary","Mystic","Mystic (Prime)"},0),4,6,9,14,20,24))*Sensitivity!$H$7,IF($G$31="Defense Penetration %",(CHOOSE(MATCH($F$31,{"Rare","Epic","Unique","Legendary","Mystic","Mystic (Prime)"},0),2,3,4.5,7,10,12))*Sensitivity!$H$17,0)))))))))))),0)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(Prime)"},0),2,3,4.5,7,10,12))*Sensitivity!$H$14,IF($J$31="Min Damage Multiplier %",(CHOOSE(MATCH($I$31,{"Rare","Epic","Unique","Legendary","Mystic","Mystic (Prime)"},0),2,3,4.5,7,10,12))*Sensitivity!$H$12,IF($J$31="Max Damage Multiplier %",(CHOOSE(MATCH($I$31,{"Rare","Epic","Unique","Legendary","Mystic","Mystic (Prime)"},0),2,3,4.5,7,10,12))*Sensitivity!$H$13,IF($J$31="Boss Monster Damage %",(CHOOSE(MATCH($I$31,{"Rare","Epic","Unique","Legendary","Mystic","Mystic (Prime)"},0),4,6,9,14,20,24))*Sensitivity!$H$9,IF($J$31="Normal Monster Damage %",(CHOOSE(MATCH($I$31,{"Rare","Epic","Unique","Legendary","Mystic","Mystic (Prime)"},0),4,6,9,14,20,24))*Sensitivity!$H$10,IF($J$31="Status Effect Damage %",0,IF($J$31="Damage %",(CHOOSE(MATCH($I$31,{"Rare","Epic","Unique","Legendary","Mystic","Mystic (Prime)"},0),4,6,9,14,20,24))*Sensitivity!$H$7,IF($J$31="Defense Penetration %",(CHOOSE(MATCH($I$31,{"Rare","Epic","Unique","Legendary","Mystic","Mystic (Prime)"},0),2,3,4.5,7,10,12))*Sensitivity!$H$17,0)))))))))))),0)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n">
        <v>1</v>
      </c>
      <c r="C32" s="7" t="inlineStr">
        <is>
          <t>Legendary</t>
        </is>
      </c>
      <c r="D32" s="7" t="inlineStr">
        <is>
          <t>Main Stat %</t>
        </is>
      </c>
      <c r="E32">
        <f>IF($N$32&gt;=1,IF($D$32="Main Stat %",(CHOOSE(MATCH($C$32,{"Rare","Epic","Unique","Legendary","Mystic","Mystic (Prime)"},0),2,3,4.5,7,10,12))*Sensitivity!$H$6,IF($D$32="Damage Taken Decrease %",0,IF($D$32="Defense %",0,IF($D$32="Accuracy",0,IF($D$32="Critical Rate %",(CHOOSE(MATCH($C$32,{"Rare","Epic","Unique","Legendary","Mystic","Mystic (Prime)"},0),2,3,4.5,7,10,12))*Sensitivity!$H$14,IF($D$32="Min Damage Multiplier %",(CHOOSE(MATCH($C$32,{"Rare","Epic","Unique","Legendary","Mystic","Mystic (Prime)"},0),2,3,4.5,7,10,12))*Sensitivity!$H$12,IF($D$32="Max Damage Multiplier %",(CHOOSE(MATCH($C$32,{"Rare","Epic","Unique","Legendary","Mystic","Mystic (Prime)"},0),2,3,4.5,7,10,12))*Sensitivity!$H$13,IF($D$32="Boss Monster Damage %",(CHOOSE(MATCH($C$32,{"Rare","Epic","Unique","Legendary","Mystic","Mystic (Prime)"},0),4,6,9,14,20,24))*Sensitivity!$H$9,IF($D$32="Normal Monster Damage %",(CHOOSE(MATCH($C$32,{"Rare","Epic","Unique","Legendary","Mystic","Mystic (Prime)"},0),4,6,9,14,20,24))*Sensitivity!$H$10,IF($D$32="Status Effect Damage %",0,IF($D$32="Damage %",(CHOOSE(MATCH($C$32,{"Rare","Epic","Unique","Legendary","Mystic","Mystic (Prime)"},0),4,6,9,14,20,24))*Sensitivity!$H$7,IF($D$32="Defense Penetration %",(CHOOSE(MATCH($C$32,{"Rare","Epic","Unique","Legendary","Mystic","Mystic (Prime)"},0),2,3,4.5,7,10,12))*Sensitivity!$H$17,0)))))))))))),0)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(Prime)"},0),2,3,4.5,7,10,12))*Sensitivity!$H$14,IF($G$32="Min Damage Multiplier %",(CHOOSE(MATCH($F$32,{"Rare","Epic","Unique","Legendary","Mystic","Mystic (Prime)"},0),2,3,4.5,7,10,12))*Sensitivity!$H$12,IF($G$32="Max Damage Multiplier %",(CHOOSE(MATCH($F$32,{"Rare","Epic","Unique","Legendary","Mystic","Mystic (Prime)"},0),2,3,4.5,7,10,12))*Sensitivity!$H$13,IF($G$32="Boss Monster Damage %",(CHOOSE(MATCH($F$32,{"Rare","Epic","Unique","Legendary","Mystic","Mystic (Prime)"},0),4,6,9,14,20,24))*Sensitivity!$H$9,IF($G$32="Normal Monster Damage %",(CHOOSE(MATCH($F$32,{"Rare","Epic","Unique","Legendary","Mystic","Mystic (Prime)"},0),4,6,9,14,20,24))*Sensitivity!$H$10,IF($G$32="Status Effect Damage %",0,IF($G$32="Damage %",(CHOOSE(MATCH($F$32,{"Rare","Epic","Unique","Legendary","Mystic","Mystic (Prime)"},0),4,6,9,14,20,24))*Sensitivity!$H$7,IF($G$32="Defense Penetration %",(CHOOSE(MATCH($F$32,{"Rare","Epic","Unique","Legendary","Mystic","Mystic (Prime)"},0),2,3,4.5,7,10,12))*Sensitivity!$H$17,0)))))))))))),0)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(Prime)"},0),2,3,4.5,7,10,12))*Sensitivity!$H$14,IF($J$32="Min Damage Multiplier %",(CHOOSE(MATCH($I$32,{"Rare","Epic","Unique","Legendary","Mystic","Mystic (Prime)"},0),2,3,4.5,7,10,12))*Sensitivity!$H$12,IF($J$32="Max Damage Multiplier %",(CHOOSE(MATCH($I$32,{"Rare","Epic","Unique","Legendary","Mystic","Mystic (Prime)"},0),2,3,4.5,7,10,12))*Sensitivity!$H$13,IF($J$32="Boss Monster Damage %",(CHOOSE(MATCH($I$32,{"Rare","Epic","Unique","Legendary","Mystic","Mystic (Prime)"},0),4,6,9,14,20,24))*Sensitivity!$H$9,IF($J$32="Normal Monster Damage %",(CHOOSE(MATCH($I$32,{"Rare","Epic","Unique","Legendary","Mystic","Mystic (Prime)"},0),4,6,9,14,20,24))*Sensitivity!$H$10,IF($J$32="Status Effect Damage %",0,IF($J$32="Damage %",(CHOOSE(MATCH($I$32,{"Rare","Epic","Unique","Legendary","Mystic","Mystic (Prime)"},0),4,6,9,14,20,24))*Sensitivity!$H$7,IF($J$32="Defense Penetration %",(CHOOSE(MATCH($I$32,{"Rare","Epic","Unique","Legendary","Mystic","Mystic (Prime)"},0),2,3,4.5,7,10,12))*Sensitivity!$H$17,0)))))))))))),0)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(Prime)"},0),2,3,4.5,7,10,12))*Sensitivity!$H$14,IF($D$33="Min Damage Multiplier %",(CHOOSE(MATCH($C$33,{"Rare","Epic","Unique","Legendary","Mystic","Mystic (Prime)"},0),2,3,4.5,7,10,12))*Sensitivity!$H$12,IF($D$33="Max Damage Multiplier %",(CHOOSE(MATCH($C$33,{"Rare","Epic","Unique","Legendary","Mystic","Mystic (Prime)"},0),2,3,4.5,7,10,12))*Sensitivity!$H$13,IF($D$33="Boss Monster Damage %",(CHOOSE(MATCH($C$33,{"Rare","Epic","Unique","Legendary","Mystic","Mystic (Prime)"},0),4,6,9,14,20,24))*Sensitivity!$H$9,IF($D$33="Normal Monster Damage %",(CHOOSE(MATCH($C$33,{"Rare","Epic","Unique","Legendary","Mystic","Mystic (Prime)"},0),4,6,9,14,20,24))*Sensitivity!$H$10,IF($D$33="Status Effect Damage %",0,IF($D$33="Damage %",(CHOOSE(MATCH($C$33,{"Rare","Epic","Unique","Legendary","Mystic","Mystic (Prime)"},0),4,6,9,14,20,24))*Sensitivity!$H$7,IF($D$33="Defense Penetration %",(CHOOSE(MATCH($C$33,{"Rare","Epic","Unique","Legendary","Mystic","Mystic (Prime)"},0),2,3,4.5,7,10,12))*Sensitivity!$H$17,0)))))))))))),0)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(Prime)"},0),2,3,4.5,7,10,12))*Sensitivity!$H$14,IF($G$33="Min Damage Multiplier %",(CHOOSE(MATCH($F$33,{"Rare","Epic","Unique","Legendary","Mystic","Mystic (Prime)"},0),2,3,4.5,7,10,12))*Sensitivity!$H$12,IF($G$33="Max Damage Multiplier %",(CHOOSE(MATCH($F$33,{"Rare","Epic","Unique","Legendary","Mystic","Mystic (Prime)"},0),2,3,4.5,7,10,12))*Sensitivity!$H$13,IF($G$33="Boss Monster Damage %",(CHOOSE(MATCH($F$33,{"Rare","Epic","Unique","Legendary","Mystic","Mystic (Prime)"},0),4,6,9,14,20,24))*Sensitivity!$H$9,IF($G$33="Normal Monster Damage %",(CHOOSE(MATCH($F$33,{"Rare","Epic","Unique","Legendary","Mystic","Mystic (Prime)"},0),4,6,9,14,20,24))*Sensitivity!$H$10,IF($G$33="Status Effect Damage %",0,IF($G$33="Damage %",(CHOOSE(MATCH($F$33,{"Rare","Epic","Unique","Legendary","Mystic","Mystic (Prime)"},0),4,6,9,14,20,24))*Sensitivity!$H$7,IF($G$33="Defense Penetration %",(CHOOSE(MATCH($F$33,{"Rare","Epic","Unique","Legendary","Mystic","Mystic (Prime)"},0),2,3,4.5,7,10,12))*Sensitivity!$H$17,0)))))))))))),0)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(Prime)"},0),2,3,4.5,7,10,12))*Sensitivity!$H$14,IF($J$33="Min Damage Multiplier %",(CHOOSE(MATCH($I$33,{"Rare","Epic","Unique","Legendary","Mystic","Mystic (Prime)"},0),2,3,4.5,7,10,12))*Sensitivity!$H$12,IF($J$33="Max Damage Multiplier %",(CHOOSE(MATCH($I$33,{"Rare","Epic","Unique","Legendary","Mystic","Mystic (Prime)"},0),2,3,4.5,7,10,12))*Sensitivity!$H$13,IF($J$33="Boss Monster Damage %",(CHOOSE(MATCH($I$33,{"Rare","Epic","Unique","Legendary","Mystic","Mystic (Prime)"},0),4,6,9,14,20,24))*Sensitivity!$H$9,IF($J$33="Normal Monster Damage %",(CHOOSE(MATCH($I$33,{"Rare","Epic","Unique","Legendary","Mystic","Mystic (Prime)"},0),4,6,9,14,20,24))*Sensitivity!$H$10,IF($J$33="Status Effect Damage %",0,IF($J$33="Damage %",(CHOOSE(MATCH($I$33,{"Rare","Epic","Unique","Legendary","Mystic","Mystic (Prime)"},0),4,6,9,14,20,24))*Sensitivity!$H$7,IF($J$33="Defense Penetration %",(CHOOSE(MATCH($I$33,{"Rare","Epic","Unique","Legendary","Mystic","Mystic (Prime)"},0),2,3,4.5,7,10,12))*Sensitivity!$H$17,0)))))))))))),0)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(Prime)"},0),2,3,4.5,7,10,12))*Sensitivity!$H$14,IF($D$34="Min Damage Multiplier %",(CHOOSE(MATCH($C$34,{"Rare","Epic","Unique","Legendary","Mystic","Mystic (Prime)"},0),2,3,4.5,7,10,12))*Sensitivity!$H$12,IF($D$34="Max Damage Multiplier %",(CHOOSE(MATCH($C$34,{"Rare","Epic","Unique","Legendary","Mystic","Mystic (Prime)"},0),2,3,4.5,7,10,12))*Sensitivity!$H$13,IF($D$34="Boss Monster Damage %",(CHOOSE(MATCH($C$34,{"Rare","Epic","Unique","Legendary","Mystic","Mystic (Prime)"},0),4,6,9,14,20,24))*Sensitivity!$H$9,IF($D$34="Normal Monster Damage %",(CHOOSE(MATCH($C$34,{"Rare","Epic","Unique","Legendary","Mystic","Mystic (Prime)"},0),4,6,9,14,20,24))*Sensitivity!$H$10,IF($D$34="Status Effect Damage %",0,IF($D$34="Damage %",(CHOOSE(MATCH($C$34,{"Rare","Epic","Unique","Legendary","Mystic","Mystic (Prime)"},0),4,6,9,14,20,24))*Sensitivity!$H$7,IF($D$34="Defense Penetration %",(CHOOSE(MATCH($C$34,{"Rare","Epic","Unique","Legendary","Mystic","Mystic (Prime)"},0),2,3,4.5,7,10,12))*Sensitivity!$H$17,0)))))))))))),0)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(Prime)"},0),2,3,4.5,7,10,12))*Sensitivity!$H$14,IF($G$34="Min Damage Multiplier %",(CHOOSE(MATCH($F$34,{"Rare","Epic","Unique","Legendary","Mystic","Mystic (Prime)"},0),2,3,4.5,7,10,12))*Sensitivity!$H$12,IF($G$34="Max Damage Multiplier %",(CHOOSE(MATCH($F$34,{"Rare","Epic","Unique","Legendary","Mystic","Mystic (Prime)"},0),2,3,4.5,7,10,12))*Sensitivity!$H$13,IF($G$34="Boss Monster Damage %",(CHOOSE(MATCH($F$34,{"Rare","Epic","Unique","Legendary","Mystic","Mystic (Prime)"},0),4,6,9,14,20,24))*Sensitivity!$H$9,IF($G$34="Normal Monster Damage %",(CHOOSE(MATCH($F$34,{"Rare","Epic","Unique","Legendary","Mystic","Mystic (Prime)"},0),4,6,9,14,20,24))*Sensitivity!$H$10,IF($G$34="Status Effect Damage %",0,IF($G$34="Damage %",(CHOOSE(MATCH($F$34,{"Rare","Epic","Unique","Legendary","Mystic","Mystic (Prime)"},0),4,6,9,14,20,24))*Sensitivity!$H$7,IF($G$34="Defense Penetration %",(CHOOSE(MATCH($F$34,{"Rare","Epic","Unique","Legendary","Mystic","Mystic (Prime)"},0),2,3,4.5,7,10,12))*Sensitivity!$H$17,0)))))))))))),0)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(Prime)"},0),2,3,4.5,7,10,12))*Sensitivity!$H$14,IF($J$34="Min Damage Multiplier %",(CHOOSE(MATCH($I$34,{"Rare","Epic","Unique","Legendary","Mystic","Mystic (Prime)"},0),2,3,4.5,7,10,12))*Sensitivity!$H$12,IF($J$34="Max Damage Multiplier %",(CHOOSE(MATCH($I$34,{"Rare","Epic","Unique","Legendary","Mystic","Mystic (Prime)"},0),2,3,4.5,7,10,12))*Sensitivity!$H$13,IF($J$34="Boss Monster Damage %",(CHOOSE(MATCH($I$34,{"Rare","Epic","Unique","Legendary","Mystic","Mystic (Prime)"},0),4,6,9,14,20,24))*Sensitivity!$H$9,IF($J$34="Normal Monster Damage %",(CHOOSE(MATCH($I$34,{"Rare","Epic","Unique","Legendary","Mystic","Mystic (Prime)"},0),4,6,9,14,20,24))*Sensitivity!$H$10,IF($J$34="Status Effect Damage %",0,IF($J$34="Damage %",(CHOOSE(MATCH($I$34,{"Rare","Epic","Unique","Legendary","Mystic","Mystic (Prime)"},0),4,6,9,14,20,24))*Sensitivity!$H$7,IF($J$34="Defense Penetration %",(CHOOSE(MATCH($I$34,{"Rare","Epic","Unique","Legendary","Mystic","Mystic (Prime)"},0),2,3,4.5,7,10,12))*Sensitivity!$H$17,0)))))))))))),0)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n">
        <v>1</v>
      </c>
      <c r="C35" s="7" t="inlineStr">
        <is>
          <t>Mystic</t>
        </is>
      </c>
      <c r="D35" s="7" t="inlineStr">
        <is>
          <t>Main Stat %</t>
        </is>
      </c>
      <c r="E35">
        <f>IF($N$35&gt;=1,IF($D$35="Main Stat %",(CHOOSE(MATCH($C$35,{"Rare","Epic","Unique","Legendary","Mystic","Mystic (Prime)"},0),2,3,4.5,7,10,12))*Sensitivity!$H$6,IF($D$35="Damage Taken Decrease %",0,IF($D$35="Defense %",0,IF($D$35="Accuracy",0,IF($D$35="Critical Rate %",(CHOOSE(MATCH($C$35,{"Rare","Epic","Unique","Legendary","Mystic","Mystic (Prime)"},0),2,3,4.5,7,10,12))*Sensitivity!$H$14,IF($D$35="Min Damage Multiplier %",(CHOOSE(MATCH($C$35,{"Rare","Epic","Unique","Legendary","Mystic","Mystic (Prime)"},0),2,3,4.5,7,10,12))*Sensitivity!$H$12,IF($D$35="Max Damage Multiplier %",(CHOOSE(MATCH($C$35,{"Rare","Epic","Unique","Legendary","Mystic","Mystic (Prime)"},0),2,3,4.5,7,10,12))*Sensitivity!$H$13,IF($D$35="Boss Monster Damage %",(CHOOSE(MATCH($C$35,{"Rare","Epic","Unique","Legendary","Mystic","Mystic (Prime)"},0),4,6,9,14,20,24))*Sensitivity!$H$9,IF($D$35="Normal Monster Damage %",(CHOOSE(MATCH($C$35,{"Rare","Epic","Unique","Legendary","Mystic","Mystic (Prime)"},0),4,6,9,14,20,24))*Sensitivity!$H$10,IF($D$35="Status Effect Damage %",0,IF($D$35="Damage %",(CHOOSE(MATCH($C$35,{"Rare","Epic","Unique","Legendary","Mystic","Mystic (Prime)"},0),4,6,9,14,20,24))*Sensitivity!$H$7,IF($D$35="Defense Penetration %",(CHOOSE(MATCH($C$35,{"Rare","Epic","Unique","Legendary","Mystic","Mystic (Prime)"},0),2,3,4.5,7,10,12))*Sensitivity!$H$17,0)))))))))))),0)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(Prime)"},0),2,3,4.5,7,10,12))*Sensitivity!$H$14,IF($G$35="Min Damage Multiplier %",(CHOOSE(MATCH($F$35,{"Rare","Epic","Unique","Legendary","Mystic","Mystic (Prime)"},0),2,3,4.5,7,10,12))*Sensitivity!$H$12,IF($G$35="Max Damage Multiplier %",(CHOOSE(MATCH($F$35,{"Rare","Epic","Unique","Legendary","Mystic","Mystic (Prime)"},0),2,3,4.5,7,10,12))*Sensitivity!$H$13,IF($G$35="Boss Monster Damage %",(CHOOSE(MATCH($F$35,{"Rare","Epic","Unique","Legendary","Mystic","Mystic (Prime)"},0),4,6,9,14,20,24))*Sensitivity!$H$9,IF($G$35="Normal Monster Damage %",(CHOOSE(MATCH($F$35,{"Rare","Epic","Unique","Legendary","Mystic","Mystic (Prime)"},0),4,6,9,14,20,24))*Sensitivity!$H$10,IF($G$35="Status Effect Damage %",0,IF($G$35="Damage %",(CHOOSE(MATCH($F$35,{"Rare","Epic","Unique","Legendary","Mystic","Mystic (Prime)"},0),4,6,9,14,20,24))*Sensitivity!$H$7,IF($G$35="Defense Penetration %",(CHOOSE(MATCH($F$35,{"Rare","Epic","Unique","Legendary","Mystic","Mystic (Prime)"},0),2,3,4.5,7,10,12))*Sensitivity!$H$17,0)))))))))))),0)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(Prime)"},0),2,3,4.5,7,10,12))*Sensitivity!$H$14,IF($J$35="Min Damage Multiplier %",(CHOOSE(MATCH($I$35,{"Rare","Epic","Unique","Legendary","Mystic","Mystic (Prime)"},0),2,3,4.5,7,10,12))*Sensitivity!$H$12,IF($J$35="Max Damage Multiplier %",(CHOOSE(MATCH($I$35,{"Rare","Epic","Unique","Legendary","Mystic","Mystic (Prime)"},0),2,3,4.5,7,10,12))*Sensitivity!$H$13,IF($J$35="Boss Monster Damage %",(CHOOSE(MATCH($I$35,{"Rare","Epic","Unique","Legendary","Mystic","Mystic (Prime)"},0),4,6,9,14,20,24))*Sensitivity!$H$9,IF($J$35="Normal Monster Damage %",(CHOOSE(MATCH($I$35,{"Rare","Epic","Unique","Legendary","Mystic","Mystic (Prime)"},0),4,6,9,14,20,24))*Sensitivity!$H$10,IF($J$35="Status Effect Damage %",0,IF($J$35="Damage %",(CHOOSE(MATCH($I$35,{"Rare","Epic","Unique","Legendary","Mystic","Mystic (Prime)"},0),4,6,9,14,20,24))*Sensitivity!$H$7,IF($J$35="Defense Penetration %",(CHOOSE(MATCH($I$35,{"Rare","Epic","Unique","Legendary","Mystic","Mystic (Prime)"},0),2,3,4.5,7,10,12))*Sensitivity!$H$17,0)))))))))))),0)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n">
        <v>0</v>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(Prime)"},0),2,3,4.5,7,10,12))*Sensitivity!$H$14,IF($D$36="Min Damage Multiplier %",(CHOOSE(MATCH($C$36,{"Rare","Epic","Unique","Legendary","Mystic","Mystic (Prime)"},0),2,3,4.5,7,10,12))*Sensitivity!$H$12,IF($D$36="Max Damage Multiplier %",(CHOOSE(MATCH($C$36,{"Rare","Epic","Unique","Legendary","Mystic","Mystic (Prime)"},0),2,3,4.5,7,10,12))*Sensitivity!$H$13,IF($D$36="Boss Monster Damage %",(CHOOSE(MATCH($C$36,{"Rare","Epic","Unique","Legendary","Mystic","Mystic (Prime)"},0),4,6,9,14,20,24))*Sensitivity!$H$9,IF($D$36="Normal Monster Damage %",(CHOOSE(MATCH($C$36,{"Rare","Epic","Unique","Legendary","Mystic","Mystic (Prime)"},0),4,6,9,14,20,24))*Sensitivity!$H$10,IF($D$36="Status Effect Damage %",0,IF($D$36="Damage %",(CHOOSE(MATCH($C$36,{"Rare","Epic","Unique","Legendary","Mystic","Mystic (Prime)"},0),4,6,9,14,20,24))*Sensitivity!$H$7,IF($D$36="Defense Penetration %",(CHOOSE(MATCH($C$36,{"Rare","Epic","Unique","Legendary","Mystic","Mystic (Prime)"},0),2,3,4.5,7,10,12))*Sensitivity!$H$17,0)))))))))))),0)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(Prime)"},0),2,3,4.5,7,10,12))*Sensitivity!$H$14,IF($G$36="Min Damage Multiplier %",(CHOOSE(MATCH($F$36,{"Rare","Epic","Unique","Legendary","Mystic","Mystic (Prime)"},0),2,3,4.5,7,10,12))*Sensitivity!$H$12,IF($G$36="Max Damage Multiplier %",(CHOOSE(MATCH($F$36,{"Rare","Epic","Unique","Legendary","Mystic","Mystic (Prime)"},0),2,3,4.5,7,10,12))*Sensitivity!$H$13,IF($G$36="Boss Monster Damage %",(CHOOSE(MATCH($F$36,{"Rare","Epic","Unique","Legendary","Mystic","Mystic (Prime)"},0),4,6,9,14,20,24))*Sensitivity!$H$9,IF($G$36="Normal Monster Damage %",(CHOOSE(MATCH($F$36,{"Rare","Epic","Unique","Legendary","Mystic","Mystic (Prime)"},0),4,6,9,14,20,24))*Sensitivity!$H$10,IF($G$36="Status Effect Damage %",0,IF($G$36="Damage %",(CHOOSE(MATCH($F$36,{"Rare","Epic","Unique","Legendary","Mystic","Mystic (Prime)"},0),4,6,9,14,20,24))*Sensitivity!$H$7,IF($G$36="Defense Penetration %",(CHOOSE(MATCH($F$36,{"Rare","Epic","Unique","Legendary","Mystic","Mystic (Prime)"},0),2,3,4.5,7,10,12))*Sensitivity!$H$17,0)))))))))))),0)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(Prime)"},0),2,3,4.5,7,10,12))*Sensitivity!$H$14,IF($J$36="Min Damage Multiplier %",(CHOOSE(MATCH($I$36,{"Rare","Epic","Unique","Legendary","Mystic","Mystic (Prime)"},0),2,3,4.5,7,10,12))*Sensitivity!$H$12,IF($J$36="Max Damage Multiplier %",(CHOOSE(MATCH($I$36,{"Rare","Epic","Unique","Legendary","Mystic","Mystic (Prime)"},0),2,3,4.5,7,10,12))*Sensitivity!$H$13,IF($J$36="Boss Monster Damage %",(CHOOSE(MATCH($I$36,{"Rare","Epic","Unique","Legendary","Mystic","Mystic (Prime)"},0),4,6,9,14,20,24))*Sensitivity!$H$9,IF($J$36="Normal Monster Damage %",(CHOOSE(MATCH($I$36,{"Rare","Epic","Unique","Legendary","Mystic","Mystic (Prime)"},0),4,6,9,14,20,24))*Sensitivity!$H$10,IF($J$36="Status Effect Damage %",0,IF($J$36="Damage %",(CHOOSE(MATCH($I$36,{"Rare","Epic","Unique","Legendary","Mystic","Mystic (Prime)"},0),4,6,9,14,20,24))*Sensitivity!$H$7,IF($J$36="Defense Penetration %",(CHOOSE(MATCH($I$36,{"Rare","Epic","Unique","Legendary","Mystic","Mystic (Prime)"},0),2,3,4.5,7,10,12))*Sensitivity!$H$17,0)))))))))))),0)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(Prime)"},0),2,3,4.5,7,10,12))*Sensitivity!$H$14,IF($D$37="Min Damage Multiplier %",(CHOOSE(MATCH($C$37,{"Rare","Epic","Unique","Legendary","Mystic","Mystic (Prime)"},0),2,3,4.5,7,10,12))*Sensitivity!$H$12,IF($D$37="Max Damage Multiplier %",(CHOOSE(MATCH($C$37,{"Rare","Epic","Unique","Legendary","Mystic","Mystic (Prime)"},0),2,3,4.5,7,10,12))*Sensitivity!$H$13,IF($D$37="Boss Monster Damage %",(CHOOSE(MATCH($C$37,{"Rare","Epic","Unique","Legendary","Mystic","Mystic (Prime)"},0),4,6,9,14,20,24))*Sensitivity!$H$9,IF($D$37="Normal Monster Damage %",(CHOOSE(MATCH($C$37,{"Rare","Epic","Unique","Legendary","Mystic","Mystic (Prime)"},0),4,6,9,14,20,24))*Sensitivity!$H$10,IF($D$37="Status Effect Damage %",0,IF($D$37="Damage %",(CHOOSE(MATCH($C$37,{"Rare","Epic","Unique","Legendary","Mystic","Mystic (Prime)"},0),4,6,9,14,20,24))*Sensitivity!$H$7,IF($D$37="Defense Penetration %",(CHOOSE(MATCH($C$37,{"Rare","Epic","Unique","Legendary","Mystic","Mystic (Prime)"},0),2,3,4.5,7,10,12))*Sensitivity!$H$17,0)))))))))))),0)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(Prime)"},0),2,3,4.5,7,10,12))*Sensitivity!$H$14,IF($G$37="Min Damage Multiplier %",(CHOOSE(MATCH($F$37,{"Rare","Epic","Unique","Legendary","Mystic","Mystic (Prime)"},0),2,3,4.5,7,10,12))*Sensitivity!$H$12,IF($G$37="Max Damage Multiplier %",(CHOOSE(MATCH($F$37,{"Rare","Epic","Unique","Legendary","Mystic","Mystic (Prime)"},0),2,3,4.5,7,10,12))*Sensitivity!$H$13,IF($G$37="Boss Monster Damage %",(CHOOSE(MATCH($F$37,{"Rare","Epic","Unique","Legendary","Mystic","Mystic (Prime)"},0),4,6,9,14,20,24))*Sensitivity!$H$9,IF($G$37="Normal Monster Damage %",(CHOOSE(MATCH($F$37,{"Rare","Epic","Unique","Legendary","Mystic","Mystic (Prime)"},0),4,6,9,14,20,24))*Sensitivity!$H$10,IF($G$37="Status Effect Damage %",0,IF($G$37="Damage %",(CHOOSE(MATCH($F$37,{"Rare","Epic","Unique","Legendary","Mystic","Mystic (Prime)"},0),4,6,9,14,20,24))*Sensitivity!$H$7,IF($G$37="Defense Penetration %",(CHOOSE(MATCH($F$37,{"Rare","Epic","Unique","Legendary","Mystic","Mystic (Prime)"},0),2,3,4.5,7,10,12))*Sensitivity!$H$17,0)))))))))))),0)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(Prime)"},0),2,3,4.5,7,10,12))*Sensitivity!$H$14,IF($J$37="Min Damage Multiplier %",(CHOOSE(MATCH($I$37,{"Rare","Epic","Unique","Legendary","Mystic","Mystic (Prime)"},0),2,3,4.5,7,10,12))*Sensitivity!$H$12,IF($J$37="Max Damage Multiplier %",(CHOOSE(MATCH($I$37,{"Rare","Epic","Unique","Legendary","Mystic","Mystic (Prime)"},0),2,3,4.5,7,10,12))*Sensitivity!$H$13,IF($J$37="Boss Monster Damage %",(CHOOSE(MATCH($I$37,{"Rare","Epic","Unique","Legendary","Mystic","Mystic (Prime)"},0),4,6,9,14,20,24))*Sensitivity!$H$9,IF($J$37="Normal Monster Damage %",(CHOOSE(MATCH($I$37,{"Rare","Epic","Unique","Legendary","Mystic","Mystic (Prime)"},0),4,6,9,14,20,24))*Sensitivity!$H$10,IF($J$37="Status Effect Damage %",0,IF($J$37="Damage %",(CHOOSE(MATCH($I$37,{"Rare","Epic","Unique","Legendary","Mystic","Mystic (Prime)"},0),4,6,9,14,20,24))*Sensitivity!$H$7,IF($J$37="Defense Penetration %",(CHOOSE(MATCH($I$37,{"Rare","Epic","Unique","Legendary","Mystic","Mystic (Prime)"},0),2,3,4.5,7,10,12))*Sensitivity!$H$17,0)))))))))))),0)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(Prime)"},0),2,3,4.5,7,10,12))*Sensitivity!$H$14,IF($D$38="Min Damage Multiplier %",(CHOOSE(MATCH($C$38,{"Rare","Epic","Unique","Legendary","Mystic","Mystic (Prime)"},0),2,3,4.5,7,10,12))*Sensitivity!$H$12,IF($D$38="Max Damage Multiplier %",(CHOOSE(MATCH($C$38,{"Rare","Epic","Unique","Legendary","Mystic","Mystic (Prime)"},0),2,3,4.5,7,10,12))*Sensitivity!$H$13,IF($D$38="Boss Monster Damage %",(CHOOSE(MATCH($C$38,{"Rare","Epic","Unique","Legendary","Mystic","Mystic (Prime)"},0),4,6,9,14,20,24))*Sensitivity!$H$9,IF($D$38="Normal Monster Damage %",(CHOOSE(MATCH($C$38,{"Rare","Epic","Unique","Legendary","Mystic","Mystic (Prime)"},0),4,6,9,14,20,24))*Sensitivity!$H$10,IF($D$38="Status Effect Damage %",0,IF($D$38="Damage %",(CHOOSE(MATCH($C$38,{"Rare","Epic","Unique","Legendary","Mystic","Mystic (Prime)"},0),4,6,9,14,20,24))*Sensitivity!$H$7,IF($D$38="Defense Penetration %",(CHOOSE(MATCH($C$38,{"Rare","Epic","Unique","Legendary","Mystic","Mystic (Prime)"},0),2,3,4.5,7,10,12))*Sensitivity!$H$17,0)))))))))))),0)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(Prime)"},0),2,3,4.5,7,10,12))*Sensitivity!$H$14,IF($G$38="Min Damage Multiplier %",(CHOOSE(MATCH($F$38,{"Rare","Epic","Unique","Legendary","Mystic","Mystic (Prime)"},0),2,3,4.5,7,10,12))*Sensitivity!$H$12,IF($G$38="Max Damage Multiplier %",(CHOOSE(MATCH($F$38,{"Rare","Epic","Unique","Legendary","Mystic","Mystic (Prime)"},0),2,3,4.5,7,10,12))*Sensitivity!$H$13,IF($G$38="Boss Monster Damage %",(CHOOSE(MATCH($F$38,{"Rare","Epic","Unique","Legendary","Mystic","Mystic (Prime)"},0),4,6,9,14,20,24))*Sensitivity!$H$9,IF($G$38="Normal Monster Damage %",(CHOOSE(MATCH($F$38,{"Rare","Epic","Unique","Legendary","Mystic","Mystic (Prime)"},0),4,6,9,14,20,24))*Sensitivity!$H$10,IF($G$38="Status Effect Damage %",0,IF($G$38="Damage %",(CHOOSE(MATCH($F$38,{"Rare","Epic","Unique","Legendary","Mystic","Mystic (Prime)"},0),4,6,9,14,20,24))*Sensitivity!$H$7,IF($G$38="Defense Penetration %",(CHOOSE(MATCH($F$38,{"Rare","Epic","Unique","Legendary","Mystic","Mystic (Prime)"},0),2,3,4.5,7,10,12))*Sensitivity!$H$17,0)))))))))))),0)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(Prime)"},0),2,3,4.5,7,10,12))*Sensitivity!$H$14,IF($J$38="Min Damage Multiplier %",(CHOOSE(MATCH($I$38,{"Rare","Epic","Unique","Legendary","Mystic","Mystic (Prime)"},0),2,3,4.5,7,10,12))*Sensitivity!$H$12,IF($J$38="Max Damage Multiplier %",(CHOOSE(MATCH($I$38,{"Rare","Epic","Unique","Legendary","Mystic","Mystic (Prime)"},0),2,3,4.5,7,10,12))*Sensitivity!$H$13,IF($J$38="Boss Monster Damage %",(CHOOSE(MATCH($I$38,{"Rare","Epic","Unique","Legendary","Mystic","Mystic (Prime)"},0),4,6,9,14,20,24))*Sensitivity!$H$9,IF($J$38="Normal Monster Damage %",(CHOOSE(MATCH($I$38,{"Rare","Epic","Unique","Legendary","Mystic","Mystic (Prime)"},0),4,6,9,14,20,24))*Sensitivity!$H$10,IF($J$38="Status Effect Damage %",0,IF($J$38="Damage %",(CHOOSE(MATCH($I$38,{"Rare","Epic","Unique","Legendary","Mystic","Mystic (Prime)"},0),4,6,9,14,20,24))*Sensitivity!$H$7,IF($J$38="Defense Penetration %",(CHOOSE(MATCH($I$38,{"Rare","Epic","Unique","Legendary","Mystic","Mystic (Prime)"},0),2,3,4.5,7,10,12))*Sensitivity!$H$17,0)))))))))))),0)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(Prime)"},0),2,3,4.5,7,10,12))*Sensitivity!$H$14,IF($D$39="Min Damage Multiplier %",(CHOOSE(MATCH($C$39,{"Rare","Epic","Unique","Legendary","Mystic","Mystic (Prime)"},0),2,3,4.5,7,10,12))*Sensitivity!$H$12,IF($D$39="Max Damage Multiplier %",(CHOOSE(MATCH($C$39,{"Rare","Epic","Unique","Legendary","Mystic","Mystic (Prime)"},0),2,3,4.5,7,10,12))*Sensitivity!$H$13,IF($D$39="Boss Monster Damage %",(CHOOSE(MATCH($C$39,{"Rare","Epic","Unique","Legendary","Mystic","Mystic (Prime)"},0),4,6,9,14,20,24))*Sensitivity!$H$9,IF($D$39="Normal Monster Damage %",(CHOOSE(MATCH($C$39,{"Rare","Epic","Unique","Legendary","Mystic","Mystic (Prime)"},0),4,6,9,14,20,24))*Sensitivity!$H$10,IF($D$39="Status Effect Damage %",0,IF($D$39="Damage %",(CHOOSE(MATCH($C$39,{"Rare","Epic","Unique","Legendary","Mystic","Mystic (Prime)"},0),4,6,9,14,20,24))*Sensitivity!$H$7,IF($D$39="Defense Penetration %",(CHOOSE(MATCH($C$39,{"Rare","Epic","Unique","Legendary","Mystic","Mystic (Prime)"},0),2,3,4.5,7,10,12))*Sensitivity!$H$17,0)))))))))))),0)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(Prime)"},0),2,3,4.5,7,10,12))*Sensitivity!$H$14,IF($G$39="Min Damage Multiplier %",(CHOOSE(MATCH($F$39,{"Rare","Epic","Unique","Legendary","Mystic","Mystic (Prime)"},0),2,3,4.5,7,10,12))*Sensitivity!$H$12,IF($G$39="Max Damage Multiplier %",(CHOOSE(MATCH($F$39,{"Rare","Epic","Unique","Legendary","Mystic","Mystic (Prime)"},0),2,3,4.5,7,10,12))*Sensitivity!$H$13,IF($G$39="Boss Monster Damage %",(CHOOSE(MATCH($F$39,{"Rare","Epic","Unique","Legendary","Mystic","Mystic (Prime)"},0),4,6,9,14,20,24))*Sensitivity!$H$9,IF($G$39="Normal Monster Damage %",(CHOOSE(MATCH($F$39,{"Rare","Epic","Unique","Legendary","Mystic","Mystic (Prime)"},0),4,6,9,14,20,24))*Sensitivity!$H$10,IF($G$39="Status Effect Damage %",0,IF($G$39="Damage %",(CHOOSE(MATCH($F$39,{"Rare","Epic","Unique","Legendary","Mystic","Mystic (Prime)"},0),4,6,9,14,20,24))*Sensitivity!$H$7,IF($G$39="Defense Penetration %",(CHOOSE(MATCH($F$39,{"Rare","Epic","Unique","Legendary","Mystic","Mystic (Prime)"},0),2,3,4.5,7,10,12))*Sensitivity!$H$17,0)))))))))))),0)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(Prime)"},0),2,3,4.5,7,10,12))*Sensitivity!$H$14,IF($J$39="Min Damage Multiplier %",(CHOOSE(MATCH($I$39,{"Rare","Epic","Unique","Legendary","Mystic","Mystic (Prime)"},0),2,3,4.5,7,10,12))*Sensitivity!$H$12,IF($J$39="Max Damage Multiplier %",(CHOOSE(MATCH($I$39,{"Rare","Epic","Unique","Legendary","Mystic","Mystic (Prime)"},0),2,3,4.5,7,10,12))*Sensitivity!$H$13,IF($J$39="Boss Monster Damage %",(CHOOSE(MATCH($I$39,{"Rare","Epic","Unique","Legendary","Mystic","Mystic (Prime)"},0),4,6,9,14,20,24))*Sensitivity!$H$9,IF($J$39="Normal Monster Damage %",(CHOOSE(MATCH($I$39,{"Rare","Epic","Unique","Legendary","Mystic","Mystic (Prime)"},0),4,6,9,14,20,24))*Sensitivity!$H$10,IF($J$39="Status Effect Damage %",0,IF($J$39="Damage %",(CHOOSE(MATCH($I$39,{"Rare","Epic","Unique","Legendary","Mystic","Mystic (Prime)"},0),4,6,9,14,20,24))*Sensitivity!$H$7,IF($J$39="Defense Penetration %",(CHOOSE(MATCH($I$39,{"Rare","Epic","Unique","Legendary","Mystic","Mystic (Prime)"},0),2,3,4.5,7,10,12))*Sensitivity!$H$17,0)))))))))))),0)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n">
        <v>0</v>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(Prime)"},0),2,3,4.5,7,10,12))*Sensitivity!$H$14,IF($D$40="Min Damage Multiplier %",(CHOOSE(MATCH($C$40,{"Rare","Epic","Unique","Legendary","Mystic","Mystic (Prime)"},0),2,3,4.5,7,10,12))*Sensitivity!$H$12,IF($D$40="Max Damage Multiplier %",(CHOOSE(MATCH($C$40,{"Rare","Epic","Unique","Legendary","Mystic","Mystic (Prime)"},0),2,3,4.5,7,10,12))*Sensitivity!$H$13,IF($D$40="Boss Monster Damage %",(CHOOSE(MATCH($C$40,{"Rare","Epic","Unique","Legendary","Mystic","Mystic (Prime)"},0),4,6,9,14,20,24))*Sensitivity!$H$9,IF($D$40="Normal Monster Damage %",(CHOOSE(MATCH($C$40,{"Rare","Epic","Unique","Legendary","Mystic","Mystic (Prime)"},0),4,6,9,14,20,24))*Sensitivity!$H$10,IF($D$40="Status Effect Damage %",0,IF($D$40="Damage %",(CHOOSE(MATCH($C$40,{"Rare","Epic","Unique","Legendary","Mystic","Mystic (Prime)"},0),4,6,9,14,20,24))*Sensitivity!$H$7,IF($D$40="Defense Penetration %",(CHOOSE(MATCH($C$40,{"Rare","Epic","Unique","Legendary","Mystic","Mystic (Prime)"},0),2,3,4.5,7,10,12))*Sensitivity!$H$17,0)))))))))))),0)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(Prime)"},0),2,3,4.5,7,10,12))*Sensitivity!$H$14,IF($G$40="Min Damage Multiplier %",(CHOOSE(MATCH($F$40,{"Rare","Epic","Unique","Legendary","Mystic","Mystic (Prime)"},0),2,3,4.5,7,10,12))*Sensitivity!$H$12,IF($G$40="Max Damage Multiplier %",(CHOOSE(MATCH($F$40,{"Rare","Epic","Unique","Legendary","Mystic","Mystic (Prime)"},0),2,3,4.5,7,10,12))*Sensitivity!$H$13,IF($G$40="Boss Monster Damage %",(CHOOSE(MATCH($F$40,{"Rare","Epic","Unique","Legendary","Mystic","Mystic (Prime)"},0),4,6,9,14,20,24))*Sensitivity!$H$9,IF($G$40="Normal Monster Damage %",(CHOOSE(MATCH($F$40,{"Rare","Epic","Unique","Legendary","Mystic","Mystic (Prime)"},0),4,6,9,14,20,24))*Sensitivity!$H$10,IF($G$40="Status Effect Damage %",0,IF($G$40="Damage %",(CHOOSE(MATCH($F$40,{"Rare","Epic","Unique","Legendary","Mystic","Mystic (Prime)"},0),4,6,9,14,20,24))*Sensitivity!$H$7,IF($G$40="Defense Penetration %",(CHOOSE(MATCH($F$40,{"Rare","Epic","Unique","Legendary","Mystic","Mystic (Prime)"},0),2,3,4.5,7,10,12))*Sensitivity!$H$17,0)))))))))))),0)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(Prime)"},0),2,3,4.5,7,10,12))*Sensitivity!$H$14,IF($J$40="Min Damage Multiplier %",(CHOOSE(MATCH($I$40,{"Rare","Epic","Unique","Legendary","Mystic","Mystic (Prime)"},0),2,3,4.5,7,10,12))*Sensitivity!$H$12,IF($J$40="Max Damage Multiplier %",(CHOOSE(MATCH($I$40,{"Rare","Epic","Unique","Legendary","Mystic","Mystic (Prime)"},0),2,3,4.5,7,10,12))*Sensitivity!$H$13,IF($J$40="Boss Monster Damage %",(CHOOSE(MATCH($I$40,{"Rare","Epic","Unique","Legendary","Mystic","Mystic (Prime)"},0),4,6,9,14,20,24))*Sensitivity!$H$9,IF($J$40="Normal Monster Damage %",(CHOOSE(MATCH($I$40,{"Rare","Epic","Unique","Legendary","Mystic","Mystic (Prime)"},0),4,6,9,14,20,24))*Sensitivity!$H$10,IF($J$40="Status Effect Damage %",0,IF($J$40="Damage %",(CHOOSE(MATCH($I$40,{"Rare","Epic","Unique","Legendary","Mystic","Mystic (Prime)"},0),4,6,9,14,20,24))*Sensitivity!$H$7,IF($J$40="Defense Penetration %",(CHOOSE(MATCH($I$40,{"Rare","Epic","Unique","Legendary","Mystic","Mystic (Prime)"},0),2,3,4.5,7,10,12))*Sensitivity!$H$17,0)))))))))))),0)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n">
        <v>1</v>
      </c>
      <c r="C41" s="7" t="inlineStr">
        <is>
          <t>Legendary</t>
        </is>
      </c>
      <c r="D41" s="7" t="inlineStr">
        <is>
          <t>Main Stat %</t>
        </is>
      </c>
      <c r="E41">
        <f>IF($N$41&gt;=1,IF($D$41="Main Stat %",(CHOOSE(MATCH($C$41,{"Rare","Epic","Unique","Legendary","Mystic","Mystic (Prime)"},0),2,3,4.5,7,10,12))*Sensitivity!$H$6,IF($D$41="Damage Taken Decrease %",0,IF($D$41="Defense %",0,IF($D$41="Accuracy",0,IF($D$41="Critical Rate %",(CHOOSE(MATCH($C$41,{"Rare","Epic","Unique","Legendary","Mystic","Mystic (Prime)"},0),2,3,4.5,7,10,12))*Sensitivity!$H$14,IF($D$41="Min Damage Multiplier %",(CHOOSE(MATCH($C$41,{"Rare","Epic","Unique","Legendary","Mystic","Mystic (Prime)"},0),2,3,4.5,7,10,12))*Sensitivity!$H$12,IF($D$41="Max Damage Multiplier %",(CHOOSE(MATCH($C$41,{"Rare","Epic","Unique","Legendary","Mystic","Mystic (Prime)"},0),2,3,4.5,7,10,12))*Sensitivity!$H$13,IF($D$41="Boss Monster Damage %",(CHOOSE(MATCH($C$41,{"Rare","Epic","Unique","Legendary","Mystic","Mystic (Prime)"},0),4,6,9,14,20,24))*Sensitivity!$H$9,IF($D$41="Normal Monster Damage %",(CHOOSE(MATCH($C$41,{"Rare","Epic","Unique","Legendary","Mystic","Mystic (Prime)"},0),4,6,9,14,20,24))*Sensitivity!$H$10,IF($D$41="Status Effect Damage %",0,IF($D$41="Damage %",(CHOOSE(MATCH($C$41,{"Rare","Epic","Unique","Legendary","Mystic","Mystic (Prime)"},0),4,6,9,14,20,24))*Sensitivity!$H$7,IF($D$41="Defense Penetration %",(CHOOSE(MATCH($C$41,{"Rare","Epic","Unique","Legendary","Mystic","Mystic (Prime)"},0),2,3,4.5,7,10,12))*Sensitivity!$H$17,0)))))))))))),0)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(Prime)"},0),2,3,4.5,7,10,12))*Sensitivity!$H$14,IF($G$41="Min Damage Multiplier %",(CHOOSE(MATCH($F$41,{"Rare","Epic","Unique","Legendary","Mystic","Mystic (Prime)"},0),2,3,4.5,7,10,12))*Sensitivity!$H$12,IF($G$41="Max Damage Multiplier %",(CHOOSE(MATCH($F$41,{"Rare","Epic","Unique","Legendary","Mystic","Mystic (Prime)"},0),2,3,4.5,7,10,12))*Sensitivity!$H$13,IF($G$41="Boss Monster Damage %",(CHOOSE(MATCH($F$41,{"Rare","Epic","Unique","Legendary","Mystic","Mystic (Prime)"},0),4,6,9,14,20,24))*Sensitivity!$H$9,IF($G$41="Normal Monster Damage %",(CHOOSE(MATCH($F$41,{"Rare","Epic","Unique","Legendary","Mystic","Mystic (Prime)"},0),4,6,9,14,20,24))*Sensitivity!$H$10,IF($G$41="Status Effect Damage %",0,IF($G$41="Damage %",(CHOOSE(MATCH($F$41,{"Rare","Epic","Unique","Legendary","Mystic","Mystic (Prime)"},0),4,6,9,14,20,24))*Sensitivity!$H$7,IF($G$41="Defense Penetration %",(CHOOSE(MATCH($F$41,{"Rare","Epic","Unique","Legendary","Mystic","Mystic (Prime)"},0),2,3,4.5,7,10,12))*Sensitivity!$H$17,0)))))))))))),0)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(Prime)"},0),2,3,4.5,7,10,12))*Sensitivity!$H$14,IF($J$41="Min Damage Multiplier %",(CHOOSE(MATCH($I$41,{"Rare","Epic","Unique","Legendary","Mystic","Mystic (Prime)"},0),2,3,4.5,7,10,12))*Sensitivity!$H$12,IF($J$41="Max Damage Multiplier %",(CHOOSE(MATCH($I$41,{"Rare","Epic","Unique","Legendary","Mystic","Mystic (Prime)"},0),2,3,4.5,7,10,12))*Sensitivity!$H$13,IF($J$41="Boss Monster Damage %",(CHOOSE(MATCH($I$41,{"Rare","Epic","Unique","Legendary","Mystic","Mystic (Prime)"},0),4,6,9,14,20,24))*Sensitivity!$H$9,IF($J$41="Normal Monster Damage %",(CHOOSE(MATCH($I$41,{"Rare","Epic","Unique","Legendary","Mystic","Mystic (Prime)"},0),4,6,9,14,20,24))*Sensitivity!$H$10,IF($J$41="Status Effect Damage %",0,IF($J$41="Damage %",(CHOOSE(MATCH($I$41,{"Rare","Epic","Unique","Legendary","Mystic","Mystic (Prime)"},0),4,6,9,14,20,24))*Sensitivity!$H$7,IF($J$41="Defense Penetration %",(CHOOSE(MATCH($I$41,{"Rare","Epic","Unique","Legendary","Mystic","Mystic (Prime)"},0),2,3,4.5,7,10,12))*Sensitivity!$H$17,0)))))))))))),0)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n">
        <v>1</v>
      </c>
      <c r="C42" s="7" t="inlineStr">
        <is>
          <t>Unique</t>
        </is>
      </c>
      <c r="D42" s="7" t="inlineStr">
        <is>
          <t>Defense Penetration %</t>
        </is>
      </c>
      <c r="E42">
        <f>IF($N$42&gt;=1,IF($D$42="Main Stat %",(CHOOSE(MATCH($C$42,{"Rare","Epic","Unique","Legendary","Mystic","Mystic (Prime)"},0),2,3,4.5,7,10,12))*Sensitivity!$H$6,IF($D$42="Damage Taken Decrease %",0,IF($D$42="Defense %",0,IF($D$42="Accuracy",0,IF($D$42="Critical Rate %",(CHOOSE(MATCH($C$42,{"Rare","Epic","Unique","Legendary","Mystic","Mystic (Prime)"},0),2,3,4.5,7,10,12))*Sensitivity!$H$14,IF($D$42="Min Damage Multiplier %",(CHOOSE(MATCH($C$42,{"Rare","Epic","Unique","Legendary","Mystic","Mystic (Prime)"},0),2,3,4.5,7,10,12))*Sensitivity!$H$12,IF($D$42="Max Damage Multiplier %",(CHOOSE(MATCH($C$42,{"Rare","Epic","Unique","Legendary","Mystic","Mystic (Prime)"},0),2,3,4.5,7,10,12))*Sensitivity!$H$13,IF($D$42="Boss Monster Damage %",(CHOOSE(MATCH($C$42,{"Rare","Epic","Unique","Legendary","Mystic","Mystic (Prime)"},0),4,6,9,14,20,24))*Sensitivity!$H$9,IF($D$42="Normal Monster Damage %",(CHOOSE(MATCH($C$42,{"Rare","Epic","Unique","Legendary","Mystic","Mystic (Prime)"},0),4,6,9,14,20,24))*Sensitivity!$H$10,IF($D$42="Status Effect Damage %",0,IF($D$42="Damage %",(CHOOSE(MATCH($C$42,{"Rare","Epic","Unique","Legendary","Mystic","Mystic (Prime)"},0),4,6,9,14,20,24))*Sensitivity!$H$7,IF($D$42="Defense Penetration %",(CHOOSE(MATCH($C$42,{"Rare","Epic","Unique","Legendary","Mystic","Mystic (Prime)"},0),2,3,4.5,7,10,12))*Sensitivity!$H$17,0)))))))))))),0)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(Prime)"},0),2,3,4.5,7,10,12))*Sensitivity!$H$14,IF($G$42="Min Damage Multiplier %",(CHOOSE(MATCH($F$42,{"Rare","Epic","Unique","Legendary","Mystic","Mystic (Prime)"},0),2,3,4.5,7,10,12))*Sensitivity!$H$12,IF($G$42="Max Damage Multiplier %",(CHOOSE(MATCH($F$42,{"Rare","Epic","Unique","Legendary","Mystic","Mystic (Prime)"},0),2,3,4.5,7,10,12))*Sensitivity!$H$13,IF($G$42="Boss Monster Damage %",(CHOOSE(MATCH($F$42,{"Rare","Epic","Unique","Legendary","Mystic","Mystic (Prime)"},0),4,6,9,14,20,24))*Sensitivity!$H$9,IF($G$42="Normal Monster Damage %",(CHOOSE(MATCH($F$42,{"Rare","Epic","Unique","Legendary","Mystic","Mystic (Prime)"},0),4,6,9,14,20,24))*Sensitivity!$H$10,IF($G$42="Status Effect Damage %",0,IF($G$42="Damage %",(CHOOSE(MATCH($F$42,{"Rare","Epic","Unique","Legendary","Mystic","Mystic (Prime)"},0),4,6,9,14,20,24))*Sensitivity!$H$7,IF($G$42="Defense Penetration %",(CHOOSE(MATCH($F$42,{"Rare","Epic","Unique","Legendary","Mystic","Mystic (Prime)"},0),2,3,4.5,7,10,12))*Sensitivity!$H$17,0)))))))))))),0)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(Prime)"},0),2,3,4.5,7,10,12))*Sensitivity!$H$14,IF($J$42="Min Damage Multiplier %",(CHOOSE(MATCH($I$42,{"Rare","Epic","Unique","Legendary","Mystic","Mystic (Prime)"},0),2,3,4.5,7,10,12))*Sensitivity!$H$12,IF($J$42="Max Damage Multiplier %",(CHOOSE(MATCH($I$42,{"Rare","Epic","Unique","Legendary","Mystic","Mystic (Prime)"},0),2,3,4.5,7,10,12))*Sensitivity!$H$13,IF($J$42="Boss Monster Damage %",(CHOOSE(MATCH($I$42,{"Rare","Epic","Unique","Legendary","Mystic","Mystic (Prime)"},0),4,6,9,14,20,24))*Sensitivity!$H$9,IF($J$42="Normal Monster Damage %",(CHOOSE(MATCH($I$42,{"Rare","Epic","Unique","Legendary","Mystic","Mystic (Prime)"},0),4,6,9,14,20,24))*Sensitivity!$H$10,IF($J$42="Status Effect Damage %",0,IF($J$42="Damage %",(CHOOSE(MATCH($I$42,{"Rare","Epic","Unique","Legendary","Mystic","Mystic (Prime)"},0),4,6,9,14,20,24))*Sensitivity!$H$7,IF($J$42="Defense Penetration %",(CHOOSE(MATCH($I$42,{"Rare","Epic","Unique","Legendary","Mystic","Mystic (Prime)"},0),2,3,4.5,7,10,12))*Sensitivity!$H$17,0)))))))))))),0)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Sensitivity!H DPS-per-unit values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unique</t>
        </is>
      </c>
      <c r="D6" t="n">
        <v>49</v>
      </c>
      <c r="E6" t="inlineStr">
        <is>
          <t>Int %</t>
        </is>
      </c>
      <c r="F6" t="n">
        <v>9</v>
      </c>
      <c r="G6" t="inlineStr">
        <is>
          <t>Int %</t>
        </is>
      </c>
      <c r="H6" t="n">
        <v>6</v>
      </c>
      <c r="I6" t="inlineStr">
        <is>
          <t>Attack Speed %</t>
        </is>
      </c>
      <c r="J6" t="n">
        <v>4</v>
      </c>
    </row>
    <row r="7">
      <c r="A7" t="inlineStr">
        <is>
          <t>head</t>
        </is>
      </c>
      <c r="B7" t="inlineStr">
        <is>
          <t>Bonus Potential</t>
        </is>
      </c>
      <c r="C7" t="inlineStr">
        <is>
          <t>epic</t>
        </is>
      </c>
      <c r="D7" t="n">
        <v>49</v>
      </c>
      <c r="E7" t="inlineStr">
        <is>
          <t>Int %</t>
        </is>
      </c>
      <c r="F7" t="n">
        <v>9</v>
      </c>
      <c r="G7" t="inlineStr">
        <is>
          <t>Defense %</t>
        </is>
      </c>
      <c r="H7" t="n">
        <v>4.5</v>
      </c>
      <c r="I7" t="inlineStr">
        <is>
          <t>Min Damage Multiplier %</t>
        </is>
      </c>
      <c r="J7" t="n">
        <v>6</v>
      </c>
    </row>
    <row r="8">
      <c r="A8" t="inlineStr">
        <is>
          <t>cape</t>
        </is>
      </c>
      <c r="B8" t="inlineStr">
        <is>
          <t>Potential</t>
        </is>
      </c>
      <c r="C8" t="inlineStr">
        <is>
          <t>legendary</t>
        </is>
      </c>
      <c r="D8" t="n">
        <v>67</v>
      </c>
      <c r="E8" t="inlineStr">
        <is>
          <t>Final Damage %</t>
        </is>
      </c>
      <c r="F8" t="n">
        <v>8</v>
      </c>
      <c r="G8" t="inlineStr">
        <is>
          <t>Min Damage Multiplier %</t>
        </is>
      </c>
      <c r="H8" t="n">
        <v>15</v>
      </c>
      <c r="I8" t="inlineStr">
        <is>
          <t>Final Damage %</t>
        </is>
      </c>
      <c r="J8" t="n">
        <v>5</v>
      </c>
    </row>
    <row r="9">
      <c r="A9" t="inlineStr">
        <is>
          <t>cape</t>
        </is>
      </c>
      <c r="B9" t="inlineStr">
        <is>
          <t>Bonus Potential</t>
        </is>
      </c>
      <c r="C9" t="inlineStr">
        <is>
          <t>epic</t>
        </is>
      </c>
      <c r="D9" t="n">
        <v>14</v>
      </c>
      <c r="E9" t="inlineStr">
        <is>
          <t>Min Damage Multiplier %</t>
        </is>
      </c>
      <c r="F9" t="n">
        <v>8</v>
      </c>
      <c r="G9" t="inlineStr">
        <is>
          <t>Int %</t>
        </is>
      </c>
      <c r="H9" t="n">
        <v>4.5</v>
      </c>
      <c r="I9" t="inlineStr">
        <is>
          <t>Max Damage Multiplier %</t>
        </is>
      </c>
      <c r="J9" t="n">
        <v>6</v>
      </c>
    </row>
    <row r="10">
      <c r="A10" t="inlineStr">
        <is>
          <t>chest</t>
        </is>
      </c>
      <c r="B10" t="inlineStr">
        <is>
          <t>Potential</t>
        </is>
      </c>
      <c r="C10" t="inlineStr">
        <is>
          <t>mystic</t>
        </is>
      </c>
      <c r="D10" t="n">
        <v>0</v>
      </c>
      <c r="E10" t="inlineStr">
        <is>
          <t>Basic Attack Target Increase</t>
        </is>
      </c>
      <c r="F10" t="n">
        <v>3</v>
      </c>
      <c r="G10" t="inlineStr">
        <is>
          <t>Critical Rate %</t>
        </is>
      </c>
      <c r="H10" t="n">
        <v>12</v>
      </c>
      <c r="I10" t="inlineStr">
        <is>
          <t>Basic Attack Target Increase</t>
        </is>
      </c>
      <c r="J10" t="n">
        <v>2</v>
      </c>
    </row>
    <row r="11">
      <c r="A11" t="inlineStr">
        <is>
          <t>chest</t>
        </is>
      </c>
      <c r="B11" t="inlineStr">
        <is>
          <t>Bonus Potential</t>
        </is>
      </c>
      <c r="C11" t="inlineStr">
        <is>
          <t>unique</t>
        </is>
      </c>
      <c r="D11" t="n">
        <v>20</v>
      </c>
      <c r="E11" t="inlineStr">
        <is>
          <t>Int</t>
        </is>
      </c>
      <c r="F11" t="n">
        <v>400</v>
      </c>
      <c r="G11" t="inlineStr">
        <is>
          <t>Int %</t>
        </is>
      </c>
      <c r="H11" t="n">
        <v>9</v>
      </c>
      <c r="I11" t="inlineStr">
        <is>
          <t>Int %</t>
        </is>
      </c>
      <c r="J11" t="n">
        <v>6</v>
      </c>
    </row>
    <row r="12">
      <c r="A12" t="inlineStr">
        <is>
          <t>shoulders</t>
        </is>
      </c>
      <c r="B12" t="inlineStr">
        <is>
          <t>Potential</t>
        </is>
      </c>
      <c r="C12" t="inlineStr">
        <is>
          <t>legendary</t>
        </is>
      </c>
      <c r="D12" t="n">
        <v>44</v>
      </c>
      <c r="E12" t="inlineStr">
        <is>
          <t>Defense Penetration</t>
        </is>
      </c>
      <c r="F12" t="n">
        <v>12</v>
      </c>
      <c r="G12" t="inlineStr">
        <is>
          <t>Max Damage Multiplier %</t>
        </is>
      </c>
      <c r="H12" t="n">
        <v>10</v>
      </c>
      <c r="I12" t="inlineStr">
        <is>
          <t>Attack Speed %</t>
        </is>
      </c>
      <c r="J12" t="n">
        <v>5</v>
      </c>
    </row>
    <row r="13">
      <c r="A13" t="inlineStr">
        <is>
          <t>shoulders</t>
        </is>
      </c>
      <c r="B13" t="inlineStr">
        <is>
          <t>Bonus Potential</t>
        </is>
      </c>
      <c r="C13" t="inlineStr">
        <is>
          <t>rare</t>
        </is>
      </c>
      <c r="D13" t="n">
        <v>3</v>
      </c>
      <c r="E13" t="inlineStr">
        <is>
          <t>Max Damage Multiplier %</t>
        </is>
      </c>
      <c r="F13" t="n">
        <v>6</v>
      </c>
      <c r="G13" t="inlineStr">
        <is>
          <t>Int %</t>
        </is>
      </c>
      <c r="H13" t="n">
        <v>3</v>
      </c>
      <c r="I13" t="inlineStr">
        <is>
          <t>Attack Speed %</t>
        </is>
      </c>
      <c r="J13" t="n">
        <v>3</v>
      </c>
    </row>
    <row r="14">
      <c r="A14" t="inlineStr">
        <is>
          <t>legs</t>
        </is>
      </c>
      <c r="B14" t="inlineStr">
        <is>
          <t>Potential</t>
        </is>
      </c>
      <c r="C14" t="inlineStr">
        <is>
          <t>legendary</t>
        </is>
      </c>
      <c r="D14" t="n">
        <v>15</v>
      </c>
      <c r="E14" t="inlineStr">
        <is>
          <t>Min Damage Multiplier %</t>
        </is>
      </c>
      <c r="F14" t="n">
        <v>15</v>
      </c>
      <c r="G14" t="inlineStr">
        <is>
          <t>Final Damage %</t>
        </is>
      </c>
      <c r="H14" t="n">
        <v>8</v>
      </c>
      <c r="I14" t="inlineStr">
        <is>
          <t>Defense %</t>
        </is>
      </c>
      <c r="J14" t="n">
        <v>9</v>
      </c>
    </row>
    <row r="15">
      <c r="A15" t="inlineStr">
        <is>
          <t>legs</t>
        </is>
      </c>
      <c r="B15" t="inlineStr">
        <is>
          <t>Bonus Potential</t>
        </is>
      </c>
      <c r="C15" t="inlineStr">
        <is>
          <t>epic</t>
        </is>
      </c>
      <c r="D15" t="n">
        <v>78</v>
      </c>
      <c r="E15" t="inlineStr">
        <is>
          <t>Damage %</t>
        </is>
      </c>
      <c r="F15" t="n">
        <v>12</v>
      </c>
      <c r="G15" t="inlineStr">
        <is>
          <t>Int %</t>
        </is>
      </c>
      <c r="H15" t="n">
        <v>4.5</v>
      </c>
      <c r="I15" t="inlineStr">
        <is>
          <t>Min Damage Multiplier %</t>
        </is>
      </c>
      <c r="J15" t="n">
        <v>6</v>
      </c>
    </row>
    <row r="16">
      <c r="A16" t="inlineStr">
        <is>
          <t>belt</t>
        </is>
      </c>
      <c r="B16" t="inlineStr">
        <is>
          <t>Potential</t>
        </is>
      </c>
      <c r="C16" t="inlineStr">
        <is>
          <t>mystic</t>
        </is>
      </c>
      <c r="D16" t="n">
        <v>0</v>
      </c>
      <c r="E16" t="inlineStr">
        <is>
          <t>Buff Duration Increase %</t>
        </is>
      </c>
      <c r="F16" t="n">
        <v>20</v>
      </c>
      <c r="G16" t="inlineStr">
        <is>
          <t>Min Damage Multiplier %</t>
        </is>
      </c>
      <c r="H16" t="n">
        <v>15</v>
      </c>
      <c r="I16" t="inlineStr">
        <is>
          <t>Luk</t>
        </is>
      </c>
      <c r="J16" t="n">
        <v>600</v>
      </c>
    </row>
    <row r="17">
      <c r="A17" t="inlineStr">
        <is>
          <t>belt</t>
        </is>
      </c>
      <c r="B17" t="inlineStr">
        <is>
          <t>Bonus Potential</t>
        </is>
      </c>
      <c r="C17" t="inlineStr">
        <is>
          <t>rare</t>
        </is>
      </c>
      <c r="D17" t="n">
        <v>1</v>
      </c>
      <c r="E17" t="inlineStr">
        <is>
          <t>Int %</t>
        </is>
      </c>
      <c r="F17" t="n">
        <v>4.5</v>
      </c>
      <c r="G17" t="inlineStr">
        <is>
          <t>Damage %</t>
        </is>
      </c>
      <c r="H17" t="n">
        <v>5</v>
      </c>
      <c r="I17" t="inlineStr">
        <is>
          <t>Damage %</t>
        </is>
      </c>
      <c r="J17" t="n">
        <v>5</v>
      </c>
    </row>
    <row r="18">
      <c r="A18" t="inlineStr">
        <is>
          <t>gloves</t>
        </is>
      </c>
      <c r="B18" t="inlineStr">
        <is>
          <t>Potential</t>
        </is>
      </c>
      <c r="C18" t="inlineStr">
        <is>
          <t>legendary</t>
        </is>
      </c>
      <c r="D18" t="n">
        <v>64</v>
      </c>
      <c r="E18" t="inlineStr">
        <is>
          <t>Max MP %</t>
        </is>
      </c>
      <c r="F18" t="n">
        <v>12</v>
      </c>
      <c r="G18" t="inlineStr">
        <is>
          <t>Damage %</t>
        </is>
      </c>
      <c r="H18" t="n">
        <v>18</v>
      </c>
      <c r="I18" t="inlineStr">
        <is>
          <t>Critical Damage %</t>
        </is>
      </c>
      <c r="J18" t="n">
        <v>30</v>
      </c>
    </row>
    <row r="19">
      <c r="A19" t="inlineStr">
        <is>
          <t>gloves</t>
        </is>
      </c>
      <c r="B19" t="inlineStr">
        <is>
          <t>Bonus Potential</t>
        </is>
      </c>
      <c r="C19" t="inlineStr">
        <is>
          <t>epic</t>
        </is>
      </c>
      <c r="D19" t="n">
        <v>25</v>
      </c>
      <c r="E19" t="inlineStr">
        <is>
          <t>Critical Rate %</t>
        </is>
      </c>
      <c r="F19" t="n">
        <v>6</v>
      </c>
      <c r="G19" t="inlineStr">
        <is>
          <t>Max Damage Multiplier %</t>
        </is>
      </c>
      <c r="H19" t="n">
        <v>8</v>
      </c>
      <c r="I19" t="inlineStr">
        <is>
          <t>Int %</t>
        </is>
      </c>
      <c r="J19" t="n">
        <v>4.5</v>
      </c>
    </row>
    <row r="20">
      <c r="A20" t="inlineStr">
        <is>
          <t>boots</t>
        </is>
      </c>
      <c r="B20" t="inlineStr">
        <is>
          <t>Potential</t>
        </is>
      </c>
      <c r="C20" t="inlineStr">
        <is>
          <t>legendary</t>
        </is>
      </c>
      <c r="D20" t="n">
        <v>101</v>
      </c>
      <c r="E20" t="inlineStr">
        <is>
          <t>Damage %</t>
        </is>
      </c>
      <c r="F20" t="n">
        <v>25</v>
      </c>
      <c r="G20" t="inlineStr">
        <is>
          <t>Int %</t>
        </is>
      </c>
      <c r="H20" t="n">
        <v>12</v>
      </c>
      <c r="I20" t="inlineStr">
        <is>
          <t>Damage %</t>
        </is>
      </c>
      <c r="J20" t="n">
        <v>18</v>
      </c>
    </row>
    <row r="21">
      <c r="A21" t="inlineStr">
        <is>
          <t>boots</t>
        </is>
      </c>
      <c r="B21" t="inlineStr">
        <is>
          <t>Bonus Potential</t>
        </is>
      </c>
      <c r="C21" t="inlineStr">
        <is>
          <t>unique</t>
        </is>
      </c>
      <c r="D21" t="n">
        <v>151</v>
      </c>
      <c r="E21" t="inlineStr">
        <is>
          <t>Int %</t>
        </is>
      </c>
      <c r="F21" t="n">
        <v>9</v>
      </c>
      <c r="G21" t="inlineStr">
        <is>
          <t>Max Damage Multiplier %</t>
        </is>
      </c>
      <c r="H21" t="n">
        <v>8</v>
      </c>
      <c r="I21" t="inlineStr">
        <is>
          <t>Max HP %</t>
        </is>
      </c>
      <c r="J21" t="n">
        <v>12</v>
      </c>
    </row>
    <row r="22">
      <c r="A22" t="inlineStr">
        <is>
          <t>ring</t>
        </is>
      </c>
      <c r="B22" t="inlineStr">
        <is>
          <t>Potential</t>
        </is>
      </c>
      <c r="C22" t="inlineStr">
        <is>
          <t>unique</t>
        </is>
      </c>
      <c r="D22" t="n">
        <v>63</v>
      </c>
      <c r="E22" t="inlineStr">
        <is>
          <t>All Skill Level</t>
        </is>
      </c>
      <c r="F22" t="n">
        <v>8</v>
      </c>
      <c r="G22" t="inlineStr">
        <is>
          <t>Critical Rate %</t>
        </is>
      </c>
      <c r="H22" t="n">
        <v>6</v>
      </c>
      <c r="I22" t="inlineStr">
        <is>
          <t>Int %</t>
        </is>
      </c>
      <c r="J22" t="n">
        <v>6</v>
      </c>
    </row>
    <row r="23">
      <c r="A23" t="inlineStr">
        <is>
          <t>ring</t>
        </is>
      </c>
      <c r="B23" t="inlineStr">
        <is>
          <t>Bonus Potential</t>
        </is>
      </c>
      <c r="C23" t="inlineStr">
        <is>
          <t>unique</t>
        </is>
      </c>
      <c r="D23" t="n">
        <v>3</v>
      </c>
      <c r="E23" t="inlineStr">
        <is>
          <t>Int %</t>
        </is>
      </c>
      <c r="F23" t="n">
        <v>9</v>
      </c>
      <c r="G23" t="inlineStr">
        <is>
          <t>Damage %</t>
        </is>
      </c>
      <c r="H23" t="n">
        <v>12</v>
      </c>
      <c r="I23" t="inlineStr">
        <is>
          <t>Int</t>
        </is>
      </c>
      <c r="J23" t="n">
        <v>200</v>
      </c>
    </row>
    <row r="24">
      <c r="A24" t="inlineStr">
        <is>
          <t>neck</t>
        </is>
      </c>
      <c r="B24" t="inlineStr">
        <is>
          <t>Potential</t>
        </is>
      </c>
      <c r="C24" t="inlineStr">
        <is>
          <t>legendary</t>
        </is>
      </c>
      <c r="D24" t="n">
        <v>14</v>
      </c>
      <c r="E24" t="inlineStr">
        <is>
          <t>All Skill Level</t>
        </is>
      </c>
      <c r="F24" t="n">
        <v>12</v>
      </c>
      <c r="G24" t="inlineStr">
        <is>
          <t>Min Damage Multiplier %</t>
        </is>
      </c>
      <c r="H24" t="n">
        <v>15</v>
      </c>
      <c r="I24" t="inlineStr">
        <is>
          <t>Int %</t>
        </is>
      </c>
      <c r="J24" t="n">
        <v>9</v>
      </c>
    </row>
    <row r="25">
      <c r="A25" t="inlineStr">
        <is>
          <t>neck</t>
        </is>
      </c>
      <c r="B25" t="inlineStr">
        <is>
          <t>Bonus Potential</t>
        </is>
      </c>
      <c r="C25" t="inlineStr">
        <is>
          <t>legendary</t>
        </is>
      </c>
      <c r="D25" t="n">
        <v>66</v>
      </c>
      <c r="E25" t="inlineStr">
        <is>
          <t>Luk %</t>
        </is>
      </c>
      <c r="F25" t="n">
        <v>12</v>
      </c>
      <c r="G25" t="inlineStr">
        <is>
          <t>Int %</t>
        </is>
      </c>
      <c r="H25" t="n">
        <v>9</v>
      </c>
      <c r="I25" t="inlineStr">
        <is>
          <t>All Skill Level</t>
        </is>
      </c>
      <c r="J25" t="n">
        <v>8</v>
      </c>
    </row>
    <row r="26">
      <c r="A26" t="inlineStr">
        <is>
          <t>eye-accessory</t>
        </is>
      </c>
      <c r="B26" t="inlineStr">
        <is>
          <t>Potential</t>
        </is>
      </c>
      <c r="C26" t="inlineStr">
        <is>
          <t>legendary</t>
        </is>
      </c>
      <c r="D26" t="n">
        <v>331</v>
      </c>
      <c r="E26" t="inlineStr">
        <is>
          <t>Main Stat Per Level</t>
        </is>
      </c>
      <c r="F26" t="n">
        <v>35</v>
      </c>
      <c r="G26" t="inlineStr">
        <is>
          <t>Int</t>
        </is>
      </c>
      <c r="H26" t="n">
        <v>400</v>
      </c>
      <c r="I26" t="inlineStr">
        <is>
          <t>Int</t>
        </is>
      </c>
      <c r="J26" t="n">
        <v>400</v>
      </c>
    </row>
    <row r="27">
      <c r="A27" t="inlineStr">
        <is>
          <t>eye-accessory</t>
        </is>
      </c>
      <c r="B27" t="inlineStr">
        <is>
          <t>Bonus Potential</t>
        </is>
      </c>
      <c r="C27" t="inlineStr">
        <is>
          <t>unique</t>
        </is>
      </c>
      <c r="D27" t="n">
        <v>19</v>
      </c>
      <c r="E27" t="inlineStr">
        <is>
          <t>Main Stat Per Level</t>
        </is>
      </c>
      <c r="F27" t="n">
        <v>20</v>
      </c>
      <c r="G27" t="inlineStr">
        <is>
          <t>Max HP %</t>
        </is>
      </c>
      <c r="H27" t="n">
        <v>15</v>
      </c>
      <c r="I27" t="inlineStr">
        <is>
          <t>Max Damage Multiplier %</t>
        </is>
      </c>
      <c r="J27" t="n">
        <v>8</v>
      </c>
    </row>
    <row r="28">
      <c r="A28" t="inlineStr">
        <is>
          <t>ring2</t>
        </is>
      </c>
      <c r="B28" t="inlineStr">
        <is>
          <t>Potential</t>
        </is>
      </c>
      <c r="C28" t="inlineStr">
        <is>
          <t>legendary</t>
        </is>
      </c>
      <c r="D28" t="n">
        <v>72</v>
      </c>
      <c r="E28" t="inlineStr">
        <is>
          <t>Int %</t>
        </is>
      </c>
      <c r="F28" t="n">
        <v>12</v>
      </c>
      <c r="G28" t="inlineStr">
        <is>
          <t>Defense %</t>
        </is>
      </c>
      <c r="H28" t="n">
        <v>9</v>
      </c>
      <c r="I28" t="inlineStr">
        <is>
          <t>Int %</t>
        </is>
      </c>
      <c r="J28" t="n">
        <v>12</v>
      </c>
    </row>
    <row r="29">
      <c r="A29" t="inlineStr">
        <is>
          <t>ring2</t>
        </is>
      </c>
      <c r="B29" t="inlineStr">
        <is>
          <t>Bonus Potential</t>
        </is>
      </c>
      <c r="C29" t="inlineStr">
        <is>
          <t>unique</t>
        </is>
      </c>
      <c r="D29" t="n">
        <v>22</v>
      </c>
      <c r="E29" t="inlineStr">
        <is>
          <t>Int %</t>
        </is>
      </c>
      <c r="F29" t="n">
        <v>9</v>
      </c>
      <c r="G29" t="inlineStr">
        <is>
          <t>Max Damage Multiplier %</t>
        </is>
      </c>
      <c r="H29" t="n">
        <v>10</v>
      </c>
      <c r="I29" t="inlineStr">
        <is>
          <t>Luk</t>
        </is>
      </c>
      <c r="J29" t="n">
        <v>200</v>
      </c>
    </row>
    <row r="30">
      <c r="A30" t="inlineStr">
        <is>
          <t>face</t>
        </is>
      </c>
      <c r="B30" t="inlineStr">
        <is>
          <t>Potential</t>
        </is>
      </c>
      <c r="C30" t="inlineStr">
        <is>
          <t>legendary</t>
        </is>
      </c>
      <c r="D30" t="n">
        <v>172</v>
      </c>
      <c r="E30" t="inlineStr">
        <is>
          <t>Final Damage %</t>
        </is>
      </c>
      <c r="F30" t="n">
        <v>8</v>
      </c>
      <c r="G30" t="inlineStr">
        <is>
          <t>Max MP %</t>
        </is>
      </c>
      <c r="H30" t="n">
        <v>9</v>
      </c>
      <c r="I30" t="inlineStr">
        <is>
          <t>Damage %</t>
        </is>
      </c>
      <c r="J30" t="n">
        <v>18</v>
      </c>
    </row>
    <row r="31">
      <c r="A31" t="inlineStr">
        <is>
          <t>face</t>
        </is>
      </c>
      <c r="B31" t="inlineStr">
        <is>
          <t>Bonus Potential</t>
        </is>
      </c>
      <c r="C31" t="inlineStr">
        <is>
          <t>unique</t>
        </is>
      </c>
      <c r="D31" t="n">
        <v>59</v>
      </c>
      <c r="E31" t="inlineStr">
        <is>
          <t>Final Damage %</t>
        </is>
      </c>
      <c r="F31" t="n">
        <v>5</v>
      </c>
      <c r="G31" t="inlineStr">
        <is>
          <t>Max MP %</t>
        </is>
      </c>
      <c r="H31" t="n">
        <v>3</v>
      </c>
      <c r="I31" t="inlineStr">
        <is>
          <t>Str</t>
        </is>
      </c>
      <c r="J31" t="n">
        <v>200</v>
      </c>
    </row>
    <row r="32">
      <c r="A32" t="inlineStr">
        <is>
          <t>earrings</t>
        </is>
      </c>
      <c r="B32" t="inlineStr">
        <is>
          <t>Potential</t>
        </is>
      </c>
      <c r="C32" t="inlineStr">
        <is>
          <t>mystic</t>
        </is>
      </c>
      <c r="D32" t="n">
        <v>0</v>
      </c>
      <c r="E32" t="inlineStr">
        <is>
          <t>Skill Damage %</t>
        </is>
      </c>
      <c r="F32" t="n">
        <v>30</v>
      </c>
      <c r="G32" t="inlineStr">
        <is>
          <t>Attack Speed %</t>
        </is>
      </c>
      <c r="H32" t="n">
        <v>7</v>
      </c>
      <c r="I32" t="inlineStr">
        <is>
          <t>Int %</t>
        </is>
      </c>
      <c r="J32" t="n">
        <v>12</v>
      </c>
    </row>
    <row r="33">
      <c r="A33" t="inlineStr">
        <is>
          <t>earrings</t>
        </is>
      </c>
      <c r="B33" t="inlineStr">
        <is>
          <t>Bonus Potential</t>
        </is>
      </c>
      <c r="C33" t="inlineStr">
        <is>
          <t>epic</t>
        </is>
      </c>
      <c r="D33" t="n">
        <v>41</v>
      </c>
      <c r="E33" t="inlineStr">
        <is>
          <t>Max Damage Multiplier %</t>
        </is>
      </c>
      <c r="F33" t="n">
        <v>8</v>
      </c>
      <c r="G33" t="inlineStr">
        <is>
          <t>Damage %</t>
        </is>
      </c>
      <c r="H33" t="n">
        <v>8</v>
      </c>
      <c r="I33" t="inlineStr">
        <is>
          <t>Damage %</t>
        </is>
      </c>
      <c r="J33" t="n">
        <v>8</v>
      </c>
    </row>
    <row r="34">
      <c r="A34" t="inlineStr">
        <is>
          <t>pocket</t>
        </is>
      </c>
      <c r="B34" t="inlineStr">
        <is>
          <t>Potential</t>
        </is>
      </c>
      <c r="C34" t="inlineStr">
        <is>
          <t>legendary</t>
        </is>
      </c>
      <c r="D34" t="n">
        <v>68</v>
      </c>
      <c r="E34" t="inlineStr">
        <is>
          <t>Main Stat % per 4 Levels</t>
        </is>
      </c>
      <c r="F34" t="n">
        <v>0.8</v>
      </c>
      <c r="G34" t="inlineStr">
        <is>
          <t>Str</t>
        </is>
      </c>
      <c r="H34" t="n">
        <v>400</v>
      </c>
      <c r="I34" t="inlineStr">
        <is>
          <t>Max Damage Multiplier %</t>
        </is>
      </c>
      <c r="J34" t="n">
        <v>10</v>
      </c>
    </row>
    <row r="35">
      <c r="A35" t="inlineStr">
        <is>
          <t>pocket</t>
        </is>
      </c>
      <c r="B35" t="inlineStr">
        <is>
          <t>Bonus Potential</t>
        </is>
      </c>
      <c r="C35" t="inlineStr">
        <is>
          <t>epic</t>
        </is>
      </c>
      <c r="D35" t="n">
        <v>27</v>
      </c>
      <c r="E35" t="inlineStr">
        <is>
          <t>Main Stat % per 4 Levels</t>
        </is>
      </c>
      <c r="F35" t="n">
        <v>0.4</v>
      </c>
      <c r="G35" t="inlineStr">
        <is>
          <t>Str</t>
        </is>
      </c>
      <c r="H35" t="n">
        <v>200</v>
      </c>
      <c r="I35" t="inlineStr">
        <is>
          <t>Defense %</t>
        </is>
      </c>
      <c r="J35" t="n">
        <v>4.5</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2026-10-13T07:23:59Z</dcterms:created>
  <dcterms:modified xsi:type="dcterms:W3CDTF">2026-10-13T07:23:59Z</dcterms:modified>
</cp:coreProperties>
</file>