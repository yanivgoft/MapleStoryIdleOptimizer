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115</v>
      </c>
      <c r="N3" t="inlineStr">
        <is>
          <t>Pig's Ribbon</t>
        </is>
      </c>
    </row>
    <row r="4">
      <c r="A4" s="6" t="inlineStr">
        <is>
          <t>Content Type</t>
        </is>
      </c>
      <c r="B4" s="7" t="inlineStr">
        <is>
          <t>Chapter Hunt</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35-3</t>
        </is>
      </c>
      <c r="E5" s="8" t="n"/>
      <c r="F5" s="7" t="inlineStr">
        <is>
          <t>80</t>
        </is>
      </c>
      <c r="G5" s="7" t="inlineStr">
        <is>
          <t>80</t>
        </is>
      </c>
      <c r="H5" s="7" t="inlineStr">
        <is>
          <t>80</t>
        </is>
      </c>
      <c r="I5" s="7" t="inlineStr">
        <is>
          <t>80</t>
        </is>
      </c>
      <c r="J5" s="7" t="inlineStr">
        <is>
          <t>80</t>
        </is>
      </c>
      <c r="K5" s="8" t="n"/>
      <c r="L5" s="7" t="inlineStr">
        <is>
          <t>35-3</t>
        </is>
      </c>
      <c r="N5" t="inlineStr">
        <is>
          <t>The Contract of Darkness</t>
        </is>
      </c>
    </row>
    <row r="6">
      <c r="A6" s="6" t="inlineStr">
        <is>
          <t>Flat ATTACK</t>
        </is>
      </c>
      <c r="B6" s="8">
        <f>INDEX($C$6:$L$6,MATCH($B$4,$C$2:$L$2,0))</f>
        <v/>
      </c>
      <c r="C6" s="7" t="n">
        <v>972067</v>
      </c>
      <c r="D6" s="7" t="n">
        <v>972067</v>
      </c>
      <c r="E6" s="7" t="n">
        <v>972067</v>
      </c>
      <c r="F6" s="7" t="n">
        <v>972067</v>
      </c>
      <c r="G6" s="7" t="n">
        <v>972067</v>
      </c>
      <c r="H6" s="7" t="n">
        <v>972067</v>
      </c>
      <c r="I6" s="7" t="n">
        <v>972067</v>
      </c>
      <c r="J6" s="7" t="n">
        <v>972067</v>
      </c>
      <c r="K6" s="7" t="n">
        <v>972067</v>
      </c>
      <c r="L6" s="7" t="n">
        <v>972067</v>
      </c>
      <c r="N6" t="inlineStr">
        <is>
          <t>Rainbow-colored Snail Shell</t>
        </is>
      </c>
    </row>
    <row r="7">
      <c r="A7" s="6" t="inlineStr">
        <is>
          <t>ATTACK %</t>
        </is>
      </c>
      <c r="B7" s="8">
        <f>INDEX($C$7:$L$7,MATCH($B$4,$C$2:$L$2,0))</f>
        <v/>
      </c>
      <c r="C7" s="7" t="n">
        <v>31192.4</v>
      </c>
      <c r="D7" s="7" t="n">
        <v>31192.4</v>
      </c>
      <c r="E7" s="7" t="n">
        <v>31192.4</v>
      </c>
      <c r="F7" s="7" t="n">
        <v>31192.4</v>
      </c>
      <c r="G7" s="7" t="n">
        <v>31192.4</v>
      </c>
      <c r="H7" s="7" t="n">
        <v>31192.4</v>
      </c>
      <c r="I7" s="7" t="n">
        <v>31192.4</v>
      </c>
      <c r="J7" s="7" t="n">
        <v>31192.4</v>
      </c>
      <c r="K7" s="7" t="n">
        <v>31192.4</v>
      </c>
      <c r="L7" s="7" t="n">
        <v>31192.4</v>
      </c>
      <c r="N7" t="inlineStr">
        <is>
          <t>Hexagon Necklace</t>
        </is>
      </c>
    </row>
    <row r="8">
      <c r="A8" s="6" t="inlineStr">
        <is>
          <t>Defense (your own DEF stat; PvP assumes the opponent has the same Defense as you)</t>
        </is>
      </c>
      <c r="B8" s="8">
        <f>INDEX($C$8:$L$8,MATCH($B$4,$C$2:$L$2,0))</f>
        <v/>
      </c>
      <c r="C8" s="7" t="n">
        <v>51879</v>
      </c>
      <c r="D8" s="7" t="n">
        <v>51879</v>
      </c>
      <c r="E8" s="7" t="n">
        <v>51879</v>
      </c>
      <c r="F8" s="7" t="n">
        <v>51879</v>
      </c>
      <c r="G8" s="7" t="n">
        <v>51879</v>
      </c>
      <c r="H8" s="7" t="n">
        <v>51879</v>
      </c>
      <c r="I8" s="7" t="n">
        <v>51879</v>
      </c>
      <c r="J8" s="7" t="n">
        <v>51879</v>
      </c>
      <c r="K8" s="7" t="n">
        <v>51879</v>
      </c>
      <c r="L8" s="7" t="n">
        <v>51879</v>
      </c>
      <c r="N8" t="inlineStr">
        <is>
          <t>Arwen's Glass Shoes</t>
        </is>
      </c>
    </row>
    <row r="9">
      <c r="A9" s="6" t="inlineStr">
        <is>
          <t>CRIT_RATE %</t>
        </is>
      </c>
      <c r="B9" s="8">
        <f>INDEX($C$9:$L$9,MATCH($B$4,$C$2:$L$2,0))</f>
        <v/>
      </c>
      <c r="C9" s="7" t="n">
        <v>172.8</v>
      </c>
      <c r="D9" s="7" t="n">
        <v>172.8</v>
      </c>
      <c r="E9" s="7" t="n">
        <v>172.8</v>
      </c>
      <c r="F9" s="7" t="n">
        <v>172.8</v>
      </c>
      <c r="G9" s="7" t="n">
        <v>172.8</v>
      </c>
      <c r="H9" s="7" t="n">
        <v>172.8</v>
      </c>
      <c r="I9" s="7" t="n">
        <v>172.8</v>
      </c>
      <c r="J9" s="7" t="n">
        <v>172.8</v>
      </c>
      <c r="K9" s="7" t="n">
        <v>172.8</v>
      </c>
      <c r="L9" s="7" t="n">
        <v>172.8</v>
      </c>
      <c r="N9" t="inlineStr">
        <is>
          <t>Mushmom's Cap</t>
        </is>
      </c>
    </row>
    <row r="10">
      <c r="A10" s="6" t="inlineStr">
        <is>
          <t>CRIT_DAMAGE %</t>
        </is>
      </c>
      <c r="B10" s="8">
        <f>INDEX($C$10:$L$10,MATCH($B$4,$C$2:$L$2,0))</f>
        <v/>
      </c>
      <c r="C10" s="7" t="n">
        <v>327.6</v>
      </c>
      <c r="D10" s="7" t="n">
        <v>327.6</v>
      </c>
      <c r="E10" s="7" t="n">
        <v>327.6</v>
      </c>
      <c r="F10" s="7" t="n">
        <v>327.6</v>
      </c>
      <c r="G10" s="7" t="n">
        <v>327.6</v>
      </c>
      <c r="H10" s="7" t="n">
        <v>327.6</v>
      </c>
      <c r="I10" s="7" t="n">
        <v>327.6</v>
      </c>
      <c r="J10" s="7" t="n">
        <v>327.6</v>
      </c>
      <c r="K10" s="7" t="n">
        <v>327.6</v>
      </c>
      <c r="L10" s="7" t="n">
        <v>327.6</v>
      </c>
      <c r="N10" t="inlineStr">
        <is>
          <t>Clear Spring Water</t>
        </is>
      </c>
    </row>
    <row r="11">
      <c r="A11" s="6" t="inlineStr">
        <is>
          <t>ATTACK_SPEED % (base, excludes Nimble Feet)</t>
        </is>
      </c>
      <c r="B11" s="8">
        <f>INDEX($C$11:$L$11,MATCH($B$4,$C$2:$L$2,0))</f>
        <v/>
      </c>
      <c r="C11" s="7" t="n">
        <v>70</v>
      </c>
      <c r="D11" s="7" t="n">
        <v>70</v>
      </c>
      <c r="E11" s="7" t="n">
        <v>70</v>
      </c>
      <c r="F11" s="7" t="n">
        <v>70</v>
      </c>
      <c r="G11" s="7" t="n">
        <v>70</v>
      </c>
      <c r="H11" s="7" t="n">
        <v>70</v>
      </c>
      <c r="I11" s="7" t="n">
        <v>70</v>
      </c>
      <c r="J11" s="7" t="n">
        <v>70</v>
      </c>
      <c r="K11" s="7" t="n">
        <v>70</v>
      </c>
      <c r="L11" s="7" t="n">
        <v>70</v>
      </c>
      <c r="N11" t="inlineStr">
        <is>
          <t>Athena Pierce's Old Gloves</t>
        </is>
      </c>
    </row>
    <row r="12">
      <c r="A12" s="6" t="inlineStr">
        <is>
          <t>Flat INT</t>
        </is>
      </c>
      <c r="B12" s="8">
        <f>INDEX($C$12:$L$12,MATCH($B$4,$C$2:$L$2,0))</f>
        <v/>
      </c>
      <c r="C12" s="7" t="n">
        <v>59700</v>
      </c>
      <c r="D12" s="7" t="n">
        <v>59700</v>
      </c>
      <c r="E12" s="7" t="n">
        <v>59700</v>
      </c>
      <c r="F12" s="7" t="n">
        <v>59700</v>
      </c>
      <c r="G12" s="7" t="n">
        <v>59700</v>
      </c>
      <c r="H12" s="7" t="n">
        <v>59700</v>
      </c>
      <c r="I12" s="7" t="n">
        <v>59700</v>
      </c>
      <c r="J12" s="7" t="n">
        <v>59700</v>
      </c>
      <c r="K12" s="7" t="n">
        <v>59700</v>
      </c>
      <c r="L12" s="7" t="n">
        <v>59700</v>
      </c>
      <c r="N12" t="inlineStr">
        <is>
          <t>Zakum's Stone Piece</t>
        </is>
      </c>
    </row>
    <row r="13">
      <c r="A13" s="6" t="inlineStr">
        <is>
          <t>INT %</t>
        </is>
      </c>
      <c r="B13" s="8">
        <f>INDEX($C$13:$L$13,MATCH($B$4,$C$2:$L$2,0))</f>
        <v/>
      </c>
      <c r="C13" s="7" t="n">
        <v>248.1</v>
      </c>
      <c r="D13" s="7" t="n">
        <v>248.1</v>
      </c>
      <c r="E13" s="7" t="n">
        <v>248.1</v>
      </c>
      <c r="F13" s="7" t="n">
        <v>248.1</v>
      </c>
      <c r="G13" s="7" t="n">
        <v>248.1</v>
      </c>
      <c r="H13" s="7" t="n">
        <v>248.1</v>
      </c>
      <c r="I13" s="7" t="n">
        <v>248.1</v>
      </c>
      <c r="J13" s="7" t="n">
        <v>248.1</v>
      </c>
      <c r="K13" s="7" t="n">
        <v>248.1</v>
      </c>
      <c r="L13" s="7" t="n">
        <v>248.1</v>
      </c>
      <c r="N13" t="inlineStr">
        <is>
          <t>Horntail's Scale</t>
        </is>
      </c>
    </row>
    <row r="14">
      <c r="A14" s="6" t="inlineStr">
        <is>
          <t>LUK</t>
        </is>
      </c>
      <c r="B14" s="8">
        <f>INDEX($C$14:$L$14,MATCH($B$4,$C$2:$L$2,0))</f>
        <v/>
      </c>
      <c r="C14" s="7" t="n">
        <v>236</v>
      </c>
      <c r="D14" s="7" t="n">
        <v>236</v>
      </c>
      <c r="E14" s="7" t="n">
        <v>236</v>
      </c>
      <c r="F14" s="7" t="n">
        <v>236</v>
      </c>
      <c r="G14" s="7" t="n">
        <v>236</v>
      </c>
      <c r="H14" s="7" t="n">
        <v>236</v>
      </c>
      <c r="I14" s="7" t="n">
        <v>236</v>
      </c>
      <c r="J14" s="7" t="n">
        <v>236</v>
      </c>
      <c r="K14" s="7" t="n">
        <v>236</v>
      </c>
      <c r="L14" s="7" t="n">
        <v>236</v>
      </c>
      <c r="N14" t="inlineStr">
        <is>
          <t>Pink Bean's Giant Rib</t>
        </is>
      </c>
    </row>
    <row r="15">
      <c r="A15" s="6" t="inlineStr">
        <is>
          <t>DAMAGE %</t>
        </is>
      </c>
      <c r="B15" s="8">
        <f>INDEX($C$15:$L$15,MATCH($B$4,$C$2:$L$2,0))</f>
        <v/>
      </c>
      <c r="C15" s="7" t="n">
        <v>957.7</v>
      </c>
      <c r="D15" s="7" t="n">
        <v>957.7</v>
      </c>
      <c r="E15" s="7" t="n">
        <v>957.7</v>
      </c>
      <c r="F15" s="7" t="n">
        <v>957.7</v>
      </c>
      <c r="G15" s="7" t="n">
        <v>957.7</v>
      </c>
      <c r="H15" s="7" t="n">
        <v>957.7</v>
      </c>
      <c r="I15" s="7" t="n">
        <v>957.7</v>
      </c>
      <c r="J15" s="7" t="n">
        <v>957.7</v>
      </c>
      <c r="K15" s="7" t="n">
        <v>957.7</v>
      </c>
      <c r="L15" s="7" t="n">
        <v>957.7</v>
      </c>
      <c r="N15" t="inlineStr">
        <is>
          <t>Chalice</t>
        </is>
      </c>
    </row>
    <row r="16">
      <c r="A16" s="6" t="inlineStr">
        <is>
          <t>DAMAGE_AMP %</t>
        </is>
      </c>
      <c r="B16" s="8">
        <f>INDEX($C$16:$L$16,MATCH($B$4,$C$2:$L$2,0))</f>
        <v/>
      </c>
      <c r="C16" s="7" t="n">
        <v>71.2</v>
      </c>
      <c r="D16" s="7" t="n">
        <v>71.2</v>
      </c>
      <c r="E16" s="7" t="n">
        <v>71.2</v>
      </c>
      <c r="F16" s="7" t="n">
        <v>71.2</v>
      </c>
      <c r="G16" s="7" t="n">
        <v>71.2</v>
      </c>
      <c r="H16" s="7" t="n">
        <v>71.2</v>
      </c>
      <c r="I16" s="7" t="n">
        <v>71.2</v>
      </c>
      <c r="J16" s="7" t="n">
        <v>71.2</v>
      </c>
      <c r="K16" s="7" t="n">
        <v>71.2</v>
      </c>
      <c r="L16" s="7" t="n">
        <v>71.2</v>
      </c>
      <c r="N16" t="inlineStr">
        <is>
          <t>Old Music Box</t>
        </is>
      </c>
    </row>
    <row r="17">
      <c r="A17" s="6" t="inlineStr">
        <is>
          <t>BASIC_ATTACK_DAMAGE %</t>
        </is>
      </c>
      <c r="B17" s="8">
        <f>INDEX($C$17:$L$17,MATCH($B$4,$C$2:$L$2,0))</f>
        <v/>
      </c>
      <c r="C17" s="7" t="n">
        <v>45.6</v>
      </c>
      <c r="D17" s="7" t="n">
        <v>45.6</v>
      </c>
      <c r="E17" s="7" t="n">
        <v>45.6</v>
      </c>
      <c r="F17" s="7" t="n">
        <v>45.6</v>
      </c>
      <c r="G17" s="7" t="n">
        <v>45.6</v>
      </c>
      <c r="H17" s="7" t="n">
        <v>45.6</v>
      </c>
      <c r="I17" s="7" t="n">
        <v>45.6</v>
      </c>
      <c r="J17" s="7" t="n">
        <v>45.6</v>
      </c>
      <c r="K17" s="7" t="n">
        <v>45.6</v>
      </c>
      <c r="L17" s="7" t="n">
        <v>45.6</v>
      </c>
      <c r="N17" t="inlineStr">
        <is>
          <t>Silver Pendant</t>
        </is>
      </c>
    </row>
    <row r="18">
      <c r="A18" s="6" t="inlineStr">
        <is>
          <t>SKILL_DAMAGE %</t>
        </is>
      </c>
      <c r="B18" s="8">
        <f>INDEX($C$18:$L$18,MATCH($B$4,$C$2:$L$2,0))</f>
        <v/>
      </c>
      <c r="C18" s="7" t="n">
        <v>105.4</v>
      </c>
      <c r="D18" s="7" t="n">
        <v>105.4</v>
      </c>
      <c r="E18" s="7" t="n">
        <v>105.4</v>
      </c>
      <c r="F18" s="7" t="n">
        <v>105.4</v>
      </c>
      <c r="G18" s="7" t="n">
        <v>105.4</v>
      </c>
      <c r="H18" s="7" t="n">
        <v>105.4</v>
      </c>
      <c r="I18" s="7" t="n">
        <v>105.4</v>
      </c>
      <c r="J18" s="7" t="n">
        <v>105.4</v>
      </c>
      <c r="K18" s="7" t="n">
        <v>105.4</v>
      </c>
      <c r="L18" s="7" t="n">
        <v>105.4</v>
      </c>
      <c r="N18" t="inlineStr">
        <is>
          <t>Star Rock</t>
        </is>
      </c>
    </row>
    <row r="19">
      <c r="A19" s="6" t="inlineStr">
        <is>
          <t>DEF_PEN %</t>
        </is>
      </c>
      <c r="B19" s="8">
        <f>INDEX($C$19:$L$19,MATCH($B$4,$C$2:$L$2,0))</f>
        <v/>
      </c>
      <c r="C19" s="7" t="n">
        <v>49.6</v>
      </c>
      <c r="D19" s="7" t="n">
        <v>49.6</v>
      </c>
      <c r="E19" s="7" t="n">
        <v>49.6</v>
      </c>
      <c r="F19" s="7" t="n">
        <v>49.6</v>
      </c>
      <c r="G19" s="7" t="n">
        <v>49.6</v>
      </c>
      <c r="H19" s="7" t="n">
        <v>49.6</v>
      </c>
      <c r="I19" s="7" t="n">
        <v>49.6</v>
      </c>
      <c r="J19" s="7" t="n">
        <v>49.6</v>
      </c>
      <c r="K19" s="7" t="n">
        <v>49.6</v>
      </c>
      <c r="L19" s="7" t="n">
        <v>49.6</v>
      </c>
      <c r="N19" t="inlineStr">
        <is>
          <t>Book of Ancient</t>
        </is>
      </c>
    </row>
    <row r="20">
      <c r="A20" s="6" t="inlineStr">
        <is>
          <t>BOSS_DAMAGE %</t>
        </is>
      </c>
      <c r="B20" s="8">
        <f>INDEX($C$20:$L$20,MATCH($B$4,$C$2:$L$2,0))</f>
        <v/>
      </c>
      <c r="C20" s="7" t="n">
        <v>192.1</v>
      </c>
      <c r="D20" s="7" t="n">
        <v>192.1</v>
      </c>
      <c r="E20" s="7" t="n">
        <v>192.1</v>
      </c>
      <c r="F20" s="7" t="n">
        <v>192.1</v>
      </c>
      <c r="G20" s="7" t="n">
        <v>192.1</v>
      </c>
      <c r="H20" s="7" t="n">
        <v>192.1</v>
      </c>
      <c r="I20" s="7" t="n">
        <v>192.1</v>
      </c>
      <c r="J20" s="7" t="n">
        <v>192.1</v>
      </c>
      <c r="K20" s="7" t="n">
        <v>192.1</v>
      </c>
      <c r="L20" s="7" t="n">
        <v>192.1</v>
      </c>
      <c r="N20" t="inlineStr">
        <is>
          <t>Lunar Dew</t>
        </is>
      </c>
    </row>
    <row r="21">
      <c r="A21" s="6" t="inlineStr">
        <is>
          <t>NORMAL_DAMAGE %</t>
        </is>
      </c>
      <c r="B21" s="8">
        <f>INDEX($C$21:$L$21,MATCH($B$4,$C$2:$L$2,0))</f>
        <v/>
      </c>
      <c r="C21" s="7" t="n">
        <v>223.8</v>
      </c>
      <c r="D21" s="7" t="n">
        <v>223.8</v>
      </c>
      <c r="E21" s="7" t="n">
        <v>223.8</v>
      </c>
      <c r="F21" s="7" t="n">
        <v>223.8</v>
      </c>
      <c r="G21" s="7" t="n">
        <v>223.8</v>
      </c>
      <c r="H21" s="7" t="n">
        <v>223.8</v>
      </c>
      <c r="I21" s="7" t="n">
        <v>223.8</v>
      </c>
      <c r="J21" s="7" t="n">
        <v>223.8</v>
      </c>
      <c r="K21" s="7" t="n">
        <v>223.8</v>
      </c>
      <c r="L21" s="7" t="n">
        <v>223.8</v>
      </c>
      <c r="N21" t="inlineStr">
        <is>
          <t>Fire Flower</t>
        </is>
      </c>
    </row>
    <row r="22">
      <c r="A22" s="6" t="inlineStr">
        <is>
          <t>MIN_DAMAGE %</t>
        </is>
      </c>
      <c r="B22" s="8">
        <f>INDEX($C$22:$L$22,MATCH($B$4,$C$2:$L$2,0))</f>
        <v/>
      </c>
      <c r="C22" s="7" t="n">
        <v>307.7</v>
      </c>
      <c r="D22" s="7" t="n">
        <v>307.7</v>
      </c>
      <c r="E22" s="7" t="n">
        <v>307.7</v>
      </c>
      <c r="F22" s="7" t="n">
        <v>307.7</v>
      </c>
      <c r="G22" s="7" t="n">
        <v>307.7</v>
      </c>
      <c r="H22" s="7" t="n">
        <v>307.7</v>
      </c>
      <c r="I22" s="7" t="n">
        <v>307.7</v>
      </c>
      <c r="J22" s="7" t="n">
        <v>307.7</v>
      </c>
      <c r="K22" s="7" t="n">
        <v>307.7</v>
      </c>
      <c r="L22" s="7" t="n">
        <v>307.7</v>
      </c>
      <c r="N22" t="inlineStr">
        <is>
          <t>Soul Contract</t>
        </is>
      </c>
    </row>
    <row r="23">
      <c r="A23" s="6" t="inlineStr">
        <is>
          <t>MAX_DAMAGE %</t>
        </is>
      </c>
      <c r="B23" s="8">
        <f>INDEX($C$23:$L$23,MATCH($B$4,$C$2:$L$2,0))</f>
        <v/>
      </c>
      <c r="C23" s="7" t="n">
        <v>313.5</v>
      </c>
      <c r="D23" s="7" t="n">
        <v>313.5</v>
      </c>
      <c r="E23" s="7" t="n">
        <v>313.5</v>
      </c>
      <c r="F23" s="7" t="n">
        <v>313.5</v>
      </c>
      <c r="G23" s="7" t="n">
        <v>313.5</v>
      </c>
      <c r="H23" s="7" t="n">
        <v>313.5</v>
      </c>
      <c r="I23" s="7" t="n">
        <v>313.5</v>
      </c>
      <c r="J23" s="7" t="n">
        <v>313.5</v>
      </c>
      <c r="K23" s="7" t="n">
        <v>313.5</v>
      </c>
      <c r="L23" s="7" t="n">
        <v>313.5</v>
      </c>
      <c r="N23" t="inlineStr">
        <is>
          <t>Lit Lamp</t>
        </is>
      </c>
    </row>
    <row r="24">
      <c r="A24" s="6" t="inlineStr">
        <is>
          <t>FINAL_DAMAGE % (base, excludes Infinity)</t>
        </is>
      </c>
      <c r="B24" s="8">
        <f>INDEX($C$24:$L$24,MATCH($B$4,$C$2:$L$2,0))</f>
        <v/>
      </c>
      <c r="C24" s="7" t="n">
        <v>91.40000000000001</v>
      </c>
      <c r="D24" s="7" t="n">
        <v>91.40000000000001</v>
      </c>
      <c r="E24" s="7" t="n">
        <v>91.40000000000001</v>
      </c>
      <c r="F24" s="7" t="n">
        <v>91.40000000000001</v>
      </c>
      <c r="G24" s="7" t="n">
        <v>91.40000000000001</v>
      </c>
      <c r="H24" s="7" t="n">
        <v>91.40000000000001</v>
      </c>
      <c r="I24" s="7" t="n">
        <v>91.40000000000001</v>
      </c>
      <c r="J24" s="7" t="n">
        <v>91.40000000000001</v>
      </c>
      <c r="K24" s="7" t="n">
        <v>91.40000000000001</v>
      </c>
      <c r="L24" s="7" t="n">
        <v>91.40000000000001</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19</v>
      </c>
      <c r="D26" s="7" t="n">
        <v>19</v>
      </c>
      <c r="E26" s="7" t="n">
        <v>19</v>
      </c>
      <c r="F26" s="7" t="n">
        <v>19</v>
      </c>
      <c r="G26" s="7" t="n">
        <v>19</v>
      </c>
      <c r="H26" s="7" t="n">
        <v>19</v>
      </c>
      <c r="I26" s="7" t="n">
        <v>19</v>
      </c>
      <c r="J26" s="7" t="n">
        <v>19</v>
      </c>
      <c r="K26" s="7" t="n">
        <v>19</v>
      </c>
      <c r="L26" s="7" t="n">
        <v>19</v>
      </c>
      <c r="N26" t="inlineStr">
        <is>
          <t>Icy Soul Rock</t>
        </is>
      </c>
    </row>
    <row r="27">
      <c r="A27" s="6" t="inlineStr">
        <is>
          <t>Skill Level Bonus — 3rd Job</t>
        </is>
      </c>
      <c r="B27" s="8">
        <f>INDEX($C$27:$L$27,MATCH($B$4,$C$2:$L$2,0))</f>
        <v/>
      </c>
      <c r="C27" s="7" t="n">
        <v>22</v>
      </c>
      <c r="D27" s="7" t="n">
        <v>22</v>
      </c>
      <c r="E27" s="7" t="n">
        <v>22</v>
      </c>
      <c r="F27" s="7" t="n">
        <v>22</v>
      </c>
      <c r="G27" s="7" t="n">
        <v>22</v>
      </c>
      <c r="H27" s="7" t="n">
        <v>22</v>
      </c>
      <c r="I27" s="7" t="n">
        <v>22</v>
      </c>
      <c r="J27" s="7" t="n">
        <v>22</v>
      </c>
      <c r="K27" s="7" t="n">
        <v>22</v>
      </c>
      <c r="L27" s="7" t="n">
        <v>22</v>
      </c>
      <c r="N27" t="inlineStr">
        <is>
          <t>Flaming Lava</t>
        </is>
      </c>
    </row>
    <row r="28">
      <c r="A28" s="6" t="inlineStr">
        <is>
          <t>Skill Level Bonus — 4th Job</t>
        </is>
      </c>
      <c r="B28" s="8">
        <f>INDEX($C$28:$L$28,MATCH($B$4,$C$2:$L$2,0))</f>
        <v/>
      </c>
      <c r="C28" s="7" t="n">
        <v>54</v>
      </c>
      <c r="D28" s="7" t="n">
        <v>54</v>
      </c>
      <c r="E28" s="7" t="n">
        <v>54</v>
      </c>
      <c r="F28" s="7" t="n">
        <v>54</v>
      </c>
      <c r="G28" s="7" t="n">
        <v>54</v>
      </c>
      <c r="H28" s="7" t="n">
        <v>54</v>
      </c>
      <c r="I28" s="7" t="n">
        <v>54</v>
      </c>
      <c r="J28" s="7" t="n">
        <v>54</v>
      </c>
      <c r="K28" s="7" t="n">
        <v>54</v>
      </c>
      <c r="L28" s="7" t="n">
        <v>54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Book of Ancient</t>
        </is>
      </c>
      <c r="F47" s="7" t="inlineStr">
        <is>
          <t>Book of Ancient</t>
        </is>
      </c>
      <c r="G47" s="7" t="inlineStr">
        <is>
          <t>Book of Ancient</t>
        </is>
      </c>
      <c r="H47" s="7" t="inlineStr">
        <is>
          <t>Book of Ancient</t>
        </is>
      </c>
      <c r="I47" s="7" t="inlineStr">
        <is>
          <t>Book of Ancient</t>
        </is>
      </c>
      <c r="J47" s="7" t="inlineStr">
        <is>
          <t>Book of Ancient</t>
        </is>
      </c>
      <c r="K47" s="7" t="inlineStr">
        <is>
          <t>Book of Ancient</t>
        </is>
      </c>
      <c r="L47" s="7" t="inlineStr">
        <is>
          <t>Book of Ancient</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IFERROR(1/(IF(Inputs!$B$38="pvp",15,MAX(0.1,Skills!E2-IF(Skills!F2=TRUE,Inputs!$B$32,0)))*(1-IF(AND(ArtifactsInput!$M$27,Inputs!$B$4="Chapter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IFERROR(1/(IF(Inputs!$B$38="pvp",15,MAX(0.1,Skills!E3-IF(Skills!F3=TRUE,Inputs!$B$32,0)))*(1-IF(AND(ArtifactsInput!$M$27,Inputs!$B$4="Chapter Hunt"),CHOOSE(ArtifactsInput!$N$27+1,20,24,28,32,36,40),0)/100)),0)</f>
        <v/>
      </c>
      <c r="R3">
        <f>IF(AND(Inputs!$B$38&lt;&gt;"pvp",Inputs!$B$43&gt;0),IF(MAX(0,Inputs!$B$43-Summary!$B$22)&lt;=0,0,(INT(MAX(0,Inputs!$B$43-Summary!$B$22)/(IF(Inputs!$B$38="pvp",15,MAX(0.1,Skills!E3-IF(Skills!F3=TRUE,Inputs!$B$32,0)))*(1-IF(AND(ArtifactsInput!$M$27,Inputs!$B$4="Chapter Hunt"),CHOOSE(ArtifactsInput!$N$27+1,20,24,28,32,36,40),0)/100)))+1)),0)</f>
        <v/>
      </c>
      <c r="S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IFERROR(1/(IF(Inputs!$B$38="pvp",15,MAX(0.1,Skills!E4-IF(Skills!F4=TRUE,Inputs!$B$32,0)))*(1-IF(AND(ArtifactsInput!$M$27,Inputs!$B$4="Chapter Hunt"),CHOOSE(ArtifactsInput!$N$27+1,20,24,28,32,36,40),0)/100)),0)</f>
        <v/>
      </c>
      <c r="R4">
        <f>IF(AND(Inputs!$B$38&lt;&gt;"pvp",Inputs!$B$43&gt;0),IF(MAX(0,Inputs!$B$43-Summary!$B$22)&lt;=0,0,(INT(MAX(0,Inputs!$B$43-Summary!$B$22)/(IF(Inputs!$B$38="pvp",15,MAX(0.1,Skills!E4-IF(Skills!F4=TRUE,Inputs!$B$32,0)))*(1-IF(AND(ArtifactsInput!$M$27,Inputs!$B$4="Chapter Hunt"),CHOOSE(ArtifactsInput!$N$27+1,20,24,28,32,36,40),0)/100)))+1)),0)</f>
        <v/>
      </c>
      <c r="S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IFERROR(1/(IF(Inputs!$B$38="pvp",15,MAX(0.1,Skills!E5-IF(Skills!F5=TRUE,Inputs!$B$32,0)))*(1-IF(AND(ArtifactsInput!$M$27,Inputs!$B$4="Chapter Hunt"),CHOOSE(ArtifactsInput!$N$27+1,20,24,28,32,36,40),0)/100)),0)</f>
        <v/>
      </c>
      <c r="R5">
        <f>IF(AND(Inputs!$B$38&lt;&gt;"pvp",Inputs!$B$43&gt;0),IF(MAX(0,Inputs!$B$43-Summary!$B$22)&lt;=0,0,(INT(MAX(0,Inputs!$B$43-Summary!$B$22)/(IF(Inputs!$B$38="pvp",15,MAX(0.1,Skills!E5-IF(Skills!F5=TRUE,Inputs!$B$32,0)))*(1-IF(AND(ArtifactsInput!$M$27,Inputs!$B$4="Chapter Hunt"),CHOOSE(ArtifactsInput!$N$27+1,20,24,28,32,36,40),0)/100)))+1)),0)</f>
        <v/>
      </c>
      <c r="S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IFERROR(1/(IF(Inputs!$B$38="pvp",15,MAX(0.1,Skills!E6-IF(Skills!F6=TRUE,Inputs!$B$32,0)))*(1-IF(AND(ArtifactsInput!$M$27,Inputs!$B$4="Chapter Hunt"),CHOOSE(ArtifactsInput!$N$27+1,20,24,28,32,36,40),0)/100)),0)</f>
        <v/>
      </c>
      <c r="R6">
        <f>IF(AND(Inputs!$B$38&lt;&gt;"pvp",Inputs!$B$43&gt;0),IF(Inputs!$B$43&lt;=0,0,(INT(Inputs!$B$43/(IF(Inputs!$B$38="pvp",15,MAX(0.1,Skills!E6-IF(Skills!F6=TRUE,Inputs!$B$32,0)))*(1-IF(AND(ArtifactsInput!$M$27,Inputs!$B$4="Chapter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IFERROR(1/(IF(Inputs!$B$38="pvp",15,MAX(0.1,Skills!E7-IF(Skills!F7=TRUE,Inputs!$B$32,0)))*(1-IF(AND(ArtifactsInput!$M$27,Inputs!$B$4="Chapter Hunt"),CHOOSE(ArtifactsInput!$N$27+1,20,24,28,32,36,40),0)/100)),0)</f>
        <v/>
      </c>
      <c r="R7">
        <f>IF(AND(Inputs!$B$38&lt;&gt;"pvp",Inputs!$B$43&gt;0),IF(MAX(0,Inputs!$B$43-Summary!$B$22)&lt;=0,0,(INT(MAX(0,Inputs!$B$43-Summary!$B$22)/(IF(Inputs!$B$38="pvp",15,MAX(0.1,Skills!E7-IF(Skills!F7=TRUE,Inputs!$B$32,0)))*(1-IF(AND(ArtifactsInput!$M$27,Inputs!$B$4="Chapter Hunt"),CHOOSE(ArtifactsInput!$N$27+1,20,24,28,32,36,40),0)/100)))+1)),0)</f>
        <v/>
      </c>
      <c r="S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IFERROR(1/(IF(Inputs!$B$38="pvp",15,MAX(0.1,Skills!E8-IF(Skills!F8=TRUE,Inputs!$B$32,0)))*(1-IF(AND(ArtifactsInput!$M$27,Inputs!$B$4="Chapter Hunt"),CHOOSE(ArtifactsInput!$N$27+1,20,24,28,32,36,40),0)/100)),0)</f>
        <v/>
      </c>
      <c r="R8">
        <f>IF(AND(Inputs!$B$38&lt;&gt;"pvp",Inputs!$B$43&gt;0),IF(MAX(0,Inputs!$B$43-Summary!$B$22)&lt;=0,0,(INT(MAX(0,Inputs!$B$43-Summary!$B$22)/(IF(Inputs!$B$38="pvp",15,MAX(0.1,Skills!E8-IF(Skills!F8=TRUE,Inputs!$B$32,0)))*(1-IF(AND(ArtifactsInput!$M$27,Inputs!$B$4="Chapter Hunt"),CHOOSE(ArtifactsInput!$N$27+1,20,24,28,32,36,40),0)/100)))+1)),0)</f>
        <v/>
      </c>
      <c r="S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IFERROR(1/(IF(Inputs!$B$38="pvp",15,MAX(0.1,Skills!E9-IF(Skills!F7=TRUE,Inputs!$B$32,0)))*(1-IF(AND(ArtifactsInput!$M$27,Inputs!$B$4="Chapter Hunt"),CHOOSE(ArtifactsInput!$N$27+1,20,24,28,32,36,40),0)/100)),0)</f>
        <v/>
      </c>
      <c r="R9">
        <f>IF(AND(Inputs!$B$38&lt;&gt;"pvp",Inputs!$B$43&gt;0),IF(MAX(0,Inputs!$B$43-Summary!$B$22)&lt;=0,0,(INT(MAX(0,Inputs!$B$43-Summary!$B$22)/(IF(Inputs!$B$38="pvp",15,MAX(0.1,Skills!E9-IF(Skills!F7=TRUE,Inputs!$B$32,0)))*(1-IF(AND(ArtifactsInput!$M$27,Inputs!$B$4="Chapter Hunt"),CHOOSE(ArtifactsInput!$N$27+1,20,24,28,32,36,40),0)/100)))+1)),0)</f>
        <v/>
      </c>
      <c r="S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IFERROR(1/(IF(Inputs!$B$38="pvp",15,MAX(0.1,Skills!E10-IF(Skills!F10=TRUE,Inputs!$B$32,0)))*(1-IF(AND(ArtifactsInput!$M$27,Inputs!$B$4="Chapter Hunt"),CHOOSE(ArtifactsInput!$N$27+1,20,24,28,32,36,40),0)/100)),0)</f>
        <v/>
      </c>
      <c r="R10">
        <f>IF(AND(Inputs!$B$38&lt;&gt;"pvp",Inputs!$B$43&gt;0),IF(MAX(0,Inputs!$B$43-Summary!$B$22)&lt;=0,0,(INT(MAX(0,Inputs!$B$43-Summary!$B$22)/(IF(Inputs!$B$38="pvp",15,MAX(0.1,Skills!E10-IF(Skills!F10=TRUE,Inputs!$B$32,0)))*(1-IF(AND(ArtifactsInput!$M$27,Inputs!$B$4="Chapter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IFERROR(1/(IF(Inputs!$B$38="pvp",15,MAX(0.1,Skills!E11-IF(Skills!F11=TRUE,Inputs!$B$32,0)))*(1-IF(AND(ArtifactsInput!$M$27,Inputs!$B$4="Chapter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IFERROR(1/(IF(Inputs!$B$38="pvp",15,MAX(0.1,Skills!E12-IF(Skills!F12=TRUE,Inputs!$B$32,0)))*(1-IF(AND(ArtifactsInput!$M$27,Inputs!$B$4="Chapter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IFERROR(1/(IF(Inputs!$B$38="pvp",15,MAX(0.1,Skills!E13-IF(Skills!F13=TRUE,Inputs!$B$32,0)))*(1-IF(AND(ArtifactsInput!$M$27,Inputs!$B$4="Chapter Hunt"),CHOOSE(ArtifactsInput!$N$27+1,20,24,28,32,36,40),0)/100)),0)</f>
        <v/>
      </c>
      <c r="R13">
        <f>IF(AND(Inputs!$B$38&lt;&gt;"pvp",Inputs!$B$43&gt;0),IF(MAX(0,Inputs!$B$43-Summary!$B$22)&lt;=0,0,(INT(MAX(0,Inputs!$B$43-Summary!$B$22)/(IF(Inputs!$B$38="pvp",15,MAX(0.1,Skills!E13-IF(Skills!F13=TRUE,Inputs!$B$32,0)))*(1-IF(AND(ArtifactsInput!$M$27,Inputs!$B$4="Chapter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IFERROR(1/(IF(Inputs!$B$38="pvp",15,MAX(0.1,Skills!E14-IF(Skills!F14=TRUE,Inputs!$B$32,0)))*(1-IF(AND(ArtifactsInput!$M$27,Inputs!$B$4="Chapter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IFERROR(1/(IF(Inputs!$B$38="pvp",15,MAX(0.1,Skills!E15-IF(Skills!F15=TRUE,Inputs!$B$32,0)))*(1-IF(AND(ArtifactsInput!$M$27,Inputs!$B$4="Chapter Hunt"),CHOOSE(ArtifactsInput!$N$27+1,20,24,28,32,36,40),0)/100)),0)</f>
        <v/>
      </c>
      <c r="R15">
        <f>IF(AND(Inputs!$B$38&lt;&gt;"pvp",Inputs!$B$43&gt;0),IF(MAX(0,Inputs!$B$43-Summary!$B$22)&lt;=0,0,(INT(MAX(0,Inputs!$B$43-Summary!$B$22)/(IF(Inputs!$B$38="pvp",15,MAX(0.1,Skills!E15-IF(Skills!F15=TRUE,Inputs!$B$32,0)))*(1-IF(AND(ArtifactsInput!$M$27,Inputs!$B$4="Chapter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IFERROR(1/(IF(Inputs!$B$38="pvp",15,MAX(0.1,Skills!E16-IF(Skills!F16=TRUE,Inputs!$B$32,0)))*(1-IF(AND(ArtifactsInput!$M$27,Inputs!$B$4="Chapter Hunt"),CHOOSE(ArtifactsInput!$N$27+1,20,24,28,32,36,40),0)/100)),0)</f>
        <v/>
      </c>
      <c r="R16">
        <f>IF(AND(Inputs!$B$38&lt;&gt;"pvp",Inputs!$B$43&gt;0),IF(MAX(0,Inputs!$B$43-Summary!$B$22)&lt;=0,0,(INT(MAX(0,Inputs!$B$43-Summary!$B$22)/(IF(Inputs!$B$38="pvp",15,MAX(0.1,Skills!E16-IF(Skills!F16=TRUE,Inputs!$B$32,0)))*(1-IF(AND(ArtifactsInput!$M$27,Inputs!$B$4="Chapter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IFERROR(1/(IF(Inputs!$B$38="pvp",15,MAX(0.1,Skills!E17-IF(Skills!F17=TRUE,Inputs!$B$32,0)))*(1-IF(AND(ArtifactsInput!$M$27,Inputs!$B$4="Chapter Hunt"),CHOOSE(ArtifactsInput!$N$27+1,20,24,28,32,36,40),0)/100)),0)</f>
        <v/>
      </c>
      <c r="R17">
        <f>IF(AND(Inputs!$B$38&lt;&gt;"pvp",Inputs!$B$43&gt;0),IF(Inputs!$B$43&lt;=0,0,(INT(Inputs!$B$43/(IF(Inputs!$B$38="pvp",15,MAX(0.1,Skills!E17-IF(Skills!F17=TRUE,Inputs!$B$32,0)))*(1-IF(AND(ArtifactsInput!$M$27,Inputs!$B$4="Chapter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IFERROR(1/(IF(Inputs!$B$38="pvp",15,MAX(0.1,Skills!E18-IF(Skills!F18=TRUE,Inputs!$B$32,0)))*(1-IF(AND(ArtifactsInput!$M$27,Inputs!$B$4="Chapter Hunt"),CHOOSE(ArtifactsInput!$N$27+1,20,24,28,32,36,40),0)/100)),0)</f>
        <v/>
      </c>
      <c r="R18">
        <f>IF(AND(Inputs!$B$38&lt;&gt;"pvp",Inputs!$B$43&gt;0),IF(Inputs!$B$43&lt;=0,0,(INT(Inputs!$B$43/(IF(Inputs!$B$38="pvp",15,MAX(0.1,Skills!E18-IF(Skills!F18=TRUE,Inputs!$B$32,0)))*(1-IF(AND(ArtifactsInput!$M$27,Inputs!$B$4="Chapter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IFERROR(1/(IF(Inputs!$B$38="pvp",15,MAX(0.1,Skills!E19-IF(Skills!F19=TRUE,Inputs!$B$32,0)))*(1-IF(AND(ArtifactsInput!$M$27,Inputs!$B$4="Chapter Hunt"),CHOOSE(ArtifactsInput!$N$27+1,20,24,28,32,36,40),0)/100)),0)</f>
        <v/>
      </c>
      <c r="R19">
        <f>IF(AND(Inputs!$B$38&lt;&gt;"pvp",Inputs!$B$43&gt;0),IF(Inputs!$B$43&lt;=0,0,(INT(Inputs!$B$43/(IF(Inputs!$B$38="pvp",15,MAX(0.1,Skills!E19-IF(Skills!F19=TRUE,Inputs!$B$32,0)))*(1-IF(AND(ArtifactsInput!$M$27,Inputs!$B$4="Chapter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IFERROR(1/(IF(Inputs!$B$38="pvp",15,MAX(0.1,Skills!E20-IF(Skills!F20=TRUE,Inputs!$B$32,0)))*(1-IF(AND(ArtifactsInput!$M$27,Inputs!$B$4="Chapter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IFERROR(1/(IF(Inputs!$B$38="pvp",15,MAX(0.1,Skills!E21-IF(Skills!F21=TRUE,Inputs!$B$32,0)))*(1-IF(AND(ArtifactsInput!$M$27,Inputs!$B$4="Chapter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IFERROR(1/(IF(Inputs!$B$38="pvp",15,MAX(0.1,Skills!E22-IF(Skills!F22=TRUE,Inputs!$B$32,0)))*(1-IF(AND(ArtifactsInput!$M$27,Inputs!$B$4="Chapter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IFERROR(1/(IF(Inputs!$B$38="pvp",15,MAX(0.1,Skills!E23-IF(Skills!F23=TRUE,Inputs!$B$32,0)))*(1-IF(AND(ArtifactsInput!$M$27,Inputs!$B$4="Chapter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IFERROR(1/(IF(Inputs!$B$38="pvp",15,MAX(0.1,Skills!E24-IF(Skills!F24=TRUE,Inputs!$B$32,0)))*(1-IF(AND(ArtifactsInput!$M$27,Inputs!$B$4="Chapter Hunt"),CHOOSE(ArtifactsInput!$N$27+1,20,24,28,32,36,40),0)/100)),0)</f>
        <v/>
      </c>
      <c r="R24">
        <f>IF(AND(Inputs!$B$38&lt;&gt;"pvp",Inputs!$B$43&gt;0),IF(MAX(0,Inputs!$B$43-Summary!$B$22)&lt;=0,0,(INT(MAX(0,Inputs!$B$43-Summary!$B$22)/(IF(Inputs!$B$38="pvp",15,MAX(0.1,Skills!E24-IF(Skills!F24=TRUE,Inputs!$B$32,0)))*(1-IF(AND(ArtifactsInput!$M$27,Inputs!$B$4="Chapter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IFERROR(1/(IF(Inputs!$B$38="pvp",15,MAX(0.1,Skills!E25-IF(Skills!F25=TRUE,Inputs!$B$32,0)))*(1-IF(AND(ArtifactsInput!$M$27,Inputs!$B$4="Chapter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IFERROR(1/(IF(Inputs!$B$38="pvp",15,MAX(0.1,Skills!E26-IF(Skills!F26=TRUE,Inputs!$B$32,0)))*(1-IF(AND(ArtifactsInput!$M$27,Inputs!$B$4="Chapter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IFERROR(1/(IF(Inputs!$B$38="pvp",15,MAX(0.1,Skills!E27-IF(Skills!F27=TRUE,Inputs!$B$32,0)))*(1-IF(AND(ArtifactsInput!$M$27,Inputs!$B$4="Chapter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IFERROR(1/(IF(Inputs!$B$38="pvp",15,MAX(0.1,Skills!E28-IF(Skills!F28=TRUE,Inputs!$B$32,0)))*(1-IF(AND(ArtifactsInput!$M$27,Inputs!$B$4="Chapter Hunt"),CHOOSE(ArtifactsInput!$N$27+1,20,24,28,32,36,40),0)/100)),0)</f>
        <v/>
      </c>
      <c r="R28">
        <f>IF(AND(Inputs!$B$38&lt;&gt;"pvp",Inputs!$B$43&gt;0),IF(MAX(0,Inputs!$B$43-Summary!$B$22)&lt;=0,0,(INT(MAX(0,Inputs!$B$43-Summary!$B$22)/(IF(Inputs!$B$38="pvp",15,MAX(0.1,Skills!E28-IF(Skills!F28=TRUE,Inputs!$B$32,0)))*(1-IF(AND(ArtifactsInput!$M$27,Inputs!$B$4="Chapter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Artifacts!$B$52)/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16">
      <c r="A16" t="inlineStr">
        <is>
          <t>Attack Speed Buff Bonus % (Nimble Feet, averaged)</t>
        </is>
      </c>
      <c r="B16">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IFERROR(1/(IF(Inputs!$B$38="pvp",15,MAX(0.1,Skills!E2-IF(Skills!F2=TRUE,Inputs!$B$32,0)))*(1-IF(AND(ArtifactsInput!$M$27,Inputs!$B$4="Chapter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IFERROR(1/(IF(Inputs!$B$38="pvp",15,MAX(0.1,Skills!E3-IF(Skills!F3=TRUE,Inputs!$B$32,0)))*(1-IF(AND(ArtifactsInput!$M$27,Inputs!$B$4="Chapter Hunt"),CHOOSE(ArtifactsInput!$N$27+1,20,24,28,32,36,40),0)/100)),0)</f>
        <v/>
      </c>
      <c r="R73">
        <f>IF(AND(Inputs!$B$38&lt;&gt;"pvp",Inputs!$B$43&gt;0),IF(MAX(0,Inputs!$B$43-B108)&lt;=0,0,(INT(MAX(0,Inputs!$B$43-B108)/(IF(Inputs!$B$38="pvp",15,MAX(0.1,Skills!E3-IF(Skills!F3=TRUE,Inputs!$B$32,0)))*(1-IF(AND(ArtifactsInput!$M$27,Inputs!$B$4="Chapter Hunt"),CHOOSE(ArtifactsInput!$N$27+1,20,24,28,32,36,40),0)/100)))+1)),0)</f>
        <v/>
      </c>
      <c r="S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IFERROR(1/(IF(Inputs!$B$38="pvp",15,MAX(0.1,Skills!E4-IF(Skills!F4=TRUE,Inputs!$B$32,0)))*(1-IF(AND(ArtifactsInput!$M$27,Inputs!$B$4="Chapter Hunt"),CHOOSE(ArtifactsInput!$N$27+1,20,24,28,32,36,40),0)/100)),0)</f>
        <v/>
      </c>
      <c r="R74">
        <f>IF(AND(Inputs!$B$38&lt;&gt;"pvp",Inputs!$B$43&gt;0),IF(MAX(0,Inputs!$B$43-B108)&lt;=0,0,(INT(MAX(0,Inputs!$B$43-B108)/(IF(Inputs!$B$38="pvp",15,MAX(0.1,Skills!E4-IF(Skills!F4=TRUE,Inputs!$B$32,0)))*(1-IF(AND(ArtifactsInput!$M$27,Inputs!$B$4="Chapter Hunt"),CHOOSE(ArtifactsInput!$N$27+1,20,24,28,32,36,40),0)/100)))+1)),0)</f>
        <v/>
      </c>
      <c r="S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IFERROR(1/(IF(Inputs!$B$38="pvp",15,MAX(0.1,Skills!E5-IF(Skills!F5=TRUE,Inputs!$B$32,0)))*(1-IF(AND(ArtifactsInput!$M$27,Inputs!$B$4="Chapter Hunt"),CHOOSE(ArtifactsInput!$N$27+1,20,24,28,32,36,40),0)/100)),0)</f>
        <v/>
      </c>
      <c r="R75">
        <f>IF(AND(Inputs!$B$38&lt;&gt;"pvp",Inputs!$B$43&gt;0),IF(MAX(0,Inputs!$B$43-B108)&lt;=0,0,(INT(MAX(0,Inputs!$B$43-B108)/(IF(Inputs!$B$38="pvp",15,MAX(0.1,Skills!E5-IF(Skills!F5=TRUE,Inputs!$B$32,0)))*(1-IF(AND(ArtifactsInput!$M$27,Inputs!$B$4="Chapter Hunt"),CHOOSE(ArtifactsInput!$N$27+1,20,24,28,32,36,40),0)/100)))+1)),0)</f>
        <v/>
      </c>
      <c r="S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IFERROR(1/(IF(Inputs!$B$38="pvp",15,MAX(0.1,Skills!E6-IF(Skills!F6=TRUE,Inputs!$B$32,0)))*(1-IF(AND(ArtifactsInput!$M$27,Inputs!$B$4="Chapter Hunt"),CHOOSE(ArtifactsInput!$N$27+1,20,24,28,32,36,40),0)/100)),0)</f>
        <v/>
      </c>
      <c r="R76">
        <f>IF(AND(Inputs!$B$38&lt;&gt;"pvp",Inputs!$B$43&gt;0),IF(Inputs!$B$43&lt;=0,0,(INT(Inputs!$B$43/(IF(Inputs!$B$38="pvp",15,MAX(0.1,Skills!E6-IF(Skills!F6=TRUE,Inputs!$B$32,0)))*(1-IF(AND(ArtifactsInput!$M$27,Inputs!$B$4="Chapter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IFERROR(1/(IF(Inputs!$B$38="pvp",15,MAX(0.1,Skills!E7-IF(Skills!F7=TRUE,Inputs!$B$32,0)))*(1-IF(AND(ArtifactsInput!$M$27,Inputs!$B$4="Chapter Hunt"),CHOOSE(ArtifactsInput!$N$27+1,20,24,28,32,36,40),0)/100)),0)</f>
        <v/>
      </c>
      <c r="R77">
        <f>IF(AND(Inputs!$B$38&lt;&gt;"pvp",Inputs!$B$43&gt;0),IF(MAX(0,Inputs!$B$43-B108)&lt;=0,0,(INT(MAX(0,Inputs!$B$43-B108)/(IF(Inputs!$B$38="pvp",15,MAX(0.1,Skills!E7-IF(Skills!F7=TRUE,Inputs!$B$32,0)))*(1-IF(AND(ArtifactsInput!$M$27,Inputs!$B$4="Chapter Hunt"),CHOOSE(ArtifactsInput!$N$27+1,20,24,28,32,36,40),0)/100)))+1)),0)</f>
        <v/>
      </c>
      <c r="S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IFERROR(1/(IF(Inputs!$B$38="pvp",15,MAX(0.1,Skills!E8-IF(Skills!F8=TRUE,Inputs!$B$32,0)))*(1-IF(AND(ArtifactsInput!$M$27,Inputs!$B$4="Chapter Hunt"),CHOOSE(ArtifactsInput!$N$27+1,20,24,28,32,36,40),0)/100)),0)</f>
        <v/>
      </c>
      <c r="R78">
        <f>IF(AND(Inputs!$B$38&lt;&gt;"pvp",Inputs!$B$43&gt;0),IF(MAX(0,Inputs!$B$43-B108)&lt;=0,0,(INT(MAX(0,Inputs!$B$43-B108)/(IF(Inputs!$B$38="pvp",15,MAX(0.1,Skills!E8-IF(Skills!F8=TRUE,Inputs!$B$32,0)))*(1-IF(AND(ArtifactsInput!$M$27,Inputs!$B$4="Chapter Hunt"),CHOOSE(ArtifactsInput!$N$27+1,20,24,28,32,36,40),0)/100)))+1)),0)</f>
        <v/>
      </c>
      <c r="S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IFERROR(1/(IF(Inputs!$B$38="pvp",15,MAX(0.1,Skills!E9-IF(Skills!F7=TRUE,Inputs!$B$32,0)))*(1-IF(AND(ArtifactsInput!$M$27,Inputs!$B$4="Chapter Hunt"),CHOOSE(ArtifactsInput!$N$27+1,20,24,28,32,36,40),0)/100)),0)</f>
        <v/>
      </c>
      <c r="R79">
        <f>IF(AND(Inputs!$B$38&lt;&gt;"pvp",Inputs!$B$43&gt;0),IF(MAX(0,Inputs!$B$43-B108)&lt;=0,0,(INT(MAX(0,Inputs!$B$43-B108)/(IF(Inputs!$B$38="pvp",15,MAX(0.1,Skills!E9-IF(Skills!F7=TRUE,Inputs!$B$32,0)))*(1-IF(AND(ArtifactsInput!$M$27,Inputs!$B$4="Chapter Hunt"),CHOOSE(ArtifactsInput!$N$27+1,20,24,28,32,36,40),0)/100)))+1)),0)</f>
        <v/>
      </c>
      <c r="S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IFERROR(1/(IF(Inputs!$B$38="pvp",15,MAX(0.1,Skills!E10-IF(Skills!F10=TRUE,Inputs!$B$32,0)))*(1-IF(AND(ArtifactsInput!$M$27,Inputs!$B$4="Chapter Hunt"),CHOOSE(ArtifactsInput!$N$27+1,20,24,28,32,36,40),0)/100)),0)</f>
        <v/>
      </c>
      <c r="R80">
        <f>IF(AND(Inputs!$B$38&lt;&gt;"pvp",Inputs!$B$43&gt;0),IF(MAX(0,Inputs!$B$43-B108)&lt;=0,0,(INT(MAX(0,Inputs!$B$43-B108)/(IF(Inputs!$B$38="pvp",15,MAX(0.1,Skills!E10-IF(Skills!F10=TRUE,Inputs!$B$32,0)))*(1-IF(AND(ArtifactsInput!$M$27,Inputs!$B$4="Chapter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IFERROR(1/(IF(Inputs!$B$38="pvp",15,MAX(0.1,Skills!E11-IF(Skills!F11=TRUE,Inputs!$B$32,0)))*(1-IF(AND(ArtifactsInput!$M$27,Inputs!$B$4="Chapter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IFERROR(1/(IF(Inputs!$B$38="pvp",15,MAX(0.1,Skills!E12-IF(Skills!F12=TRUE,Inputs!$B$32,0)))*(1-IF(AND(ArtifactsInput!$M$27,Inputs!$B$4="Chapter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IFERROR(1/(IF(Inputs!$B$38="pvp",15,MAX(0.1,Skills!E13-IF(Skills!F13=TRUE,Inputs!$B$32,0)))*(1-IF(AND(ArtifactsInput!$M$27,Inputs!$B$4="Chapter Hunt"),CHOOSE(ArtifactsInput!$N$27+1,20,24,28,32,36,40),0)/100)),0)</f>
        <v/>
      </c>
      <c r="R83">
        <f>IF(AND(Inputs!$B$38&lt;&gt;"pvp",Inputs!$B$43&gt;0),IF(MAX(0,Inputs!$B$43-B108)&lt;=0,0,(INT(MAX(0,Inputs!$B$43-B108)/(IF(Inputs!$B$38="pvp",15,MAX(0.1,Skills!E13-IF(Skills!F13=TRUE,Inputs!$B$32,0)))*(1-IF(AND(ArtifactsInput!$M$27,Inputs!$B$4="Chapter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IFERROR(1/(IF(Inputs!$B$38="pvp",15,MAX(0.1,Skills!E14-IF(Skills!F14=TRUE,Inputs!$B$32,0)))*(1-IF(AND(ArtifactsInput!$M$27,Inputs!$B$4="Chapter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IFERROR(1/(IF(Inputs!$B$38="pvp",15,MAX(0.1,Skills!E15-IF(Skills!F15=TRUE,Inputs!$B$32,0)))*(1-IF(AND(ArtifactsInput!$M$27,Inputs!$B$4="Chapter Hunt"),CHOOSE(ArtifactsInput!$N$27+1,20,24,28,32,36,40),0)/100)),0)</f>
        <v/>
      </c>
      <c r="R85">
        <f>IF(AND(Inputs!$B$38&lt;&gt;"pvp",Inputs!$B$43&gt;0),IF(MAX(0,Inputs!$B$43-B108)&lt;=0,0,(INT(MAX(0,Inputs!$B$43-B108)/(IF(Inputs!$B$38="pvp",15,MAX(0.1,Skills!E15-IF(Skills!F15=TRUE,Inputs!$B$32,0)))*(1-IF(AND(ArtifactsInput!$M$27,Inputs!$B$4="Chapter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IFERROR(1/(IF(Inputs!$B$38="pvp",15,MAX(0.1,Skills!E16-IF(Skills!F16=TRUE,Inputs!$B$32,0)))*(1-IF(AND(ArtifactsInput!$M$27,Inputs!$B$4="Chapter Hunt"),CHOOSE(ArtifactsInput!$N$27+1,20,24,28,32,36,40),0)/100)),0)</f>
        <v/>
      </c>
      <c r="R86">
        <f>IF(AND(Inputs!$B$38&lt;&gt;"pvp",Inputs!$B$43&gt;0),IF(MAX(0,Inputs!$B$43-B108)&lt;=0,0,(INT(MAX(0,Inputs!$B$43-B108)/(IF(Inputs!$B$38="pvp",15,MAX(0.1,Skills!E16-IF(Skills!F16=TRUE,Inputs!$B$32,0)))*(1-IF(AND(ArtifactsInput!$M$27,Inputs!$B$4="Chapter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IFERROR(1/(IF(Inputs!$B$38="pvp",15,MAX(0.1,Skills!E17-IF(Skills!F17=TRUE,Inputs!$B$32,0)))*(1-IF(AND(ArtifactsInput!$M$27,Inputs!$B$4="Chapter Hunt"),CHOOSE(ArtifactsInput!$N$27+1,20,24,28,32,36,40),0)/100)),0)</f>
        <v/>
      </c>
      <c r="R87">
        <f>IF(AND(Inputs!$B$38&lt;&gt;"pvp",Inputs!$B$43&gt;0),IF(Inputs!$B$43&lt;=0,0,(INT(Inputs!$B$43/(IF(Inputs!$B$38="pvp",15,MAX(0.1,Skills!E17-IF(Skills!F17=TRUE,Inputs!$B$32,0)))*(1-IF(AND(ArtifactsInput!$M$27,Inputs!$B$4="Chapter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IFERROR(1/(IF(Inputs!$B$38="pvp",15,MAX(0.1,Skills!E18-IF(Skills!F18=TRUE,Inputs!$B$32,0)))*(1-IF(AND(ArtifactsInput!$M$27,Inputs!$B$4="Chapter Hunt"),CHOOSE(ArtifactsInput!$N$27+1,20,24,28,32,36,40),0)/100)),0)</f>
        <v/>
      </c>
      <c r="R88">
        <f>IF(AND(Inputs!$B$38&lt;&gt;"pvp",Inputs!$B$43&gt;0),IF(Inputs!$B$43&lt;=0,0,(INT(Inputs!$B$43/(IF(Inputs!$B$38="pvp",15,MAX(0.1,Skills!E18-IF(Skills!F18=TRUE,Inputs!$B$32,0)))*(1-IF(AND(ArtifactsInput!$M$27,Inputs!$B$4="Chapter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IFERROR(1/(IF(Inputs!$B$38="pvp",15,MAX(0.1,Skills!E19-IF(Skills!F19=TRUE,Inputs!$B$32,0)))*(1-IF(AND(ArtifactsInput!$M$27,Inputs!$B$4="Chapter Hunt"),CHOOSE(ArtifactsInput!$N$27+1,20,24,28,32,36,40),0)/100)),0)</f>
        <v/>
      </c>
      <c r="R89">
        <f>IF(AND(Inputs!$B$38&lt;&gt;"pvp",Inputs!$B$43&gt;0),IF(Inputs!$B$43&lt;=0,0,(INT(Inputs!$B$43/(IF(Inputs!$B$38="pvp",15,MAX(0.1,Skills!E19-IF(Skills!F19=TRUE,Inputs!$B$32,0)))*(1-IF(AND(ArtifactsInput!$M$27,Inputs!$B$4="Chapter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IFERROR(1/(IF(Inputs!$B$38="pvp",15,MAX(0.1,Skills!E20-IF(Skills!F20=TRUE,Inputs!$B$32,0)))*(1-IF(AND(ArtifactsInput!$M$27,Inputs!$B$4="Chapter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IFERROR(1/(IF(Inputs!$B$38="pvp",15,MAX(0.1,Skills!E21-IF(Skills!F21=TRUE,Inputs!$B$32,0)))*(1-IF(AND(ArtifactsInput!$M$27,Inputs!$B$4="Chapter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IFERROR(1/(IF(Inputs!$B$38="pvp",15,MAX(0.1,Skills!E22-IF(Skills!F22=TRUE,Inputs!$B$32,0)))*(1-IF(AND(ArtifactsInput!$M$27,Inputs!$B$4="Chapter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IFERROR(1/(IF(Inputs!$B$38="pvp",15,MAX(0.1,Skills!E23-IF(Skills!F23=TRUE,Inputs!$B$32,0)))*(1-IF(AND(ArtifactsInput!$M$27,Inputs!$B$4="Chapter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IFERROR(1/(IF(Inputs!$B$38="pvp",15,MAX(0.1,Skills!E24-IF(Skills!F24=TRUE,Inputs!$B$32,0)))*(1-IF(AND(ArtifactsInput!$M$27,Inputs!$B$4="Chapter Hunt"),CHOOSE(ArtifactsInput!$N$27+1,20,24,28,32,36,40),0)/100)),0)</f>
        <v/>
      </c>
      <c r="R94">
        <f>IF(AND(Inputs!$B$38&lt;&gt;"pvp",Inputs!$B$43&gt;0),IF(MAX(0,Inputs!$B$43-B108)&lt;=0,0,(INT(MAX(0,Inputs!$B$43-B108)/(IF(Inputs!$B$38="pvp",15,MAX(0.1,Skills!E24-IF(Skills!F24=TRUE,Inputs!$B$32,0)))*(1-IF(AND(ArtifactsInput!$M$27,Inputs!$B$4="Chapter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IFERROR(1/(IF(Inputs!$B$38="pvp",15,MAX(0.1,Skills!E25-IF(Skills!F25=TRUE,Inputs!$B$32,0)))*(1-IF(AND(ArtifactsInput!$M$27,Inputs!$B$4="Chapter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IFERROR(1/(IF(Inputs!$B$38="pvp",15,MAX(0.1,Skills!E26-IF(Skills!F26=TRUE,Inputs!$B$32,0)))*(1-IF(AND(ArtifactsInput!$M$27,Inputs!$B$4="Chapter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IFERROR(1/(IF(Inputs!$B$38="pvp",15,MAX(0.1,Skills!E27-IF(Skills!F27=TRUE,Inputs!$B$32,0)))*(1-IF(AND(ArtifactsInput!$M$27,Inputs!$B$4="Chapter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IFERROR(1/(IF(Inputs!$B$38="pvp",15,MAX(0.1,Skills!E28-IF(Skills!F28=TRUE,Inputs!$B$32,0)))*(1-IF(AND(ArtifactsInput!$M$27,Inputs!$B$4="Chapter Hunt"),CHOOSE(ArtifactsInput!$N$27+1,20,24,28,32,36,40),0)/100)),0)</f>
        <v/>
      </c>
      <c r="R98">
        <f>IF(AND(Inputs!$B$38&lt;&gt;"pvp",Inputs!$B$43&gt;0),IF(MAX(0,Inputs!$B$43-B108)&lt;=0,0,(INT(MAX(0,Inputs!$B$43-B108)/(IF(Inputs!$B$38="pvp",15,MAX(0.1,Skills!E28-IF(Skills!F28=TRUE,Inputs!$B$32,0)))*(1-IF(AND(ArtifactsInput!$M$27,Inputs!$B$4="Chapter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Skills!T6*(1+((Inputs!$B$34+(ArtifactsInput!$M$7-ArtifactsInput!$M$7)*CHOOSE(ArtifactsInput!$N$7+1,6,7.2,8.4,9.6,10.8,12))+IF(Inputs!$B$3&gt;=117,F95,0))/100))+MIN((Skills!T6*(1+((Inputs!$B$34+(ArtifactsInput!$M$7-ArtifactsInput!$M$7)*CHOOSE(ArtifactsInput!$N$7+1,6,7.2,8.4,9.6,10.8,12))+IF(Inputs!$B$3&gt;=117,F95,0))/100)),MAX(0,Inputs!$B$43-((R76-1)*Skills!E6))))/Inputs!$B$43),IF(Inputs!$B$38="pvp",MIN((Skills!T6*(1+((Inputs!$B$34+(ArtifactsInput!$M$7-ArtifactsInput!$M$7)*CHOOSE(ArtifactsInput!$N$7+1,6,7.2,8.4,9.6,10.8,12))+IF(Inputs!$B$3&gt;=117,F95,0))/100)),15)/15,(Skills!T6*(1+((Inputs!$B$34+(ArtifactsInput!$M$7-ArtifactsInput!$M$7)*CHOOSE(ArtifactsInput!$N$7+1,6,7.2,8.4,9.6,10.8,12))+IF(Inputs!$B$3&gt;=117,F95,0))/100))/Skills!E6))+F87*IF(AND(Inputs!$B$38&lt;&gt;"pvp",Inputs!$B$43&gt;0),(((R87-1)*(Skills!T17*(1+((Inputs!$B$34+(ArtifactsInput!$M$7-ArtifactsInput!$M$7)*CHOOSE(ArtifactsInput!$N$7+1,6,7.2,8.4,9.6,10.8,12))+IF(Inputs!$B$3&gt;=117,F95,0))/100))+MIN((Skills!T17*(1+((Inputs!$B$34+(ArtifactsInput!$M$7-ArtifactsInput!$M$7)*CHOOSE(ArtifactsInput!$N$7+1,6,7.2,8.4,9.6,10.8,12))+IF(Inputs!$B$3&gt;=117,F95,0))/100)),MAX(0,Inputs!$B$43-((R87-1)*Skills!E17))))/Inputs!$B$43),IF(Inputs!$B$38="pvp",MIN((Skills!T17*(1+((Inputs!$B$34+(ArtifactsInput!$M$7-ArtifactsInput!$M$7)*CHOOSE(ArtifactsInput!$N$7+1,6,7.2,8.4,9.6,10.8,12))+IF(Inputs!$B$3&gt;=117,F95,0))/100)),15)/15,(Skills!T17*(1+((Inputs!$B$34+(ArtifactsInput!$M$7-ArtifactsInput!$M$7)*CHOOSE(ArtifactsInput!$N$7+1,6,7.2,8.4,9.6,10.8,12))+IF(Inputs!$B$3&gt;=117,F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Skills!T19*(1+((Inputs!$B$34+(ArtifactsInput!$M$7-ArtifactsInput!$M$7)*CHOOSE(ArtifactsInput!$N$7+1,6,7.2,8.4,9.6,10.8,12))+IF(Inputs!$B$3&gt;=117,F95,0))/100))+MIN((Skills!T19*(1+((Inputs!$B$34+(ArtifactsInput!$M$7-ArtifactsInput!$M$7)*CHOOSE(ArtifactsInput!$N$7+1,6,7.2,8.4,9.6,10.8,12))+IF(Inputs!$B$3&gt;=117,F95,0))/100)),MAX(0,Inputs!$B$43-((R89-1)*Skills!E19))))/Inputs!$B$43),IF(Inputs!$B$38="pvp",MIN((Skills!T19*(1+((Inputs!$B$34+(ArtifactsInput!$M$7-ArtifactsInput!$M$7)*CHOOSE(ArtifactsInput!$N$7+1,6,7.2,8.4,9.6,10.8,12))+IF(Inputs!$B$3&gt;=117,F95,0))/100)),15)/15,(Skills!T19*(1+((Inputs!$B$34+(ArtifactsInput!$M$7-ArtifactsInput!$M$7)*CHOOSE(ArtifactsInput!$N$7+1,6,7.2,8.4,9.6,10.8,12))+IF(Inputs!$B$3&gt;=117,F95,0))/100))/Skills!E19))/100),1)</f>
        <v/>
      </c>
    </row>
    <row r="103">
      <c r="A103" t="inlineStr">
        <is>
          <t>Attack Speed Buff Bonus % (Nimble Feet, averaged)</t>
        </is>
      </c>
      <c r="B103">
        <f>F88*IF(AND(Inputs!$B$38&lt;&gt;"pvp",Inputs!$B$43&gt;0),(((R88-1)*(Skills!T18*(1+((Inputs!$B$34+(ArtifactsInput!$M$7-ArtifactsInput!$M$7)*CHOOSE(ArtifactsInput!$N$7+1,6,7.2,8.4,9.6,10.8,12))+IF(Inputs!$B$3&gt;=117,F95,0))/100))+MIN((Skills!T18*(1+((Inputs!$B$34+(ArtifactsInput!$M$7-ArtifactsInput!$M$7)*CHOOSE(ArtifactsInput!$N$7+1,6,7.2,8.4,9.6,10.8,12))+IF(Inputs!$B$3&gt;=117,F95,0))/100)),MAX(0,Inputs!$B$43-((R88-1)*Skills!E18))))/Inputs!$B$43),IF(Inputs!$B$38="pvp",MIN((Skills!T18*(1+((Inputs!$B$34+(ArtifactsInput!$M$7-ArtifactsInput!$M$7)*CHOOSE(ArtifactsInput!$N$7+1,6,7.2,8.4,9.6,10.8,12))+IF(Inputs!$B$3&gt;=117,F95,0))/100)),15)/15,(Skills!T18*(1+((Inputs!$B$34+(ArtifactsInput!$M$7-ArtifactsInput!$M$7)*CHOOSE(ArtifactsInput!$N$7+1,6,7.2,8.4,9.6,10.8,12))+IF(Inputs!$B$3&gt;=117,F95,0))/100))/Skills!E18)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IFERROR(1/(IF(Inputs!$B$38="pvp",15,MAX(0.1,Skills!E2-IF(Skills!F2=TRUE,Inputs!$B$32,0)))*(1-IF(AND(ArtifactsInput!$M$27,Inputs!$B$4="Chapter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IFERROR(1/(IF(Inputs!$B$38="pvp",15,MAX(0.1,Skills!E3-IF(Skills!F3=TRUE,Inputs!$B$32,0)))*(1-IF(AND(ArtifactsInput!$M$27,Inputs!$B$4="Chapter Hunt"),CHOOSE(ArtifactsInput!$N$27+1,20,24,28,32,36,40),0)/100)),0)</f>
        <v/>
      </c>
      <c r="R117">
        <f>IF(AND(Inputs!$B$38&lt;&gt;"pvp",Inputs!$B$43&gt;0),IF(MAX(0,Inputs!$B$43-B152)&lt;=0,0,(INT(MAX(0,Inputs!$B$43-B152)/(IF(Inputs!$B$38="pvp",15,MAX(0.1,Skills!E3-IF(Skills!F3=TRUE,Inputs!$B$32,0)))*(1-IF(AND(ArtifactsInput!$M$27,Inputs!$B$4="Chapter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IFERROR(1/(IF(Inputs!$B$38="pvp",15,MAX(0.1,Skills!E4-IF(Skills!F4=TRUE,Inputs!$B$32,0)))*(1-IF(AND(ArtifactsInput!$M$27,Inputs!$B$4="Chapter Hunt"),CHOOSE(ArtifactsInput!$N$27+1,20,24,28,32,36,40),0)/100)),0)</f>
        <v/>
      </c>
      <c r="R118">
        <f>IF(AND(Inputs!$B$38&lt;&gt;"pvp",Inputs!$B$43&gt;0),IF(MAX(0,Inputs!$B$43-B152)&lt;=0,0,(INT(MAX(0,Inputs!$B$43-B152)/(IF(Inputs!$B$38="pvp",15,MAX(0.1,Skills!E4-IF(Skills!F4=TRUE,Inputs!$B$32,0)))*(1-IF(AND(ArtifactsInput!$M$27,Inputs!$B$4="Chapter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IFERROR(1/(IF(Inputs!$B$38="pvp",15,MAX(0.1,Skills!E5-IF(Skills!F5=TRUE,Inputs!$B$32,0)))*(1-IF(AND(ArtifactsInput!$M$27,Inputs!$B$4="Chapter Hunt"),CHOOSE(ArtifactsInput!$N$27+1,20,24,28,32,36,40),0)/100)),0)</f>
        <v/>
      </c>
      <c r="R119">
        <f>IF(AND(Inputs!$B$38&lt;&gt;"pvp",Inputs!$B$43&gt;0),IF(MAX(0,Inputs!$B$43-B152)&lt;=0,0,(INT(MAX(0,Inputs!$B$43-B152)/(IF(Inputs!$B$38="pvp",15,MAX(0.1,Skills!E5-IF(Skills!F5=TRUE,Inputs!$B$32,0)))*(1-IF(AND(ArtifactsInput!$M$27,Inputs!$B$4="Chapter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IFERROR(1/(IF(Inputs!$B$38="pvp",15,MAX(0.1,Skills!E6-IF(Skills!F6=TRUE,Inputs!$B$32,0)))*(1-IF(AND(ArtifactsInput!$M$27,Inputs!$B$4="Chapter Hunt"),CHOOSE(ArtifactsInput!$N$27+1,20,24,28,32,36,40),0)/100)),0)</f>
        <v/>
      </c>
      <c r="R120">
        <f>IF(AND(Inputs!$B$38&lt;&gt;"pvp",Inputs!$B$43&gt;0),IF(Inputs!$B$43&lt;=0,0,(INT(Inputs!$B$43/(IF(Inputs!$B$38="pvp",15,MAX(0.1,Skills!E6-IF(Skills!F6=TRUE,Inputs!$B$32,0)))*(1-IF(AND(ArtifactsInput!$M$27,Inputs!$B$4="Chapter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IFERROR(1/(IF(Inputs!$B$38="pvp",15,MAX(0.1,Skills!E7-IF(Skills!F7=TRUE,Inputs!$B$32,0)))*(1-IF(AND(ArtifactsInput!$M$27,Inputs!$B$4="Chapter Hunt"),CHOOSE(ArtifactsInput!$N$27+1,20,24,28,32,36,40),0)/100)),0)</f>
        <v/>
      </c>
      <c r="R121">
        <f>IF(AND(Inputs!$B$38&lt;&gt;"pvp",Inputs!$B$43&gt;0),IF(MAX(0,Inputs!$B$43-B152)&lt;=0,0,(INT(MAX(0,Inputs!$B$43-B152)/(IF(Inputs!$B$38="pvp",15,MAX(0.1,Skills!E7-IF(Skills!F7=TRUE,Inputs!$B$32,0)))*(1-IF(AND(ArtifactsInput!$M$27,Inputs!$B$4="Chapter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IFERROR(1/(IF(Inputs!$B$38="pvp",15,MAX(0.1,Skills!E8-IF(Skills!F8=TRUE,Inputs!$B$32,0)))*(1-IF(AND(ArtifactsInput!$M$27,Inputs!$B$4="Chapter Hunt"),CHOOSE(ArtifactsInput!$N$27+1,20,24,28,32,36,40),0)/100)),0)</f>
        <v/>
      </c>
      <c r="R122">
        <f>IF(AND(Inputs!$B$38&lt;&gt;"pvp",Inputs!$B$43&gt;0),IF(MAX(0,Inputs!$B$43-B152)&lt;=0,0,(INT(MAX(0,Inputs!$B$43-B152)/(IF(Inputs!$B$38="pvp",15,MAX(0.1,Skills!E8-IF(Skills!F8=TRUE,Inputs!$B$32,0)))*(1-IF(AND(ArtifactsInput!$M$27,Inputs!$B$4="Chapter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IFERROR(1/(IF(Inputs!$B$38="pvp",15,MAX(0.1,Skills!E9-IF(Skills!F7=TRUE,Inputs!$B$32,0)))*(1-IF(AND(ArtifactsInput!$M$27,Inputs!$B$4="Chapter Hunt"),CHOOSE(ArtifactsInput!$N$27+1,20,24,28,32,36,40),0)/100)),0)</f>
        <v/>
      </c>
      <c r="R123">
        <f>IF(AND(Inputs!$B$38&lt;&gt;"pvp",Inputs!$B$43&gt;0),IF(MAX(0,Inputs!$B$43-B152)&lt;=0,0,(INT(MAX(0,Inputs!$B$43-B152)/(IF(Inputs!$B$38="pvp",15,MAX(0.1,Skills!E9-IF(Skills!F7=TRUE,Inputs!$B$32,0)))*(1-IF(AND(ArtifactsInput!$M$27,Inputs!$B$4="Chapter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IFERROR(1/(IF(Inputs!$B$38="pvp",15,MAX(0.1,Skills!E10-IF(Skills!F10=TRUE,Inputs!$B$32,0)))*(1-IF(AND(ArtifactsInput!$M$27,Inputs!$B$4="Chapter Hunt"),CHOOSE(ArtifactsInput!$N$27+1,20,24,28,32,36,40),0)/100)),0)</f>
        <v/>
      </c>
      <c r="R124">
        <f>IF(AND(Inputs!$B$38&lt;&gt;"pvp",Inputs!$B$43&gt;0),IF(MAX(0,Inputs!$B$43-B152)&lt;=0,0,(INT(MAX(0,Inputs!$B$43-B152)/(IF(Inputs!$B$38="pvp",15,MAX(0.1,Skills!E10-IF(Skills!F10=TRUE,Inputs!$B$32,0)))*(1-IF(AND(ArtifactsInput!$M$27,Inputs!$B$4="Chapter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IFERROR(1/(IF(Inputs!$B$38="pvp",15,MAX(0.1,Skills!E11-IF(Skills!F11=TRUE,Inputs!$B$32,0)))*(1-IF(AND(ArtifactsInput!$M$27,Inputs!$B$4="Chapter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IFERROR(1/(IF(Inputs!$B$38="pvp",15,MAX(0.1,Skills!E12-IF(Skills!F12=TRUE,Inputs!$B$32,0)))*(1-IF(AND(ArtifactsInput!$M$27,Inputs!$B$4="Chapter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IFERROR(1/(IF(Inputs!$B$38="pvp",15,MAX(0.1,Skills!E13-IF(Skills!F13=TRUE,Inputs!$B$32,0)))*(1-IF(AND(ArtifactsInput!$M$27,Inputs!$B$4="Chapter Hunt"),CHOOSE(ArtifactsInput!$N$27+1,20,24,28,32,36,40),0)/100)),0)</f>
        <v/>
      </c>
      <c r="R127">
        <f>IF(AND(Inputs!$B$38&lt;&gt;"pvp",Inputs!$B$43&gt;0),IF(MAX(0,Inputs!$B$43-B152)&lt;=0,0,(INT(MAX(0,Inputs!$B$43-B152)/(IF(Inputs!$B$38="pvp",15,MAX(0.1,Skills!E13-IF(Skills!F13=TRUE,Inputs!$B$32,0)))*(1-IF(AND(ArtifactsInput!$M$27,Inputs!$B$4="Chapter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IFERROR(1/(IF(Inputs!$B$38="pvp",15,MAX(0.1,Skills!E14-IF(Skills!F14=TRUE,Inputs!$B$32,0)))*(1-IF(AND(ArtifactsInput!$M$27,Inputs!$B$4="Chapter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IFERROR(1/(IF(Inputs!$B$38="pvp",15,MAX(0.1,Skills!E15-IF(Skills!F15=TRUE,Inputs!$B$32,0)))*(1-IF(AND(ArtifactsInput!$M$27,Inputs!$B$4="Chapter Hunt"),CHOOSE(ArtifactsInput!$N$27+1,20,24,28,32,36,40),0)/100)),0)</f>
        <v/>
      </c>
      <c r="R129">
        <f>IF(AND(Inputs!$B$38&lt;&gt;"pvp",Inputs!$B$43&gt;0),IF(MAX(0,Inputs!$B$43-B152)&lt;=0,0,(INT(MAX(0,Inputs!$B$43-B152)/(IF(Inputs!$B$38="pvp",15,MAX(0.1,Skills!E15-IF(Skills!F15=TRUE,Inputs!$B$32,0)))*(1-IF(AND(ArtifactsInput!$M$27,Inputs!$B$4="Chapter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IFERROR(1/(IF(Inputs!$B$38="pvp",15,MAX(0.1,Skills!E16-IF(Skills!F16=TRUE,Inputs!$B$32,0)))*(1-IF(AND(ArtifactsInput!$M$27,Inputs!$B$4="Chapter Hunt"),CHOOSE(ArtifactsInput!$N$27+1,20,24,28,32,36,40),0)/100)),0)</f>
        <v/>
      </c>
      <c r="R130">
        <f>IF(AND(Inputs!$B$38&lt;&gt;"pvp",Inputs!$B$43&gt;0),IF(MAX(0,Inputs!$B$43-B152)&lt;=0,0,(INT(MAX(0,Inputs!$B$43-B152)/(IF(Inputs!$B$38="pvp",15,MAX(0.1,Skills!E16-IF(Skills!F16=TRUE,Inputs!$B$32,0)))*(1-IF(AND(ArtifactsInput!$M$27,Inputs!$B$4="Chapter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IFERROR(1/(IF(Inputs!$B$38="pvp",15,MAX(0.1,Skills!E17-IF(Skills!F17=TRUE,Inputs!$B$32,0)))*(1-IF(AND(ArtifactsInput!$M$27,Inputs!$B$4="Chapter Hunt"),CHOOSE(ArtifactsInput!$N$27+1,20,24,28,32,36,40),0)/100)),0)</f>
        <v/>
      </c>
      <c r="R131">
        <f>IF(AND(Inputs!$B$38&lt;&gt;"pvp",Inputs!$B$43&gt;0),IF(Inputs!$B$43&lt;=0,0,(INT(Inputs!$B$43/(IF(Inputs!$B$38="pvp",15,MAX(0.1,Skills!E17-IF(Skills!F17=TRUE,Inputs!$B$32,0)))*(1-IF(AND(ArtifactsInput!$M$27,Inputs!$B$4="Chapter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IFERROR(1/(IF(Inputs!$B$38="pvp",15,MAX(0.1,Skills!E18-IF(Skills!F18=TRUE,Inputs!$B$32,0)))*(1-IF(AND(ArtifactsInput!$M$27,Inputs!$B$4="Chapter Hunt"),CHOOSE(ArtifactsInput!$N$27+1,20,24,28,32,36,40),0)/100)),0)</f>
        <v/>
      </c>
      <c r="R132">
        <f>IF(AND(Inputs!$B$38&lt;&gt;"pvp",Inputs!$B$43&gt;0),IF(Inputs!$B$43&lt;=0,0,(INT(Inputs!$B$43/(IF(Inputs!$B$38="pvp",15,MAX(0.1,Skills!E18-IF(Skills!F18=TRUE,Inputs!$B$32,0)))*(1-IF(AND(ArtifactsInput!$M$27,Inputs!$B$4="Chapter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IFERROR(1/(IF(Inputs!$B$38="pvp",15,MAX(0.1,Skills!E19-IF(Skills!F19=TRUE,Inputs!$B$32,0)))*(1-IF(AND(ArtifactsInput!$M$27,Inputs!$B$4="Chapter Hunt"),CHOOSE(ArtifactsInput!$N$27+1,20,24,28,32,36,40),0)/100)),0)</f>
        <v/>
      </c>
      <c r="R133">
        <f>IF(AND(Inputs!$B$38&lt;&gt;"pvp",Inputs!$B$43&gt;0),IF(Inputs!$B$43&lt;=0,0,(INT(Inputs!$B$43/(IF(Inputs!$B$38="pvp",15,MAX(0.1,Skills!E19-IF(Skills!F19=TRUE,Inputs!$B$32,0)))*(1-IF(AND(ArtifactsInput!$M$27,Inputs!$B$4="Chapter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IFERROR(1/(IF(Inputs!$B$38="pvp",15,MAX(0.1,Skills!E20-IF(Skills!F20=TRUE,Inputs!$B$32,0)))*(1-IF(AND(ArtifactsInput!$M$27,Inputs!$B$4="Chapter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IFERROR(1/(IF(Inputs!$B$38="pvp",15,MAX(0.1,Skills!E21-IF(Skills!F21=TRUE,Inputs!$B$32,0)))*(1-IF(AND(ArtifactsInput!$M$27,Inputs!$B$4="Chapter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IFERROR(1/(IF(Inputs!$B$38="pvp",15,MAX(0.1,Skills!E22-IF(Skills!F22=TRUE,Inputs!$B$32,0)))*(1-IF(AND(ArtifactsInput!$M$27,Inputs!$B$4="Chapter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IFERROR(1/(IF(Inputs!$B$38="pvp",15,MAX(0.1,Skills!E23-IF(Skills!F23=TRUE,Inputs!$B$32,0)))*(1-IF(AND(ArtifactsInput!$M$27,Inputs!$B$4="Chapter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IFERROR(1/(IF(Inputs!$B$38="pvp",15,MAX(0.1,Skills!E24-IF(Skills!F24=TRUE,Inputs!$B$32,0)))*(1-IF(AND(ArtifactsInput!$M$27,Inputs!$B$4="Chapter Hunt"),CHOOSE(ArtifactsInput!$N$27+1,20,24,28,32,36,40),0)/100)),0)</f>
        <v/>
      </c>
      <c r="R138">
        <f>IF(AND(Inputs!$B$38&lt;&gt;"pvp",Inputs!$B$43&gt;0),IF(MAX(0,Inputs!$B$43-B152)&lt;=0,0,(INT(MAX(0,Inputs!$B$43-B152)/(IF(Inputs!$B$38="pvp",15,MAX(0.1,Skills!E24-IF(Skills!F24=TRUE,Inputs!$B$32,0)))*(1-IF(AND(ArtifactsInput!$M$27,Inputs!$B$4="Chapter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IFERROR(1/(IF(Inputs!$B$38="pvp",15,MAX(0.1,Skills!E25-IF(Skills!F25=TRUE,Inputs!$B$32,0)))*(1-IF(AND(ArtifactsInput!$M$27,Inputs!$B$4="Chapter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IFERROR(1/(IF(Inputs!$B$38="pvp",15,MAX(0.1,Skills!E26-IF(Skills!F26=TRUE,Inputs!$B$32,0)))*(1-IF(AND(ArtifactsInput!$M$27,Inputs!$B$4="Chapter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IFERROR(1/(IF(Inputs!$B$38="pvp",15,MAX(0.1,Skills!E27-IF(Skills!F27=TRUE,Inputs!$B$32,0)))*(1-IF(AND(ArtifactsInput!$M$27,Inputs!$B$4="Chapter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IFERROR(1/(IF(Inputs!$B$38="pvp",15,MAX(0.1,Skills!E28-IF(Skills!F28=TRUE,Inputs!$B$32,0)))*(1-IF(AND(ArtifactsInput!$M$27,Inputs!$B$4="Chapter Hunt"),CHOOSE(ArtifactsInput!$N$27+1,20,24,28,32,36,40),0)/100)),0)</f>
        <v/>
      </c>
      <c r="R142">
        <f>IF(AND(Inputs!$B$38&lt;&gt;"pvp",Inputs!$B$43&gt;0),IF(MAX(0,Inputs!$B$43-B152)&lt;=0,0,(INT(MAX(0,Inputs!$B$43-B152)/(IF(Inputs!$B$38="pvp",15,MAX(0.1,Skills!E28-IF(Skills!F28=TRUE,Inputs!$B$32,0)))*(1-IF(AND(ArtifactsInput!$M$27,Inputs!$B$4="Chapter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Skills!T6*(1+((Inputs!$B$34+(ArtifactsInput!$M$7-ArtifactsInput!$M$7)*CHOOSE(ArtifactsInput!$N$7+1,6,7.2,8.4,9.6,10.8,12))+IF(Inputs!$B$3&gt;=117,F139,0))/100))+MIN((Skills!T6*(1+((Inputs!$B$34+(ArtifactsInput!$M$7-ArtifactsInput!$M$7)*CHOOSE(ArtifactsInput!$N$7+1,6,7.2,8.4,9.6,10.8,12))+IF(Inputs!$B$3&gt;=117,F139,0))/100)),MAX(0,Inputs!$B$43-((R120-1)*Skills!E6))))/Inputs!$B$43),IF(Inputs!$B$38="pvp",MIN((Skills!T6*(1+((Inputs!$B$34+(ArtifactsInput!$M$7-ArtifactsInput!$M$7)*CHOOSE(ArtifactsInput!$N$7+1,6,7.2,8.4,9.6,10.8,12))+IF(Inputs!$B$3&gt;=117,F139,0))/100)),15)/15,(Skills!T6*(1+((Inputs!$B$34+(ArtifactsInput!$M$7-ArtifactsInput!$M$7)*CHOOSE(ArtifactsInput!$N$7+1,6,7.2,8.4,9.6,10.8,12))+IF(Inputs!$B$3&gt;=117,F139,0))/100))/Skills!E6))+F131*IF(AND(Inputs!$B$38&lt;&gt;"pvp",Inputs!$B$43&gt;0),(((R131-1)*(Skills!T17*(1+((Inputs!$B$34+(ArtifactsInput!$M$7-ArtifactsInput!$M$7)*CHOOSE(ArtifactsInput!$N$7+1,6,7.2,8.4,9.6,10.8,12))+IF(Inputs!$B$3&gt;=117,F139,0))/100))+MIN((Skills!T17*(1+((Inputs!$B$34+(ArtifactsInput!$M$7-ArtifactsInput!$M$7)*CHOOSE(ArtifactsInput!$N$7+1,6,7.2,8.4,9.6,10.8,12))+IF(Inputs!$B$3&gt;=117,F139,0))/100)),MAX(0,Inputs!$B$43-((R131-1)*Skills!E17))))/Inputs!$B$43),IF(Inputs!$B$38="pvp",MIN((Skills!T17*(1+((Inputs!$B$34+(ArtifactsInput!$M$7-ArtifactsInput!$M$7)*CHOOSE(ArtifactsInput!$N$7+1,6,7.2,8.4,9.6,10.8,12))+IF(Inputs!$B$3&gt;=117,F139,0))/100)),15)/15,(Skills!T17*(1+((Inputs!$B$34+(ArtifactsInput!$M$7-ArtifactsInput!$M$7)*CHOOSE(ArtifactsInput!$N$7+1,6,7.2,8.4,9.6,10.8,12))+IF(Inputs!$B$3&gt;=117,F139,0)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Skills!T19*(1+((Inputs!$B$34+(ArtifactsInput!$M$7-ArtifactsInput!$M$7)*CHOOSE(ArtifactsInput!$N$7+1,6,7.2,8.4,9.6,10.8,12))+IF(Inputs!$B$3&gt;=117,F139,0))/100))+MIN((Skills!T19*(1+((Inputs!$B$34+(ArtifactsInput!$M$7-ArtifactsInput!$M$7)*CHOOSE(ArtifactsInput!$N$7+1,6,7.2,8.4,9.6,10.8,12))+IF(Inputs!$B$3&gt;=117,F139,0))/100)),MAX(0,Inputs!$B$43-((R133-1)*Skills!E19))))/Inputs!$B$43),IF(Inputs!$B$38="pvp",MIN((Skills!T19*(1+((Inputs!$B$34+(ArtifactsInput!$M$7-ArtifactsInput!$M$7)*CHOOSE(ArtifactsInput!$N$7+1,6,7.2,8.4,9.6,10.8,12))+IF(Inputs!$B$3&gt;=117,F139,0))/100)),15)/15,(Skills!T19*(1+((Inputs!$B$34+(ArtifactsInput!$M$7-ArtifactsInput!$M$7)*CHOOSE(ArtifactsInput!$N$7+1,6,7.2,8.4,9.6,10.8,12))+IF(Inputs!$B$3&gt;=117,F139,0))/100))/Skills!E19))/100),1)</f>
        <v/>
      </c>
    </row>
    <row r="147">
      <c r="A147" t="inlineStr">
        <is>
          <t>Attack Speed Buff Bonus % (Nimble Feet, averaged)</t>
        </is>
      </c>
      <c r="B147">
        <f>F132*IF(AND(Inputs!$B$38&lt;&gt;"pvp",Inputs!$B$43&gt;0),(((R132-1)*(Skills!T18*(1+((Inputs!$B$34+(ArtifactsInput!$M$7-ArtifactsInput!$M$7)*CHOOSE(ArtifactsInput!$N$7+1,6,7.2,8.4,9.6,10.8,12))+IF(Inputs!$B$3&gt;=117,F139,0))/100))+MIN((Skills!T18*(1+((Inputs!$B$34+(ArtifactsInput!$M$7-ArtifactsInput!$M$7)*CHOOSE(ArtifactsInput!$N$7+1,6,7.2,8.4,9.6,10.8,12))+IF(Inputs!$B$3&gt;=117,F139,0))/100)),MAX(0,Inputs!$B$43-((R132-1)*Skills!E18))))/Inputs!$B$43),IF(Inputs!$B$38="pvp",MIN((Skills!T18*(1+((Inputs!$B$34+(ArtifactsInput!$M$7-ArtifactsInput!$M$7)*CHOOSE(ArtifactsInput!$N$7+1,6,7.2,8.4,9.6,10.8,12))+IF(Inputs!$B$3&gt;=117,F139,0))/100)),15)/15,(Skills!T18*(1+((Inputs!$B$34+(ArtifactsInput!$M$7-ArtifactsInput!$M$7)*CHOOSE(ArtifactsInput!$N$7+1,6,7.2,8.4,9.6,10.8,12))+IF(Inputs!$B$3&gt;=117,F139,0))/100))/Skills!E18))</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IFERROR(1/(IF(Inputs!$B$38="pvp",15,MAX(0.1,Skills!E2-IF(Skills!F2=TRUE,Inputs!$B$32,0)))*(1-IF(AND(ArtifactsInput!$M$27,Inputs!$B$4="Chapter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IFERROR(1/(IF(Inputs!$B$38="pvp",15,MAX(0.1,Skills!E3-IF(Skills!F3=TRUE,Inputs!$B$32,0)))*(1-IF(AND(ArtifactsInput!$M$27,Inputs!$B$4="Chapter Hunt"),CHOOSE(ArtifactsInput!$N$27+1,20,24,28,32,36,40),0)/100)),0)</f>
        <v/>
      </c>
      <c r="R161">
        <f>IF(AND(Inputs!$B$38&lt;&gt;"pvp",Inputs!$B$43&gt;0),IF(MAX(0,Inputs!$B$43-B196)&lt;=0,0,(INT(MAX(0,Inputs!$B$43-B196)/(IF(Inputs!$B$38="pvp",15,MAX(0.1,Skills!E3-IF(Skills!F3=TRUE,Inputs!$B$32,0)))*(1-IF(AND(ArtifactsInput!$M$27,Inputs!$B$4="Chapter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IFERROR(1/(IF(Inputs!$B$38="pvp",15,MAX(0.1,Skills!E4-IF(Skills!F4=TRUE,Inputs!$B$32,0)))*(1-IF(AND(ArtifactsInput!$M$27,Inputs!$B$4="Chapter Hunt"),CHOOSE(ArtifactsInput!$N$27+1,20,24,28,32,36,40),0)/100)),0)</f>
        <v/>
      </c>
      <c r="R162">
        <f>IF(AND(Inputs!$B$38&lt;&gt;"pvp",Inputs!$B$43&gt;0),IF(MAX(0,Inputs!$B$43-B196)&lt;=0,0,(INT(MAX(0,Inputs!$B$43-B196)/(IF(Inputs!$B$38="pvp",15,MAX(0.1,Skills!E4-IF(Skills!F4=TRUE,Inputs!$B$32,0)))*(1-IF(AND(ArtifactsInput!$M$27,Inputs!$B$4="Chapter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IFERROR(1/(IF(Inputs!$B$38="pvp",15,MAX(0.1,Skills!E5-IF(Skills!F5=TRUE,Inputs!$B$32,0)))*(1-IF(AND(ArtifactsInput!$M$27,Inputs!$B$4="Chapter Hunt"),CHOOSE(ArtifactsInput!$N$27+1,20,24,28,32,36,40),0)/100)),0)</f>
        <v/>
      </c>
      <c r="R163">
        <f>IF(AND(Inputs!$B$38&lt;&gt;"pvp",Inputs!$B$43&gt;0),IF(MAX(0,Inputs!$B$43-B196)&lt;=0,0,(INT(MAX(0,Inputs!$B$43-B196)/(IF(Inputs!$B$38="pvp",15,MAX(0.1,Skills!E5-IF(Skills!F5=TRUE,Inputs!$B$32,0)))*(1-IF(AND(ArtifactsInput!$M$27,Inputs!$B$4="Chapter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IFERROR(1/(IF(Inputs!$B$38="pvp",15,MAX(0.1,Skills!E6-IF(Skills!F6=TRUE,Inputs!$B$32,0)))*(1-IF(AND(ArtifactsInput!$M$27,Inputs!$B$4="Chapter Hunt"),CHOOSE(ArtifactsInput!$N$27+1,20,24,28,32,36,40),0)/100)),0)</f>
        <v/>
      </c>
      <c r="R164">
        <f>IF(AND(Inputs!$B$38&lt;&gt;"pvp",Inputs!$B$43&gt;0),IF(Inputs!$B$43&lt;=0,0,(INT(Inputs!$B$43/(IF(Inputs!$B$38="pvp",15,MAX(0.1,Skills!E6-IF(Skills!F6=TRUE,Inputs!$B$32,0)))*(1-IF(AND(ArtifactsInput!$M$27,Inputs!$B$4="Chapter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IFERROR(1/(IF(Inputs!$B$38="pvp",15,MAX(0.1,Skills!E7-IF(Skills!F7=TRUE,Inputs!$B$32,0)))*(1-IF(AND(ArtifactsInput!$M$27,Inputs!$B$4="Chapter Hunt"),CHOOSE(ArtifactsInput!$N$27+1,20,24,28,32,36,40),0)/100)),0)</f>
        <v/>
      </c>
      <c r="R165">
        <f>IF(AND(Inputs!$B$38&lt;&gt;"pvp",Inputs!$B$43&gt;0),IF(MAX(0,Inputs!$B$43-B196)&lt;=0,0,(INT(MAX(0,Inputs!$B$43-B196)/(IF(Inputs!$B$38="pvp",15,MAX(0.1,Skills!E7-IF(Skills!F7=TRUE,Inputs!$B$32,0)))*(1-IF(AND(ArtifactsInput!$M$27,Inputs!$B$4="Chapter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IFERROR(1/(IF(Inputs!$B$38="pvp",15,MAX(0.1,Skills!E8-IF(Skills!F8=TRUE,Inputs!$B$32,0)))*(1-IF(AND(ArtifactsInput!$M$27,Inputs!$B$4="Chapter Hunt"),CHOOSE(ArtifactsInput!$N$27+1,20,24,28,32,36,40),0)/100)),0)</f>
        <v/>
      </c>
      <c r="R166">
        <f>IF(AND(Inputs!$B$38&lt;&gt;"pvp",Inputs!$B$43&gt;0),IF(MAX(0,Inputs!$B$43-B196)&lt;=0,0,(INT(MAX(0,Inputs!$B$43-B196)/(IF(Inputs!$B$38="pvp",15,MAX(0.1,Skills!E8-IF(Skills!F8=TRUE,Inputs!$B$32,0)))*(1-IF(AND(ArtifactsInput!$M$27,Inputs!$B$4="Chapter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IFERROR(1/(IF(Inputs!$B$38="pvp",15,MAX(0.1,Skills!E9-IF(Skills!F7=TRUE,Inputs!$B$32,0)))*(1-IF(AND(ArtifactsInput!$M$27,Inputs!$B$4="Chapter Hunt"),CHOOSE(ArtifactsInput!$N$27+1,20,24,28,32,36,40),0)/100)),0)</f>
        <v/>
      </c>
      <c r="R167">
        <f>IF(AND(Inputs!$B$38&lt;&gt;"pvp",Inputs!$B$43&gt;0),IF(MAX(0,Inputs!$B$43-B196)&lt;=0,0,(INT(MAX(0,Inputs!$B$43-B196)/(IF(Inputs!$B$38="pvp",15,MAX(0.1,Skills!E9-IF(Skills!F7=TRUE,Inputs!$B$32,0)))*(1-IF(AND(ArtifactsInput!$M$27,Inputs!$B$4="Chapter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IFERROR(1/(IF(Inputs!$B$38="pvp",15,MAX(0.1,Skills!E10-IF(Skills!F10=TRUE,Inputs!$B$32,0)))*(1-IF(AND(ArtifactsInput!$M$27,Inputs!$B$4="Chapter Hunt"),CHOOSE(ArtifactsInput!$N$27+1,20,24,28,32,36,40),0)/100)),0)</f>
        <v/>
      </c>
      <c r="R168">
        <f>IF(AND(Inputs!$B$38&lt;&gt;"pvp",Inputs!$B$43&gt;0),IF(MAX(0,Inputs!$B$43-B196)&lt;=0,0,(INT(MAX(0,Inputs!$B$43-B196)/(IF(Inputs!$B$38="pvp",15,MAX(0.1,Skills!E10-IF(Skills!F10=TRUE,Inputs!$B$32,0)))*(1-IF(AND(ArtifactsInput!$M$27,Inputs!$B$4="Chapter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IFERROR(1/(IF(Inputs!$B$38="pvp",15,MAX(0.1,Skills!E11-IF(Skills!F11=TRUE,Inputs!$B$32,0)))*(1-IF(AND(ArtifactsInput!$M$27,Inputs!$B$4="Chapter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IFERROR(1/(IF(Inputs!$B$38="pvp",15,MAX(0.1,Skills!E12-IF(Skills!F12=TRUE,Inputs!$B$32,0)))*(1-IF(AND(ArtifactsInput!$M$27,Inputs!$B$4="Chapter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IFERROR(1/(IF(Inputs!$B$38="pvp",15,MAX(0.1,Skills!E13-IF(Skills!F13=TRUE,Inputs!$B$32,0)))*(1-IF(AND(ArtifactsInput!$M$27,Inputs!$B$4="Chapter Hunt"),CHOOSE(ArtifactsInput!$N$27+1,20,24,28,32,36,40),0)/100)),0)</f>
        <v/>
      </c>
      <c r="R171">
        <f>IF(AND(Inputs!$B$38&lt;&gt;"pvp",Inputs!$B$43&gt;0),IF(MAX(0,Inputs!$B$43-B196)&lt;=0,0,(INT(MAX(0,Inputs!$B$43-B196)/(IF(Inputs!$B$38="pvp",15,MAX(0.1,Skills!E13-IF(Skills!F13=TRUE,Inputs!$B$32,0)))*(1-IF(AND(ArtifactsInput!$M$27,Inputs!$B$4="Chapter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IFERROR(1/(IF(Inputs!$B$38="pvp",15,MAX(0.1,Skills!E14-IF(Skills!F14=TRUE,Inputs!$B$32,0)))*(1-IF(AND(ArtifactsInput!$M$27,Inputs!$B$4="Chapter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IFERROR(1/(IF(Inputs!$B$38="pvp",15,MAX(0.1,Skills!E15-IF(Skills!F15=TRUE,Inputs!$B$32,0)))*(1-IF(AND(ArtifactsInput!$M$27,Inputs!$B$4="Chapter Hunt"),CHOOSE(ArtifactsInput!$N$27+1,20,24,28,32,36,40),0)/100)),0)</f>
        <v/>
      </c>
      <c r="R173">
        <f>IF(AND(Inputs!$B$38&lt;&gt;"pvp",Inputs!$B$43&gt;0),IF(MAX(0,Inputs!$B$43-B196)&lt;=0,0,(INT(MAX(0,Inputs!$B$43-B196)/(IF(Inputs!$B$38="pvp",15,MAX(0.1,Skills!E15-IF(Skills!F15=TRUE,Inputs!$B$32,0)))*(1-IF(AND(ArtifactsInput!$M$27,Inputs!$B$4="Chapter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IFERROR(1/(IF(Inputs!$B$38="pvp",15,MAX(0.1,Skills!E16-IF(Skills!F16=TRUE,Inputs!$B$32,0)))*(1-IF(AND(ArtifactsInput!$M$27,Inputs!$B$4="Chapter Hunt"),CHOOSE(ArtifactsInput!$N$27+1,20,24,28,32,36,40),0)/100)),0)</f>
        <v/>
      </c>
      <c r="R174">
        <f>IF(AND(Inputs!$B$38&lt;&gt;"pvp",Inputs!$B$43&gt;0),IF(MAX(0,Inputs!$B$43-B196)&lt;=0,0,(INT(MAX(0,Inputs!$B$43-B196)/(IF(Inputs!$B$38="pvp",15,MAX(0.1,Skills!E16-IF(Skills!F16=TRUE,Inputs!$B$32,0)))*(1-IF(AND(ArtifactsInput!$M$27,Inputs!$B$4="Chapter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IFERROR(1/(IF(Inputs!$B$38="pvp",15,MAX(0.1,Skills!E17-IF(Skills!F17=TRUE,Inputs!$B$32,0)))*(1-IF(AND(ArtifactsInput!$M$27,Inputs!$B$4="Chapter Hunt"),CHOOSE(ArtifactsInput!$N$27+1,20,24,28,32,36,40),0)/100)),0)</f>
        <v/>
      </c>
      <c r="R175">
        <f>IF(AND(Inputs!$B$38&lt;&gt;"pvp",Inputs!$B$43&gt;0),IF(Inputs!$B$43&lt;=0,0,(INT(Inputs!$B$43/(IF(Inputs!$B$38="pvp",15,MAX(0.1,Skills!E17-IF(Skills!F17=TRUE,Inputs!$B$32,0)))*(1-IF(AND(ArtifactsInput!$M$27,Inputs!$B$4="Chapter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IFERROR(1/(IF(Inputs!$B$38="pvp",15,MAX(0.1,Skills!E18-IF(Skills!F18=TRUE,Inputs!$B$32,0)))*(1-IF(AND(ArtifactsInput!$M$27,Inputs!$B$4="Chapter Hunt"),CHOOSE(ArtifactsInput!$N$27+1,20,24,28,32,36,40),0)/100)),0)</f>
        <v/>
      </c>
      <c r="R176">
        <f>IF(AND(Inputs!$B$38&lt;&gt;"pvp",Inputs!$B$43&gt;0),IF(Inputs!$B$43&lt;=0,0,(INT(Inputs!$B$43/(IF(Inputs!$B$38="pvp",15,MAX(0.1,Skills!E18-IF(Skills!F18=TRUE,Inputs!$B$32,0)))*(1-IF(AND(ArtifactsInput!$M$27,Inputs!$B$4="Chapter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IFERROR(1/(IF(Inputs!$B$38="pvp",15,MAX(0.1,Skills!E19-IF(Skills!F19=TRUE,Inputs!$B$32,0)))*(1-IF(AND(ArtifactsInput!$M$27,Inputs!$B$4="Chapter Hunt"),CHOOSE(ArtifactsInput!$N$27+1,20,24,28,32,36,40),0)/100)),0)</f>
        <v/>
      </c>
      <c r="R177">
        <f>IF(AND(Inputs!$B$38&lt;&gt;"pvp",Inputs!$B$43&gt;0),IF(Inputs!$B$43&lt;=0,0,(INT(Inputs!$B$43/(IF(Inputs!$B$38="pvp",15,MAX(0.1,Skills!E19-IF(Skills!F19=TRUE,Inputs!$B$32,0)))*(1-IF(AND(ArtifactsInput!$M$27,Inputs!$B$4="Chapter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IFERROR(1/(IF(Inputs!$B$38="pvp",15,MAX(0.1,Skills!E20-IF(Skills!F20=TRUE,Inputs!$B$32,0)))*(1-IF(AND(ArtifactsInput!$M$27,Inputs!$B$4="Chapter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IFERROR(1/(IF(Inputs!$B$38="pvp",15,MAX(0.1,Skills!E21-IF(Skills!F21=TRUE,Inputs!$B$32,0)))*(1-IF(AND(ArtifactsInput!$M$27,Inputs!$B$4="Chapter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IFERROR(1/(IF(Inputs!$B$38="pvp",15,MAX(0.1,Skills!E22-IF(Skills!F22=TRUE,Inputs!$B$32,0)))*(1-IF(AND(ArtifactsInput!$M$27,Inputs!$B$4="Chapter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IFERROR(1/(IF(Inputs!$B$38="pvp",15,MAX(0.1,Skills!E23-IF(Skills!F23=TRUE,Inputs!$B$32,0)))*(1-IF(AND(ArtifactsInput!$M$27,Inputs!$B$4="Chapter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IFERROR(1/(IF(Inputs!$B$38="pvp",15,MAX(0.1,Skills!E24-IF(Skills!F24=TRUE,Inputs!$B$32,0)))*(1-IF(AND(ArtifactsInput!$M$27,Inputs!$B$4="Chapter Hunt"),CHOOSE(ArtifactsInput!$N$27+1,20,24,28,32,36,40),0)/100)),0)</f>
        <v/>
      </c>
      <c r="R182">
        <f>IF(AND(Inputs!$B$38&lt;&gt;"pvp",Inputs!$B$43&gt;0),IF(MAX(0,Inputs!$B$43-B196)&lt;=0,0,(INT(MAX(0,Inputs!$B$43-B196)/(IF(Inputs!$B$38="pvp",15,MAX(0.1,Skills!E24-IF(Skills!F24=TRUE,Inputs!$B$32,0)))*(1-IF(AND(ArtifactsInput!$M$27,Inputs!$B$4="Chapter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IFERROR(1/(IF(Inputs!$B$38="pvp",15,MAX(0.1,Skills!E25-IF(Skills!F25=TRUE,Inputs!$B$32,0)))*(1-IF(AND(ArtifactsInput!$M$27,Inputs!$B$4="Chapter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IFERROR(1/(IF(Inputs!$B$38="pvp",15,MAX(0.1,Skills!E26-IF(Skills!F26=TRUE,Inputs!$B$32,0)))*(1-IF(AND(ArtifactsInput!$M$27,Inputs!$B$4="Chapter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IFERROR(1/(IF(Inputs!$B$38="pvp",15,MAX(0.1,Skills!E27-IF(Skills!F27=TRUE,Inputs!$B$32,0)))*(1-IF(AND(ArtifactsInput!$M$27,Inputs!$B$4="Chapter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IFERROR(1/(IF(Inputs!$B$38="pvp",15,MAX(0.1,Skills!E28-IF(Skills!F28=TRUE,Inputs!$B$32,0)))*(1-IF(AND(ArtifactsInput!$M$27,Inputs!$B$4="Chapter Hunt"),CHOOSE(ArtifactsInput!$N$27+1,20,24,28,32,36,40),0)/100)),0)</f>
        <v/>
      </c>
      <c r="R186">
        <f>IF(AND(Inputs!$B$38&lt;&gt;"pvp",Inputs!$B$43&gt;0),IF(MAX(0,Inputs!$B$43-B196)&lt;=0,0,(INT(MAX(0,Inputs!$B$43-B196)/(IF(Inputs!$B$38="pvp",15,MAX(0.1,Skills!E28-IF(Skills!F28=TRUE,Inputs!$B$32,0)))*(1-IF(AND(ArtifactsInput!$M$27,Inputs!$B$4="Chapter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Skills!T6*(1+((Inputs!$B$34+(ArtifactsInput!$M$7-ArtifactsInput!$M$7)*CHOOSE(ArtifactsInput!$N$7+1,6,7.2,8.4,9.6,10.8,12))+IF(Inputs!$B$3&gt;=117,F183,0))/100))+MIN((Skills!T6*(1+((Inputs!$B$34+(ArtifactsInput!$M$7-ArtifactsInput!$M$7)*CHOOSE(ArtifactsInput!$N$7+1,6,7.2,8.4,9.6,10.8,12))+IF(Inputs!$B$3&gt;=117,F183,0))/100)),MAX(0,Inputs!$B$43-((R164-1)*Skills!E6))))/Inputs!$B$43),IF(Inputs!$B$38="pvp",MIN((Skills!T6*(1+((Inputs!$B$34+(ArtifactsInput!$M$7-ArtifactsInput!$M$7)*CHOOSE(ArtifactsInput!$N$7+1,6,7.2,8.4,9.6,10.8,12))+IF(Inputs!$B$3&gt;=117,F183,0))/100)),15)/15,(Skills!T6*(1+((Inputs!$B$34+(ArtifactsInput!$M$7-ArtifactsInput!$M$7)*CHOOSE(ArtifactsInput!$N$7+1,6,7.2,8.4,9.6,10.8,12))+IF(Inputs!$B$3&gt;=117,F183,0))/100))/Skills!E6))+F175*IF(AND(Inputs!$B$38&lt;&gt;"pvp",Inputs!$B$43&gt;0),(((R175-1)*(Skills!T17*(1+((Inputs!$B$34+(ArtifactsInput!$M$7-ArtifactsInput!$M$7)*CHOOSE(ArtifactsInput!$N$7+1,6,7.2,8.4,9.6,10.8,12))+IF(Inputs!$B$3&gt;=117,F183,0))/100))+MIN((Skills!T17*(1+((Inputs!$B$34+(ArtifactsInput!$M$7-ArtifactsInput!$M$7)*CHOOSE(ArtifactsInput!$N$7+1,6,7.2,8.4,9.6,10.8,12))+IF(Inputs!$B$3&gt;=117,F183,0))/100)),MAX(0,Inputs!$B$43-((R175-1)*Skills!E17))))/Inputs!$B$43),IF(Inputs!$B$38="pvp",MIN((Skills!T17*(1+((Inputs!$B$34+(ArtifactsInput!$M$7-ArtifactsInput!$M$7)*CHOOSE(ArtifactsInput!$N$7+1,6,7.2,8.4,9.6,10.8,12))+IF(Inputs!$B$3&gt;=117,F183,0))/100)),15)/15,(Skills!T17*(1+((Inputs!$B$34+(ArtifactsInput!$M$7-ArtifactsInput!$M$7)*CHOOSE(ArtifactsInput!$N$7+1,6,7.2,8.4,9.6,10.8,12))+IF(Inputs!$B$3&gt;=117,F183,0)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Skills!T19*(1+((Inputs!$B$34+(ArtifactsInput!$M$7-ArtifactsInput!$M$7)*CHOOSE(ArtifactsInput!$N$7+1,6,7.2,8.4,9.6,10.8,12))+IF(Inputs!$B$3&gt;=117,F183,0))/100))+MIN((Skills!T19*(1+((Inputs!$B$34+(ArtifactsInput!$M$7-ArtifactsInput!$M$7)*CHOOSE(ArtifactsInput!$N$7+1,6,7.2,8.4,9.6,10.8,12))+IF(Inputs!$B$3&gt;=117,F183,0))/100)),MAX(0,Inputs!$B$43-((R177-1)*Skills!E19))))/Inputs!$B$43),IF(Inputs!$B$38="pvp",MIN((Skills!T19*(1+((Inputs!$B$34+(ArtifactsInput!$M$7-ArtifactsInput!$M$7)*CHOOSE(ArtifactsInput!$N$7+1,6,7.2,8.4,9.6,10.8,12))+IF(Inputs!$B$3&gt;=117,F183,0))/100)),15)/15,(Skills!T19*(1+((Inputs!$B$34+(ArtifactsInput!$M$7-ArtifactsInput!$M$7)*CHOOSE(ArtifactsInput!$N$7+1,6,7.2,8.4,9.6,10.8,12))+IF(Inputs!$B$3&gt;=117,F183,0))/100))/Skills!E19))/100),1)</f>
        <v/>
      </c>
    </row>
    <row r="191">
      <c r="A191" t="inlineStr">
        <is>
          <t>Attack Speed Buff Bonus % (Nimble Feet, averaged)</t>
        </is>
      </c>
      <c r="B191">
        <f>F176*IF(AND(Inputs!$B$38&lt;&gt;"pvp",Inputs!$B$43&gt;0),(((R176-1)*(Skills!T18*(1+((Inputs!$B$34+(ArtifactsInput!$M$7-ArtifactsInput!$M$7)*CHOOSE(ArtifactsInput!$N$7+1,6,7.2,8.4,9.6,10.8,12))+IF(Inputs!$B$3&gt;=117,F183,0))/100))+MIN((Skills!T18*(1+((Inputs!$B$34+(ArtifactsInput!$M$7-ArtifactsInput!$M$7)*CHOOSE(ArtifactsInput!$N$7+1,6,7.2,8.4,9.6,10.8,12))+IF(Inputs!$B$3&gt;=117,F183,0))/100)),MAX(0,Inputs!$B$43-((R176-1)*Skills!E18))))/Inputs!$B$43),IF(Inputs!$B$38="pvp",MIN((Skills!T18*(1+((Inputs!$B$34+(ArtifactsInput!$M$7-ArtifactsInput!$M$7)*CHOOSE(ArtifactsInput!$N$7+1,6,7.2,8.4,9.6,10.8,12))+IF(Inputs!$B$3&gt;=117,F183,0))/100)),15)/15,(Skills!T18*(1+((Inputs!$B$34+(ArtifactsInput!$M$7-ArtifactsInput!$M$7)*CHOOSE(ArtifactsInput!$N$7+1,6,7.2,8.4,9.6,10.8,12))+IF(Inputs!$B$3&gt;=117,F183,0))/100))/Skills!E18))</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IFERROR(1/(IF(Inputs!$B$38="pvp",15,MAX(0.1,Skills!E2-IF(Skills!F2=TRUE,Inputs!$B$32,0)))*(1-IF(AND(ArtifactsInput!$M$27,Inputs!$B$4="Chapter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IFERROR(1/(IF(Inputs!$B$38="pvp",15,MAX(0.1,Skills!E3-IF(Skills!F3=TRUE,Inputs!$B$32,0)))*(1-IF(AND(ArtifactsInput!$M$27,Inputs!$B$4="Chapter Hunt"),CHOOSE(ArtifactsInput!$N$27+1,20,24,28,32,36,40),0)/100)),0)</f>
        <v/>
      </c>
      <c r="R205">
        <f>IF(AND(Inputs!$B$38&lt;&gt;"pvp",Inputs!$B$43&gt;0),IF(MAX(0,Inputs!$B$43-B240)&lt;=0,0,(INT(MAX(0,Inputs!$B$43-B240)/(IF(Inputs!$B$38="pvp",15,MAX(0.1,Skills!E3-IF(Skills!F3=TRUE,Inputs!$B$32,0)))*(1-IF(AND(ArtifactsInput!$M$27,Inputs!$B$4="Chapter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IFERROR(1/(IF(Inputs!$B$38="pvp",15,MAX(0.1,Skills!E4-IF(Skills!F4=TRUE,Inputs!$B$32,0)))*(1-IF(AND(ArtifactsInput!$M$27,Inputs!$B$4="Chapter Hunt"),CHOOSE(ArtifactsInput!$N$27+1,20,24,28,32,36,40),0)/100)),0)</f>
        <v/>
      </c>
      <c r="R206">
        <f>IF(AND(Inputs!$B$38&lt;&gt;"pvp",Inputs!$B$43&gt;0),IF(MAX(0,Inputs!$B$43-B240)&lt;=0,0,(INT(MAX(0,Inputs!$B$43-B240)/(IF(Inputs!$B$38="pvp",15,MAX(0.1,Skills!E4-IF(Skills!F4=TRUE,Inputs!$B$32,0)))*(1-IF(AND(ArtifactsInput!$M$27,Inputs!$B$4="Chapter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IFERROR(1/(IF(Inputs!$B$38="pvp",15,MAX(0.1,Skills!E5-IF(Skills!F5=TRUE,Inputs!$B$32,0)))*(1-IF(AND(ArtifactsInput!$M$27,Inputs!$B$4="Chapter Hunt"),CHOOSE(ArtifactsInput!$N$27+1,20,24,28,32,36,40),0)/100)),0)</f>
        <v/>
      </c>
      <c r="R207">
        <f>IF(AND(Inputs!$B$38&lt;&gt;"pvp",Inputs!$B$43&gt;0),IF(MAX(0,Inputs!$B$43-B240)&lt;=0,0,(INT(MAX(0,Inputs!$B$43-B240)/(IF(Inputs!$B$38="pvp",15,MAX(0.1,Skills!E5-IF(Skills!F5=TRUE,Inputs!$B$32,0)))*(1-IF(AND(ArtifactsInput!$M$27,Inputs!$B$4="Chapter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IFERROR(1/(IF(Inputs!$B$38="pvp",15,MAX(0.1,Skills!E6-IF(Skills!F6=TRUE,Inputs!$B$32,0)))*(1-IF(AND(ArtifactsInput!$M$27,Inputs!$B$4="Chapter Hunt"),CHOOSE(ArtifactsInput!$N$27+1,20,24,28,32,36,40),0)/100)),0)</f>
        <v/>
      </c>
      <c r="R208">
        <f>IF(AND(Inputs!$B$38&lt;&gt;"pvp",Inputs!$B$43&gt;0),IF(Inputs!$B$43&lt;=0,0,(INT(Inputs!$B$43/(IF(Inputs!$B$38="pvp",15,MAX(0.1,Skills!E6-IF(Skills!F6=TRUE,Inputs!$B$32,0)))*(1-IF(AND(ArtifactsInput!$M$27,Inputs!$B$4="Chapter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IFERROR(1/(IF(Inputs!$B$38="pvp",15,MAX(0.1,Skills!E7-IF(Skills!F7=TRUE,Inputs!$B$32,0)))*(1-IF(AND(ArtifactsInput!$M$27,Inputs!$B$4="Chapter Hunt"),CHOOSE(ArtifactsInput!$N$27+1,20,24,28,32,36,40),0)/100)),0)</f>
        <v/>
      </c>
      <c r="R209">
        <f>IF(AND(Inputs!$B$38&lt;&gt;"pvp",Inputs!$B$43&gt;0),IF(MAX(0,Inputs!$B$43-B240)&lt;=0,0,(INT(MAX(0,Inputs!$B$43-B240)/(IF(Inputs!$B$38="pvp",15,MAX(0.1,Skills!E7-IF(Skills!F7=TRUE,Inputs!$B$32,0)))*(1-IF(AND(ArtifactsInput!$M$27,Inputs!$B$4="Chapter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IFERROR(1/(IF(Inputs!$B$38="pvp",15,MAX(0.1,Skills!E8-IF(Skills!F8=TRUE,Inputs!$B$32,0)))*(1-IF(AND(ArtifactsInput!$M$27,Inputs!$B$4="Chapter Hunt"),CHOOSE(ArtifactsInput!$N$27+1,20,24,28,32,36,40),0)/100)),0)</f>
        <v/>
      </c>
      <c r="R210">
        <f>IF(AND(Inputs!$B$38&lt;&gt;"pvp",Inputs!$B$43&gt;0),IF(MAX(0,Inputs!$B$43-B240)&lt;=0,0,(INT(MAX(0,Inputs!$B$43-B240)/(IF(Inputs!$B$38="pvp",15,MAX(0.1,Skills!E8-IF(Skills!F8=TRUE,Inputs!$B$32,0)))*(1-IF(AND(ArtifactsInput!$M$27,Inputs!$B$4="Chapter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IFERROR(1/(IF(Inputs!$B$38="pvp",15,MAX(0.1,Skills!E9-IF(Skills!F7=TRUE,Inputs!$B$32,0)))*(1-IF(AND(ArtifactsInput!$M$27,Inputs!$B$4="Chapter Hunt"),CHOOSE(ArtifactsInput!$N$27+1,20,24,28,32,36,40),0)/100)),0)</f>
        <v/>
      </c>
      <c r="R211">
        <f>IF(AND(Inputs!$B$38&lt;&gt;"pvp",Inputs!$B$43&gt;0),IF(MAX(0,Inputs!$B$43-B240)&lt;=0,0,(INT(MAX(0,Inputs!$B$43-B240)/(IF(Inputs!$B$38="pvp",15,MAX(0.1,Skills!E9-IF(Skills!F7=TRUE,Inputs!$B$32,0)))*(1-IF(AND(ArtifactsInput!$M$27,Inputs!$B$4="Chapter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IFERROR(1/(IF(Inputs!$B$38="pvp",15,MAX(0.1,Skills!E10-IF(Skills!F10=TRUE,Inputs!$B$32,0)))*(1-IF(AND(ArtifactsInput!$M$27,Inputs!$B$4="Chapter Hunt"),CHOOSE(ArtifactsInput!$N$27+1,20,24,28,32,36,40),0)/100)),0)</f>
        <v/>
      </c>
      <c r="R212">
        <f>IF(AND(Inputs!$B$38&lt;&gt;"pvp",Inputs!$B$43&gt;0),IF(MAX(0,Inputs!$B$43-B240)&lt;=0,0,(INT(MAX(0,Inputs!$B$43-B240)/(IF(Inputs!$B$38="pvp",15,MAX(0.1,Skills!E10-IF(Skills!F10=TRUE,Inputs!$B$32,0)))*(1-IF(AND(ArtifactsInput!$M$27,Inputs!$B$4="Chapter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IFERROR(1/(IF(Inputs!$B$38="pvp",15,MAX(0.1,Skills!E11-IF(Skills!F11=TRUE,Inputs!$B$32,0)))*(1-IF(AND(ArtifactsInput!$M$27,Inputs!$B$4="Chapter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IFERROR(1/(IF(Inputs!$B$38="pvp",15,MAX(0.1,Skills!E12-IF(Skills!F12=TRUE,Inputs!$B$32,0)))*(1-IF(AND(ArtifactsInput!$M$27,Inputs!$B$4="Chapter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IFERROR(1/(IF(Inputs!$B$38="pvp",15,MAX(0.1,Skills!E13-IF(Skills!F13=TRUE,Inputs!$B$32,0)))*(1-IF(AND(ArtifactsInput!$M$27,Inputs!$B$4="Chapter Hunt"),CHOOSE(ArtifactsInput!$N$27+1,20,24,28,32,36,40),0)/100)),0)</f>
        <v/>
      </c>
      <c r="R215">
        <f>IF(AND(Inputs!$B$38&lt;&gt;"pvp",Inputs!$B$43&gt;0),IF(MAX(0,Inputs!$B$43-B240)&lt;=0,0,(INT(MAX(0,Inputs!$B$43-B240)/(IF(Inputs!$B$38="pvp",15,MAX(0.1,Skills!E13-IF(Skills!F13=TRUE,Inputs!$B$32,0)))*(1-IF(AND(ArtifactsInput!$M$27,Inputs!$B$4="Chapter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IFERROR(1/(IF(Inputs!$B$38="pvp",15,MAX(0.1,Skills!E14-IF(Skills!F14=TRUE,Inputs!$B$32,0)))*(1-IF(AND(ArtifactsInput!$M$27,Inputs!$B$4="Chapter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IFERROR(1/(IF(Inputs!$B$38="pvp",15,MAX(0.1,Skills!E15-IF(Skills!F15=TRUE,Inputs!$B$32,0)))*(1-IF(AND(ArtifactsInput!$M$27,Inputs!$B$4="Chapter Hunt"),CHOOSE(ArtifactsInput!$N$27+1,20,24,28,32,36,40),0)/100)),0)</f>
        <v/>
      </c>
      <c r="R217">
        <f>IF(AND(Inputs!$B$38&lt;&gt;"pvp",Inputs!$B$43&gt;0),IF(MAX(0,Inputs!$B$43-B240)&lt;=0,0,(INT(MAX(0,Inputs!$B$43-B240)/(IF(Inputs!$B$38="pvp",15,MAX(0.1,Skills!E15-IF(Skills!F15=TRUE,Inputs!$B$32,0)))*(1-IF(AND(ArtifactsInput!$M$27,Inputs!$B$4="Chapter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IFERROR(1/(IF(Inputs!$B$38="pvp",15,MAX(0.1,Skills!E16-IF(Skills!F16=TRUE,Inputs!$B$32,0)))*(1-IF(AND(ArtifactsInput!$M$27,Inputs!$B$4="Chapter Hunt"),CHOOSE(ArtifactsInput!$N$27+1,20,24,28,32,36,40),0)/100)),0)</f>
        <v/>
      </c>
      <c r="R218">
        <f>IF(AND(Inputs!$B$38&lt;&gt;"pvp",Inputs!$B$43&gt;0),IF(MAX(0,Inputs!$B$43-B240)&lt;=0,0,(INT(MAX(0,Inputs!$B$43-B240)/(IF(Inputs!$B$38="pvp",15,MAX(0.1,Skills!E16-IF(Skills!F16=TRUE,Inputs!$B$32,0)))*(1-IF(AND(ArtifactsInput!$M$27,Inputs!$B$4="Chapter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IFERROR(1/(IF(Inputs!$B$38="pvp",15,MAX(0.1,Skills!E17-IF(Skills!F17=TRUE,Inputs!$B$32,0)))*(1-IF(AND(ArtifactsInput!$M$27,Inputs!$B$4="Chapter Hunt"),CHOOSE(ArtifactsInput!$N$27+1,20,24,28,32,36,40),0)/100)),0)</f>
        <v/>
      </c>
      <c r="R219">
        <f>IF(AND(Inputs!$B$38&lt;&gt;"pvp",Inputs!$B$43&gt;0),IF(Inputs!$B$43&lt;=0,0,(INT(Inputs!$B$43/(IF(Inputs!$B$38="pvp",15,MAX(0.1,Skills!E17-IF(Skills!F17=TRUE,Inputs!$B$32,0)))*(1-IF(AND(ArtifactsInput!$M$27,Inputs!$B$4="Chapter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IFERROR(1/(IF(Inputs!$B$38="pvp",15,MAX(0.1,Skills!E18-IF(Skills!F18=TRUE,Inputs!$B$32,0)))*(1-IF(AND(ArtifactsInput!$M$27,Inputs!$B$4="Chapter Hunt"),CHOOSE(ArtifactsInput!$N$27+1,20,24,28,32,36,40),0)/100)),0)</f>
        <v/>
      </c>
      <c r="R220">
        <f>IF(AND(Inputs!$B$38&lt;&gt;"pvp",Inputs!$B$43&gt;0),IF(Inputs!$B$43&lt;=0,0,(INT(Inputs!$B$43/(IF(Inputs!$B$38="pvp",15,MAX(0.1,Skills!E18-IF(Skills!F18=TRUE,Inputs!$B$32,0)))*(1-IF(AND(ArtifactsInput!$M$27,Inputs!$B$4="Chapter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IFERROR(1/(IF(Inputs!$B$38="pvp",15,MAX(0.1,Skills!E19-IF(Skills!F19=TRUE,Inputs!$B$32,0)))*(1-IF(AND(ArtifactsInput!$M$27,Inputs!$B$4="Chapter Hunt"),CHOOSE(ArtifactsInput!$N$27+1,20,24,28,32,36,40),0)/100)),0)</f>
        <v/>
      </c>
      <c r="R221">
        <f>IF(AND(Inputs!$B$38&lt;&gt;"pvp",Inputs!$B$43&gt;0),IF(Inputs!$B$43&lt;=0,0,(INT(Inputs!$B$43/(IF(Inputs!$B$38="pvp",15,MAX(0.1,Skills!E19-IF(Skills!F19=TRUE,Inputs!$B$32,0)))*(1-IF(AND(ArtifactsInput!$M$27,Inputs!$B$4="Chapter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IFERROR(1/(IF(Inputs!$B$38="pvp",15,MAX(0.1,Skills!E20-IF(Skills!F20=TRUE,Inputs!$B$32,0)))*(1-IF(AND(ArtifactsInput!$M$27,Inputs!$B$4="Chapter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IFERROR(1/(IF(Inputs!$B$38="pvp",15,MAX(0.1,Skills!E21-IF(Skills!F21=TRUE,Inputs!$B$32,0)))*(1-IF(AND(ArtifactsInput!$M$27,Inputs!$B$4="Chapter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IFERROR(1/(IF(Inputs!$B$38="pvp",15,MAX(0.1,Skills!E22-IF(Skills!F22=TRUE,Inputs!$B$32,0)))*(1-IF(AND(ArtifactsInput!$M$27,Inputs!$B$4="Chapter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IFERROR(1/(IF(Inputs!$B$38="pvp",15,MAX(0.1,Skills!E23-IF(Skills!F23=TRUE,Inputs!$B$32,0)))*(1-IF(AND(ArtifactsInput!$M$27,Inputs!$B$4="Chapter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IFERROR(1/(IF(Inputs!$B$38="pvp",15,MAX(0.1,Skills!E24-IF(Skills!F24=TRUE,Inputs!$B$32,0)))*(1-IF(AND(ArtifactsInput!$M$27,Inputs!$B$4="Chapter Hunt"),CHOOSE(ArtifactsInput!$N$27+1,20,24,28,32,36,40),0)/100)),0)</f>
        <v/>
      </c>
      <c r="R226">
        <f>IF(AND(Inputs!$B$38&lt;&gt;"pvp",Inputs!$B$43&gt;0),IF(MAX(0,Inputs!$B$43-B240)&lt;=0,0,(INT(MAX(0,Inputs!$B$43-B240)/(IF(Inputs!$B$38="pvp",15,MAX(0.1,Skills!E24-IF(Skills!F24=TRUE,Inputs!$B$32,0)))*(1-IF(AND(ArtifactsInput!$M$27,Inputs!$B$4="Chapter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IFERROR(1/(IF(Inputs!$B$38="pvp",15,MAX(0.1,Skills!E25-IF(Skills!F25=TRUE,Inputs!$B$32,0)))*(1-IF(AND(ArtifactsInput!$M$27,Inputs!$B$4="Chapter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IFERROR(1/(IF(Inputs!$B$38="pvp",15,MAX(0.1,Skills!E26-IF(Skills!F26=TRUE,Inputs!$B$32,0)))*(1-IF(AND(ArtifactsInput!$M$27,Inputs!$B$4="Chapter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IFERROR(1/(IF(Inputs!$B$38="pvp",15,MAX(0.1,Skills!E27-IF(Skills!F27=TRUE,Inputs!$B$32,0)))*(1-IF(AND(ArtifactsInput!$M$27,Inputs!$B$4="Chapter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IFERROR(1/(IF(Inputs!$B$38="pvp",15,MAX(0.1,Skills!E28-IF(Skills!F28=TRUE,Inputs!$B$32,0)))*(1-IF(AND(ArtifactsInput!$M$27,Inputs!$B$4="Chapter Hunt"),CHOOSE(ArtifactsInput!$N$27+1,20,24,28,32,36,40),0)/100)),0)</f>
        <v/>
      </c>
      <c r="R230">
        <f>IF(AND(Inputs!$B$38&lt;&gt;"pvp",Inputs!$B$43&gt;0),IF(MAX(0,Inputs!$B$43-B240)&lt;=0,0,(INT(MAX(0,Inputs!$B$43-B240)/(IF(Inputs!$B$38="pvp",15,MAX(0.1,Skills!E28-IF(Skills!F28=TRUE,Inputs!$B$32,0)))*(1-IF(AND(ArtifactsInput!$M$27,Inputs!$B$4="Chapter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Skills!T6*(1+((Inputs!$B$34+(ArtifactsInput!$M$7-ArtifactsInput!$M$7)*CHOOSE(ArtifactsInput!$N$7+1,6,7.2,8.4,9.6,10.8,12))+IF(Inputs!$B$3&gt;=117,F227,0))/100))+MIN((Skills!T6*(1+((Inputs!$B$34+(ArtifactsInput!$M$7-ArtifactsInput!$M$7)*CHOOSE(ArtifactsInput!$N$7+1,6,7.2,8.4,9.6,10.8,12))+IF(Inputs!$B$3&gt;=117,F227,0))/100)),MAX(0,Inputs!$B$43-((R208-1)*Skills!E6))))/Inputs!$B$43),IF(Inputs!$B$38="pvp",MIN((Skills!T6*(1+((Inputs!$B$34+(ArtifactsInput!$M$7-ArtifactsInput!$M$7)*CHOOSE(ArtifactsInput!$N$7+1,6,7.2,8.4,9.6,10.8,12))+IF(Inputs!$B$3&gt;=117,F227,0))/100)),15)/15,(Skills!T6*(1+((Inputs!$B$34+(ArtifactsInput!$M$7-ArtifactsInput!$M$7)*CHOOSE(ArtifactsInput!$N$7+1,6,7.2,8.4,9.6,10.8,12))+IF(Inputs!$B$3&gt;=117,F227,0))/100))/Skills!E6))+F219*IF(AND(Inputs!$B$38&lt;&gt;"pvp",Inputs!$B$43&gt;0),(((R219-1)*(Skills!T17*(1+((Inputs!$B$34+(ArtifactsInput!$M$7-ArtifactsInput!$M$7)*CHOOSE(ArtifactsInput!$N$7+1,6,7.2,8.4,9.6,10.8,12))+IF(Inputs!$B$3&gt;=117,F227,0))/100))+MIN((Skills!T17*(1+((Inputs!$B$34+(ArtifactsInput!$M$7-ArtifactsInput!$M$7)*CHOOSE(ArtifactsInput!$N$7+1,6,7.2,8.4,9.6,10.8,12))+IF(Inputs!$B$3&gt;=117,F227,0))/100)),MAX(0,Inputs!$B$43-((R219-1)*Skills!E17))))/Inputs!$B$43),IF(Inputs!$B$38="pvp",MIN((Skills!T17*(1+((Inputs!$B$34+(ArtifactsInput!$M$7-ArtifactsInput!$M$7)*CHOOSE(ArtifactsInput!$N$7+1,6,7.2,8.4,9.6,10.8,12))+IF(Inputs!$B$3&gt;=117,F227,0))/100)),15)/15,(Skills!T17*(1+((Inputs!$B$34+(ArtifactsInput!$M$7-ArtifactsInput!$M$7)*CHOOSE(ArtifactsInput!$N$7+1,6,7.2,8.4,9.6,10.8,12))+IF(Inputs!$B$3&gt;=117,F227,0)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Skills!T19*(1+((Inputs!$B$34+(ArtifactsInput!$M$7-ArtifactsInput!$M$7)*CHOOSE(ArtifactsInput!$N$7+1,6,7.2,8.4,9.6,10.8,12))+IF(Inputs!$B$3&gt;=117,F227,0))/100))+MIN((Skills!T19*(1+((Inputs!$B$34+(ArtifactsInput!$M$7-ArtifactsInput!$M$7)*CHOOSE(ArtifactsInput!$N$7+1,6,7.2,8.4,9.6,10.8,12))+IF(Inputs!$B$3&gt;=117,F227,0))/100)),MAX(0,Inputs!$B$43-((R221-1)*Skills!E19))))/Inputs!$B$43),IF(Inputs!$B$38="pvp",MIN((Skills!T19*(1+((Inputs!$B$34+(ArtifactsInput!$M$7-ArtifactsInput!$M$7)*CHOOSE(ArtifactsInput!$N$7+1,6,7.2,8.4,9.6,10.8,12))+IF(Inputs!$B$3&gt;=117,F227,0))/100)),15)/15,(Skills!T19*(1+((Inputs!$B$34+(ArtifactsInput!$M$7-ArtifactsInput!$M$7)*CHOOSE(ArtifactsInput!$N$7+1,6,7.2,8.4,9.6,10.8,12))+IF(Inputs!$B$3&gt;=117,F227,0))/100))/Skills!E19))/100),1)</f>
        <v/>
      </c>
    </row>
    <row r="235">
      <c r="A235" t="inlineStr">
        <is>
          <t>Attack Speed Buff Bonus % (Nimble Feet, averaged)</t>
        </is>
      </c>
      <c r="B235">
        <f>F220*IF(AND(Inputs!$B$38&lt;&gt;"pvp",Inputs!$B$43&gt;0),(((R220-1)*(Skills!T18*(1+((Inputs!$B$34+(ArtifactsInput!$M$7-ArtifactsInput!$M$7)*CHOOSE(ArtifactsInput!$N$7+1,6,7.2,8.4,9.6,10.8,12))+IF(Inputs!$B$3&gt;=117,F227,0))/100))+MIN((Skills!T18*(1+((Inputs!$B$34+(ArtifactsInput!$M$7-ArtifactsInput!$M$7)*CHOOSE(ArtifactsInput!$N$7+1,6,7.2,8.4,9.6,10.8,12))+IF(Inputs!$B$3&gt;=117,F227,0))/100)),MAX(0,Inputs!$B$43-((R220-1)*Skills!E18))))/Inputs!$B$43),IF(Inputs!$B$38="pvp",MIN((Skills!T18*(1+((Inputs!$B$34+(ArtifactsInput!$M$7-ArtifactsInput!$M$7)*CHOOSE(ArtifactsInput!$N$7+1,6,7.2,8.4,9.6,10.8,12))+IF(Inputs!$B$3&gt;=117,F227,0))/100)),15)/15,(Skills!T18*(1+((Inputs!$B$34+(ArtifactsInput!$M$7-ArtifactsInput!$M$7)*CHOOSE(ArtifactsInput!$N$7+1,6,7.2,8.4,9.6,10.8,12))+IF(Inputs!$B$3&gt;=117,F227,0))/100))/Skills!E18))</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IFERROR(1/(IF(Inputs!$B$38="pvp",15,MAX(0.1,Skills!E2-IF(Skills!F2=TRUE,Inputs!$B$32,0)))*(1-IF(AND(ArtifactsInput!$M$27,Inputs!$B$4="Chapter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IFERROR(1/(IF(Inputs!$B$38="pvp",15,MAX(0.1,Skills!E3-IF(Skills!F3=TRUE,Inputs!$B$32,0)))*(1-IF(AND(ArtifactsInput!$M$27,Inputs!$B$4="Chapter Hunt"),CHOOSE(ArtifactsInput!$N$27+1,20,24,28,32,36,40),0)/100)),0)</f>
        <v/>
      </c>
      <c r="R249">
        <f>IF(AND(Inputs!$B$38&lt;&gt;"pvp",Inputs!$B$43&gt;0),IF(MAX(0,Inputs!$B$43-B284)&lt;=0,0,(INT(MAX(0,Inputs!$B$43-B284)/(IF(Inputs!$B$38="pvp",15,MAX(0.1,Skills!E3-IF(Skills!F3=TRUE,Inputs!$B$32,0)))*(1-IF(AND(ArtifactsInput!$M$27,Inputs!$B$4="Chapter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IFERROR(1/(IF(Inputs!$B$38="pvp",15,MAX(0.1,Skills!E4-IF(Skills!F4=TRUE,Inputs!$B$32,0)))*(1-IF(AND(ArtifactsInput!$M$27,Inputs!$B$4="Chapter Hunt"),CHOOSE(ArtifactsInput!$N$27+1,20,24,28,32,36,40),0)/100)),0)</f>
        <v/>
      </c>
      <c r="R250">
        <f>IF(AND(Inputs!$B$38&lt;&gt;"pvp",Inputs!$B$43&gt;0),IF(MAX(0,Inputs!$B$43-B284)&lt;=0,0,(INT(MAX(0,Inputs!$B$43-B284)/(IF(Inputs!$B$38="pvp",15,MAX(0.1,Skills!E4-IF(Skills!F4=TRUE,Inputs!$B$32,0)))*(1-IF(AND(ArtifactsInput!$M$27,Inputs!$B$4="Chapter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IFERROR(1/(IF(Inputs!$B$38="pvp",15,MAX(0.1,Skills!E5-IF(Skills!F5=TRUE,Inputs!$B$32,0)))*(1-IF(AND(ArtifactsInput!$M$27,Inputs!$B$4="Chapter Hunt"),CHOOSE(ArtifactsInput!$N$27+1,20,24,28,32,36,40),0)/100)),0)</f>
        <v/>
      </c>
      <c r="R251">
        <f>IF(AND(Inputs!$B$38&lt;&gt;"pvp",Inputs!$B$43&gt;0),IF(MAX(0,Inputs!$B$43-B284)&lt;=0,0,(INT(MAX(0,Inputs!$B$43-B284)/(IF(Inputs!$B$38="pvp",15,MAX(0.1,Skills!E5-IF(Skills!F5=TRUE,Inputs!$B$32,0)))*(1-IF(AND(ArtifactsInput!$M$27,Inputs!$B$4="Chapter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IFERROR(1/(IF(Inputs!$B$38="pvp",15,MAX(0.1,Skills!E6-IF(Skills!F6=TRUE,Inputs!$B$32,0)))*(1-IF(AND(ArtifactsInput!$M$27,Inputs!$B$4="Chapter Hunt"),CHOOSE(ArtifactsInput!$N$27+1,20,24,28,32,36,40),0)/100)),0)</f>
        <v/>
      </c>
      <c r="R252">
        <f>IF(AND(Inputs!$B$38&lt;&gt;"pvp",Inputs!$B$43&gt;0),IF(Inputs!$B$43&lt;=0,0,(INT(Inputs!$B$43/(IF(Inputs!$B$38="pvp",15,MAX(0.1,Skills!E6-IF(Skills!F6=TRUE,Inputs!$B$32,0)))*(1-IF(AND(ArtifactsInput!$M$27,Inputs!$B$4="Chapter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IFERROR(1/(IF(Inputs!$B$38="pvp",15,MAX(0.1,Skills!E7-IF(Skills!F7=TRUE,Inputs!$B$32,0)))*(1-IF(AND(ArtifactsInput!$M$27,Inputs!$B$4="Chapter Hunt"),CHOOSE(ArtifactsInput!$N$27+1,20,24,28,32,36,40),0)/100)),0)</f>
        <v/>
      </c>
      <c r="R253">
        <f>IF(AND(Inputs!$B$38&lt;&gt;"pvp",Inputs!$B$43&gt;0),IF(MAX(0,Inputs!$B$43-B284)&lt;=0,0,(INT(MAX(0,Inputs!$B$43-B284)/(IF(Inputs!$B$38="pvp",15,MAX(0.1,Skills!E7-IF(Skills!F7=TRUE,Inputs!$B$32,0)))*(1-IF(AND(ArtifactsInput!$M$27,Inputs!$B$4="Chapter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IFERROR(1/(IF(Inputs!$B$38="pvp",15,MAX(0.1,Skills!E8-IF(Skills!F8=TRUE,Inputs!$B$32,0)))*(1-IF(AND(ArtifactsInput!$M$27,Inputs!$B$4="Chapter Hunt"),CHOOSE(ArtifactsInput!$N$27+1,20,24,28,32,36,40),0)/100)),0)</f>
        <v/>
      </c>
      <c r="R254">
        <f>IF(AND(Inputs!$B$38&lt;&gt;"pvp",Inputs!$B$43&gt;0),IF(MAX(0,Inputs!$B$43-B284)&lt;=0,0,(INT(MAX(0,Inputs!$B$43-B284)/(IF(Inputs!$B$38="pvp",15,MAX(0.1,Skills!E8-IF(Skills!F8=TRUE,Inputs!$B$32,0)))*(1-IF(AND(ArtifactsInput!$M$27,Inputs!$B$4="Chapter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IFERROR(1/(IF(Inputs!$B$38="pvp",15,MAX(0.1,Skills!E9-IF(Skills!F7=TRUE,Inputs!$B$32,0)))*(1-IF(AND(ArtifactsInput!$M$27,Inputs!$B$4="Chapter Hunt"),CHOOSE(ArtifactsInput!$N$27+1,20,24,28,32,36,40),0)/100)),0)</f>
        <v/>
      </c>
      <c r="R255">
        <f>IF(AND(Inputs!$B$38&lt;&gt;"pvp",Inputs!$B$43&gt;0),IF(MAX(0,Inputs!$B$43-B284)&lt;=0,0,(INT(MAX(0,Inputs!$B$43-B284)/(IF(Inputs!$B$38="pvp",15,MAX(0.1,Skills!E9-IF(Skills!F7=TRUE,Inputs!$B$32,0)))*(1-IF(AND(ArtifactsInput!$M$27,Inputs!$B$4="Chapter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IFERROR(1/(IF(Inputs!$B$38="pvp",15,MAX(0.1,Skills!E10-IF(Skills!F10=TRUE,Inputs!$B$32,0)))*(1-IF(AND(ArtifactsInput!$M$27,Inputs!$B$4="Chapter Hunt"),CHOOSE(ArtifactsInput!$N$27+1,20,24,28,32,36,40),0)/100)),0)</f>
        <v/>
      </c>
      <c r="R256">
        <f>IF(AND(Inputs!$B$38&lt;&gt;"pvp",Inputs!$B$43&gt;0),IF(MAX(0,Inputs!$B$43-B284)&lt;=0,0,(INT(MAX(0,Inputs!$B$43-B284)/(IF(Inputs!$B$38="pvp",15,MAX(0.1,Skills!E10-IF(Skills!F10=TRUE,Inputs!$B$32,0)))*(1-IF(AND(ArtifactsInput!$M$27,Inputs!$B$4="Chapter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IFERROR(1/(IF(Inputs!$B$38="pvp",15,MAX(0.1,Skills!E11-IF(Skills!F11=TRUE,Inputs!$B$32,0)))*(1-IF(AND(ArtifactsInput!$M$27,Inputs!$B$4="Chapter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IFERROR(1/(IF(Inputs!$B$38="pvp",15,MAX(0.1,Skills!E12-IF(Skills!F12=TRUE,Inputs!$B$32,0)))*(1-IF(AND(ArtifactsInput!$M$27,Inputs!$B$4="Chapter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IFERROR(1/(IF(Inputs!$B$38="pvp",15,MAX(0.1,Skills!E13-IF(Skills!F13=TRUE,Inputs!$B$32,0)))*(1-IF(AND(ArtifactsInput!$M$27,Inputs!$B$4="Chapter Hunt"),CHOOSE(ArtifactsInput!$N$27+1,20,24,28,32,36,40),0)/100)),0)</f>
        <v/>
      </c>
      <c r="R259">
        <f>IF(AND(Inputs!$B$38&lt;&gt;"pvp",Inputs!$B$43&gt;0),IF(MAX(0,Inputs!$B$43-B284)&lt;=0,0,(INT(MAX(0,Inputs!$B$43-B284)/(IF(Inputs!$B$38="pvp",15,MAX(0.1,Skills!E13-IF(Skills!F13=TRUE,Inputs!$B$32,0)))*(1-IF(AND(ArtifactsInput!$M$27,Inputs!$B$4="Chapter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IFERROR(1/(IF(Inputs!$B$38="pvp",15,MAX(0.1,Skills!E14-IF(Skills!F14=TRUE,Inputs!$B$32,0)))*(1-IF(AND(ArtifactsInput!$M$27,Inputs!$B$4="Chapter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IFERROR(1/(IF(Inputs!$B$38="pvp",15,MAX(0.1,Skills!E15-IF(Skills!F15=TRUE,Inputs!$B$32,0)))*(1-IF(AND(ArtifactsInput!$M$27,Inputs!$B$4="Chapter Hunt"),CHOOSE(ArtifactsInput!$N$27+1,20,24,28,32,36,40),0)/100)),0)</f>
        <v/>
      </c>
      <c r="R261">
        <f>IF(AND(Inputs!$B$38&lt;&gt;"pvp",Inputs!$B$43&gt;0),IF(MAX(0,Inputs!$B$43-B284)&lt;=0,0,(INT(MAX(0,Inputs!$B$43-B284)/(IF(Inputs!$B$38="pvp",15,MAX(0.1,Skills!E15-IF(Skills!F15=TRUE,Inputs!$B$32,0)))*(1-IF(AND(ArtifactsInput!$M$27,Inputs!$B$4="Chapter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IFERROR(1/(IF(Inputs!$B$38="pvp",15,MAX(0.1,Skills!E16-IF(Skills!F16=TRUE,Inputs!$B$32,0)))*(1-IF(AND(ArtifactsInput!$M$27,Inputs!$B$4="Chapter Hunt"),CHOOSE(ArtifactsInput!$N$27+1,20,24,28,32,36,40),0)/100)),0)</f>
        <v/>
      </c>
      <c r="R262">
        <f>IF(AND(Inputs!$B$38&lt;&gt;"pvp",Inputs!$B$43&gt;0),IF(MAX(0,Inputs!$B$43-B284)&lt;=0,0,(INT(MAX(0,Inputs!$B$43-B284)/(IF(Inputs!$B$38="pvp",15,MAX(0.1,Skills!E16-IF(Skills!F16=TRUE,Inputs!$B$32,0)))*(1-IF(AND(ArtifactsInput!$M$27,Inputs!$B$4="Chapter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IFERROR(1/(IF(Inputs!$B$38="pvp",15,MAX(0.1,Skills!E17-IF(Skills!F17=TRUE,Inputs!$B$32,0)))*(1-IF(AND(ArtifactsInput!$M$27,Inputs!$B$4="Chapter Hunt"),CHOOSE(ArtifactsInput!$N$27+1,20,24,28,32,36,40),0)/100)),0)</f>
        <v/>
      </c>
      <c r="R263">
        <f>IF(AND(Inputs!$B$38&lt;&gt;"pvp",Inputs!$B$43&gt;0),IF(Inputs!$B$43&lt;=0,0,(INT(Inputs!$B$43/(IF(Inputs!$B$38="pvp",15,MAX(0.1,Skills!E17-IF(Skills!F17=TRUE,Inputs!$B$32,0)))*(1-IF(AND(ArtifactsInput!$M$27,Inputs!$B$4="Chapter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IFERROR(1/(IF(Inputs!$B$38="pvp",15,MAX(0.1,Skills!E18-IF(Skills!F18=TRUE,Inputs!$B$32,0)))*(1-IF(AND(ArtifactsInput!$M$27,Inputs!$B$4="Chapter Hunt"),CHOOSE(ArtifactsInput!$N$27+1,20,24,28,32,36,40),0)/100)),0)</f>
        <v/>
      </c>
      <c r="R264">
        <f>IF(AND(Inputs!$B$38&lt;&gt;"pvp",Inputs!$B$43&gt;0),IF(Inputs!$B$43&lt;=0,0,(INT(Inputs!$B$43/(IF(Inputs!$B$38="pvp",15,MAX(0.1,Skills!E18-IF(Skills!F18=TRUE,Inputs!$B$32,0)))*(1-IF(AND(ArtifactsInput!$M$27,Inputs!$B$4="Chapter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IFERROR(1/(IF(Inputs!$B$38="pvp",15,MAX(0.1,Skills!E19-IF(Skills!F19=TRUE,Inputs!$B$32,0)))*(1-IF(AND(ArtifactsInput!$M$27,Inputs!$B$4="Chapter Hunt"),CHOOSE(ArtifactsInput!$N$27+1,20,24,28,32,36,40),0)/100)),0)</f>
        <v/>
      </c>
      <c r="R265">
        <f>IF(AND(Inputs!$B$38&lt;&gt;"pvp",Inputs!$B$43&gt;0),IF(Inputs!$B$43&lt;=0,0,(INT(Inputs!$B$43/(IF(Inputs!$B$38="pvp",15,MAX(0.1,Skills!E19-IF(Skills!F19=TRUE,Inputs!$B$32,0)))*(1-IF(AND(ArtifactsInput!$M$27,Inputs!$B$4="Chapter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IFERROR(1/(IF(Inputs!$B$38="pvp",15,MAX(0.1,Skills!E20-IF(Skills!F20=TRUE,Inputs!$B$32,0)))*(1-IF(AND(ArtifactsInput!$M$27,Inputs!$B$4="Chapter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IFERROR(1/(IF(Inputs!$B$38="pvp",15,MAX(0.1,Skills!E21-IF(Skills!F21=TRUE,Inputs!$B$32,0)))*(1-IF(AND(ArtifactsInput!$M$27,Inputs!$B$4="Chapter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IFERROR(1/(IF(Inputs!$B$38="pvp",15,MAX(0.1,Skills!E22-IF(Skills!F22=TRUE,Inputs!$B$32,0)))*(1-IF(AND(ArtifactsInput!$M$27,Inputs!$B$4="Chapter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IFERROR(1/(IF(Inputs!$B$38="pvp",15,MAX(0.1,Skills!E23-IF(Skills!F23=TRUE,Inputs!$B$32,0)))*(1-IF(AND(ArtifactsInput!$M$27,Inputs!$B$4="Chapter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IFERROR(1/(IF(Inputs!$B$38="pvp",15,MAX(0.1,Skills!E24-IF(Skills!F24=TRUE,Inputs!$B$32,0)))*(1-IF(AND(ArtifactsInput!$M$27,Inputs!$B$4="Chapter Hunt"),CHOOSE(ArtifactsInput!$N$27+1,20,24,28,32,36,40),0)/100)),0)</f>
        <v/>
      </c>
      <c r="R270">
        <f>IF(AND(Inputs!$B$38&lt;&gt;"pvp",Inputs!$B$43&gt;0),IF(MAX(0,Inputs!$B$43-B284)&lt;=0,0,(INT(MAX(0,Inputs!$B$43-B284)/(IF(Inputs!$B$38="pvp",15,MAX(0.1,Skills!E24-IF(Skills!F24=TRUE,Inputs!$B$32,0)))*(1-IF(AND(ArtifactsInput!$M$27,Inputs!$B$4="Chapter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IFERROR(1/(IF(Inputs!$B$38="pvp",15,MAX(0.1,Skills!E25-IF(Skills!F25=TRUE,Inputs!$B$32,0)))*(1-IF(AND(ArtifactsInput!$M$27,Inputs!$B$4="Chapter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IFERROR(1/(IF(Inputs!$B$38="pvp",15,MAX(0.1,Skills!E26-IF(Skills!F26=TRUE,Inputs!$B$32,0)))*(1-IF(AND(ArtifactsInput!$M$27,Inputs!$B$4="Chapter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IFERROR(1/(IF(Inputs!$B$38="pvp",15,MAX(0.1,Skills!E27-IF(Skills!F27=TRUE,Inputs!$B$32,0)))*(1-IF(AND(ArtifactsInput!$M$27,Inputs!$B$4="Chapter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IFERROR(1/(IF(Inputs!$B$38="pvp",15,MAX(0.1,Skills!E28-IF(Skills!F28=TRUE,Inputs!$B$32,0)))*(1-IF(AND(ArtifactsInput!$M$27,Inputs!$B$4="Chapter Hunt"),CHOOSE(ArtifactsInput!$N$27+1,20,24,28,32,36,40),0)/100)),0)</f>
        <v/>
      </c>
      <c r="R274">
        <f>IF(AND(Inputs!$B$38&lt;&gt;"pvp",Inputs!$B$43&gt;0),IF(MAX(0,Inputs!$B$43-B284)&lt;=0,0,(INT(MAX(0,Inputs!$B$43-B284)/(IF(Inputs!$B$38="pvp",15,MAX(0.1,Skills!E28-IF(Skills!F28=TRUE,Inputs!$B$32,0)))*(1-IF(AND(ArtifactsInput!$M$27,Inputs!$B$4="Chapter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Skills!T6*(1+((Inputs!$B$34+(ArtifactsInput!$M$7-ArtifactsInput!$M$7)*CHOOSE(ArtifactsInput!$N$7+1,6,7.2,8.4,9.6,10.8,12))+IF(Inputs!$B$3&gt;=117,F271,0))/100))+MIN((Skills!T6*(1+((Inputs!$B$34+(ArtifactsInput!$M$7-ArtifactsInput!$M$7)*CHOOSE(ArtifactsInput!$N$7+1,6,7.2,8.4,9.6,10.8,12))+IF(Inputs!$B$3&gt;=117,F271,0))/100)),MAX(0,Inputs!$B$43-((R252-1)*Skills!E6))))/Inputs!$B$43),IF(Inputs!$B$38="pvp",MIN((Skills!T6*(1+((Inputs!$B$34+(ArtifactsInput!$M$7-ArtifactsInput!$M$7)*CHOOSE(ArtifactsInput!$N$7+1,6,7.2,8.4,9.6,10.8,12))+IF(Inputs!$B$3&gt;=117,F271,0))/100)),15)/15,(Skills!T6*(1+((Inputs!$B$34+(ArtifactsInput!$M$7-ArtifactsInput!$M$7)*CHOOSE(ArtifactsInput!$N$7+1,6,7.2,8.4,9.6,10.8,12))+IF(Inputs!$B$3&gt;=117,F271,0))/100))/Skills!E6))+F263*IF(AND(Inputs!$B$38&lt;&gt;"pvp",Inputs!$B$43&gt;0),(((R263-1)*(Skills!T17*(1+((Inputs!$B$34+(ArtifactsInput!$M$7-ArtifactsInput!$M$7)*CHOOSE(ArtifactsInput!$N$7+1,6,7.2,8.4,9.6,10.8,12))+IF(Inputs!$B$3&gt;=117,F271,0))/100))+MIN((Skills!T17*(1+((Inputs!$B$34+(ArtifactsInput!$M$7-ArtifactsInput!$M$7)*CHOOSE(ArtifactsInput!$N$7+1,6,7.2,8.4,9.6,10.8,12))+IF(Inputs!$B$3&gt;=117,F271,0))/100)),MAX(0,Inputs!$B$43-((R263-1)*Skills!E17))))/Inputs!$B$43),IF(Inputs!$B$38="pvp",MIN((Skills!T17*(1+((Inputs!$B$34+(ArtifactsInput!$M$7-ArtifactsInput!$M$7)*CHOOSE(ArtifactsInput!$N$7+1,6,7.2,8.4,9.6,10.8,12))+IF(Inputs!$B$3&gt;=117,F271,0))/100)),15)/15,(Skills!T17*(1+((Inputs!$B$34+(ArtifactsInput!$M$7-ArtifactsInput!$M$7)*CHOOSE(ArtifactsInput!$N$7+1,6,7.2,8.4,9.6,10.8,12))+IF(Inputs!$B$3&gt;=117,F271,0)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Skills!T19*(1+((Inputs!$B$34+(ArtifactsInput!$M$7-ArtifactsInput!$M$7)*CHOOSE(ArtifactsInput!$N$7+1,6,7.2,8.4,9.6,10.8,12))+IF(Inputs!$B$3&gt;=117,F271,0))/100))+MIN((Skills!T19*(1+((Inputs!$B$34+(ArtifactsInput!$M$7-ArtifactsInput!$M$7)*CHOOSE(ArtifactsInput!$N$7+1,6,7.2,8.4,9.6,10.8,12))+IF(Inputs!$B$3&gt;=117,F271,0))/100)),MAX(0,Inputs!$B$43-((R265-1)*Skills!E19))))/Inputs!$B$43),IF(Inputs!$B$38="pvp",MIN((Skills!T19*(1+((Inputs!$B$34+(ArtifactsInput!$M$7-ArtifactsInput!$M$7)*CHOOSE(ArtifactsInput!$N$7+1,6,7.2,8.4,9.6,10.8,12))+IF(Inputs!$B$3&gt;=117,F271,0))/100)),15)/15,(Skills!T19*(1+((Inputs!$B$34+(ArtifactsInput!$M$7-ArtifactsInput!$M$7)*CHOOSE(ArtifactsInput!$N$7+1,6,7.2,8.4,9.6,10.8,12))+IF(Inputs!$B$3&gt;=117,F271,0))/100))/Skills!E19))/100),1)</f>
        <v/>
      </c>
    </row>
    <row r="279">
      <c r="A279" t="inlineStr">
        <is>
          <t>Attack Speed Buff Bonus % (Nimble Feet, averaged)</t>
        </is>
      </c>
      <c r="B279">
        <f>F264*IF(AND(Inputs!$B$38&lt;&gt;"pvp",Inputs!$B$43&gt;0),(((R264-1)*(Skills!T18*(1+((Inputs!$B$34+(ArtifactsInput!$M$7-ArtifactsInput!$M$7)*CHOOSE(ArtifactsInput!$N$7+1,6,7.2,8.4,9.6,10.8,12))+IF(Inputs!$B$3&gt;=117,F271,0))/100))+MIN((Skills!T18*(1+((Inputs!$B$34+(ArtifactsInput!$M$7-ArtifactsInput!$M$7)*CHOOSE(ArtifactsInput!$N$7+1,6,7.2,8.4,9.6,10.8,12))+IF(Inputs!$B$3&gt;=117,F271,0))/100)),MAX(0,Inputs!$B$43-((R264-1)*Skills!E18))))/Inputs!$B$43),IF(Inputs!$B$38="pvp",MIN((Skills!T18*(1+((Inputs!$B$34+(ArtifactsInput!$M$7-ArtifactsInput!$M$7)*CHOOSE(ArtifactsInput!$N$7+1,6,7.2,8.4,9.6,10.8,12))+IF(Inputs!$B$3&gt;=117,F271,0))/100)),15)/15,(Skills!T18*(1+((Inputs!$B$34+(ArtifactsInput!$M$7-ArtifactsInput!$M$7)*CHOOSE(ArtifactsInput!$N$7+1,6,7.2,8.4,9.6,10.8,12))+IF(Inputs!$B$3&gt;=117,F271,0))/100))/Skills!E18))</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IFERROR(1/(IF(Inputs!$B$38="pvp",15,MAX(0.1,Skills!E2-IF(Skills!F2=TRUE,Inputs!$B$32,0)))*(1-IF(AND(ArtifactsInput!$M$27,Inputs!$B$4="Chapter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IFERROR(1/(IF(Inputs!$B$38="pvp",15,MAX(0.1,Skills!E3-IF(Skills!F3=TRUE,Inputs!$B$32,0)))*(1-IF(AND(ArtifactsInput!$M$27,Inputs!$B$4="Chapter Hunt"),CHOOSE(ArtifactsInput!$N$27+1,20,24,28,32,36,40),0)/100)),0)</f>
        <v/>
      </c>
      <c r="R293">
        <f>IF(AND(Inputs!$B$38&lt;&gt;"pvp",Inputs!$B$43&gt;0),IF(MAX(0,Inputs!$B$43-B328)&lt;=0,0,(INT(MAX(0,Inputs!$B$43-B328)/(IF(Inputs!$B$38="pvp",15,MAX(0.1,Skills!E3-IF(Skills!F3=TRUE,Inputs!$B$32,0)))*(1-IF(AND(ArtifactsInput!$M$27,Inputs!$B$4="Chapter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IFERROR(1/(IF(Inputs!$B$38="pvp",15,MAX(0.1,Skills!E4-IF(Skills!F4=TRUE,Inputs!$B$32,0)))*(1-IF(AND(ArtifactsInput!$M$27,Inputs!$B$4="Chapter Hunt"),CHOOSE(ArtifactsInput!$N$27+1,20,24,28,32,36,40),0)/100)),0)</f>
        <v/>
      </c>
      <c r="R294">
        <f>IF(AND(Inputs!$B$38&lt;&gt;"pvp",Inputs!$B$43&gt;0),IF(MAX(0,Inputs!$B$43-B328)&lt;=0,0,(INT(MAX(0,Inputs!$B$43-B328)/(IF(Inputs!$B$38="pvp",15,MAX(0.1,Skills!E4-IF(Skills!F4=TRUE,Inputs!$B$32,0)))*(1-IF(AND(ArtifactsInput!$M$27,Inputs!$B$4="Chapter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IFERROR(1/(IF(Inputs!$B$38="pvp",15,MAX(0.1,Skills!E5-IF(Skills!F5=TRUE,Inputs!$B$32,0)))*(1-IF(AND(ArtifactsInput!$M$27,Inputs!$B$4="Chapter Hunt"),CHOOSE(ArtifactsInput!$N$27+1,20,24,28,32,36,40),0)/100)),0)</f>
        <v/>
      </c>
      <c r="R295">
        <f>IF(AND(Inputs!$B$38&lt;&gt;"pvp",Inputs!$B$43&gt;0),IF(MAX(0,Inputs!$B$43-B328)&lt;=0,0,(INT(MAX(0,Inputs!$B$43-B328)/(IF(Inputs!$B$38="pvp",15,MAX(0.1,Skills!E5-IF(Skills!F5=TRUE,Inputs!$B$32,0)))*(1-IF(AND(ArtifactsInput!$M$27,Inputs!$B$4="Chapter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IFERROR(1/(IF(Inputs!$B$38="pvp",15,MAX(0.1,Skills!E6-IF(Skills!F6=TRUE,Inputs!$B$32,0)))*(1-IF(AND(ArtifactsInput!$M$27,Inputs!$B$4="Chapter Hunt"),CHOOSE(ArtifactsInput!$N$27+1,20,24,28,32,36,40),0)/100)),0)</f>
        <v/>
      </c>
      <c r="R296">
        <f>IF(AND(Inputs!$B$38&lt;&gt;"pvp",Inputs!$B$43&gt;0),IF(Inputs!$B$43&lt;=0,0,(INT(Inputs!$B$43/(IF(Inputs!$B$38="pvp",15,MAX(0.1,Skills!E6-IF(Skills!F6=TRUE,Inputs!$B$32,0)))*(1-IF(AND(ArtifactsInput!$M$27,Inputs!$B$4="Chapter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IFERROR(1/(IF(Inputs!$B$38="pvp",15,MAX(0.1,Skills!E7-IF(Skills!F7=TRUE,Inputs!$B$32,0)))*(1-IF(AND(ArtifactsInput!$M$27,Inputs!$B$4="Chapter Hunt"),CHOOSE(ArtifactsInput!$N$27+1,20,24,28,32,36,40),0)/100)),0)</f>
        <v/>
      </c>
      <c r="R297">
        <f>IF(AND(Inputs!$B$38&lt;&gt;"pvp",Inputs!$B$43&gt;0),IF(MAX(0,Inputs!$B$43-B328)&lt;=0,0,(INT(MAX(0,Inputs!$B$43-B328)/(IF(Inputs!$B$38="pvp",15,MAX(0.1,Skills!E7-IF(Skills!F7=TRUE,Inputs!$B$32,0)))*(1-IF(AND(ArtifactsInput!$M$27,Inputs!$B$4="Chapter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IFERROR(1/(IF(Inputs!$B$38="pvp",15,MAX(0.1,Skills!E8-IF(Skills!F8=TRUE,Inputs!$B$32,0)))*(1-IF(AND(ArtifactsInput!$M$27,Inputs!$B$4="Chapter Hunt"),CHOOSE(ArtifactsInput!$N$27+1,20,24,28,32,36,40),0)/100)),0)</f>
        <v/>
      </c>
      <c r="R298">
        <f>IF(AND(Inputs!$B$38&lt;&gt;"pvp",Inputs!$B$43&gt;0),IF(MAX(0,Inputs!$B$43-B328)&lt;=0,0,(INT(MAX(0,Inputs!$B$43-B328)/(IF(Inputs!$B$38="pvp",15,MAX(0.1,Skills!E8-IF(Skills!F8=TRUE,Inputs!$B$32,0)))*(1-IF(AND(ArtifactsInput!$M$27,Inputs!$B$4="Chapter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IFERROR(1/(IF(Inputs!$B$38="pvp",15,MAX(0.1,Skills!E9-IF(Skills!F7=TRUE,Inputs!$B$32,0)))*(1-IF(AND(ArtifactsInput!$M$27,Inputs!$B$4="Chapter Hunt"),CHOOSE(ArtifactsInput!$N$27+1,20,24,28,32,36,40),0)/100)),0)</f>
        <v/>
      </c>
      <c r="R299">
        <f>IF(AND(Inputs!$B$38&lt;&gt;"pvp",Inputs!$B$43&gt;0),IF(MAX(0,Inputs!$B$43-B328)&lt;=0,0,(INT(MAX(0,Inputs!$B$43-B328)/(IF(Inputs!$B$38="pvp",15,MAX(0.1,Skills!E9-IF(Skills!F7=TRUE,Inputs!$B$32,0)))*(1-IF(AND(ArtifactsInput!$M$27,Inputs!$B$4="Chapter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IFERROR(1/(IF(Inputs!$B$38="pvp",15,MAX(0.1,Skills!E10-IF(Skills!F10=TRUE,Inputs!$B$32,0)))*(1-IF(AND(ArtifactsInput!$M$27,Inputs!$B$4="Chapter Hunt"),CHOOSE(ArtifactsInput!$N$27+1,20,24,28,32,36,40),0)/100)),0)</f>
        <v/>
      </c>
      <c r="R300">
        <f>IF(AND(Inputs!$B$38&lt;&gt;"pvp",Inputs!$B$43&gt;0),IF(MAX(0,Inputs!$B$43-B328)&lt;=0,0,(INT(MAX(0,Inputs!$B$43-B328)/(IF(Inputs!$B$38="pvp",15,MAX(0.1,Skills!E10-IF(Skills!F10=TRUE,Inputs!$B$32,0)))*(1-IF(AND(ArtifactsInput!$M$27,Inputs!$B$4="Chapter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IFERROR(1/(IF(Inputs!$B$38="pvp",15,MAX(0.1,Skills!E11-IF(Skills!F11=TRUE,Inputs!$B$32,0)))*(1-IF(AND(ArtifactsInput!$M$27,Inputs!$B$4="Chapter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IFERROR(1/(IF(Inputs!$B$38="pvp",15,MAX(0.1,Skills!E12-IF(Skills!F12=TRUE,Inputs!$B$32,0)))*(1-IF(AND(ArtifactsInput!$M$27,Inputs!$B$4="Chapter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IFERROR(1/(IF(Inputs!$B$38="pvp",15,MAX(0.1,Skills!E13-IF(Skills!F13=TRUE,Inputs!$B$32,0)))*(1-IF(AND(ArtifactsInput!$M$27,Inputs!$B$4="Chapter Hunt"),CHOOSE(ArtifactsInput!$N$27+1,20,24,28,32,36,40),0)/100)),0)</f>
        <v/>
      </c>
      <c r="R303">
        <f>IF(AND(Inputs!$B$38&lt;&gt;"pvp",Inputs!$B$43&gt;0),IF(MAX(0,Inputs!$B$43-B328)&lt;=0,0,(INT(MAX(0,Inputs!$B$43-B328)/(IF(Inputs!$B$38="pvp",15,MAX(0.1,Skills!E13-IF(Skills!F13=TRUE,Inputs!$B$32,0)))*(1-IF(AND(ArtifactsInput!$M$27,Inputs!$B$4="Chapter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IFERROR(1/(IF(Inputs!$B$38="pvp",15,MAX(0.1,Skills!E14-IF(Skills!F14=TRUE,Inputs!$B$32,0)))*(1-IF(AND(ArtifactsInput!$M$27,Inputs!$B$4="Chapter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IFERROR(1/(IF(Inputs!$B$38="pvp",15,MAX(0.1,Skills!E15-IF(Skills!F15=TRUE,Inputs!$B$32,0)))*(1-IF(AND(ArtifactsInput!$M$27,Inputs!$B$4="Chapter Hunt"),CHOOSE(ArtifactsInput!$N$27+1,20,24,28,32,36,40),0)/100)),0)</f>
        <v/>
      </c>
      <c r="R305">
        <f>IF(AND(Inputs!$B$38&lt;&gt;"pvp",Inputs!$B$43&gt;0),IF(MAX(0,Inputs!$B$43-B328)&lt;=0,0,(INT(MAX(0,Inputs!$B$43-B328)/(IF(Inputs!$B$38="pvp",15,MAX(0.1,Skills!E15-IF(Skills!F15=TRUE,Inputs!$B$32,0)))*(1-IF(AND(ArtifactsInput!$M$27,Inputs!$B$4="Chapter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IFERROR(1/(IF(Inputs!$B$38="pvp",15,MAX(0.1,Skills!E16-IF(Skills!F16=TRUE,Inputs!$B$32,0)))*(1-IF(AND(ArtifactsInput!$M$27,Inputs!$B$4="Chapter Hunt"),CHOOSE(ArtifactsInput!$N$27+1,20,24,28,32,36,40),0)/100)),0)</f>
        <v/>
      </c>
      <c r="R306">
        <f>IF(AND(Inputs!$B$38&lt;&gt;"pvp",Inputs!$B$43&gt;0),IF(MAX(0,Inputs!$B$43-B328)&lt;=0,0,(INT(MAX(0,Inputs!$B$43-B328)/(IF(Inputs!$B$38="pvp",15,MAX(0.1,Skills!E16-IF(Skills!F16=TRUE,Inputs!$B$32,0)))*(1-IF(AND(ArtifactsInput!$M$27,Inputs!$B$4="Chapter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IFERROR(1/(IF(Inputs!$B$38="pvp",15,MAX(0.1,Skills!E17-IF(Skills!F17=TRUE,Inputs!$B$32,0)))*(1-IF(AND(ArtifactsInput!$M$27,Inputs!$B$4="Chapter Hunt"),CHOOSE(ArtifactsInput!$N$27+1,20,24,28,32,36,40),0)/100)),0)</f>
        <v/>
      </c>
      <c r="R307">
        <f>IF(AND(Inputs!$B$38&lt;&gt;"pvp",Inputs!$B$43&gt;0),IF(Inputs!$B$43&lt;=0,0,(INT(Inputs!$B$43/(IF(Inputs!$B$38="pvp",15,MAX(0.1,Skills!E17-IF(Skills!F17=TRUE,Inputs!$B$32,0)))*(1-IF(AND(ArtifactsInput!$M$27,Inputs!$B$4="Chapter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IFERROR(1/(IF(Inputs!$B$38="pvp",15,MAX(0.1,Skills!E18-IF(Skills!F18=TRUE,Inputs!$B$32,0)))*(1-IF(AND(ArtifactsInput!$M$27,Inputs!$B$4="Chapter Hunt"),CHOOSE(ArtifactsInput!$N$27+1,20,24,28,32,36,40),0)/100)),0)</f>
        <v/>
      </c>
      <c r="R308">
        <f>IF(AND(Inputs!$B$38&lt;&gt;"pvp",Inputs!$B$43&gt;0),IF(Inputs!$B$43&lt;=0,0,(INT(Inputs!$B$43/(IF(Inputs!$B$38="pvp",15,MAX(0.1,Skills!E18-IF(Skills!F18=TRUE,Inputs!$B$32,0)))*(1-IF(AND(ArtifactsInput!$M$27,Inputs!$B$4="Chapter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IFERROR(1/(IF(Inputs!$B$38="pvp",15,MAX(0.1,Skills!E19-IF(Skills!F19=TRUE,Inputs!$B$32,0)))*(1-IF(AND(ArtifactsInput!$M$27,Inputs!$B$4="Chapter Hunt"),CHOOSE(ArtifactsInput!$N$27+1,20,24,28,32,36,40),0)/100)),0)</f>
        <v/>
      </c>
      <c r="R309">
        <f>IF(AND(Inputs!$B$38&lt;&gt;"pvp",Inputs!$B$43&gt;0),IF(Inputs!$B$43&lt;=0,0,(INT(Inputs!$B$43/(IF(Inputs!$B$38="pvp",15,MAX(0.1,Skills!E19-IF(Skills!F19=TRUE,Inputs!$B$32,0)))*(1-IF(AND(ArtifactsInput!$M$27,Inputs!$B$4="Chapter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IFERROR(1/(IF(Inputs!$B$38="pvp",15,MAX(0.1,Skills!E20-IF(Skills!F20=TRUE,Inputs!$B$32,0)))*(1-IF(AND(ArtifactsInput!$M$27,Inputs!$B$4="Chapter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IFERROR(1/(IF(Inputs!$B$38="pvp",15,MAX(0.1,Skills!E21-IF(Skills!F21=TRUE,Inputs!$B$32,0)))*(1-IF(AND(ArtifactsInput!$M$27,Inputs!$B$4="Chapter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IFERROR(1/(IF(Inputs!$B$38="pvp",15,MAX(0.1,Skills!E22-IF(Skills!F22=TRUE,Inputs!$B$32,0)))*(1-IF(AND(ArtifactsInput!$M$27,Inputs!$B$4="Chapter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IFERROR(1/(IF(Inputs!$B$38="pvp",15,MAX(0.1,Skills!E23-IF(Skills!F23=TRUE,Inputs!$B$32,0)))*(1-IF(AND(ArtifactsInput!$M$27,Inputs!$B$4="Chapter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IFERROR(1/(IF(Inputs!$B$38="pvp",15,MAX(0.1,Skills!E24-IF(Skills!F24=TRUE,Inputs!$B$32,0)))*(1-IF(AND(ArtifactsInput!$M$27,Inputs!$B$4="Chapter Hunt"),CHOOSE(ArtifactsInput!$N$27+1,20,24,28,32,36,40),0)/100)),0)</f>
        <v/>
      </c>
      <c r="R314">
        <f>IF(AND(Inputs!$B$38&lt;&gt;"pvp",Inputs!$B$43&gt;0),IF(MAX(0,Inputs!$B$43-B328)&lt;=0,0,(INT(MAX(0,Inputs!$B$43-B328)/(IF(Inputs!$B$38="pvp",15,MAX(0.1,Skills!E24-IF(Skills!F24=TRUE,Inputs!$B$32,0)))*(1-IF(AND(ArtifactsInput!$M$27,Inputs!$B$4="Chapter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IFERROR(1/(IF(Inputs!$B$38="pvp",15,MAX(0.1,Skills!E25-IF(Skills!F25=TRUE,Inputs!$B$32,0)))*(1-IF(AND(ArtifactsInput!$M$27,Inputs!$B$4="Chapter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IFERROR(1/(IF(Inputs!$B$38="pvp",15,MAX(0.1,Skills!E26-IF(Skills!F26=TRUE,Inputs!$B$32,0)))*(1-IF(AND(ArtifactsInput!$M$27,Inputs!$B$4="Chapter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IFERROR(1/(IF(Inputs!$B$38="pvp",15,MAX(0.1,Skills!E27-IF(Skills!F27=TRUE,Inputs!$B$32,0)))*(1-IF(AND(ArtifactsInput!$M$27,Inputs!$B$4="Chapter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IFERROR(1/(IF(Inputs!$B$38="pvp",15,MAX(0.1,Skills!E28-IF(Skills!F28=TRUE,Inputs!$B$32,0)))*(1-IF(AND(ArtifactsInput!$M$27,Inputs!$B$4="Chapter Hunt"),CHOOSE(ArtifactsInput!$N$27+1,20,24,28,32,36,40),0)/100)),0)</f>
        <v/>
      </c>
      <c r="R318">
        <f>IF(AND(Inputs!$B$38&lt;&gt;"pvp",Inputs!$B$43&gt;0),IF(MAX(0,Inputs!$B$43-B328)&lt;=0,0,(INT(MAX(0,Inputs!$B$43-B328)/(IF(Inputs!$B$38="pvp",15,MAX(0.1,Skills!E28-IF(Skills!F28=TRUE,Inputs!$B$32,0)))*(1-IF(AND(ArtifactsInput!$M$27,Inputs!$B$4="Chapter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Skills!T6*(1+((Inputs!$B$34+(ArtifactsInput!$M$7-ArtifactsInput!$M$7)*CHOOSE(ArtifactsInput!$N$7+1,6,7.2,8.4,9.6,10.8,12))+IF(Inputs!$B$3&gt;=117,F315,0))/100))+MIN((Skills!T6*(1+((Inputs!$B$34+(ArtifactsInput!$M$7-ArtifactsInput!$M$7)*CHOOSE(ArtifactsInput!$N$7+1,6,7.2,8.4,9.6,10.8,12))+IF(Inputs!$B$3&gt;=117,F315,0))/100)),MAX(0,Inputs!$B$43-((R296-1)*Skills!E6))))/Inputs!$B$43),IF(Inputs!$B$38="pvp",MIN((Skills!T6*(1+((Inputs!$B$34+(ArtifactsInput!$M$7-ArtifactsInput!$M$7)*CHOOSE(ArtifactsInput!$N$7+1,6,7.2,8.4,9.6,10.8,12))+IF(Inputs!$B$3&gt;=117,F315,0))/100)),15)/15,(Skills!T6*(1+((Inputs!$B$34+(ArtifactsInput!$M$7-ArtifactsInput!$M$7)*CHOOSE(ArtifactsInput!$N$7+1,6,7.2,8.4,9.6,10.8,12))+IF(Inputs!$B$3&gt;=117,F315,0))/100))/Skills!E6))+F307*IF(AND(Inputs!$B$38&lt;&gt;"pvp",Inputs!$B$43&gt;0),(((R307-1)*(Skills!T17*(1+((Inputs!$B$34+(ArtifactsInput!$M$7-ArtifactsInput!$M$7)*CHOOSE(ArtifactsInput!$N$7+1,6,7.2,8.4,9.6,10.8,12))+IF(Inputs!$B$3&gt;=117,F315,0))/100))+MIN((Skills!T17*(1+((Inputs!$B$34+(ArtifactsInput!$M$7-ArtifactsInput!$M$7)*CHOOSE(ArtifactsInput!$N$7+1,6,7.2,8.4,9.6,10.8,12))+IF(Inputs!$B$3&gt;=117,F315,0))/100)),MAX(0,Inputs!$B$43-((R307-1)*Skills!E17))))/Inputs!$B$43),IF(Inputs!$B$38="pvp",MIN((Skills!T17*(1+((Inputs!$B$34+(ArtifactsInput!$M$7-ArtifactsInput!$M$7)*CHOOSE(ArtifactsInput!$N$7+1,6,7.2,8.4,9.6,10.8,12))+IF(Inputs!$B$3&gt;=117,F315,0))/100)),15)/15,(Skills!T17*(1+((Inputs!$B$34+(ArtifactsInput!$M$7-ArtifactsInput!$M$7)*CHOOSE(ArtifactsInput!$N$7+1,6,7.2,8.4,9.6,10.8,12))+IF(Inputs!$B$3&gt;=117,F315,0)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Skills!T19*(1+((Inputs!$B$34+(ArtifactsInput!$M$7-ArtifactsInput!$M$7)*CHOOSE(ArtifactsInput!$N$7+1,6,7.2,8.4,9.6,10.8,12))+IF(Inputs!$B$3&gt;=117,F315,0))/100))+MIN((Skills!T19*(1+((Inputs!$B$34+(ArtifactsInput!$M$7-ArtifactsInput!$M$7)*CHOOSE(ArtifactsInput!$N$7+1,6,7.2,8.4,9.6,10.8,12))+IF(Inputs!$B$3&gt;=117,F315,0))/100)),MAX(0,Inputs!$B$43-((R309-1)*Skills!E19))))/Inputs!$B$43),IF(Inputs!$B$38="pvp",MIN((Skills!T19*(1+((Inputs!$B$34+(ArtifactsInput!$M$7-ArtifactsInput!$M$7)*CHOOSE(ArtifactsInput!$N$7+1,6,7.2,8.4,9.6,10.8,12))+IF(Inputs!$B$3&gt;=117,F315,0))/100)),15)/15,(Skills!T19*(1+((Inputs!$B$34+(ArtifactsInput!$M$7-ArtifactsInput!$M$7)*CHOOSE(ArtifactsInput!$N$7+1,6,7.2,8.4,9.6,10.8,12))+IF(Inputs!$B$3&gt;=117,F315,0))/100))/Skills!E19))/100),1)</f>
        <v/>
      </c>
    </row>
    <row r="323">
      <c r="A323" t="inlineStr">
        <is>
          <t>Attack Speed Buff Bonus % (Nimble Feet, averaged)</t>
        </is>
      </c>
      <c r="B323">
        <f>F308*IF(AND(Inputs!$B$38&lt;&gt;"pvp",Inputs!$B$43&gt;0),(((R308-1)*(Skills!T18*(1+((Inputs!$B$34+(ArtifactsInput!$M$7-ArtifactsInput!$M$7)*CHOOSE(ArtifactsInput!$N$7+1,6,7.2,8.4,9.6,10.8,12))+IF(Inputs!$B$3&gt;=117,F315,0))/100))+MIN((Skills!T18*(1+((Inputs!$B$34+(ArtifactsInput!$M$7-ArtifactsInput!$M$7)*CHOOSE(ArtifactsInput!$N$7+1,6,7.2,8.4,9.6,10.8,12))+IF(Inputs!$B$3&gt;=117,F315,0))/100)),MAX(0,Inputs!$B$43-((R308-1)*Skills!E18))))/Inputs!$B$43),IF(Inputs!$B$38="pvp",MIN((Skills!T18*(1+((Inputs!$B$34+(ArtifactsInput!$M$7-ArtifactsInput!$M$7)*CHOOSE(ArtifactsInput!$N$7+1,6,7.2,8.4,9.6,10.8,12))+IF(Inputs!$B$3&gt;=117,F315,0))/100)),15)/15,(Skills!T18*(1+((Inputs!$B$34+(ArtifactsInput!$M$7-ArtifactsInput!$M$7)*CHOOSE(ArtifactsInput!$N$7+1,6,7.2,8.4,9.6,10.8,12))+IF(Inputs!$B$3&gt;=117,F315,0))/100))/Skills!E18)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IFERROR(1/(IF(Inputs!$B$38="pvp",15,MAX(0.1,Skills!E2-IF(Skills!F2=TRUE,Inputs!$B$32,0)))*(1-IF(AND(ArtifactsInput!$M$27,Inputs!$B$4="Chapter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IFERROR(1/(IF(Inputs!$B$38="pvp",15,MAX(0.1,Skills!E3-IF(Skills!F3=TRUE,Inputs!$B$32,0)))*(1-IF(AND(ArtifactsInput!$M$27,Inputs!$B$4="Chapter Hunt"),CHOOSE(ArtifactsInput!$N$27+1,20,24,28,32,36,40),0)/100)),0)</f>
        <v/>
      </c>
      <c r="R337">
        <f>IF(AND(Inputs!$B$38&lt;&gt;"pvp",Inputs!$B$43&gt;0),IF(MAX(0,Inputs!$B$43-B372)&lt;=0,0,(INT(MAX(0,Inputs!$B$43-B372)/(IF(Inputs!$B$38="pvp",15,MAX(0.1,Skills!E3-IF(Skills!F3=TRUE,Inputs!$B$32,0)))*(1-IF(AND(ArtifactsInput!$M$27,Inputs!$B$4="Chapter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IFERROR(1/(IF(Inputs!$B$38="pvp",15,MAX(0.1,Skills!E4-IF(Skills!F4=TRUE,Inputs!$B$32,0)))*(1-IF(AND(ArtifactsInput!$M$27,Inputs!$B$4="Chapter Hunt"),CHOOSE(ArtifactsInput!$N$27+1,20,24,28,32,36,40),0)/100)),0)</f>
        <v/>
      </c>
      <c r="R338">
        <f>IF(AND(Inputs!$B$38&lt;&gt;"pvp",Inputs!$B$43&gt;0),IF(MAX(0,Inputs!$B$43-B372)&lt;=0,0,(INT(MAX(0,Inputs!$B$43-B372)/(IF(Inputs!$B$38="pvp",15,MAX(0.1,Skills!E4-IF(Skills!F4=TRUE,Inputs!$B$32,0)))*(1-IF(AND(ArtifactsInput!$M$27,Inputs!$B$4="Chapter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IFERROR(1/(IF(Inputs!$B$38="pvp",15,MAX(0.1,Skills!E5-IF(Skills!F5=TRUE,Inputs!$B$32,0)))*(1-IF(AND(ArtifactsInput!$M$27,Inputs!$B$4="Chapter Hunt"),CHOOSE(ArtifactsInput!$N$27+1,20,24,28,32,36,40),0)/100)),0)</f>
        <v/>
      </c>
      <c r="R339">
        <f>IF(AND(Inputs!$B$38&lt;&gt;"pvp",Inputs!$B$43&gt;0),IF(MAX(0,Inputs!$B$43-B372)&lt;=0,0,(INT(MAX(0,Inputs!$B$43-B372)/(IF(Inputs!$B$38="pvp",15,MAX(0.1,Skills!E5-IF(Skills!F5=TRUE,Inputs!$B$32,0)))*(1-IF(AND(ArtifactsInput!$M$27,Inputs!$B$4="Chapter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IFERROR(1/(IF(Inputs!$B$38="pvp",15,MAX(0.1,Skills!E6-IF(Skills!F6=TRUE,Inputs!$B$32,0)))*(1-IF(AND(ArtifactsInput!$M$27,Inputs!$B$4="Chapter Hunt"),CHOOSE(ArtifactsInput!$N$27+1,20,24,28,32,36,40),0)/100)),0)</f>
        <v/>
      </c>
      <c r="R340">
        <f>IF(AND(Inputs!$B$38&lt;&gt;"pvp",Inputs!$B$43&gt;0),IF(Inputs!$B$43&lt;=0,0,(INT(Inputs!$B$43/(IF(Inputs!$B$38="pvp",15,MAX(0.1,Skills!E6-IF(Skills!F6=TRUE,Inputs!$B$32,0)))*(1-IF(AND(ArtifactsInput!$M$27,Inputs!$B$4="Chapter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IFERROR(1/(IF(Inputs!$B$38="pvp",15,MAX(0.1,Skills!E7-IF(Skills!F7=TRUE,Inputs!$B$32,0)))*(1-IF(AND(ArtifactsInput!$M$27,Inputs!$B$4="Chapter Hunt"),CHOOSE(ArtifactsInput!$N$27+1,20,24,28,32,36,40),0)/100)),0)</f>
        <v/>
      </c>
      <c r="R341">
        <f>IF(AND(Inputs!$B$38&lt;&gt;"pvp",Inputs!$B$43&gt;0),IF(MAX(0,Inputs!$B$43-B372)&lt;=0,0,(INT(MAX(0,Inputs!$B$43-B372)/(IF(Inputs!$B$38="pvp",15,MAX(0.1,Skills!E7-IF(Skills!F7=TRUE,Inputs!$B$32,0)))*(1-IF(AND(ArtifactsInput!$M$27,Inputs!$B$4="Chapter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IFERROR(1/(IF(Inputs!$B$38="pvp",15,MAX(0.1,Skills!E8-IF(Skills!F8=TRUE,Inputs!$B$32,0)))*(1-IF(AND(ArtifactsInput!$M$27,Inputs!$B$4="Chapter Hunt"),CHOOSE(ArtifactsInput!$N$27+1,20,24,28,32,36,40),0)/100)),0)</f>
        <v/>
      </c>
      <c r="R342">
        <f>IF(AND(Inputs!$B$38&lt;&gt;"pvp",Inputs!$B$43&gt;0),IF(MAX(0,Inputs!$B$43-B372)&lt;=0,0,(INT(MAX(0,Inputs!$B$43-B372)/(IF(Inputs!$B$38="pvp",15,MAX(0.1,Skills!E8-IF(Skills!F8=TRUE,Inputs!$B$32,0)))*(1-IF(AND(ArtifactsInput!$M$27,Inputs!$B$4="Chapter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IFERROR(1/(IF(Inputs!$B$38="pvp",15,MAX(0.1,Skills!E9-IF(Skills!F7=TRUE,Inputs!$B$32,0)))*(1-IF(AND(ArtifactsInput!$M$27,Inputs!$B$4="Chapter Hunt"),CHOOSE(ArtifactsInput!$N$27+1,20,24,28,32,36,40),0)/100)),0)</f>
        <v/>
      </c>
      <c r="R343">
        <f>IF(AND(Inputs!$B$38&lt;&gt;"pvp",Inputs!$B$43&gt;0),IF(MAX(0,Inputs!$B$43-B372)&lt;=0,0,(INT(MAX(0,Inputs!$B$43-B372)/(IF(Inputs!$B$38="pvp",15,MAX(0.1,Skills!E9-IF(Skills!F7=TRUE,Inputs!$B$32,0)))*(1-IF(AND(ArtifactsInput!$M$27,Inputs!$B$4="Chapter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IFERROR(1/(IF(Inputs!$B$38="pvp",15,MAX(0.1,Skills!E10-IF(Skills!F10=TRUE,Inputs!$B$32,0)))*(1-IF(AND(ArtifactsInput!$M$27,Inputs!$B$4="Chapter Hunt"),CHOOSE(ArtifactsInput!$N$27+1,20,24,28,32,36,40),0)/100)),0)</f>
        <v/>
      </c>
      <c r="R344">
        <f>IF(AND(Inputs!$B$38&lt;&gt;"pvp",Inputs!$B$43&gt;0),IF(MAX(0,Inputs!$B$43-B372)&lt;=0,0,(INT(MAX(0,Inputs!$B$43-B372)/(IF(Inputs!$B$38="pvp",15,MAX(0.1,Skills!E10-IF(Skills!F10=TRUE,Inputs!$B$32,0)))*(1-IF(AND(ArtifactsInput!$M$27,Inputs!$B$4="Chapter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IFERROR(1/(IF(Inputs!$B$38="pvp",15,MAX(0.1,Skills!E11-IF(Skills!F11=TRUE,Inputs!$B$32,0)))*(1-IF(AND(ArtifactsInput!$M$27,Inputs!$B$4="Chapter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IFERROR(1/(IF(Inputs!$B$38="pvp",15,MAX(0.1,Skills!E12-IF(Skills!F12=TRUE,Inputs!$B$32,0)))*(1-IF(AND(ArtifactsInput!$M$27,Inputs!$B$4="Chapter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IFERROR(1/(IF(Inputs!$B$38="pvp",15,MAX(0.1,Skills!E13-IF(Skills!F13=TRUE,Inputs!$B$32,0)))*(1-IF(AND(ArtifactsInput!$M$27,Inputs!$B$4="Chapter Hunt"),CHOOSE(ArtifactsInput!$N$27+1,20,24,28,32,36,40),0)/100)),0)</f>
        <v/>
      </c>
      <c r="R347">
        <f>IF(AND(Inputs!$B$38&lt;&gt;"pvp",Inputs!$B$43&gt;0),IF(MAX(0,Inputs!$B$43-B372)&lt;=0,0,(INT(MAX(0,Inputs!$B$43-B372)/(IF(Inputs!$B$38="pvp",15,MAX(0.1,Skills!E13-IF(Skills!F13=TRUE,Inputs!$B$32,0)))*(1-IF(AND(ArtifactsInput!$M$27,Inputs!$B$4="Chapter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IFERROR(1/(IF(Inputs!$B$38="pvp",15,MAX(0.1,Skills!E14-IF(Skills!F14=TRUE,Inputs!$B$32,0)))*(1-IF(AND(ArtifactsInput!$M$27,Inputs!$B$4="Chapter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IFERROR(1/(IF(Inputs!$B$38="pvp",15,MAX(0.1,Skills!E15-IF(Skills!F15=TRUE,Inputs!$B$32,0)))*(1-IF(AND(ArtifactsInput!$M$27,Inputs!$B$4="Chapter Hunt"),CHOOSE(ArtifactsInput!$N$27+1,20,24,28,32,36,40),0)/100)),0)</f>
        <v/>
      </c>
      <c r="R349">
        <f>IF(AND(Inputs!$B$38&lt;&gt;"pvp",Inputs!$B$43&gt;0),IF(MAX(0,Inputs!$B$43-B372)&lt;=0,0,(INT(MAX(0,Inputs!$B$43-B372)/(IF(Inputs!$B$38="pvp",15,MAX(0.1,Skills!E15-IF(Skills!F15=TRUE,Inputs!$B$32,0)))*(1-IF(AND(ArtifactsInput!$M$27,Inputs!$B$4="Chapter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IFERROR(1/(IF(Inputs!$B$38="pvp",15,MAX(0.1,Skills!E16-IF(Skills!F16=TRUE,Inputs!$B$32,0)))*(1-IF(AND(ArtifactsInput!$M$27,Inputs!$B$4="Chapter Hunt"),CHOOSE(ArtifactsInput!$N$27+1,20,24,28,32,36,40),0)/100)),0)</f>
        <v/>
      </c>
      <c r="R350">
        <f>IF(AND(Inputs!$B$38&lt;&gt;"pvp",Inputs!$B$43&gt;0),IF(MAX(0,Inputs!$B$43-B372)&lt;=0,0,(INT(MAX(0,Inputs!$B$43-B372)/(IF(Inputs!$B$38="pvp",15,MAX(0.1,Skills!E16-IF(Skills!F16=TRUE,Inputs!$B$32,0)))*(1-IF(AND(ArtifactsInput!$M$27,Inputs!$B$4="Chapter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IFERROR(1/(IF(Inputs!$B$38="pvp",15,MAX(0.1,Skills!E17-IF(Skills!F17=TRUE,Inputs!$B$32,0)))*(1-IF(AND(ArtifactsInput!$M$27,Inputs!$B$4="Chapter Hunt"),CHOOSE(ArtifactsInput!$N$27+1,20,24,28,32,36,40),0)/100)),0)</f>
        <v/>
      </c>
      <c r="R351">
        <f>IF(AND(Inputs!$B$38&lt;&gt;"pvp",Inputs!$B$43&gt;0),IF(Inputs!$B$43&lt;=0,0,(INT(Inputs!$B$43/(IF(Inputs!$B$38="pvp",15,MAX(0.1,Skills!E17-IF(Skills!F17=TRUE,Inputs!$B$32,0)))*(1-IF(AND(ArtifactsInput!$M$27,Inputs!$B$4="Chapter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IFERROR(1/(IF(Inputs!$B$38="pvp",15,MAX(0.1,Skills!E18-IF(Skills!F18=TRUE,Inputs!$B$32,0)))*(1-IF(AND(ArtifactsInput!$M$27,Inputs!$B$4="Chapter Hunt"),CHOOSE(ArtifactsInput!$N$27+1,20,24,28,32,36,40),0)/100)),0)</f>
        <v/>
      </c>
      <c r="R352">
        <f>IF(AND(Inputs!$B$38&lt;&gt;"pvp",Inputs!$B$43&gt;0),IF(Inputs!$B$43&lt;=0,0,(INT(Inputs!$B$43/(IF(Inputs!$B$38="pvp",15,MAX(0.1,Skills!E18-IF(Skills!F18=TRUE,Inputs!$B$32,0)))*(1-IF(AND(ArtifactsInput!$M$27,Inputs!$B$4="Chapter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IFERROR(1/(IF(Inputs!$B$38="pvp",15,MAX(0.1,Skills!E19-IF(Skills!F19=TRUE,Inputs!$B$32,0)))*(1-IF(AND(ArtifactsInput!$M$27,Inputs!$B$4="Chapter Hunt"),CHOOSE(ArtifactsInput!$N$27+1,20,24,28,32,36,40),0)/100)),0)</f>
        <v/>
      </c>
      <c r="R353">
        <f>IF(AND(Inputs!$B$38&lt;&gt;"pvp",Inputs!$B$43&gt;0),IF(Inputs!$B$43&lt;=0,0,(INT(Inputs!$B$43/(IF(Inputs!$B$38="pvp",15,MAX(0.1,Skills!E19-IF(Skills!F19=TRUE,Inputs!$B$32,0)))*(1-IF(AND(ArtifactsInput!$M$27,Inputs!$B$4="Chapter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IFERROR(1/(IF(Inputs!$B$38="pvp",15,MAX(0.1,Skills!E20-IF(Skills!F20=TRUE,Inputs!$B$32,0)))*(1-IF(AND(ArtifactsInput!$M$27,Inputs!$B$4="Chapter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IFERROR(1/(IF(Inputs!$B$38="pvp",15,MAX(0.1,Skills!E21-IF(Skills!F21=TRUE,Inputs!$B$32,0)))*(1-IF(AND(ArtifactsInput!$M$27,Inputs!$B$4="Chapter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IFERROR(1/(IF(Inputs!$B$38="pvp",15,MAX(0.1,Skills!E22-IF(Skills!F22=TRUE,Inputs!$B$32,0)))*(1-IF(AND(ArtifactsInput!$M$27,Inputs!$B$4="Chapter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IFERROR(1/(IF(Inputs!$B$38="pvp",15,MAX(0.1,Skills!E23-IF(Skills!F23=TRUE,Inputs!$B$32,0)))*(1-IF(AND(ArtifactsInput!$M$27,Inputs!$B$4="Chapter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IFERROR(1/(IF(Inputs!$B$38="pvp",15,MAX(0.1,Skills!E24-IF(Skills!F24=TRUE,Inputs!$B$32,0)))*(1-IF(AND(ArtifactsInput!$M$27,Inputs!$B$4="Chapter Hunt"),CHOOSE(ArtifactsInput!$N$27+1,20,24,28,32,36,40),0)/100)),0)</f>
        <v/>
      </c>
      <c r="R358">
        <f>IF(AND(Inputs!$B$38&lt;&gt;"pvp",Inputs!$B$43&gt;0),IF(MAX(0,Inputs!$B$43-B372)&lt;=0,0,(INT(MAX(0,Inputs!$B$43-B372)/(IF(Inputs!$B$38="pvp",15,MAX(0.1,Skills!E24-IF(Skills!F24=TRUE,Inputs!$B$32,0)))*(1-IF(AND(ArtifactsInput!$M$27,Inputs!$B$4="Chapter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IFERROR(1/(IF(Inputs!$B$38="pvp",15,MAX(0.1,Skills!E25-IF(Skills!F25=TRUE,Inputs!$B$32,0)))*(1-IF(AND(ArtifactsInput!$M$27,Inputs!$B$4="Chapter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IFERROR(1/(IF(Inputs!$B$38="pvp",15,MAX(0.1,Skills!E26-IF(Skills!F26=TRUE,Inputs!$B$32,0)))*(1-IF(AND(ArtifactsInput!$M$27,Inputs!$B$4="Chapter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IFERROR(1/(IF(Inputs!$B$38="pvp",15,MAX(0.1,Skills!E27-IF(Skills!F27=TRUE,Inputs!$B$32,0)))*(1-IF(AND(ArtifactsInput!$M$27,Inputs!$B$4="Chapter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IFERROR(1/(IF(Inputs!$B$38="pvp",15,MAX(0.1,Skills!E28-IF(Skills!F28=TRUE,Inputs!$B$32,0)))*(1-IF(AND(ArtifactsInput!$M$27,Inputs!$B$4="Chapter Hunt"),CHOOSE(ArtifactsInput!$N$27+1,20,24,28,32,36,40),0)/100)),0)</f>
        <v/>
      </c>
      <c r="R362">
        <f>IF(AND(Inputs!$B$38&lt;&gt;"pvp",Inputs!$B$43&gt;0),IF(MAX(0,Inputs!$B$43-B372)&lt;=0,0,(INT(MAX(0,Inputs!$B$43-B372)/(IF(Inputs!$B$38="pvp",15,MAX(0.1,Skills!E28-IF(Skills!F28=TRUE,Inputs!$B$32,0)))*(1-IF(AND(ArtifactsInput!$M$27,Inputs!$B$4="Chapter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Skills!T6*(1+((Inputs!$B$34+(ArtifactsInput!$M$7-ArtifactsInput!$M$7)*CHOOSE(ArtifactsInput!$N$7+1,6,7.2,8.4,9.6,10.8,12))+IF(Inputs!$B$3&gt;=117,F359,0))/100))+MIN((Skills!T6*(1+((Inputs!$B$34+(ArtifactsInput!$M$7-ArtifactsInput!$M$7)*CHOOSE(ArtifactsInput!$N$7+1,6,7.2,8.4,9.6,10.8,12))+IF(Inputs!$B$3&gt;=117,F359,0))/100)),MAX(0,Inputs!$B$43-((R340-1)*Skills!E6))))/Inputs!$B$43),IF(Inputs!$B$38="pvp",MIN((Skills!T6*(1+((Inputs!$B$34+(ArtifactsInput!$M$7-ArtifactsInput!$M$7)*CHOOSE(ArtifactsInput!$N$7+1,6,7.2,8.4,9.6,10.8,12))+IF(Inputs!$B$3&gt;=117,F359,0))/100)),15)/15,(Skills!T6*(1+((Inputs!$B$34+(ArtifactsInput!$M$7-ArtifactsInput!$M$7)*CHOOSE(ArtifactsInput!$N$7+1,6,7.2,8.4,9.6,10.8,12))+IF(Inputs!$B$3&gt;=117,F359,0))/100))/Skills!E6))+F351*IF(AND(Inputs!$B$38&lt;&gt;"pvp",Inputs!$B$43&gt;0),(((R351-1)*(Skills!T17*(1+((Inputs!$B$34+(ArtifactsInput!$M$7-ArtifactsInput!$M$7)*CHOOSE(ArtifactsInput!$N$7+1,6,7.2,8.4,9.6,10.8,12))+IF(Inputs!$B$3&gt;=117,F359,0))/100))+MIN((Skills!T17*(1+((Inputs!$B$34+(ArtifactsInput!$M$7-ArtifactsInput!$M$7)*CHOOSE(ArtifactsInput!$N$7+1,6,7.2,8.4,9.6,10.8,12))+IF(Inputs!$B$3&gt;=117,F359,0))/100)),MAX(0,Inputs!$B$43-((R351-1)*Skills!E17))))/Inputs!$B$43),IF(Inputs!$B$38="pvp",MIN((Skills!T17*(1+((Inputs!$B$34+(ArtifactsInput!$M$7-ArtifactsInput!$M$7)*CHOOSE(ArtifactsInput!$N$7+1,6,7.2,8.4,9.6,10.8,12))+IF(Inputs!$B$3&gt;=117,F359,0))/100)),15)/15,(Skills!T17*(1+((Inputs!$B$34+(ArtifactsInput!$M$7-ArtifactsInput!$M$7)*CHOOSE(ArtifactsInput!$N$7+1,6,7.2,8.4,9.6,10.8,12))+IF(Inputs!$B$3&gt;=117,F359,0)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Skills!T19*(1+((Inputs!$B$34+(ArtifactsInput!$M$7-ArtifactsInput!$M$7)*CHOOSE(ArtifactsInput!$N$7+1,6,7.2,8.4,9.6,10.8,12))+IF(Inputs!$B$3&gt;=117,F359,0))/100))+MIN((Skills!T19*(1+((Inputs!$B$34+(ArtifactsInput!$M$7-ArtifactsInput!$M$7)*CHOOSE(ArtifactsInput!$N$7+1,6,7.2,8.4,9.6,10.8,12))+IF(Inputs!$B$3&gt;=117,F359,0))/100)),MAX(0,Inputs!$B$43-((R353-1)*Skills!E19))))/Inputs!$B$43),IF(Inputs!$B$38="pvp",MIN((Skills!T19*(1+((Inputs!$B$34+(ArtifactsInput!$M$7-ArtifactsInput!$M$7)*CHOOSE(ArtifactsInput!$N$7+1,6,7.2,8.4,9.6,10.8,12))+IF(Inputs!$B$3&gt;=117,F359,0))/100)),15)/15,(Skills!T19*(1+((Inputs!$B$34+(ArtifactsInput!$M$7-ArtifactsInput!$M$7)*CHOOSE(ArtifactsInput!$N$7+1,6,7.2,8.4,9.6,10.8,12))+IF(Inputs!$B$3&gt;=117,F359,0))/100))/Skills!E19))/100),1)</f>
        <v/>
      </c>
    </row>
    <row r="367">
      <c r="A367" t="inlineStr">
        <is>
          <t>Attack Speed Buff Bonus % (Nimble Feet, averaged)</t>
        </is>
      </c>
      <c r="B367">
        <f>F352*IF(AND(Inputs!$B$38&lt;&gt;"pvp",Inputs!$B$43&gt;0),(((R352-1)*(Skills!T18*(1+((Inputs!$B$34+(ArtifactsInput!$M$7-ArtifactsInput!$M$7)*CHOOSE(ArtifactsInput!$N$7+1,6,7.2,8.4,9.6,10.8,12))+IF(Inputs!$B$3&gt;=117,F359,0))/100))+MIN((Skills!T18*(1+((Inputs!$B$34+(ArtifactsInput!$M$7-ArtifactsInput!$M$7)*CHOOSE(ArtifactsInput!$N$7+1,6,7.2,8.4,9.6,10.8,12))+IF(Inputs!$B$3&gt;=117,F359,0))/100)),MAX(0,Inputs!$B$43-((R352-1)*Skills!E18))))/Inputs!$B$43),IF(Inputs!$B$38="pvp",MIN((Skills!T18*(1+((Inputs!$B$34+(ArtifactsInput!$M$7-ArtifactsInput!$M$7)*CHOOSE(ArtifactsInput!$N$7+1,6,7.2,8.4,9.6,10.8,12))+IF(Inputs!$B$3&gt;=117,F359,0))/100)),15)/15,(Skills!T18*(1+((Inputs!$B$34+(ArtifactsInput!$M$7-ArtifactsInput!$M$7)*CHOOSE(ArtifactsInput!$N$7+1,6,7.2,8.4,9.6,10.8,12))+IF(Inputs!$B$3&gt;=117,F359,0))/100))/Skills!E18))</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IFERROR(1/(IF(Inputs!$B$38="pvp",15,MAX(0.1,Skills!E2-IF(Skills!F2=TRUE,Inputs!$B$32,0)))*(1-IF(AND(ArtifactsInput!$M$27,Inputs!$B$4="Chapter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IFERROR(1/(IF(Inputs!$B$38="pvp",15,MAX(0.1,Skills!E3-IF(Skills!F3=TRUE,Inputs!$B$32,0)))*(1-IF(AND(ArtifactsInput!$M$27,Inputs!$B$4="Chapter Hunt"),CHOOSE(ArtifactsInput!$N$27+1,20,24,28,32,36,40),0)/100)),0)</f>
        <v/>
      </c>
      <c r="R381">
        <f>IF(AND(Inputs!$B$38&lt;&gt;"pvp",Inputs!$B$43&gt;0),IF(MAX(0,Inputs!$B$43-B416)&lt;=0,0,(INT(MAX(0,Inputs!$B$43-B416)/(IF(Inputs!$B$38="pvp",15,MAX(0.1,Skills!E3-IF(Skills!F3=TRUE,Inputs!$B$32,0)))*(1-IF(AND(ArtifactsInput!$M$27,Inputs!$B$4="Chapter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IFERROR(1/(IF(Inputs!$B$38="pvp",15,MAX(0.1,Skills!E4-IF(Skills!F4=TRUE,Inputs!$B$32,0)))*(1-IF(AND(ArtifactsInput!$M$27,Inputs!$B$4="Chapter Hunt"),CHOOSE(ArtifactsInput!$N$27+1,20,24,28,32,36,40),0)/100)),0)</f>
        <v/>
      </c>
      <c r="R382">
        <f>IF(AND(Inputs!$B$38&lt;&gt;"pvp",Inputs!$B$43&gt;0),IF(MAX(0,Inputs!$B$43-B416)&lt;=0,0,(INT(MAX(0,Inputs!$B$43-B416)/(IF(Inputs!$B$38="pvp",15,MAX(0.1,Skills!E4-IF(Skills!F4=TRUE,Inputs!$B$32,0)))*(1-IF(AND(ArtifactsInput!$M$27,Inputs!$B$4="Chapter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IFERROR(1/(IF(Inputs!$B$38="pvp",15,MAX(0.1,Skills!E5-IF(Skills!F5=TRUE,Inputs!$B$32,0)))*(1-IF(AND(ArtifactsInput!$M$27,Inputs!$B$4="Chapter Hunt"),CHOOSE(ArtifactsInput!$N$27+1,20,24,28,32,36,40),0)/100)),0)</f>
        <v/>
      </c>
      <c r="R383">
        <f>IF(AND(Inputs!$B$38&lt;&gt;"pvp",Inputs!$B$43&gt;0),IF(MAX(0,Inputs!$B$43-B416)&lt;=0,0,(INT(MAX(0,Inputs!$B$43-B416)/(IF(Inputs!$B$38="pvp",15,MAX(0.1,Skills!E5-IF(Skills!F5=TRUE,Inputs!$B$32,0)))*(1-IF(AND(ArtifactsInput!$M$27,Inputs!$B$4="Chapter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IFERROR(1/(IF(Inputs!$B$38="pvp",15,MAX(0.1,Skills!E6-IF(Skills!F6=TRUE,Inputs!$B$32,0)))*(1-IF(AND(ArtifactsInput!$M$27,Inputs!$B$4="Chapter Hunt"),CHOOSE(ArtifactsInput!$N$27+1,20,24,28,32,36,40),0)/100)),0)</f>
        <v/>
      </c>
      <c r="R384">
        <f>IF(AND(Inputs!$B$38&lt;&gt;"pvp",Inputs!$B$43&gt;0),IF(Inputs!$B$43&lt;=0,0,(INT(Inputs!$B$43/(IF(Inputs!$B$38="pvp",15,MAX(0.1,Skills!E6-IF(Skills!F6=TRUE,Inputs!$B$32,0)))*(1-IF(AND(ArtifactsInput!$M$27,Inputs!$B$4="Chapter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IFERROR(1/(IF(Inputs!$B$38="pvp",15,MAX(0.1,Skills!E7-IF(Skills!F7=TRUE,Inputs!$B$32,0)))*(1-IF(AND(ArtifactsInput!$M$27,Inputs!$B$4="Chapter Hunt"),CHOOSE(ArtifactsInput!$N$27+1,20,24,28,32,36,40),0)/100)),0)</f>
        <v/>
      </c>
      <c r="R385">
        <f>IF(AND(Inputs!$B$38&lt;&gt;"pvp",Inputs!$B$43&gt;0),IF(MAX(0,Inputs!$B$43-B416)&lt;=0,0,(INT(MAX(0,Inputs!$B$43-B416)/(IF(Inputs!$B$38="pvp",15,MAX(0.1,Skills!E7-IF(Skills!F7=TRUE,Inputs!$B$32,0)))*(1-IF(AND(ArtifactsInput!$M$27,Inputs!$B$4="Chapter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IFERROR(1/(IF(Inputs!$B$38="pvp",15,MAX(0.1,Skills!E8-IF(Skills!F8=TRUE,Inputs!$B$32,0)))*(1-IF(AND(ArtifactsInput!$M$27,Inputs!$B$4="Chapter Hunt"),CHOOSE(ArtifactsInput!$N$27+1,20,24,28,32,36,40),0)/100)),0)</f>
        <v/>
      </c>
      <c r="R386">
        <f>IF(AND(Inputs!$B$38&lt;&gt;"pvp",Inputs!$B$43&gt;0),IF(MAX(0,Inputs!$B$43-B416)&lt;=0,0,(INT(MAX(0,Inputs!$B$43-B416)/(IF(Inputs!$B$38="pvp",15,MAX(0.1,Skills!E8-IF(Skills!F8=TRUE,Inputs!$B$32,0)))*(1-IF(AND(ArtifactsInput!$M$27,Inputs!$B$4="Chapter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IFERROR(1/(IF(Inputs!$B$38="pvp",15,MAX(0.1,Skills!E9-IF(Skills!F7=TRUE,Inputs!$B$32,0)))*(1-IF(AND(ArtifactsInput!$M$27,Inputs!$B$4="Chapter Hunt"),CHOOSE(ArtifactsInput!$N$27+1,20,24,28,32,36,40),0)/100)),0)</f>
        <v/>
      </c>
      <c r="R387">
        <f>IF(AND(Inputs!$B$38&lt;&gt;"pvp",Inputs!$B$43&gt;0),IF(MAX(0,Inputs!$B$43-B416)&lt;=0,0,(INT(MAX(0,Inputs!$B$43-B416)/(IF(Inputs!$B$38="pvp",15,MAX(0.1,Skills!E9-IF(Skills!F7=TRUE,Inputs!$B$32,0)))*(1-IF(AND(ArtifactsInput!$M$27,Inputs!$B$4="Chapter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IFERROR(1/(IF(Inputs!$B$38="pvp",15,MAX(0.1,Skills!E10-IF(Skills!F10=TRUE,Inputs!$B$32,0)))*(1-IF(AND(ArtifactsInput!$M$27,Inputs!$B$4="Chapter Hunt"),CHOOSE(ArtifactsInput!$N$27+1,20,24,28,32,36,40),0)/100)),0)</f>
        <v/>
      </c>
      <c r="R388">
        <f>IF(AND(Inputs!$B$38&lt;&gt;"pvp",Inputs!$B$43&gt;0),IF(MAX(0,Inputs!$B$43-B416)&lt;=0,0,(INT(MAX(0,Inputs!$B$43-B416)/(IF(Inputs!$B$38="pvp",15,MAX(0.1,Skills!E10-IF(Skills!F10=TRUE,Inputs!$B$32,0)))*(1-IF(AND(ArtifactsInput!$M$27,Inputs!$B$4="Chapter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IFERROR(1/(IF(Inputs!$B$38="pvp",15,MAX(0.1,Skills!E11-IF(Skills!F11=TRUE,Inputs!$B$32,0)))*(1-IF(AND(ArtifactsInput!$M$27,Inputs!$B$4="Chapter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IFERROR(1/(IF(Inputs!$B$38="pvp",15,MAX(0.1,Skills!E12-IF(Skills!F12=TRUE,Inputs!$B$32,0)))*(1-IF(AND(ArtifactsInput!$M$27,Inputs!$B$4="Chapter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IFERROR(1/(IF(Inputs!$B$38="pvp",15,MAX(0.1,Skills!E13-IF(Skills!F13=TRUE,Inputs!$B$32,0)))*(1-IF(AND(ArtifactsInput!$M$27,Inputs!$B$4="Chapter Hunt"),CHOOSE(ArtifactsInput!$N$27+1,20,24,28,32,36,40),0)/100)),0)</f>
        <v/>
      </c>
      <c r="R391">
        <f>IF(AND(Inputs!$B$38&lt;&gt;"pvp",Inputs!$B$43&gt;0),IF(MAX(0,Inputs!$B$43-B416)&lt;=0,0,(INT(MAX(0,Inputs!$B$43-B416)/(IF(Inputs!$B$38="pvp",15,MAX(0.1,Skills!E13-IF(Skills!F13=TRUE,Inputs!$B$32,0)))*(1-IF(AND(ArtifactsInput!$M$27,Inputs!$B$4="Chapter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IFERROR(1/(IF(Inputs!$B$38="pvp",15,MAX(0.1,Skills!E14-IF(Skills!F14=TRUE,Inputs!$B$32,0)))*(1-IF(AND(ArtifactsInput!$M$27,Inputs!$B$4="Chapter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IFERROR(1/(IF(Inputs!$B$38="pvp",15,MAX(0.1,Skills!E15-IF(Skills!F15=TRUE,Inputs!$B$32,0)))*(1-IF(AND(ArtifactsInput!$M$27,Inputs!$B$4="Chapter Hunt"),CHOOSE(ArtifactsInput!$N$27+1,20,24,28,32,36,40),0)/100)),0)</f>
        <v/>
      </c>
      <c r="R393">
        <f>IF(AND(Inputs!$B$38&lt;&gt;"pvp",Inputs!$B$43&gt;0),IF(MAX(0,Inputs!$B$43-B416)&lt;=0,0,(INT(MAX(0,Inputs!$B$43-B416)/(IF(Inputs!$B$38="pvp",15,MAX(0.1,Skills!E15-IF(Skills!F15=TRUE,Inputs!$B$32,0)))*(1-IF(AND(ArtifactsInput!$M$27,Inputs!$B$4="Chapter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IFERROR(1/(IF(Inputs!$B$38="pvp",15,MAX(0.1,Skills!E16-IF(Skills!F16=TRUE,Inputs!$B$32,0)))*(1-IF(AND(ArtifactsInput!$M$27,Inputs!$B$4="Chapter Hunt"),CHOOSE(ArtifactsInput!$N$27+1,20,24,28,32,36,40),0)/100)),0)</f>
        <v/>
      </c>
      <c r="R394">
        <f>IF(AND(Inputs!$B$38&lt;&gt;"pvp",Inputs!$B$43&gt;0),IF(MAX(0,Inputs!$B$43-B416)&lt;=0,0,(INT(MAX(0,Inputs!$B$43-B416)/(IF(Inputs!$B$38="pvp",15,MAX(0.1,Skills!E16-IF(Skills!F16=TRUE,Inputs!$B$32,0)))*(1-IF(AND(ArtifactsInput!$M$27,Inputs!$B$4="Chapter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IFERROR(1/(IF(Inputs!$B$38="pvp",15,MAX(0.1,Skills!E17-IF(Skills!F17=TRUE,Inputs!$B$32,0)))*(1-IF(AND(ArtifactsInput!$M$27,Inputs!$B$4="Chapter Hunt"),CHOOSE(ArtifactsInput!$N$27+1,20,24,28,32,36,40),0)/100)),0)</f>
        <v/>
      </c>
      <c r="R395">
        <f>IF(AND(Inputs!$B$38&lt;&gt;"pvp",Inputs!$B$43&gt;0),IF(Inputs!$B$43&lt;=0,0,(INT(Inputs!$B$43/(IF(Inputs!$B$38="pvp",15,MAX(0.1,Skills!E17-IF(Skills!F17=TRUE,Inputs!$B$32,0)))*(1-IF(AND(ArtifactsInput!$M$27,Inputs!$B$4="Chapter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IFERROR(1/(IF(Inputs!$B$38="pvp",15,MAX(0.1,Skills!E18-IF(Skills!F18=TRUE,Inputs!$B$32,0)))*(1-IF(AND(ArtifactsInput!$M$27,Inputs!$B$4="Chapter Hunt"),CHOOSE(ArtifactsInput!$N$27+1,20,24,28,32,36,40),0)/100)),0)</f>
        <v/>
      </c>
      <c r="R396">
        <f>IF(AND(Inputs!$B$38&lt;&gt;"pvp",Inputs!$B$43&gt;0),IF(Inputs!$B$43&lt;=0,0,(INT(Inputs!$B$43/(IF(Inputs!$B$38="pvp",15,MAX(0.1,Skills!E18-IF(Skills!F18=TRUE,Inputs!$B$32,0)))*(1-IF(AND(ArtifactsInput!$M$27,Inputs!$B$4="Chapter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IFERROR(1/(IF(Inputs!$B$38="pvp",15,MAX(0.1,Skills!E19-IF(Skills!F19=TRUE,Inputs!$B$32,0)))*(1-IF(AND(ArtifactsInput!$M$27,Inputs!$B$4="Chapter Hunt"),CHOOSE(ArtifactsInput!$N$27+1,20,24,28,32,36,40),0)/100)),0)</f>
        <v/>
      </c>
      <c r="R397">
        <f>IF(AND(Inputs!$B$38&lt;&gt;"pvp",Inputs!$B$43&gt;0),IF(Inputs!$B$43&lt;=0,0,(INT(Inputs!$B$43/(IF(Inputs!$B$38="pvp",15,MAX(0.1,Skills!E19-IF(Skills!F19=TRUE,Inputs!$B$32,0)))*(1-IF(AND(ArtifactsInput!$M$27,Inputs!$B$4="Chapter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IFERROR(1/(IF(Inputs!$B$38="pvp",15,MAX(0.1,Skills!E20-IF(Skills!F20=TRUE,Inputs!$B$32,0)))*(1-IF(AND(ArtifactsInput!$M$27,Inputs!$B$4="Chapter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IFERROR(1/(IF(Inputs!$B$38="pvp",15,MAX(0.1,Skills!E21-IF(Skills!F21=TRUE,Inputs!$B$32,0)))*(1-IF(AND(ArtifactsInput!$M$27,Inputs!$B$4="Chapter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IFERROR(1/(IF(Inputs!$B$38="pvp",15,MAX(0.1,Skills!E22-IF(Skills!F22=TRUE,Inputs!$B$32,0)))*(1-IF(AND(ArtifactsInput!$M$27,Inputs!$B$4="Chapter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IFERROR(1/(IF(Inputs!$B$38="pvp",15,MAX(0.1,Skills!E23-IF(Skills!F23=TRUE,Inputs!$B$32,0)))*(1-IF(AND(ArtifactsInput!$M$27,Inputs!$B$4="Chapter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IFERROR(1/(IF(Inputs!$B$38="pvp",15,MAX(0.1,Skills!E24-IF(Skills!F24=TRUE,Inputs!$B$32,0)))*(1-IF(AND(ArtifactsInput!$M$27,Inputs!$B$4="Chapter Hunt"),CHOOSE(ArtifactsInput!$N$27+1,20,24,28,32,36,40),0)/100)),0)</f>
        <v/>
      </c>
      <c r="R402">
        <f>IF(AND(Inputs!$B$38&lt;&gt;"pvp",Inputs!$B$43&gt;0),IF(MAX(0,Inputs!$B$43-B416)&lt;=0,0,(INT(MAX(0,Inputs!$B$43-B416)/(IF(Inputs!$B$38="pvp",15,MAX(0.1,Skills!E24-IF(Skills!F24=TRUE,Inputs!$B$32,0)))*(1-IF(AND(ArtifactsInput!$M$27,Inputs!$B$4="Chapter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IFERROR(1/(IF(Inputs!$B$38="pvp",15,MAX(0.1,Skills!E25-IF(Skills!F25=TRUE,Inputs!$B$32,0)))*(1-IF(AND(ArtifactsInput!$M$27,Inputs!$B$4="Chapter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IFERROR(1/(IF(Inputs!$B$38="pvp",15,MAX(0.1,Skills!E26-IF(Skills!F26=TRUE,Inputs!$B$32,0)))*(1-IF(AND(ArtifactsInput!$M$27,Inputs!$B$4="Chapter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IFERROR(1/(IF(Inputs!$B$38="pvp",15,MAX(0.1,Skills!E27-IF(Skills!F27=TRUE,Inputs!$B$32,0)))*(1-IF(AND(ArtifactsInput!$M$27,Inputs!$B$4="Chapter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IFERROR(1/(IF(Inputs!$B$38="pvp",15,MAX(0.1,Skills!E28-IF(Skills!F28=TRUE,Inputs!$B$32,0)))*(1-IF(AND(ArtifactsInput!$M$27,Inputs!$B$4="Chapter Hunt"),CHOOSE(ArtifactsInput!$N$27+1,20,24,28,32,36,40),0)/100)),0)</f>
        <v/>
      </c>
      <c r="R406">
        <f>IF(AND(Inputs!$B$38&lt;&gt;"pvp",Inputs!$B$43&gt;0),IF(MAX(0,Inputs!$B$43-B416)&lt;=0,0,(INT(MAX(0,Inputs!$B$43-B416)/(IF(Inputs!$B$38="pvp",15,MAX(0.1,Skills!E28-IF(Skills!F28=TRUE,Inputs!$B$32,0)))*(1-IF(AND(ArtifactsInput!$M$27,Inputs!$B$4="Chapter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Skills!T6*(1+((Inputs!$B$34+(ArtifactsInput!$M$7-ArtifactsInput!$M$7)*CHOOSE(ArtifactsInput!$N$7+1,6,7.2,8.4,9.6,10.8,12))+IF(Inputs!$B$3&gt;=117,F403,0))/100))+MIN((Skills!T6*(1+((Inputs!$B$34+(ArtifactsInput!$M$7-ArtifactsInput!$M$7)*CHOOSE(ArtifactsInput!$N$7+1,6,7.2,8.4,9.6,10.8,12))+IF(Inputs!$B$3&gt;=117,F403,0))/100)),MAX(0,Inputs!$B$43-((R384-1)*Skills!E6))))/Inputs!$B$43),IF(Inputs!$B$38="pvp",MIN((Skills!T6*(1+((Inputs!$B$34+(ArtifactsInput!$M$7-ArtifactsInput!$M$7)*CHOOSE(ArtifactsInput!$N$7+1,6,7.2,8.4,9.6,10.8,12))+IF(Inputs!$B$3&gt;=117,F403,0))/100)),15)/15,(Skills!T6*(1+((Inputs!$B$34+(ArtifactsInput!$M$7-ArtifactsInput!$M$7)*CHOOSE(ArtifactsInput!$N$7+1,6,7.2,8.4,9.6,10.8,12))+IF(Inputs!$B$3&gt;=117,F403,0))/100))/Skills!E6))+F395*IF(AND(Inputs!$B$38&lt;&gt;"pvp",Inputs!$B$43&gt;0),(((R395-1)*(Skills!T17*(1+((Inputs!$B$34+(ArtifactsInput!$M$7-ArtifactsInput!$M$7)*CHOOSE(ArtifactsInput!$N$7+1,6,7.2,8.4,9.6,10.8,12))+IF(Inputs!$B$3&gt;=117,F403,0))/100))+MIN((Skills!T17*(1+((Inputs!$B$34+(ArtifactsInput!$M$7-ArtifactsInput!$M$7)*CHOOSE(ArtifactsInput!$N$7+1,6,7.2,8.4,9.6,10.8,12))+IF(Inputs!$B$3&gt;=117,F403,0))/100)),MAX(0,Inputs!$B$43-((R395-1)*Skills!E17))))/Inputs!$B$43),IF(Inputs!$B$38="pvp",MIN((Skills!T17*(1+((Inputs!$B$34+(ArtifactsInput!$M$7-ArtifactsInput!$M$7)*CHOOSE(ArtifactsInput!$N$7+1,6,7.2,8.4,9.6,10.8,12))+IF(Inputs!$B$3&gt;=117,F403,0))/100)),15)/15,(Skills!T17*(1+((Inputs!$B$34+(ArtifactsInput!$M$7-ArtifactsInput!$M$7)*CHOOSE(ArtifactsInput!$N$7+1,6,7.2,8.4,9.6,10.8,12))+IF(Inputs!$B$3&gt;=117,F403,0)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Skills!T19*(1+((Inputs!$B$34+(ArtifactsInput!$M$7-ArtifactsInput!$M$7)*CHOOSE(ArtifactsInput!$N$7+1,6,7.2,8.4,9.6,10.8,12))+IF(Inputs!$B$3&gt;=117,F403,0))/100))+MIN((Skills!T19*(1+((Inputs!$B$34+(ArtifactsInput!$M$7-ArtifactsInput!$M$7)*CHOOSE(ArtifactsInput!$N$7+1,6,7.2,8.4,9.6,10.8,12))+IF(Inputs!$B$3&gt;=117,F403,0))/100)),MAX(0,Inputs!$B$43-((R397-1)*Skills!E19))))/Inputs!$B$43),IF(Inputs!$B$38="pvp",MIN((Skills!T19*(1+((Inputs!$B$34+(ArtifactsInput!$M$7-ArtifactsInput!$M$7)*CHOOSE(ArtifactsInput!$N$7+1,6,7.2,8.4,9.6,10.8,12))+IF(Inputs!$B$3&gt;=117,F403,0))/100)),15)/15,(Skills!T19*(1+((Inputs!$B$34+(ArtifactsInput!$M$7-ArtifactsInput!$M$7)*CHOOSE(ArtifactsInput!$N$7+1,6,7.2,8.4,9.6,10.8,12))+IF(Inputs!$B$3&gt;=117,F403,0))/100))/Skills!E19))/100),1)</f>
        <v/>
      </c>
    </row>
    <row r="411">
      <c r="A411" t="inlineStr">
        <is>
          <t>Attack Speed Buff Bonus % (Nimble Feet, averaged)</t>
        </is>
      </c>
      <c r="B411">
        <f>F396*IF(AND(Inputs!$B$38&lt;&gt;"pvp",Inputs!$B$43&gt;0),(((R396-1)*(Skills!T18*(1+((Inputs!$B$34+(ArtifactsInput!$M$7-ArtifactsInput!$M$7)*CHOOSE(ArtifactsInput!$N$7+1,6,7.2,8.4,9.6,10.8,12))+IF(Inputs!$B$3&gt;=117,F403,0))/100))+MIN((Skills!T18*(1+((Inputs!$B$34+(ArtifactsInput!$M$7-ArtifactsInput!$M$7)*CHOOSE(ArtifactsInput!$N$7+1,6,7.2,8.4,9.6,10.8,12))+IF(Inputs!$B$3&gt;=117,F403,0))/100)),MAX(0,Inputs!$B$43-((R396-1)*Skills!E18))))/Inputs!$B$43),IF(Inputs!$B$38="pvp",MIN((Skills!T18*(1+((Inputs!$B$34+(ArtifactsInput!$M$7-ArtifactsInput!$M$7)*CHOOSE(ArtifactsInput!$N$7+1,6,7.2,8.4,9.6,10.8,12))+IF(Inputs!$B$3&gt;=117,F403,0))/100)),15)/15,(Skills!T18*(1+((Inputs!$B$34+(ArtifactsInput!$M$7-ArtifactsInput!$M$7)*CHOOSE(ArtifactsInput!$N$7+1,6,7.2,8.4,9.6,10.8,12))+IF(Inputs!$B$3&gt;=117,F403,0))/100))/Skills!E18))</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IFERROR(1/(IF(Inputs!$B$38="pvp",15,MAX(0.1,Skills!E2-IF(Skills!F2=TRUE,Inputs!$B$32,0)))*(1-IF(AND(ArtifactsInput!$M$27,Inputs!$B$4="Chapter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IFERROR(1/(IF(Inputs!$B$38="pvp",15,MAX(0.1,Skills!E3-IF(Skills!F3=TRUE,Inputs!$B$32,0)))*(1-IF(AND(ArtifactsInput!$M$27,Inputs!$B$4="Chapter Hunt"),CHOOSE(ArtifactsInput!$N$27+1,20,24,28,32,36,40),0)/100)),0)</f>
        <v/>
      </c>
      <c r="R425">
        <f>IF(AND(Inputs!$B$38&lt;&gt;"pvp",Inputs!$B$43&gt;0),IF(MAX(0,Inputs!$B$43-B460)&lt;=0,0,(INT(MAX(0,Inputs!$B$43-B460)/(IF(Inputs!$B$38="pvp",15,MAX(0.1,Skills!E3-IF(Skills!F3=TRUE,Inputs!$B$32,0)))*(1-IF(AND(ArtifactsInput!$M$27,Inputs!$B$4="Chapter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IFERROR(1/(IF(Inputs!$B$38="pvp",15,MAX(0.1,Skills!E4-IF(Skills!F4=TRUE,Inputs!$B$32,0)))*(1-IF(AND(ArtifactsInput!$M$27,Inputs!$B$4="Chapter Hunt"),CHOOSE(ArtifactsInput!$N$27+1,20,24,28,32,36,40),0)/100)),0)</f>
        <v/>
      </c>
      <c r="R426">
        <f>IF(AND(Inputs!$B$38&lt;&gt;"pvp",Inputs!$B$43&gt;0),IF(MAX(0,Inputs!$B$43-B460)&lt;=0,0,(INT(MAX(0,Inputs!$B$43-B460)/(IF(Inputs!$B$38="pvp",15,MAX(0.1,Skills!E4-IF(Skills!F4=TRUE,Inputs!$B$32,0)))*(1-IF(AND(ArtifactsInput!$M$27,Inputs!$B$4="Chapter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IFERROR(1/(IF(Inputs!$B$38="pvp",15,MAX(0.1,Skills!E5-IF(Skills!F5=TRUE,Inputs!$B$32,0)))*(1-IF(AND(ArtifactsInput!$M$27,Inputs!$B$4="Chapter Hunt"),CHOOSE(ArtifactsInput!$N$27+1,20,24,28,32,36,40),0)/100)),0)</f>
        <v/>
      </c>
      <c r="R427">
        <f>IF(AND(Inputs!$B$38&lt;&gt;"pvp",Inputs!$B$43&gt;0),IF(MAX(0,Inputs!$B$43-B460)&lt;=0,0,(INT(MAX(0,Inputs!$B$43-B460)/(IF(Inputs!$B$38="pvp",15,MAX(0.1,Skills!E5-IF(Skills!F5=TRUE,Inputs!$B$32,0)))*(1-IF(AND(ArtifactsInput!$M$27,Inputs!$B$4="Chapter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IFERROR(1/(IF(Inputs!$B$38="pvp",15,MAX(0.1,Skills!E6-IF(Skills!F6=TRUE,Inputs!$B$32,0)))*(1-IF(AND(ArtifactsInput!$M$27,Inputs!$B$4="Chapter Hunt"),CHOOSE(ArtifactsInput!$N$27+1,20,24,28,32,36,40),0)/100)),0)</f>
        <v/>
      </c>
      <c r="R428">
        <f>IF(AND(Inputs!$B$38&lt;&gt;"pvp",Inputs!$B$43&gt;0),IF(Inputs!$B$43&lt;=0,0,(INT(Inputs!$B$43/(IF(Inputs!$B$38="pvp",15,MAX(0.1,Skills!E6-IF(Skills!F6=TRUE,Inputs!$B$32,0)))*(1-IF(AND(ArtifactsInput!$M$27,Inputs!$B$4="Chapter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IFERROR(1/(IF(Inputs!$B$38="pvp",15,MAX(0.1,Skills!E7-IF(Skills!F7=TRUE,Inputs!$B$32,0)))*(1-IF(AND(ArtifactsInput!$M$27,Inputs!$B$4="Chapter Hunt"),CHOOSE(ArtifactsInput!$N$27+1,20,24,28,32,36,40),0)/100)),0)</f>
        <v/>
      </c>
      <c r="R429">
        <f>IF(AND(Inputs!$B$38&lt;&gt;"pvp",Inputs!$B$43&gt;0),IF(MAX(0,Inputs!$B$43-B460)&lt;=0,0,(INT(MAX(0,Inputs!$B$43-B460)/(IF(Inputs!$B$38="pvp",15,MAX(0.1,Skills!E7-IF(Skills!F7=TRUE,Inputs!$B$32,0)))*(1-IF(AND(ArtifactsInput!$M$27,Inputs!$B$4="Chapter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IFERROR(1/(IF(Inputs!$B$38="pvp",15,MAX(0.1,Skills!E8-IF(Skills!F8=TRUE,Inputs!$B$32,0)))*(1-IF(AND(ArtifactsInput!$M$27,Inputs!$B$4="Chapter Hunt"),CHOOSE(ArtifactsInput!$N$27+1,20,24,28,32,36,40),0)/100)),0)</f>
        <v/>
      </c>
      <c r="R430">
        <f>IF(AND(Inputs!$B$38&lt;&gt;"pvp",Inputs!$B$43&gt;0),IF(MAX(0,Inputs!$B$43-B460)&lt;=0,0,(INT(MAX(0,Inputs!$B$43-B460)/(IF(Inputs!$B$38="pvp",15,MAX(0.1,Skills!E8-IF(Skills!F8=TRUE,Inputs!$B$32,0)))*(1-IF(AND(ArtifactsInput!$M$27,Inputs!$B$4="Chapter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IFERROR(1/(IF(Inputs!$B$38="pvp",15,MAX(0.1,Skills!E9-IF(Skills!F7=TRUE,Inputs!$B$32,0)))*(1-IF(AND(ArtifactsInput!$M$27,Inputs!$B$4="Chapter Hunt"),CHOOSE(ArtifactsInput!$N$27+1,20,24,28,32,36,40),0)/100)),0)</f>
        <v/>
      </c>
      <c r="R431">
        <f>IF(AND(Inputs!$B$38&lt;&gt;"pvp",Inputs!$B$43&gt;0),IF(MAX(0,Inputs!$B$43-B460)&lt;=0,0,(INT(MAX(0,Inputs!$B$43-B460)/(IF(Inputs!$B$38="pvp",15,MAX(0.1,Skills!E9-IF(Skills!F7=TRUE,Inputs!$B$32,0)))*(1-IF(AND(ArtifactsInput!$M$27,Inputs!$B$4="Chapter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IFERROR(1/(IF(Inputs!$B$38="pvp",15,MAX(0.1,Skills!E10-IF(Skills!F10=TRUE,Inputs!$B$32,0)))*(1-IF(AND(ArtifactsInput!$M$27,Inputs!$B$4="Chapter Hunt"),CHOOSE(ArtifactsInput!$N$27+1,20,24,28,32,36,40),0)/100)),0)</f>
        <v/>
      </c>
      <c r="R432">
        <f>IF(AND(Inputs!$B$38&lt;&gt;"pvp",Inputs!$B$43&gt;0),IF(MAX(0,Inputs!$B$43-B460)&lt;=0,0,(INT(MAX(0,Inputs!$B$43-B460)/(IF(Inputs!$B$38="pvp",15,MAX(0.1,Skills!E10-IF(Skills!F10=TRUE,Inputs!$B$32,0)))*(1-IF(AND(ArtifactsInput!$M$27,Inputs!$B$4="Chapter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IFERROR(1/(IF(Inputs!$B$38="pvp",15,MAX(0.1,Skills!E11-IF(Skills!F11=TRUE,Inputs!$B$32,0)))*(1-IF(AND(ArtifactsInput!$M$27,Inputs!$B$4="Chapter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IFERROR(1/(IF(Inputs!$B$38="pvp",15,MAX(0.1,Skills!E12-IF(Skills!F12=TRUE,Inputs!$B$32,0)))*(1-IF(AND(ArtifactsInput!$M$27,Inputs!$B$4="Chapter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IFERROR(1/(IF(Inputs!$B$38="pvp",15,MAX(0.1,Skills!E13-IF(Skills!F13=TRUE,Inputs!$B$32,0)))*(1-IF(AND(ArtifactsInput!$M$27,Inputs!$B$4="Chapter Hunt"),CHOOSE(ArtifactsInput!$N$27+1,20,24,28,32,36,40),0)/100)),0)</f>
        <v/>
      </c>
      <c r="R435">
        <f>IF(AND(Inputs!$B$38&lt;&gt;"pvp",Inputs!$B$43&gt;0),IF(MAX(0,Inputs!$B$43-B460)&lt;=0,0,(INT(MAX(0,Inputs!$B$43-B460)/(IF(Inputs!$B$38="pvp",15,MAX(0.1,Skills!E13-IF(Skills!F13=TRUE,Inputs!$B$32,0)))*(1-IF(AND(ArtifactsInput!$M$27,Inputs!$B$4="Chapter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IFERROR(1/(IF(Inputs!$B$38="pvp",15,MAX(0.1,Skills!E14-IF(Skills!F14=TRUE,Inputs!$B$32,0)))*(1-IF(AND(ArtifactsInput!$M$27,Inputs!$B$4="Chapter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IFERROR(1/(IF(Inputs!$B$38="pvp",15,MAX(0.1,Skills!E15-IF(Skills!F15=TRUE,Inputs!$B$32,0)))*(1-IF(AND(ArtifactsInput!$M$27,Inputs!$B$4="Chapter Hunt"),CHOOSE(ArtifactsInput!$N$27+1,20,24,28,32,36,40),0)/100)),0)</f>
        <v/>
      </c>
      <c r="R437">
        <f>IF(AND(Inputs!$B$38&lt;&gt;"pvp",Inputs!$B$43&gt;0),IF(MAX(0,Inputs!$B$43-B460)&lt;=0,0,(INT(MAX(0,Inputs!$B$43-B460)/(IF(Inputs!$B$38="pvp",15,MAX(0.1,Skills!E15-IF(Skills!F15=TRUE,Inputs!$B$32,0)))*(1-IF(AND(ArtifactsInput!$M$27,Inputs!$B$4="Chapter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IFERROR(1/(IF(Inputs!$B$38="pvp",15,MAX(0.1,Skills!E16-IF(Skills!F16=TRUE,Inputs!$B$32,0)))*(1-IF(AND(ArtifactsInput!$M$27,Inputs!$B$4="Chapter Hunt"),CHOOSE(ArtifactsInput!$N$27+1,20,24,28,32,36,40),0)/100)),0)</f>
        <v/>
      </c>
      <c r="R438">
        <f>IF(AND(Inputs!$B$38&lt;&gt;"pvp",Inputs!$B$43&gt;0),IF(MAX(0,Inputs!$B$43-B460)&lt;=0,0,(INT(MAX(0,Inputs!$B$43-B460)/(IF(Inputs!$B$38="pvp",15,MAX(0.1,Skills!E16-IF(Skills!F16=TRUE,Inputs!$B$32,0)))*(1-IF(AND(ArtifactsInput!$M$27,Inputs!$B$4="Chapter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IFERROR(1/(IF(Inputs!$B$38="pvp",15,MAX(0.1,Skills!E17-IF(Skills!F17=TRUE,Inputs!$B$32,0)))*(1-IF(AND(ArtifactsInput!$M$27,Inputs!$B$4="Chapter Hunt"),CHOOSE(ArtifactsInput!$N$27+1,20,24,28,32,36,40),0)/100)),0)</f>
        <v/>
      </c>
      <c r="R439">
        <f>IF(AND(Inputs!$B$38&lt;&gt;"pvp",Inputs!$B$43&gt;0),IF(Inputs!$B$43&lt;=0,0,(INT(Inputs!$B$43/(IF(Inputs!$B$38="pvp",15,MAX(0.1,Skills!E17-IF(Skills!F17=TRUE,Inputs!$B$32,0)))*(1-IF(AND(ArtifactsInput!$M$27,Inputs!$B$4="Chapter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IFERROR(1/(IF(Inputs!$B$38="pvp",15,MAX(0.1,Skills!E18-IF(Skills!F18=TRUE,Inputs!$B$32,0)))*(1-IF(AND(ArtifactsInput!$M$27,Inputs!$B$4="Chapter Hunt"),CHOOSE(ArtifactsInput!$N$27+1,20,24,28,32,36,40),0)/100)),0)</f>
        <v/>
      </c>
      <c r="R440">
        <f>IF(AND(Inputs!$B$38&lt;&gt;"pvp",Inputs!$B$43&gt;0),IF(Inputs!$B$43&lt;=0,0,(INT(Inputs!$B$43/(IF(Inputs!$B$38="pvp",15,MAX(0.1,Skills!E18-IF(Skills!F18=TRUE,Inputs!$B$32,0)))*(1-IF(AND(ArtifactsInput!$M$27,Inputs!$B$4="Chapter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IFERROR(1/(IF(Inputs!$B$38="pvp",15,MAX(0.1,Skills!E19-IF(Skills!F19=TRUE,Inputs!$B$32,0)))*(1-IF(AND(ArtifactsInput!$M$27,Inputs!$B$4="Chapter Hunt"),CHOOSE(ArtifactsInput!$N$27+1,20,24,28,32,36,40),0)/100)),0)</f>
        <v/>
      </c>
      <c r="R441">
        <f>IF(AND(Inputs!$B$38&lt;&gt;"pvp",Inputs!$B$43&gt;0),IF(Inputs!$B$43&lt;=0,0,(INT(Inputs!$B$43/(IF(Inputs!$B$38="pvp",15,MAX(0.1,Skills!E19-IF(Skills!F19=TRUE,Inputs!$B$32,0)))*(1-IF(AND(ArtifactsInput!$M$27,Inputs!$B$4="Chapter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IFERROR(1/(IF(Inputs!$B$38="pvp",15,MAX(0.1,Skills!E20-IF(Skills!F20=TRUE,Inputs!$B$32,0)))*(1-IF(AND(ArtifactsInput!$M$27,Inputs!$B$4="Chapter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IFERROR(1/(IF(Inputs!$B$38="pvp",15,MAX(0.1,Skills!E21-IF(Skills!F21=TRUE,Inputs!$B$32,0)))*(1-IF(AND(ArtifactsInput!$M$27,Inputs!$B$4="Chapter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IFERROR(1/(IF(Inputs!$B$38="pvp",15,MAX(0.1,Skills!E22-IF(Skills!F22=TRUE,Inputs!$B$32,0)))*(1-IF(AND(ArtifactsInput!$M$27,Inputs!$B$4="Chapter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IFERROR(1/(IF(Inputs!$B$38="pvp",15,MAX(0.1,Skills!E23-IF(Skills!F23=TRUE,Inputs!$B$32,0)))*(1-IF(AND(ArtifactsInput!$M$27,Inputs!$B$4="Chapter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IFERROR(1/(IF(Inputs!$B$38="pvp",15,MAX(0.1,Skills!E24-IF(Skills!F24=TRUE,Inputs!$B$32,0)))*(1-IF(AND(ArtifactsInput!$M$27,Inputs!$B$4="Chapter Hunt"),CHOOSE(ArtifactsInput!$N$27+1,20,24,28,32,36,40),0)/100)),0)</f>
        <v/>
      </c>
      <c r="R446">
        <f>IF(AND(Inputs!$B$38&lt;&gt;"pvp",Inputs!$B$43&gt;0),IF(MAX(0,Inputs!$B$43-B460)&lt;=0,0,(INT(MAX(0,Inputs!$B$43-B460)/(IF(Inputs!$B$38="pvp",15,MAX(0.1,Skills!E24-IF(Skills!F24=TRUE,Inputs!$B$32,0)))*(1-IF(AND(ArtifactsInput!$M$27,Inputs!$B$4="Chapter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IFERROR(1/(IF(Inputs!$B$38="pvp",15,MAX(0.1,Skills!E25-IF(Skills!F25=TRUE,Inputs!$B$32,0)))*(1-IF(AND(ArtifactsInput!$M$27,Inputs!$B$4="Chapter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IFERROR(1/(IF(Inputs!$B$38="pvp",15,MAX(0.1,Skills!E26-IF(Skills!F26=TRUE,Inputs!$B$32,0)))*(1-IF(AND(ArtifactsInput!$M$27,Inputs!$B$4="Chapter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IFERROR(1/(IF(Inputs!$B$38="pvp",15,MAX(0.1,Skills!E27-IF(Skills!F27=TRUE,Inputs!$B$32,0)))*(1-IF(AND(ArtifactsInput!$M$27,Inputs!$B$4="Chapter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IFERROR(1/(IF(Inputs!$B$38="pvp",15,MAX(0.1,Skills!E28-IF(Skills!F28=TRUE,Inputs!$B$32,0)))*(1-IF(AND(ArtifactsInput!$M$27,Inputs!$B$4="Chapter Hunt"),CHOOSE(ArtifactsInput!$N$27+1,20,24,28,32,36,40),0)/100)),0)</f>
        <v/>
      </c>
      <c r="R450">
        <f>IF(AND(Inputs!$B$38&lt;&gt;"pvp",Inputs!$B$43&gt;0),IF(MAX(0,Inputs!$B$43-B460)&lt;=0,0,(INT(MAX(0,Inputs!$B$43-B460)/(IF(Inputs!$B$38="pvp",15,MAX(0.1,Skills!E28-IF(Skills!F28=TRUE,Inputs!$B$32,0)))*(1-IF(AND(ArtifactsInput!$M$27,Inputs!$B$4="Chapter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Skills!T6*(1+((Inputs!$B$34+(ArtifactsInput!$M$7-ArtifactsInput!$M$7)*CHOOSE(ArtifactsInput!$N$7+1,6,7.2,8.4,9.6,10.8,12))+IF(Inputs!$B$3&gt;=117,F447,0))/100))+MIN((Skills!T6*(1+((Inputs!$B$34+(ArtifactsInput!$M$7-ArtifactsInput!$M$7)*CHOOSE(ArtifactsInput!$N$7+1,6,7.2,8.4,9.6,10.8,12))+IF(Inputs!$B$3&gt;=117,F447,0))/100)),MAX(0,Inputs!$B$43-((R428-1)*Skills!E6))))/Inputs!$B$43),IF(Inputs!$B$38="pvp",MIN((Skills!T6*(1+((Inputs!$B$34+(ArtifactsInput!$M$7-ArtifactsInput!$M$7)*CHOOSE(ArtifactsInput!$N$7+1,6,7.2,8.4,9.6,10.8,12))+IF(Inputs!$B$3&gt;=117,F447,0))/100)),15)/15,(Skills!T6*(1+((Inputs!$B$34+(ArtifactsInput!$M$7-ArtifactsInput!$M$7)*CHOOSE(ArtifactsInput!$N$7+1,6,7.2,8.4,9.6,10.8,12))+IF(Inputs!$B$3&gt;=117,F447,0))/100))/Skills!E6))+F439*IF(AND(Inputs!$B$38&lt;&gt;"pvp",Inputs!$B$43&gt;0),(((R439-1)*(Skills!T17*(1+((Inputs!$B$34+(ArtifactsInput!$M$7-ArtifactsInput!$M$7)*CHOOSE(ArtifactsInput!$N$7+1,6,7.2,8.4,9.6,10.8,12))+IF(Inputs!$B$3&gt;=117,F447,0))/100))+MIN((Skills!T17*(1+((Inputs!$B$34+(ArtifactsInput!$M$7-ArtifactsInput!$M$7)*CHOOSE(ArtifactsInput!$N$7+1,6,7.2,8.4,9.6,10.8,12))+IF(Inputs!$B$3&gt;=117,F447,0))/100)),MAX(0,Inputs!$B$43-((R439-1)*Skills!E17))))/Inputs!$B$43),IF(Inputs!$B$38="pvp",MIN((Skills!T17*(1+((Inputs!$B$34+(ArtifactsInput!$M$7-ArtifactsInput!$M$7)*CHOOSE(ArtifactsInput!$N$7+1,6,7.2,8.4,9.6,10.8,12))+IF(Inputs!$B$3&gt;=117,F447,0))/100)),15)/15,(Skills!T17*(1+((Inputs!$B$34+(ArtifactsInput!$M$7-ArtifactsInput!$M$7)*CHOOSE(ArtifactsInput!$N$7+1,6,7.2,8.4,9.6,10.8,12))+IF(Inputs!$B$3&gt;=117,F447,0)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Skills!T19*(1+((Inputs!$B$34+(ArtifactsInput!$M$7-ArtifactsInput!$M$7)*CHOOSE(ArtifactsInput!$N$7+1,6,7.2,8.4,9.6,10.8,12))+IF(Inputs!$B$3&gt;=117,F447,0))/100))+MIN((Skills!T19*(1+((Inputs!$B$34+(ArtifactsInput!$M$7-ArtifactsInput!$M$7)*CHOOSE(ArtifactsInput!$N$7+1,6,7.2,8.4,9.6,10.8,12))+IF(Inputs!$B$3&gt;=117,F447,0))/100)),MAX(0,Inputs!$B$43-((R441-1)*Skills!E19))))/Inputs!$B$43),IF(Inputs!$B$38="pvp",MIN((Skills!T19*(1+((Inputs!$B$34+(ArtifactsInput!$M$7-ArtifactsInput!$M$7)*CHOOSE(ArtifactsInput!$N$7+1,6,7.2,8.4,9.6,10.8,12))+IF(Inputs!$B$3&gt;=117,F447,0))/100)),15)/15,(Skills!T19*(1+((Inputs!$B$34+(ArtifactsInput!$M$7-ArtifactsInput!$M$7)*CHOOSE(ArtifactsInput!$N$7+1,6,7.2,8.4,9.6,10.8,12))+IF(Inputs!$B$3&gt;=117,F447,0))/100))/Skills!E19))/100),1)</f>
        <v/>
      </c>
    </row>
    <row r="455">
      <c r="A455" t="inlineStr">
        <is>
          <t>Attack Speed Buff Bonus % (Nimble Feet, averaged)</t>
        </is>
      </c>
      <c r="B455">
        <f>F440*IF(AND(Inputs!$B$38&lt;&gt;"pvp",Inputs!$B$43&gt;0),(((R440-1)*(Skills!T18*(1+((Inputs!$B$34+(ArtifactsInput!$M$7-ArtifactsInput!$M$7)*CHOOSE(ArtifactsInput!$N$7+1,6,7.2,8.4,9.6,10.8,12))+IF(Inputs!$B$3&gt;=117,F447,0))/100))+MIN((Skills!T18*(1+((Inputs!$B$34+(ArtifactsInput!$M$7-ArtifactsInput!$M$7)*CHOOSE(ArtifactsInput!$N$7+1,6,7.2,8.4,9.6,10.8,12))+IF(Inputs!$B$3&gt;=117,F447,0))/100)),MAX(0,Inputs!$B$43-((R440-1)*Skills!E18))))/Inputs!$B$43),IF(Inputs!$B$38="pvp",MIN((Skills!T18*(1+((Inputs!$B$34+(ArtifactsInput!$M$7-ArtifactsInput!$M$7)*CHOOSE(ArtifactsInput!$N$7+1,6,7.2,8.4,9.6,10.8,12))+IF(Inputs!$B$3&gt;=117,F447,0))/100)),15)/15,(Skills!T18*(1+((Inputs!$B$34+(ArtifactsInput!$M$7-ArtifactsInput!$M$7)*CHOOSE(ArtifactsInput!$N$7+1,6,7.2,8.4,9.6,10.8,12))+IF(Inputs!$B$3&gt;=117,F447,0))/100))/Skills!E18))</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IFERROR(1/(IF(Inputs!$B$38="pvp",15,MAX(0.1,Skills!E2-IF(Skills!F2=TRUE,Inputs!$B$32,0)))*(1-IF(AND(ArtifactsInput!$M$27,Inputs!$B$4="Chapter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IFERROR(1/(IF(Inputs!$B$38="pvp",15,MAX(0.1,Skills!E3-IF(Skills!F3=TRUE,Inputs!$B$32,0)))*(1-IF(AND(ArtifactsInput!$M$27,Inputs!$B$4="Chapter Hunt"),CHOOSE(ArtifactsInput!$N$27+1,20,24,28,32,36,40),0)/100)),0)</f>
        <v/>
      </c>
      <c r="R469">
        <f>IF(AND(Inputs!$B$38&lt;&gt;"pvp",Inputs!$B$43&gt;0),IF(MAX(0,Inputs!$B$43-B504)&lt;=0,0,(INT(MAX(0,Inputs!$B$43-B504)/(IF(Inputs!$B$38="pvp",15,MAX(0.1,Skills!E3-IF(Skills!F3=TRUE,Inputs!$B$32,0)))*(1-IF(AND(ArtifactsInput!$M$27,Inputs!$B$4="Chapter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IFERROR(1/(IF(Inputs!$B$38="pvp",15,MAX(0.1,Skills!E4-IF(Skills!F4=TRUE,Inputs!$B$32,0)))*(1-IF(AND(ArtifactsInput!$M$27,Inputs!$B$4="Chapter Hunt"),CHOOSE(ArtifactsInput!$N$27+1,20,24,28,32,36,40),0)/100)),0)</f>
        <v/>
      </c>
      <c r="R470">
        <f>IF(AND(Inputs!$B$38&lt;&gt;"pvp",Inputs!$B$43&gt;0),IF(MAX(0,Inputs!$B$43-B504)&lt;=0,0,(INT(MAX(0,Inputs!$B$43-B504)/(IF(Inputs!$B$38="pvp",15,MAX(0.1,Skills!E4-IF(Skills!F4=TRUE,Inputs!$B$32,0)))*(1-IF(AND(ArtifactsInput!$M$27,Inputs!$B$4="Chapter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IFERROR(1/(IF(Inputs!$B$38="pvp",15,MAX(0.1,Skills!E5-IF(Skills!F5=TRUE,Inputs!$B$32,0)))*(1-IF(AND(ArtifactsInput!$M$27,Inputs!$B$4="Chapter Hunt"),CHOOSE(ArtifactsInput!$N$27+1,20,24,28,32,36,40),0)/100)),0)</f>
        <v/>
      </c>
      <c r="R471">
        <f>IF(AND(Inputs!$B$38&lt;&gt;"pvp",Inputs!$B$43&gt;0),IF(MAX(0,Inputs!$B$43-B504)&lt;=0,0,(INT(MAX(0,Inputs!$B$43-B504)/(IF(Inputs!$B$38="pvp",15,MAX(0.1,Skills!E5-IF(Skills!F5=TRUE,Inputs!$B$32,0)))*(1-IF(AND(ArtifactsInput!$M$27,Inputs!$B$4="Chapter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IFERROR(1/(IF(Inputs!$B$38="pvp",15,MAX(0.1,Skills!E6-IF(Skills!F6=TRUE,Inputs!$B$32,0)))*(1-IF(AND(ArtifactsInput!$M$27,Inputs!$B$4="Chapter Hunt"),CHOOSE(ArtifactsInput!$N$27+1,20,24,28,32,36,40),0)/100)),0)</f>
        <v/>
      </c>
      <c r="R472">
        <f>IF(AND(Inputs!$B$38&lt;&gt;"pvp",Inputs!$B$43&gt;0),IF(Inputs!$B$43&lt;=0,0,(INT(Inputs!$B$43/(IF(Inputs!$B$38="pvp",15,MAX(0.1,Skills!E6-IF(Skills!F6=TRUE,Inputs!$B$32,0)))*(1-IF(AND(ArtifactsInput!$M$27,Inputs!$B$4="Chapter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IFERROR(1/(IF(Inputs!$B$38="pvp",15,MAX(0.1,Skills!E7-IF(Skills!F7=TRUE,Inputs!$B$32,0)))*(1-IF(AND(ArtifactsInput!$M$27,Inputs!$B$4="Chapter Hunt"),CHOOSE(ArtifactsInput!$N$27+1,20,24,28,32,36,40),0)/100)),0)</f>
        <v/>
      </c>
      <c r="R473">
        <f>IF(AND(Inputs!$B$38&lt;&gt;"pvp",Inputs!$B$43&gt;0),IF(MAX(0,Inputs!$B$43-B504)&lt;=0,0,(INT(MAX(0,Inputs!$B$43-B504)/(IF(Inputs!$B$38="pvp",15,MAX(0.1,Skills!E7-IF(Skills!F7=TRUE,Inputs!$B$32,0)))*(1-IF(AND(ArtifactsInput!$M$27,Inputs!$B$4="Chapter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IFERROR(1/(IF(Inputs!$B$38="pvp",15,MAX(0.1,Skills!E8-IF(Skills!F8=TRUE,Inputs!$B$32,0)))*(1-IF(AND(ArtifactsInput!$M$27,Inputs!$B$4="Chapter Hunt"),CHOOSE(ArtifactsInput!$N$27+1,20,24,28,32,36,40),0)/100)),0)</f>
        <v/>
      </c>
      <c r="R474">
        <f>IF(AND(Inputs!$B$38&lt;&gt;"pvp",Inputs!$B$43&gt;0),IF(MAX(0,Inputs!$B$43-B504)&lt;=0,0,(INT(MAX(0,Inputs!$B$43-B504)/(IF(Inputs!$B$38="pvp",15,MAX(0.1,Skills!E8-IF(Skills!F8=TRUE,Inputs!$B$32,0)))*(1-IF(AND(ArtifactsInput!$M$27,Inputs!$B$4="Chapter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IFERROR(1/(IF(Inputs!$B$38="pvp",15,MAX(0.1,Skills!E9-IF(Skills!F7=TRUE,Inputs!$B$32,0)))*(1-IF(AND(ArtifactsInput!$M$27,Inputs!$B$4="Chapter Hunt"),CHOOSE(ArtifactsInput!$N$27+1,20,24,28,32,36,40),0)/100)),0)</f>
        <v/>
      </c>
      <c r="R475">
        <f>IF(AND(Inputs!$B$38&lt;&gt;"pvp",Inputs!$B$43&gt;0),IF(MAX(0,Inputs!$B$43-B504)&lt;=0,0,(INT(MAX(0,Inputs!$B$43-B504)/(IF(Inputs!$B$38="pvp",15,MAX(0.1,Skills!E9-IF(Skills!F7=TRUE,Inputs!$B$32,0)))*(1-IF(AND(ArtifactsInput!$M$27,Inputs!$B$4="Chapter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IFERROR(1/(IF(Inputs!$B$38="pvp",15,MAX(0.1,Skills!E10-IF(Skills!F10=TRUE,Inputs!$B$32,0)))*(1-IF(AND(ArtifactsInput!$M$27,Inputs!$B$4="Chapter Hunt"),CHOOSE(ArtifactsInput!$N$27+1,20,24,28,32,36,40),0)/100)),0)</f>
        <v/>
      </c>
      <c r="R476">
        <f>IF(AND(Inputs!$B$38&lt;&gt;"pvp",Inputs!$B$43&gt;0),IF(MAX(0,Inputs!$B$43-B504)&lt;=0,0,(INT(MAX(0,Inputs!$B$43-B504)/(IF(Inputs!$B$38="pvp",15,MAX(0.1,Skills!E10-IF(Skills!F10=TRUE,Inputs!$B$32,0)))*(1-IF(AND(ArtifactsInput!$M$27,Inputs!$B$4="Chapter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IFERROR(1/(IF(Inputs!$B$38="pvp",15,MAX(0.1,Skills!E11-IF(Skills!F11=TRUE,Inputs!$B$32,0)))*(1-IF(AND(ArtifactsInput!$M$27,Inputs!$B$4="Chapter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IFERROR(1/(IF(Inputs!$B$38="pvp",15,MAX(0.1,Skills!E12-IF(Skills!F12=TRUE,Inputs!$B$32,0)))*(1-IF(AND(ArtifactsInput!$M$27,Inputs!$B$4="Chapter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IFERROR(1/(IF(Inputs!$B$38="pvp",15,MAX(0.1,Skills!E13-IF(Skills!F13=TRUE,Inputs!$B$32,0)))*(1-IF(AND(ArtifactsInput!$M$27,Inputs!$B$4="Chapter Hunt"),CHOOSE(ArtifactsInput!$N$27+1,20,24,28,32,36,40),0)/100)),0)</f>
        <v/>
      </c>
      <c r="R479">
        <f>IF(AND(Inputs!$B$38&lt;&gt;"pvp",Inputs!$B$43&gt;0),IF(MAX(0,Inputs!$B$43-B504)&lt;=0,0,(INT(MAX(0,Inputs!$B$43-B504)/(IF(Inputs!$B$38="pvp",15,MAX(0.1,Skills!E13-IF(Skills!F13=TRUE,Inputs!$B$32,0)))*(1-IF(AND(ArtifactsInput!$M$27,Inputs!$B$4="Chapter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IFERROR(1/(IF(Inputs!$B$38="pvp",15,MAX(0.1,Skills!E14-IF(Skills!F14=TRUE,Inputs!$B$32,0)))*(1-IF(AND(ArtifactsInput!$M$27,Inputs!$B$4="Chapter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IFERROR(1/(IF(Inputs!$B$38="pvp",15,MAX(0.1,Skills!E15-IF(Skills!F15=TRUE,Inputs!$B$32,0)))*(1-IF(AND(ArtifactsInput!$M$27,Inputs!$B$4="Chapter Hunt"),CHOOSE(ArtifactsInput!$N$27+1,20,24,28,32,36,40),0)/100)),0)</f>
        <v/>
      </c>
      <c r="R481">
        <f>IF(AND(Inputs!$B$38&lt;&gt;"pvp",Inputs!$B$43&gt;0),IF(MAX(0,Inputs!$B$43-B504)&lt;=0,0,(INT(MAX(0,Inputs!$B$43-B504)/(IF(Inputs!$B$38="pvp",15,MAX(0.1,Skills!E15-IF(Skills!F15=TRUE,Inputs!$B$32,0)))*(1-IF(AND(ArtifactsInput!$M$27,Inputs!$B$4="Chapter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IFERROR(1/(IF(Inputs!$B$38="pvp",15,MAX(0.1,Skills!E16-IF(Skills!F16=TRUE,Inputs!$B$32,0)))*(1-IF(AND(ArtifactsInput!$M$27,Inputs!$B$4="Chapter Hunt"),CHOOSE(ArtifactsInput!$N$27+1,20,24,28,32,36,40),0)/100)),0)</f>
        <v/>
      </c>
      <c r="R482">
        <f>IF(AND(Inputs!$B$38&lt;&gt;"pvp",Inputs!$B$43&gt;0),IF(MAX(0,Inputs!$B$43-B504)&lt;=0,0,(INT(MAX(0,Inputs!$B$43-B504)/(IF(Inputs!$B$38="pvp",15,MAX(0.1,Skills!E16-IF(Skills!F16=TRUE,Inputs!$B$32,0)))*(1-IF(AND(ArtifactsInput!$M$27,Inputs!$B$4="Chapter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IFERROR(1/(IF(Inputs!$B$38="pvp",15,MAX(0.1,Skills!E17-IF(Skills!F17=TRUE,Inputs!$B$32,0)))*(1-IF(AND(ArtifactsInput!$M$27,Inputs!$B$4="Chapter Hunt"),CHOOSE(ArtifactsInput!$N$27+1,20,24,28,32,36,40),0)/100)),0)</f>
        <v/>
      </c>
      <c r="R483">
        <f>IF(AND(Inputs!$B$38&lt;&gt;"pvp",Inputs!$B$43&gt;0),IF(Inputs!$B$43&lt;=0,0,(INT(Inputs!$B$43/(IF(Inputs!$B$38="pvp",15,MAX(0.1,Skills!E17-IF(Skills!F17=TRUE,Inputs!$B$32,0)))*(1-IF(AND(ArtifactsInput!$M$27,Inputs!$B$4="Chapter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IFERROR(1/(IF(Inputs!$B$38="pvp",15,MAX(0.1,Skills!E18-IF(Skills!F18=TRUE,Inputs!$B$32,0)))*(1-IF(AND(ArtifactsInput!$M$27,Inputs!$B$4="Chapter Hunt"),CHOOSE(ArtifactsInput!$N$27+1,20,24,28,32,36,40),0)/100)),0)</f>
        <v/>
      </c>
      <c r="R484">
        <f>IF(AND(Inputs!$B$38&lt;&gt;"pvp",Inputs!$B$43&gt;0),IF(Inputs!$B$43&lt;=0,0,(INT(Inputs!$B$43/(IF(Inputs!$B$38="pvp",15,MAX(0.1,Skills!E18-IF(Skills!F18=TRUE,Inputs!$B$32,0)))*(1-IF(AND(ArtifactsInput!$M$27,Inputs!$B$4="Chapter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IFERROR(1/(IF(Inputs!$B$38="pvp",15,MAX(0.1,Skills!E19-IF(Skills!F19=TRUE,Inputs!$B$32,0)))*(1-IF(AND(ArtifactsInput!$M$27,Inputs!$B$4="Chapter Hunt"),CHOOSE(ArtifactsInput!$N$27+1,20,24,28,32,36,40),0)/100)),0)</f>
        <v/>
      </c>
      <c r="R485">
        <f>IF(AND(Inputs!$B$38&lt;&gt;"pvp",Inputs!$B$43&gt;0),IF(Inputs!$B$43&lt;=0,0,(INT(Inputs!$B$43/(IF(Inputs!$B$38="pvp",15,MAX(0.1,Skills!E19-IF(Skills!F19=TRUE,Inputs!$B$32,0)))*(1-IF(AND(ArtifactsInput!$M$27,Inputs!$B$4="Chapter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IFERROR(1/(IF(Inputs!$B$38="pvp",15,MAX(0.1,Skills!E20-IF(Skills!F20=TRUE,Inputs!$B$32,0)))*(1-IF(AND(ArtifactsInput!$M$27,Inputs!$B$4="Chapter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IFERROR(1/(IF(Inputs!$B$38="pvp",15,MAX(0.1,Skills!E21-IF(Skills!F21=TRUE,Inputs!$B$32,0)))*(1-IF(AND(ArtifactsInput!$M$27,Inputs!$B$4="Chapter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IFERROR(1/(IF(Inputs!$B$38="pvp",15,MAX(0.1,Skills!E22-IF(Skills!F22=TRUE,Inputs!$B$32,0)))*(1-IF(AND(ArtifactsInput!$M$27,Inputs!$B$4="Chapter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IFERROR(1/(IF(Inputs!$B$38="pvp",15,MAX(0.1,Skills!E23-IF(Skills!F23=TRUE,Inputs!$B$32,0)))*(1-IF(AND(ArtifactsInput!$M$27,Inputs!$B$4="Chapter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IFERROR(1/(IF(Inputs!$B$38="pvp",15,MAX(0.1,Skills!E24-IF(Skills!F24=TRUE,Inputs!$B$32,0)))*(1-IF(AND(ArtifactsInput!$M$27,Inputs!$B$4="Chapter Hunt"),CHOOSE(ArtifactsInput!$N$27+1,20,24,28,32,36,40),0)/100)),0)</f>
        <v/>
      </c>
      <c r="R490">
        <f>IF(AND(Inputs!$B$38&lt;&gt;"pvp",Inputs!$B$43&gt;0),IF(MAX(0,Inputs!$B$43-B504)&lt;=0,0,(INT(MAX(0,Inputs!$B$43-B504)/(IF(Inputs!$B$38="pvp",15,MAX(0.1,Skills!E24-IF(Skills!F24=TRUE,Inputs!$B$32,0)))*(1-IF(AND(ArtifactsInput!$M$27,Inputs!$B$4="Chapter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IFERROR(1/(IF(Inputs!$B$38="pvp",15,MAX(0.1,Skills!E25-IF(Skills!F25=TRUE,Inputs!$B$32,0)))*(1-IF(AND(ArtifactsInput!$M$27,Inputs!$B$4="Chapter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IFERROR(1/(IF(Inputs!$B$38="pvp",15,MAX(0.1,Skills!E26-IF(Skills!F26=TRUE,Inputs!$B$32,0)))*(1-IF(AND(ArtifactsInput!$M$27,Inputs!$B$4="Chapter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IFERROR(1/(IF(Inputs!$B$38="pvp",15,MAX(0.1,Skills!E27-IF(Skills!F27=TRUE,Inputs!$B$32,0)))*(1-IF(AND(ArtifactsInput!$M$27,Inputs!$B$4="Chapter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IFERROR(1/(IF(Inputs!$B$38="pvp",15,MAX(0.1,Skills!E28-IF(Skills!F28=TRUE,Inputs!$B$32,0)))*(1-IF(AND(ArtifactsInput!$M$27,Inputs!$B$4="Chapter Hunt"),CHOOSE(ArtifactsInput!$N$27+1,20,24,28,32,36,40),0)/100)),0)</f>
        <v/>
      </c>
      <c r="R494">
        <f>IF(AND(Inputs!$B$38&lt;&gt;"pvp",Inputs!$B$43&gt;0),IF(MAX(0,Inputs!$B$43-B504)&lt;=0,0,(INT(MAX(0,Inputs!$B$43-B504)/(IF(Inputs!$B$38="pvp",15,MAX(0.1,Skills!E28-IF(Skills!F28=TRUE,Inputs!$B$32,0)))*(1-IF(AND(ArtifactsInput!$M$27,Inputs!$B$4="Chapter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Skills!T6*(1+((Inputs!$B$34+(ArtifactsInput!$M$7-ArtifactsInput!$M$7)*CHOOSE(ArtifactsInput!$N$7+1,6,7.2,8.4,9.6,10.8,12))+IF(Inputs!$B$3&gt;=117,F491,0))/100))+MIN((Skills!T6*(1+((Inputs!$B$34+(ArtifactsInput!$M$7-ArtifactsInput!$M$7)*CHOOSE(ArtifactsInput!$N$7+1,6,7.2,8.4,9.6,10.8,12))+IF(Inputs!$B$3&gt;=117,F491,0))/100)),MAX(0,Inputs!$B$43-((R472-1)*Skills!E6))))/Inputs!$B$43),IF(Inputs!$B$38="pvp",MIN((Skills!T6*(1+((Inputs!$B$34+(ArtifactsInput!$M$7-ArtifactsInput!$M$7)*CHOOSE(ArtifactsInput!$N$7+1,6,7.2,8.4,9.6,10.8,12))+IF(Inputs!$B$3&gt;=117,F491,0))/100)),15)/15,(Skills!T6*(1+((Inputs!$B$34+(ArtifactsInput!$M$7-ArtifactsInput!$M$7)*CHOOSE(ArtifactsInput!$N$7+1,6,7.2,8.4,9.6,10.8,12))+IF(Inputs!$B$3&gt;=117,F491,0))/100))/Skills!E6))+F483*IF(AND(Inputs!$B$38&lt;&gt;"pvp",Inputs!$B$43&gt;0),(((R483-1)*(Skills!T17*(1+((Inputs!$B$34+(ArtifactsInput!$M$7-ArtifactsInput!$M$7)*CHOOSE(ArtifactsInput!$N$7+1,6,7.2,8.4,9.6,10.8,12))+IF(Inputs!$B$3&gt;=117,F491,0))/100))+MIN((Skills!T17*(1+((Inputs!$B$34+(ArtifactsInput!$M$7-ArtifactsInput!$M$7)*CHOOSE(ArtifactsInput!$N$7+1,6,7.2,8.4,9.6,10.8,12))+IF(Inputs!$B$3&gt;=117,F491,0))/100)),MAX(0,Inputs!$B$43-((R483-1)*Skills!E17))))/Inputs!$B$43),IF(Inputs!$B$38="pvp",MIN((Skills!T17*(1+((Inputs!$B$34+(ArtifactsInput!$M$7-ArtifactsInput!$M$7)*CHOOSE(ArtifactsInput!$N$7+1,6,7.2,8.4,9.6,10.8,12))+IF(Inputs!$B$3&gt;=117,F491,0))/100)),15)/15,(Skills!T17*(1+((Inputs!$B$34+(ArtifactsInput!$M$7-ArtifactsInput!$M$7)*CHOOSE(ArtifactsInput!$N$7+1,6,7.2,8.4,9.6,10.8,12))+IF(Inputs!$B$3&gt;=117,F491,0)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Skills!T19*(1+((Inputs!$B$34+(ArtifactsInput!$M$7-ArtifactsInput!$M$7)*CHOOSE(ArtifactsInput!$N$7+1,6,7.2,8.4,9.6,10.8,12))+IF(Inputs!$B$3&gt;=117,F491,0))/100))+MIN((Skills!T19*(1+((Inputs!$B$34+(ArtifactsInput!$M$7-ArtifactsInput!$M$7)*CHOOSE(ArtifactsInput!$N$7+1,6,7.2,8.4,9.6,10.8,12))+IF(Inputs!$B$3&gt;=117,F491,0))/100)),MAX(0,Inputs!$B$43-((R485-1)*Skills!E19))))/Inputs!$B$43),IF(Inputs!$B$38="pvp",MIN((Skills!T19*(1+((Inputs!$B$34+(ArtifactsInput!$M$7-ArtifactsInput!$M$7)*CHOOSE(ArtifactsInput!$N$7+1,6,7.2,8.4,9.6,10.8,12))+IF(Inputs!$B$3&gt;=117,F491,0))/100)),15)/15,(Skills!T19*(1+((Inputs!$B$34+(ArtifactsInput!$M$7-ArtifactsInput!$M$7)*CHOOSE(ArtifactsInput!$N$7+1,6,7.2,8.4,9.6,10.8,12))+IF(Inputs!$B$3&gt;=117,F491,0))/100))/Skills!E19))/100),1)</f>
        <v/>
      </c>
    </row>
    <row r="499">
      <c r="A499" t="inlineStr">
        <is>
          <t>Attack Speed Buff Bonus % (Nimble Feet, averaged)</t>
        </is>
      </c>
      <c r="B499">
        <f>F484*IF(AND(Inputs!$B$38&lt;&gt;"pvp",Inputs!$B$43&gt;0),(((R484-1)*(Skills!T18*(1+((Inputs!$B$34+(ArtifactsInput!$M$7-ArtifactsInput!$M$7)*CHOOSE(ArtifactsInput!$N$7+1,6,7.2,8.4,9.6,10.8,12))+IF(Inputs!$B$3&gt;=117,F491,0))/100))+MIN((Skills!T18*(1+((Inputs!$B$34+(ArtifactsInput!$M$7-ArtifactsInput!$M$7)*CHOOSE(ArtifactsInput!$N$7+1,6,7.2,8.4,9.6,10.8,12))+IF(Inputs!$B$3&gt;=117,F491,0))/100)),MAX(0,Inputs!$B$43-((R484-1)*Skills!E18))))/Inputs!$B$43),IF(Inputs!$B$38="pvp",MIN((Skills!T18*(1+((Inputs!$B$34+(ArtifactsInput!$M$7-ArtifactsInput!$M$7)*CHOOSE(ArtifactsInput!$N$7+1,6,7.2,8.4,9.6,10.8,12))+IF(Inputs!$B$3&gt;=117,F491,0))/100)),15)/15,(Skills!T18*(1+((Inputs!$B$34+(ArtifactsInput!$M$7-ArtifactsInput!$M$7)*CHOOSE(ArtifactsInput!$N$7+1,6,7.2,8.4,9.6,10.8,12))+IF(Inputs!$B$3&gt;=117,F491,0))/100))/Skills!E18))</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IFERROR(1/(IF(Inputs!$B$38="pvp",15,MAX(0.1,Skills!E2-IF(Skills!F2=TRUE,Inputs!$B$32,0)))*(1-IF(AND(ArtifactsInput!$M$27,Inputs!$B$4="Chapter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IFERROR(1/(IF(Inputs!$B$38="pvp",15,MAX(0.1,Skills!E3-IF(Skills!F3=TRUE,Inputs!$B$32,0)))*(1-IF(AND(ArtifactsInput!$M$27,Inputs!$B$4="Chapter Hunt"),CHOOSE(ArtifactsInput!$N$27+1,20,24,28,32,36,40),0)/100)),0)</f>
        <v/>
      </c>
      <c r="R513">
        <f>IF(AND(Inputs!$B$38&lt;&gt;"pvp",Inputs!$B$43&gt;0),IF(MAX(0,Inputs!$B$43-B548)&lt;=0,0,(INT(MAX(0,Inputs!$B$43-B548)/(IF(Inputs!$B$38="pvp",15,MAX(0.1,Skills!E3-IF(Skills!F3=TRUE,Inputs!$B$32,0)))*(1-IF(AND(ArtifactsInput!$M$27,Inputs!$B$4="Chapter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IFERROR(1/(IF(Inputs!$B$38="pvp",15,MAX(0.1,Skills!E4-IF(Skills!F4=TRUE,Inputs!$B$32,0)))*(1-IF(AND(ArtifactsInput!$M$27,Inputs!$B$4="Chapter Hunt"),CHOOSE(ArtifactsInput!$N$27+1,20,24,28,32,36,40),0)/100)),0)</f>
        <v/>
      </c>
      <c r="R514">
        <f>IF(AND(Inputs!$B$38&lt;&gt;"pvp",Inputs!$B$43&gt;0),IF(MAX(0,Inputs!$B$43-B548)&lt;=0,0,(INT(MAX(0,Inputs!$B$43-B548)/(IF(Inputs!$B$38="pvp",15,MAX(0.1,Skills!E4-IF(Skills!F4=TRUE,Inputs!$B$32,0)))*(1-IF(AND(ArtifactsInput!$M$27,Inputs!$B$4="Chapter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IFERROR(1/(IF(Inputs!$B$38="pvp",15,MAX(0.1,Skills!E5-IF(Skills!F5=TRUE,Inputs!$B$32,0)))*(1-IF(AND(ArtifactsInput!$M$27,Inputs!$B$4="Chapter Hunt"),CHOOSE(ArtifactsInput!$N$27+1,20,24,28,32,36,40),0)/100)),0)</f>
        <v/>
      </c>
      <c r="R515">
        <f>IF(AND(Inputs!$B$38&lt;&gt;"pvp",Inputs!$B$43&gt;0),IF(MAX(0,Inputs!$B$43-B548)&lt;=0,0,(INT(MAX(0,Inputs!$B$43-B548)/(IF(Inputs!$B$38="pvp",15,MAX(0.1,Skills!E5-IF(Skills!F5=TRUE,Inputs!$B$32,0)))*(1-IF(AND(ArtifactsInput!$M$27,Inputs!$B$4="Chapter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IFERROR(1/(IF(Inputs!$B$38="pvp",15,MAX(0.1,Skills!E6-IF(Skills!F6=TRUE,Inputs!$B$32,0)))*(1-IF(AND(ArtifactsInput!$M$27,Inputs!$B$4="Chapter Hunt"),CHOOSE(ArtifactsInput!$N$27+1,20,24,28,32,36,40),0)/100)),0)</f>
        <v/>
      </c>
      <c r="R516">
        <f>IF(AND(Inputs!$B$38&lt;&gt;"pvp",Inputs!$B$43&gt;0),IF(Inputs!$B$43&lt;=0,0,(INT(Inputs!$B$43/(IF(Inputs!$B$38="pvp",15,MAX(0.1,Skills!E6-IF(Skills!F6=TRUE,Inputs!$B$32,0)))*(1-IF(AND(ArtifactsInput!$M$27,Inputs!$B$4="Chapter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IFERROR(1/(IF(Inputs!$B$38="pvp",15,MAX(0.1,Skills!E7-IF(Skills!F7=TRUE,Inputs!$B$32,0)))*(1-IF(AND(ArtifactsInput!$M$27,Inputs!$B$4="Chapter Hunt"),CHOOSE(ArtifactsInput!$N$27+1,20,24,28,32,36,40),0)/100)),0)</f>
        <v/>
      </c>
      <c r="R517">
        <f>IF(AND(Inputs!$B$38&lt;&gt;"pvp",Inputs!$B$43&gt;0),IF(MAX(0,Inputs!$B$43-B548)&lt;=0,0,(INT(MAX(0,Inputs!$B$43-B548)/(IF(Inputs!$B$38="pvp",15,MAX(0.1,Skills!E7-IF(Skills!F7=TRUE,Inputs!$B$32,0)))*(1-IF(AND(ArtifactsInput!$M$27,Inputs!$B$4="Chapter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IFERROR(1/(IF(Inputs!$B$38="pvp",15,MAX(0.1,Skills!E8-IF(Skills!F8=TRUE,Inputs!$B$32,0)))*(1-IF(AND(ArtifactsInput!$M$27,Inputs!$B$4="Chapter Hunt"),CHOOSE(ArtifactsInput!$N$27+1,20,24,28,32,36,40),0)/100)),0)</f>
        <v/>
      </c>
      <c r="R518">
        <f>IF(AND(Inputs!$B$38&lt;&gt;"pvp",Inputs!$B$43&gt;0),IF(MAX(0,Inputs!$B$43-B548)&lt;=0,0,(INT(MAX(0,Inputs!$B$43-B548)/(IF(Inputs!$B$38="pvp",15,MAX(0.1,Skills!E8-IF(Skills!F8=TRUE,Inputs!$B$32,0)))*(1-IF(AND(ArtifactsInput!$M$27,Inputs!$B$4="Chapter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IFERROR(1/(IF(Inputs!$B$38="pvp",15,MAX(0.1,Skills!E9-IF(Skills!F7=TRUE,Inputs!$B$32,0)))*(1-IF(AND(ArtifactsInput!$M$27,Inputs!$B$4="Chapter Hunt"),CHOOSE(ArtifactsInput!$N$27+1,20,24,28,32,36,40),0)/100)),0)</f>
        <v/>
      </c>
      <c r="R519">
        <f>IF(AND(Inputs!$B$38&lt;&gt;"pvp",Inputs!$B$43&gt;0),IF(MAX(0,Inputs!$B$43-B548)&lt;=0,0,(INT(MAX(0,Inputs!$B$43-B548)/(IF(Inputs!$B$38="pvp",15,MAX(0.1,Skills!E9-IF(Skills!F7=TRUE,Inputs!$B$32,0)))*(1-IF(AND(ArtifactsInput!$M$27,Inputs!$B$4="Chapter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IFERROR(1/(IF(Inputs!$B$38="pvp",15,MAX(0.1,Skills!E10-IF(Skills!F10=TRUE,Inputs!$B$32,0)))*(1-IF(AND(ArtifactsInput!$M$27,Inputs!$B$4="Chapter Hunt"),CHOOSE(ArtifactsInput!$N$27+1,20,24,28,32,36,40),0)/100)),0)</f>
        <v/>
      </c>
      <c r="R520">
        <f>IF(AND(Inputs!$B$38&lt;&gt;"pvp",Inputs!$B$43&gt;0),IF(MAX(0,Inputs!$B$43-B548)&lt;=0,0,(INT(MAX(0,Inputs!$B$43-B548)/(IF(Inputs!$B$38="pvp",15,MAX(0.1,Skills!E10-IF(Skills!F10=TRUE,Inputs!$B$32,0)))*(1-IF(AND(ArtifactsInput!$M$27,Inputs!$B$4="Chapter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IFERROR(1/(IF(Inputs!$B$38="pvp",15,MAX(0.1,Skills!E11-IF(Skills!F11=TRUE,Inputs!$B$32,0)))*(1-IF(AND(ArtifactsInput!$M$27,Inputs!$B$4="Chapter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IFERROR(1/(IF(Inputs!$B$38="pvp",15,MAX(0.1,Skills!E12-IF(Skills!F12=TRUE,Inputs!$B$32,0)))*(1-IF(AND(ArtifactsInput!$M$27,Inputs!$B$4="Chapter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IFERROR(1/(IF(Inputs!$B$38="pvp",15,MAX(0.1,Skills!E13-IF(Skills!F13=TRUE,Inputs!$B$32,0)))*(1-IF(AND(ArtifactsInput!$M$27,Inputs!$B$4="Chapter Hunt"),CHOOSE(ArtifactsInput!$N$27+1,20,24,28,32,36,40),0)/100)),0)</f>
        <v/>
      </c>
      <c r="R523">
        <f>IF(AND(Inputs!$B$38&lt;&gt;"pvp",Inputs!$B$43&gt;0),IF(MAX(0,Inputs!$B$43-B548)&lt;=0,0,(INT(MAX(0,Inputs!$B$43-B548)/(IF(Inputs!$B$38="pvp",15,MAX(0.1,Skills!E13-IF(Skills!F13=TRUE,Inputs!$B$32,0)))*(1-IF(AND(ArtifactsInput!$M$27,Inputs!$B$4="Chapter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IFERROR(1/(IF(Inputs!$B$38="pvp",15,MAX(0.1,Skills!E14-IF(Skills!F14=TRUE,Inputs!$B$32,0)))*(1-IF(AND(ArtifactsInput!$M$27,Inputs!$B$4="Chapter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IFERROR(1/(IF(Inputs!$B$38="pvp",15,MAX(0.1,Skills!E15-IF(Skills!F15=TRUE,Inputs!$B$32,0)))*(1-IF(AND(ArtifactsInput!$M$27,Inputs!$B$4="Chapter Hunt"),CHOOSE(ArtifactsInput!$N$27+1,20,24,28,32,36,40),0)/100)),0)</f>
        <v/>
      </c>
      <c r="R525">
        <f>IF(AND(Inputs!$B$38&lt;&gt;"pvp",Inputs!$B$43&gt;0),IF(MAX(0,Inputs!$B$43-B548)&lt;=0,0,(INT(MAX(0,Inputs!$B$43-B548)/(IF(Inputs!$B$38="pvp",15,MAX(0.1,Skills!E15-IF(Skills!F15=TRUE,Inputs!$B$32,0)))*(1-IF(AND(ArtifactsInput!$M$27,Inputs!$B$4="Chapter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IFERROR(1/(IF(Inputs!$B$38="pvp",15,MAX(0.1,Skills!E16-IF(Skills!F16=TRUE,Inputs!$B$32,0)))*(1-IF(AND(ArtifactsInput!$M$27,Inputs!$B$4="Chapter Hunt"),CHOOSE(ArtifactsInput!$N$27+1,20,24,28,32,36,40),0)/100)),0)</f>
        <v/>
      </c>
      <c r="R526">
        <f>IF(AND(Inputs!$B$38&lt;&gt;"pvp",Inputs!$B$43&gt;0),IF(MAX(0,Inputs!$B$43-B548)&lt;=0,0,(INT(MAX(0,Inputs!$B$43-B548)/(IF(Inputs!$B$38="pvp",15,MAX(0.1,Skills!E16-IF(Skills!F16=TRUE,Inputs!$B$32,0)))*(1-IF(AND(ArtifactsInput!$M$27,Inputs!$B$4="Chapter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IFERROR(1/(IF(Inputs!$B$38="pvp",15,MAX(0.1,Skills!E17-IF(Skills!F17=TRUE,Inputs!$B$32,0)))*(1-IF(AND(ArtifactsInput!$M$27,Inputs!$B$4="Chapter Hunt"),CHOOSE(ArtifactsInput!$N$27+1,20,24,28,32,36,40),0)/100)),0)</f>
        <v/>
      </c>
      <c r="R527">
        <f>IF(AND(Inputs!$B$38&lt;&gt;"pvp",Inputs!$B$43&gt;0),IF(Inputs!$B$43&lt;=0,0,(INT(Inputs!$B$43/(IF(Inputs!$B$38="pvp",15,MAX(0.1,Skills!E17-IF(Skills!F17=TRUE,Inputs!$B$32,0)))*(1-IF(AND(ArtifactsInput!$M$27,Inputs!$B$4="Chapter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IFERROR(1/(IF(Inputs!$B$38="pvp",15,MAX(0.1,Skills!E18-IF(Skills!F18=TRUE,Inputs!$B$32,0)))*(1-IF(AND(ArtifactsInput!$M$27,Inputs!$B$4="Chapter Hunt"),CHOOSE(ArtifactsInput!$N$27+1,20,24,28,32,36,40),0)/100)),0)</f>
        <v/>
      </c>
      <c r="R528">
        <f>IF(AND(Inputs!$B$38&lt;&gt;"pvp",Inputs!$B$43&gt;0),IF(Inputs!$B$43&lt;=0,0,(INT(Inputs!$B$43/(IF(Inputs!$B$38="pvp",15,MAX(0.1,Skills!E18-IF(Skills!F18=TRUE,Inputs!$B$32,0)))*(1-IF(AND(ArtifactsInput!$M$27,Inputs!$B$4="Chapter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IFERROR(1/(IF(Inputs!$B$38="pvp",15,MAX(0.1,Skills!E19-IF(Skills!F19=TRUE,Inputs!$B$32,0)))*(1-IF(AND(ArtifactsInput!$M$27,Inputs!$B$4="Chapter Hunt"),CHOOSE(ArtifactsInput!$N$27+1,20,24,28,32,36,40),0)/100)),0)</f>
        <v/>
      </c>
      <c r="R529">
        <f>IF(AND(Inputs!$B$38&lt;&gt;"pvp",Inputs!$B$43&gt;0),IF(Inputs!$B$43&lt;=0,0,(INT(Inputs!$B$43/(IF(Inputs!$B$38="pvp",15,MAX(0.1,Skills!E19-IF(Skills!F19=TRUE,Inputs!$B$32,0)))*(1-IF(AND(ArtifactsInput!$M$27,Inputs!$B$4="Chapter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IFERROR(1/(IF(Inputs!$B$38="pvp",15,MAX(0.1,Skills!E20-IF(Skills!F20=TRUE,Inputs!$B$32,0)))*(1-IF(AND(ArtifactsInput!$M$27,Inputs!$B$4="Chapter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IFERROR(1/(IF(Inputs!$B$38="pvp",15,MAX(0.1,Skills!E21-IF(Skills!F21=TRUE,Inputs!$B$32,0)))*(1-IF(AND(ArtifactsInput!$M$27,Inputs!$B$4="Chapter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IFERROR(1/(IF(Inputs!$B$38="pvp",15,MAX(0.1,Skills!E22-IF(Skills!F22=TRUE,Inputs!$B$32,0)))*(1-IF(AND(ArtifactsInput!$M$27,Inputs!$B$4="Chapter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IFERROR(1/(IF(Inputs!$B$38="pvp",15,MAX(0.1,Skills!E23-IF(Skills!F23=TRUE,Inputs!$B$32,0)))*(1-IF(AND(ArtifactsInput!$M$27,Inputs!$B$4="Chapter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IFERROR(1/(IF(Inputs!$B$38="pvp",15,MAX(0.1,Skills!E24-IF(Skills!F24=TRUE,Inputs!$B$32,0)))*(1-IF(AND(ArtifactsInput!$M$27,Inputs!$B$4="Chapter Hunt"),CHOOSE(ArtifactsInput!$N$27+1,20,24,28,32,36,40),0)/100)),0)</f>
        <v/>
      </c>
      <c r="R534">
        <f>IF(AND(Inputs!$B$38&lt;&gt;"pvp",Inputs!$B$43&gt;0),IF(MAX(0,Inputs!$B$43-B548)&lt;=0,0,(INT(MAX(0,Inputs!$B$43-B548)/(IF(Inputs!$B$38="pvp",15,MAX(0.1,Skills!E24-IF(Skills!F24=TRUE,Inputs!$B$32,0)))*(1-IF(AND(ArtifactsInput!$M$27,Inputs!$B$4="Chapter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IFERROR(1/(IF(Inputs!$B$38="pvp",15,MAX(0.1,Skills!E25-IF(Skills!F25=TRUE,Inputs!$B$32,0)))*(1-IF(AND(ArtifactsInput!$M$27,Inputs!$B$4="Chapter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IFERROR(1/(IF(Inputs!$B$38="pvp",15,MAX(0.1,Skills!E26-IF(Skills!F26=TRUE,Inputs!$B$32,0)))*(1-IF(AND(ArtifactsInput!$M$27,Inputs!$B$4="Chapter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IFERROR(1/(IF(Inputs!$B$38="pvp",15,MAX(0.1,Skills!E27-IF(Skills!F27=TRUE,Inputs!$B$32,0)))*(1-IF(AND(ArtifactsInput!$M$27,Inputs!$B$4="Chapter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IFERROR(1/(IF(Inputs!$B$38="pvp",15,MAX(0.1,Skills!E28-IF(Skills!F28=TRUE,Inputs!$B$32,0)))*(1-IF(AND(ArtifactsInput!$M$27,Inputs!$B$4="Chapter Hunt"),CHOOSE(ArtifactsInput!$N$27+1,20,24,28,32,36,40),0)/100)),0)</f>
        <v/>
      </c>
      <c r="R538">
        <f>IF(AND(Inputs!$B$38&lt;&gt;"pvp",Inputs!$B$43&gt;0),IF(MAX(0,Inputs!$B$43-B548)&lt;=0,0,(INT(MAX(0,Inputs!$B$43-B548)/(IF(Inputs!$B$38="pvp",15,MAX(0.1,Skills!E28-IF(Skills!F28=TRUE,Inputs!$B$32,0)))*(1-IF(AND(ArtifactsInput!$M$27,Inputs!$B$4="Chapter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Skills!T6*(1+((Inputs!$B$34+(ArtifactsInput!$M$7-ArtifactsInput!$M$7)*CHOOSE(ArtifactsInput!$N$7+1,6,7.2,8.4,9.6,10.8,12))+IF(Inputs!$B$3&gt;=117,F535,0))/100))+MIN((Skills!T6*(1+((Inputs!$B$34+(ArtifactsInput!$M$7-ArtifactsInput!$M$7)*CHOOSE(ArtifactsInput!$N$7+1,6,7.2,8.4,9.6,10.8,12))+IF(Inputs!$B$3&gt;=117,F535,0))/100)),MAX(0,Inputs!$B$43-((R516-1)*Skills!E6))))/Inputs!$B$43),IF(Inputs!$B$38="pvp",MIN((Skills!T6*(1+((Inputs!$B$34+(ArtifactsInput!$M$7-ArtifactsInput!$M$7)*CHOOSE(ArtifactsInput!$N$7+1,6,7.2,8.4,9.6,10.8,12))+IF(Inputs!$B$3&gt;=117,F535,0))/100)),15)/15,(Skills!T6*(1+((Inputs!$B$34+(ArtifactsInput!$M$7-ArtifactsInput!$M$7)*CHOOSE(ArtifactsInput!$N$7+1,6,7.2,8.4,9.6,10.8,12))+IF(Inputs!$B$3&gt;=117,F535,0))/100))/Skills!E6))+F527*IF(AND(Inputs!$B$38&lt;&gt;"pvp",Inputs!$B$43&gt;0),(((R527-1)*(Skills!T17*(1+((Inputs!$B$34+(ArtifactsInput!$M$7-ArtifactsInput!$M$7)*CHOOSE(ArtifactsInput!$N$7+1,6,7.2,8.4,9.6,10.8,12))+IF(Inputs!$B$3&gt;=117,F535,0))/100))+MIN((Skills!T17*(1+((Inputs!$B$34+(ArtifactsInput!$M$7-ArtifactsInput!$M$7)*CHOOSE(ArtifactsInput!$N$7+1,6,7.2,8.4,9.6,10.8,12))+IF(Inputs!$B$3&gt;=117,F535,0))/100)),MAX(0,Inputs!$B$43-((R527-1)*Skills!E17))))/Inputs!$B$43),IF(Inputs!$B$38="pvp",MIN((Skills!T17*(1+((Inputs!$B$34+(ArtifactsInput!$M$7-ArtifactsInput!$M$7)*CHOOSE(ArtifactsInput!$N$7+1,6,7.2,8.4,9.6,10.8,12))+IF(Inputs!$B$3&gt;=117,F535,0))/100)),15)/15,(Skills!T17*(1+((Inputs!$B$34+(ArtifactsInput!$M$7-ArtifactsInput!$M$7)*CHOOSE(ArtifactsInput!$N$7+1,6,7.2,8.4,9.6,10.8,12))+IF(Inputs!$B$3&gt;=117,F535,0)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Skills!T19*(1+((Inputs!$B$34+(ArtifactsInput!$M$7-ArtifactsInput!$M$7)*CHOOSE(ArtifactsInput!$N$7+1,6,7.2,8.4,9.6,10.8,12))+IF(Inputs!$B$3&gt;=117,F535,0))/100))+MIN((Skills!T19*(1+((Inputs!$B$34+(ArtifactsInput!$M$7-ArtifactsInput!$M$7)*CHOOSE(ArtifactsInput!$N$7+1,6,7.2,8.4,9.6,10.8,12))+IF(Inputs!$B$3&gt;=117,F535,0))/100)),MAX(0,Inputs!$B$43-((R529-1)*Skills!E19))))/Inputs!$B$43),IF(Inputs!$B$38="pvp",MIN((Skills!T19*(1+((Inputs!$B$34+(ArtifactsInput!$M$7-ArtifactsInput!$M$7)*CHOOSE(ArtifactsInput!$N$7+1,6,7.2,8.4,9.6,10.8,12))+IF(Inputs!$B$3&gt;=117,F535,0))/100)),15)/15,(Skills!T19*(1+((Inputs!$B$34+(ArtifactsInput!$M$7-ArtifactsInput!$M$7)*CHOOSE(ArtifactsInput!$N$7+1,6,7.2,8.4,9.6,10.8,12))+IF(Inputs!$B$3&gt;=117,F535,0))/100))/Skills!E19))/100),1)</f>
        <v/>
      </c>
    </row>
    <row r="543">
      <c r="A543" t="inlineStr">
        <is>
          <t>Attack Speed Buff Bonus % (Nimble Feet, averaged)</t>
        </is>
      </c>
      <c r="B543">
        <f>F528*IF(AND(Inputs!$B$38&lt;&gt;"pvp",Inputs!$B$43&gt;0),(((R528-1)*(Skills!T18*(1+((Inputs!$B$34+(ArtifactsInput!$M$7-ArtifactsInput!$M$7)*CHOOSE(ArtifactsInput!$N$7+1,6,7.2,8.4,9.6,10.8,12))+IF(Inputs!$B$3&gt;=117,F535,0))/100))+MIN((Skills!T18*(1+((Inputs!$B$34+(ArtifactsInput!$M$7-ArtifactsInput!$M$7)*CHOOSE(ArtifactsInput!$N$7+1,6,7.2,8.4,9.6,10.8,12))+IF(Inputs!$B$3&gt;=117,F535,0))/100)),MAX(0,Inputs!$B$43-((R528-1)*Skills!E18))))/Inputs!$B$43),IF(Inputs!$B$38="pvp",MIN((Skills!T18*(1+((Inputs!$B$34+(ArtifactsInput!$M$7-ArtifactsInput!$M$7)*CHOOSE(ArtifactsInput!$N$7+1,6,7.2,8.4,9.6,10.8,12))+IF(Inputs!$B$3&gt;=117,F535,0))/100)),15)/15,(Skills!T18*(1+((Inputs!$B$34+(ArtifactsInput!$M$7-ArtifactsInput!$M$7)*CHOOSE(ArtifactsInput!$N$7+1,6,7.2,8.4,9.6,10.8,12))+IF(Inputs!$B$3&gt;=117,F535,0))/100))/Skills!E18)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IFERROR(1/(IF(Inputs!$B$38="pvp",15,MAX(0.1,Skills!E2-IF(Skills!F2=TRUE,Inputs!$B$32,0)))*(1-IF(AND(ArtifactsInput!$M$27,Inputs!$B$4="Chapter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IFERROR(1/(IF(Inputs!$B$38="pvp",15,MAX(0.1,Skills!E3-IF(Skills!F3=TRUE,Inputs!$B$32,0)))*(1-IF(AND(ArtifactsInput!$M$27,Inputs!$B$4="Chapter Hunt"),CHOOSE(ArtifactsInput!$N$27+1,20,24,28,32,36,40),0)/100)),0)</f>
        <v/>
      </c>
      <c r="R557">
        <f>IF(AND(Inputs!$B$38&lt;&gt;"pvp",Inputs!$B$43&gt;0),IF(MAX(0,Inputs!$B$43-B592)&lt;=0,0,(INT(MAX(0,Inputs!$B$43-B592)/(IF(Inputs!$B$38="pvp",15,MAX(0.1,Skills!E3-IF(Skills!F3=TRUE,Inputs!$B$32,0)))*(1-IF(AND(ArtifactsInput!$M$27,Inputs!$B$4="Chapter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IFERROR(1/(IF(Inputs!$B$38="pvp",15,MAX(0.1,Skills!E4-IF(Skills!F4=TRUE,Inputs!$B$32,0)))*(1-IF(AND(ArtifactsInput!$M$27,Inputs!$B$4="Chapter Hunt"),CHOOSE(ArtifactsInput!$N$27+1,20,24,28,32,36,40),0)/100)),0)</f>
        <v/>
      </c>
      <c r="R558">
        <f>IF(AND(Inputs!$B$38&lt;&gt;"pvp",Inputs!$B$43&gt;0),IF(MAX(0,Inputs!$B$43-B592)&lt;=0,0,(INT(MAX(0,Inputs!$B$43-B592)/(IF(Inputs!$B$38="pvp",15,MAX(0.1,Skills!E4-IF(Skills!F4=TRUE,Inputs!$B$32,0)))*(1-IF(AND(ArtifactsInput!$M$27,Inputs!$B$4="Chapter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IFERROR(1/(IF(Inputs!$B$38="pvp",15,MAX(0.1,Skills!E5-IF(Skills!F5=TRUE,Inputs!$B$32,0)))*(1-IF(AND(ArtifactsInput!$M$27,Inputs!$B$4="Chapter Hunt"),CHOOSE(ArtifactsInput!$N$27+1,20,24,28,32,36,40),0)/100)),0)</f>
        <v/>
      </c>
      <c r="R559">
        <f>IF(AND(Inputs!$B$38&lt;&gt;"pvp",Inputs!$B$43&gt;0),IF(MAX(0,Inputs!$B$43-B592)&lt;=0,0,(INT(MAX(0,Inputs!$B$43-B592)/(IF(Inputs!$B$38="pvp",15,MAX(0.1,Skills!E5-IF(Skills!F5=TRUE,Inputs!$B$32,0)))*(1-IF(AND(ArtifactsInput!$M$27,Inputs!$B$4="Chapter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IFERROR(1/(IF(Inputs!$B$38="pvp",15,MAX(0.1,Skills!E6-IF(Skills!F6=TRUE,Inputs!$B$32,0)))*(1-IF(AND(ArtifactsInput!$M$27,Inputs!$B$4="Chapter Hunt"),CHOOSE(ArtifactsInput!$N$27+1,20,24,28,32,36,40),0)/100)),0)</f>
        <v/>
      </c>
      <c r="R560">
        <f>IF(AND(Inputs!$B$38&lt;&gt;"pvp",Inputs!$B$43&gt;0),IF(Inputs!$B$43&lt;=0,0,(INT(Inputs!$B$43/(IF(Inputs!$B$38="pvp",15,MAX(0.1,Skills!E6-IF(Skills!F6=TRUE,Inputs!$B$32,0)))*(1-IF(AND(ArtifactsInput!$M$27,Inputs!$B$4="Chapter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IFERROR(1/(IF(Inputs!$B$38="pvp",15,MAX(0.1,Skills!E7-IF(Skills!F7=TRUE,Inputs!$B$32,0)))*(1-IF(AND(ArtifactsInput!$M$27,Inputs!$B$4="Chapter Hunt"),CHOOSE(ArtifactsInput!$N$27+1,20,24,28,32,36,40),0)/100)),0)</f>
        <v/>
      </c>
      <c r="R561">
        <f>IF(AND(Inputs!$B$38&lt;&gt;"pvp",Inputs!$B$43&gt;0),IF(MAX(0,Inputs!$B$43-B592)&lt;=0,0,(INT(MAX(0,Inputs!$B$43-B592)/(IF(Inputs!$B$38="pvp",15,MAX(0.1,Skills!E7-IF(Skills!F7=TRUE,Inputs!$B$32,0)))*(1-IF(AND(ArtifactsInput!$M$27,Inputs!$B$4="Chapter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IFERROR(1/(IF(Inputs!$B$38="pvp",15,MAX(0.1,Skills!E8-IF(Skills!F8=TRUE,Inputs!$B$32,0)))*(1-IF(AND(ArtifactsInput!$M$27,Inputs!$B$4="Chapter Hunt"),CHOOSE(ArtifactsInput!$N$27+1,20,24,28,32,36,40),0)/100)),0)</f>
        <v/>
      </c>
      <c r="R562">
        <f>IF(AND(Inputs!$B$38&lt;&gt;"pvp",Inputs!$B$43&gt;0),IF(MAX(0,Inputs!$B$43-B592)&lt;=0,0,(INT(MAX(0,Inputs!$B$43-B592)/(IF(Inputs!$B$38="pvp",15,MAX(0.1,Skills!E8-IF(Skills!F8=TRUE,Inputs!$B$32,0)))*(1-IF(AND(ArtifactsInput!$M$27,Inputs!$B$4="Chapter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IFERROR(1/(IF(Inputs!$B$38="pvp",15,MAX(0.1,Skills!E9-IF(Skills!F7=TRUE,Inputs!$B$32,0)))*(1-IF(AND(ArtifactsInput!$M$27,Inputs!$B$4="Chapter Hunt"),CHOOSE(ArtifactsInput!$N$27+1,20,24,28,32,36,40),0)/100)),0)</f>
        <v/>
      </c>
      <c r="R563">
        <f>IF(AND(Inputs!$B$38&lt;&gt;"pvp",Inputs!$B$43&gt;0),IF(MAX(0,Inputs!$B$43-B592)&lt;=0,0,(INT(MAX(0,Inputs!$B$43-B592)/(IF(Inputs!$B$38="pvp",15,MAX(0.1,Skills!E9-IF(Skills!F7=TRUE,Inputs!$B$32,0)))*(1-IF(AND(ArtifactsInput!$M$27,Inputs!$B$4="Chapter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IFERROR(1/(IF(Inputs!$B$38="pvp",15,MAX(0.1,Skills!E10-IF(Skills!F10=TRUE,Inputs!$B$32,0)))*(1-IF(AND(ArtifactsInput!$M$27,Inputs!$B$4="Chapter Hunt"),CHOOSE(ArtifactsInput!$N$27+1,20,24,28,32,36,40),0)/100)),0)</f>
        <v/>
      </c>
      <c r="R564">
        <f>IF(AND(Inputs!$B$38&lt;&gt;"pvp",Inputs!$B$43&gt;0),IF(MAX(0,Inputs!$B$43-B592)&lt;=0,0,(INT(MAX(0,Inputs!$B$43-B592)/(IF(Inputs!$B$38="pvp",15,MAX(0.1,Skills!E10-IF(Skills!F10=TRUE,Inputs!$B$32,0)))*(1-IF(AND(ArtifactsInput!$M$27,Inputs!$B$4="Chapter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IFERROR(1/(IF(Inputs!$B$38="pvp",15,MAX(0.1,Skills!E11-IF(Skills!F11=TRUE,Inputs!$B$32,0)))*(1-IF(AND(ArtifactsInput!$M$27,Inputs!$B$4="Chapter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IFERROR(1/(IF(Inputs!$B$38="pvp",15,MAX(0.1,Skills!E12-IF(Skills!F12=TRUE,Inputs!$B$32,0)))*(1-IF(AND(ArtifactsInput!$M$27,Inputs!$B$4="Chapter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IFERROR(1/(IF(Inputs!$B$38="pvp",15,MAX(0.1,Skills!E13-IF(Skills!F13=TRUE,Inputs!$B$32,0)))*(1-IF(AND(ArtifactsInput!$M$27,Inputs!$B$4="Chapter Hunt"),CHOOSE(ArtifactsInput!$N$27+1,20,24,28,32,36,40),0)/100)),0)</f>
        <v/>
      </c>
      <c r="R567">
        <f>IF(AND(Inputs!$B$38&lt;&gt;"pvp",Inputs!$B$43&gt;0),IF(MAX(0,Inputs!$B$43-B592)&lt;=0,0,(INT(MAX(0,Inputs!$B$43-B592)/(IF(Inputs!$B$38="pvp",15,MAX(0.1,Skills!E13-IF(Skills!F13=TRUE,Inputs!$B$32,0)))*(1-IF(AND(ArtifactsInput!$M$27,Inputs!$B$4="Chapter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IFERROR(1/(IF(Inputs!$B$38="pvp",15,MAX(0.1,Skills!E14-IF(Skills!F14=TRUE,Inputs!$B$32,0)))*(1-IF(AND(ArtifactsInput!$M$27,Inputs!$B$4="Chapter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IFERROR(1/(IF(Inputs!$B$38="pvp",15,MAX(0.1,Skills!E15-IF(Skills!F15=TRUE,Inputs!$B$32,0)))*(1-IF(AND(ArtifactsInput!$M$27,Inputs!$B$4="Chapter Hunt"),CHOOSE(ArtifactsInput!$N$27+1,20,24,28,32,36,40),0)/100)),0)</f>
        <v/>
      </c>
      <c r="R569">
        <f>IF(AND(Inputs!$B$38&lt;&gt;"pvp",Inputs!$B$43&gt;0),IF(MAX(0,Inputs!$B$43-B592)&lt;=0,0,(INT(MAX(0,Inputs!$B$43-B592)/(IF(Inputs!$B$38="pvp",15,MAX(0.1,Skills!E15-IF(Skills!F15=TRUE,Inputs!$B$32,0)))*(1-IF(AND(ArtifactsInput!$M$27,Inputs!$B$4="Chapter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IFERROR(1/(IF(Inputs!$B$38="pvp",15,MAX(0.1,Skills!E16-IF(Skills!F16=TRUE,Inputs!$B$32,0)))*(1-IF(AND(ArtifactsInput!$M$27,Inputs!$B$4="Chapter Hunt"),CHOOSE(ArtifactsInput!$N$27+1,20,24,28,32,36,40),0)/100)),0)</f>
        <v/>
      </c>
      <c r="R570">
        <f>IF(AND(Inputs!$B$38&lt;&gt;"pvp",Inputs!$B$43&gt;0),IF(MAX(0,Inputs!$B$43-B592)&lt;=0,0,(INT(MAX(0,Inputs!$B$43-B592)/(IF(Inputs!$B$38="pvp",15,MAX(0.1,Skills!E16-IF(Skills!F16=TRUE,Inputs!$B$32,0)))*(1-IF(AND(ArtifactsInput!$M$27,Inputs!$B$4="Chapter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IFERROR(1/(IF(Inputs!$B$38="pvp",15,MAX(0.1,Skills!E17-IF(Skills!F17=TRUE,Inputs!$B$32,0)))*(1-IF(AND(ArtifactsInput!$M$27,Inputs!$B$4="Chapter Hunt"),CHOOSE(ArtifactsInput!$N$27+1,20,24,28,32,36,40),0)/100)),0)</f>
        <v/>
      </c>
      <c r="R571">
        <f>IF(AND(Inputs!$B$38&lt;&gt;"pvp",Inputs!$B$43&gt;0),IF(Inputs!$B$43&lt;=0,0,(INT(Inputs!$B$43/(IF(Inputs!$B$38="pvp",15,MAX(0.1,Skills!E17-IF(Skills!F17=TRUE,Inputs!$B$32,0)))*(1-IF(AND(ArtifactsInput!$M$27,Inputs!$B$4="Chapter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IFERROR(1/(IF(Inputs!$B$38="pvp",15,MAX(0.1,Skills!E18-IF(Skills!F18=TRUE,Inputs!$B$32,0)))*(1-IF(AND(ArtifactsInput!$M$27,Inputs!$B$4="Chapter Hunt"),CHOOSE(ArtifactsInput!$N$27+1,20,24,28,32,36,40),0)/100)),0)</f>
        <v/>
      </c>
      <c r="R572">
        <f>IF(AND(Inputs!$B$38&lt;&gt;"pvp",Inputs!$B$43&gt;0),IF(Inputs!$B$43&lt;=0,0,(INT(Inputs!$B$43/(IF(Inputs!$B$38="pvp",15,MAX(0.1,Skills!E18-IF(Skills!F18=TRUE,Inputs!$B$32,0)))*(1-IF(AND(ArtifactsInput!$M$27,Inputs!$B$4="Chapter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IFERROR(1/(IF(Inputs!$B$38="pvp",15,MAX(0.1,Skills!E19-IF(Skills!F19=TRUE,Inputs!$B$32,0)))*(1-IF(AND(ArtifactsInput!$M$27,Inputs!$B$4="Chapter Hunt"),CHOOSE(ArtifactsInput!$N$27+1,20,24,28,32,36,40),0)/100)),0)</f>
        <v/>
      </c>
      <c r="R573">
        <f>IF(AND(Inputs!$B$38&lt;&gt;"pvp",Inputs!$B$43&gt;0),IF(Inputs!$B$43&lt;=0,0,(INT(Inputs!$B$43/(IF(Inputs!$B$38="pvp",15,MAX(0.1,Skills!E19-IF(Skills!F19=TRUE,Inputs!$B$32,0)))*(1-IF(AND(ArtifactsInput!$M$27,Inputs!$B$4="Chapter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IFERROR(1/(IF(Inputs!$B$38="pvp",15,MAX(0.1,Skills!E20-IF(Skills!F20=TRUE,Inputs!$B$32,0)))*(1-IF(AND(ArtifactsInput!$M$27,Inputs!$B$4="Chapter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IFERROR(1/(IF(Inputs!$B$38="pvp",15,MAX(0.1,Skills!E21-IF(Skills!F21=TRUE,Inputs!$B$32,0)))*(1-IF(AND(ArtifactsInput!$M$27,Inputs!$B$4="Chapter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IFERROR(1/(IF(Inputs!$B$38="pvp",15,MAX(0.1,Skills!E22-IF(Skills!F22=TRUE,Inputs!$B$32,0)))*(1-IF(AND(ArtifactsInput!$M$27,Inputs!$B$4="Chapter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IFERROR(1/(IF(Inputs!$B$38="pvp",15,MAX(0.1,Skills!E23-IF(Skills!F23=TRUE,Inputs!$B$32,0)))*(1-IF(AND(ArtifactsInput!$M$27,Inputs!$B$4="Chapter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IFERROR(1/(IF(Inputs!$B$38="pvp",15,MAX(0.1,Skills!E24-IF(Skills!F24=TRUE,Inputs!$B$32,0)))*(1-IF(AND(ArtifactsInput!$M$27,Inputs!$B$4="Chapter Hunt"),CHOOSE(ArtifactsInput!$N$27+1,20,24,28,32,36,40),0)/100)),0)</f>
        <v/>
      </c>
      <c r="R578">
        <f>IF(AND(Inputs!$B$38&lt;&gt;"pvp",Inputs!$B$43&gt;0),IF(MAX(0,Inputs!$B$43-B592)&lt;=0,0,(INT(MAX(0,Inputs!$B$43-B592)/(IF(Inputs!$B$38="pvp",15,MAX(0.1,Skills!E24-IF(Skills!F24=TRUE,Inputs!$B$32,0)))*(1-IF(AND(ArtifactsInput!$M$27,Inputs!$B$4="Chapter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IFERROR(1/(IF(Inputs!$B$38="pvp",15,MAX(0.1,Skills!E25-IF(Skills!F25=TRUE,Inputs!$B$32,0)))*(1-IF(AND(ArtifactsInput!$M$27,Inputs!$B$4="Chapter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IFERROR(1/(IF(Inputs!$B$38="pvp",15,MAX(0.1,Skills!E26-IF(Skills!F26=TRUE,Inputs!$B$32,0)))*(1-IF(AND(ArtifactsInput!$M$27,Inputs!$B$4="Chapter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IFERROR(1/(IF(Inputs!$B$38="pvp",15,MAX(0.1,Skills!E27-IF(Skills!F27=TRUE,Inputs!$B$32,0)))*(1-IF(AND(ArtifactsInput!$M$27,Inputs!$B$4="Chapter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IFERROR(1/(IF(Inputs!$B$38="pvp",15,MAX(0.1,Skills!E28-IF(Skills!F28=TRUE,Inputs!$B$32,0)))*(1-IF(AND(ArtifactsInput!$M$27,Inputs!$B$4="Chapter Hunt"),CHOOSE(ArtifactsInput!$N$27+1,20,24,28,32,36,40),0)/100)),0)</f>
        <v/>
      </c>
      <c r="R582">
        <f>IF(AND(Inputs!$B$38&lt;&gt;"pvp",Inputs!$B$43&gt;0),IF(MAX(0,Inputs!$B$43-B592)&lt;=0,0,(INT(MAX(0,Inputs!$B$43-B592)/(IF(Inputs!$B$38="pvp",15,MAX(0.1,Skills!E28-IF(Skills!F28=TRUE,Inputs!$B$32,0)))*(1-IF(AND(ArtifactsInput!$M$27,Inputs!$B$4="Chapter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Skills!T6*(1+((Inputs!$B$34+(ArtifactsInput!$M$7-ArtifactsInput!$M$7)*CHOOSE(ArtifactsInput!$N$7+1,6,7.2,8.4,9.6,10.8,12))+IF(Inputs!$B$3&gt;=117,F579,0))/100))+MIN((Skills!T6*(1+((Inputs!$B$34+(ArtifactsInput!$M$7-ArtifactsInput!$M$7)*CHOOSE(ArtifactsInput!$N$7+1,6,7.2,8.4,9.6,10.8,12))+IF(Inputs!$B$3&gt;=117,F579,0))/100)),MAX(0,Inputs!$B$43-((R560-1)*Skills!E6))))/Inputs!$B$43),IF(Inputs!$B$38="pvp",MIN((Skills!T6*(1+((Inputs!$B$34+(ArtifactsInput!$M$7-ArtifactsInput!$M$7)*CHOOSE(ArtifactsInput!$N$7+1,6,7.2,8.4,9.6,10.8,12))+IF(Inputs!$B$3&gt;=117,F579,0))/100)),15)/15,(Skills!T6*(1+((Inputs!$B$34+(ArtifactsInput!$M$7-ArtifactsInput!$M$7)*CHOOSE(ArtifactsInput!$N$7+1,6,7.2,8.4,9.6,10.8,12))+IF(Inputs!$B$3&gt;=117,F579,0))/100))/Skills!E6))+F571*IF(AND(Inputs!$B$38&lt;&gt;"pvp",Inputs!$B$43&gt;0),(((R571-1)*(Skills!T17*(1+((Inputs!$B$34+(ArtifactsInput!$M$7-ArtifactsInput!$M$7)*CHOOSE(ArtifactsInput!$N$7+1,6,7.2,8.4,9.6,10.8,12))+IF(Inputs!$B$3&gt;=117,F579,0))/100))+MIN((Skills!T17*(1+((Inputs!$B$34+(ArtifactsInput!$M$7-ArtifactsInput!$M$7)*CHOOSE(ArtifactsInput!$N$7+1,6,7.2,8.4,9.6,10.8,12))+IF(Inputs!$B$3&gt;=117,F579,0))/100)),MAX(0,Inputs!$B$43-((R571-1)*Skills!E17))))/Inputs!$B$43),IF(Inputs!$B$38="pvp",MIN((Skills!T17*(1+((Inputs!$B$34+(ArtifactsInput!$M$7-ArtifactsInput!$M$7)*CHOOSE(ArtifactsInput!$N$7+1,6,7.2,8.4,9.6,10.8,12))+IF(Inputs!$B$3&gt;=117,F579,0))/100)),15)/15,(Skills!T17*(1+((Inputs!$B$34+(ArtifactsInput!$M$7-ArtifactsInput!$M$7)*CHOOSE(ArtifactsInput!$N$7+1,6,7.2,8.4,9.6,10.8,12))+IF(Inputs!$B$3&gt;=117,F579,0)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Skills!T19*(1+((Inputs!$B$34+(ArtifactsInput!$M$7-ArtifactsInput!$M$7)*CHOOSE(ArtifactsInput!$N$7+1,6,7.2,8.4,9.6,10.8,12))+IF(Inputs!$B$3&gt;=117,F579,0))/100))+MIN((Skills!T19*(1+((Inputs!$B$34+(ArtifactsInput!$M$7-ArtifactsInput!$M$7)*CHOOSE(ArtifactsInput!$N$7+1,6,7.2,8.4,9.6,10.8,12))+IF(Inputs!$B$3&gt;=117,F579,0))/100)),MAX(0,Inputs!$B$43-((R573-1)*Skills!E19))))/Inputs!$B$43),IF(Inputs!$B$38="pvp",MIN((Skills!T19*(1+((Inputs!$B$34+(ArtifactsInput!$M$7-ArtifactsInput!$M$7)*CHOOSE(ArtifactsInput!$N$7+1,6,7.2,8.4,9.6,10.8,12))+IF(Inputs!$B$3&gt;=117,F579,0))/100)),15)/15,(Skills!T19*(1+((Inputs!$B$34+(ArtifactsInput!$M$7-ArtifactsInput!$M$7)*CHOOSE(ArtifactsInput!$N$7+1,6,7.2,8.4,9.6,10.8,12))+IF(Inputs!$B$3&gt;=117,F579,0))/100))/Skills!E19))/100),1)</f>
        <v/>
      </c>
    </row>
    <row r="587">
      <c r="A587" t="inlineStr">
        <is>
          <t>Attack Speed Buff Bonus % (Nimble Feet, averaged)</t>
        </is>
      </c>
      <c r="B587">
        <f>F572*IF(AND(Inputs!$B$38&lt;&gt;"pvp",Inputs!$B$43&gt;0),(((R572-1)*(Skills!T18*(1+((Inputs!$B$34+(ArtifactsInput!$M$7-ArtifactsInput!$M$7)*CHOOSE(ArtifactsInput!$N$7+1,6,7.2,8.4,9.6,10.8,12))+IF(Inputs!$B$3&gt;=117,F579,0))/100))+MIN((Skills!T18*(1+((Inputs!$B$34+(ArtifactsInput!$M$7-ArtifactsInput!$M$7)*CHOOSE(ArtifactsInput!$N$7+1,6,7.2,8.4,9.6,10.8,12))+IF(Inputs!$B$3&gt;=117,F579,0))/100)),MAX(0,Inputs!$B$43-((R572-1)*Skills!E18))))/Inputs!$B$43),IF(Inputs!$B$38="pvp",MIN((Skills!T18*(1+((Inputs!$B$34+(ArtifactsInput!$M$7-ArtifactsInput!$M$7)*CHOOSE(ArtifactsInput!$N$7+1,6,7.2,8.4,9.6,10.8,12))+IF(Inputs!$B$3&gt;=117,F579,0))/100)),15)/15,(Skills!T18*(1+((Inputs!$B$34+(ArtifactsInput!$M$7-ArtifactsInput!$M$7)*CHOOSE(ArtifactsInput!$N$7+1,6,7.2,8.4,9.6,10.8,12))+IF(Inputs!$B$3&gt;=117,F579,0))/100))/Skills!E18))</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IFERROR(1/(IF(Inputs!$B$38="pvp",15,MAX(0.1,Skills!E2-IF(Skills!F2=TRUE,Inputs!$B$32,0)))*(1-IF(AND(ArtifactsInput!$M$27,Inputs!$B$4="Chapter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IFERROR(1/(IF(Inputs!$B$38="pvp",15,MAX(0.1,Skills!E3-IF(Skills!F3=TRUE,Inputs!$B$32,0)))*(1-IF(AND(ArtifactsInput!$M$27,Inputs!$B$4="Chapter Hunt"),CHOOSE(ArtifactsInput!$N$27+1,20,24,28,32,36,40),0)/100)),0)</f>
        <v/>
      </c>
      <c r="R601">
        <f>IF(AND(Inputs!$B$38&lt;&gt;"pvp",Inputs!$B$43&gt;0),IF(MAX(0,Inputs!$B$43-B636)&lt;=0,0,(INT(MAX(0,Inputs!$B$43-B636)/(IF(Inputs!$B$38="pvp",15,MAX(0.1,Skills!E3-IF(Skills!F3=TRUE,Inputs!$B$32,0)))*(1-IF(AND(ArtifactsInput!$M$27,Inputs!$B$4="Chapter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IFERROR(1/(IF(Inputs!$B$38="pvp",15,MAX(0.1,Skills!E4-IF(Skills!F4=TRUE,Inputs!$B$32,0)))*(1-IF(AND(ArtifactsInput!$M$27,Inputs!$B$4="Chapter Hunt"),CHOOSE(ArtifactsInput!$N$27+1,20,24,28,32,36,40),0)/100)),0)</f>
        <v/>
      </c>
      <c r="R602">
        <f>IF(AND(Inputs!$B$38&lt;&gt;"pvp",Inputs!$B$43&gt;0),IF(MAX(0,Inputs!$B$43-B636)&lt;=0,0,(INT(MAX(0,Inputs!$B$43-B636)/(IF(Inputs!$B$38="pvp",15,MAX(0.1,Skills!E4-IF(Skills!F4=TRUE,Inputs!$B$32,0)))*(1-IF(AND(ArtifactsInput!$M$27,Inputs!$B$4="Chapter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IFERROR(1/(IF(Inputs!$B$38="pvp",15,MAX(0.1,Skills!E5-IF(Skills!F5=TRUE,Inputs!$B$32,0)))*(1-IF(AND(ArtifactsInput!$M$27,Inputs!$B$4="Chapter Hunt"),CHOOSE(ArtifactsInput!$N$27+1,20,24,28,32,36,40),0)/100)),0)</f>
        <v/>
      </c>
      <c r="R603">
        <f>IF(AND(Inputs!$B$38&lt;&gt;"pvp",Inputs!$B$43&gt;0),IF(MAX(0,Inputs!$B$43-B636)&lt;=0,0,(INT(MAX(0,Inputs!$B$43-B636)/(IF(Inputs!$B$38="pvp",15,MAX(0.1,Skills!E5-IF(Skills!F5=TRUE,Inputs!$B$32,0)))*(1-IF(AND(ArtifactsInput!$M$27,Inputs!$B$4="Chapter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IFERROR(1/(IF(Inputs!$B$38="pvp",15,MAX(0.1,Skills!E6-IF(Skills!F6=TRUE,Inputs!$B$32,0)))*(1-IF(AND(ArtifactsInput!$M$27,Inputs!$B$4="Chapter Hunt"),CHOOSE(ArtifactsInput!$N$27+1,20,24,28,32,36,40),0)/100)),0)</f>
        <v/>
      </c>
      <c r="R604">
        <f>IF(AND(Inputs!$B$38&lt;&gt;"pvp",Inputs!$B$43&gt;0),IF(Inputs!$B$43&lt;=0,0,(INT(Inputs!$B$43/(IF(Inputs!$B$38="pvp",15,MAX(0.1,Skills!E6-IF(Skills!F6=TRUE,Inputs!$B$32,0)))*(1-IF(AND(ArtifactsInput!$M$27,Inputs!$B$4="Chapter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IFERROR(1/(IF(Inputs!$B$38="pvp",15,MAX(0.1,Skills!E7-IF(Skills!F7=TRUE,Inputs!$B$32,0)))*(1-IF(AND(ArtifactsInput!$M$27,Inputs!$B$4="Chapter Hunt"),CHOOSE(ArtifactsInput!$N$27+1,20,24,28,32,36,40),0)/100)),0)</f>
        <v/>
      </c>
      <c r="R605">
        <f>IF(AND(Inputs!$B$38&lt;&gt;"pvp",Inputs!$B$43&gt;0),IF(MAX(0,Inputs!$B$43-B636)&lt;=0,0,(INT(MAX(0,Inputs!$B$43-B636)/(IF(Inputs!$B$38="pvp",15,MAX(0.1,Skills!E7-IF(Skills!F7=TRUE,Inputs!$B$32,0)))*(1-IF(AND(ArtifactsInput!$M$27,Inputs!$B$4="Chapter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IFERROR(1/(IF(Inputs!$B$38="pvp",15,MAX(0.1,Skills!E8-IF(Skills!F8=TRUE,Inputs!$B$32,0)))*(1-IF(AND(ArtifactsInput!$M$27,Inputs!$B$4="Chapter Hunt"),CHOOSE(ArtifactsInput!$N$27+1,20,24,28,32,36,40),0)/100)),0)</f>
        <v/>
      </c>
      <c r="R606">
        <f>IF(AND(Inputs!$B$38&lt;&gt;"pvp",Inputs!$B$43&gt;0),IF(MAX(0,Inputs!$B$43-B636)&lt;=0,0,(INT(MAX(0,Inputs!$B$43-B636)/(IF(Inputs!$B$38="pvp",15,MAX(0.1,Skills!E8-IF(Skills!F8=TRUE,Inputs!$B$32,0)))*(1-IF(AND(ArtifactsInput!$M$27,Inputs!$B$4="Chapter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IFERROR(1/(IF(Inputs!$B$38="pvp",15,MAX(0.1,Skills!E9-IF(Skills!F7=TRUE,Inputs!$B$32,0)))*(1-IF(AND(ArtifactsInput!$M$27,Inputs!$B$4="Chapter Hunt"),CHOOSE(ArtifactsInput!$N$27+1,20,24,28,32,36,40),0)/100)),0)</f>
        <v/>
      </c>
      <c r="R607">
        <f>IF(AND(Inputs!$B$38&lt;&gt;"pvp",Inputs!$B$43&gt;0),IF(MAX(0,Inputs!$B$43-B636)&lt;=0,0,(INT(MAX(0,Inputs!$B$43-B636)/(IF(Inputs!$B$38="pvp",15,MAX(0.1,Skills!E9-IF(Skills!F7=TRUE,Inputs!$B$32,0)))*(1-IF(AND(ArtifactsInput!$M$27,Inputs!$B$4="Chapter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IFERROR(1/(IF(Inputs!$B$38="pvp",15,MAX(0.1,Skills!E10-IF(Skills!F10=TRUE,Inputs!$B$32,0)))*(1-IF(AND(ArtifactsInput!$M$27,Inputs!$B$4="Chapter Hunt"),CHOOSE(ArtifactsInput!$N$27+1,20,24,28,32,36,40),0)/100)),0)</f>
        <v/>
      </c>
      <c r="R608">
        <f>IF(AND(Inputs!$B$38&lt;&gt;"pvp",Inputs!$B$43&gt;0),IF(MAX(0,Inputs!$B$43-B636)&lt;=0,0,(INT(MAX(0,Inputs!$B$43-B636)/(IF(Inputs!$B$38="pvp",15,MAX(0.1,Skills!E10-IF(Skills!F10=TRUE,Inputs!$B$32,0)))*(1-IF(AND(ArtifactsInput!$M$27,Inputs!$B$4="Chapter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IFERROR(1/(IF(Inputs!$B$38="pvp",15,MAX(0.1,Skills!E11-IF(Skills!F11=TRUE,Inputs!$B$32,0)))*(1-IF(AND(ArtifactsInput!$M$27,Inputs!$B$4="Chapter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IFERROR(1/(IF(Inputs!$B$38="pvp",15,MAX(0.1,Skills!E12-IF(Skills!F12=TRUE,Inputs!$B$32,0)))*(1-IF(AND(ArtifactsInput!$M$27,Inputs!$B$4="Chapter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IFERROR(1/(IF(Inputs!$B$38="pvp",15,MAX(0.1,Skills!E13-IF(Skills!F13=TRUE,Inputs!$B$32,0)))*(1-IF(AND(ArtifactsInput!$M$27,Inputs!$B$4="Chapter Hunt"),CHOOSE(ArtifactsInput!$N$27+1,20,24,28,32,36,40),0)/100)),0)</f>
        <v/>
      </c>
      <c r="R611">
        <f>IF(AND(Inputs!$B$38&lt;&gt;"pvp",Inputs!$B$43&gt;0),IF(MAX(0,Inputs!$B$43-B636)&lt;=0,0,(INT(MAX(0,Inputs!$B$43-B636)/(IF(Inputs!$B$38="pvp",15,MAX(0.1,Skills!E13-IF(Skills!F13=TRUE,Inputs!$B$32,0)))*(1-IF(AND(ArtifactsInput!$M$27,Inputs!$B$4="Chapter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IFERROR(1/(IF(Inputs!$B$38="pvp",15,MAX(0.1,Skills!E14-IF(Skills!F14=TRUE,Inputs!$B$32,0)))*(1-IF(AND(ArtifactsInput!$M$27,Inputs!$B$4="Chapter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IFERROR(1/(IF(Inputs!$B$38="pvp",15,MAX(0.1,Skills!E15-IF(Skills!F15=TRUE,Inputs!$B$32,0)))*(1-IF(AND(ArtifactsInput!$M$27,Inputs!$B$4="Chapter Hunt"),CHOOSE(ArtifactsInput!$N$27+1,20,24,28,32,36,40),0)/100)),0)</f>
        <v/>
      </c>
      <c r="R613">
        <f>IF(AND(Inputs!$B$38&lt;&gt;"pvp",Inputs!$B$43&gt;0),IF(MAX(0,Inputs!$B$43-B636)&lt;=0,0,(INT(MAX(0,Inputs!$B$43-B636)/(IF(Inputs!$B$38="pvp",15,MAX(0.1,Skills!E15-IF(Skills!F15=TRUE,Inputs!$B$32,0)))*(1-IF(AND(ArtifactsInput!$M$27,Inputs!$B$4="Chapter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IFERROR(1/(IF(Inputs!$B$38="pvp",15,MAX(0.1,Skills!E16-IF(Skills!F16=TRUE,Inputs!$B$32,0)))*(1-IF(AND(ArtifactsInput!$M$27,Inputs!$B$4="Chapter Hunt"),CHOOSE(ArtifactsInput!$N$27+1,20,24,28,32,36,40),0)/100)),0)</f>
        <v/>
      </c>
      <c r="R614">
        <f>IF(AND(Inputs!$B$38&lt;&gt;"pvp",Inputs!$B$43&gt;0),IF(MAX(0,Inputs!$B$43-B636)&lt;=0,0,(INT(MAX(0,Inputs!$B$43-B636)/(IF(Inputs!$B$38="pvp",15,MAX(0.1,Skills!E16-IF(Skills!F16=TRUE,Inputs!$B$32,0)))*(1-IF(AND(ArtifactsInput!$M$27,Inputs!$B$4="Chapter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IFERROR(1/(IF(Inputs!$B$38="pvp",15,MAX(0.1,Skills!E17-IF(Skills!F17=TRUE,Inputs!$B$32,0)))*(1-IF(AND(ArtifactsInput!$M$27,Inputs!$B$4="Chapter Hunt"),CHOOSE(ArtifactsInput!$N$27+1,20,24,28,32,36,40),0)/100)),0)</f>
        <v/>
      </c>
      <c r="R615">
        <f>IF(AND(Inputs!$B$38&lt;&gt;"pvp",Inputs!$B$43&gt;0),IF(Inputs!$B$43&lt;=0,0,(INT(Inputs!$B$43/(IF(Inputs!$B$38="pvp",15,MAX(0.1,Skills!E17-IF(Skills!F17=TRUE,Inputs!$B$32,0)))*(1-IF(AND(ArtifactsInput!$M$27,Inputs!$B$4="Chapter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IFERROR(1/(IF(Inputs!$B$38="pvp",15,MAX(0.1,Skills!E18-IF(Skills!F18=TRUE,Inputs!$B$32,0)))*(1-IF(AND(ArtifactsInput!$M$27,Inputs!$B$4="Chapter Hunt"),CHOOSE(ArtifactsInput!$N$27+1,20,24,28,32,36,40),0)/100)),0)</f>
        <v/>
      </c>
      <c r="R616">
        <f>IF(AND(Inputs!$B$38&lt;&gt;"pvp",Inputs!$B$43&gt;0),IF(Inputs!$B$43&lt;=0,0,(INT(Inputs!$B$43/(IF(Inputs!$B$38="pvp",15,MAX(0.1,Skills!E18-IF(Skills!F18=TRUE,Inputs!$B$32,0)))*(1-IF(AND(ArtifactsInput!$M$27,Inputs!$B$4="Chapter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IFERROR(1/(IF(Inputs!$B$38="pvp",15,MAX(0.1,Skills!E19-IF(Skills!F19=TRUE,Inputs!$B$32,0)))*(1-IF(AND(ArtifactsInput!$M$27,Inputs!$B$4="Chapter Hunt"),CHOOSE(ArtifactsInput!$N$27+1,20,24,28,32,36,40),0)/100)),0)</f>
        <v/>
      </c>
      <c r="R617">
        <f>IF(AND(Inputs!$B$38&lt;&gt;"pvp",Inputs!$B$43&gt;0),IF(Inputs!$B$43&lt;=0,0,(INT(Inputs!$B$43/(IF(Inputs!$B$38="pvp",15,MAX(0.1,Skills!E19-IF(Skills!F19=TRUE,Inputs!$B$32,0)))*(1-IF(AND(ArtifactsInput!$M$27,Inputs!$B$4="Chapter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IFERROR(1/(IF(Inputs!$B$38="pvp",15,MAX(0.1,Skills!E20-IF(Skills!F20=TRUE,Inputs!$B$32,0)))*(1-IF(AND(ArtifactsInput!$M$27,Inputs!$B$4="Chapter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IFERROR(1/(IF(Inputs!$B$38="pvp",15,MAX(0.1,Skills!E21-IF(Skills!F21=TRUE,Inputs!$B$32,0)))*(1-IF(AND(ArtifactsInput!$M$27,Inputs!$B$4="Chapter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IFERROR(1/(IF(Inputs!$B$38="pvp",15,MAX(0.1,Skills!E22-IF(Skills!F22=TRUE,Inputs!$B$32,0)))*(1-IF(AND(ArtifactsInput!$M$27,Inputs!$B$4="Chapter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IFERROR(1/(IF(Inputs!$B$38="pvp",15,MAX(0.1,Skills!E23-IF(Skills!F23=TRUE,Inputs!$B$32,0)))*(1-IF(AND(ArtifactsInput!$M$27,Inputs!$B$4="Chapter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IFERROR(1/(IF(Inputs!$B$38="pvp",15,MAX(0.1,Skills!E24-IF(Skills!F24=TRUE,Inputs!$B$32,0)))*(1-IF(AND(ArtifactsInput!$M$27,Inputs!$B$4="Chapter Hunt"),CHOOSE(ArtifactsInput!$N$27+1,20,24,28,32,36,40),0)/100)),0)</f>
        <v/>
      </c>
      <c r="R622">
        <f>IF(AND(Inputs!$B$38&lt;&gt;"pvp",Inputs!$B$43&gt;0),IF(MAX(0,Inputs!$B$43-B636)&lt;=0,0,(INT(MAX(0,Inputs!$B$43-B636)/(IF(Inputs!$B$38="pvp",15,MAX(0.1,Skills!E24-IF(Skills!F24=TRUE,Inputs!$B$32,0)))*(1-IF(AND(ArtifactsInput!$M$27,Inputs!$B$4="Chapter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IFERROR(1/(IF(Inputs!$B$38="pvp",15,MAX(0.1,Skills!E25-IF(Skills!F25=TRUE,Inputs!$B$32,0)))*(1-IF(AND(ArtifactsInput!$M$27,Inputs!$B$4="Chapter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IFERROR(1/(IF(Inputs!$B$38="pvp",15,MAX(0.1,Skills!E26-IF(Skills!F26=TRUE,Inputs!$B$32,0)))*(1-IF(AND(ArtifactsInput!$M$27,Inputs!$B$4="Chapter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IFERROR(1/(IF(Inputs!$B$38="pvp",15,MAX(0.1,Skills!E27-IF(Skills!F27=TRUE,Inputs!$B$32,0)))*(1-IF(AND(ArtifactsInput!$M$27,Inputs!$B$4="Chapter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IFERROR(1/(IF(Inputs!$B$38="pvp",15,MAX(0.1,Skills!E28-IF(Skills!F28=TRUE,Inputs!$B$32,0)))*(1-IF(AND(ArtifactsInput!$M$27,Inputs!$B$4="Chapter Hunt"),CHOOSE(ArtifactsInput!$N$27+1,20,24,28,32,36,40),0)/100)),0)</f>
        <v/>
      </c>
      <c r="R626">
        <f>IF(AND(Inputs!$B$38&lt;&gt;"pvp",Inputs!$B$43&gt;0),IF(MAX(0,Inputs!$B$43-B636)&lt;=0,0,(INT(MAX(0,Inputs!$B$43-B636)/(IF(Inputs!$B$38="pvp",15,MAX(0.1,Skills!E28-IF(Skills!F28=TRUE,Inputs!$B$32,0)))*(1-IF(AND(ArtifactsInput!$M$27,Inputs!$B$4="Chapter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Skills!T6*(1+((Inputs!$B$34+(ArtifactsInput!$M$7-ArtifactsInput!$M$7)*CHOOSE(ArtifactsInput!$N$7+1,6,7.2,8.4,9.6,10.8,12))+IF(Inputs!$B$3&gt;=117,F623,0))/100))+MIN((Skills!T6*(1+((Inputs!$B$34+(ArtifactsInput!$M$7-ArtifactsInput!$M$7)*CHOOSE(ArtifactsInput!$N$7+1,6,7.2,8.4,9.6,10.8,12))+IF(Inputs!$B$3&gt;=117,F623,0))/100)),MAX(0,Inputs!$B$43-((R604-1)*Skills!E6))))/Inputs!$B$43),IF(Inputs!$B$38="pvp",MIN((Skills!T6*(1+((Inputs!$B$34+(ArtifactsInput!$M$7-ArtifactsInput!$M$7)*CHOOSE(ArtifactsInput!$N$7+1,6,7.2,8.4,9.6,10.8,12))+IF(Inputs!$B$3&gt;=117,F623,0))/100)),15)/15,(Skills!T6*(1+((Inputs!$B$34+(ArtifactsInput!$M$7-ArtifactsInput!$M$7)*CHOOSE(ArtifactsInput!$N$7+1,6,7.2,8.4,9.6,10.8,12))+IF(Inputs!$B$3&gt;=117,F623,0))/100))/Skills!E6))+F615*IF(AND(Inputs!$B$38&lt;&gt;"pvp",Inputs!$B$43&gt;0),(((R615-1)*(Skills!T17*(1+((Inputs!$B$34+(ArtifactsInput!$M$7-ArtifactsInput!$M$7)*CHOOSE(ArtifactsInput!$N$7+1,6,7.2,8.4,9.6,10.8,12))+IF(Inputs!$B$3&gt;=117,F623,0))/100))+MIN((Skills!T17*(1+((Inputs!$B$34+(ArtifactsInput!$M$7-ArtifactsInput!$M$7)*CHOOSE(ArtifactsInput!$N$7+1,6,7.2,8.4,9.6,10.8,12))+IF(Inputs!$B$3&gt;=117,F623,0))/100)),MAX(0,Inputs!$B$43-((R615-1)*Skills!E17))))/Inputs!$B$43),IF(Inputs!$B$38="pvp",MIN((Skills!T17*(1+((Inputs!$B$34+(ArtifactsInput!$M$7-ArtifactsInput!$M$7)*CHOOSE(ArtifactsInput!$N$7+1,6,7.2,8.4,9.6,10.8,12))+IF(Inputs!$B$3&gt;=117,F623,0))/100)),15)/15,(Skills!T17*(1+((Inputs!$B$34+(ArtifactsInput!$M$7-ArtifactsInput!$M$7)*CHOOSE(ArtifactsInput!$N$7+1,6,7.2,8.4,9.6,10.8,12))+IF(Inputs!$B$3&gt;=117,F623,0)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Skills!T19*(1+((Inputs!$B$34+(ArtifactsInput!$M$7-ArtifactsInput!$M$7)*CHOOSE(ArtifactsInput!$N$7+1,6,7.2,8.4,9.6,10.8,12))+IF(Inputs!$B$3&gt;=117,F623,0))/100))+MIN((Skills!T19*(1+((Inputs!$B$34+(ArtifactsInput!$M$7-ArtifactsInput!$M$7)*CHOOSE(ArtifactsInput!$N$7+1,6,7.2,8.4,9.6,10.8,12))+IF(Inputs!$B$3&gt;=117,F623,0))/100)),MAX(0,Inputs!$B$43-((R617-1)*Skills!E19))))/Inputs!$B$43),IF(Inputs!$B$38="pvp",MIN((Skills!T19*(1+((Inputs!$B$34+(ArtifactsInput!$M$7-ArtifactsInput!$M$7)*CHOOSE(ArtifactsInput!$N$7+1,6,7.2,8.4,9.6,10.8,12))+IF(Inputs!$B$3&gt;=117,F623,0))/100)),15)/15,(Skills!T19*(1+((Inputs!$B$34+(ArtifactsInput!$M$7-ArtifactsInput!$M$7)*CHOOSE(ArtifactsInput!$N$7+1,6,7.2,8.4,9.6,10.8,12))+IF(Inputs!$B$3&gt;=117,F623,0))/100))/Skills!E19))/100),1)</f>
        <v/>
      </c>
    </row>
    <row r="631">
      <c r="A631" t="inlineStr">
        <is>
          <t>Attack Speed Buff Bonus % (Nimble Feet, averaged)</t>
        </is>
      </c>
      <c r="B631">
        <f>F616*IF(AND(Inputs!$B$38&lt;&gt;"pvp",Inputs!$B$43&gt;0),(((R616-1)*(Skills!T18*(1+((Inputs!$B$34+(ArtifactsInput!$M$7-ArtifactsInput!$M$7)*CHOOSE(ArtifactsInput!$N$7+1,6,7.2,8.4,9.6,10.8,12))+IF(Inputs!$B$3&gt;=117,F623,0))/100))+MIN((Skills!T18*(1+((Inputs!$B$34+(ArtifactsInput!$M$7-ArtifactsInput!$M$7)*CHOOSE(ArtifactsInput!$N$7+1,6,7.2,8.4,9.6,10.8,12))+IF(Inputs!$B$3&gt;=117,F623,0))/100)),MAX(0,Inputs!$B$43-((R616-1)*Skills!E18))))/Inputs!$B$43),IF(Inputs!$B$38="pvp",MIN((Skills!T18*(1+((Inputs!$B$34+(ArtifactsInput!$M$7-ArtifactsInput!$M$7)*CHOOSE(ArtifactsInput!$N$7+1,6,7.2,8.4,9.6,10.8,12))+IF(Inputs!$B$3&gt;=117,F623,0))/100)),15)/15,(Skills!T18*(1+((Inputs!$B$34+(ArtifactsInput!$M$7-ArtifactsInput!$M$7)*CHOOSE(ArtifactsInput!$N$7+1,6,7.2,8.4,9.6,10.8,12))+IF(Inputs!$B$3&gt;=117,F623,0))/100))/Skills!E18))</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IFERROR(1/(IF(Inputs!$B$38="pvp",15,MAX(0.1,Skills!E2-IF(Skills!F2=TRUE,Inputs!$B$32,0)))*(1-IF(AND(ArtifactsInput!$M$27,Inputs!$B$4="Chapter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IFERROR(1/(IF(Inputs!$B$38="pvp",15,MAX(0.1,Skills!E3-IF(Skills!F3=TRUE,Inputs!$B$32,0)))*(1-IF(AND(ArtifactsInput!$M$27,Inputs!$B$4="Chapter Hunt"),CHOOSE(ArtifactsInput!$N$27+1,20,24,28,32,36,40),0)/100)),0)</f>
        <v/>
      </c>
      <c r="R645">
        <f>IF(AND(Inputs!$B$38&lt;&gt;"pvp",Inputs!$B$43&gt;0),IF(MAX(0,Inputs!$B$43-B680)&lt;=0,0,(INT(MAX(0,Inputs!$B$43-B680)/(IF(Inputs!$B$38="pvp",15,MAX(0.1,Skills!E3-IF(Skills!F3=TRUE,Inputs!$B$32,0)))*(1-IF(AND(ArtifactsInput!$M$27,Inputs!$B$4="Chapter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IFERROR(1/(IF(Inputs!$B$38="pvp",15,MAX(0.1,Skills!E4-IF(Skills!F4=TRUE,Inputs!$B$32,0)))*(1-IF(AND(ArtifactsInput!$M$27,Inputs!$B$4="Chapter Hunt"),CHOOSE(ArtifactsInput!$N$27+1,20,24,28,32,36,40),0)/100)),0)</f>
        <v/>
      </c>
      <c r="R646">
        <f>IF(AND(Inputs!$B$38&lt;&gt;"pvp",Inputs!$B$43&gt;0),IF(MAX(0,Inputs!$B$43-B680)&lt;=0,0,(INT(MAX(0,Inputs!$B$43-B680)/(IF(Inputs!$B$38="pvp",15,MAX(0.1,Skills!E4-IF(Skills!F4=TRUE,Inputs!$B$32,0)))*(1-IF(AND(ArtifactsInput!$M$27,Inputs!$B$4="Chapter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IFERROR(1/(IF(Inputs!$B$38="pvp",15,MAX(0.1,Skills!E5-IF(Skills!F5=TRUE,Inputs!$B$32,0)))*(1-IF(AND(ArtifactsInput!$M$27,Inputs!$B$4="Chapter Hunt"),CHOOSE(ArtifactsInput!$N$27+1,20,24,28,32,36,40),0)/100)),0)</f>
        <v/>
      </c>
      <c r="R647">
        <f>IF(AND(Inputs!$B$38&lt;&gt;"pvp",Inputs!$B$43&gt;0),IF(MAX(0,Inputs!$B$43-B680)&lt;=0,0,(INT(MAX(0,Inputs!$B$43-B680)/(IF(Inputs!$B$38="pvp",15,MAX(0.1,Skills!E5-IF(Skills!F5=TRUE,Inputs!$B$32,0)))*(1-IF(AND(ArtifactsInput!$M$27,Inputs!$B$4="Chapter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IFERROR(1/(IF(Inputs!$B$38="pvp",15,MAX(0.1,Skills!E6-IF(Skills!F6=TRUE,Inputs!$B$32,0)))*(1-IF(AND(ArtifactsInput!$M$27,Inputs!$B$4="Chapter Hunt"),CHOOSE(ArtifactsInput!$N$27+1,20,24,28,32,36,40),0)/100)),0)</f>
        <v/>
      </c>
      <c r="R648">
        <f>IF(AND(Inputs!$B$38&lt;&gt;"pvp",Inputs!$B$43&gt;0),IF(Inputs!$B$43&lt;=0,0,(INT(Inputs!$B$43/(IF(Inputs!$B$38="pvp",15,MAX(0.1,Skills!E6-IF(Skills!F6=TRUE,Inputs!$B$32,0)))*(1-IF(AND(ArtifactsInput!$M$27,Inputs!$B$4="Chapter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IFERROR(1/(IF(Inputs!$B$38="pvp",15,MAX(0.1,Skills!E7-IF(Skills!F7=TRUE,Inputs!$B$32,0)))*(1-IF(AND(ArtifactsInput!$M$27,Inputs!$B$4="Chapter Hunt"),CHOOSE(ArtifactsInput!$N$27+1,20,24,28,32,36,40),0)/100)),0)</f>
        <v/>
      </c>
      <c r="R649">
        <f>IF(AND(Inputs!$B$38&lt;&gt;"pvp",Inputs!$B$43&gt;0),IF(MAX(0,Inputs!$B$43-B680)&lt;=0,0,(INT(MAX(0,Inputs!$B$43-B680)/(IF(Inputs!$B$38="pvp",15,MAX(0.1,Skills!E7-IF(Skills!F7=TRUE,Inputs!$B$32,0)))*(1-IF(AND(ArtifactsInput!$M$27,Inputs!$B$4="Chapter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IFERROR(1/(IF(Inputs!$B$38="pvp",15,MAX(0.1,Skills!E8-IF(Skills!F8=TRUE,Inputs!$B$32,0)))*(1-IF(AND(ArtifactsInput!$M$27,Inputs!$B$4="Chapter Hunt"),CHOOSE(ArtifactsInput!$N$27+1,20,24,28,32,36,40),0)/100)),0)</f>
        <v/>
      </c>
      <c r="R650">
        <f>IF(AND(Inputs!$B$38&lt;&gt;"pvp",Inputs!$B$43&gt;0),IF(MAX(0,Inputs!$B$43-B680)&lt;=0,0,(INT(MAX(0,Inputs!$B$43-B680)/(IF(Inputs!$B$38="pvp",15,MAX(0.1,Skills!E8-IF(Skills!F8=TRUE,Inputs!$B$32,0)))*(1-IF(AND(ArtifactsInput!$M$27,Inputs!$B$4="Chapter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IFERROR(1/(IF(Inputs!$B$38="pvp",15,MAX(0.1,Skills!E9-IF(Skills!F7=TRUE,Inputs!$B$32,0)))*(1-IF(AND(ArtifactsInput!$M$27,Inputs!$B$4="Chapter Hunt"),CHOOSE(ArtifactsInput!$N$27+1,20,24,28,32,36,40),0)/100)),0)</f>
        <v/>
      </c>
      <c r="R651">
        <f>IF(AND(Inputs!$B$38&lt;&gt;"pvp",Inputs!$B$43&gt;0),IF(MAX(0,Inputs!$B$43-B680)&lt;=0,0,(INT(MAX(0,Inputs!$B$43-B680)/(IF(Inputs!$B$38="pvp",15,MAX(0.1,Skills!E9-IF(Skills!F7=TRUE,Inputs!$B$32,0)))*(1-IF(AND(ArtifactsInput!$M$27,Inputs!$B$4="Chapter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IFERROR(1/(IF(Inputs!$B$38="pvp",15,MAX(0.1,Skills!E10-IF(Skills!F10=TRUE,Inputs!$B$32,0)))*(1-IF(AND(ArtifactsInput!$M$27,Inputs!$B$4="Chapter Hunt"),CHOOSE(ArtifactsInput!$N$27+1,20,24,28,32,36,40),0)/100)),0)</f>
        <v/>
      </c>
      <c r="R652">
        <f>IF(AND(Inputs!$B$38&lt;&gt;"pvp",Inputs!$B$43&gt;0),IF(MAX(0,Inputs!$B$43-B680)&lt;=0,0,(INT(MAX(0,Inputs!$B$43-B680)/(IF(Inputs!$B$38="pvp",15,MAX(0.1,Skills!E10-IF(Skills!F10=TRUE,Inputs!$B$32,0)))*(1-IF(AND(ArtifactsInput!$M$27,Inputs!$B$4="Chapter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IFERROR(1/(IF(Inputs!$B$38="pvp",15,MAX(0.1,Skills!E11-IF(Skills!F11=TRUE,Inputs!$B$32,0)))*(1-IF(AND(ArtifactsInput!$M$27,Inputs!$B$4="Chapter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IFERROR(1/(IF(Inputs!$B$38="pvp",15,MAX(0.1,Skills!E12-IF(Skills!F12=TRUE,Inputs!$B$32,0)))*(1-IF(AND(ArtifactsInput!$M$27,Inputs!$B$4="Chapter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IFERROR(1/(IF(Inputs!$B$38="pvp",15,MAX(0.1,Skills!E13-IF(Skills!F13=TRUE,Inputs!$B$32,0)))*(1-IF(AND(ArtifactsInput!$M$27,Inputs!$B$4="Chapter Hunt"),CHOOSE(ArtifactsInput!$N$27+1,20,24,28,32,36,40),0)/100)),0)</f>
        <v/>
      </c>
      <c r="R655">
        <f>IF(AND(Inputs!$B$38&lt;&gt;"pvp",Inputs!$B$43&gt;0),IF(MAX(0,Inputs!$B$43-B680)&lt;=0,0,(INT(MAX(0,Inputs!$B$43-B680)/(IF(Inputs!$B$38="pvp",15,MAX(0.1,Skills!E13-IF(Skills!F13=TRUE,Inputs!$B$32,0)))*(1-IF(AND(ArtifactsInput!$M$27,Inputs!$B$4="Chapter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IFERROR(1/(IF(Inputs!$B$38="pvp",15,MAX(0.1,Skills!E14-IF(Skills!F14=TRUE,Inputs!$B$32,0)))*(1-IF(AND(ArtifactsInput!$M$27,Inputs!$B$4="Chapter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IFERROR(1/(IF(Inputs!$B$38="pvp",15,MAX(0.1,Skills!E15-IF(Skills!F15=TRUE,Inputs!$B$32,0)))*(1-IF(AND(ArtifactsInput!$M$27,Inputs!$B$4="Chapter Hunt"),CHOOSE(ArtifactsInput!$N$27+1,20,24,28,32,36,40),0)/100)),0)</f>
        <v/>
      </c>
      <c r="R657">
        <f>IF(AND(Inputs!$B$38&lt;&gt;"pvp",Inputs!$B$43&gt;0),IF(MAX(0,Inputs!$B$43-B680)&lt;=0,0,(INT(MAX(0,Inputs!$B$43-B680)/(IF(Inputs!$B$38="pvp",15,MAX(0.1,Skills!E15-IF(Skills!F15=TRUE,Inputs!$B$32,0)))*(1-IF(AND(ArtifactsInput!$M$27,Inputs!$B$4="Chapter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IFERROR(1/(IF(Inputs!$B$38="pvp",15,MAX(0.1,Skills!E16-IF(Skills!F16=TRUE,Inputs!$B$32,0)))*(1-IF(AND(ArtifactsInput!$M$27,Inputs!$B$4="Chapter Hunt"),CHOOSE(ArtifactsInput!$N$27+1,20,24,28,32,36,40),0)/100)),0)</f>
        <v/>
      </c>
      <c r="R658">
        <f>IF(AND(Inputs!$B$38&lt;&gt;"pvp",Inputs!$B$43&gt;0),IF(MAX(0,Inputs!$B$43-B680)&lt;=0,0,(INT(MAX(0,Inputs!$B$43-B680)/(IF(Inputs!$B$38="pvp",15,MAX(0.1,Skills!E16-IF(Skills!F16=TRUE,Inputs!$B$32,0)))*(1-IF(AND(ArtifactsInput!$M$27,Inputs!$B$4="Chapter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IFERROR(1/(IF(Inputs!$B$38="pvp",15,MAX(0.1,Skills!E17-IF(Skills!F17=TRUE,Inputs!$B$32,0)))*(1-IF(AND(ArtifactsInput!$M$27,Inputs!$B$4="Chapter Hunt"),CHOOSE(ArtifactsInput!$N$27+1,20,24,28,32,36,40),0)/100)),0)</f>
        <v/>
      </c>
      <c r="R659">
        <f>IF(AND(Inputs!$B$38&lt;&gt;"pvp",Inputs!$B$43&gt;0),IF(Inputs!$B$43&lt;=0,0,(INT(Inputs!$B$43/(IF(Inputs!$B$38="pvp",15,MAX(0.1,Skills!E17-IF(Skills!F17=TRUE,Inputs!$B$32,0)))*(1-IF(AND(ArtifactsInput!$M$27,Inputs!$B$4="Chapter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IFERROR(1/(IF(Inputs!$B$38="pvp",15,MAX(0.1,Skills!E18-IF(Skills!F18=TRUE,Inputs!$B$32,0)))*(1-IF(AND(ArtifactsInput!$M$27,Inputs!$B$4="Chapter Hunt"),CHOOSE(ArtifactsInput!$N$27+1,20,24,28,32,36,40),0)/100)),0)</f>
        <v/>
      </c>
      <c r="R660">
        <f>IF(AND(Inputs!$B$38&lt;&gt;"pvp",Inputs!$B$43&gt;0),IF(Inputs!$B$43&lt;=0,0,(INT(Inputs!$B$43/(IF(Inputs!$B$38="pvp",15,MAX(0.1,Skills!E18-IF(Skills!F18=TRUE,Inputs!$B$32,0)))*(1-IF(AND(ArtifactsInput!$M$27,Inputs!$B$4="Chapter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IFERROR(1/(IF(Inputs!$B$38="pvp",15,MAX(0.1,Skills!E19-IF(Skills!F19=TRUE,Inputs!$B$32,0)))*(1-IF(AND(ArtifactsInput!$M$27,Inputs!$B$4="Chapter Hunt"),CHOOSE(ArtifactsInput!$N$27+1,20,24,28,32,36,40),0)/100)),0)</f>
        <v/>
      </c>
      <c r="R661">
        <f>IF(AND(Inputs!$B$38&lt;&gt;"pvp",Inputs!$B$43&gt;0),IF(Inputs!$B$43&lt;=0,0,(INT(Inputs!$B$43/(IF(Inputs!$B$38="pvp",15,MAX(0.1,Skills!E19-IF(Skills!F19=TRUE,Inputs!$B$32,0)))*(1-IF(AND(ArtifactsInput!$M$27,Inputs!$B$4="Chapter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IFERROR(1/(IF(Inputs!$B$38="pvp",15,MAX(0.1,Skills!E20-IF(Skills!F20=TRUE,Inputs!$B$32,0)))*(1-IF(AND(ArtifactsInput!$M$27,Inputs!$B$4="Chapter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IFERROR(1/(IF(Inputs!$B$38="pvp",15,MAX(0.1,Skills!E21-IF(Skills!F21=TRUE,Inputs!$B$32,0)))*(1-IF(AND(ArtifactsInput!$M$27,Inputs!$B$4="Chapter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IFERROR(1/(IF(Inputs!$B$38="pvp",15,MAX(0.1,Skills!E22-IF(Skills!F22=TRUE,Inputs!$B$32,0)))*(1-IF(AND(ArtifactsInput!$M$27,Inputs!$B$4="Chapter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IFERROR(1/(IF(Inputs!$B$38="pvp",15,MAX(0.1,Skills!E23-IF(Skills!F23=TRUE,Inputs!$B$32,0)))*(1-IF(AND(ArtifactsInput!$M$27,Inputs!$B$4="Chapter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IFERROR(1/(IF(Inputs!$B$38="pvp",15,MAX(0.1,Skills!E24-IF(Skills!F24=TRUE,Inputs!$B$32,0)))*(1-IF(AND(ArtifactsInput!$M$27,Inputs!$B$4="Chapter Hunt"),CHOOSE(ArtifactsInput!$N$27+1,20,24,28,32,36,40),0)/100)),0)</f>
        <v/>
      </c>
      <c r="R666">
        <f>IF(AND(Inputs!$B$38&lt;&gt;"pvp",Inputs!$B$43&gt;0),IF(MAX(0,Inputs!$B$43-B680)&lt;=0,0,(INT(MAX(0,Inputs!$B$43-B680)/(IF(Inputs!$B$38="pvp",15,MAX(0.1,Skills!E24-IF(Skills!F24=TRUE,Inputs!$B$32,0)))*(1-IF(AND(ArtifactsInput!$M$27,Inputs!$B$4="Chapter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IFERROR(1/(IF(Inputs!$B$38="pvp",15,MAX(0.1,Skills!E25-IF(Skills!F25=TRUE,Inputs!$B$32,0)))*(1-IF(AND(ArtifactsInput!$M$27,Inputs!$B$4="Chapter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IFERROR(1/(IF(Inputs!$B$38="pvp",15,MAX(0.1,Skills!E26-IF(Skills!F26=TRUE,Inputs!$B$32,0)))*(1-IF(AND(ArtifactsInput!$M$27,Inputs!$B$4="Chapter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IFERROR(1/(IF(Inputs!$B$38="pvp",15,MAX(0.1,Skills!E27-IF(Skills!F27=TRUE,Inputs!$B$32,0)))*(1-IF(AND(ArtifactsInput!$M$27,Inputs!$B$4="Chapter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IFERROR(1/(IF(Inputs!$B$38="pvp",15,MAX(0.1,Skills!E28-IF(Skills!F28=TRUE,Inputs!$B$32,0)))*(1-IF(AND(ArtifactsInput!$M$27,Inputs!$B$4="Chapter Hunt"),CHOOSE(ArtifactsInput!$N$27+1,20,24,28,32,36,40),0)/100)),0)</f>
        <v/>
      </c>
      <c r="R670">
        <f>IF(AND(Inputs!$B$38&lt;&gt;"pvp",Inputs!$B$43&gt;0),IF(MAX(0,Inputs!$B$43-B680)&lt;=0,0,(INT(MAX(0,Inputs!$B$43-B680)/(IF(Inputs!$B$38="pvp",15,MAX(0.1,Skills!E28-IF(Skills!F28=TRUE,Inputs!$B$32,0)))*(1-IF(AND(ArtifactsInput!$M$27,Inputs!$B$4="Chapter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Skills!T6*(1+((Inputs!$B$34+(ArtifactsInput!$M$7-ArtifactsInput!$M$7)*CHOOSE(ArtifactsInput!$N$7+1,6,7.2,8.4,9.6,10.8,12))+IF(Inputs!$B$3&gt;=117,F667,0))/100))+MIN((Skills!T6*(1+((Inputs!$B$34+(ArtifactsInput!$M$7-ArtifactsInput!$M$7)*CHOOSE(ArtifactsInput!$N$7+1,6,7.2,8.4,9.6,10.8,12))+IF(Inputs!$B$3&gt;=117,F667,0))/100)),MAX(0,Inputs!$B$43-((R648-1)*Skills!E6))))/Inputs!$B$43),IF(Inputs!$B$38="pvp",MIN((Skills!T6*(1+((Inputs!$B$34+(ArtifactsInput!$M$7-ArtifactsInput!$M$7)*CHOOSE(ArtifactsInput!$N$7+1,6,7.2,8.4,9.6,10.8,12))+IF(Inputs!$B$3&gt;=117,F667,0))/100)),15)/15,(Skills!T6*(1+((Inputs!$B$34+(ArtifactsInput!$M$7-ArtifactsInput!$M$7)*CHOOSE(ArtifactsInput!$N$7+1,6,7.2,8.4,9.6,10.8,12))+IF(Inputs!$B$3&gt;=117,F667,0))/100))/Skills!E6))+F659*IF(AND(Inputs!$B$38&lt;&gt;"pvp",Inputs!$B$43&gt;0),(((R659-1)*(Skills!T17*(1+((Inputs!$B$34+(ArtifactsInput!$M$7-ArtifactsInput!$M$7)*CHOOSE(ArtifactsInput!$N$7+1,6,7.2,8.4,9.6,10.8,12))+IF(Inputs!$B$3&gt;=117,F667,0))/100))+MIN((Skills!T17*(1+((Inputs!$B$34+(ArtifactsInput!$M$7-ArtifactsInput!$M$7)*CHOOSE(ArtifactsInput!$N$7+1,6,7.2,8.4,9.6,10.8,12))+IF(Inputs!$B$3&gt;=117,F667,0))/100)),MAX(0,Inputs!$B$43-((R659-1)*Skills!E17))))/Inputs!$B$43),IF(Inputs!$B$38="pvp",MIN((Skills!T17*(1+((Inputs!$B$34+(ArtifactsInput!$M$7-ArtifactsInput!$M$7)*CHOOSE(ArtifactsInput!$N$7+1,6,7.2,8.4,9.6,10.8,12))+IF(Inputs!$B$3&gt;=117,F667,0))/100)),15)/15,(Skills!T17*(1+((Inputs!$B$34+(ArtifactsInput!$M$7-ArtifactsInput!$M$7)*CHOOSE(ArtifactsInput!$N$7+1,6,7.2,8.4,9.6,10.8,12))+IF(Inputs!$B$3&gt;=117,F667,0)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Skills!T19*(1+((Inputs!$B$34+(ArtifactsInput!$M$7-ArtifactsInput!$M$7)*CHOOSE(ArtifactsInput!$N$7+1,6,7.2,8.4,9.6,10.8,12))+IF(Inputs!$B$3&gt;=117,F667,0))/100))+MIN((Skills!T19*(1+((Inputs!$B$34+(ArtifactsInput!$M$7-ArtifactsInput!$M$7)*CHOOSE(ArtifactsInput!$N$7+1,6,7.2,8.4,9.6,10.8,12))+IF(Inputs!$B$3&gt;=117,F667,0))/100)),MAX(0,Inputs!$B$43-((R661-1)*Skills!E19))))/Inputs!$B$43),IF(Inputs!$B$38="pvp",MIN((Skills!T19*(1+((Inputs!$B$34+(ArtifactsInput!$M$7-ArtifactsInput!$M$7)*CHOOSE(ArtifactsInput!$N$7+1,6,7.2,8.4,9.6,10.8,12))+IF(Inputs!$B$3&gt;=117,F667,0))/100)),15)/15,(Skills!T19*(1+((Inputs!$B$34+(ArtifactsInput!$M$7-ArtifactsInput!$M$7)*CHOOSE(ArtifactsInput!$N$7+1,6,7.2,8.4,9.6,10.8,12))+IF(Inputs!$B$3&gt;=117,F667,0))/100))/Skills!E19))/100),1)</f>
        <v/>
      </c>
    </row>
    <row r="675">
      <c r="A675" t="inlineStr">
        <is>
          <t>Attack Speed Buff Bonus % (Nimble Feet, averaged)</t>
        </is>
      </c>
      <c r="B675">
        <f>F660*IF(AND(Inputs!$B$38&lt;&gt;"pvp",Inputs!$B$43&gt;0),(((R660-1)*(Skills!T18*(1+((Inputs!$B$34+(ArtifactsInput!$M$7-ArtifactsInput!$M$7)*CHOOSE(ArtifactsInput!$N$7+1,6,7.2,8.4,9.6,10.8,12))+IF(Inputs!$B$3&gt;=117,F667,0))/100))+MIN((Skills!T18*(1+((Inputs!$B$34+(ArtifactsInput!$M$7-ArtifactsInput!$M$7)*CHOOSE(ArtifactsInput!$N$7+1,6,7.2,8.4,9.6,10.8,12))+IF(Inputs!$B$3&gt;=117,F667,0))/100)),MAX(0,Inputs!$B$43-((R660-1)*Skills!E18))))/Inputs!$B$43),IF(Inputs!$B$38="pvp",MIN((Skills!T18*(1+((Inputs!$B$34+(ArtifactsInput!$M$7-ArtifactsInput!$M$7)*CHOOSE(ArtifactsInput!$N$7+1,6,7.2,8.4,9.6,10.8,12))+IF(Inputs!$B$3&gt;=117,F667,0))/100)),15)/15,(Skills!T18*(1+((Inputs!$B$34+(ArtifactsInput!$M$7-ArtifactsInput!$M$7)*CHOOSE(ArtifactsInput!$N$7+1,6,7.2,8.4,9.6,10.8,12))+IF(Inputs!$B$3&gt;=117,F667,0))/100))/Skills!E18))</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IFERROR(1/(IF(Inputs!$B$38="pvp",15,MAX(0.1,Skills!E2-IF(Skills!F2=TRUE,Inputs!$B$32,0)))*(1-IF(AND(ArtifactsInput!$M$27,Inputs!$B$4="Chapter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IFERROR(1/(IF(Inputs!$B$38="pvp",15,MAX(0.1,Skills!E3-IF(Skills!F3=TRUE,Inputs!$B$32,0)))*(1-IF(AND(ArtifactsInput!$M$27,Inputs!$B$4="Chapter Hunt"),CHOOSE(ArtifactsInput!$N$27+1,20,24,28,32,36,40),0)/100)),0)</f>
        <v/>
      </c>
      <c r="R689">
        <f>IF(AND(Inputs!$B$38&lt;&gt;"pvp",Inputs!$B$43&gt;0),IF(MAX(0,Inputs!$B$43-B724)&lt;=0,0,(INT(MAX(0,Inputs!$B$43-B724)/(IF(Inputs!$B$38="pvp",15,MAX(0.1,Skills!E3-IF(Skills!F3=TRUE,Inputs!$B$32,0)))*(1-IF(AND(ArtifactsInput!$M$27,Inputs!$B$4="Chapter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IFERROR(1/(IF(Inputs!$B$38="pvp",15,MAX(0.1,Skills!E4-IF(Skills!F4=TRUE,Inputs!$B$32,0)))*(1-IF(AND(ArtifactsInput!$M$27,Inputs!$B$4="Chapter Hunt"),CHOOSE(ArtifactsInput!$N$27+1,20,24,28,32,36,40),0)/100)),0)</f>
        <v/>
      </c>
      <c r="R690">
        <f>IF(AND(Inputs!$B$38&lt;&gt;"pvp",Inputs!$B$43&gt;0),IF(MAX(0,Inputs!$B$43-B724)&lt;=0,0,(INT(MAX(0,Inputs!$B$43-B724)/(IF(Inputs!$B$38="pvp",15,MAX(0.1,Skills!E4-IF(Skills!F4=TRUE,Inputs!$B$32,0)))*(1-IF(AND(ArtifactsInput!$M$27,Inputs!$B$4="Chapter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IFERROR(1/(IF(Inputs!$B$38="pvp",15,MAX(0.1,Skills!E5-IF(Skills!F5=TRUE,Inputs!$B$32,0)))*(1-IF(AND(ArtifactsInput!$M$27,Inputs!$B$4="Chapter Hunt"),CHOOSE(ArtifactsInput!$N$27+1,20,24,28,32,36,40),0)/100)),0)</f>
        <v/>
      </c>
      <c r="R691">
        <f>IF(AND(Inputs!$B$38&lt;&gt;"pvp",Inputs!$B$43&gt;0),IF(MAX(0,Inputs!$B$43-B724)&lt;=0,0,(INT(MAX(0,Inputs!$B$43-B724)/(IF(Inputs!$B$38="pvp",15,MAX(0.1,Skills!E5-IF(Skills!F5=TRUE,Inputs!$B$32,0)))*(1-IF(AND(ArtifactsInput!$M$27,Inputs!$B$4="Chapter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IFERROR(1/(IF(Inputs!$B$38="pvp",15,MAX(0.1,Skills!E6-IF(Skills!F6=TRUE,Inputs!$B$32,0)))*(1-IF(AND(ArtifactsInput!$M$27,Inputs!$B$4="Chapter Hunt"),CHOOSE(ArtifactsInput!$N$27+1,20,24,28,32,36,40),0)/100)),0)</f>
        <v/>
      </c>
      <c r="R692">
        <f>IF(AND(Inputs!$B$38&lt;&gt;"pvp",Inputs!$B$43&gt;0),IF(Inputs!$B$43&lt;=0,0,(INT(Inputs!$B$43/(IF(Inputs!$B$38="pvp",15,MAX(0.1,Skills!E6-IF(Skills!F6=TRUE,Inputs!$B$32,0)))*(1-IF(AND(ArtifactsInput!$M$27,Inputs!$B$4="Chapter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IFERROR(1/(IF(Inputs!$B$38="pvp",15,MAX(0.1,Skills!E7-IF(Skills!F7=TRUE,Inputs!$B$32,0)))*(1-IF(AND(ArtifactsInput!$M$27,Inputs!$B$4="Chapter Hunt"),CHOOSE(ArtifactsInput!$N$27+1,20,24,28,32,36,40),0)/100)),0)</f>
        <v/>
      </c>
      <c r="R693">
        <f>IF(AND(Inputs!$B$38&lt;&gt;"pvp",Inputs!$B$43&gt;0),IF(MAX(0,Inputs!$B$43-B724)&lt;=0,0,(INT(MAX(0,Inputs!$B$43-B724)/(IF(Inputs!$B$38="pvp",15,MAX(0.1,Skills!E7-IF(Skills!F7=TRUE,Inputs!$B$32,0)))*(1-IF(AND(ArtifactsInput!$M$27,Inputs!$B$4="Chapter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IFERROR(1/(IF(Inputs!$B$38="pvp",15,MAX(0.1,Skills!E8-IF(Skills!F8=TRUE,Inputs!$B$32,0)))*(1-IF(AND(ArtifactsInput!$M$27,Inputs!$B$4="Chapter Hunt"),CHOOSE(ArtifactsInput!$N$27+1,20,24,28,32,36,40),0)/100)),0)</f>
        <v/>
      </c>
      <c r="R694">
        <f>IF(AND(Inputs!$B$38&lt;&gt;"pvp",Inputs!$B$43&gt;0),IF(MAX(0,Inputs!$B$43-B724)&lt;=0,0,(INT(MAX(0,Inputs!$B$43-B724)/(IF(Inputs!$B$38="pvp",15,MAX(0.1,Skills!E8-IF(Skills!F8=TRUE,Inputs!$B$32,0)))*(1-IF(AND(ArtifactsInput!$M$27,Inputs!$B$4="Chapter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IFERROR(1/(IF(Inputs!$B$38="pvp",15,MAX(0.1,Skills!E9-IF(Skills!F7=TRUE,Inputs!$B$32,0)))*(1-IF(AND(ArtifactsInput!$M$27,Inputs!$B$4="Chapter Hunt"),CHOOSE(ArtifactsInput!$N$27+1,20,24,28,32,36,40),0)/100)),0)</f>
        <v/>
      </c>
      <c r="R695">
        <f>IF(AND(Inputs!$B$38&lt;&gt;"pvp",Inputs!$B$43&gt;0),IF(MAX(0,Inputs!$B$43-B724)&lt;=0,0,(INT(MAX(0,Inputs!$B$43-B724)/(IF(Inputs!$B$38="pvp",15,MAX(0.1,Skills!E9-IF(Skills!F7=TRUE,Inputs!$B$32,0)))*(1-IF(AND(ArtifactsInput!$M$27,Inputs!$B$4="Chapter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IFERROR(1/(IF(Inputs!$B$38="pvp",15,MAX(0.1,Skills!E10-IF(Skills!F10=TRUE,Inputs!$B$32,0)))*(1-IF(AND(ArtifactsInput!$M$27,Inputs!$B$4="Chapter Hunt"),CHOOSE(ArtifactsInput!$N$27+1,20,24,28,32,36,40),0)/100)),0)</f>
        <v/>
      </c>
      <c r="R696">
        <f>IF(AND(Inputs!$B$38&lt;&gt;"pvp",Inputs!$B$43&gt;0),IF(MAX(0,Inputs!$B$43-B724)&lt;=0,0,(INT(MAX(0,Inputs!$B$43-B724)/(IF(Inputs!$B$38="pvp",15,MAX(0.1,Skills!E10-IF(Skills!F10=TRUE,Inputs!$B$32,0)))*(1-IF(AND(ArtifactsInput!$M$27,Inputs!$B$4="Chapter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IFERROR(1/(IF(Inputs!$B$38="pvp",15,MAX(0.1,Skills!E11-IF(Skills!F11=TRUE,Inputs!$B$32,0)))*(1-IF(AND(ArtifactsInput!$M$27,Inputs!$B$4="Chapter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IFERROR(1/(IF(Inputs!$B$38="pvp",15,MAX(0.1,Skills!E12-IF(Skills!F12=TRUE,Inputs!$B$32,0)))*(1-IF(AND(ArtifactsInput!$M$27,Inputs!$B$4="Chapter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IFERROR(1/(IF(Inputs!$B$38="pvp",15,MAX(0.1,Skills!E13-IF(Skills!F13=TRUE,Inputs!$B$32,0)))*(1-IF(AND(ArtifactsInput!$M$27,Inputs!$B$4="Chapter Hunt"),CHOOSE(ArtifactsInput!$N$27+1,20,24,28,32,36,40),0)/100)),0)</f>
        <v/>
      </c>
      <c r="R699">
        <f>IF(AND(Inputs!$B$38&lt;&gt;"pvp",Inputs!$B$43&gt;0),IF(MAX(0,Inputs!$B$43-B724)&lt;=0,0,(INT(MAX(0,Inputs!$B$43-B724)/(IF(Inputs!$B$38="pvp",15,MAX(0.1,Skills!E13-IF(Skills!F13=TRUE,Inputs!$B$32,0)))*(1-IF(AND(ArtifactsInput!$M$27,Inputs!$B$4="Chapter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IFERROR(1/(IF(Inputs!$B$38="pvp",15,MAX(0.1,Skills!E14-IF(Skills!F14=TRUE,Inputs!$B$32,0)))*(1-IF(AND(ArtifactsInput!$M$27,Inputs!$B$4="Chapter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IFERROR(1/(IF(Inputs!$B$38="pvp",15,MAX(0.1,Skills!E15-IF(Skills!F15=TRUE,Inputs!$B$32,0)))*(1-IF(AND(ArtifactsInput!$M$27,Inputs!$B$4="Chapter Hunt"),CHOOSE(ArtifactsInput!$N$27+1,20,24,28,32,36,40),0)/100)),0)</f>
        <v/>
      </c>
      <c r="R701">
        <f>IF(AND(Inputs!$B$38&lt;&gt;"pvp",Inputs!$B$43&gt;0),IF(MAX(0,Inputs!$B$43-B724)&lt;=0,0,(INT(MAX(0,Inputs!$B$43-B724)/(IF(Inputs!$B$38="pvp",15,MAX(0.1,Skills!E15-IF(Skills!F15=TRUE,Inputs!$B$32,0)))*(1-IF(AND(ArtifactsInput!$M$27,Inputs!$B$4="Chapter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IFERROR(1/(IF(Inputs!$B$38="pvp",15,MAX(0.1,Skills!E16-IF(Skills!F16=TRUE,Inputs!$B$32,0)))*(1-IF(AND(ArtifactsInput!$M$27,Inputs!$B$4="Chapter Hunt"),CHOOSE(ArtifactsInput!$N$27+1,20,24,28,32,36,40),0)/100)),0)</f>
        <v/>
      </c>
      <c r="R702">
        <f>IF(AND(Inputs!$B$38&lt;&gt;"pvp",Inputs!$B$43&gt;0),IF(MAX(0,Inputs!$B$43-B724)&lt;=0,0,(INT(MAX(0,Inputs!$B$43-B724)/(IF(Inputs!$B$38="pvp",15,MAX(0.1,Skills!E16-IF(Skills!F16=TRUE,Inputs!$B$32,0)))*(1-IF(AND(ArtifactsInput!$M$27,Inputs!$B$4="Chapter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IFERROR(1/(IF(Inputs!$B$38="pvp",15,MAX(0.1,Skills!E17-IF(Skills!F17=TRUE,Inputs!$B$32,0)))*(1-IF(AND(ArtifactsInput!$M$27,Inputs!$B$4="Chapter Hunt"),CHOOSE(ArtifactsInput!$N$27+1,20,24,28,32,36,40),0)/100)),0)</f>
        <v/>
      </c>
      <c r="R703">
        <f>IF(AND(Inputs!$B$38&lt;&gt;"pvp",Inputs!$B$43&gt;0),IF(Inputs!$B$43&lt;=0,0,(INT(Inputs!$B$43/(IF(Inputs!$B$38="pvp",15,MAX(0.1,Skills!E17-IF(Skills!F17=TRUE,Inputs!$B$32,0)))*(1-IF(AND(ArtifactsInput!$M$27,Inputs!$B$4="Chapter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IFERROR(1/(IF(Inputs!$B$38="pvp",15,MAX(0.1,Skills!E18-IF(Skills!F18=TRUE,Inputs!$B$32,0)))*(1-IF(AND(ArtifactsInput!$M$27,Inputs!$B$4="Chapter Hunt"),CHOOSE(ArtifactsInput!$N$27+1,20,24,28,32,36,40),0)/100)),0)</f>
        <v/>
      </c>
      <c r="R704">
        <f>IF(AND(Inputs!$B$38&lt;&gt;"pvp",Inputs!$B$43&gt;0),IF(Inputs!$B$43&lt;=0,0,(INT(Inputs!$B$43/(IF(Inputs!$B$38="pvp",15,MAX(0.1,Skills!E18-IF(Skills!F18=TRUE,Inputs!$B$32,0)))*(1-IF(AND(ArtifactsInput!$M$27,Inputs!$B$4="Chapter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IFERROR(1/(IF(Inputs!$B$38="pvp",15,MAX(0.1,Skills!E19-IF(Skills!F19=TRUE,Inputs!$B$32,0)))*(1-IF(AND(ArtifactsInput!$M$27,Inputs!$B$4="Chapter Hunt"),CHOOSE(ArtifactsInput!$N$27+1,20,24,28,32,36,40),0)/100)),0)</f>
        <v/>
      </c>
      <c r="R705">
        <f>IF(AND(Inputs!$B$38&lt;&gt;"pvp",Inputs!$B$43&gt;0),IF(Inputs!$B$43&lt;=0,0,(INT(Inputs!$B$43/(IF(Inputs!$B$38="pvp",15,MAX(0.1,Skills!E19-IF(Skills!F19=TRUE,Inputs!$B$32,0)))*(1-IF(AND(ArtifactsInput!$M$27,Inputs!$B$4="Chapter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IFERROR(1/(IF(Inputs!$B$38="pvp",15,MAX(0.1,Skills!E20-IF(Skills!F20=TRUE,Inputs!$B$32,0)))*(1-IF(AND(ArtifactsInput!$M$27,Inputs!$B$4="Chapter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IFERROR(1/(IF(Inputs!$B$38="pvp",15,MAX(0.1,Skills!E21-IF(Skills!F21=TRUE,Inputs!$B$32,0)))*(1-IF(AND(ArtifactsInput!$M$27,Inputs!$B$4="Chapter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IFERROR(1/(IF(Inputs!$B$38="pvp",15,MAX(0.1,Skills!E22-IF(Skills!F22=TRUE,Inputs!$B$32,0)))*(1-IF(AND(ArtifactsInput!$M$27,Inputs!$B$4="Chapter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IFERROR(1/(IF(Inputs!$B$38="pvp",15,MAX(0.1,Skills!E23-IF(Skills!F23=TRUE,Inputs!$B$32,0)))*(1-IF(AND(ArtifactsInput!$M$27,Inputs!$B$4="Chapter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IFERROR(1/(IF(Inputs!$B$38="pvp",15,MAX(0.1,Skills!E24-IF(Skills!F24=TRUE,Inputs!$B$32,0)))*(1-IF(AND(ArtifactsInput!$M$27,Inputs!$B$4="Chapter Hunt"),CHOOSE(ArtifactsInput!$N$27+1,20,24,28,32,36,40),0)/100)),0)</f>
        <v/>
      </c>
      <c r="R710">
        <f>IF(AND(Inputs!$B$38&lt;&gt;"pvp",Inputs!$B$43&gt;0),IF(MAX(0,Inputs!$B$43-B724)&lt;=0,0,(INT(MAX(0,Inputs!$B$43-B724)/(IF(Inputs!$B$38="pvp",15,MAX(0.1,Skills!E24-IF(Skills!F24=TRUE,Inputs!$B$32,0)))*(1-IF(AND(ArtifactsInput!$M$27,Inputs!$B$4="Chapter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IFERROR(1/(IF(Inputs!$B$38="pvp",15,MAX(0.1,Skills!E25-IF(Skills!F25=TRUE,Inputs!$B$32,0)))*(1-IF(AND(ArtifactsInput!$M$27,Inputs!$B$4="Chapter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IFERROR(1/(IF(Inputs!$B$38="pvp",15,MAX(0.1,Skills!E26-IF(Skills!F26=TRUE,Inputs!$B$32,0)))*(1-IF(AND(ArtifactsInput!$M$27,Inputs!$B$4="Chapter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IFERROR(1/(IF(Inputs!$B$38="pvp",15,MAX(0.1,Skills!E27-IF(Skills!F27=TRUE,Inputs!$B$32,0)))*(1-IF(AND(ArtifactsInput!$M$27,Inputs!$B$4="Chapter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IFERROR(1/(IF(Inputs!$B$38="pvp",15,MAX(0.1,Skills!E28-IF(Skills!F28=TRUE,Inputs!$B$32,0)))*(1-IF(AND(ArtifactsInput!$M$27,Inputs!$B$4="Chapter Hunt"),CHOOSE(ArtifactsInput!$N$27+1,20,24,28,32,36,40),0)/100)),0)</f>
        <v/>
      </c>
      <c r="R714">
        <f>IF(AND(Inputs!$B$38&lt;&gt;"pvp",Inputs!$B$43&gt;0),IF(MAX(0,Inputs!$B$43-B724)&lt;=0,0,(INT(MAX(0,Inputs!$B$43-B724)/(IF(Inputs!$B$38="pvp",15,MAX(0.1,Skills!E28-IF(Skills!F28=TRUE,Inputs!$B$32,0)))*(1-IF(AND(ArtifactsInput!$M$27,Inputs!$B$4="Chapter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Skills!T6*(1+((Inputs!$B$34+(ArtifactsInput!$M$7-ArtifactsInput!$M$7)*CHOOSE(ArtifactsInput!$N$7+1,6,7.2,8.4,9.6,10.8,12))+IF(Inputs!$B$3&gt;=117,F711,0))/100))+MIN((Skills!T6*(1+((Inputs!$B$34+(ArtifactsInput!$M$7-ArtifactsInput!$M$7)*CHOOSE(ArtifactsInput!$N$7+1,6,7.2,8.4,9.6,10.8,12))+IF(Inputs!$B$3&gt;=117,F711,0))/100)),MAX(0,Inputs!$B$43-((R692-1)*Skills!E6))))/Inputs!$B$43),IF(Inputs!$B$38="pvp",MIN((Skills!T6*(1+((Inputs!$B$34+(ArtifactsInput!$M$7-ArtifactsInput!$M$7)*CHOOSE(ArtifactsInput!$N$7+1,6,7.2,8.4,9.6,10.8,12))+IF(Inputs!$B$3&gt;=117,F711,0))/100)),15)/15,(Skills!T6*(1+((Inputs!$B$34+(ArtifactsInput!$M$7-ArtifactsInput!$M$7)*CHOOSE(ArtifactsInput!$N$7+1,6,7.2,8.4,9.6,10.8,12))+IF(Inputs!$B$3&gt;=117,F711,0))/100))/Skills!E6))+F703*IF(AND(Inputs!$B$38&lt;&gt;"pvp",Inputs!$B$43&gt;0),(((R703-1)*(Skills!T17*(1+((Inputs!$B$34+(ArtifactsInput!$M$7-ArtifactsInput!$M$7)*CHOOSE(ArtifactsInput!$N$7+1,6,7.2,8.4,9.6,10.8,12))+IF(Inputs!$B$3&gt;=117,F711,0))/100))+MIN((Skills!T17*(1+((Inputs!$B$34+(ArtifactsInput!$M$7-ArtifactsInput!$M$7)*CHOOSE(ArtifactsInput!$N$7+1,6,7.2,8.4,9.6,10.8,12))+IF(Inputs!$B$3&gt;=117,F711,0))/100)),MAX(0,Inputs!$B$43-((R703-1)*Skills!E17))))/Inputs!$B$43),IF(Inputs!$B$38="pvp",MIN((Skills!T17*(1+((Inputs!$B$34+(ArtifactsInput!$M$7-ArtifactsInput!$M$7)*CHOOSE(ArtifactsInput!$N$7+1,6,7.2,8.4,9.6,10.8,12))+IF(Inputs!$B$3&gt;=117,F711,0))/100)),15)/15,(Skills!T17*(1+((Inputs!$B$34+(ArtifactsInput!$M$7-ArtifactsInput!$M$7)*CHOOSE(ArtifactsInput!$N$7+1,6,7.2,8.4,9.6,10.8,12))+IF(Inputs!$B$3&gt;=117,F711,0)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Skills!T19*(1+((Inputs!$B$34+(ArtifactsInput!$M$7-ArtifactsInput!$M$7)*CHOOSE(ArtifactsInput!$N$7+1,6,7.2,8.4,9.6,10.8,12))+IF(Inputs!$B$3&gt;=117,F711,0))/100))+MIN((Skills!T19*(1+((Inputs!$B$34+(ArtifactsInput!$M$7-ArtifactsInput!$M$7)*CHOOSE(ArtifactsInput!$N$7+1,6,7.2,8.4,9.6,10.8,12))+IF(Inputs!$B$3&gt;=117,F711,0))/100)),MAX(0,Inputs!$B$43-((R705-1)*Skills!E19))))/Inputs!$B$43),IF(Inputs!$B$38="pvp",MIN((Skills!T19*(1+((Inputs!$B$34+(ArtifactsInput!$M$7-ArtifactsInput!$M$7)*CHOOSE(ArtifactsInput!$N$7+1,6,7.2,8.4,9.6,10.8,12))+IF(Inputs!$B$3&gt;=117,F711,0))/100)),15)/15,(Skills!T19*(1+((Inputs!$B$34+(ArtifactsInput!$M$7-ArtifactsInput!$M$7)*CHOOSE(ArtifactsInput!$N$7+1,6,7.2,8.4,9.6,10.8,12))+IF(Inputs!$B$3&gt;=117,F711,0))/100))/Skills!E19))/100),1)</f>
        <v/>
      </c>
    </row>
    <row r="719">
      <c r="A719" t="inlineStr">
        <is>
          <t>Attack Speed Buff Bonus % (Nimble Feet, averaged)</t>
        </is>
      </c>
      <c r="B719">
        <f>F704*IF(AND(Inputs!$B$38&lt;&gt;"pvp",Inputs!$B$43&gt;0),(((R704-1)*(Skills!T18*(1+((Inputs!$B$34+(ArtifactsInput!$M$7-ArtifactsInput!$M$7)*CHOOSE(ArtifactsInput!$N$7+1,6,7.2,8.4,9.6,10.8,12))+IF(Inputs!$B$3&gt;=117,F711,0))/100))+MIN((Skills!T18*(1+((Inputs!$B$34+(ArtifactsInput!$M$7-ArtifactsInput!$M$7)*CHOOSE(ArtifactsInput!$N$7+1,6,7.2,8.4,9.6,10.8,12))+IF(Inputs!$B$3&gt;=117,F711,0))/100)),MAX(0,Inputs!$B$43-((R704-1)*Skills!E18))))/Inputs!$B$43),IF(Inputs!$B$38="pvp",MIN((Skills!T18*(1+((Inputs!$B$34+(ArtifactsInput!$M$7-ArtifactsInput!$M$7)*CHOOSE(ArtifactsInput!$N$7+1,6,7.2,8.4,9.6,10.8,12))+IF(Inputs!$B$3&gt;=117,F711,0))/100)),15)/15,(Skills!T18*(1+((Inputs!$B$34+(ArtifactsInput!$M$7-ArtifactsInput!$M$7)*CHOOSE(ArtifactsInput!$N$7+1,6,7.2,8.4,9.6,10.8,12))+IF(Inputs!$B$3&gt;=117,F711,0))/100))/Skills!E18))</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IFERROR(1/(IF(Inputs!$B$38="pvp",15,MAX(0.1,Skills!E2-IF(Skills!F2=TRUE,Inputs!$B$32,0)))*(1-IF(AND(ArtifactsInput!$M$27,Inputs!$B$4="Chapter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IFERROR(1/(IF(Inputs!$B$38="pvp",15,MAX(0.1,Skills!E3-IF(Skills!F3=TRUE,Inputs!$B$32,0)))*(1-IF(AND(ArtifactsInput!$M$27,Inputs!$B$4="Chapter Hunt"),CHOOSE(ArtifactsInput!$N$27+1,20,24,28,32,36,40),0)/100)),0)</f>
        <v/>
      </c>
      <c r="R733">
        <f>IF(AND(Inputs!$B$38&lt;&gt;"pvp",Inputs!$B$43&gt;0),IF(MAX(0,Inputs!$B$43-B768)&lt;=0,0,(INT(MAX(0,Inputs!$B$43-B768)/(IF(Inputs!$B$38="pvp",15,MAX(0.1,Skills!E3-IF(Skills!F3=TRUE,Inputs!$B$32,0)))*(1-IF(AND(ArtifactsInput!$M$27,Inputs!$B$4="Chapter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IFERROR(1/(IF(Inputs!$B$38="pvp",15,MAX(0.1,Skills!E4-IF(Skills!F4=TRUE,Inputs!$B$32,0)))*(1-IF(AND(ArtifactsInput!$M$27,Inputs!$B$4="Chapter Hunt"),CHOOSE(ArtifactsInput!$N$27+1,20,24,28,32,36,40),0)/100)),0)</f>
        <v/>
      </c>
      <c r="R734">
        <f>IF(AND(Inputs!$B$38&lt;&gt;"pvp",Inputs!$B$43&gt;0),IF(MAX(0,Inputs!$B$43-B768)&lt;=0,0,(INT(MAX(0,Inputs!$B$43-B768)/(IF(Inputs!$B$38="pvp",15,MAX(0.1,Skills!E4-IF(Skills!F4=TRUE,Inputs!$B$32,0)))*(1-IF(AND(ArtifactsInput!$M$27,Inputs!$B$4="Chapter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IFERROR(1/(IF(Inputs!$B$38="pvp",15,MAX(0.1,Skills!E5-IF(Skills!F5=TRUE,Inputs!$B$32,0)))*(1-IF(AND(ArtifactsInput!$M$27,Inputs!$B$4="Chapter Hunt"),CHOOSE(ArtifactsInput!$N$27+1,20,24,28,32,36,40),0)/100)),0)</f>
        <v/>
      </c>
      <c r="R735">
        <f>IF(AND(Inputs!$B$38&lt;&gt;"pvp",Inputs!$B$43&gt;0),IF(MAX(0,Inputs!$B$43-B768)&lt;=0,0,(INT(MAX(0,Inputs!$B$43-B768)/(IF(Inputs!$B$38="pvp",15,MAX(0.1,Skills!E5-IF(Skills!F5=TRUE,Inputs!$B$32,0)))*(1-IF(AND(ArtifactsInput!$M$27,Inputs!$B$4="Chapter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IFERROR(1/(IF(Inputs!$B$38="pvp",15,MAX(0.1,Skills!E6-IF(Skills!F6=TRUE,Inputs!$B$32,0)))*(1-IF(AND(ArtifactsInput!$M$27,Inputs!$B$4="Chapter Hunt"),CHOOSE(ArtifactsInput!$N$27+1,20,24,28,32,36,40),0)/100)),0)</f>
        <v/>
      </c>
      <c r="R736">
        <f>IF(AND(Inputs!$B$38&lt;&gt;"pvp",Inputs!$B$43&gt;0),IF(Inputs!$B$43&lt;=0,0,(INT(Inputs!$B$43/(IF(Inputs!$B$38="pvp",15,MAX(0.1,Skills!E6-IF(Skills!F6=TRUE,Inputs!$B$32,0)))*(1-IF(AND(ArtifactsInput!$M$27,Inputs!$B$4="Chapter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IFERROR(1/(IF(Inputs!$B$38="pvp",15,MAX(0.1,Skills!E7-IF(Skills!F7=TRUE,Inputs!$B$32,0)))*(1-IF(AND(ArtifactsInput!$M$27,Inputs!$B$4="Chapter Hunt"),CHOOSE(ArtifactsInput!$N$27+1,20,24,28,32,36,40),0)/100)),0)</f>
        <v/>
      </c>
      <c r="R737">
        <f>IF(AND(Inputs!$B$38&lt;&gt;"pvp",Inputs!$B$43&gt;0),IF(MAX(0,Inputs!$B$43-B768)&lt;=0,0,(INT(MAX(0,Inputs!$B$43-B768)/(IF(Inputs!$B$38="pvp",15,MAX(0.1,Skills!E7-IF(Skills!F7=TRUE,Inputs!$B$32,0)))*(1-IF(AND(ArtifactsInput!$M$27,Inputs!$B$4="Chapter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IFERROR(1/(IF(Inputs!$B$38="pvp",15,MAX(0.1,Skills!E8-IF(Skills!F8=TRUE,Inputs!$B$32,0)))*(1-IF(AND(ArtifactsInput!$M$27,Inputs!$B$4="Chapter Hunt"),CHOOSE(ArtifactsInput!$N$27+1,20,24,28,32,36,40),0)/100)),0)</f>
        <v/>
      </c>
      <c r="R738">
        <f>IF(AND(Inputs!$B$38&lt;&gt;"pvp",Inputs!$B$43&gt;0),IF(MAX(0,Inputs!$B$43-B768)&lt;=0,0,(INT(MAX(0,Inputs!$B$43-B768)/(IF(Inputs!$B$38="pvp",15,MAX(0.1,Skills!E8-IF(Skills!F8=TRUE,Inputs!$B$32,0)))*(1-IF(AND(ArtifactsInput!$M$27,Inputs!$B$4="Chapter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IFERROR(1/(IF(Inputs!$B$38="pvp",15,MAX(0.1,Skills!E9-IF(Skills!F7=TRUE,Inputs!$B$32,0)))*(1-IF(AND(ArtifactsInput!$M$27,Inputs!$B$4="Chapter Hunt"),CHOOSE(ArtifactsInput!$N$27+1,20,24,28,32,36,40),0)/100)),0)</f>
        <v/>
      </c>
      <c r="R739">
        <f>IF(AND(Inputs!$B$38&lt;&gt;"pvp",Inputs!$B$43&gt;0),IF(MAX(0,Inputs!$B$43-B768)&lt;=0,0,(INT(MAX(0,Inputs!$B$43-B768)/(IF(Inputs!$B$38="pvp",15,MAX(0.1,Skills!E9-IF(Skills!F7=TRUE,Inputs!$B$32,0)))*(1-IF(AND(ArtifactsInput!$M$27,Inputs!$B$4="Chapter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IFERROR(1/(IF(Inputs!$B$38="pvp",15,MAX(0.1,Skills!E10-IF(Skills!F10=TRUE,Inputs!$B$32,0)))*(1-IF(AND(ArtifactsInput!$M$27,Inputs!$B$4="Chapter Hunt"),CHOOSE(ArtifactsInput!$N$27+1,20,24,28,32,36,40),0)/100)),0)</f>
        <v/>
      </c>
      <c r="R740">
        <f>IF(AND(Inputs!$B$38&lt;&gt;"pvp",Inputs!$B$43&gt;0),IF(MAX(0,Inputs!$B$43-B768)&lt;=0,0,(INT(MAX(0,Inputs!$B$43-B768)/(IF(Inputs!$B$38="pvp",15,MAX(0.1,Skills!E10-IF(Skills!F10=TRUE,Inputs!$B$32,0)))*(1-IF(AND(ArtifactsInput!$M$27,Inputs!$B$4="Chapter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IFERROR(1/(IF(Inputs!$B$38="pvp",15,MAX(0.1,Skills!E11-IF(Skills!F11=TRUE,Inputs!$B$32,0)))*(1-IF(AND(ArtifactsInput!$M$27,Inputs!$B$4="Chapter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IFERROR(1/(IF(Inputs!$B$38="pvp",15,MAX(0.1,Skills!E12-IF(Skills!F12=TRUE,Inputs!$B$32,0)))*(1-IF(AND(ArtifactsInput!$M$27,Inputs!$B$4="Chapter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IFERROR(1/(IF(Inputs!$B$38="pvp",15,MAX(0.1,Skills!E13-IF(Skills!F13=TRUE,Inputs!$B$32,0)))*(1-IF(AND(ArtifactsInput!$M$27,Inputs!$B$4="Chapter Hunt"),CHOOSE(ArtifactsInput!$N$27+1,20,24,28,32,36,40),0)/100)),0)</f>
        <v/>
      </c>
      <c r="R743">
        <f>IF(AND(Inputs!$B$38&lt;&gt;"pvp",Inputs!$B$43&gt;0),IF(MAX(0,Inputs!$B$43-B768)&lt;=0,0,(INT(MAX(0,Inputs!$B$43-B768)/(IF(Inputs!$B$38="pvp",15,MAX(0.1,Skills!E13-IF(Skills!F13=TRUE,Inputs!$B$32,0)))*(1-IF(AND(ArtifactsInput!$M$27,Inputs!$B$4="Chapter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IFERROR(1/(IF(Inputs!$B$38="pvp",15,MAX(0.1,Skills!E14-IF(Skills!F14=TRUE,Inputs!$B$32,0)))*(1-IF(AND(ArtifactsInput!$M$27,Inputs!$B$4="Chapter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IFERROR(1/(IF(Inputs!$B$38="pvp",15,MAX(0.1,Skills!E15-IF(Skills!F15=TRUE,Inputs!$B$32,0)))*(1-IF(AND(ArtifactsInput!$M$27,Inputs!$B$4="Chapter Hunt"),CHOOSE(ArtifactsInput!$N$27+1,20,24,28,32,36,40),0)/100)),0)</f>
        <v/>
      </c>
      <c r="R745">
        <f>IF(AND(Inputs!$B$38&lt;&gt;"pvp",Inputs!$B$43&gt;0),IF(MAX(0,Inputs!$B$43-B768)&lt;=0,0,(INT(MAX(0,Inputs!$B$43-B768)/(IF(Inputs!$B$38="pvp",15,MAX(0.1,Skills!E15-IF(Skills!F15=TRUE,Inputs!$B$32,0)))*(1-IF(AND(ArtifactsInput!$M$27,Inputs!$B$4="Chapter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IFERROR(1/(IF(Inputs!$B$38="pvp",15,MAX(0.1,Skills!E16-IF(Skills!F16=TRUE,Inputs!$B$32,0)))*(1-IF(AND(ArtifactsInput!$M$27,Inputs!$B$4="Chapter Hunt"),CHOOSE(ArtifactsInput!$N$27+1,20,24,28,32,36,40),0)/100)),0)</f>
        <v/>
      </c>
      <c r="R746">
        <f>IF(AND(Inputs!$B$38&lt;&gt;"pvp",Inputs!$B$43&gt;0),IF(MAX(0,Inputs!$B$43-B768)&lt;=0,0,(INT(MAX(0,Inputs!$B$43-B768)/(IF(Inputs!$B$38="pvp",15,MAX(0.1,Skills!E16-IF(Skills!F16=TRUE,Inputs!$B$32,0)))*(1-IF(AND(ArtifactsInput!$M$27,Inputs!$B$4="Chapter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IFERROR(1/(IF(Inputs!$B$38="pvp",15,MAX(0.1,Skills!E17-IF(Skills!F17=TRUE,Inputs!$B$32,0)))*(1-IF(AND(ArtifactsInput!$M$27,Inputs!$B$4="Chapter Hunt"),CHOOSE(ArtifactsInput!$N$27+1,20,24,28,32,36,40),0)/100)),0)</f>
        <v/>
      </c>
      <c r="R747">
        <f>IF(AND(Inputs!$B$38&lt;&gt;"pvp",Inputs!$B$43&gt;0),IF(Inputs!$B$43&lt;=0,0,(INT(Inputs!$B$43/(IF(Inputs!$B$38="pvp",15,MAX(0.1,Skills!E17-IF(Skills!F17=TRUE,Inputs!$B$32,0)))*(1-IF(AND(ArtifactsInput!$M$27,Inputs!$B$4="Chapter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IFERROR(1/(IF(Inputs!$B$38="pvp",15,MAX(0.1,Skills!E18-IF(Skills!F18=TRUE,Inputs!$B$32,0)))*(1-IF(AND(ArtifactsInput!$M$27,Inputs!$B$4="Chapter Hunt"),CHOOSE(ArtifactsInput!$N$27+1,20,24,28,32,36,40),0)/100)),0)</f>
        <v/>
      </c>
      <c r="R748">
        <f>IF(AND(Inputs!$B$38&lt;&gt;"pvp",Inputs!$B$43&gt;0),IF(Inputs!$B$43&lt;=0,0,(INT(Inputs!$B$43/(IF(Inputs!$B$38="pvp",15,MAX(0.1,Skills!E18-IF(Skills!F18=TRUE,Inputs!$B$32,0)))*(1-IF(AND(ArtifactsInput!$M$27,Inputs!$B$4="Chapter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IFERROR(1/(IF(Inputs!$B$38="pvp",15,MAX(0.1,Skills!E19-IF(Skills!F19=TRUE,Inputs!$B$32,0)))*(1-IF(AND(ArtifactsInput!$M$27,Inputs!$B$4="Chapter Hunt"),CHOOSE(ArtifactsInput!$N$27+1,20,24,28,32,36,40),0)/100)),0)</f>
        <v/>
      </c>
      <c r="R749">
        <f>IF(AND(Inputs!$B$38&lt;&gt;"pvp",Inputs!$B$43&gt;0),IF(Inputs!$B$43&lt;=0,0,(INT(Inputs!$B$43/(IF(Inputs!$B$38="pvp",15,MAX(0.1,Skills!E19-IF(Skills!F19=TRUE,Inputs!$B$32,0)))*(1-IF(AND(ArtifactsInput!$M$27,Inputs!$B$4="Chapter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IFERROR(1/(IF(Inputs!$B$38="pvp",15,MAX(0.1,Skills!E20-IF(Skills!F20=TRUE,Inputs!$B$32,0)))*(1-IF(AND(ArtifactsInput!$M$27,Inputs!$B$4="Chapter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IFERROR(1/(IF(Inputs!$B$38="pvp",15,MAX(0.1,Skills!E21-IF(Skills!F21=TRUE,Inputs!$B$32,0)))*(1-IF(AND(ArtifactsInput!$M$27,Inputs!$B$4="Chapter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IFERROR(1/(IF(Inputs!$B$38="pvp",15,MAX(0.1,Skills!E22-IF(Skills!F22=TRUE,Inputs!$B$32,0)))*(1-IF(AND(ArtifactsInput!$M$27,Inputs!$B$4="Chapter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IFERROR(1/(IF(Inputs!$B$38="pvp",15,MAX(0.1,Skills!E23-IF(Skills!F23=TRUE,Inputs!$B$32,0)))*(1-IF(AND(ArtifactsInput!$M$27,Inputs!$B$4="Chapter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IFERROR(1/(IF(Inputs!$B$38="pvp",15,MAX(0.1,Skills!E24-IF(Skills!F24=TRUE,Inputs!$B$32,0)))*(1-IF(AND(ArtifactsInput!$M$27,Inputs!$B$4="Chapter Hunt"),CHOOSE(ArtifactsInput!$N$27+1,20,24,28,32,36,40),0)/100)),0)</f>
        <v/>
      </c>
      <c r="R754">
        <f>IF(AND(Inputs!$B$38&lt;&gt;"pvp",Inputs!$B$43&gt;0),IF(MAX(0,Inputs!$B$43-B768)&lt;=0,0,(INT(MAX(0,Inputs!$B$43-B768)/(IF(Inputs!$B$38="pvp",15,MAX(0.1,Skills!E24-IF(Skills!F24=TRUE,Inputs!$B$32,0)))*(1-IF(AND(ArtifactsInput!$M$27,Inputs!$B$4="Chapter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IFERROR(1/(IF(Inputs!$B$38="pvp",15,MAX(0.1,Skills!E25-IF(Skills!F25=TRUE,Inputs!$B$32,0)))*(1-IF(AND(ArtifactsInput!$M$27,Inputs!$B$4="Chapter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IFERROR(1/(IF(Inputs!$B$38="pvp",15,MAX(0.1,Skills!E26-IF(Skills!F26=TRUE,Inputs!$B$32,0)))*(1-IF(AND(ArtifactsInput!$M$27,Inputs!$B$4="Chapter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IFERROR(1/(IF(Inputs!$B$38="pvp",15,MAX(0.1,Skills!E27-IF(Skills!F27=TRUE,Inputs!$B$32,0)))*(1-IF(AND(ArtifactsInput!$M$27,Inputs!$B$4="Chapter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IFERROR(1/(IF(Inputs!$B$38="pvp",15,MAX(0.1,Skills!E28-IF(Skills!F28=TRUE,Inputs!$B$32,0)))*(1-IF(AND(ArtifactsInput!$M$27,Inputs!$B$4="Chapter Hunt"),CHOOSE(ArtifactsInput!$N$27+1,20,24,28,32,36,40),0)/100)),0)</f>
        <v/>
      </c>
      <c r="R758">
        <f>IF(AND(Inputs!$B$38&lt;&gt;"pvp",Inputs!$B$43&gt;0),IF(MAX(0,Inputs!$B$43-B768)&lt;=0,0,(INT(MAX(0,Inputs!$B$43-B768)/(IF(Inputs!$B$38="pvp",15,MAX(0.1,Skills!E28-IF(Skills!F28=TRUE,Inputs!$B$32,0)))*(1-IF(AND(ArtifactsInput!$M$27,Inputs!$B$4="Chapter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Skills!T6*(1+((Inputs!$B$34+(ArtifactsInput!$M$7-ArtifactsInput!$M$7)*CHOOSE(ArtifactsInput!$N$7+1,6,7.2,8.4,9.6,10.8,12))+IF(Inputs!$B$3&gt;=117,F755,0))/100))+MIN((Skills!T6*(1+((Inputs!$B$34+(ArtifactsInput!$M$7-ArtifactsInput!$M$7)*CHOOSE(ArtifactsInput!$N$7+1,6,7.2,8.4,9.6,10.8,12))+IF(Inputs!$B$3&gt;=117,F755,0))/100)),MAX(0,Inputs!$B$43-((R736-1)*Skills!E6))))/Inputs!$B$43),IF(Inputs!$B$38="pvp",MIN((Skills!T6*(1+((Inputs!$B$34+(ArtifactsInput!$M$7-ArtifactsInput!$M$7)*CHOOSE(ArtifactsInput!$N$7+1,6,7.2,8.4,9.6,10.8,12))+IF(Inputs!$B$3&gt;=117,F755,0))/100)),15)/15,(Skills!T6*(1+((Inputs!$B$34+(ArtifactsInput!$M$7-ArtifactsInput!$M$7)*CHOOSE(ArtifactsInput!$N$7+1,6,7.2,8.4,9.6,10.8,12))+IF(Inputs!$B$3&gt;=117,F755,0))/100))/Skills!E6))+F747*IF(AND(Inputs!$B$38&lt;&gt;"pvp",Inputs!$B$43&gt;0),(((R747-1)*(Skills!T17*(1+((Inputs!$B$34+(ArtifactsInput!$M$7-ArtifactsInput!$M$7)*CHOOSE(ArtifactsInput!$N$7+1,6,7.2,8.4,9.6,10.8,12))+IF(Inputs!$B$3&gt;=117,F755,0))/100))+MIN((Skills!T17*(1+((Inputs!$B$34+(ArtifactsInput!$M$7-ArtifactsInput!$M$7)*CHOOSE(ArtifactsInput!$N$7+1,6,7.2,8.4,9.6,10.8,12))+IF(Inputs!$B$3&gt;=117,F755,0))/100)),MAX(0,Inputs!$B$43-((R747-1)*Skills!E17))))/Inputs!$B$43),IF(Inputs!$B$38="pvp",MIN((Skills!T17*(1+((Inputs!$B$34+(ArtifactsInput!$M$7-ArtifactsInput!$M$7)*CHOOSE(ArtifactsInput!$N$7+1,6,7.2,8.4,9.6,10.8,12))+IF(Inputs!$B$3&gt;=117,F755,0))/100)),15)/15,(Skills!T17*(1+((Inputs!$B$34+(ArtifactsInput!$M$7-ArtifactsInput!$M$7)*CHOOSE(ArtifactsInput!$N$7+1,6,7.2,8.4,9.6,10.8,12))+IF(Inputs!$B$3&gt;=117,F755,0)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T19*(1+((Inputs!$B$34+(ArtifactsInput!$M$7-ArtifactsInput!$M$7)*CHOOSE(ArtifactsInput!$N$7+1,6,7.2,8.4,9.6,10.8,12))+IF(Inputs!$B$3&gt;=117,F755,0))/100))+MIN((Skills!T19*(1+((Inputs!$B$34+(ArtifactsInput!$M$7-ArtifactsInput!$M$7)*CHOOSE(ArtifactsInput!$N$7+1,6,7.2,8.4,9.6,10.8,12))+IF(Inputs!$B$3&gt;=117,F755,0))/100)),MAX(0,Inputs!$B$43-((R749-1)*Skills!E19))))/Inputs!$B$43),IF(Inputs!$B$38="pvp",MIN((Skills!T19*(1+((Inputs!$B$34+(ArtifactsInput!$M$7-ArtifactsInput!$M$7)*CHOOSE(ArtifactsInput!$N$7+1,6,7.2,8.4,9.6,10.8,12))+IF(Inputs!$B$3&gt;=117,F755,0))/100)),15)/15,(Skills!T19*(1+((Inputs!$B$34+(ArtifactsInput!$M$7-ArtifactsInput!$M$7)*CHOOSE(ArtifactsInput!$N$7+1,6,7.2,8.4,9.6,10.8,12))+IF(Inputs!$B$3&gt;=117,F755,0))/100))/Skills!E19))/100),1)</f>
        <v/>
      </c>
    </row>
    <row r="763">
      <c r="A763" t="inlineStr">
        <is>
          <t>Attack Speed Buff Bonus % (Nimble Feet, averaged)</t>
        </is>
      </c>
      <c r="B763">
        <f>F748*IF(AND(Inputs!$B$38&lt;&gt;"pvp",Inputs!$B$43&gt;0),(((R748-1)*(Skills!T18*(1+((Inputs!$B$34+(ArtifactsInput!$M$7-ArtifactsInput!$M$7)*CHOOSE(ArtifactsInput!$N$7+1,6,7.2,8.4,9.6,10.8,12))+IF(Inputs!$B$3&gt;=117,F755,0))/100))+MIN((Skills!T18*(1+((Inputs!$B$34+(ArtifactsInput!$M$7-ArtifactsInput!$M$7)*CHOOSE(ArtifactsInput!$N$7+1,6,7.2,8.4,9.6,10.8,12))+IF(Inputs!$B$3&gt;=117,F755,0))/100)),MAX(0,Inputs!$B$43-((R748-1)*Skills!E18))))/Inputs!$B$43),IF(Inputs!$B$38="pvp",MIN((Skills!T18*(1+((Inputs!$B$34+(ArtifactsInput!$M$7-ArtifactsInput!$M$7)*CHOOSE(ArtifactsInput!$N$7+1,6,7.2,8.4,9.6,10.8,12))+IF(Inputs!$B$3&gt;=117,F755,0))/100)),15)/15,(Skills!T18*(1+((Inputs!$B$34+(ArtifactsInput!$M$7-ArtifactsInput!$M$7)*CHOOSE(ArtifactsInput!$N$7+1,6,7.2,8.4,9.6,10.8,12))+IF(Inputs!$B$3&gt;=117,F755,0))/100))/Skills!E18)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IFERROR(1/(IF(Inputs!$B$38="pvp",15,MAX(0.1,Skills!E2-IF(Skills!F2=TRUE,Inputs!$B$32,0)))*(1-IF(AND(ArtifactsInput!$M$27,Inputs!$B$4="Chapter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IFERROR(1/(IF(Inputs!$B$38="pvp",15,MAX(0.1,Skills!E3-IF(Skills!F3=TRUE,Inputs!$B$32,0)))*(1-IF(AND(ArtifactsInput!$M$27,Inputs!$B$4="Chapter Hunt"),CHOOSE(ArtifactsInput!$N$27+1,20,24,28,32,36,40),0)/100)),0)</f>
        <v/>
      </c>
      <c r="R777">
        <f>IF(AND(Inputs!$B$38&lt;&gt;"pvp",Inputs!$B$43&gt;0),IF(MAX(0,Inputs!$B$43-B812)&lt;=0,0,(INT(MAX(0,Inputs!$B$43-B812)/(IF(Inputs!$B$38="pvp",15,MAX(0.1,Skills!E3-IF(Skills!F3=TRUE,Inputs!$B$32,0)))*(1-IF(AND(ArtifactsInput!$M$27,Inputs!$B$4="Chapter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IFERROR(1/(IF(Inputs!$B$38="pvp",15,MAX(0.1,Skills!E4-IF(Skills!F4=TRUE,Inputs!$B$32,0)))*(1-IF(AND(ArtifactsInput!$M$27,Inputs!$B$4="Chapter Hunt"),CHOOSE(ArtifactsInput!$N$27+1,20,24,28,32,36,40),0)/100)),0)</f>
        <v/>
      </c>
      <c r="R778">
        <f>IF(AND(Inputs!$B$38&lt;&gt;"pvp",Inputs!$B$43&gt;0),IF(MAX(0,Inputs!$B$43-B812)&lt;=0,0,(INT(MAX(0,Inputs!$B$43-B812)/(IF(Inputs!$B$38="pvp",15,MAX(0.1,Skills!E4-IF(Skills!F4=TRUE,Inputs!$B$32,0)))*(1-IF(AND(ArtifactsInput!$M$27,Inputs!$B$4="Chapter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IFERROR(1/(IF(Inputs!$B$38="pvp",15,MAX(0.1,Skills!E5-IF(Skills!F5=TRUE,Inputs!$B$32,0)))*(1-IF(AND(ArtifactsInput!$M$27,Inputs!$B$4="Chapter Hunt"),CHOOSE(ArtifactsInput!$N$27+1,20,24,28,32,36,40),0)/100)),0)</f>
        <v/>
      </c>
      <c r="R779">
        <f>IF(AND(Inputs!$B$38&lt;&gt;"pvp",Inputs!$B$43&gt;0),IF(MAX(0,Inputs!$B$43-B812)&lt;=0,0,(INT(MAX(0,Inputs!$B$43-B812)/(IF(Inputs!$B$38="pvp",15,MAX(0.1,Skills!E5-IF(Skills!F5=TRUE,Inputs!$B$32,0)))*(1-IF(AND(ArtifactsInput!$M$27,Inputs!$B$4="Chapter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IFERROR(1/(IF(Inputs!$B$38="pvp",15,MAX(0.1,Skills!E6-IF(Skills!F6=TRUE,Inputs!$B$32,0)))*(1-IF(AND(ArtifactsInput!$M$27,Inputs!$B$4="Chapter Hunt"),CHOOSE(ArtifactsInput!$N$27+1,20,24,28,32,36,40),0)/100)),0)</f>
        <v/>
      </c>
      <c r="R780">
        <f>IF(AND(Inputs!$B$38&lt;&gt;"pvp",Inputs!$B$43&gt;0),IF(Inputs!$B$43&lt;=0,0,(INT(Inputs!$B$43/(IF(Inputs!$B$38="pvp",15,MAX(0.1,Skills!E6-IF(Skills!F6=TRUE,Inputs!$B$32,0)))*(1-IF(AND(ArtifactsInput!$M$27,Inputs!$B$4="Chapter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IFERROR(1/(IF(Inputs!$B$38="pvp",15,MAX(0.1,Skills!E7-IF(Skills!F7=TRUE,Inputs!$B$32,0)))*(1-IF(AND(ArtifactsInput!$M$27,Inputs!$B$4="Chapter Hunt"),CHOOSE(ArtifactsInput!$N$27+1,20,24,28,32,36,40),0)/100)),0)</f>
        <v/>
      </c>
      <c r="R781">
        <f>IF(AND(Inputs!$B$38&lt;&gt;"pvp",Inputs!$B$43&gt;0),IF(MAX(0,Inputs!$B$43-B812)&lt;=0,0,(INT(MAX(0,Inputs!$B$43-B812)/(IF(Inputs!$B$38="pvp",15,MAX(0.1,Skills!E7-IF(Skills!F7=TRUE,Inputs!$B$32,0)))*(1-IF(AND(ArtifactsInput!$M$27,Inputs!$B$4="Chapter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IFERROR(1/(IF(Inputs!$B$38="pvp",15,MAX(0.1,Skills!E8-IF(Skills!F8=TRUE,Inputs!$B$32,0)))*(1-IF(AND(ArtifactsInput!$M$27,Inputs!$B$4="Chapter Hunt"),CHOOSE(ArtifactsInput!$N$27+1,20,24,28,32,36,40),0)/100)),0)</f>
        <v/>
      </c>
      <c r="R782">
        <f>IF(AND(Inputs!$B$38&lt;&gt;"pvp",Inputs!$B$43&gt;0),IF(MAX(0,Inputs!$B$43-B812)&lt;=0,0,(INT(MAX(0,Inputs!$B$43-B812)/(IF(Inputs!$B$38="pvp",15,MAX(0.1,Skills!E8-IF(Skills!F8=TRUE,Inputs!$B$32,0)))*(1-IF(AND(ArtifactsInput!$M$27,Inputs!$B$4="Chapter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IFERROR(1/(IF(Inputs!$B$38="pvp",15,MAX(0.1,Skills!E9-IF(Skills!F7=TRUE,Inputs!$B$32,0)))*(1-IF(AND(ArtifactsInput!$M$27,Inputs!$B$4="Chapter Hunt"),CHOOSE(ArtifactsInput!$N$27+1,20,24,28,32,36,40),0)/100)),0)</f>
        <v/>
      </c>
      <c r="R783">
        <f>IF(AND(Inputs!$B$38&lt;&gt;"pvp",Inputs!$B$43&gt;0),IF(MAX(0,Inputs!$B$43-B812)&lt;=0,0,(INT(MAX(0,Inputs!$B$43-B812)/(IF(Inputs!$B$38="pvp",15,MAX(0.1,Skills!E9-IF(Skills!F7=TRUE,Inputs!$B$32,0)))*(1-IF(AND(ArtifactsInput!$M$27,Inputs!$B$4="Chapter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IFERROR(1/(IF(Inputs!$B$38="pvp",15,MAX(0.1,Skills!E10-IF(Skills!F10=TRUE,Inputs!$B$32,0)))*(1-IF(AND(ArtifactsInput!$M$27,Inputs!$B$4="Chapter Hunt"),CHOOSE(ArtifactsInput!$N$27+1,20,24,28,32,36,40),0)/100)),0)</f>
        <v/>
      </c>
      <c r="R784">
        <f>IF(AND(Inputs!$B$38&lt;&gt;"pvp",Inputs!$B$43&gt;0),IF(MAX(0,Inputs!$B$43-B812)&lt;=0,0,(INT(MAX(0,Inputs!$B$43-B812)/(IF(Inputs!$B$38="pvp",15,MAX(0.1,Skills!E10-IF(Skills!F10=TRUE,Inputs!$B$32,0)))*(1-IF(AND(ArtifactsInput!$M$27,Inputs!$B$4="Chapter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IFERROR(1/(IF(Inputs!$B$38="pvp",15,MAX(0.1,Skills!E11-IF(Skills!F11=TRUE,Inputs!$B$32,0)))*(1-IF(AND(ArtifactsInput!$M$27,Inputs!$B$4="Chapter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IFERROR(1/(IF(Inputs!$B$38="pvp",15,MAX(0.1,Skills!E12-IF(Skills!F12=TRUE,Inputs!$B$32,0)))*(1-IF(AND(ArtifactsInput!$M$27,Inputs!$B$4="Chapter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IFERROR(1/(IF(Inputs!$B$38="pvp",15,MAX(0.1,Skills!E13-IF(Skills!F13=TRUE,Inputs!$B$32,0)))*(1-IF(AND(ArtifactsInput!$M$27,Inputs!$B$4="Chapter Hunt"),CHOOSE(ArtifactsInput!$N$27+1,20,24,28,32,36,40),0)/100)),0)</f>
        <v/>
      </c>
      <c r="R787">
        <f>IF(AND(Inputs!$B$38&lt;&gt;"pvp",Inputs!$B$43&gt;0),IF(MAX(0,Inputs!$B$43-B812)&lt;=0,0,(INT(MAX(0,Inputs!$B$43-B812)/(IF(Inputs!$B$38="pvp",15,MAX(0.1,Skills!E13-IF(Skills!F13=TRUE,Inputs!$B$32,0)))*(1-IF(AND(ArtifactsInput!$M$27,Inputs!$B$4="Chapter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IFERROR(1/(IF(Inputs!$B$38="pvp",15,MAX(0.1,Skills!E14-IF(Skills!F14=TRUE,Inputs!$B$32,0)))*(1-IF(AND(ArtifactsInput!$M$27,Inputs!$B$4="Chapter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IFERROR(1/(IF(Inputs!$B$38="pvp",15,MAX(0.1,Skills!E15-IF(Skills!F15=TRUE,Inputs!$B$32,0)))*(1-IF(AND(ArtifactsInput!$M$27,Inputs!$B$4="Chapter Hunt"),CHOOSE(ArtifactsInput!$N$27+1,20,24,28,32,36,40),0)/100)),0)</f>
        <v/>
      </c>
      <c r="R789">
        <f>IF(AND(Inputs!$B$38&lt;&gt;"pvp",Inputs!$B$43&gt;0),IF(MAX(0,Inputs!$B$43-B812)&lt;=0,0,(INT(MAX(0,Inputs!$B$43-B812)/(IF(Inputs!$B$38="pvp",15,MAX(0.1,Skills!E15-IF(Skills!F15=TRUE,Inputs!$B$32,0)))*(1-IF(AND(ArtifactsInput!$M$27,Inputs!$B$4="Chapter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IFERROR(1/(IF(Inputs!$B$38="pvp",15,MAX(0.1,Skills!E16-IF(Skills!F16=TRUE,Inputs!$B$32,0)))*(1-IF(AND(ArtifactsInput!$M$27,Inputs!$B$4="Chapter Hunt"),CHOOSE(ArtifactsInput!$N$27+1,20,24,28,32,36,40),0)/100)),0)</f>
        <v/>
      </c>
      <c r="R790">
        <f>IF(AND(Inputs!$B$38&lt;&gt;"pvp",Inputs!$B$43&gt;0),IF(MAX(0,Inputs!$B$43-B812)&lt;=0,0,(INT(MAX(0,Inputs!$B$43-B812)/(IF(Inputs!$B$38="pvp",15,MAX(0.1,Skills!E16-IF(Skills!F16=TRUE,Inputs!$B$32,0)))*(1-IF(AND(ArtifactsInput!$M$27,Inputs!$B$4="Chapter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IFERROR(1/(IF(Inputs!$B$38="pvp",15,MAX(0.1,Skills!E17-IF(Skills!F17=TRUE,Inputs!$B$32,0)))*(1-IF(AND(ArtifactsInput!$M$27,Inputs!$B$4="Chapter Hunt"),CHOOSE(ArtifactsInput!$N$27+1,20,24,28,32,36,40),0)/100)),0)</f>
        <v/>
      </c>
      <c r="R791">
        <f>IF(AND(Inputs!$B$38&lt;&gt;"pvp",Inputs!$B$43&gt;0),IF(Inputs!$B$43&lt;=0,0,(INT(Inputs!$B$43/(IF(Inputs!$B$38="pvp",15,MAX(0.1,Skills!E17-IF(Skills!F17=TRUE,Inputs!$B$32,0)))*(1-IF(AND(ArtifactsInput!$M$27,Inputs!$B$4="Chapter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IFERROR(1/(IF(Inputs!$B$38="pvp",15,MAX(0.1,Skills!E18-IF(Skills!F18=TRUE,Inputs!$B$32,0)))*(1-IF(AND(ArtifactsInput!$M$27,Inputs!$B$4="Chapter Hunt"),CHOOSE(ArtifactsInput!$N$27+1,20,24,28,32,36,40),0)/100)),0)</f>
        <v/>
      </c>
      <c r="R792">
        <f>IF(AND(Inputs!$B$38&lt;&gt;"pvp",Inputs!$B$43&gt;0),IF(Inputs!$B$43&lt;=0,0,(INT(Inputs!$B$43/(IF(Inputs!$B$38="pvp",15,MAX(0.1,Skills!E18-IF(Skills!F18=TRUE,Inputs!$B$32,0)))*(1-IF(AND(ArtifactsInput!$M$27,Inputs!$B$4="Chapter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IFERROR(1/(IF(Inputs!$B$38="pvp",15,MAX(0.1,Skills!E19-IF(Skills!F19=TRUE,Inputs!$B$32,0)))*(1-IF(AND(ArtifactsInput!$M$27,Inputs!$B$4="Chapter Hunt"),CHOOSE(ArtifactsInput!$N$27+1,20,24,28,32,36,40),0)/100)),0)</f>
        <v/>
      </c>
      <c r="R793">
        <f>IF(AND(Inputs!$B$38&lt;&gt;"pvp",Inputs!$B$43&gt;0),IF(Inputs!$B$43&lt;=0,0,(INT(Inputs!$B$43/(IF(Inputs!$B$38="pvp",15,MAX(0.1,Skills!E19-IF(Skills!F19=TRUE,Inputs!$B$32,0)))*(1-IF(AND(ArtifactsInput!$M$27,Inputs!$B$4="Chapter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IFERROR(1/(IF(Inputs!$B$38="pvp",15,MAX(0.1,Skills!E20-IF(Skills!F20=TRUE,Inputs!$B$32,0)))*(1-IF(AND(ArtifactsInput!$M$27,Inputs!$B$4="Chapter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IFERROR(1/(IF(Inputs!$B$38="pvp",15,MAX(0.1,Skills!E21-IF(Skills!F21=TRUE,Inputs!$B$32,0)))*(1-IF(AND(ArtifactsInput!$M$27,Inputs!$B$4="Chapter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IFERROR(1/(IF(Inputs!$B$38="pvp",15,MAX(0.1,Skills!E22-IF(Skills!F22=TRUE,Inputs!$B$32,0)))*(1-IF(AND(ArtifactsInput!$M$27,Inputs!$B$4="Chapter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IFERROR(1/(IF(Inputs!$B$38="pvp",15,MAX(0.1,Skills!E23-IF(Skills!F23=TRUE,Inputs!$B$32,0)))*(1-IF(AND(ArtifactsInput!$M$27,Inputs!$B$4="Chapter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IFERROR(1/(IF(Inputs!$B$38="pvp",15,MAX(0.1,Skills!E24-IF(Skills!F24=TRUE,Inputs!$B$32,0)))*(1-IF(AND(ArtifactsInput!$M$27,Inputs!$B$4="Chapter Hunt"),CHOOSE(ArtifactsInput!$N$27+1,20,24,28,32,36,40),0)/100)),0)</f>
        <v/>
      </c>
      <c r="R798">
        <f>IF(AND(Inputs!$B$38&lt;&gt;"pvp",Inputs!$B$43&gt;0),IF(MAX(0,Inputs!$B$43-B812)&lt;=0,0,(INT(MAX(0,Inputs!$B$43-B812)/(IF(Inputs!$B$38="pvp",15,MAX(0.1,Skills!E24-IF(Skills!F24=TRUE,Inputs!$B$32,0)))*(1-IF(AND(ArtifactsInput!$M$27,Inputs!$B$4="Chapter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IFERROR(1/(IF(Inputs!$B$38="pvp",15,MAX(0.1,Skills!E25-IF(Skills!F25=TRUE,Inputs!$B$32,0)))*(1-IF(AND(ArtifactsInput!$M$27,Inputs!$B$4="Chapter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IFERROR(1/(IF(Inputs!$B$38="pvp",15,MAX(0.1,Skills!E26-IF(Skills!F26=TRUE,Inputs!$B$32,0)))*(1-IF(AND(ArtifactsInput!$M$27,Inputs!$B$4="Chapter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IFERROR(1/(IF(Inputs!$B$38="pvp",15,MAX(0.1,Skills!E27-IF(Skills!F27=TRUE,Inputs!$B$32,0)))*(1-IF(AND(ArtifactsInput!$M$27,Inputs!$B$4="Chapter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IFERROR(1/(IF(Inputs!$B$38="pvp",15,MAX(0.1,Skills!E28-IF(Skills!F28=TRUE,Inputs!$B$32,0)))*(1-IF(AND(ArtifactsInput!$M$27,Inputs!$B$4="Chapter Hunt"),CHOOSE(ArtifactsInput!$N$27+1,20,24,28,32,36,40),0)/100)),0)</f>
        <v/>
      </c>
      <c r="R802">
        <f>IF(AND(Inputs!$B$38&lt;&gt;"pvp",Inputs!$B$43&gt;0),IF(MAX(0,Inputs!$B$43-B812)&lt;=0,0,(INT(MAX(0,Inputs!$B$43-B812)/(IF(Inputs!$B$38="pvp",15,MAX(0.1,Skills!E28-IF(Skills!F28=TRUE,Inputs!$B$32,0)))*(1-IF(AND(ArtifactsInput!$M$27,Inputs!$B$4="Chapter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Skills!T6*(1+((Inputs!$B$34+(ArtifactsInput!$M$7-ArtifactsInput!$M$7)*CHOOSE(ArtifactsInput!$N$7+1,6,7.2,8.4,9.6,10.8,12))+IF(Inputs!$B$3&gt;=117,F799,0))/100))+MIN((Skills!T6*(1+((Inputs!$B$34+(ArtifactsInput!$M$7-ArtifactsInput!$M$7)*CHOOSE(ArtifactsInput!$N$7+1,6,7.2,8.4,9.6,10.8,12))+IF(Inputs!$B$3&gt;=117,F799,0))/100)),MAX(0,Inputs!$B$43-((R780-1)*Skills!E6))))/Inputs!$B$43),IF(Inputs!$B$38="pvp",MIN((Skills!T6*(1+((Inputs!$B$34+(ArtifactsInput!$M$7-ArtifactsInput!$M$7)*CHOOSE(ArtifactsInput!$N$7+1,6,7.2,8.4,9.6,10.8,12))+IF(Inputs!$B$3&gt;=117,F799,0))/100)),15)/15,(Skills!T6*(1+((Inputs!$B$34+(ArtifactsInput!$M$7-ArtifactsInput!$M$7)*CHOOSE(ArtifactsInput!$N$7+1,6,7.2,8.4,9.6,10.8,12))+IF(Inputs!$B$3&gt;=117,F799,0))/100))/Skills!E6))+F791*IF(AND(Inputs!$B$38&lt;&gt;"pvp",Inputs!$B$43&gt;0),(((R791-1)*(Skills!T17*(1+((Inputs!$B$34+(ArtifactsInput!$M$7-ArtifactsInput!$M$7)*CHOOSE(ArtifactsInput!$N$7+1,6,7.2,8.4,9.6,10.8,12))+IF(Inputs!$B$3&gt;=117,F799,0))/100))+MIN((Skills!T17*(1+((Inputs!$B$34+(ArtifactsInput!$M$7-ArtifactsInput!$M$7)*CHOOSE(ArtifactsInput!$N$7+1,6,7.2,8.4,9.6,10.8,12))+IF(Inputs!$B$3&gt;=117,F799,0))/100)),MAX(0,Inputs!$B$43-((R791-1)*Skills!E17))))/Inputs!$B$43),IF(Inputs!$B$38="pvp",MIN((Skills!T17*(1+((Inputs!$B$34+(ArtifactsInput!$M$7-ArtifactsInput!$M$7)*CHOOSE(ArtifactsInput!$N$7+1,6,7.2,8.4,9.6,10.8,12))+IF(Inputs!$B$3&gt;=117,F799,0))/100)),15)/15,(Skills!T17*(1+((Inputs!$B$34+(ArtifactsInput!$M$7-ArtifactsInput!$M$7)*CHOOSE(ArtifactsInput!$N$7+1,6,7.2,8.4,9.6,10.8,12))+IF(Inputs!$B$3&gt;=117,F799,0)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Skills!T19*(1+((Inputs!$B$34+(ArtifactsInput!$M$7-ArtifactsInput!$M$7)*CHOOSE(ArtifactsInput!$N$7+1,6,7.2,8.4,9.6,10.8,12))+IF(Inputs!$B$3&gt;=117,F799,0))/100))+MIN((Skills!T19*(1+((Inputs!$B$34+(ArtifactsInput!$M$7-ArtifactsInput!$M$7)*CHOOSE(ArtifactsInput!$N$7+1,6,7.2,8.4,9.6,10.8,12))+IF(Inputs!$B$3&gt;=117,F799,0))/100)),MAX(0,Inputs!$B$43-((R793-1)*Skills!E19))))/Inputs!$B$43),IF(Inputs!$B$38="pvp",MIN((Skills!T19*(1+((Inputs!$B$34+(ArtifactsInput!$M$7-ArtifactsInput!$M$7)*CHOOSE(ArtifactsInput!$N$7+1,6,7.2,8.4,9.6,10.8,12))+IF(Inputs!$B$3&gt;=117,F799,0))/100)),15)/15,(Skills!T19*(1+((Inputs!$B$34+(ArtifactsInput!$M$7-ArtifactsInput!$M$7)*CHOOSE(ArtifactsInput!$N$7+1,6,7.2,8.4,9.6,10.8,12))+IF(Inputs!$B$3&gt;=117,F799,0))/100))/Skills!E19))/100),1)</f>
        <v/>
      </c>
    </row>
    <row r="807">
      <c r="A807" t="inlineStr">
        <is>
          <t>Attack Speed Buff Bonus % (Nimble Feet, averaged)</t>
        </is>
      </c>
      <c r="B807">
        <f>F792*IF(AND(Inputs!$B$38&lt;&gt;"pvp",Inputs!$B$43&gt;0),(((R792-1)*(Skills!T18*(1+((Inputs!$B$34+(ArtifactsInput!$M$7-ArtifactsInput!$M$7)*CHOOSE(ArtifactsInput!$N$7+1,6,7.2,8.4,9.6,10.8,12))+IF(Inputs!$B$3&gt;=117,F799,0))/100))+MIN((Skills!T18*(1+((Inputs!$B$34+(ArtifactsInput!$M$7-ArtifactsInput!$M$7)*CHOOSE(ArtifactsInput!$N$7+1,6,7.2,8.4,9.6,10.8,12))+IF(Inputs!$B$3&gt;=117,F799,0))/100)),MAX(0,Inputs!$B$43-((R792-1)*Skills!E18))))/Inputs!$B$43),IF(Inputs!$B$38="pvp",MIN((Skills!T18*(1+((Inputs!$B$34+(ArtifactsInput!$M$7-ArtifactsInput!$M$7)*CHOOSE(ArtifactsInput!$N$7+1,6,7.2,8.4,9.6,10.8,12))+IF(Inputs!$B$3&gt;=117,F799,0))/100)),15)/15,(Skills!T18*(1+((Inputs!$B$34+(ArtifactsInput!$M$7-ArtifactsInput!$M$7)*CHOOSE(ArtifactsInput!$N$7+1,6,7.2,8.4,9.6,10.8,12))+IF(Inputs!$B$3&gt;=117,F799,0))/100))/Skills!E18))</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IFERROR(1/(IF(Inputs!$B$38="pvp",15,MAX(0.1,Skills!E2-IF(Skills!F2=TRUE,Inputs!$B$32,0)))*(1-IF(AND(ArtifactsInput!$M$27,Inputs!$B$4="Chapter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IFERROR(1/(IF(Inputs!$B$38="pvp",15,MAX(0.1,Skills!E3-IF(Skills!F3=TRUE,Inputs!$B$32,0)))*(1-IF(AND(ArtifactsInput!$M$27,Inputs!$B$4="Chapter Hunt"),CHOOSE(ArtifactsInput!$N$27+1,20,24,28,32,36,40),0)/100)),0)</f>
        <v/>
      </c>
      <c r="R821">
        <f>IF(AND(Inputs!$B$38&lt;&gt;"pvp",Inputs!$B$43&gt;0),IF(MAX(0,Inputs!$B$43-B856)&lt;=0,0,(INT(MAX(0,Inputs!$B$43-B856)/(IF(Inputs!$B$38="pvp",15,MAX(0.1,Skills!E3-IF(Skills!F3=TRUE,Inputs!$B$32,0)))*(1-IF(AND(ArtifactsInput!$M$27,Inputs!$B$4="Chapter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IFERROR(1/(IF(Inputs!$B$38="pvp",15,MAX(0.1,Skills!E4-IF(Skills!F4=TRUE,Inputs!$B$32,0)))*(1-IF(AND(ArtifactsInput!$M$27,Inputs!$B$4="Chapter Hunt"),CHOOSE(ArtifactsInput!$N$27+1,20,24,28,32,36,40),0)/100)),0)</f>
        <v/>
      </c>
      <c r="R822">
        <f>IF(AND(Inputs!$B$38&lt;&gt;"pvp",Inputs!$B$43&gt;0),IF(MAX(0,Inputs!$B$43-B856)&lt;=0,0,(INT(MAX(0,Inputs!$B$43-B856)/(IF(Inputs!$B$38="pvp",15,MAX(0.1,Skills!E4-IF(Skills!F4=TRUE,Inputs!$B$32,0)))*(1-IF(AND(ArtifactsInput!$M$27,Inputs!$B$4="Chapter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IFERROR(1/(IF(Inputs!$B$38="pvp",15,MAX(0.1,Skills!E5-IF(Skills!F5=TRUE,Inputs!$B$32,0)))*(1-IF(AND(ArtifactsInput!$M$27,Inputs!$B$4="Chapter Hunt"),CHOOSE(ArtifactsInput!$N$27+1,20,24,28,32,36,40),0)/100)),0)</f>
        <v/>
      </c>
      <c r="R823">
        <f>IF(AND(Inputs!$B$38&lt;&gt;"pvp",Inputs!$B$43&gt;0),IF(MAX(0,Inputs!$B$43-B856)&lt;=0,0,(INT(MAX(0,Inputs!$B$43-B856)/(IF(Inputs!$B$38="pvp",15,MAX(0.1,Skills!E5-IF(Skills!F5=TRUE,Inputs!$B$32,0)))*(1-IF(AND(ArtifactsInput!$M$27,Inputs!$B$4="Chapter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IFERROR(1/(IF(Inputs!$B$38="pvp",15,MAX(0.1,Skills!E6-IF(Skills!F6=TRUE,Inputs!$B$32,0)))*(1-IF(AND(ArtifactsInput!$M$27,Inputs!$B$4="Chapter Hunt"),CHOOSE(ArtifactsInput!$N$27+1,20,24,28,32,36,40),0)/100)),0)</f>
        <v/>
      </c>
      <c r="R824">
        <f>IF(AND(Inputs!$B$38&lt;&gt;"pvp",Inputs!$B$43&gt;0),IF(Inputs!$B$43&lt;=0,0,(INT(Inputs!$B$43/(IF(Inputs!$B$38="pvp",15,MAX(0.1,Skills!E6-IF(Skills!F6=TRUE,Inputs!$B$32,0)))*(1-IF(AND(ArtifactsInput!$M$27,Inputs!$B$4="Chapter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IFERROR(1/(IF(Inputs!$B$38="pvp",15,MAX(0.1,Skills!E7-IF(Skills!F7=TRUE,Inputs!$B$32,0)))*(1-IF(AND(ArtifactsInput!$M$27,Inputs!$B$4="Chapter Hunt"),CHOOSE(ArtifactsInput!$N$27+1,20,24,28,32,36,40),0)/100)),0)</f>
        <v/>
      </c>
      <c r="R825">
        <f>IF(AND(Inputs!$B$38&lt;&gt;"pvp",Inputs!$B$43&gt;0),IF(MAX(0,Inputs!$B$43-B856)&lt;=0,0,(INT(MAX(0,Inputs!$B$43-B856)/(IF(Inputs!$B$38="pvp",15,MAX(0.1,Skills!E7-IF(Skills!F7=TRUE,Inputs!$B$32,0)))*(1-IF(AND(ArtifactsInput!$M$27,Inputs!$B$4="Chapter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IFERROR(1/(IF(Inputs!$B$38="pvp",15,MAX(0.1,Skills!E8-IF(Skills!F8=TRUE,Inputs!$B$32,0)))*(1-IF(AND(ArtifactsInput!$M$27,Inputs!$B$4="Chapter Hunt"),CHOOSE(ArtifactsInput!$N$27+1,20,24,28,32,36,40),0)/100)),0)</f>
        <v/>
      </c>
      <c r="R826">
        <f>IF(AND(Inputs!$B$38&lt;&gt;"pvp",Inputs!$B$43&gt;0),IF(MAX(0,Inputs!$B$43-B856)&lt;=0,0,(INT(MAX(0,Inputs!$B$43-B856)/(IF(Inputs!$B$38="pvp",15,MAX(0.1,Skills!E8-IF(Skills!F8=TRUE,Inputs!$B$32,0)))*(1-IF(AND(ArtifactsInput!$M$27,Inputs!$B$4="Chapter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IFERROR(1/(IF(Inputs!$B$38="pvp",15,MAX(0.1,Skills!E9-IF(Skills!F7=TRUE,Inputs!$B$32,0)))*(1-IF(AND(ArtifactsInput!$M$27,Inputs!$B$4="Chapter Hunt"),CHOOSE(ArtifactsInput!$N$27+1,20,24,28,32,36,40),0)/100)),0)</f>
        <v/>
      </c>
      <c r="R827">
        <f>IF(AND(Inputs!$B$38&lt;&gt;"pvp",Inputs!$B$43&gt;0),IF(MAX(0,Inputs!$B$43-B856)&lt;=0,0,(INT(MAX(0,Inputs!$B$43-B856)/(IF(Inputs!$B$38="pvp",15,MAX(0.1,Skills!E9-IF(Skills!F7=TRUE,Inputs!$B$32,0)))*(1-IF(AND(ArtifactsInput!$M$27,Inputs!$B$4="Chapter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IFERROR(1/(IF(Inputs!$B$38="pvp",15,MAX(0.1,Skills!E10-IF(Skills!F10=TRUE,Inputs!$B$32,0)))*(1-IF(AND(ArtifactsInput!$M$27,Inputs!$B$4="Chapter Hunt"),CHOOSE(ArtifactsInput!$N$27+1,20,24,28,32,36,40),0)/100)),0)</f>
        <v/>
      </c>
      <c r="R828">
        <f>IF(AND(Inputs!$B$38&lt;&gt;"pvp",Inputs!$B$43&gt;0),IF(MAX(0,Inputs!$B$43-B856)&lt;=0,0,(INT(MAX(0,Inputs!$B$43-B856)/(IF(Inputs!$B$38="pvp",15,MAX(0.1,Skills!E10-IF(Skills!F10=TRUE,Inputs!$B$32,0)))*(1-IF(AND(ArtifactsInput!$M$27,Inputs!$B$4="Chapter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IFERROR(1/(IF(Inputs!$B$38="pvp",15,MAX(0.1,Skills!E11-IF(Skills!F11=TRUE,Inputs!$B$32,0)))*(1-IF(AND(ArtifactsInput!$M$27,Inputs!$B$4="Chapter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IFERROR(1/(IF(Inputs!$B$38="pvp",15,MAX(0.1,Skills!E12-IF(Skills!F12=TRUE,Inputs!$B$32,0)))*(1-IF(AND(ArtifactsInput!$M$27,Inputs!$B$4="Chapter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IFERROR(1/(IF(Inputs!$B$38="pvp",15,MAX(0.1,Skills!E13-IF(Skills!F13=TRUE,Inputs!$B$32,0)))*(1-IF(AND(ArtifactsInput!$M$27,Inputs!$B$4="Chapter Hunt"),CHOOSE(ArtifactsInput!$N$27+1,20,24,28,32,36,40),0)/100)),0)</f>
        <v/>
      </c>
      <c r="R831">
        <f>IF(AND(Inputs!$B$38&lt;&gt;"pvp",Inputs!$B$43&gt;0),IF(MAX(0,Inputs!$B$43-B856)&lt;=0,0,(INT(MAX(0,Inputs!$B$43-B856)/(IF(Inputs!$B$38="pvp",15,MAX(0.1,Skills!E13-IF(Skills!F13=TRUE,Inputs!$B$32,0)))*(1-IF(AND(ArtifactsInput!$M$27,Inputs!$B$4="Chapter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IFERROR(1/(IF(Inputs!$B$38="pvp",15,MAX(0.1,Skills!E14-IF(Skills!F14=TRUE,Inputs!$B$32,0)))*(1-IF(AND(ArtifactsInput!$M$27,Inputs!$B$4="Chapter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IFERROR(1/(IF(Inputs!$B$38="pvp",15,MAX(0.1,Skills!E15-IF(Skills!F15=TRUE,Inputs!$B$32,0)))*(1-IF(AND(ArtifactsInput!$M$27,Inputs!$B$4="Chapter Hunt"),CHOOSE(ArtifactsInput!$N$27+1,20,24,28,32,36,40),0)/100)),0)</f>
        <v/>
      </c>
      <c r="R833">
        <f>IF(AND(Inputs!$B$38&lt;&gt;"pvp",Inputs!$B$43&gt;0),IF(MAX(0,Inputs!$B$43-B856)&lt;=0,0,(INT(MAX(0,Inputs!$B$43-B856)/(IF(Inputs!$B$38="pvp",15,MAX(0.1,Skills!E15-IF(Skills!F15=TRUE,Inputs!$B$32,0)))*(1-IF(AND(ArtifactsInput!$M$27,Inputs!$B$4="Chapter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IFERROR(1/(IF(Inputs!$B$38="pvp",15,MAX(0.1,Skills!E16-IF(Skills!F16=TRUE,Inputs!$B$32,0)))*(1-IF(AND(ArtifactsInput!$M$27,Inputs!$B$4="Chapter Hunt"),CHOOSE(ArtifactsInput!$N$27+1,20,24,28,32,36,40),0)/100)),0)</f>
        <v/>
      </c>
      <c r="R834">
        <f>IF(AND(Inputs!$B$38&lt;&gt;"pvp",Inputs!$B$43&gt;0),IF(MAX(0,Inputs!$B$43-B856)&lt;=0,0,(INT(MAX(0,Inputs!$B$43-B856)/(IF(Inputs!$B$38="pvp",15,MAX(0.1,Skills!E16-IF(Skills!F16=TRUE,Inputs!$B$32,0)))*(1-IF(AND(ArtifactsInput!$M$27,Inputs!$B$4="Chapter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IFERROR(1/(IF(Inputs!$B$38="pvp",15,MAX(0.1,Skills!E17-IF(Skills!F17=TRUE,Inputs!$B$32,0)))*(1-IF(AND(ArtifactsInput!$M$27,Inputs!$B$4="Chapter Hunt"),CHOOSE(ArtifactsInput!$N$27+1,20,24,28,32,36,40),0)/100)),0)</f>
        <v/>
      </c>
      <c r="R835">
        <f>IF(AND(Inputs!$B$38&lt;&gt;"pvp",Inputs!$B$43&gt;0),IF(Inputs!$B$43&lt;=0,0,(INT(Inputs!$B$43/(IF(Inputs!$B$38="pvp",15,MAX(0.1,Skills!E17-IF(Skills!F17=TRUE,Inputs!$B$32,0)))*(1-IF(AND(ArtifactsInput!$M$27,Inputs!$B$4="Chapter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IFERROR(1/(IF(Inputs!$B$38="pvp",15,MAX(0.1,Skills!E18-IF(Skills!F18=TRUE,Inputs!$B$32,0)))*(1-IF(AND(ArtifactsInput!$M$27,Inputs!$B$4="Chapter Hunt"),CHOOSE(ArtifactsInput!$N$27+1,20,24,28,32,36,40),0)/100)),0)</f>
        <v/>
      </c>
      <c r="R836">
        <f>IF(AND(Inputs!$B$38&lt;&gt;"pvp",Inputs!$B$43&gt;0),IF(Inputs!$B$43&lt;=0,0,(INT(Inputs!$B$43/(IF(Inputs!$B$38="pvp",15,MAX(0.1,Skills!E18-IF(Skills!F18=TRUE,Inputs!$B$32,0)))*(1-IF(AND(ArtifactsInput!$M$27,Inputs!$B$4="Chapter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IFERROR(1/(IF(Inputs!$B$38="pvp",15,MAX(0.1,Skills!E19-IF(Skills!F19=TRUE,Inputs!$B$32,0)))*(1-IF(AND(ArtifactsInput!$M$27,Inputs!$B$4="Chapter Hunt"),CHOOSE(ArtifactsInput!$N$27+1,20,24,28,32,36,40),0)/100)),0)</f>
        <v/>
      </c>
      <c r="R837">
        <f>IF(AND(Inputs!$B$38&lt;&gt;"pvp",Inputs!$B$43&gt;0),IF(Inputs!$B$43&lt;=0,0,(INT(Inputs!$B$43/(IF(Inputs!$B$38="pvp",15,MAX(0.1,Skills!E19-IF(Skills!F19=TRUE,Inputs!$B$32,0)))*(1-IF(AND(ArtifactsInput!$M$27,Inputs!$B$4="Chapter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IFERROR(1/(IF(Inputs!$B$38="pvp",15,MAX(0.1,Skills!E20-IF(Skills!F20=TRUE,Inputs!$B$32,0)))*(1-IF(AND(ArtifactsInput!$M$27,Inputs!$B$4="Chapter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IFERROR(1/(IF(Inputs!$B$38="pvp",15,MAX(0.1,Skills!E21-IF(Skills!F21=TRUE,Inputs!$B$32,0)))*(1-IF(AND(ArtifactsInput!$M$27,Inputs!$B$4="Chapter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IFERROR(1/(IF(Inputs!$B$38="pvp",15,MAX(0.1,Skills!E22-IF(Skills!F22=TRUE,Inputs!$B$32,0)))*(1-IF(AND(ArtifactsInput!$M$27,Inputs!$B$4="Chapter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IFERROR(1/(IF(Inputs!$B$38="pvp",15,MAX(0.1,Skills!E23-IF(Skills!F23=TRUE,Inputs!$B$32,0)))*(1-IF(AND(ArtifactsInput!$M$27,Inputs!$B$4="Chapter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IFERROR(1/(IF(Inputs!$B$38="pvp",15,MAX(0.1,Skills!E24-IF(Skills!F24=TRUE,Inputs!$B$32,0)))*(1-IF(AND(ArtifactsInput!$M$27,Inputs!$B$4="Chapter Hunt"),CHOOSE(ArtifactsInput!$N$27+1,20,24,28,32,36,40),0)/100)),0)</f>
        <v/>
      </c>
      <c r="R842">
        <f>IF(AND(Inputs!$B$38&lt;&gt;"pvp",Inputs!$B$43&gt;0),IF(MAX(0,Inputs!$B$43-B856)&lt;=0,0,(INT(MAX(0,Inputs!$B$43-B856)/(IF(Inputs!$B$38="pvp",15,MAX(0.1,Skills!E24-IF(Skills!F24=TRUE,Inputs!$B$32,0)))*(1-IF(AND(ArtifactsInput!$M$27,Inputs!$B$4="Chapter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IFERROR(1/(IF(Inputs!$B$38="pvp",15,MAX(0.1,Skills!E25-IF(Skills!F25=TRUE,Inputs!$B$32,0)))*(1-IF(AND(ArtifactsInput!$M$27,Inputs!$B$4="Chapter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IFERROR(1/(IF(Inputs!$B$38="pvp",15,MAX(0.1,Skills!E26-IF(Skills!F26=TRUE,Inputs!$B$32,0)))*(1-IF(AND(ArtifactsInput!$M$27,Inputs!$B$4="Chapter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IFERROR(1/(IF(Inputs!$B$38="pvp",15,MAX(0.1,Skills!E27-IF(Skills!F27=TRUE,Inputs!$B$32,0)))*(1-IF(AND(ArtifactsInput!$M$27,Inputs!$B$4="Chapter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IFERROR(1/(IF(Inputs!$B$38="pvp",15,MAX(0.1,Skills!E28-IF(Skills!F28=TRUE,Inputs!$B$32,0)))*(1-IF(AND(ArtifactsInput!$M$27,Inputs!$B$4="Chapter Hunt"),CHOOSE(ArtifactsInput!$N$27+1,20,24,28,32,36,40),0)/100)),0)</f>
        <v/>
      </c>
      <c r="R846">
        <f>IF(AND(Inputs!$B$38&lt;&gt;"pvp",Inputs!$B$43&gt;0),IF(MAX(0,Inputs!$B$43-B856)&lt;=0,0,(INT(MAX(0,Inputs!$B$43-B856)/(IF(Inputs!$B$38="pvp",15,MAX(0.1,Skills!E28-IF(Skills!F28=TRUE,Inputs!$B$32,0)))*(1-IF(AND(ArtifactsInput!$M$27,Inputs!$B$4="Chapter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Skills!T6*(1+((Inputs!$B$34+(ArtifactsInput!$M$7-ArtifactsInput!$M$7)*CHOOSE(ArtifactsInput!$N$7+1,6,7.2,8.4,9.6,10.8,12))+IF(Inputs!$B$3&gt;=117,F843,0))/100))+MIN((Skills!T6*(1+((Inputs!$B$34+(ArtifactsInput!$M$7-ArtifactsInput!$M$7)*CHOOSE(ArtifactsInput!$N$7+1,6,7.2,8.4,9.6,10.8,12))+IF(Inputs!$B$3&gt;=117,F843,0))/100)),MAX(0,Inputs!$B$43-((R824-1)*Skills!E6))))/Inputs!$B$43),IF(Inputs!$B$38="pvp",MIN((Skills!T6*(1+((Inputs!$B$34+(ArtifactsInput!$M$7-ArtifactsInput!$M$7)*CHOOSE(ArtifactsInput!$N$7+1,6,7.2,8.4,9.6,10.8,12))+IF(Inputs!$B$3&gt;=117,F843,0))/100)),15)/15,(Skills!T6*(1+((Inputs!$B$34+(ArtifactsInput!$M$7-ArtifactsInput!$M$7)*CHOOSE(ArtifactsInput!$N$7+1,6,7.2,8.4,9.6,10.8,12))+IF(Inputs!$B$3&gt;=117,F843,0))/100))/Skills!E6))+F835*IF(AND(Inputs!$B$38&lt;&gt;"pvp",Inputs!$B$43&gt;0),(((R835-1)*(Skills!T17*(1+((Inputs!$B$34+(ArtifactsInput!$M$7-ArtifactsInput!$M$7)*CHOOSE(ArtifactsInput!$N$7+1,6,7.2,8.4,9.6,10.8,12))+IF(Inputs!$B$3&gt;=117,F843,0))/100))+MIN((Skills!T17*(1+((Inputs!$B$34+(ArtifactsInput!$M$7-ArtifactsInput!$M$7)*CHOOSE(ArtifactsInput!$N$7+1,6,7.2,8.4,9.6,10.8,12))+IF(Inputs!$B$3&gt;=117,F843,0))/100)),MAX(0,Inputs!$B$43-((R835-1)*Skills!E17))))/Inputs!$B$43),IF(Inputs!$B$38="pvp",MIN((Skills!T17*(1+((Inputs!$B$34+(ArtifactsInput!$M$7-ArtifactsInput!$M$7)*CHOOSE(ArtifactsInput!$N$7+1,6,7.2,8.4,9.6,10.8,12))+IF(Inputs!$B$3&gt;=117,F843,0))/100)),15)/15,(Skills!T17*(1+((Inputs!$B$34+(ArtifactsInput!$M$7-ArtifactsInput!$M$7)*CHOOSE(ArtifactsInput!$N$7+1,6,7.2,8.4,9.6,10.8,12))+IF(Inputs!$B$3&gt;=117,F843,0)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Skills!T19*(1+((Inputs!$B$34+(ArtifactsInput!$M$7-ArtifactsInput!$M$7)*CHOOSE(ArtifactsInput!$N$7+1,6,7.2,8.4,9.6,10.8,12))+IF(Inputs!$B$3&gt;=117,F843,0))/100))+MIN((Skills!T19*(1+((Inputs!$B$34+(ArtifactsInput!$M$7-ArtifactsInput!$M$7)*CHOOSE(ArtifactsInput!$N$7+1,6,7.2,8.4,9.6,10.8,12))+IF(Inputs!$B$3&gt;=117,F843,0))/100)),MAX(0,Inputs!$B$43-((R837-1)*Skills!E19))))/Inputs!$B$43),IF(Inputs!$B$38="pvp",MIN((Skills!T19*(1+((Inputs!$B$34+(ArtifactsInput!$M$7-ArtifactsInput!$M$7)*CHOOSE(ArtifactsInput!$N$7+1,6,7.2,8.4,9.6,10.8,12))+IF(Inputs!$B$3&gt;=117,F843,0))/100)),15)/15,(Skills!T19*(1+((Inputs!$B$34+(ArtifactsInput!$M$7-ArtifactsInput!$M$7)*CHOOSE(ArtifactsInput!$N$7+1,6,7.2,8.4,9.6,10.8,12))+IF(Inputs!$B$3&gt;=117,F843,0))/100))/Skills!E19))/100),1)</f>
        <v/>
      </c>
    </row>
    <row r="851">
      <c r="A851" t="inlineStr">
        <is>
          <t>Attack Speed Buff Bonus % (Nimble Feet, averaged)</t>
        </is>
      </c>
      <c r="B851">
        <f>F836*IF(AND(Inputs!$B$38&lt;&gt;"pvp",Inputs!$B$43&gt;0),(((R836-1)*(Skills!T18*(1+((Inputs!$B$34+(ArtifactsInput!$M$7-ArtifactsInput!$M$7)*CHOOSE(ArtifactsInput!$N$7+1,6,7.2,8.4,9.6,10.8,12))+IF(Inputs!$B$3&gt;=117,F843,0))/100))+MIN((Skills!T18*(1+((Inputs!$B$34+(ArtifactsInput!$M$7-ArtifactsInput!$M$7)*CHOOSE(ArtifactsInput!$N$7+1,6,7.2,8.4,9.6,10.8,12))+IF(Inputs!$B$3&gt;=117,F843,0))/100)),MAX(0,Inputs!$B$43-((R836-1)*Skills!E18))))/Inputs!$B$43),IF(Inputs!$B$38="pvp",MIN((Skills!T18*(1+((Inputs!$B$34+(ArtifactsInput!$M$7-ArtifactsInput!$M$7)*CHOOSE(ArtifactsInput!$N$7+1,6,7.2,8.4,9.6,10.8,12))+IF(Inputs!$B$3&gt;=117,F843,0))/100)),15)/15,(Skills!T18*(1+((Inputs!$B$34+(ArtifactsInput!$M$7-ArtifactsInput!$M$7)*CHOOSE(ArtifactsInput!$N$7+1,6,7.2,8.4,9.6,10.8,12))+IF(Inputs!$B$3&gt;=117,F843,0))/100))/Skills!E18))</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IFERROR(1/(IF(Inputs!$B$38="pvp",15,MAX(0.1,Skills!E2-IF(Skills!F2=TRUE,Inputs!$B$32,0)))*(1-IF(AND(ArtifactsInput!$M$27,Inputs!$B$4="Chapter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IFERROR(1/(IF(Inputs!$B$38="pvp",15,MAX(0.1,Skills!E3-IF(Skills!F3=TRUE,Inputs!$B$32,0)))*(1-IF(AND(ArtifactsInput!$M$27,Inputs!$B$4="Chapter Hunt"),CHOOSE(ArtifactsInput!$N$27+1,20,24,28,32,36,40),0)/100)),0)</f>
        <v/>
      </c>
      <c r="R865">
        <f>IF(AND(Inputs!$B$38&lt;&gt;"pvp",Inputs!$B$43&gt;0),IF(MAX(0,Inputs!$B$43-B900)&lt;=0,0,(INT(MAX(0,Inputs!$B$43-B900)/(IF(Inputs!$B$38="pvp",15,MAX(0.1,Skills!E3-IF(Skills!F3=TRUE,Inputs!$B$32,0)))*(1-IF(AND(ArtifactsInput!$M$27,Inputs!$B$4="Chapter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IFERROR(1/(IF(Inputs!$B$38="pvp",15,MAX(0.1,Skills!E4-IF(Skills!F4=TRUE,Inputs!$B$32,0)))*(1-IF(AND(ArtifactsInput!$M$27,Inputs!$B$4="Chapter Hunt"),CHOOSE(ArtifactsInput!$N$27+1,20,24,28,32,36,40),0)/100)),0)</f>
        <v/>
      </c>
      <c r="R866">
        <f>IF(AND(Inputs!$B$38&lt;&gt;"pvp",Inputs!$B$43&gt;0),IF(MAX(0,Inputs!$B$43-B900)&lt;=0,0,(INT(MAX(0,Inputs!$B$43-B900)/(IF(Inputs!$B$38="pvp",15,MAX(0.1,Skills!E4-IF(Skills!F4=TRUE,Inputs!$B$32,0)))*(1-IF(AND(ArtifactsInput!$M$27,Inputs!$B$4="Chapter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IFERROR(1/(IF(Inputs!$B$38="pvp",15,MAX(0.1,Skills!E5-IF(Skills!F5=TRUE,Inputs!$B$32,0)))*(1-IF(AND(ArtifactsInput!$M$27,Inputs!$B$4="Chapter Hunt"),CHOOSE(ArtifactsInput!$N$27+1,20,24,28,32,36,40),0)/100)),0)</f>
        <v/>
      </c>
      <c r="R867">
        <f>IF(AND(Inputs!$B$38&lt;&gt;"pvp",Inputs!$B$43&gt;0),IF(MAX(0,Inputs!$B$43-B900)&lt;=0,0,(INT(MAX(0,Inputs!$B$43-B900)/(IF(Inputs!$B$38="pvp",15,MAX(0.1,Skills!E5-IF(Skills!F5=TRUE,Inputs!$B$32,0)))*(1-IF(AND(ArtifactsInput!$M$27,Inputs!$B$4="Chapter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IFERROR(1/(IF(Inputs!$B$38="pvp",15,MAX(0.1,Skills!E6-IF(Skills!F6=TRUE,Inputs!$B$32,0)))*(1-IF(AND(ArtifactsInput!$M$27,Inputs!$B$4="Chapter Hunt"),CHOOSE(ArtifactsInput!$N$27+1,20,24,28,32,36,40),0)/100)),0)</f>
        <v/>
      </c>
      <c r="R868">
        <f>IF(AND(Inputs!$B$38&lt;&gt;"pvp",Inputs!$B$43&gt;0),IF(Inputs!$B$43&lt;=0,0,(INT(Inputs!$B$43/(IF(Inputs!$B$38="pvp",15,MAX(0.1,Skills!E6-IF(Skills!F6=TRUE,Inputs!$B$32,0)))*(1-IF(AND(ArtifactsInput!$M$27,Inputs!$B$4="Chapter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IFERROR(1/(IF(Inputs!$B$38="pvp",15,MAX(0.1,Skills!E7-IF(Skills!F7=TRUE,Inputs!$B$32,0)))*(1-IF(AND(ArtifactsInput!$M$27,Inputs!$B$4="Chapter Hunt"),CHOOSE(ArtifactsInput!$N$27+1,20,24,28,32,36,40),0)/100)),0)</f>
        <v/>
      </c>
      <c r="R869">
        <f>IF(AND(Inputs!$B$38&lt;&gt;"pvp",Inputs!$B$43&gt;0),IF(MAX(0,Inputs!$B$43-B900)&lt;=0,0,(INT(MAX(0,Inputs!$B$43-B900)/(IF(Inputs!$B$38="pvp",15,MAX(0.1,Skills!E7-IF(Skills!F7=TRUE,Inputs!$B$32,0)))*(1-IF(AND(ArtifactsInput!$M$27,Inputs!$B$4="Chapter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IFERROR(1/(IF(Inputs!$B$38="pvp",15,MAX(0.1,Skills!E8-IF(Skills!F8=TRUE,Inputs!$B$32,0)))*(1-IF(AND(ArtifactsInput!$M$27,Inputs!$B$4="Chapter Hunt"),CHOOSE(ArtifactsInput!$N$27+1,20,24,28,32,36,40),0)/100)),0)</f>
        <v/>
      </c>
      <c r="R870">
        <f>IF(AND(Inputs!$B$38&lt;&gt;"pvp",Inputs!$B$43&gt;0),IF(MAX(0,Inputs!$B$43-B900)&lt;=0,0,(INT(MAX(0,Inputs!$B$43-B900)/(IF(Inputs!$B$38="pvp",15,MAX(0.1,Skills!E8-IF(Skills!F8=TRUE,Inputs!$B$32,0)))*(1-IF(AND(ArtifactsInput!$M$27,Inputs!$B$4="Chapter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IFERROR(1/(IF(Inputs!$B$38="pvp",15,MAX(0.1,Skills!E9-IF(Skills!F7=TRUE,Inputs!$B$32,0)))*(1-IF(AND(ArtifactsInput!$M$27,Inputs!$B$4="Chapter Hunt"),CHOOSE(ArtifactsInput!$N$27+1,20,24,28,32,36,40),0)/100)),0)</f>
        <v/>
      </c>
      <c r="R871">
        <f>IF(AND(Inputs!$B$38&lt;&gt;"pvp",Inputs!$B$43&gt;0),IF(MAX(0,Inputs!$B$43-B900)&lt;=0,0,(INT(MAX(0,Inputs!$B$43-B900)/(IF(Inputs!$B$38="pvp",15,MAX(0.1,Skills!E9-IF(Skills!F7=TRUE,Inputs!$B$32,0)))*(1-IF(AND(ArtifactsInput!$M$27,Inputs!$B$4="Chapter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IFERROR(1/(IF(Inputs!$B$38="pvp",15,MAX(0.1,Skills!E10-IF(Skills!F10=TRUE,Inputs!$B$32,0)))*(1-IF(AND(ArtifactsInput!$M$27,Inputs!$B$4="Chapter Hunt"),CHOOSE(ArtifactsInput!$N$27+1,20,24,28,32,36,40),0)/100)),0)</f>
        <v/>
      </c>
      <c r="R872">
        <f>IF(AND(Inputs!$B$38&lt;&gt;"pvp",Inputs!$B$43&gt;0),IF(MAX(0,Inputs!$B$43-B900)&lt;=0,0,(INT(MAX(0,Inputs!$B$43-B900)/(IF(Inputs!$B$38="pvp",15,MAX(0.1,Skills!E10-IF(Skills!F10=TRUE,Inputs!$B$32,0)))*(1-IF(AND(ArtifactsInput!$M$27,Inputs!$B$4="Chapter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IFERROR(1/(IF(Inputs!$B$38="pvp",15,MAX(0.1,Skills!E11-IF(Skills!F11=TRUE,Inputs!$B$32,0)))*(1-IF(AND(ArtifactsInput!$M$27,Inputs!$B$4="Chapter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IFERROR(1/(IF(Inputs!$B$38="pvp",15,MAX(0.1,Skills!E12-IF(Skills!F12=TRUE,Inputs!$B$32,0)))*(1-IF(AND(ArtifactsInput!$M$27,Inputs!$B$4="Chapter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IFERROR(1/(IF(Inputs!$B$38="pvp",15,MAX(0.1,Skills!E13-IF(Skills!F13=TRUE,Inputs!$B$32,0)))*(1-IF(AND(ArtifactsInput!$M$27,Inputs!$B$4="Chapter Hunt"),CHOOSE(ArtifactsInput!$N$27+1,20,24,28,32,36,40),0)/100)),0)</f>
        <v/>
      </c>
      <c r="R875">
        <f>IF(AND(Inputs!$B$38&lt;&gt;"pvp",Inputs!$B$43&gt;0),IF(MAX(0,Inputs!$B$43-B900)&lt;=0,0,(INT(MAX(0,Inputs!$B$43-B900)/(IF(Inputs!$B$38="pvp",15,MAX(0.1,Skills!E13-IF(Skills!F13=TRUE,Inputs!$B$32,0)))*(1-IF(AND(ArtifactsInput!$M$27,Inputs!$B$4="Chapter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IFERROR(1/(IF(Inputs!$B$38="pvp",15,MAX(0.1,Skills!E14-IF(Skills!F14=TRUE,Inputs!$B$32,0)))*(1-IF(AND(ArtifactsInput!$M$27,Inputs!$B$4="Chapter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IFERROR(1/(IF(Inputs!$B$38="pvp",15,MAX(0.1,Skills!E15-IF(Skills!F15=TRUE,Inputs!$B$32,0)))*(1-IF(AND(ArtifactsInput!$M$27,Inputs!$B$4="Chapter Hunt"),CHOOSE(ArtifactsInput!$N$27+1,20,24,28,32,36,40),0)/100)),0)</f>
        <v/>
      </c>
      <c r="R877">
        <f>IF(AND(Inputs!$B$38&lt;&gt;"pvp",Inputs!$B$43&gt;0),IF(MAX(0,Inputs!$B$43-B900)&lt;=0,0,(INT(MAX(0,Inputs!$B$43-B900)/(IF(Inputs!$B$38="pvp",15,MAX(0.1,Skills!E15-IF(Skills!F15=TRUE,Inputs!$B$32,0)))*(1-IF(AND(ArtifactsInput!$M$27,Inputs!$B$4="Chapter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IFERROR(1/(IF(Inputs!$B$38="pvp",15,MAX(0.1,Skills!E16-IF(Skills!F16=TRUE,Inputs!$B$32,0)))*(1-IF(AND(ArtifactsInput!$M$27,Inputs!$B$4="Chapter Hunt"),CHOOSE(ArtifactsInput!$N$27+1,20,24,28,32,36,40),0)/100)),0)</f>
        <v/>
      </c>
      <c r="R878">
        <f>IF(AND(Inputs!$B$38&lt;&gt;"pvp",Inputs!$B$43&gt;0),IF(MAX(0,Inputs!$B$43-B900)&lt;=0,0,(INT(MAX(0,Inputs!$B$43-B900)/(IF(Inputs!$B$38="pvp",15,MAX(0.1,Skills!E16-IF(Skills!F16=TRUE,Inputs!$B$32,0)))*(1-IF(AND(ArtifactsInput!$M$27,Inputs!$B$4="Chapter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IFERROR(1/(IF(Inputs!$B$38="pvp",15,MAX(0.1,Skills!E17-IF(Skills!F17=TRUE,Inputs!$B$32,0)))*(1-IF(AND(ArtifactsInput!$M$27,Inputs!$B$4="Chapter Hunt"),CHOOSE(ArtifactsInput!$N$27+1,20,24,28,32,36,40),0)/100)),0)</f>
        <v/>
      </c>
      <c r="R879">
        <f>IF(AND(Inputs!$B$38&lt;&gt;"pvp",Inputs!$B$43&gt;0),IF(Inputs!$B$43&lt;=0,0,(INT(Inputs!$B$43/(IF(Inputs!$B$38="pvp",15,MAX(0.1,Skills!E17-IF(Skills!F17=TRUE,Inputs!$B$32,0)))*(1-IF(AND(ArtifactsInput!$M$27,Inputs!$B$4="Chapter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IFERROR(1/(IF(Inputs!$B$38="pvp",15,MAX(0.1,Skills!E18-IF(Skills!F18=TRUE,Inputs!$B$32,0)))*(1-IF(AND(ArtifactsInput!$M$27,Inputs!$B$4="Chapter Hunt"),CHOOSE(ArtifactsInput!$N$27+1,20,24,28,32,36,40),0)/100)),0)</f>
        <v/>
      </c>
      <c r="R880">
        <f>IF(AND(Inputs!$B$38&lt;&gt;"pvp",Inputs!$B$43&gt;0),IF(Inputs!$B$43&lt;=0,0,(INT(Inputs!$B$43/(IF(Inputs!$B$38="pvp",15,MAX(0.1,Skills!E18-IF(Skills!F18=TRUE,Inputs!$B$32,0)))*(1-IF(AND(ArtifactsInput!$M$27,Inputs!$B$4="Chapter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IFERROR(1/(IF(Inputs!$B$38="pvp",15,MAX(0.1,Skills!E19-IF(Skills!F19=TRUE,Inputs!$B$32,0)))*(1-IF(AND(ArtifactsInput!$M$27,Inputs!$B$4="Chapter Hunt"),CHOOSE(ArtifactsInput!$N$27+1,20,24,28,32,36,40),0)/100)),0)</f>
        <v/>
      </c>
      <c r="R881">
        <f>IF(AND(Inputs!$B$38&lt;&gt;"pvp",Inputs!$B$43&gt;0),IF(Inputs!$B$43&lt;=0,0,(INT(Inputs!$B$43/(IF(Inputs!$B$38="pvp",15,MAX(0.1,Skills!E19-IF(Skills!F19=TRUE,Inputs!$B$32,0)))*(1-IF(AND(ArtifactsInput!$M$27,Inputs!$B$4="Chapter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IFERROR(1/(IF(Inputs!$B$38="pvp",15,MAX(0.1,Skills!E20-IF(Skills!F20=TRUE,Inputs!$B$32,0)))*(1-IF(AND(ArtifactsInput!$M$27,Inputs!$B$4="Chapter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IFERROR(1/(IF(Inputs!$B$38="pvp",15,MAX(0.1,Skills!E21-IF(Skills!F21=TRUE,Inputs!$B$32,0)))*(1-IF(AND(ArtifactsInput!$M$27,Inputs!$B$4="Chapter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IFERROR(1/(IF(Inputs!$B$38="pvp",15,MAX(0.1,Skills!E22-IF(Skills!F22=TRUE,Inputs!$B$32,0)))*(1-IF(AND(ArtifactsInput!$M$27,Inputs!$B$4="Chapter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IFERROR(1/(IF(Inputs!$B$38="pvp",15,MAX(0.1,Skills!E23-IF(Skills!F23=TRUE,Inputs!$B$32,0)))*(1-IF(AND(ArtifactsInput!$M$27,Inputs!$B$4="Chapter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IFERROR(1/(IF(Inputs!$B$38="pvp",15,MAX(0.1,Skills!E24-IF(Skills!F24=TRUE,Inputs!$B$32,0)))*(1-IF(AND(ArtifactsInput!$M$27,Inputs!$B$4="Chapter Hunt"),CHOOSE(ArtifactsInput!$N$27+1,20,24,28,32,36,40),0)/100)),0)</f>
        <v/>
      </c>
      <c r="R886">
        <f>IF(AND(Inputs!$B$38&lt;&gt;"pvp",Inputs!$B$43&gt;0),IF(MAX(0,Inputs!$B$43-B900)&lt;=0,0,(INT(MAX(0,Inputs!$B$43-B900)/(IF(Inputs!$B$38="pvp",15,MAX(0.1,Skills!E24-IF(Skills!F24=TRUE,Inputs!$B$32,0)))*(1-IF(AND(ArtifactsInput!$M$27,Inputs!$B$4="Chapter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IFERROR(1/(IF(Inputs!$B$38="pvp",15,MAX(0.1,Skills!E25-IF(Skills!F25=TRUE,Inputs!$B$32,0)))*(1-IF(AND(ArtifactsInput!$M$27,Inputs!$B$4="Chapter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IFERROR(1/(IF(Inputs!$B$38="pvp",15,MAX(0.1,Skills!E26-IF(Skills!F26=TRUE,Inputs!$B$32,0)))*(1-IF(AND(ArtifactsInput!$M$27,Inputs!$B$4="Chapter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IFERROR(1/(IF(Inputs!$B$38="pvp",15,MAX(0.1,Skills!E27-IF(Skills!F27=TRUE,Inputs!$B$32,0)))*(1-IF(AND(ArtifactsInput!$M$27,Inputs!$B$4="Chapter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IFERROR(1/(IF(Inputs!$B$38="pvp",15,MAX(0.1,Skills!E28-IF(Skills!F28=TRUE,Inputs!$B$32,0)))*(1-IF(AND(ArtifactsInput!$M$27,Inputs!$B$4="Chapter Hunt"),CHOOSE(ArtifactsInput!$N$27+1,20,24,28,32,36,40),0)/100)),0)</f>
        <v/>
      </c>
      <c r="R890">
        <f>IF(AND(Inputs!$B$38&lt;&gt;"pvp",Inputs!$B$43&gt;0),IF(MAX(0,Inputs!$B$43-B900)&lt;=0,0,(INT(MAX(0,Inputs!$B$43-B900)/(IF(Inputs!$B$38="pvp",15,MAX(0.1,Skills!E28-IF(Skills!F28=TRUE,Inputs!$B$32,0)))*(1-IF(AND(ArtifactsInput!$M$27,Inputs!$B$4="Chapter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Skills!T6*(1+((Inputs!$B$34+(ArtifactsInput!$M$7-ArtifactsInput!$M$7)*CHOOSE(ArtifactsInput!$N$7+1,6,7.2,8.4,9.6,10.8,12))+IF(Inputs!$B$3&gt;=117,F887,0))/100))+MIN((Skills!T6*(1+((Inputs!$B$34+(ArtifactsInput!$M$7-ArtifactsInput!$M$7)*CHOOSE(ArtifactsInput!$N$7+1,6,7.2,8.4,9.6,10.8,12))+IF(Inputs!$B$3&gt;=117,F887,0))/100)),MAX(0,Inputs!$B$43-((R868-1)*Skills!E6))))/Inputs!$B$43),IF(Inputs!$B$38="pvp",MIN((Skills!T6*(1+((Inputs!$B$34+(ArtifactsInput!$M$7-ArtifactsInput!$M$7)*CHOOSE(ArtifactsInput!$N$7+1,6,7.2,8.4,9.6,10.8,12))+IF(Inputs!$B$3&gt;=117,F887,0))/100)),15)/15,(Skills!T6*(1+((Inputs!$B$34+(ArtifactsInput!$M$7-ArtifactsInput!$M$7)*CHOOSE(ArtifactsInput!$N$7+1,6,7.2,8.4,9.6,10.8,12))+IF(Inputs!$B$3&gt;=117,F887,0))/100))/Skills!E6))+F879*IF(AND(Inputs!$B$38&lt;&gt;"pvp",Inputs!$B$43&gt;0),(((R879-1)*(Skills!T17*(1+((Inputs!$B$34+(ArtifactsInput!$M$7-ArtifactsInput!$M$7)*CHOOSE(ArtifactsInput!$N$7+1,6,7.2,8.4,9.6,10.8,12))+IF(Inputs!$B$3&gt;=117,F887,0))/100))+MIN((Skills!T17*(1+((Inputs!$B$34+(ArtifactsInput!$M$7-ArtifactsInput!$M$7)*CHOOSE(ArtifactsInput!$N$7+1,6,7.2,8.4,9.6,10.8,12))+IF(Inputs!$B$3&gt;=117,F887,0))/100)),MAX(0,Inputs!$B$43-((R879-1)*Skills!E17))))/Inputs!$B$43),IF(Inputs!$B$38="pvp",MIN((Skills!T17*(1+((Inputs!$B$34+(ArtifactsInput!$M$7-ArtifactsInput!$M$7)*CHOOSE(ArtifactsInput!$N$7+1,6,7.2,8.4,9.6,10.8,12))+IF(Inputs!$B$3&gt;=117,F887,0))/100)),15)/15,(Skills!T17*(1+((Inputs!$B$34+(ArtifactsInput!$M$7-ArtifactsInput!$M$7)*CHOOSE(ArtifactsInput!$N$7+1,6,7.2,8.4,9.6,10.8,12))+IF(Inputs!$B$3&gt;=117,F887,0)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Skills!T19*(1+((Inputs!$B$34+(ArtifactsInput!$M$7-ArtifactsInput!$M$7)*CHOOSE(ArtifactsInput!$N$7+1,6,7.2,8.4,9.6,10.8,12))+IF(Inputs!$B$3&gt;=117,F887,0))/100))+MIN((Skills!T19*(1+((Inputs!$B$34+(ArtifactsInput!$M$7-ArtifactsInput!$M$7)*CHOOSE(ArtifactsInput!$N$7+1,6,7.2,8.4,9.6,10.8,12))+IF(Inputs!$B$3&gt;=117,F887,0))/100)),MAX(0,Inputs!$B$43-((R881-1)*Skills!E19))))/Inputs!$B$43),IF(Inputs!$B$38="pvp",MIN((Skills!T19*(1+((Inputs!$B$34+(ArtifactsInput!$M$7-ArtifactsInput!$M$7)*CHOOSE(ArtifactsInput!$N$7+1,6,7.2,8.4,9.6,10.8,12))+IF(Inputs!$B$3&gt;=117,F887,0))/100)),15)/15,(Skills!T19*(1+((Inputs!$B$34+(ArtifactsInput!$M$7-ArtifactsInput!$M$7)*CHOOSE(ArtifactsInput!$N$7+1,6,7.2,8.4,9.6,10.8,12))+IF(Inputs!$B$3&gt;=117,F887,0))/100))/Skills!E19))/100),1)</f>
        <v/>
      </c>
    </row>
    <row r="895">
      <c r="A895" t="inlineStr">
        <is>
          <t>Attack Speed Buff Bonus % (Nimble Feet, averaged)</t>
        </is>
      </c>
      <c r="B895">
        <f>F880*IF(AND(Inputs!$B$38&lt;&gt;"pvp",Inputs!$B$43&gt;0),(((R880-1)*(Skills!T18*(1+((Inputs!$B$34+(ArtifactsInput!$M$7-ArtifactsInput!$M$7)*CHOOSE(ArtifactsInput!$N$7+1,6,7.2,8.4,9.6,10.8,12))+IF(Inputs!$B$3&gt;=117,F887,0))/100))+MIN((Skills!T18*(1+((Inputs!$B$34+(ArtifactsInput!$M$7-ArtifactsInput!$M$7)*CHOOSE(ArtifactsInput!$N$7+1,6,7.2,8.4,9.6,10.8,12))+IF(Inputs!$B$3&gt;=117,F887,0))/100)),MAX(0,Inputs!$B$43-((R880-1)*Skills!E18))))/Inputs!$B$43),IF(Inputs!$B$38="pvp",MIN((Skills!T18*(1+((Inputs!$B$34+(ArtifactsInput!$M$7-ArtifactsInput!$M$7)*CHOOSE(ArtifactsInput!$N$7+1,6,7.2,8.4,9.6,10.8,12))+IF(Inputs!$B$3&gt;=117,F887,0))/100)),15)/15,(Skills!T18*(1+((Inputs!$B$34+(ArtifactsInput!$M$7-ArtifactsInput!$M$7)*CHOOSE(ArtifactsInput!$N$7+1,6,7.2,8.4,9.6,10.8,12))+IF(Inputs!$B$3&gt;=117,F887,0))/100))/Skills!E18))</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IFERROR(1/(IF(Inputs!$B$38="pvp",15,MAX(0.1,Skills!E2-IF(Skills!F2=TRUE,Inputs!$B$32,0)))*(1-IF(AND(ArtifactsInput!$M$27,Inputs!$B$4="Chapter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IFERROR(1/(IF(Inputs!$B$38="pvp",15,MAX(0.1,Skills!E3-IF(Skills!F3=TRUE,Inputs!$B$32,0)))*(1-IF(AND(ArtifactsInput!$M$27,Inputs!$B$4="Chapter Hunt"),CHOOSE(ArtifactsInput!$N$27+1,20,24,28,32,36,40),0)/100)),0)</f>
        <v/>
      </c>
      <c r="R909">
        <f>IF(AND(Inputs!$B$38&lt;&gt;"pvp",Inputs!$B$43&gt;0),IF(MAX(0,Inputs!$B$43-B944)&lt;=0,0,(INT(MAX(0,Inputs!$B$43-B944)/(IF(Inputs!$B$38="pvp",15,MAX(0.1,Skills!E3-IF(Skills!F3=TRUE,Inputs!$B$32,0)))*(1-IF(AND(ArtifactsInput!$M$27,Inputs!$B$4="Chapter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IFERROR(1/(IF(Inputs!$B$38="pvp",15,MAX(0.1,Skills!E4-IF(Skills!F4=TRUE,Inputs!$B$32,0)))*(1-IF(AND(ArtifactsInput!$M$27,Inputs!$B$4="Chapter Hunt"),CHOOSE(ArtifactsInput!$N$27+1,20,24,28,32,36,40),0)/100)),0)</f>
        <v/>
      </c>
      <c r="R910">
        <f>IF(AND(Inputs!$B$38&lt;&gt;"pvp",Inputs!$B$43&gt;0),IF(MAX(0,Inputs!$B$43-B944)&lt;=0,0,(INT(MAX(0,Inputs!$B$43-B944)/(IF(Inputs!$B$38="pvp",15,MAX(0.1,Skills!E4-IF(Skills!F4=TRUE,Inputs!$B$32,0)))*(1-IF(AND(ArtifactsInput!$M$27,Inputs!$B$4="Chapter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IFERROR(1/(IF(Inputs!$B$38="pvp",15,MAX(0.1,Skills!E5-IF(Skills!F5=TRUE,Inputs!$B$32,0)))*(1-IF(AND(ArtifactsInput!$M$27,Inputs!$B$4="Chapter Hunt"),CHOOSE(ArtifactsInput!$N$27+1,20,24,28,32,36,40),0)/100)),0)</f>
        <v/>
      </c>
      <c r="R911">
        <f>IF(AND(Inputs!$B$38&lt;&gt;"pvp",Inputs!$B$43&gt;0),IF(MAX(0,Inputs!$B$43-B944)&lt;=0,0,(INT(MAX(0,Inputs!$B$43-B944)/(IF(Inputs!$B$38="pvp",15,MAX(0.1,Skills!E5-IF(Skills!F5=TRUE,Inputs!$B$32,0)))*(1-IF(AND(ArtifactsInput!$M$27,Inputs!$B$4="Chapter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IFERROR(1/(IF(Inputs!$B$38="pvp",15,MAX(0.1,Skills!E6-IF(Skills!F6=TRUE,Inputs!$B$32,0)))*(1-IF(AND(ArtifactsInput!$M$27,Inputs!$B$4="Chapter Hunt"),CHOOSE(ArtifactsInput!$N$27+1,20,24,28,32,36,40),0)/100)),0)</f>
        <v/>
      </c>
      <c r="R912">
        <f>IF(AND(Inputs!$B$38&lt;&gt;"pvp",Inputs!$B$43&gt;0),IF(Inputs!$B$43&lt;=0,0,(INT(Inputs!$B$43/(IF(Inputs!$B$38="pvp",15,MAX(0.1,Skills!E6-IF(Skills!F6=TRUE,Inputs!$B$32,0)))*(1-IF(AND(ArtifactsInput!$M$27,Inputs!$B$4="Chapter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IFERROR(1/(IF(Inputs!$B$38="pvp",15,MAX(0.1,Skills!E7-IF(Skills!F7=TRUE,Inputs!$B$32,0)))*(1-IF(AND(ArtifactsInput!$M$27,Inputs!$B$4="Chapter Hunt"),CHOOSE(ArtifactsInput!$N$27+1,20,24,28,32,36,40),0)/100)),0)</f>
        <v/>
      </c>
      <c r="R913">
        <f>IF(AND(Inputs!$B$38&lt;&gt;"pvp",Inputs!$B$43&gt;0),IF(MAX(0,Inputs!$B$43-B944)&lt;=0,0,(INT(MAX(0,Inputs!$B$43-B944)/(IF(Inputs!$B$38="pvp",15,MAX(0.1,Skills!E7-IF(Skills!F7=TRUE,Inputs!$B$32,0)))*(1-IF(AND(ArtifactsInput!$M$27,Inputs!$B$4="Chapter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IFERROR(1/(IF(Inputs!$B$38="pvp",15,MAX(0.1,Skills!E8-IF(Skills!F8=TRUE,Inputs!$B$32,0)))*(1-IF(AND(ArtifactsInput!$M$27,Inputs!$B$4="Chapter Hunt"),CHOOSE(ArtifactsInput!$N$27+1,20,24,28,32,36,40),0)/100)),0)</f>
        <v/>
      </c>
      <c r="R914">
        <f>IF(AND(Inputs!$B$38&lt;&gt;"pvp",Inputs!$B$43&gt;0),IF(MAX(0,Inputs!$B$43-B944)&lt;=0,0,(INT(MAX(0,Inputs!$B$43-B944)/(IF(Inputs!$B$38="pvp",15,MAX(0.1,Skills!E8-IF(Skills!F8=TRUE,Inputs!$B$32,0)))*(1-IF(AND(ArtifactsInput!$M$27,Inputs!$B$4="Chapter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IFERROR(1/(IF(Inputs!$B$38="pvp",15,MAX(0.1,Skills!E9-IF(Skills!F7=TRUE,Inputs!$B$32,0)))*(1-IF(AND(ArtifactsInput!$M$27,Inputs!$B$4="Chapter Hunt"),CHOOSE(ArtifactsInput!$N$27+1,20,24,28,32,36,40),0)/100)),0)</f>
        <v/>
      </c>
      <c r="R915">
        <f>IF(AND(Inputs!$B$38&lt;&gt;"pvp",Inputs!$B$43&gt;0),IF(MAX(0,Inputs!$B$43-B944)&lt;=0,0,(INT(MAX(0,Inputs!$B$43-B944)/(IF(Inputs!$B$38="pvp",15,MAX(0.1,Skills!E9-IF(Skills!F7=TRUE,Inputs!$B$32,0)))*(1-IF(AND(ArtifactsInput!$M$27,Inputs!$B$4="Chapter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IFERROR(1/(IF(Inputs!$B$38="pvp",15,MAX(0.1,Skills!E10-IF(Skills!F10=TRUE,Inputs!$B$32,0)))*(1-IF(AND(ArtifactsInput!$M$27,Inputs!$B$4="Chapter Hunt"),CHOOSE(ArtifactsInput!$N$27+1,20,24,28,32,36,40),0)/100)),0)</f>
        <v/>
      </c>
      <c r="R916">
        <f>IF(AND(Inputs!$B$38&lt;&gt;"pvp",Inputs!$B$43&gt;0),IF(MAX(0,Inputs!$B$43-B944)&lt;=0,0,(INT(MAX(0,Inputs!$B$43-B944)/(IF(Inputs!$B$38="pvp",15,MAX(0.1,Skills!E10-IF(Skills!F10=TRUE,Inputs!$B$32,0)))*(1-IF(AND(ArtifactsInput!$M$27,Inputs!$B$4="Chapter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IFERROR(1/(IF(Inputs!$B$38="pvp",15,MAX(0.1,Skills!E11-IF(Skills!F11=TRUE,Inputs!$B$32,0)))*(1-IF(AND(ArtifactsInput!$M$27,Inputs!$B$4="Chapter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IFERROR(1/(IF(Inputs!$B$38="pvp",15,MAX(0.1,Skills!E12-IF(Skills!F12=TRUE,Inputs!$B$32,0)))*(1-IF(AND(ArtifactsInput!$M$27,Inputs!$B$4="Chapter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IFERROR(1/(IF(Inputs!$B$38="pvp",15,MAX(0.1,Skills!E13-IF(Skills!F13=TRUE,Inputs!$B$32,0)))*(1-IF(AND(ArtifactsInput!$M$27,Inputs!$B$4="Chapter Hunt"),CHOOSE(ArtifactsInput!$N$27+1,20,24,28,32,36,40),0)/100)),0)</f>
        <v/>
      </c>
      <c r="R919">
        <f>IF(AND(Inputs!$B$38&lt;&gt;"pvp",Inputs!$B$43&gt;0),IF(MAX(0,Inputs!$B$43-B944)&lt;=0,0,(INT(MAX(0,Inputs!$B$43-B944)/(IF(Inputs!$B$38="pvp",15,MAX(0.1,Skills!E13-IF(Skills!F13=TRUE,Inputs!$B$32,0)))*(1-IF(AND(ArtifactsInput!$M$27,Inputs!$B$4="Chapter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IFERROR(1/(IF(Inputs!$B$38="pvp",15,MAX(0.1,Skills!E14-IF(Skills!F14=TRUE,Inputs!$B$32,0)))*(1-IF(AND(ArtifactsInput!$M$27,Inputs!$B$4="Chapter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IFERROR(1/(IF(Inputs!$B$38="pvp",15,MAX(0.1,Skills!E15-IF(Skills!F15=TRUE,Inputs!$B$32,0)))*(1-IF(AND(ArtifactsInput!$M$27,Inputs!$B$4="Chapter Hunt"),CHOOSE(ArtifactsInput!$N$27+1,20,24,28,32,36,40),0)/100)),0)</f>
        <v/>
      </c>
      <c r="R921">
        <f>IF(AND(Inputs!$B$38&lt;&gt;"pvp",Inputs!$B$43&gt;0),IF(MAX(0,Inputs!$B$43-B944)&lt;=0,0,(INT(MAX(0,Inputs!$B$43-B944)/(IF(Inputs!$B$38="pvp",15,MAX(0.1,Skills!E15-IF(Skills!F15=TRUE,Inputs!$B$32,0)))*(1-IF(AND(ArtifactsInput!$M$27,Inputs!$B$4="Chapter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IFERROR(1/(IF(Inputs!$B$38="pvp",15,MAX(0.1,Skills!E16-IF(Skills!F16=TRUE,Inputs!$B$32,0)))*(1-IF(AND(ArtifactsInput!$M$27,Inputs!$B$4="Chapter Hunt"),CHOOSE(ArtifactsInput!$N$27+1,20,24,28,32,36,40),0)/100)),0)</f>
        <v/>
      </c>
      <c r="R922">
        <f>IF(AND(Inputs!$B$38&lt;&gt;"pvp",Inputs!$B$43&gt;0),IF(MAX(0,Inputs!$B$43-B944)&lt;=0,0,(INT(MAX(0,Inputs!$B$43-B944)/(IF(Inputs!$B$38="pvp",15,MAX(0.1,Skills!E16-IF(Skills!F16=TRUE,Inputs!$B$32,0)))*(1-IF(AND(ArtifactsInput!$M$27,Inputs!$B$4="Chapter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IFERROR(1/(IF(Inputs!$B$38="pvp",15,MAX(0.1,Skills!E17-IF(Skills!F17=TRUE,Inputs!$B$32,0)))*(1-IF(AND(ArtifactsInput!$M$27,Inputs!$B$4="Chapter Hunt"),CHOOSE(ArtifactsInput!$N$27+1,20,24,28,32,36,40),0)/100)),0)</f>
        <v/>
      </c>
      <c r="R923">
        <f>IF(AND(Inputs!$B$38&lt;&gt;"pvp",Inputs!$B$43&gt;0),IF(Inputs!$B$43&lt;=0,0,(INT(Inputs!$B$43/(IF(Inputs!$B$38="pvp",15,MAX(0.1,Skills!E17-IF(Skills!F17=TRUE,Inputs!$B$32,0)))*(1-IF(AND(ArtifactsInput!$M$27,Inputs!$B$4="Chapter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IFERROR(1/(IF(Inputs!$B$38="pvp",15,MAX(0.1,Skills!E18-IF(Skills!F18=TRUE,Inputs!$B$32,0)))*(1-IF(AND(ArtifactsInput!$M$27,Inputs!$B$4="Chapter Hunt"),CHOOSE(ArtifactsInput!$N$27+1,20,24,28,32,36,40),0)/100)),0)</f>
        <v/>
      </c>
      <c r="R924">
        <f>IF(AND(Inputs!$B$38&lt;&gt;"pvp",Inputs!$B$43&gt;0),IF(Inputs!$B$43&lt;=0,0,(INT(Inputs!$B$43/(IF(Inputs!$B$38="pvp",15,MAX(0.1,Skills!E18-IF(Skills!F18=TRUE,Inputs!$B$32,0)))*(1-IF(AND(ArtifactsInput!$M$27,Inputs!$B$4="Chapter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IFERROR(1/(IF(Inputs!$B$38="pvp",15,MAX(0.1,Skills!E19-IF(Skills!F19=TRUE,Inputs!$B$32,0)))*(1-IF(AND(ArtifactsInput!$M$27,Inputs!$B$4="Chapter Hunt"),CHOOSE(ArtifactsInput!$N$27+1,20,24,28,32,36,40),0)/100)),0)</f>
        <v/>
      </c>
      <c r="R925">
        <f>IF(AND(Inputs!$B$38&lt;&gt;"pvp",Inputs!$B$43&gt;0),IF(Inputs!$B$43&lt;=0,0,(INT(Inputs!$B$43/(IF(Inputs!$B$38="pvp",15,MAX(0.1,Skills!E19-IF(Skills!F19=TRUE,Inputs!$B$32,0)))*(1-IF(AND(ArtifactsInput!$M$27,Inputs!$B$4="Chapter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IFERROR(1/(IF(Inputs!$B$38="pvp",15,MAX(0.1,Skills!E20-IF(Skills!F20=TRUE,Inputs!$B$32,0)))*(1-IF(AND(ArtifactsInput!$M$27,Inputs!$B$4="Chapter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IFERROR(1/(IF(Inputs!$B$38="pvp",15,MAX(0.1,Skills!E21-IF(Skills!F21=TRUE,Inputs!$B$32,0)))*(1-IF(AND(ArtifactsInput!$M$27,Inputs!$B$4="Chapter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IFERROR(1/(IF(Inputs!$B$38="pvp",15,MAX(0.1,Skills!E22-IF(Skills!F22=TRUE,Inputs!$B$32,0)))*(1-IF(AND(ArtifactsInput!$M$27,Inputs!$B$4="Chapter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IFERROR(1/(IF(Inputs!$B$38="pvp",15,MAX(0.1,Skills!E23-IF(Skills!F23=TRUE,Inputs!$B$32,0)))*(1-IF(AND(ArtifactsInput!$M$27,Inputs!$B$4="Chapter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IFERROR(1/(IF(Inputs!$B$38="pvp",15,MAX(0.1,Skills!E24-IF(Skills!F24=TRUE,Inputs!$B$32,0)))*(1-IF(AND(ArtifactsInput!$M$27,Inputs!$B$4="Chapter Hunt"),CHOOSE(ArtifactsInput!$N$27+1,20,24,28,32,36,40),0)/100)),0)</f>
        <v/>
      </c>
      <c r="R930">
        <f>IF(AND(Inputs!$B$38&lt;&gt;"pvp",Inputs!$B$43&gt;0),IF(MAX(0,Inputs!$B$43-B944)&lt;=0,0,(INT(MAX(0,Inputs!$B$43-B944)/(IF(Inputs!$B$38="pvp",15,MAX(0.1,Skills!E24-IF(Skills!F24=TRUE,Inputs!$B$32,0)))*(1-IF(AND(ArtifactsInput!$M$27,Inputs!$B$4="Chapter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IFERROR(1/(IF(Inputs!$B$38="pvp",15,MAX(0.1,Skills!E25-IF(Skills!F25=TRUE,Inputs!$B$32,0)))*(1-IF(AND(ArtifactsInput!$M$27,Inputs!$B$4="Chapter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IFERROR(1/(IF(Inputs!$B$38="pvp",15,MAX(0.1,Skills!E26-IF(Skills!F26=TRUE,Inputs!$B$32,0)))*(1-IF(AND(ArtifactsInput!$M$27,Inputs!$B$4="Chapter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IFERROR(1/(IF(Inputs!$B$38="pvp",15,MAX(0.1,Skills!E27-IF(Skills!F27=TRUE,Inputs!$B$32,0)))*(1-IF(AND(ArtifactsInput!$M$27,Inputs!$B$4="Chapter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IFERROR(1/(IF(Inputs!$B$38="pvp",15,MAX(0.1,Skills!E28-IF(Skills!F28=TRUE,Inputs!$B$32,0)))*(1-IF(AND(ArtifactsInput!$M$27,Inputs!$B$4="Chapter Hunt"),CHOOSE(ArtifactsInput!$N$27+1,20,24,28,32,36,40),0)/100)),0)</f>
        <v/>
      </c>
      <c r="R934">
        <f>IF(AND(Inputs!$B$38&lt;&gt;"pvp",Inputs!$B$43&gt;0),IF(MAX(0,Inputs!$B$43-B944)&lt;=0,0,(INT(MAX(0,Inputs!$B$43-B944)/(IF(Inputs!$B$38="pvp",15,MAX(0.1,Skills!E28-IF(Skills!F28=TRUE,Inputs!$B$32,0)))*(1-IF(AND(ArtifactsInput!$M$27,Inputs!$B$4="Chapter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Skills!T6*(1+((Inputs!$B$34+(ArtifactsInput!$M$7-ArtifactsInput!$M$7)*CHOOSE(ArtifactsInput!$N$7+1,6,7.2,8.4,9.6,10.8,12))+IF(Inputs!$B$3&gt;=117,F931,0))/100))+MIN((Skills!T6*(1+((Inputs!$B$34+(ArtifactsInput!$M$7-ArtifactsInput!$M$7)*CHOOSE(ArtifactsInput!$N$7+1,6,7.2,8.4,9.6,10.8,12))+IF(Inputs!$B$3&gt;=117,F931,0))/100)),MAX(0,Inputs!$B$43-((R912-1)*Skills!E6))))/Inputs!$B$43),IF(Inputs!$B$38="pvp",MIN((Skills!T6*(1+((Inputs!$B$34+(ArtifactsInput!$M$7-ArtifactsInput!$M$7)*CHOOSE(ArtifactsInput!$N$7+1,6,7.2,8.4,9.6,10.8,12))+IF(Inputs!$B$3&gt;=117,F931,0))/100)),15)/15,(Skills!T6*(1+((Inputs!$B$34+(ArtifactsInput!$M$7-ArtifactsInput!$M$7)*CHOOSE(ArtifactsInput!$N$7+1,6,7.2,8.4,9.6,10.8,12))+IF(Inputs!$B$3&gt;=117,F931,0))/100))/Skills!E6))+F923*IF(AND(Inputs!$B$38&lt;&gt;"pvp",Inputs!$B$43&gt;0),(((R923-1)*(Skills!T17*(1+((Inputs!$B$34+(ArtifactsInput!$M$7-ArtifactsInput!$M$7)*CHOOSE(ArtifactsInput!$N$7+1,6,7.2,8.4,9.6,10.8,12))+IF(Inputs!$B$3&gt;=117,F931,0))/100))+MIN((Skills!T17*(1+((Inputs!$B$34+(ArtifactsInput!$M$7-ArtifactsInput!$M$7)*CHOOSE(ArtifactsInput!$N$7+1,6,7.2,8.4,9.6,10.8,12))+IF(Inputs!$B$3&gt;=117,F931,0))/100)),MAX(0,Inputs!$B$43-((R923-1)*Skills!E17))))/Inputs!$B$43),IF(Inputs!$B$38="pvp",MIN((Skills!T17*(1+((Inputs!$B$34+(ArtifactsInput!$M$7-ArtifactsInput!$M$7)*CHOOSE(ArtifactsInput!$N$7+1,6,7.2,8.4,9.6,10.8,12))+IF(Inputs!$B$3&gt;=117,F931,0))/100)),15)/15,(Skills!T17*(1+((Inputs!$B$34+(ArtifactsInput!$M$7-ArtifactsInput!$M$7)*CHOOSE(ArtifactsInput!$N$7+1,6,7.2,8.4,9.6,10.8,12))+IF(Inputs!$B$3&gt;=117,F931,0)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Skills!T19*(1+((Inputs!$B$34+(ArtifactsInput!$M$7-ArtifactsInput!$M$7)*CHOOSE(ArtifactsInput!$N$7+1,6,7.2,8.4,9.6,10.8,12))+IF(Inputs!$B$3&gt;=117,F931,0))/100))+MIN((Skills!T19*(1+((Inputs!$B$34+(ArtifactsInput!$M$7-ArtifactsInput!$M$7)*CHOOSE(ArtifactsInput!$N$7+1,6,7.2,8.4,9.6,10.8,12))+IF(Inputs!$B$3&gt;=117,F931,0))/100)),MAX(0,Inputs!$B$43-((R925-1)*Skills!E19))))/Inputs!$B$43),IF(Inputs!$B$38="pvp",MIN((Skills!T19*(1+((Inputs!$B$34+(ArtifactsInput!$M$7-ArtifactsInput!$M$7)*CHOOSE(ArtifactsInput!$N$7+1,6,7.2,8.4,9.6,10.8,12))+IF(Inputs!$B$3&gt;=117,F931,0))/100)),15)/15,(Skills!T19*(1+((Inputs!$B$34+(ArtifactsInput!$M$7-ArtifactsInput!$M$7)*CHOOSE(ArtifactsInput!$N$7+1,6,7.2,8.4,9.6,10.8,12))+IF(Inputs!$B$3&gt;=117,F931,0))/100))/Skills!E19))/100),1)</f>
        <v/>
      </c>
    </row>
    <row r="939">
      <c r="A939" t="inlineStr">
        <is>
          <t>Attack Speed Buff Bonus % (Nimble Feet, averaged)</t>
        </is>
      </c>
      <c r="B939">
        <f>F924*IF(AND(Inputs!$B$38&lt;&gt;"pvp",Inputs!$B$43&gt;0),(((R924-1)*(Skills!T18*(1+((Inputs!$B$34+(ArtifactsInput!$M$7-ArtifactsInput!$M$7)*CHOOSE(ArtifactsInput!$N$7+1,6,7.2,8.4,9.6,10.8,12))+IF(Inputs!$B$3&gt;=117,F931,0))/100))+MIN((Skills!T18*(1+((Inputs!$B$34+(ArtifactsInput!$M$7-ArtifactsInput!$M$7)*CHOOSE(ArtifactsInput!$N$7+1,6,7.2,8.4,9.6,10.8,12))+IF(Inputs!$B$3&gt;=117,F931,0))/100)),MAX(0,Inputs!$B$43-((R924-1)*Skills!E18))))/Inputs!$B$43),IF(Inputs!$B$38="pvp",MIN((Skills!T18*(1+((Inputs!$B$34+(ArtifactsInput!$M$7-ArtifactsInput!$M$7)*CHOOSE(ArtifactsInput!$N$7+1,6,7.2,8.4,9.6,10.8,12))+IF(Inputs!$B$3&gt;=117,F931,0))/100)),15)/15,(Skills!T18*(1+((Inputs!$B$34+(ArtifactsInput!$M$7-ArtifactsInput!$M$7)*CHOOSE(ArtifactsInput!$N$7+1,6,7.2,8.4,9.6,10.8,12))+IF(Inputs!$B$3&gt;=117,F931,0))/100))/Skills!E18))</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IFERROR(1/(IF(Inputs!$B$38="pvp",15,MAX(0.1,Skills!E2-IF(Skills!F2=TRUE,Inputs!$B$32,0)))*(1-IF(AND(ArtifactsInput!$M$27,Inputs!$B$4="Chapter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IFERROR(1/(IF(Inputs!$B$38="pvp",15,MAX(0.1,Skills!E3-IF(Skills!F3=TRUE,Inputs!$B$32,0)))*(1-IF(AND(ArtifactsInput!$M$27,Inputs!$B$4="Chapter Hunt"),CHOOSE(ArtifactsInput!$N$27+1,20,24,28,32,36,40),0)/100)),0)</f>
        <v/>
      </c>
      <c r="R953">
        <f>IF(AND(Inputs!$B$38&lt;&gt;"pvp",Inputs!$B$43&gt;0),IF(MAX(0,Inputs!$B$43-B988)&lt;=0,0,(INT(MAX(0,Inputs!$B$43-B988)/(IF(Inputs!$B$38="pvp",15,MAX(0.1,Skills!E3-IF(Skills!F3=TRUE,Inputs!$B$32,0)))*(1-IF(AND(ArtifactsInput!$M$27,Inputs!$B$4="Chapter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IFERROR(1/(IF(Inputs!$B$38="pvp",15,MAX(0.1,Skills!E4-IF(Skills!F4=TRUE,Inputs!$B$32,0)))*(1-IF(AND(ArtifactsInput!$M$27,Inputs!$B$4="Chapter Hunt"),CHOOSE(ArtifactsInput!$N$27+1,20,24,28,32,36,40),0)/100)),0)</f>
        <v/>
      </c>
      <c r="R954">
        <f>IF(AND(Inputs!$B$38&lt;&gt;"pvp",Inputs!$B$43&gt;0),IF(MAX(0,Inputs!$B$43-B988)&lt;=0,0,(INT(MAX(0,Inputs!$B$43-B988)/(IF(Inputs!$B$38="pvp",15,MAX(0.1,Skills!E4-IF(Skills!F4=TRUE,Inputs!$B$32,0)))*(1-IF(AND(ArtifactsInput!$M$27,Inputs!$B$4="Chapter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IFERROR(1/(IF(Inputs!$B$38="pvp",15,MAX(0.1,Skills!E5-IF(Skills!F5=TRUE,Inputs!$B$32,0)))*(1-IF(AND(ArtifactsInput!$M$27,Inputs!$B$4="Chapter Hunt"),CHOOSE(ArtifactsInput!$N$27+1,20,24,28,32,36,40),0)/100)),0)</f>
        <v/>
      </c>
      <c r="R955">
        <f>IF(AND(Inputs!$B$38&lt;&gt;"pvp",Inputs!$B$43&gt;0),IF(MAX(0,Inputs!$B$43-B988)&lt;=0,0,(INT(MAX(0,Inputs!$B$43-B988)/(IF(Inputs!$B$38="pvp",15,MAX(0.1,Skills!E5-IF(Skills!F5=TRUE,Inputs!$B$32,0)))*(1-IF(AND(ArtifactsInput!$M$27,Inputs!$B$4="Chapter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IFERROR(1/(IF(Inputs!$B$38="pvp",15,MAX(0.1,Skills!E6-IF(Skills!F6=TRUE,Inputs!$B$32,0)))*(1-IF(AND(ArtifactsInput!$M$27,Inputs!$B$4="Chapter Hunt"),CHOOSE(ArtifactsInput!$N$27+1,20,24,28,32,36,40),0)/100)),0)</f>
        <v/>
      </c>
      <c r="R956">
        <f>IF(AND(Inputs!$B$38&lt;&gt;"pvp",Inputs!$B$43&gt;0),IF(Inputs!$B$43&lt;=0,0,(INT(Inputs!$B$43/(IF(Inputs!$B$38="pvp",15,MAX(0.1,Skills!E6-IF(Skills!F6=TRUE,Inputs!$B$32,0)))*(1-IF(AND(ArtifactsInput!$M$27,Inputs!$B$4="Chapter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IFERROR(1/(IF(Inputs!$B$38="pvp",15,MAX(0.1,Skills!E7-IF(Skills!F7=TRUE,Inputs!$B$32,0)))*(1-IF(AND(ArtifactsInput!$M$27,Inputs!$B$4="Chapter Hunt"),CHOOSE(ArtifactsInput!$N$27+1,20,24,28,32,36,40),0)/100)),0)</f>
        <v/>
      </c>
      <c r="R957">
        <f>IF(AND(Inputs!$B$38&lt;&gt;"pvp",Inputs!$B$43&gt;0),IF(MAX(0,Inputs!$B$43-B988)&lt;=0,0,(INT(MAX(0,Inputs!$B$43-B988)/(IF(Inputs!$B$38="pvp",15,MAX(0.1,Skills!E7-IF(Skills!F7=TRUE,Inputs!$B$32,0)))*(1-IF(AND(ArtifactsInput!$M$27,Inputs!$B$4="Chapter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IFERROR(1/(IF(Inputs!$B$38="pvp",15,MAX(0.1,Skills!E8-IF(Skills!F8=TRUE,Inputs!$B$32,0)))*(1-IF(AND(ArtifactsInput!$M$27,Inputs!$B$4="Chapter Hunt"),CHOOSE(ArtifactsInput!$N$27+1,20,24,28,32,36,40),0)/100)),0)</f>
        <v/>
      </c>
      <c r="R958">
        <f>IF(AND(Inputs!$B$38&lt;&gt;"pvp",Inputs!$B$43&gt;0),IF(MAX(0,Inputs!$B$43-B988)&lt;=0,0,(INT(MAX(0,Inputs!$B$43-B988)/(IF(Inputs!$B$38="pvp",15,MAX(0.1,Skills!E8-IF(Skills!F8=TRUE,Inputs!$B$32,0)))*(1-IF(AND(ArtifactsInput!$M$27,Inputs!$B$4="Chapter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IFERROR(1/(IF(Inputs!$B$38="pvp",15,MAX(0.1,Skills!E9-IF(Skills!F7=TRUE,Inputs!$B$32,0)))*(1-IF(AND(ArtifactsInput!$M$27,Inputs!$B$4="Chapter Hunt"),CHOOSE(ArtifactsInput!$N$27+1,20,24,28,32,36,40),0)/100)),0)</f>
        <v/>
      </c>
      <c r="R959">
        <f>IF(AND(Inputs!$B$38&lt;&gt;"pvp",Inputs!$B$43&gt;0),IF(MAX(0,Inputs!$B$43-B988)&lt;=0,0,(INT(MAX(0,Inputs!$B$43-B988)/(IF(Inputs!$B$38="pvp",15,MAX(0.1,Skills!E9-IF(Skills!F7=TRUE,Inputs!$B$32,0)))*(1-IF(AND(ArtifactsInput!$M$27,Inputs!$B$4="Chapter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IFERROR(1/(IF(Inputs!$B$38="pvp",15,MAX(0.1,Skills!E10-IF(Skills!F10=TRUE,Inputs!$B$32,0)))*(1-IF(AND(ArtifactsInput!$M$27,Inputs!$B$4="Chapter Hunt"),CHOOSE(ArtifactsInput!$N$27+1,20,24,28,32,36,40),0)/100)),0)</f>
        <v/>
      </c>
      <c r="R960">
        <f>IF(AND(Inputs!$B$38&lt;&gt;"pvp",Inputs!$B$43&gt;0),IF(MAX(0,Inputs!$B$43-B988)&lt;=0,0,(INT(MAX(0,Inputs!$B$43-B988)/(IF(Inputs!$B$38="pvp",15,MAX(0.1,Skills!E10-IF(Skills!F10=TRUE,Inputs!$B$32,0)))*(1-IF(AND(ArtifactsInput!$M$27,Inputs!$B$4="Chapter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IFERROR(1/(IF(Inputs!$B$38="pvp",15,MAX(0.1,Skills!E11-IF(Skills!F11=TRUE,Inputs!$B$32,0)))*(1-IF(AND(ArtifactsInput!$M$27,Inputs!$B$4="Chapter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IFERROR(1/(IF(Inputs!$B$38="pvp",15,MAX(0.1,Skills!E12-IF(Skills!F12=TRUE,Inputs!$B$32,0)))*(1-IF(AND(ArtifactsInput!$M$27,Inputs!$B$4="Chapter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IFERROR(1/(IF(Inputs!$B$38="pvp",15,MAX(0.1,Skills!E13-IF(Skills!F13=TRUE,Inputs!$B$32,0)))*(1-IF(AND(ArtifactsInput!$M$27,Inputs!$B$4="Chapter Hunt"),CHOOSE(ArtifactsInput!$N$27+1,20,24,28,32,36,40),0)/100)),0)</f>
        <v/>
      </c>
      <c r="R963">
        <f>IF(AND(Inputs!$B$38&lt;&gt;"pvp",Inputs!$B$43&gt;0),IF(MAX(0,Inputs!$B$43-B988)&lt;=0,0,(INT(MAX(0,Inputs!$B$43-B988)/(IF(Inputs!$B$38="pvp",15,MAX(0.1,Skills!E13-IF(Skills!F13=TRUE,Inputs!$B$32,0)))*(1-IF(AND(ArtifactsInput!$M$27,Inputs!$B$4="Chapter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IFERROR(1/(IF(Inputs!$B$38="pvp",15,MAX(0.1,Skills!E14-IF(Skills!F14=TRUE,Inputs!$B$32,0)))*(1-IF(AND(ArtifactsInput!$M$27,Inputs!$B$4="Chapter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IFERROR(1/(IF(Inputs!$B$38="pvp",15,MAX(0.1,Skills!E15-IF(Skills!F15=TRUE,Inputs!$B$32,0)))*(1-IF(AND(ArtifactsInput!$M$27,Inputs!$B$4="Chapter Hunt"),CHOOSE(ArtifactsInput!$N$27+1,20,24,28,32,36,40),0)/100)),0)</f>
        <v/>
      </c>
      <c r="R965">
        <f>IF(AND(Inputs!$B$38&lt;&gt;"pvp",Inputs!$B$43&gt;0),IF(MAX(0,Inputs!$B$43-B988)&lt;=0,0,(INT(MAX(0,Inputs!$B$43-B988)/(IF(Inputs!$B$38="pvp",15,MAX(0.1,Skills!E15-IF(Skills!F15=TRUE,Inputs!$B$32,0)))*(1-IF(AND(ArtifactsInput!$M$27,Inputs!$B$4="Chapter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IFERROR(1/(IF(Inputs!$B$38="pvp",15,MAX(0.1,Skills!E16-IF(Skills!F16=TRUE,Inputs!$B$32,0)))*(1-IF(AND(ArtifactsInput!$M$27,Inputs!$B$4="Chapter Hunt"),CHOOSE(ArtifactsInput!$N$27+1,20,24,28,32,36,40),0)/100)),0)</f>
        <v/>
      </c>
      <c r="R966">
        <f>IF(AND(Inputs!$B$38&lt;&gt;"pvp",Inputs!$B$43&gt;0),IF(MAX(0,Inputs!$B$43-B988)&lt;=0,0,(INT(MAX(0,Inputs!$B$43-B988)/(IF(Inputs!$B$38="pvp",15,MAX(0.1,Skills!E16-IF(Skills!F16=TRUE,Inputs!$B$32,0)))*(1-IF(AND(ArtifactsInput!$M$27,Inputs!$B$4="Chapter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IFERROR(1/(IF(Inputs!$B$38="pvp",15,MAX(0.1,Skills!E17-IF(Skills!F17=TRUE,Inputs!$B$32,0)))*(1-IF(AND(ArtifactsInput!$M$27,Inputs!$B$4="Chapter Hunt"),CHOOSE(ArtifactsInput!$N$27+1,20,24,28,32,36,40),0)/100)),0)</f>
        <v/>
      </c>
      <c r="R967">
        <f>IF(AND(Inputs!$B$38&lt;&gt;"pvp",Inputs!$B$43&gt;0),IF(Inputs!$B$43&lt;=0,0,(INT(Inputs!$B$43/(IF(Inputs!$B$38="pvp",15,MAX(0.1,Skills!E17-IF(Skills!F17=TRUE,Inputs!$B$32,0)))*(1-IF(AND(ArtifactsInput!$M$27,Inputs!$B$4="Chapter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IFERROR(1/(IF(Inputs!$B$38="pvp",15,MAX(0.1,Skills!E18-IF(Skills!F18=TRUE,Inputs!$B$32,0)))*(1-IF(AND(ArtifactsInput!$M$27,Inputs!$B$4="Chapter Hunt"),CHOOSE(ArtifactsInput!$N$27+1,20,24,28,32,36,40),0)/100)),0)</f>
        <v/>
      </c>
      <c r="R968">
        <f>IF(AND(Inputs!$B$38&lt;&gt;"pvp",Inputs!$B$43&gt;0),IF(Inputs!$B$43&lt;=0,0,(INT(Inputs!$B$43/(IF(Inputs!$B$38="pvp",15,MAX(0.1,Skills!E18-IF(Skills!F18=TRUE,Inputs!$B$32,0)))*(1-IF(AND(ArtifactsInput!$M$27,Inputs!$B$4="Chapter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IFERROR(1/(IF(Inputs!$B$38="pvp",15,MAX(0.1,Skills!E19-IF(Skills!F19=TRUE,Inputs!$B$32,0)))*(1-IF(AND(ArtifactsInput!$M$27,Inputs!$B$4="Chapter Hunt"),CHOOSE(ArtifactsInput!$N$27+1,20,24,28,32,36,40),0)/100)),0)</f>
        <v/>
      </c>
      <c r="R969">
        <f>IF(AND(Inputs!$B$38&lt;&gt;"pvp",Inputs!$B$43&gt;0),IF(Inputs!$B$43&lt;=0,0,(INT(Inputs!$B$43/(IF(Inputs!$B$38="pvp",15,MAX(0.1,Skills!E19-IF(Skills!F19=TRUE,Inputs!$B$32,0)))*(1-IF(AND(ArtifactsInput!$M$27,Inputs!$B$4="Chapter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IFERROR(1/(IF(Inputs!$B$38="pvp",15,MAX(0.1,Skills!E20-IF(Skills!F20=TRUE,Inputs!$B$32,0)))*(1-IF(AND(ArtifactsInput!$M$27,Inputs!$B$4="Chapter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IFERROR(1/(IF(Inputs!$B$38="pvp",15,MAX(0.1,Skills!E21-IF(Skills!F21=TRUE,Inputs!$B$32,0)))*(1-IF(AND(ArtifactsInput!$M$27,Inputs!$B$4="Chapter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IFERROR(1/(IF(Inputs!$B$38="pvp",15,MAX(0.1,Skills!E22-IF(Skills!F22=TRUE,Inputs!$B$32,0)))*(1-IF(AND(ArtifactsInput!$M$27,Inputs!$B$4="Chapter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IFERROR(1/(IF(Inputs!$B$38="pvp",15,MAX(0.1,Skills!E23-IF(Skills!F23=TRUE,Inputs!$B$32,0)))*(1-IF(AND(ArtifactsInput!$M$27,Inputs!$B$4="Chapter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IFERROR(1/(IF(Inputs!$B$38="pvp",15,MAX(0.1,Skills!E24-IF(Skills!F24=TRUE,Inputs!$B$32,0)))*(1-IF(AND(ArtifactsInput!$M$27,Inputs!$B$4="Chapter Hunt"),CHOOSE(ArtifactsInput!$N$27+1,20,24,28,32,36,40),0)/100)),0)</f>
        <v/>
      </c>
      <c r="R974">
        <f>IF(AND(Inputs!$B$38&lt;&gt;"pvp",Inputs!$B$43&gt;0),IF(MAX(0,Inputs!$B$43-B988)&lt;=0,0,(INT(MAX(0,Inputs!$B$43-B988)/(IF(Inputs!$B$38="pvp",15,MAX(0.1,Skills!E24-IF(Skills!F24=TRUE,Inputs!$B$32,0)))*(1-IF(AND(ArtifactsInput!$M$27,Inputs!$B$4="Chapter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IFERROR(1/(IF(Inputs!$B$38="pvp",15,MAX(0.1,Skills!E25-IF(Skills!F25=TRUE,Inputs!$B$32,0)))*(1-IF(AND(ArtifactsInput!$M$27,Inputs!$B$4="Chapter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IFERROR(1/(IF(Inputs!$B$38="pvp",15,MAX(0.1,Skills!E26-IF(Skills!F26=TRUE,Inputs!$B$32,0)))*(1-IF(AND(ArtifactsInput!$M$27,Inputs!$B$4="Chapter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IFERROR(1/(IF(Inputs!$B$38="pvp",15,MAX(0.1,Skills!E27-IF(Skills!F27=TRUE,Inputs!$B$32,0)))*(1-IF(AND(ArtifactsInput!$M$27,Inputs!$B$4="Chapter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IFERROR(1/(IF(Inputs!$B$38="pvp",15,MAX(0.1,Skills!E28-IF(Skills!F28=TRUE,Inputs!$B$32,0)))*(1-IF(AND(ArtifactsInput!$M$27,Inputs!$B$4="Chapter Hunt"),CHOOSE(ArtifactsInput!$N$27+1,20,24,28,32,36,40),0)/100)),0)</f>
        <v/>
      </c>
      <c r="R978">
        <f>IF(AND(Inputs!$B$38&lt;&gt;"pvp",Inputs!$B$43&gt;0),IF(MAX(0,Inputs!$B$43-B988)&lt;=0,0,(INT(MAX(0,Inputs!$B$43-B988)/(IF(Inputs!$B$38="pvp",15,MAX(0.1,Skills!E28-IF(Skills!F28=TRUE,Inputs!$B$32,0)))*(1-IF(AND(ArtifactsInput!$M$27,Inputs!$B$4="Chapter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Skills!T6*(1+((Inputs!$B$34+(ArtifactsInput!$M$7-ArtifactsInput!$M$7)*CHOOSE(ArtifactsInput!$N$7+1,6,7.2,8.4,9.6,10.8,12))+IF(Inputs!$B$3&gt;=117,F975,0))/100))+MIN((Skills!T6*(1+((Inputs!$B$34+(ArtifactsInput!$M$7-ArtifactsInput!$M$7)*CHOOSE(ArtifactsInput!$N$7+1,6,7.2,8.4,9.6,10.8,12))+IF(Inputs!$B$3&gt;=117,F975,0))/100)),MAX(0,Inputs!$B$43-((R956-1)*Skills!E6))))/Inputs!$B$43),IF(Inputs!$B$38="pvp",MIN((Skills!T6*(1+((Inputs!$B$34+(ArtifactsInput!$M$7-ArtifactsInput!$M$7)*CHOOSE(ArtifactsInput!$N$7+1,6,7.2,8.4,9.6,10.8,12))+IF(Inputs!$B$3&gt;=117,F975,0))/100)),15)/15,(Skills!T6*(1+((Inputs!$B$34+(ArtifactsInput!$M$7-ArtifactsInput!$M$7)*CHOOSE(ArtifactsInput!$N$7+1,6,7.2,8.4,9.6,10.8,12))+IF(Inputs!$B$3&gt;=117,F975,0))/100))/Skills!E6))+F967*IF(AND(Inputs!$B$38&lt;&gt;"pvp",Inputs!$B$43&gt;0),(((R967-1)*(Skills!T17*(1+((Inputs!$B$34+(ArtifactsInput!$M$7-ArtifactsInput!$M$7)*CHOOSE(ArtifactsInput!$N$7+1,6,7.2,8.4,9.6,10.8,12))+IF(Inputs!$B$3&gt;=117,F975,0))/100))+MIN((Skills!T17*(1+((Inputs!$B$34+(ArtifactsInput!$M$7-ArtifactsInput!$M$7)*CHOOSE(ArtifactsInput!$N$7+1,6,7.2,8.4,9.6,10.8,12))+IF(Inputs!$B$3&gt;=117,F975,0))/100)),MAX(0,Inputs!$B$43-((R967-1)*Skills!E17))))/Inputs!$B$43),IF(Inputs!$B$38="pvp",MIN((Skills!T17*(1+((Inputs!$B$34+(ArtifactsInput!$M$7-ArtifactsInput!$M$7)*CHOOSE(ArtifactsInput!$N$7+1,6,7.2,8.4,9.6,10.8,12))+IF(Inputs!$B$3&gt;=117,F975,0))/100)),15)/15,(Skills!T17*(1+((Inputs!$B$34+(ArtifactsInput!$M$7-ArtifactsInput!$M$7)*CHOOSE(ArtifactsInput!$N$7+1,6,7.2,8.4,9.6,10.8,12))+IF(Inputs!$B$3&gt;=117,F975,0)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Skills!T19*(1+((Inputs!$B$34+(ArtifactsInput!$M$7-ArtifactsInput!$M$7)*CHOOSE(ArtifactsInput!$N$7+1,6,7.2,8.4,9.6,10.8,12))+IF(Inputs!$B$3&gt;=117,F975,0))/100))+MIN((Skills!T19*(1+((Inputs!$B$34+(ArtifactsInput!$M$7-ArtifactsInput!$M$7)*CHOOSE(ArtifactsInput!$N$7+1,6,7.2,8.4,9.6,10.8,12))+IF(Inputs!$B$3&gt;=117,F975,0))/100)),MAX(0,Inputs!$B$43-((R969-1)*Skills!E19))))/Inputs!$B$43),IF(Inputs!$B$38="pvp",MIN((Skills!T19*(1+((Inputs!$B$34+(ArtifactsInput!$M$7-ArtifactsInput!$M$7)*CHOOSE(ArtifactsInput!$N$7+1,6,7.2,8.4,9.6,10.8,12))+IF(Inputs!$B$3&gt;=117,F975,0))/100)),15)/15,(Skills!T19*(1+((Inputs!$B$34+(ArtifactsInput!$M$7-ArtifactsInput!$M$7)*CHOOSE(ArtifactsInput!$N$7+1,6,7.2,8.4,9.6,10.8,12))+IF(Inputs!$B$3&gt;=117,F975,0))/100))/Skills!E19))/100),1)</f>
        <v/>
      </c>
    </row>
    <row r="983">
      <c r="A983" t="inlineStr">
        <is>
          <t>Attack Speed Buff Bonus % (Nimble Feet, averaged)</t>
        </is>
      </c>
      <c r="B983">
        <f>F968*IF(AND(Inputs!$B$38&lt;&gt;"pvp",Inputs!$B$43&gt;0),(((R968-1)*(Skills!T18*(1+((Inputs!$B$34+(ArtifactsInput!$M$7-ArtifactsInput!$M$7)*CHOOSE(ArtifactsInput!$N$7+1,6,7.2,8.4,9.6,10.8,12))+IF(Inputs!$B$3&gt;=117,F975,0))/100))+MIN((Skills!T18*(1+((Inputs!$B$34+(ArtifactsInput!$M$7-ArtifactsInput!$M$7)*CHOOSE(ArtifactsInput!$N$7+1,6,7.2,8.4,9.6,10.8,12))+IF(Inputs!$B$3&gt;=117,F975,0))/100)),MAX(0,Inputs!$B$43-((R968-1)*Skills!E18))))/Inputs!$B$43),IF(Inputs!$B$38="pvp",MIN((Skills!T18*(1+((Inputs!$B$34+(ArtifactsInput!$M$7-ArtifactsInput!$M$7)*CHOOSE(ArtifactsInput!$N$7+1,6,7.2,8.4,9.6,10.8,12))+IF(Inputs!$B$3&gt;=117,F975,0))/100)),15)/15,(Skills!T18*(1+((Inputs!$B$34+(ArtifactsInput!$M$7-ArtifactsInput!$M$7)*CHOOSE(ArtifactsInput!$N$7+1,6,7.2,8.4,9.6,10.8,12))+IF(Inputs!$B$3&gt;=117,F975,0))/100))/Skills!E18)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IFERROR(1/(IF(Inputs!$B$38="pvp",15,MAX(0.1,Skills!E2-IF(Skills!F2=TRUE,Inputs!$B$32,0)))*(1-IF(AND(ArtifactsInput!$M$27,Inputs!$B$4="Chapter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IFERROR(1/(IF(Inputs!$B$38="pvp",15,MAX(0.1,Skills!E3-IF(Skills!F3=TRUE,Inputs!$B$32,0)))*(1-IF(AND(ArtifactsInput!$M$27,Inputs!$B$4="Chapter Hunt"),CHOOSE(ArtifactsInput!$N$27+1,20,24,28,32,36,40),0)/100)),0)</f>
        <v/>
      </c>
      <c r="R997">
        <f>IF(AND(Inputs!$B$38&lt;&gt;"pvp",Inputs!$B$43&gt;0),IF(MAX(0,Inputs!$B$43-B1032)&lt;=0,0,(INT(MAX(0,Inputs!$B$43-B1032)/(IF(Inputs!$B$38="pvp",15,MAX(0.1,Skills!E3-IF(Skills!F3=TRUE,Inputs!$B$32,0)))*(1-IF(AND(ArtifactsInput!$M$27,Inputs!$B$4="Chapter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IFERROR(1/(IF(Inputs!$B$38="pvp",15,MAX(0.1,Skills!E4-IF(Skills!F4=TRUE,Inputs!$B$32,0)))*(1-IF(AND(ArtifactsInput!$M$27,Inputs!$B$4="Chapter Hunt"),CHOOSE(ArtifactsInput!$N$27+1,20,24,28,32,36,40),0)/100)),0)</f>
        <v/>
      </c>
      <c r="R998">
        <f>IF(AND(Inputs!$B$38&lt;&gt;"pvp",Inputs!$B$43&gt;0),IF(MAX(0,Inputs!$B$43-B1032)&lt;=0,0,(INT(MAX(0,Inputs!$B$43-B1032)/(IF(Inputs!$B$38="pvp",15,MAX(0.1,Skills!E4-IF(Skills!F4=TRUE,Inputs!$B$32,0)))*(1-IF(AND(ArtifactsInput!$M$27,Inputs!$B$4="Chapter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IFERROR(1/(IF(Inputs!$B$38="pvp",15,MAX(0.1,Skills!E5-IF(Skills!F5=TRUE,Inputs!$B$32,0)))*(1-IF(AND(ArtifactsInput!$M$27,Inputs!$B$4="Chapter Hunt"),CHOOSE(ArtifactsInput!$N$27+1,20,24,28,32,36,40),0)/100)),0)</f>
        <v/>
      </c>
      <c r="R999">
        <f>IF(AND(Inputs!$B$38&lt;&gt;"pvp",Inputs!$B$43&gt;0),IF(MAX(0,Inputs!$B$43-B1032)&lt;=0,0,(INT(MAX(0,Inputs!$B$43-B1032)/(IF(Inputs!$B$38="pvp",15,MAX(0.1,Skills!E5-IF(Skills!F5=TRUE,Inputs!$B$32,0)))*(1-IF(AND(ArtifactsInput!$M$27,Inputs!$B$4="Chapter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IFERROR(1/(IF(Inputs!$B$38="pvp",15,MAX(0.1,Skills!E6-IF(Skills!F6=TRUE,Inputs!$B$32,0)))*(1-IF(AND(ArtifactsInput!$M$27,Inputs!$B$4="Chapter Hunt"),CHOOSE(ArtifactsInput!$N$27+1,20,24,28,32,36,40),0)/100)),0)</f>
        <v/>
      </c>
      <c r="R1000">
        <f>IF(AND(Inputs!$B$38&lt;&gt;"pvp",Inputs!$B$43&gt;0),IF(Inputs!$B$43&lt;=0,0,(INT(Inputs!$B$43/(IF(Inputs!$B$38="pvp",15,MAX(0.1,Skills!E6-IF(Skills!F6=TRUE,Inputs!$B$32,0)))*(1-IF(AND(ArtifactsInput!$M$27,Inputs!$B$4="Chapter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IFERROR(1/(IF(Inputs!$B$38="pvp",15,MAX(0.1,Skills!E7-IF(Skills!F7=TRUE,Inputs!$B$32,0)))*(1-IF(AND(ArtifactsInput!$M$27,Inputs!$B$4="Chapter Hunt"),CHOOSE(ArtifactsInput!$N$27+1,20,24,28,32,36,40),0)/100)),0)</f>
        <v/>
      </c>
      <c r="R1001">
        <f>IF(AND(Inputs!$B$38&lt;&gt;"pvp",Inputs!$B$43&gt;0),IF(MAX(0,Inputs!$B$43-B1032)&lt;=0,0,(INT(MAX(0,Inputs!$B$43-B1032)/(IF(Inputs!$B$38="pvp",15,MAX(0.1,Skills!E7-IF(Skills!F7=TRUE,Inputs!$B$32,0)))*(1-IF(AND(ArtifactsInput!$M$27,Inputs!$B$4="Chapter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IFERROR(1/(IF(Inputs!$B$38="pvp",15,MAX(0.1,Skills!E8-IF(Skills!F8=TRUE,Inputs!$B$32,0)))*(1-IF(AND(ArtifactsInput!$M$27,Inputs!$B$4="Chapter Hunt"),CHOOSE(ArtifactsInput!$N$27+1,20,24,28,32,36,40),0)/100)),0)</f>
        <v/>
      </c>
      <c r="R1002">
        <f>IF(AND(Inputs!$B$38&lt;&gt;"pvp",Inputs!$B$43&gt;0),IF(MAX(0,Inputs!$B$43-B1032)&lt;=0,0,(INT(MAX(0,Inputs!$B$43-B1032)/(IF(Inputs!$B$38="pvp",15,MAX(0.1,Skills!E8-IF(Skills!F8=TRUE,Inputs!$B$32,0)))*(1-IF(AND(ArtifactsInput!$M$27,Inputs!$B$4="Chapter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IFERROR(1/(IF(Inputs!$B$38="pvp",15,MAX(0.1,Skills!E9-IF(Skills!F7=TRUE,Inputs!$B$32,0)))*(1-IF(AND(ArtifactsInput!$M$27,Inputs!$B$4="Chapter Hunt"),CHOOSE(ArtifactsInput!$N$27+1,20,24,28,32,36,40),0)/100)),0)</f>
        <v/>
      </c>
      <c r="R1003">
        <f>IF(AND(Inputs!$B$38&lt;&gt;"pvp",Inputs!$B$43&gt;0),IF(MAX(0,Inputs!$B$43-B1032)&lt;=0,0,(INT(MAX(0,Inputs!$B$43-B1032)/(IF(Inputs!$B$38="pvp",15,MAX(0.1,Skills!E9-IF(Skills!F7=TRUE,Inputs!$B$32,0)))*(1-IF(AND(ArtifactsInput!$M$27,Inputs!$B$4="Chapter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IFERROR(1/(IF(Inputs!$B$38="pvp",15,MAX(0.1,Skills!E10-IF(Skills!F10=TRUE,Inputs!$B$32,0)))*(1-IF(AND(ArtifactsInput!$M$27,Inputs!$B$4="Chapter Hunt"),CHOOSE(ArtifactsInput!$N$27+1,20,24,28,32,36,40),0)/100)),0)</f>
        <v/>
      </c>
      <c r="R1004">
        <f>IF(AND(Inputs!$B$38&lt;&gt;"pvp",Inputs!$B$43&gt;0),IF(MAX(0,Inputs!$B$43-B1032)&lt;=0,0,(INT(MAX(0,Inputs!$B$43-B1032)/(IF(Inputs!$B$38="pvp",15,MAX(0.1,Skills!E10-IF(Skills!F10=TRUE,Inputs!$B$32,0)))*(1-IF(AND(ArtifactsInput!$M$27,Inputs!$B$4="Chapter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IFERROR(1/(IF(Inputs!$B$38="pvp",15,MAX(0.1,Skills!E11-IF(Skills!F11=TRUE,Inputs!$B$32,0)))*(1-IF(AND(ArtifactsInput!$M$27,Inputs!$B$4="Chapter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IFERROR(1/(IF(Inputs!$B$38="pvp",15,MAX(0.1,Skills!E12-IF(Skills!F12=TRUE,Inputs!$B$32,0)))*(1-IF(AND(ArtifactsInput!$M$27,Inputs!$B$4="Chapter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IFERROR(1/(IF(Inputs!$B$38="pvp",15,MAX(0.1,Skills!E13-IF(Skills!F13=TRUE,Inputs!$B$32,0)))*(1-IF(AND(ArtifactsInput!$M$27,Inputs!$B$4="Chapter Hunt"),CHOOSE(ArtifactsInput!$N$27+1,20,24,28,32,36,40),0)/100)),0)</f>
        <v/>
      </c>
      <c r="R1007">
        <f>IF(AND(Inputs!$B$38&lt;&gt;"pvp",Inputs!$B$43&gt;0),IF(MAX(0,Inputs!$B$43-B1032)&lt;=0,0,(INT(MAX(0,Inputs!$B$43-B1032)/(IF(Inputs!$B$38="pvp",15,MAX(0.1,Skills!E13-IF(Skills!F13=TRUE,Inputs!$B$32,0)))*(1-IF(AND(ArtifactsInput!$M$27,Inputs!$B$4="Chapter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IFERROR(1/(IF(Inputs!$B$38="pvp",15,MAX(0.1,Skills!E14-IF(Skills!F14=TRUE,Inputs!$B$32,0)))*(1-IF(AND(ArtifactsInput!$M$27,Inputs!$B$4="Chapter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IFERROR(1/(IF(Inputs!$B$38="pvp",15,MAX(0.1,Skills!E15-IF(Skills!F15=TRUE,Inputs!$B$32,0)))*(1-IF(AND(ArtifactsInput!$M$27,Inputs!$B$4="Chapter Hunt"),CHOOSE(ArtifactsInput!$N$27+1,20,24,28,32,36,40),0)/100)),0)</f>
        <v/>
      </c>
      <c r="R1009">
        <f>IF(AND(Inputs!$B$38&lt;&gt;"pvp",Inputs!$B$43&gt;0),IF(MAX(0,Inputs!$B$43-B1032)&lt;=0,0,(INT(MAX(0,Inputs!$B$43-B1032)/(IF(Inputs!$B$38="pvp",15,MAX(0.1,Skills!E15-IF(Skills!F15=TRUE,Inputs!$B$32,0)))*(1-IF(AND(ArtifactsInput!$M$27,Inputs!$B$4="Chapter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IFERROR(1/(IF(Inputs!$B$38="pvp",15,MAX(0.1,Skills!E16-IF(Skills!F16=TRUE,Inputs!$B$32,0)))*(1-IF(AND(ArtifactsInput!$M$27,Inputs!$B$4="Chapter Hunt"),CHOOSE(ArtifactsInput!$N$27+1,20,24,28,32,36,40),0)/100)),0)</f>
        <v/>
      </c>
      <c r="R1010">
        <f>IF(AND(Inputs!$B$38&lt;&gt;"pvp",Inputs!$B$43&gt;0),IF(MAX(0,Inputs!$B$43-B1032)&lt;=0,0,(INT(MAX(0,Inputs!$B$43-B1032)/(IF(Inputs!$B$38="pvp",15,MAX(0.1,Skills!E16-IF(Skills!F16=TRUE,Inputs!$B$32,0)))*(1-IF(AND(ArtifactsInput!$M$27,Inputs!$B$4="Chapter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IFERROR(1/(IF(Inputs!$B$38="pvp",15,MAX(0.1,Skills!E17-IF(Skills!F17=TRUE,Inputs!$B$32,0)))*(1-IF(AND(ArtifactsInput!$M$27,Inputs!$B$4="Chapter Hunt"),CHOOSE(ArtifactsInput!$N$27+1,20,24,28,32,36,40),0)/100)),0)</f>
        <v/>
      </c>
      <c r="R1011">
        <f>IF(AND(Inputs!$B$38&lt;&gt;"pvp",Inputs!$B$43&gt;0),IF(Inputs!$B$43&lt;=0,0,(INT(Inputs!$B$43/(IF(Inputs!$B$38="pvp",15,MAX(0.1,Skills!E17-IF(Skills!F17=TRUE,Inputs!$B$32,0)))*(1-IF(AND(ArtifactsInput!$M$27,Inputs!$B$4="Chapter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IFERROR(1/(IF(Inputs!$B$38="pvp",15,MAX(0.1,Skills!E18-IF(Skills!F18=TRUE,Inputs!$B$32,0)))*(1-IF(AND(ArtifactsInput!$M$27,Inputs!$B$4="Chapter Hunt"),CHOOSE(ArtifactsInput!$N$27+1,20,24,28,32,36,40),0)/100)),0)</f>
        <v/>
      </c>
      <c r="R1012">
        <f>IF(AND(Inputs!$B$38&lt;&gt;"pvp",Inputs!$B$43&gt;0),IF(Inputs!$B$43&lt;=0,0,(INT(Inputs!$B$43/(IF(Inputs!$B$38="pvp",15,MAX(0.1,Skills!E18-IF(Skills!F18=TRUE,Inputs!$B$32,0)))*(1-IF(AND(ArtifactsInput!$M$27,Inputs!$B$4="Chapter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IFERROR(1/(IF(Inputs!$B$38="pvp",15,MAX(0.1,Skills!E19-IF(Skills!F19=TRUE,Inputs!$B$32,0)))*(1-IF(AND(ArtifactsInput!$M$27,Inputs!$B$4="Chapter Hunt"),CHOOSE(ArtifactsInput!$N$27+1,20,24,28,32,36,40),0)/100)),0)</f>
        <v/>
      </c>
      <c r="R1013">
        <f>IF(AND(Inputs!$B$38&lt;&gt;"pvp",Inputs!$B$43&gt;0),IF(Inputs!$B$43&lt;=0,0,(INT(Inputs!$B$43/(IF(Inputs!$B$38="pvp",15,MAX(0.1,Skills!E19-IF(Skills!F19=TRUE,Inputs!$B$32,0)))*(1-IF(AND(ArtifactsInput!$M$27,Inputs!$B$4="Chapter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IFERROR(1/(IF(Inputs!$B$38="pvp",15,MAX(0.1,Skills!E20-IF(Skills!F20=TRUE,Inputs!$B$32,0)))*(1-IF(AND(ArtifactsInput!$M$27,Inputs!$B$4="Chapter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IFERROR(1/(IF(Inputs!$B$38="pvp",15,MAX(0.1,Skills!E21-IF(Skills!F21=TRUE,Inputs!$B$32,0)))*(1-IF(AND(ArtifactsInput!$M$27,Inputs!$B$4="Chapter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IFERROR(1/(IF(Inputs!$B$38="pvp",15,MAX(0.1,Skills!E22-IF(Skills!F22=TRUE,Inputs!$B$32,0)))*(1-IF(AND(ArtifactsInput!$M$27,Inputs!$B$4="Chapter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IFERROR(1/(IF(Inputs!$B$38="pvp",15,MAX(0.1,Skills!E23-IF(Skills!F23=TRUE,Inputs!$B$32,0)))*(1-IF(AND(ArtifactsInput!$M$27,Inputs!$B$4="Chapter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IFERROR(1/(IF(Inputs!$B$38="pvp",15,MAX(0.1,Skills!E24-IF(Skills!F24=TRUE,Inputs!$B$32,0)))*(1-IF(AND(ArtifactsInput!$M$27,Inputs!$B$4="Chapter Hunt"),CHOOSE(ArtifactsInput!$N$27+1,20,24,28,32,36,40),0)/100)),0)</f>
        <v/>
      </c>
      <c r="R1018">
        <f>IF(AND(Inputs!$B$38&lt;&gt;"pvp",Inputs!$B$43&gt;0),IF(MAX(0,Inputs!$B$43-B1032)&lt;=0,0,(INT(MAX(0,Inputs!$B$43-B1032)/(IF(Inputs!$B$38="pvp",15,MAX(0.1,Skills!E24-IF(Skills!F24=TRUE,Inputs!$B$32,0)))*(1-IF(AND(ArtifactsInput!$M$27,Inputs!$B$4="Chapter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IFERROR(1/(IF(Inputs!$B$38="pvp",15,MAX(0.1,Skills!E25-IF(Skills!F25=TRUE,Inputs!$B$32,0)))*(1-IF(AND(ArtifactsInput!$M$27,Inputs!$B$4="Chapter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IFERROR(1/(IF(Inputs!$B$38="pvp",15,MAX(0.1,Skills!E26-IF(Skills!F26=TRUE,Inputs!$B$32,0)))*(1-IF(AND(ArtifactsInput!$M$27,Inputs!$B$4="Chapter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IFERROR(1/(IF(Inputs!$B$38="pvp",15,MAX(0.1,Skills!E27-IF(Skills!F27=TRUE,Inputs!$B$32,0)))*(1-IF(AND(ArtifactsInput!$M$27,Inputs!$B$4="Chapter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IFERROR(1/(IF(Inputs!$B$38="pvp",15,MAX(0.1,Skills!E28-IF(Skills!F28=TRUE,Inputs!$B$32,0)))*(1-IF(AND(ArtifactsInput!$M$27,Inputs!$B$4="Chapter Hunt"),CHOOSE(ArtifactsInput!$N$27+1,20,24,28,32,36,40),0)/100)),0)</f>
        <v/>
      </c>
      <c r="R1022">
        <f>IF(AND(Inputs!$B$38&lt;&gt;"pvp",Inputs!$B$43&gt;0),IF(MAX(0,Inputs!$B$43-B1032)&lt;=0,0,(INT(MAX(0,Inputs!$B$43-B1032)/(IF(Inputs!$B$38="pvp",15,MAX(0.1,Skills!E28-IF(Skills!F28=TRUE,Inputs!$B$32,0)))*(1-IF(AND(ArtifactsInput!$M$27,Inputs!$B$4="Chapter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Skills!T6*(1+((Inputs!$B$34+(ArtifactsInput!$M$7-ArtifactsInput!$M$7)*CHOOSE(ArtifactsInput!$N$7+1,6,7.2,8.4,9.6,10.8,12))+IF(Inputs!$B$3&gt;=117,F1019,0))/100))+MIN((Skills!T6*(1+((Inputs!$B$34+(ArtifactsInput!$M$7-ArtifactsInput!$M$7)*CHOOSE(ArtifactsInput!$N$7+1,6,7.2,8.4,9.6,10.8,12))+IF(Inputs!$B$3&gt;=117,F1019,0))/100)),MAX(0,Inputs!$B$43-((R1000-1)*Skills!E6))))/Inputs!$B$43),IF(Inputs!$B$38="pvp",MIN((Skills!T6*(1+((Inputs!$B$34+(ArtifactsInput!$M$7-ArtifactsInput!$M$7)*CHOOSE(ArtifactsInput!$N$7+1,6,7.2,8.4,9.6,10.8,12))+IF(Inputs!$B$3&gt;=117,F1019,0))/100)),15)/15,(Skills!T6*(1+((Inputs!$B$34+(ArtifactsInput!$M$7-ArtifactsInput!$M$7)*CHOOSE(ArtifactsInput!$N$7+1,6,7.2,8.4,9.6,10.8,12))+IF(Inputs!$B$3&gt;=117,F1019,0))/100))/Skills!E6))+F1011*IF(AND(Inputs!$B$38&lt;&gt;"pvp",Inputs!$B$43&gt;0),(((R1011-1)*(Skills!T17*(1+((Inputs!$B$34+(ArtifactsInput!$M$7-ArtifactsInput!$M$7)*CHOOSE(ArtifactsInput!$N$7+1,6,7.2,8.4,9.6,10.8,12))+IF(Inputs!$B$3&gt;=117,F1019,0))/100))+MIN((Skills!T17*(1+((Inputs!$B$34+(ArtifactsInput!$M$7-ArtifactsInput!$M$7)*CHOOSE(ArtifactsInput!$N$7+1,6,7.2,8.4,9.6,10.8,12))+IF(Inputs!$B$3&gt;=117,F1019,0))/100)),MAX(0,Inputs!$B$43-((R1011-1)*Skills!E17))))/Inputs!$B$43),IF(Inputs!$B$38="pvp",MIN((Skills!T17*(1+((Inputs!$B$34+(ArtifactsInput!$M$7-ArtifactsInput!$M$7)*CHOOSE(ArtifactsInput!$N$7+1,6,7.2,8.4,9.6,10.8,12))+IF(Inputs!$B$3&gt;=117,F1019,0))/100)),15)/15,(Skills!T17*(1+((Inputs!$B$34+(ArtifactsInput!$M$7-ArtifactsInput!$M$7)*CHOOSE(ArtifactsInput!$N$7+1,6,7.2,8.4,9.6,10.8,12))+IF(Inputs!$B$3&gt;=117,F1019,0)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Skills!T19*(1+((Inputs!$B$34+(ArtifactsInput!$M$7-ArtifactsInput!$M$7)*CHOOSE(ArtifactsInput!$N$7+1,6,7.2,8.4,9.6,10.8,12))+IF(Inputs!$B$3&gt;=117,F1019,0))/100))+MIN((Skills!T19*(1+((Inputs!$B$34+(ArtifactsInput!$M$7-ArtifactsInput!$M$7)*CHOOSE(ArtifactsInput!$N$7+1,6,7.2,8.4,9.6,10.8,12))+IF(Inputs!$B$3&gt;=117,F1019,0))/100)),MAX(0,Inputs!$B$43-((R1013-1)*Skills!E19))))/Inputs!$B$43),IF(Inputs!$B$38="pvp",MIN((Skills!T19*(1+((Inputs!$B$34+(ArtifactsInput!$M$7-ArtifactsInput!$M$7)*CHOOSE(ArtifactsInput!$N$7+1,6,7.2,8.4,9.6,10.8,12))+IF(Inputs!$B$3&gt;=117,F1019,0))/100)),15)/15,(Skills!T19*(1+((Inputs!$B$34+(ArtifactsInput!$M$7-ArtifactsInput!$M$7)*CHOOSE(ArtifactsInput!$N$7+1,6,7.2,8.4,9.6,10.8,12))+IF(Inputs!$B$3&gt;=117,F1019,0))/100))/Skills!E19))/100),1)</f>
        <v/>
      </c>
    </row>
    <row r="1027">
      <c r="A1027" t="inlineStr">
        <is>
          <t>Attack Speed Buff Bonus % (Nimble Feet, averaged)</t>
        </is>
      </c>
      <c r="B1027">
        <f>F1012*IF(AND(Inputs!$B$38&lt;&gt;"pvp",Inputs!$B$43&gt;0),(((R1012-1)*(Skills!T18*(1+((Inputs!$B$34+(ArtifactsInput!$M$7-ArtifactsInput!$M$7)*CHOOSE(ArtifactsInput!$N$7+1,6,7.2,8.4,9.6,10.8,12))+IF(Inputs!$B$3&gt;=117,F1019,0))/100))+MIN((Skills!T18*(1+((Inputs!$B$34+(ArtifactsInput!$M$7-ArtifactsInput!$M$7)*CHOOSE(ArtifactsInput!$N$7+1,6,7.2,8.4,9.6,10.8,12))+IF(Inputs!$B$3&gt;=117,F1019,0))/100)),MAX(0,Inputs!$B$43-((R1012-1)*Skills!E18))))/Inputs!$B$43),IF(Inputs!$B$38="pvp",MIN((Skills!T18*(1+((Inputs!$B$34+(ArtifactsInput!$M$7-ArtifactsInput!$M$7)*CHOOSE(ArtifactsInput!$N$7+1,6,7.2,8.4,9.6,10.8,12))+IF(Inputs!$B$3&gt;=117,F1019,0))/100)),15)/15,(Skills!T18*(1+((Inputs!$B$34+(ArtifactsInput!$M$7-ArtifactsInput!$M$7)*CHOOSE(ArtifactsInput!$N$7+1,6,7.2,8.4,9.6,10.8,12))+IF(Inputs!$B$3&gt;=117,F1019,0))/100))/Skills!E18))</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IFERROR(1/(IF(Inputs!$B$38="pvp",15,MAX(0.1,Skills!E2-IF(Skills!F2=TRUE,(Inputs!$B$32+1),0)))*(1-IF(AND(ArtifactsInput!$M$27,Inputs!$B$4="Chapter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IFERROR(1/(IF(Inputs!$B$38="pvp",15,MAX(0.1,Skills!E3-IF(Skills!F3=TRUE,(Inputs!$B$32+1),0)))*(1-IF(AND(ArtifactsInput!$M$27,Inputs!$B$4="Chapter Hunt"),CHOOSE(ArtifactsInput!$N$27+1,20,24,28,32,36,40),0)/100)),0)</f>
        <v/>
      </c>
      <c r="R1041">
        <f>IF(AND(Inputs!$B$38&lt;&gt;"pvp",Inputs!$B$43&gt;0),IF(MAX(0,Inputs!$B$43-B1076)&lt;=0,0,(INT(MAX(0,Inputs!$B$43-B1076)/(IF(Inputs!$B$38="pvp",15,MAX(0.1,Skills!E3-IF(Skills!F3=TRUE,(Inputs!$B$32+1),0)))*(1-IF(AND(ArtifactsInput!$M$27,Inputs!$B$4="Chapter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IFERROR(1/(IF(Inputs!$B$38="pvp",15,MAX(0.1,Skills!E4-IF(Skills!F4=TRUE,(Inputs!$B$32+1),0)))*(1-IF(AND(ArtifactsInput!$M$27,Inputs!$B$4="Chapter Hunt"),CHOOSE(ArtifactsInput!$N$27+1,20,24,28,32,36,40),0)/100)),0)</f>
        <v/>
      </c>
      <c r="R1042">
        <f>IF(AND(Inputs!$B$38&lt;&gt;"pvp",Inputs!$B$43&gt;0),IF(MAX(0,Inputs!$B$43-B1076)&lt;=0,0,(INT(MAX(0,Inputs!$B$43-B1076)/(IF(Inputs!$B$38="pvp",15,MAX(0.1,Skills!E4-IF(Skills!F4=TRUE,(Inputs!$B$32+1),0)))*(1-IF(AND(ArtifactsInput!$M$27,Inputs!$B$4="Chapter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IFERROR(1/(IF(Inputs!$B$38="pvp",15,MAX(0.1,Skills!E5-IF(Skills!F5=TRUE,(Inputs!$B$32+1),0)))*(1-IF(AND(ArtifactsInput!$M$27,Inputs!$B$4="Chapter Hunt"),CHOOSE(ArtifactsInput!$N$27+1,20,24,28,32,36,40),0)/100)),0)</f>
        <v/>
      </c>
      <c r="R1043">
        <f>IF(AND(Inputs!$B$38&lt;&gt;"pvp",Inputs!$B$43&gt;0),IF(MAX(0,Inputs!$B$43-B1076)&lt;=0,0,(INT(MAX(0,Inputs!$B$43-B1076)/(IF(Inputs!$B$38="pvp",15,MAX(0.1,Skills!E5-IF(Skills!F5=TRUE,(Inputs!$B$32+1),0)))*(1-IF(AND(ArtifactsInput!$M$27,Inputs!$B$4="Chapter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IFERROR(1/(IF(Inputs!$B$38="pvp",15,MAX(0.1,Skills!E6-IF(Skills!F6=TRUE,(Inputs!$B$32+1),0)))*(1-IF(AND(ArtifactsInput!$M$27,Inputs!$B$4="Chapter Hunt"),CHOOSE(ArtifactsInput!$N$27+1,20,24,28,32,36,40),0)/100)),0)</f>
        <v/>
      </c>
      <c r="R1044">
        <f>IF(AND(Inputs!$B$38&lt;&gt;"pvp",Inputs!$B$43&gt;0),IF(Inputs!$B$43&lt;=0,0,(INT(Inputs!$B$43/(IF(Inputs!$B$38="pvp",15,MAX(0.1,Skills!E6-IF(Skills!F6=TRUE,(Inputs!$B$32+1),0)))*(1-IF(AND(ArtifactsInput!$M$27,Inputs!$B$4="Chapter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IFERROR(1/(IF(Inputs!$B$38="pvp",15,MAX(0.1,Skills!E7-IF(Skills!F7=TRUE,(Inputs!$B$32+1),0)))*(1-IF(AND(ArtifactsInput!$M$27,Inputs!$B$4="Chapter Hunt"),CHOOSE(ArtifactsInput!$N$27+1,20,24,28,32,36,40),0)/100)),0)</f>
        <v/>
      </c>
      <c r="R1045">
        <f>IF(AND(Inputs!$B$38&lt;&gt;"pvp",Inputs!$B$43&gt;0),IF(MAX(0,Inputs!$B$43-B1076)&lt;=0,0,(INT(MAX(0,Inputs!$B$43-B1076)/(IF(Inputs!$B$38="pvp",15,MAX(0.1,Skills!E7-IF(Skills!F7=TRUE,(Inputs!$B$32+1),0)))*(1-IF(AND(ArtifactsInput!$M$27,Inputs!$B$4="Chapter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IFERROR(1/(IF(Inputs!$B$38="pvp",15,MAX(0.1,Skills!E8-IF(Skills!F8=TRUE,(Inputs!$B$32+1),0)))*(1-IF(AND(ArtifactsInput!$M$27,Inputs!$B$4="Chapter Hunt"),CHOOSE(ArtifactsInput!$N$27+1,20,24,28,32,36,40),0)/100)),0)</f>
        <v/>
      </c>
      <c r="R1046">
        <f>IF(AND(Inputs!$B$38&lt;&gt;"pvp",Inputs!$B$43&gt;0),IF(MAX(0,Inputs!$B$43-B1076)&lt;=0,0,(INT(MAX(0,Inputs!$B$43-B1076)/(IF(Inputs!$B$38="pvp",15,MAX(0.1,Skills!E8-IF(Skills!F8=TRUE,(Inputs!$B$32+1),0)))*(1-IF(AND(ArtifactsInput!$M$27,Inputs!$B$4="Chapter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IFERROR(1/(IF(Inputs!$B$38="pvp",15,MAX(0.1,Skills!E9-IF(Skills!F7=TRUE,(Inputs!$B$32+1),0)))*(1-IF(AND(ArtifactsInput!$M$27,Inputs!$B$4="Chapter Hunt"),CHOOSE(ArtifactsInput!$N$27+1,20,24,28,32,36,40),0)/100)),0)</f>
        <v/>
      </c>
      <c r="R1047">
        <f>IF(AND(Inputs!$B$38&lt;&gt;"pvp",Inputs!$B$43&gt;0),IF(MAX(0,Inputs!$B$43-B1076)&lt;=0,0,(INT(MAX(0,Inputs!$B$43-B1076)/(IF(Inputs!$B$38="pvp",15,MAX(0.1,Skills!E9-IF(Skills!F7=TRUE,(Inputs!$B$32+1),0)))*(1-IF(AND(ArtifactsInput!$M$27,Inputs!$B$4="Chapter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IFERROR(1/(IF(Inputs!$B$38="pvp",15,MAX(0.1,Skills!E10-IF(Skills!F10=TRUE,(Inputs!$B$32+1),0)))*(1-IF(AND(ArtifactsInput!$M$27,Inputs!$B$4="Chapter Hunt"),CHOOSE(ArtifactsInput!$N$27+1,20,24,28,32,36,40),0)/100)),0)</f>
        <v/>
      </c>
      <c r="R1048">
        <f>IF(AND(Inputs!$B$38&lt;&gt;"pvp",Inputs!$B$43&gt;0),IF(MAX(0,Inputs!$B$43-B1076)&lt;=0,0,(INT(MAX(0,Inputs!$B$43-B1076)/(IF(Inputs!$B$38="pvp",15,MAX(0.1,Skills!E10-IF(Skills!F10=TRUE,(Inputs!$B$32+1),0)))*(1-IF(AND(ArtifactsInput!$M$27,Inputs!$B$4="Chapter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IFERROR(1/(IF(Inputs!$B$38="pvp",15,MAX(0.1,Skills!E11-IF(Skills!F11=TRUE,(Inputs!$B$32+1),0)))*(1-IF(AND(ArtifactsInput!$M$27,Inputs!$B$4="Chapter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IFERROR(1/(IF(Inputs!$B$38="pvp",15,MAX(0.1,Skills!E12-IF(Skills!F12=TRUE,(Inputs!$B$32+1),0)))*(1-IF(AND(ArtifactsInput!$M$27,Inputs!$B$4="Chapter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IFERROR(1/(IF(Inputs!$B$38="pvp",15,MAX(0.1,Skills!E13-IF(Skills!F13=TRUE,(Inputs!$B$32+1),0)))*(1-IF(AND(ArtifactsInput!$M$27,Inputs!$B$4="Chapter Hunt"),CHOOSE(ArtifactsInput!$N$27+1,20,24,28,32,36,40),0)/100)),0)</f>
        <v/>
      </c>
      <c r="R1051">
        <f>IF(AND(Inputs!$B$38&lt;&gt;"pvp",Inputs!$B$43&gt;0),IF(MAX(0,Inputs!$B$43-B1076)&lt;=0,0,(INT(MAX(0,Inputs!$B$43-B1076)/(IF(Inputs!$B$38="pvp",15,MAX(0.1,Skills!E13-IF(Skills!F13=TRUE,(Inputs!$B$32+1),0)))*(1-IF(AND(ArtifactsInput!$M$27,Inputs!$B$4="Chapter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IFERROR(1/(IF(Inputs!$B$38="pvp",15,MAX(0.1,Skills!E14-IF(Skills!F14=TRUE,(Inputs!$B$32+1),0)))*(1-IF(AND(ArtifactsInput!$M$27,Inputs!$B$4="Chapter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IFERROR(1/(IF(Inputs!$B$38="pvp",15,MAX(0.1,Skills!E15-IF(Skills!F15=TRUE,(Inputs!$B$32+1),0)))*(1-IF(AND(ArtifactsInput!$M$27,Inputs!$B$4="Chapter Hunt"),CHOOSE(ArtifactsInput!$N$27+1,20,24,28,32,36,40),0)/100)),0)</f>
        <v/>
      </c>
      <c r="R1053">
        <f>IF(AND(Inputs!$B$38&lt;&gt;"pvp",Inputs!$B$43&gt;0),IF(MAX(0,Inputs!$B$43-B1076)&lt;=0,0,(INT(MAX(0,Inputs!$B$43-B1076)/(IF(Inputs!$B$38="pvp",15,MAX(0.1,Skills!E15-IF(Skills!F15=TRUE,(Inputs!$B$32+1),0)))*(1-IF(AND(ArtifactsInput!$M$27,Inputs!$B$4="Chapter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IFERROR(1/(IF(Inputs!$B$38="pvp",15,MAX(0.1,Skills!E16-IF(Skills!F16=TRUE,(Inputs!$B$32+1),0)))*(1-IF(AND(ArtifactsInput!$M$27,Inputs!$B$4="Chapter Hunt"),CHOOSE(ArtifactsInput!$N$27+1,20,24,28,32,36,40),0)/100)),0)</f>
        <v/>
      </c>
      <c r="R1054">
        <f>IF(AND(Inputs!$B$38&lt;&gt;"pvp",Inputs!$B$43&gt;0),IF(MAX(0,Inputs!$B$43-B1076)&lt;=0,0,(INT(MAX(0,Inputs!$B$43-B1076)/(IF(Inputs!$B$38="pvp",15,MAX(0.1,Skills!E16-IF(Skills!F16=TRUE,(Inputs!$B$32+1),0)))*(1-IF(AND(ArtifactsInput!$M$27,Inputs!$B$4="Chapter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IFERROR(1/(IF(Inputs!$B$38="pvp",15,MAX(0.1,Skills!E17-IF(Skills!F17=TRUE,(Inputs!$B$32+1),0)))*(1-IF(AND(ArtifactsInput!$M$27,Inputs!$B$4="Chapter Hunt"),CHOOSE(ArtifactsInput!$N$27+1,20,24,28,32,36,40),0)/100)),0)</f>
        <v/>
      </c>
      <c r="R1055">
        <f>IF(AND(Inputs!$B$38&lt;&gt;"pvp",Inputs!$B$43&gt;0),IF(Inputs!$B$43&lt;=0,0,(INT(Inputs!$B$43/(IF(Inputs!$B$38="pvp",15,MAX(0.1,Skills!E17-IF(Skills!F17=TRUE,(Inputs!$B$32+1),0)))*(1-IF(AND(ArtifactsInput!$M$27,Inputs!$B$4="Chapter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IFERROR(1/(IF(Inputs!$B$38="pvp",15,MAX(0.1,Skills!E18-IF(Skills!F18=TRUE,(Inputs!$B$32+1),0)))*(1-IF(AND(ArtifactsInput!$M$27,Inputs!$B$4="Chapter Hunt"),CHOOSE(ArtifactsInput!$N$27+1,20,24,28,32,36,40),0)/100)),0)</f>
        <v/>
      </c>
      <c r="R1056">
        <f>IF(AND(Inputs!$B$38&lt;&gt;"pvp",Inputs!$B$43&gt;0),IF(Inputs!$B$43&lt;=0,0,(INT(Inputs!$B$43/(IF(Inputs!$B$38="pvp",15,MAX(0.1,Skills!E18-IF(Skills!F18=TRUE,(Inputs!$B$32+1),0)))*(1-IF(AND(ArtifactsInput!$M$27,Inputs!$B$4="Chapter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IFERROR(1/(IF(Inputs!$B$38="pvp",15,MAX(0.1,Skills!E19-IF(Skills!F19=TRUE,(Inputs!$B$32+1),0)))*(1-IF(AND(ArtifactsInput!$M$27,Inputs!$B$4="Chapter Hunt"),CHOOSE(ArtifactsInput!$N$27+1,20,24,28,32,36,40),0)/100)),0)</f>
        <v/>
      </c>
      <c r="R1057">
        <f>IF(AND(Inputs!$B$38&lt;&gt;"pvp",Inputs!$B$43&gt;0),IF(Inputs!$B$43&lt;=0,0,(INT(Inputs!$B$43/(IF(Inputs!$B$38="pvp",15,MAX(0.1,Skills!E19-IF(Skills!F19=TRUE,(Inputs!$B$32+1),0)))*(1-IF(AND(ArtifactsInput!$M$27,Inputs!$B$4="Chapter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IFERROR(1/(IF(Inputs!$B$38="pvp",15,MAX(0.1,Skills!E20-IF(Skills!F20=TRUE,(Inputs!$B$32+1),0)))*(1-IF(AND(ArtifactsInput!$M$27,Inputs!$B$4="Chapter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IFERROR(1/(IF(Inputs!$B$38="pvp",15,MAX(0.1,Skills!E21-IF(Skills!F21=TRUE,(Inputs!$B$32+1),0)))*(1-IF(AND(ArtifactsInput!$M$27,Inputs!$B$4="Chapter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IFERROR(1/(IF(Inputs!$B$38="pvp",15,MAX(0.1,Skills!E22-IF(Skills!F22=TRUE,(Inputs!$B$32+1),0)))*(1-IF(AND(ArtifactsInput!$M$27,Inputs!$B$4="Chapter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IFERROR(1/(IF(Inputs!$B$38="pvp",15,MAX(0.1,Skills!E23-IF(Skills!F23=TRUE,(Inputs!$B$32+1),0)))*(1-IF(AND(ArtifactsInput!$M$27,Inputs!$B$4="Chapter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IFERROR(1/(IF(Inputs!$B$38="pvp",15,MAX(0.1,Skills!E24-IF(Skills!F24=TRUE,(Inputs!$B$32+1),0)))*(1-IF(AND(ArtifactsInput!$M$27,Inputs!$B$4="Chapter Hunt"),CHOOSE(ArtifactsInput!$N$27+1,20,24,28,32,36,40),0)/100)),0)</f>
        <v/>
      </c>
      <c r="R1062">
        <f>IF(AND(Inputs!$B$38&lt;&gt;"pvp",Inputs!$B$43&gt;0),IF(MAX(0,Inputs!$B$43-B1076)&lt;=0,0,(INT(MAX(0,Inputs!$B$43-B1076)/(IF(Inputs!$B$38="pvp",15,MAX(0.1,Skills!E24-IF(Skills!F24=TRUE,(Inputs!$B$32+1),0)))*(1-IF(AND(ArtifactsInput!$M$27,Inputs!$B$4="Chapter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IFERROR(1/(IF(Inputs!$B$38="pvp",15,MAX(0.1,Skills!E25-IF(Skills!F25=TRUE,(Inputs!$B$32+1),0)))*(1-IF(AND(ArtifactsInput!$M$27,Inputs!$B$4="Chapter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IFERROR(1/(IF(Inputs!$B$38="pvp",15,MAX(0.1,Skills!E26-IF(Skills!F26=TRUE,(Inputs!$B$32+1),0)))*(1-IF(AND(ArtifactsInput!$M$27,Inputs!$B$4="Chapter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IFERROR(1/(IF(Inputs!$B$38="pvp",15,MAX(0.1,Skills!E27-IF(Skills!F27=TRUE,(Inputs!$B$32+1),0)))*(1-IF(AND(ArtifactsInput!$M$27,Inputs!$B$4="Chapter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IFERROR(1/(IF(Inputs!$B$38="pvp",15,MAX(0.1,Skills!E28-IF(Skills!F28=TRUE,(Inputs!$B$32+1),0)))*(1-IF(AND(ArtifactsInput!$M$27,Inputs!$B$4="Chapter Hunt"),CHOOSE(ArtifactsInput!$N$27+1,20,24,28,32,36,40),0)/100)),0)</f>
        <v/>
      </c>
      <c r="R1066">
        <f>IF(AND(Inputs!$B$38&lt;&gt;"pvp",Inputs!$B$43&gt;0),IF(MAX(0,Inputs!$B$43-B1076)&lt;=0,0,(INT(MAX(0,Inputs!$B$43-B1076)/(IF(Inputs!$B$38="pvp",15,MAX(0.1,Skills!E28-IF(Skills!F28=TRUE,(Inputs!$B$32+1),0)))*(1-IF(AND(ArtifactsInput!$M$27,Inputs!$B$4="Chapter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Skills!T6*(1+((Inputs!$B$34+(ArtifactsInput!$M$7-ArtifactsInput!$M$7)*CHOOSE(ArtifactsInput!$N$7+1,6,7.2,8.4,9.6,10.8,12))+IF(Inputs!$B$3&gt;=117,F1063,0))/100))+MIN((Skills!T6*(1+((Inputs!$B$34+(ArtifactsInput!$M$7-ArtifactsInput!$M$7)*CHOOSE(ArtifactsInput!$N$7+1,6,7.2,8.4,9.6,10.8,12))+IF(Inputs!$B$3&gt;=117,F1063,0))/100)),MAX(0,Inputs!$B$43-((R1044-1)*Skills!E6))))/Inputs!$B$43),IF(Inputs!$B$38="pvp",MIN((Skills!T6*(1+((Inputs!$B$34+(ArtifactsInput!$M$7-ArtifactsInput!$M$7)*CHOOSE(ArtifactsInput!$N$7+1,6,7.2,8.4,9.6,10.8,12))+IF(Inputs!$B$3&gt;=117,F1063,0))/100)),15)/15,(Skills!T6*(1+((Inputs!$B$34+(ArtifactsInput!$M$7-ArtifactsInput!$M$7)*CHOOSE(ArtifactsInput!$N$7+1,6,7.2,8.4,9.6,10.8,12))+IF(Inputs!$B$3&gt;=117,F1063,0))/100))/Skills!E6))+F1055*IF(AND(Inputs!$B$38&lt;&gt;"pvp",Inputs!$B$43&gt;0),(((R1055-1)*(Skills!T17*(1+((Inputs!$B$34+(ArtifactsInput!$M$7-ArtifactsInput!$M$7)*CHOOSE(ArtifactsInput!$N$7+1,6,7.2,8.4,9.6,10.8,12))+IF(Inputs!$B$3&gt;=117,F1063,0))/100))+MIN((Skills!T17*(1+((Inputs!$B$34+(ArtifactsInput!$M$7-ArtifactsInput!$M$7)*CHOOSE(ArtifactsInput!$N$7+1,6,7.2,8.4,9.6,10.8,12))+IF(Inputs!$B$3&gt;=117,F1063,0))/100)),MAX(0,Inputs!$B$43-((R1055-1)*Skills!E17))))/Inputs!$B$43),IF(Inputs!$B$38="pvp",MIN((Skills!T17*(1+((Inputs!$B$34+(ArtifactsInput!$M$7-ArtifactsInput!$M$7)*CHOOSE(ArtifactsInput!$N$7+1,6,7.2,8.4,9.6,10.8,12))+IF(Inputs!$B$3&gt;=117,F1063,0))/100)),15)/15,(Skills!T17*(1+((Inputs!$B$34+(ArtifactsInput!$M$7-ArtifactsInput!$M$7)*CHOOSE(ArtifactsInput!$N$7+1,6,7.2,8.4,9.6,10.8,12))+IF(Inputs!$B$3&gt;=117,F1063,0)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Skills!T19*(1+((Inputs!$B$34+(ArtifactsInput!$M$7-ArtifactsInput!$M$7)*CHOOSE(ArtifactsInput!$N$7+1,6,7.2,8.4,9.6,10.8,12))+IF(Inputs!$B$3&gt;=117,F1063,0))/100))+MIN((Skills!T19*(1+((Inputs!$B$34+(ArtifactsInput!$M$7-ArtifactsInput!$M$7)*CHOOSE(ArtifactsInput!$N$7+1,6,7.2,8.4,9.6,10.8,12))+IF(Inputs!$B$3&gt;=117,F1063,0))/100)),MAX(0,Inputs!$B$43-((R1057-1)*Skills!E19))))/Inputs!$B$43),IF(Inputs!$B$38="pvp",MIN((Skills!T19*(1+((Inputs!$B$34+(ArtifactsInput!$M$7-ArtifactsInput!$M$7)*CHOOSE(ArtifactsInput!$N$7+1,6,7.2,8.4,9.6,10.8,12))+IF(Inputs!$B$3&gt;=117,F1063,0))/100)),15)/15,(Skills!T19*(1+((Inputs!$B$34+(ArtifactsInput!$M$7-ArtifactsInput!$M$7)*CHOOSE(ArtifactsInput!$N$7+1,6,7.2,8.4,9.6,10.8,12))+IF(Inputs!$B$3&gt;=117,F1063,0))/100))/Skills!E19))/100),1)</f>
        <v/>
      </c>
    </row>
    <row r="1071">
      <c r="A1071" t="inlineStr">
        <is>
          <t>Attack Speed Buff Bonus % (Nimble Feet, averaged)</t>
        </is>
      </c>
      <c r="B1071">
        <f>F1056*IF(AND(Inputs!$B$38&lt;&gt;"pvp",Inputs!$B$43&gt;0),(((R1056-1)*(Skills!T18*(1+((Inputs!$B$34+(ArtifactsInput!$M$7-ArtifactsInput!$M$7)*CHOOSE(ArtifactsInput!$N$7+1,6,7.2,8.4,9.6,10.8,12))+IF(Inputs!$B$3&gt;=117,F1063,0))/100))+MIN((Skills!T18*(1+((Inputs!$B$34+(ArtifactsInput!$M$7-ArtifactsInput!$M$7)*CHOOSE(ArtifactsInput!$N$7+1,6,7.2,8.4,9.6,10.8,12))+IF(Inputs!$B$3&gt;=117,F1063,0))/100)),MAX(0,Inputs!$B$43-((R1056-1)*Skills!E18))))/Inputs!$B$43),IF(Inputs!$B$38="pvp",MIN((Skills!T18*(1+((Inputs!$B$34+(ArtifactsInput!$M$7-ArtifactsInput!$M$7)*CHOOSE(ArtifactsInput!$N$7+1,6,7.2,8.4,9.6,10.8,12))+IF(Inputs!$B$3&gt;=117,F1063,0))/100)),15)/15,(Skills!T18*(1+((Inputs!$B$34+(ArtifactsInput!$M$7-ArtifactsInput!$M$7)*CHOOSE(ArtifactsInput!$N$7+1,6,7.2,8.4,9.6,10.8,12))+IF(Inputs!$B$3&gt;=117,F1063,0))/100))/Skills!E18))</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IFERROR(1/(IF(Inputs!$B$38="pvp",15,MAX(0.1,Skills!E2-IF(Skills!F2=TRUE,Inputs!$B$32,0)))*(1-IF(AND(ArtifactsInput!$M$27,Inputs!$B$4="Chapter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IFERROR(1/(IF(Inputs!$B$38="pvp",15,MAX(0.1,Skills!E3-IF(Skills!F3=TRUE,Inputs!$B$32,0)))*(1-IF(AND(ArtifactsInput!$M$27,Inputs!$B$4="Chapter Hunt"),CHOOSE(ArtifactsInput!$N$27+1,20,24,28,32,36,40),0)/100)),0)</f>
        <v/>
      </c>
      <c r="R1085">
        <f>IF(AND(Inputs!$B$38&lt;&gt;"pvp",Inputs!$B$43&gt;0),IF(MAX(0,Inputs!$B$43-B1120)&lt;=0,0,(INT(MAX(0,Inputs!$B$43-B1120)/(IF(Inputs!$B$38="pvp",15,MAX(0.1,Skills!E3-IF(Skills!F3=TRUE,Inputs!$B$32,0)))*(1-IF(AND(ArtifactsInput!$M$27,Inputs!$B$4="Chapter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IFERROR(1/(IF(Inputs!$B$38="pvp",15,MAX(0.1,Skills!E4-IF(Skills!F4=TRUE,Inputs!$B$32,0)))*(1-IF(AND(ArtifactsInput!$M$27,Inputs!$B$4="Chapter Hunt"),CHOOSE(ArtifactsInput!$N$27+1,20,24,28,32,36,40),0)/100)),0)</f>
        <v/>
      </c>
      <c r="R1086">
        <f>IF(AND(Inputs!$B$38&lt;&gt;"pvp",Inputs!$B$43&gt;0),IF(MAX(0,Inputs!$B$43-B1120)&lt;=0,0,(INT(MAX(0,Inputs!$B$43-B1120)/(IF(Inputs!$B$38="pvp",15,MAX(0.1,Skills!E4-IF(Skills!F4=TRUE,Inputs!$B$32,0)))*(1-IF(AND(ArtifactsInput!$M$27,Inputs!$B$4="Chapter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IFERROR(1/(IF(Inputs!$B$38="pvp",15,MAX(0.1,Skills!E5-IF(Skills!F5=TRUE,Inputs!$B$32,0)))*(1-IF(AND(ArtifactsInput!$M$27,Inputs!$B$4="Chapter Hunt"),CHOOSE(ArtifactsInput!$N$27+1,20,24,28,32,36,40),0)/100)),0)</f>
        <v/>
      </c>
      <c r="R1087">
        <f>IF(AND(Inputs!$B$38&lt;&gt;"pvp",Inputs!$B$43&gt;0),IF(MAX(0,Inputs!$B$43-B1120)&lt;=0,0,(INT(MAX(0,Inputs!$B$43-B1120)/(IF(Inputs!$B$38="pvp",15,MAX(0.1,Skills!E5-IF(Skills!F5=TRUE,Inputs!$B$32,0)))*(1-IF(AND(ArtifactsInput!$M$27,Inputs!$B$4="Chapter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IFERROR(1/(IF(Inputs!$B$38="pvp",15,MAX(0.1,Skills!E6-IF(Skills!F6=TRUE,Inputs!$B$32,0)))*(1-IF(AND(ArtifactsInput!$M$27,Inputs!$B$4="Chapter Hunt"),CHOOSE(ArtifactsInput!$N$27+1,20,24,28,32,36,40),0)/100)),0)</f>
        <v/>
      </c>
      <c r="R1088">
        <f>IF(AND(Inputs!$B$38&lt;&gt;"pvp",Inputs!$B$43&gt;0),IF(Inputs!$B$43&lt;=0,0,(INT(Inputs!$B$43/(IF(Inputs!$B$38="pvp",15,MAX(0.1,Skills!E6-IF(Skills!F6=TRUE,Inputs!$B$32,0)))*(1-IF(AND(ArtifactsInput!$M$27,Inputs!$B$4="Chapter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IFERROR(1/(IF(Inputs!$B$38="pvp",15,MAX(0.1,Skills!E7-IF(Skills!F7=TRUE,Inputs!$B$32,0)))*(1-IF(AND(ArtifactsInput!$M$27,Inputs!$B$4="Chapter Hunt"),CHOOSE(ArtifactsInput!$N$27+1,20,24,28,32,36,40),0)/100)),0)</f>
        <v/>
      </c>
      <c r="R1089">
        <f>IF(AND(Inputs!$B$38&lt;&gt;"pvp",Inputs!$B$43&gt;0),IF(MAX(0,Inputs!$B$43-B1120)&lt;=0,0,(INT(MAX(0,Inputs!$B$43-B1120)/(IF(Inputs!$B$38="pvp",15,MAX(0.1,Skills!E7-IF(Skills!F7=TRUE,Inputs!$B$32,0)))*(1-IF(AND(ArtifactsInput!$M$27,Inputs!$B$4="Chapter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IFERROR(1/(IF(Inputs!$B$38="pvp",15,MAX(0.1,Skills!E8-IF(Skills!F8=TRUE,Inputs!$B$32,0)))*(1-IF(AND(ArtifactsInput!$M$27,Inputs!$B$4="Chapter Hunt"),CHOOSE(ArtifactsInput!$N$27+1,20,24,28,32,36,40),0)/100)),0)</f>
        <v/>
      </c>
      <c r="R1090">
        <f>IF(AND(Inputs!$B$38&lt;&gt;"pvp",Inputs!$B$43&gt;0),IF(MAX(0,Inputs!$B$43-B1120)&lt;=0,0,(INT(MAX(0,Inputs!$B$43-B1120)/(IF(Inputs!$B$38="pvp",15,MAX(0.1,Skills!E8-IF(Skills!F8=TRUE,Inputs!$B$32,0)))*(1-IF(AND(ArtifactsInput!$M$27,Inputs!$B$4="Chapter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IFERROR(1/(IF(Inputs!$B$38="pvp",15,MAX(0.1,Skills!E9-IF(Skills!F7=TRUE,Inputs!$B$32,0)))*(1-IF(AND(ArtifactsInput!$M$27,Inputs!$B$4="Chapter Hunt"),CHOOSE(ArtifactsInput!$N$27+1,20,24,28,32,36,40),0)/100)),0)</f>
        <v/>
      </c>
      <c r="R1091">
        <f>IF(AND(Inputs!$B$38&lt;&gt;"pvp",Inputs!$B$43&gt;0),IF(MAX(0,Inputs!$B$43-B1120)&lt;=0,0,(INT(MAX(0,Inputs!$B$43-B1120)/(IF(Inputs!$B$38="pvp",15,MAX(0.1,Skills!E9-IF(Skills!F7=TRUE,Inputs!$B$32,0)))*(1-IF(AND(ArtifactsInput!$M$27,Inputs!$B$4="Chapter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IFERROR(1/(IF(Inputs!$B$38="pvp",15,MAX(0.1,Skills!E10-IF(Skills!F10=TRUE,Inputs!$B$32,0)))*(1-IF(AND(ArtifactsInput!$M$27,Inputs!$B$4="Chapter Hunt"),CHOOSE(ArtifactsInput!$N$27+1,20,24,28,32,36,40),0)/100)),0)</f>
        <v/>
      </c>
      <c r="R1092">
        <f>IF(AND(Inputs!$B$38&lt;&gt;"pvp",Inputs!$B$43&gt;0),IF(MAX(0,Inputs!$B$43-B1120)&lt;=0,0,(INT(MAX(0,Inputs!$B$43-B1120)/(IF(Inputs!$B$38="pvp",15,MAX(0.1,Skills!E10-IF(Skills!F10=TRUE,Inputs!$B$32,0)))*(1-IF(AND(ArtifactsInput!$M$27,Inputs!$B$4="Chapter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IFERROR(1/(IF(Inputs!$B$38="pvp",15,MAX(0.1,Skills!E11-IF(Skills!F11=TRUE,Inputs!$B$32,0)))*(1-IF(AND(ArtifactsInput!$M$27,Inputs!$B$4="Chapter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IFERROR(1/(IF(Inputs!$B$38="pvp",15,MAX(0.1,Skills!E12-IF(Skills!F12=TRUE,Inputs!$B$32,0)))*(1-IF(AND(ArtifactsInput!$M$27,Inputs!$B$4="Chapter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IFERROR(1/(IF(Inputs!$B$38="pvp",15,MAX(0.1,Skills!E13-IF(Skills!F13=TRUE,Inputs!$B$32,0)))*(1-IF(AND(ArtifactsInput!$M$27,Inputs!$B$4="Chapter Hunt"),CHOOSE(ArtifactsInput!$N$27+1,20,24,28,32,36,40),0)/100)),0)</f>
        <v/>
      </c>
      <c r="R1095">
        <f>IF(AND(Inputs!$B$38&lt;&gt;"pvp",Inputs!$B$43&gt;0),IF(MAX(0,Inputs!$B$43-B1120)&lt;=0,0,(INT(MAX(0,Inputs!$B$43-B1120)/(IF(Inputs!$B$38="pvp",15,MAX(0.1,Skills!E13-IF(Skills!F13=TRUE,Inputs!$B$32,0)))*(1-IF(AND(ArtifactsInput!$M$27,Inputs!$B$4="Chapter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IFERROR(1/(IF(Inputs!$B$38="pvp",15,MAX(0.1,Skills!E14-IF(Skills!F14=TRUE,Inputs!$B$32,0)))*(1-IF(AND(ArtifactsInput!$M$27,Inputs!$B$4="Chapter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IFERROR(1/(IF(Inputs!$B$38="pvp",15,MAX(0.1,Skills!E15-IF(Skills!F15=TRUE,Inputs!$B$32,0)))*(1-IF(AND(ArtifactsInput!$M$27,Inputs!$B$4="Chapter Hunt"),CHOOSE(ArtifactsInput!$N$27+1,20,24,28,32,36,40),0)/100)),0)</f>
        <v/>
      </c>
      <c r="R1097">
        <f>IF(AND(Inputs!$B$38&lt;&gt;"pvp",Inputs!$B$43&gt;0),IF(MAX(0,Inputs!$B$43-B1120)&lt;=0,0,(INT(MAX(0,Inputs!$B$43-B1120)/(IF(Inputs!$B$38="pvp",15,MAX(0.1,Skills!E15-IF(Skills!F15=TRUE,Inputs!$B$32,0)))*(1-IF(AND(ArtifactsInput!$M$27,Inputs!$B$4="Chapter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IFERROR(1/(IF(Inputs!$B$38="pvp",15,MAX(0.1,Skills!E16-IF(Skills!F16=TRUE,Inputs!$B$32,0)))*(1-IF(AND(ArtifactsInput!$M$27,Inputs!$B$4="Chapter Hunt"),CHOOSE(ArtifactsInput!$N$27+1,20,24,28,32,36,40),0)/100)),0)</f>
        <v/>
      </c>
      <c r="R1098">
        <f>IF(AND(Inputs!$B$38&lt;&gt;"pvp",Inputs!$B$43&gt;0),IF(MAX(0,Inputs!$B$43-B1120)&lt;=0,0,(INT(MAX(0,Inputs!$B$43-B1120)/(IF(Inputs!$B$38="pvp",15,MAX(0.1,Skills!E16-IF(Skills!F16=TRUE,Inputs!$B$32,0)))*(1-IF(AND(ArtifactsInput!$M$27,Inputs!$B$4="Chapter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IFERROR(1/(IF(Inputs!$B$38="pvp",15,MAX(0.1,Skills!E17-IF(Skills!F17=TRUE,Inputs!$B$32,0)))*(1-IF(AND(ArtifactsInput!$M$27,Inputs!$B$4="Chapter Hunt"),CHOOSE(ArtifactsInput!$N$27+1,20,24,28,32,36,40),0)/100)),0)</f>
        <v/>
      </c>
      <c r="R1099">
        <f>IF(AND(Inputs!$B$38&lt;&gt;"pvp",Inputs!$B$43&gt;0),IF(Inputs!$B$43&lt;=0,0,(INT(Inputs!$B$43/(IF(Inputs!$B$38="pvp",15,MAX(0.1,Skills!E17-IF(Skills!F17=TRUE,Inputs!$B$32,0)))*(1-IF(AND(ArtifactsInput!$M$27,Inputs!$B$4="Chapter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IFERROR(1/(IF(Inputs!$B$38="pvp",15,MAX(0.1,Skills!E18-IF(Skills!F18=TRUE,Inputs!$B$32,0)))*(1-IF(AND(ArtifactsInput!$M$27,Inputs!$B$4="Chapter Hunt"),CHOOSE(ArtifactsInput!$N$27+1,20,24,28,32,36,40),0)/100)),0)</f>
        <v/>
      </c>
      <c r="R1100">
        <f>IF(AND(Inputs!$B$38&lt;&gt;"pvp",Inputs!$B$43&gt;0),IF(Inputs!$B$43&lt;=0,0,(INT(Inputs!$B$43/(IF(Inputs!$B$38="pvp",15,MAX(0.1,Skills!E18-IF(Skills!F18=TRUE,Inputs!$B$32,0)))*(1-IF(AND(ArtifactsInput!$M$27,Inputs!$B$4="Chapter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IFERROR(1/(IF(Inputs!$B$38="pvp",15,MAX(0.1,Skills!E19-IF(Skills!F19=TRUE,Inputs!$B$32,0)))*(1-IF(AND(ArtifactsInput!$M$27,Inputs!$B$4="Chapter Hunt"),CHOOSE(ArtifactsInput!$N$27+1,20,24,28,32,36,40),0)/100)),0)</f>
        <v/>
      </c>
      <c r="R1101">
        <f>IF(AND(Inputs!$B$38&lt;&gt;"pvp",Inputs!$B$43&gt;0),IF(Inputs!$B$43&lt;=0,0,(INT(Inputs!$B$43/(IF(Inputs!$B$38="pvp",15,MAX(0.1,Skills!E19-IF(Skills!F19=TRUE,Inputs!$B$32,0)))*(1-IF(AND(ArtifactsInput!$M$27,Inputs!$B$4="Chapter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IFERROR(1/(IF(Inputs!$B$38="pvp",15,MAX(0.1,Skills!E20-IF(Skills!F20=TRUE,Inputs!$B$32,0)))*(1-IF(AND(ArtifactsInput!$M$27,Inputs!$B$4="Chapter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IFERROR(1/(IF(Inputs!$B$38="pvp",15,MAX(0.1,Skills!E21-IF(Skills!F21=TRUE,Inputs!$B$32,0)))*(1-IF(AND(ArtifactsInput!$M$27,Inputs!$B$4="Chapter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IFERROR(1/(IF(Inputs!$B$38="pvp",15,MAX(0.1,Skills!E22-IF(Skills!F22=TRUE,Inputs!$B$32,0)))*(1-IF(AND(ArtifactsInput!$M$27,Inputs!$B$4="Chapter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IFERROR(1/(IF(Inputs!$B$38="pvp",15,MAX(0.1,Skills!E23-IF(Skills!F23=TRUE,Inputs!$B$32,0)))*(1-IF(AND(ArtifactsInput!$M$27,Inputs!$B$4="Chapter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IFERROR(1/(IF(Inputs!$B$38="pvp",15,MAX(0.1,Skills!E24-IF(Skills!F24=TRUE,Inputs!$B$32,0)))*(1-IF(AND(ArtifactsInput!$M$27,Inputs!$B$4="Chapter Hunt"),CHOOSE(ArtifactsInput!$N$27+1,20,24,28,32,36,40),0)/100)),0)</f>
        <v/>
      </c>
      <c r="R1106">
        <f>IF(AND(Inputs!$B$38&lt;&gt;"pvp",Inputs!$B$43&gt;0),IF(MAX(0,Inputs!$B$43-B1120)&lt;=0,0,(INT(MAX(0,Inputs!$B$43-B1120)/(IF(Inputs!$B$38="pvp",15,MAX(0.1,Skills!E24-IF(Skills!F24=TRUE,Inputs!$B$32,0)))*(1-IF(AND(ArtifactsInput!$M$27,Inputs!$B$4="Chapter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IFERROR(1/(IF(Inputs!$B$38="pvp",15,MAX(0.1,Skills!E25-IF(Skills!F25=TRUE,Inputs!$B$32,0)))*(1-IF(AND(ArtifactsInput!$M$27,Inputs!$B$4="Chapter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IFERROR(1/(IF(Inputs!$B$38="pvp",15,MAX(0.1,Skills!E26-IF(Skills!F26=TRUE,Inputs!$B$32,0)))*(1-IF(AND(ArtifactsInput!$M$27,Inputs!$B$4="Chapter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IFERROR(1/(IF(Inputs!$B$38="pvp",15,MAX(0.1,Skills!E27-IF(Skills!F27=TRUE,Inputs!$B$32,0)))*(1-IF(AND(ArtifactsInput!$M$27,Inputs!$B$4="Chapter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IFERROR(1/(IF(Inputs!$B$38="pvp",15,MAX(0.1,Skills!E28-IF(Skills!F28=TRUE,Inputs!$B$32,0)))*(1-IF(AND(ArtifactsInput!$M$27,Inputs!$B$4="Chapter Hunt"),CHOOSE(ArtifactsInput!$N$27+1,20,24,28,32,36,40),0)/100)),0)</f>
        <v/>
      </c>
      <c r="R1110">
        <f>IF(AND(Inputs!$B$38&lt;&gt;"pvp",Inputs!$B$43&gt;0),IF(MAX(0,Inputs!$B$43-B1120)&lt;=0,0,(INT(MAX(0,Inputs!$B$43-B1120)/(IF(Inputs!$B$38="pvp",15,MAX(0.1,Skills!E28-IF(Skills!F28=TRUE,Inputs!$B$32,0)))*(1-IF(AND(ArtifactsInput!$M$27,Inputs!$B$4="Chapter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Skills!T6*(1+((Inputs!$B$34+(ArtifactsInput!$M$7-ArtifactsInput!$M$7)*CHOOSE(ArtifactsInput!$N$7+1,6,7.2,8.4,9.6,10.8,12))+IF(Inputs!$B$3&gt;=117,F1107,0))/100))+MIN((Skills!T6*(1+((Inputs!$B$34+(ArtifactsInput!$M$7-ArtifactsInput!$M$7)*CHOOSE(ArtifactsInput!$N$7+1,6,7.2,8.4,9.6,10.8,12))+IF(Inputs!$B$3&gt;=117,F1107,0))/100)),MAX(0,Inputs!$B$43-((R1088-1)*Skills!E6))))/Inputs!$B$43),IF(Inputs!$B$38="pvp",MIN((Skills!T6*(1+((Inputs!$B$34+(ArtifactsInput!$M$7-ArtifactsInput!$M$7)*CHOOSE(ArtifactsInput!$N$7+1,6,7.2,8.4,9.6,10.8,12))+IF(Inputs!$B$3&gt;=117,F1107,0))/100)),15)/15,(Skills!T6*(1+((Inputs!$B$34+(ArtifactsInput!$M$7-ArtifactsInput!$M$7)*CHOOSE(ArtifactsInput!$N$7+1,6,7.2,8.4,9.6,10.8,12))+IF(Inputs!$B$3&gt;=117,F1107,0))/100))/Skills!E6))+F1099*IF(AND(Inputs!$B$38&lt;&gt;"pvp",Inputs!$B$43&gt;0),(((R1099-1)*(Skills!T17*(1+((Inputs!$B$34+(ArtifactsInput!$M$7-ArtifactsInput!$M$7)*CHOOSE(ArtifactsInput!$N$7+1,6,7.2,8.4,9.6,10.8,12))+IF(Inputs!$B$3&gt;=117,F1107,0))/100))+MIN((Skills!T17*(1+((Inputs!$B$34+(ArtifactsInput!$M$7-ArtifactsInput!$M$7)*CHOOSE(ArtifactsInput!$N$7+1,6,7.2,8.4,9.6,10.8,12))+IF(Inputs!$B$3&gt;=117,F1107,0))/100)),MAX(0,Inputs!$B$43-((R1099-1)*Skills!E17))))/Inputs!$B$43),IF(Inputs!$B$38="pvp",MIN((Skills!T17*(1+((Inputs!$B$34+(ArtifactsInput!$M$7-ArtifactsInput!$M$7)*CHOOSE(ArtifactsInput!$N$7+1,6,7.2,8.4,9.6,10.8,12))+IF(Inputs!$B$3&gt;=117,F1107,0))/100)),15)/15,(Skills!T17*(1+((Inputs!$B$34+(ArtifactsInput!$M$7-ArtifactsInput!$M$7)*CHOOSE(ArtifactsInput!$N$7+1,6,7.2,8.4,9.6,10.8,12))+IF(Inputs!$B$3&gt;=117,F1107,0)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Skills!T19*(1+((Inputs!$B$34+(ArtifactsInput!$M$7-ArtifactsInput!$M$7)*CHOOSE(ArtifactsInput!$N$7+1,6,7.2,8.4,9.6,10.8,12))+IF(Inputs!$B$3&gt;=117,F1107,0))/100))+MIN((Skills!T19*(1+((Inputs!$B$34+(ArtifactsInput!$M$7-ArtifactsInput!$M$7)*CHOOSE(ArtifactsInput!$N$7+1,6,7.2,8.4,9.6,10.8,12))+IF(Inputs!$B$3&gt;=117,F1107,0))/100)),MAX(0,Inputs!$B$43-((R1101-1)*Skills!E19))))/Inputs!$B$43),IF(Inputs!$B$38="pvp",MIN((Skills!T19*(1+((Inputs!$B$34+(ArtifactsInput!$M$7-ArtifactsInput!$M$7)*CHOOSE(ArtifactsInput!$N$7+1,6,7.2,8.4,9.6,10.8,12))+IF(Inputs!$B$3&gt;=117,F1107,0))/100)),15)/15,(Skills!T19*(1+((Inputs!$B$34+(ArtifactsInput!$M$7-ArtifactsInput!$M$7)*CHOOSE(ArtifactsInput!$N$7+1,6,7.2,8.4,9.6,10.8,12))+IF(Inputs!$B$3&gt;=117,F1107,0))/100))/Skills!E19))/100),1)</f>
        <v/>
      </c>
    </row>
    <row r="1115">
      <c r="A1115" t="inlineStr">
        <is>
          <t>Attack Speed Buff Bonus % (Nimble Feet, averaged)</t>
        </is>
      </c>
      <c r="B1115">
        <f>F1100*IF(AND(Inputs!$B$38&lt;&gt;"pvp",Inputs!$B$43&gt;0),(((R1100-1)*(Skills!T18*(1+((Inputs!$B$34+(ArtifactsInput!$M$7-ArtifactsInput!$M$7)*CHOOSE(ArtifactsInput!$N$7+1,6,7.2,8.4,9.6,10.8,12))+IF(Inputs!$B$3&gt;=117,F1107,0))/100))+MIN((Skills!T18*(1+((Inputs!$B$34+(ArtifactsInput!$M$7-ArtifactsInput!$M$7)*CHOOSE(ArtifactsInput!$N$7+1,6,7.2,8.4,9.6,10.8,12))+IF(Inputs!$B$3&gt;=117,F1107,0))/100)),MAX(0,Inputs!$B$43-((R1100-1)*Skills!E18))))/Inputs!$B$43),IF(Inputs!$B$38="pvp",MIN((Skills!T18*(1+((Inputs!$B$34+(ArtifactsInput!$M$7-ArtifactsInput!$M$7)*CHOOSE(ArtifactsInput!$N$7+1,6,7.2,8.4,9.6,10.8,12))+IF(Inputs!$B$3&gt;=117,F1107,0))/100)),15)/15,(Skills!T18*(1+((Inputs!$B$34+(ArtifactsInput!$M$7-ArtifactsInput!$M$7)*CHOOSE(ArtifactsInput!$N$7+1,6,7.2,8.4,9.6,10.8,12))+IF(Inputs!$B$3&gt;=117,F1107,0))/100))/Skills!E18))</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IFERROR(1/(IF(Inputs!$B$38="pvp",15,MAX(0.1,Skills!E2-IF(Skills!F2=TRUE,Inputs!$B$32,0)))*(1-IF(AND(ArtifactsInput!$M$27,Inputs!$B$4="Chapter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IFERROR(1/(IF(Inputs!$B$38="pvp",15,MAX(0.1,Skills!E3-IF(Skills!F3=TRUE,Inputs!$B$32,0)))*(1-IF(AND(ArtifactsInput!$M$27,Inputs!$B$4="Chapter Hunt"),CHOOSE(ArtifactsInput!$N$27+1,20,24,28,32,36,40),0)/100)),0)</f>
        <v/>
      </c>
      <c r="R1129">
        <f>IF(AND(Inputs!$B$38&lt;&gt;"pvp",Inputs!$B$43&gt;0),IF(MAX(0,Inputs!$B$43-B1164)&lt;=0,0,(INT(MAX(0,Inputs!$B$43-B1164)/(IF(Inputs!$B$38="pvp",15,MAX(0.1,Skills!E3-IF(Skills!F3=TRUE,Inputs!$B$32,0)))*(1-IF(AND(ArtifactsInput!$M$27,Inputs!$B$4="Chapter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IFERROR(1/(IF(Inputs!$B$38="pvp",15,MAX(0.1,Skills!E4-IF(Skills!F4=TRUE,Inputs!$B$32,0)))*(1-IF(AND(ArtifactsInput!$M$27,Inputs!$B$4="Chapter Hunt"),CHOOSE(ArtifactsInput!$N$27+1,20,24,28,32,36,40),0)/100)),0)</f>
        <v/>
      </c>
      <c r="R1130">
        <f>IF(AND(Inputs!$B$38&lt;&gt;"pvp",Inputs!$B$43&gt;0),IF(MAX(0,Inputs!$B$43-B1164)&lt;=0,0,(INT(MAX(0,Inputs!$B$43-B1164)/(IF(Inputs!$B$38="pvp",15,MAX(0.1,Skills!E4-IF(Skills!F4=TRUE,Inputs!$B$32,0)))*(1-IF(AND(ArtifactsInput!$M$27,Inputs!$B$4="Chapter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IFERROR(1/(IF(Inputs!$B$38="pvp",15,MAX(0.1,Skills!E5-IF(Skills!F5=TRUE,Inputs!$B$32,0)))*(1-IF(AND(ArtifactsInput!$M$27,Inputs!$B$4="Chapter Hunt"),CHOOSE(ArtifactsInput!$N$27+1,20,24,28,32,36,40),0)/100)),0)</f>
        <v/>
      </c>
      <c r="R1131">
        <f>IF(AND(Inputs!$B$38&lt;&gt;"pvp",Inputs!$B$43&gt;0),IF(MAX(0,Inputs!$B$43-B1164)&lt;=0,0,(INT(MAX(0,Inputs!$B$43-B1164)/(IF(Inputs!$B$38="pvp",15,MAX(0.1,Skills!E5-IF(Skills!F5=TRUE,Inputs!$B$32,0)))*(1-IF(AND(ArtifactsInput!$M$27,Inputs!$B$4="Chapter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IFERROR(1/(IF(Inputs!$B$38="pvp",15,MAX(0.1,Skills!E6-IF(Skills!F6=TRUE,Inputs!$B$32,0)))*(1-IF(AND(ArtifactsInput!$M$27,Inputs!$B$4="Chapter Hunt"),CHOOSE(ArtifactsInput!$N$27+1,20,24,28,32,36,40),0)/100)),0)</f>
        <v/>
      </c>
      <c r="R1132">
        <f>IF(AND(Inputs!$B$38&lt;&gt;"pvp",Inputs!$B$43&gt;0),IF(Inputs!$B$43&lt;=0,0,(INT(Inputs!$B$43/(IF(Inputs!$B$38="pvp",15,MAX(0.1,Skills!E6-IF(Skills!F6=TRUE,Inputs!$B$32,0)))*(1-IF(AND(ArtifactsInput!$M$27,Inputs!$B$4="Chapter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IFERROR(1/(IF(Inputs!$B$38="pvp",15,MAX(0.1,Skills!E7-IF(Skills!F7=TRUE,Inputs!$B$32,0)))*(1-IF(AND(ArtifactsInput!$M$27,Inputs!$B$4="Chapter Hunt"),CHOOSE(ArtifactsInput!$N$27+1,20,24,28,32,36,40),0)/100)),0)</f>
        <v/>
      </c>
      <c r="R1133">
        <f>IF(AND(Inputs!$B$38&lt;&gt;"pvp",Inputs!$B$43&gt;0),IF(MAX(0,Inputs!$B$43-B1164)&lt;=0,0,(INT(MAX(0,Inputs!$B$43-B1164)/(IF(Inputs!$B$38="pvp",15,MAX(0.1,Skills!E7-IF(Skills!F7=TRUE,Inputs!$B$32,0)))*(1-IF(AND(ArtifactsInput!$M$27,Inputs!$B$4="Chapter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IFERROR(1/(IF(Inputs!$B$38="pvp",15,MAX(0.1,Skills!E8-IF(Skills!F8=TRUE,Inputs!$B$32,0)))*(1-IF(AND(ArtifactsInput!$M$27,Inputs!$B$4="Chapter Hunt"),CHOOSE(ArtifactsInput!$N$27+1,20,24,28,32,36,40),0)/100)),0)</f>
        <v/>
      </c>
      <c r="R1134">
        <f>IF(AND(Inputs!$B$38&lt;&gt;"pvp",Inputs!$B$43&gt;0),IF(MAX(0,Inputs!$B$43-B1164)&lt;=0,0,(INT(MAX(0,Inputs!$B$43-B1164)/(IF(Inputs!$B$38="pvp",15,MAX(0.1,Skills!E8-IF(Skills!F8=TRUE,Inputs!$B$32,0)))*(1-IF(AND(ArtifactsInput!$M$27,Inputs!$B$4="Chapter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IFERROR(1/(IF(Inputs!$B$38="pvp",15,MAX(0.1,Skills!E9-IF(Skills!F7=TRUE,Inputs!$B$32,0)))*(1-IF(AND(ArtifactsInput!$M$27,Inputs!$B$4="Chapter Hunt"),CHOOSE(ArtifactsInput!$N$27+1,20,24,28,32,36,40),0)/100)),0)</f>
        <v/>
      </c>
      <c r="R1135">
        <f>IF(AND(Inputs!$B$38&lt;&gt;"pvp",Inputs!$B$43&gt;0),IF(MAX(0,Inputs!$B$43-B1164)&lt;=0,0,(INT(MAX(0,Inputs!$B$43-B1164)/(IF(Inputs!$B$38="pvp",15,MAX(0.1,Skills!E9-IF(Skills!F7=TRUE,Inputs!$B$32,0)))*(1-IF(AND(ArtifactsInput!$M$27,Inputs!$B$4="Chapter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IFERROR(1/(IF(Inputs!$B$38="pvp",15,MAX(0.1,Skills!E10-IF(Skills!F10=TRUE,Inputs!$B$32,0)))*(1-IF(AND(ArtifactsInput!$M$27,Inputs!$B$4="Chapter Hunt"),CHOOSE(ArtifactsInput!$N$27+1,20,24,28,32,36,40),0)/100)),0)</f>
        <v/>
      </c>
      <c r="R1136">
        <f>IF(AND(Inputs!$B$38&lt;&gt;"pvp",Inputs!$B$43&gt;0),IF(MAX(0,Inputs!$B$43-B1164)&lt;=0,0,(INT(MAX(0,Inputs!$B$43-B1164)/(IF(Inputs!$B$38="pvp",15,MAX(0.1,Skills!E10-IF(Skills!F10=TRUE,Inputs!$B$32,0)))*(1-IF(AND(ArtifactsInput!$M$27,Inputs!$B$4="Chapter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IFERROR(1/(IF(Inputs!$B$38="pvp",15,MAX(0.1,Skills!E11-IF(Skills!F11=TRUE,Inputs!$B$32,0)))*(1-IF(AND(ArtifactsInput!$M$27,Inputs!$B$4="Chapter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IFERROR(1/(IF(Inputs!$B$38="pvp",15,MAX(0.1,Skills!E12-IF(Skills!F12=TRUE,Inputs!$B$32,0)))*(1-IF(AND(ArtifactsInput!$M$27,Inputs!$B$4="Chapter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IFERROR(1/(IF(Inputs!$B$38="pvp",15,MAX(0.1,Skills!E13-IF(Skills!F13=TRUE,Inputs!$B$32,0)))*(1-IF(AND(ArtifactsInput!$M$27,Inputs!$B$4="Chapter Hunt"),CHOOSE(ArtifactsInput!$N$27+1,20,24,28,32,36,40),0)/100)),0)</f>
        <v/>
      </c>
      <c r="R1139">
        <f>IF(AND(Inputs!$B$38&lt;&gt;"pvp",Inputs!$B$43&gt;0),IF(MAX(0,Inputs!$B$43-B1164)&lt;=0,0,(INT(MAX(0,Inputs!$B$43-B1164)/(IF(Inputs!$B$38="pvp",15,MAX(0.1,Skills!E13-IF(Skills!F13=TRUE,Inputs!$B$32,0)))*(1-IF(AND(ArtifactsInput!$M$27,Inputs!$B$4="Chapter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IFERROR(1/(IF(Inputs!$B$38="pvp",15,MAX(0.1,Skills!E14-IF(Skills!F14=TRUE,Inputs!$B$32,0)))*(1-IF(AND(ArtifactsInput!$M$27,Inputs!$B$4="Chapter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IFERROR(1/(IF(Inputs!$B$38="pvp",15,MAX(0.1,Skills!E15-IF(Skills!F15=TRUE,Inputs!$B$32,0)))*(1-IF(AND(ArtifactsInput!$M$27,Inputs!$B$4="Chapter Hunt"),CHOOSE(ArtifactsInput!$N$27+1,20,24,28,32,36,40),0)/100)),0)</f>
        <v/>
      </c>
      <c r="R1141">
        <f>IF(AND(Inputs!$B$38&lt;&gt;"pvp",Inputs!$B$43&gt;0),IF(MAX(0,Inputs!$B$43-B1164)&lt;=0,0,(INT(MAX(0,Inputs!$B$43-B1164)/(IF(Inputs!$B$38="pvp",15,MAX(0.1,Skills!E15-IF(Skills!F15=TRUE,Inputs!$B$32,0)))*(1-IF(AND(ArtifactsInput!$M$27,Inputs!$B$4="Chapter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IFERROR(1/(IF(Inputs!$B$38="pvp",15,MAX(0.1,Skills!E16-IF(Skills!F16=TRUE,Inputs!$B$32,0)))*(1-IF(AND(ArtifactsInput!$M$27,Inputs!$B$4="Chapter Hunt"),CHOOSE(ArtifactsInput!$N$27+1,20,24,28,32,36,40),0)/100)),0)</f>
        <v/>
      </c>
      <c r="R1142">
        <f>IF(AND(Inputs!$B$38&lt;&gt;"pvp",Inputs!$B$43&gt;0),IF(MAX(0,Inputs!$B$43-B1164)&lt;=0,0,(INT(MAX(0,Inputs!$B$43-B1164)/(IF(Inputs!$B$38="pvp",15,MAX(0.1,Skills!E16-IF(Skills!F16=TRUE,Inputs!$B$32,0)))*(1-IF(AND(ArtifactsInput!$M$27,Inputs!$B$4="Chapter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IFERROR(1/(IF(Inputs!$B$38="pvp",15,MAX(0.1,Skills!E17-IF(Skills!F17=TRUE,Inputs!$B$32,0)))*(1-IF(AND(ArtifactsInput!$M$27,Inputs!$B$4="Chapter Hunt"),CHOOSE(ArtifactsInput!$N$27+1,20,24,28,32,36,40),0)/100)),0)</f>
        <v/>
      </c>
      <c r="R1143">
        <f>IF(AND(Inputs!$B$38&lt;&gt;"pvp",Inputs!$B$43&gt;0),IF(Inputs!$B$43&lt;=0,0,(INT(Inputs!$B$43/(IF(Inputs!$B$38="pvp",15,MAX(0.1,Skills!E17-IF(Skills!F17=TRUE,Inputs!$B$32,0)))*(1-IF(AND(ArtifactsInput!$M$27,Inputs!$B$4="Chapter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IFERROR(1/(IF(Inputs!$B$38="pvp",15,MAX(0.1,Skills!E18-IF(Skills!F18=TRUE,Inputs!$B$32,0)))*(1-IF(AND(ArtifactsInput!$M$27,Inputs!$B$4="Chapter Hunt"),CHOOSE(ArtifactsInput!$N$27+1,20,24,28,32,36,40),0)/100)),0)</f>
        <v/>
      </c>
      <c r="R1144">
        <f>IF(AND(Inputs!$B$38&lt;&gt;"pvp",Inputs!$B$43&gt;0),IF(Inputs!$B$43&lt;=0,0,(INT(Inputs!$B$43/(IF(Inputs!$B$38="pvp",15,MAX(0.1,Skills!E18-IF(Skills!F18=TRUE,Inputs!$B$32,0)))*(1-IF(AND(ArtifactsInput!$M$27,Inputs!$B$4="Chapter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IFERROR(1/(IF(Inputs!$B$38="pvp",15,MAX(0.1,Skills!E19-IF(Skills!F19=TRUE,Inputs!$B$32,0)))*(1-IF(AND(ArtifactsInput!$M$27,Inputs!$B$4="Chapter Hunt"),CHOOSE(ArtifactsInput!$N$27+1,20,24,28,32,36,40),0)/100)),0)</f>
        <v/>
      </c>
      <c r="R1145">
        <f>IF(AND(Inputs!$B$38&lt;&gt;"pvp",Inputs!$B$43&gt;0),IF(Inputs!$B$43&lt;=0,0,(INT(Inputs!$B$43/(IF(Inputs!$B$38="pvp",15,MAX(0.1,Skills!E19-IF(Skills!F19=TRUE,Inputs!$B$32,0)))*(1-IF(AND(ArtifactsInput!$M$27,Inputs!$B$4="Chapter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IFERROR(1/(IF(Inputs!$B$38="pvp",15,MAX(0.1,Skills!E20-IF(Skills!F20=TRUE,Inputs!$B$32,0)))*(1-IF(AND(ArtifactsInput!$M$27,Inputs!$B$4="Chapter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IFERROR(1/(IF(Inputs!$B$38="pvp",15,MAX(0.1,Skills!E21-IF(Skills!F21=TRUE,Inputs!$B$32,0)))*(1-IF(AND(ArtifactsInput!$M$27,Inputs!$B$4="Chapter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IFERROR(1/(IF(Inputs!$B$38="pvp",15,MAX(0.1,Skills!E22-IF(Skills!F22=TRUE,Inputs!$B$32,0)))*(1-IF(AND(ArtifactsInput!$M$27,Inputs!$B$4="Chapter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IFERROR(1/(IF(Inputs!$B$38="pvp",15,MAX(0.1,Skills!E23-IF(Skills!F23=TRUE,Inputs!$B$32,0)))*(1-IF(AND(ArtifactsInput!$M$27,Inputs!$B$4="Chapter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IFERROR(1/(IF(Inputs!$B$38="pvp",15,MAX(0.1,Skills!E24-IF(Skills!F24=TRUE,Inputs!$B$32,0)))*(1-IF(AND(ArtifactsInput!$M$27,Inputs!$B$4="Chapter Hunt"),CHOOSE(ArtifactsInput!$N$27+1,20,24,28,32,36,40),0)/100)),0)</f>
        <v/>
      </c>
      <c r="R1150">
        <f>IF(AND(Inputs!$B$38&lt;&gt;"pvp",Inputs!$B$43&gt;0),IF(MAX(0,Inputs!$B$43-B1164)&lt;=0,0,(INT(MAX(0,Inputs!$B$43-B1164)/(IF(Inputs!$B$38="pvp",15,MAX(0.1,Skills!E24-IF(Skills!F24=TRUE,Inputs!$B$32,0)))*(1-IF(AND(ArtifactsInput!$M$27,Inputs!$B$4="Chapter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IFERROR(1/(IF(Inputs!$B$38="pvp",15,MAX(0.1,Skills!E25-IF(Skills!F25=TRUE,Inputs!$B$32,0)))*(1-IF(AND(ArtifactsInput!$M$27,Inputs!$B$4="Chapter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IFERROR(1/(IF(Inputs!$B$38="pvp",15,MAX(0.1,Skills!E26-IF(Skills!F26=TRUE,Inputs!$B$32,0)))*(1-IF(AND(ArtifactsInput!$M$27,Inputs!$B$4="Chapter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IFERROR(1/(IF(Inputs!$B$38="pvp",15,MAX(0.1,Skills!E27-IF(Skills!F27=TRUE,Inputs!$B$32,0)))*(1-IF(AND(ArtifactsInput!$M$27,Inputs!$B$4="Chapter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IFERROR(1/(IF(Inputs!$B$38="pvp",15,MAX(0.1,Skills!E28-IF(Skills!F28=TRUE,Inputs!$B$32,0)))*(1-IF(AND(ArtifactsInput!$M$27,Inputs!$B$4="Chapter Hunt"),CHOOSE(ArtifactsInput!$N$27+1,20,24,28,32,36,40),0)/100)),0)</f>
        <v/>
      </c>
      <c r="R1154">
        <f>IF(AND(Inputs!$B$38&lt;&gt;"pvp",Inputs!$B$43&gt;0),IF(MAX(0,Inputs!$B$43-B1164)&lt;=0,0,(INT(MAX(0,Inputs!$B$43-B1164)/(IF(Inputs!$B$38="pvp",15,MAX(0.1,Skills!E28-IF(Skills!F28=TRUE,Inputs!$B$32,0)))*(1-IF(AND(ArtifactsInput!$M$27,Inputs!$B$4="Chapter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Skills!T6*(1+(((Inputs!$B$34+1)+(ArtifactsInput!$M$7-ArtifactsInput!$M$7)*CHOOSE(ArtifactsInput!$N$7+1,6,7.2,8.4,9.6,10.8,12))+IF(Inputs!$B$3&gt;=117,F1151,0))/100))+MIN((Skills!T6*(1+(((Inputs!$B$34+1)+(ArtifactsInput!$M$7-ArtifactsInput!$M$7)*CHOOSE(ArtifactsInput!$N$7+1,6,7.2,8.4,9.6,10.8,12))+IF(Inputs!$B$3&gt;=117,F1151,0))/100)),MAX(0,Inputs!$B$43-((R1132-1)*Skills!E6))))/Inputs!$B$43),IF(Inputs!$B$38="pvp",MIN((Skills!T6*(1+(((Inputs!$B$34+1)+(ArtifactsInput!$M$7-ArtifactsInput!$M$7)*CHOOSE(ArtifactsInput!$N$7+1,6,7.2,8.4,9.6,10.8,12))+IF(Inputs!$B$3&gt;=117,F1151,0))/100)),15)/15,(Skills!T6*(1+(((Inputs!$B$34+1)+(ArtifactsInput!$M$7-ArtifactsInput!$M$7)*CHOOSE(ArtifactsInput!$N$7+1,6,7.2,8.4,9.6,10.8,12))+IF(Inputs!$B$3&gt;=117,F1151,0))/100))/Skills!E6))+F1143*IF(AND(Inputs!$B$38&lt;&gt;"pvp",Inputs!$B$43&gt;0),(((R1143-1)*(Skills!T17*(1+(((Inputs!$B$34+1)+(ArtifactsInput!$M$7-ArtifactsInput!$M$7)*CHOOSE(ArtifactsInput!$N$7+1,6,7.2,8.4,9.6,10.8,12))+IF(Inputs!$B$3&gt;=117,F1151,0))/100))+MIN((Skills!T17*(1+(((Inputs!$B$34+1)+(ArtifactsInput!$M$7-ArtifactsInput!$M$7)*CHOOSE(ArtifactsInput!$N$7+1,6,7.2,8.4,9.6,10.8,12))+IF(Inputs!$B$3&gt;=117,F1151,0))/100)),MAX(0,Inputs!$B$43-((R1143-1)*Skills!E17))))/Inputs!$B$43),IF(Inputs!$B$38="pvp",MIN((Skills!T17*(1+(((Inputs!$B$34+1)+(ArtifactsInput!$M$7-ArtifactsInput!$M$7)*CHOOSE(ArtifactsInput!$N$7+1,6,7.2,8.4,9.6,10.8,12))+IF(Inputs!$B$3&gt;=117,F1151,0))/100)),15)/15,(Skills!T17*(1+(((Inputs!$B$34+1)+(ArtifactsInput!$M$7-ArtifactsInput!$M$7)*CHOOSE(ArtifactsInput!$N$7+1,6,7.2,8.4,9.6,10.8,12))+IF(Inputs!$B$3&gt;=117,F1151,0)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Skills!T19*(1+(((Inputs!$B$34+1)+(ArtifactsInput!$M$7-ArtifactsInput!$M$7)*CHOOSE(ArtifactsInput!$N$7+1,6,7.2,8.4,9.6,10.8,12))+IF(Inputs!$B$3&gt;=117,F1151,0))/100))+MIN((Skills!T19*(1+(((Inputs!$B$34+1)+(ArtifactsInput!$M$7-ArtifactsInput!$M$7)*CHOOSE(ArtifactsInput!$N$7+1,6,7.2,8.4,9.6,10.8,12))+IF(Inputs!$B$3&gt;=117,F1151,0))/100)),MAX(0,Inputs!$B$43-((R1145-1)*Skills!E19))))/Inputs!$B$43),IF(Inputs!$B$38="pvp",MIN((Skills!T19*(1+(((Inputs!$B$34+1)+(ArtifactsInput!$M$7-ArtifactsInput!$M$7)*CHOOSE(ArtifactsInput!$N$7+1,6,7.2,8.4,9.6,10.8,12))+IF(Inputs!$B$3&gt;=117,F1151,0))/100)),15)/15,(Skills!T19*(1+(((Inputs!$B$34+1)+(ArtifactsInput!$M$7-ArtifactsInput!$M$7)*CHOOSE(ArtifactsInput!$N$7+1,6,7.2,8.4,9.6,10.8,12))+IF(Inputs!$B$3&gt;=117,F1151,0))/100))/Skills!E19))/100),1)</f>
        <v/>
      </c>
    </row>
    <row r="1159">
      <c r="A1159" t="inlineStr">
        <is>
          <t>Attack Speed Buff Bonus % (Nimble Feet, averaged)</t>
        </is>
      </c>
      <c r="B1159">
        <f>F1144*IF(AND(Inputs!$B$38&lt;&gt;"pvp",Inputs!$B$43&gt;0),(((R1144-1)*(Skills!T18*(1+(((Inputs!$B$34+1)+(ArtifactsInput!$M$7-ArtifactsInput!$M$7)*CHOOSE(ArtifactsInput!$N$7+1,6,7.2,8.4,9.6,10.8,12))+IF(Inputs!$B$3&gt;=117,F1151,0))/100))+MIN((Skills!T18*(1+(((Inputs!$B$34+1)+(ArtifactsInput!$M$7-ArtifactsInput!$M$7)*CHOOSE(ArtifactsInput!$N$7+1,6,7.2,8.4,9.6,10.8,12))+IF(Inputs!$B$3&gt;=117,F1151,0))/100)),MAX(0,Inputs!$B$43-((R1144-1)*Skills!E18))))/Inputs!$B$43),IF(Inputs!$B$38="pvp",MIN((Skills!T18*(1+(((Inputs!$B$34+1)+(ArtifactsInput!$M$7-ArtifactsInput!$M$7)*CHOOSE(ArtifactsInput!$N$7+1,6,7.2,8.4,9.6,10.8,12))+IF(Inputs!$B$3&gt;=117,F1151,0))/100)),15)/15,(Skills!T18*(1+(((Inputs!$B$34+1)+(ArtifactsInput!$M$7-ArtifactsInput!$M$7)*CHOOSE(ArtifactsInput!$N$7+1,6,7.2,8.4,9.6,10.8,12))+IF(Inputs!$B$3&gt;=117,F1151,0))/100))/Skills!E18))</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IFERROR(1/(IF(Inputs!$B$38="pvp",15,MAX(0.1,Skills!E2-IF(Skills!F2=TRUE,Inputs!$B$32,0)))*(1-IF(AND(ArtifactsInput!$M$27,Inputs!$B$4="Chapter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IFERROR(1/(IF(Inputs!$B$38="pvp",15,MAX(0.1,Skills!E3-IF(Skills!F3=TRUE,Inputs!$B$32,0)))*(1-IF(AND(ArtifactsInput!$M$27,Inputs!$B$4="Chapter Hunt"),CHOOSE(ArtifactsInput!$N$27+1,20,24,28,32,36,40),0)/100)),0)</f>
        <v/>
      </c>
      <c r="R1173">
        <f>IF(AND(Inputs!$B$38&lt;&gt;"pvp",Inputs!$B$43&gt;0),IF(MAX(0,Inputs!$B$43-B1208)&lt;=0,0,(INT(MAX(0,Inputs!$B$43-B1208)/(IF(Inputs!$B$38="pvp",15,MAX(0.1,Skills!E3-IF(Skills!F3=TRUE,Inputs!$B$32,0)))*(1-IF(AND(ArtifactsInput!$M$27,Inputs!$B$4="Chapter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IFERROR(1/(IF(Inputs!$B$38="pvp",15,MAX(0.1,Skills!E4-IF(Skills!F4=TRUE,Inputs!$B$32,0)))*(1-IF(AND(ArtifactsInput!$M$27,Inputs!$B$4="Chapter Hunt"),CHOOSE(ArtifactsInput!$N$27+1,20,24,28,32,36,40),0)/100)),0)</f>
        <v/>
      </c>
      <c r="R1174">
        <f>IF(AND(Inputs!$B$38&lt;&gt;"pvp",Inputs!$B$43&gt;0),IF(MAX(0,Inputs!$B$43-B1208)&lt;=0,0,(INT(MAX(0,Inputs!$B$43-B1208)/(IF(Inputs!$B$38="pvp",15,MAX(0.1,Skills!E4-IF(Skills!F4=TRUE,Inputs!$B$32,0)))*(1-IF(AND(ArtifactsInput!$M$27,Inputs!$B$4="Chapter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IFERROR(1/(IF(Inputs!$B$38="pvp",15,MAX(0.1,Skills!E5-IF(Skills!F5=TRUE,Inputs!$B$32,0)))*(1-IF(AND(ArtifactsInput!$M$27,Inputs!$B$4="Chapter Hunt"),CHOOSE(ArtifactsInput!$N$27+1,20,24,28,32,36,40),0)/100)),0)</f>
        <v/>
      </c>
      <c r="R1175">
        <f>IF(AND(Inputs!$B$38&lt;&gt;"pvp",Inputs!$B$43&gt;0),IF(MAX(0,Inputs!$B$43-B1208)&lt;=0,0,(INT(MAX(0,Inputs!$B$43-B1208)/(IF(Inputs!$B$38="pvp",15,MAX(0.1,Skills!E5-IF(Skills!F5=TRUE,Inputs!$B$32,0)))*(1-IF(AND(ArtifactsInput!$M$27,Inputs!$B$4="Chapter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IFERROR(1/(IF(Inputs!$B$38="pvp",15,MAX(0.1,Skills!E6-IF(Skills!F6=TRUE,Inputs!$B$32,0)))*(1-IF(AND(ArtifactsInput!$M$27,Inputs!$B$4="Chapter Hunt"),CHOOSE(ArtifactsInput!$N$27+1,20,24,28,32,36,40),0)/100)),0)</f>
        <v/>
      </c>
      <c r="R1176">
        <f>IF(AND(Inputs!$B$38&lt;&gt;"pvp",Inputs!$B$43&gt;0),IF(Inputs!$B$43&lt;=0,0,(INT(Inputs!$B$43/(IF(Inputs!$B$38="pvp",15,MAX(0.1,Skills!E6-IF(Skills!F6=TRUE,Inputs!$B$32,0)))*(1-IF(AND(ArtifactsInput!$M$27,Inputs!$B$4="Chapter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IFERROR(1/(IF(Inputs!$B$38="pvp",15,MAX(0.1,Skills!E7-IF(Skills!F7=TRUE,Inputs!$B$32,0)))*(1-IF(AND(ArtifactsInput!$M$27,Inputs!$B$4="Chapter Hunt"),CHOOSE(ArtifactsInput!$N$27+1,20,24,28,32,36,40),0)/100)),0)</f>
        <v/>
      </c>
      <c r="R1177">
        <f>IF(AND(Inputs!$B$38&lt;&gt;"pvp",Inputs!$B$43&gt;0),IF(MAX(0,Inputs!$B$43-B1208)&lt;=0,0,(INT(MAX(0,Inputs!$B$43-B1208)/(IF(Inputs!$B$38="pvp",15,MAX(0.1,Skills!E7-IF(Skills!F7=TRUE,Inputs!$B$32,0)))*(1-IF(AND(ArtifactsInput!$M$27,Inputs!$B$4="Chapter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IFERROR(1/(IF(Inputs!$B$38="pvp",15,MAX(0.1,Skills!E8-IF(Skills!F8=TRUE,Inputs!$B$32,0)))*(1-IF(AND(ArtifactsInput!$M$27,Inputs!$B$4="Chapter Hunt"),CHOOSE(ArtifactsInput!$N$27+1,20,24,28,32,36,40),0)/100)),0)</f>
        <v/>
      </c>
      <c r="R1178">
        <f>IF(AND(Inputs!$B$38&lt;&gt;"pvp",Inputs!$B$43&gt;0),IF(MAX(0,Inputs!$B$43-B1208)&lt;=0,0,(INT(MAX(0,Inputs!$B$43-B1208)/(IF(Inputs!$B$38="pvp",15,MAX(0.1,Skills!E8-IF(Skills!F8=TRUE,Inputs!$B$32,0)))*(1-IF(AND(ArtifactsInput!$M$27,Inputs!$B$4="Chapter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IFERROR(1/(IF(Inputs!$B$38="pvp",15,MAX(0.1,Skills!E9-IF(Skills!F7=TRUE,Inputs!$B$32,0)))*(1-IF(AND(ArtifactsInput!$M$27,Inputs!$B$4="Chapter Hunt"),CHOOSE(ArtifactsInput!$N$27+1,20,24,28,32,36,40),0)/100)),0)</f>
        <v/>
      </c>
      <c r="R1179">
        <f>IF(AND(Inputs!$B$38&lt;&gt;"pvp",Inputs!$B$43&gt;0),IF(MAX(0,Inputs!$B$43-B1208)&lt;=0,0,(INT(MAX(0,Inputs!$B$43-B1208)/(IF(Inputs!$B$38="pvp",15,MAX(0.1,Skills!E9-IF(Skills!F7=TRUE,Inputs!$B$32,0)))*(1-IF(AND(ArtifactsInput!$M$27,Inputs!$B$4="Chapter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IFERROR(1/(IF(Inputs!$B$38="pvp",15,MAX(0.1,Skills!E10-IF(Skills!F10=TRUE,Inputs!$B$32,0)))*(1-IF(AND(ArtifactsInput!$M$27,Inputs!$B$4="Chapter Hunt"),CHOOSE(ArtifactsInput!$N$27+1,20,24,28,32,36,40),0)/100)),0)</f>
        <v/>
      </c>
      <c r="R1180">
        <f>IF(AND(Inputs!$B$38&lt;&gt;"pvp",Inputs!$B$43&gt;0),IF(MAX(0,Inputs!$B$43-B1208)&lt;=0,0,(INT(MAX(0,Inputs!$B$43-B1208)/(IF(Inputs!$B$38="pvp",15,MAX(0.1,Skills!E10-IF(Skills!F10=TRUE,Inputs!$B$32,0)))*(1-IF(AND(ArtifactsInput!$M$27,Inputs!$B$4="Chapter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IFERROR(1/(IF(Inputs!$B$38="pvp",15,MAX(0.1,Skills!E11-IF(Skills!F11=TRUE,Inputs!$B$32,0)))*(1-IF(AND(ArtifactsInput!$M$27,Inputs!$B$4="Chapter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IFERROR(1/(IF(Inputs!$B$38="pvp",15,MAX(0.1,Skills!E12-IF(Skills!F12=TRUE,Inputs!$B$32,0)))*(1-IF(AND(ArtifactsInput!$M$27,Inputs!$B$4="Chapter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IFERROR(1/(IF(Inputs!$B$38="pvp",15,MAX(0.1,Skills!E13-IF(Skills!F13=TRUE,Inputs!$B$32,0)))*(1-IF(AND(ArtifactsInput!$M$27,Inputs!$B$4="Chapter Hunt"),CHOOSE(ArtifactsInput!$N$27+1,20,24,28,32,36,40),0)/100)),0)</f>
        <v/>
      </c>
      <c r="R1183">
        <f>IF(AND(Inputs!$B$38&lt;&gt;"pvp",Inputs!$B$43&gt;0),IF(MAX(0,Inputs!$B$43-B1208)&lt;=0,0,(INT(MAX(0,Inputs!$B$43-B1208)/(IF(Inputs!$B$38="pvp",15,MAX(0.1,Skills!E13-IF(Skills!F13=TRUE,Inputs!$B$32,0)))*(1-IF(AND(ArtifactsInput!$M$27,Inputs!$B$4="Chapter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IFERROR(1/(IF(Inputs!$B$38="pvp",15,MAX(0.1,Skills!E14-IF(Skills!F14=TRUE,Inputs!$B$32,0)))*(1-IF(AND(ArtifactsInput!$M$27,Inputs!$B$4="Chapter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IFERROR(1/(IF(Inputs!$B$38="pvp",15,MAX(0.1,Skills!E15-IF(Skills!F15=TRUE,Inputs!$B$32,0)))*(1-IF(AND(ArtifactsInput!$M$27,Inputs!$B$4="Chapter Hunt"),CHOOSE(ArtifactsInput!$N$27+1,20,24,28,32,36,40),0)/100)),0)</f>
        <v/>
      </c>
      <c r="R1185">
        <f>IF(AND(Inputs!$B$38&lt;&gt;"pvp",Inputs!$B$43&gt;0),IF(MAX(0,Inputs!$B$43-B1208)&lt;=0,0,(INT(MAX(0,Inputs!$B$43-B1208)/(IF(Inputs!$B$38="pvp",15,MAX(0.1,Skills!E15-IF(Skills!F15=TRUE,Inputs!$B$32,0)))*(1-IF(AND(ArtifactsInput!$M$27,Inputs!$B$4="Chapter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IFERROR(1/(IF(Inputs!$B$38="pvp",15,MAX(0.1,Skills!E16-IF(Skills!F16=TRUE,Inputs!$B$32,0)))*(1-IF(AND(ArtifactsInput!$M$27,Inputs!$B$4="Chapter Hunt"),CHOOSE(ArtifactsInput!$N$27+1,20,24,28,32,36,40),0)/100)),0)</f>
        <v/>
      </c>
      <c r="R1186">
        <f>IF(AND(Inputs!$B$38&lt;&gt;"pvp",Inputs!$B$43&gt;0),IF(MAX(0,Inputs!$B$43-B1208)&lt;=0,0,(INT(MAX(0,Inputs!$B$43-B1208)/(IF(Inputs!$B$38="pvp",15,MAX(0.1,Skills!E16-IF(Skills!F16=TRUE,Inputs!$B$32,0)))*(1-IF(AND(ArtifactsInput!$M$27,Inputs!$B$4="Chapter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IFERROR(1/(IF(Inputs!$B$38="pvp",15,MAX(0.1,Skills!E17-IF(Skills!F17=TRUE,Inputs!$B$32,0)))*(1-IF(AND(ArtifactsInput!$M$27,Inputs!$B$4="Chapter Hunt"),CHOOSE(ArtifactsInput!$N$27+1,20,24,28,32,36,40),0)/100)),0)</f>
        <v/>
      </c>
      <c r="R1187">
        <f>IF(AND(Inputs!$B$38&lt;&gt;"pvp",Inputs!$B$43&gt;0),IF(Inputs!$B$43&lt;=0,0,(INT(Inputs!$B$43/(IF(Inputs!$B$38="pvp",15,MAX(0.1,Skills!E17-IF(Skills!F17=TRUE,Inputs!$B$32,0)))*(1-IF(AND(ArtifactsInput!$M$27,Inputs!$B$4="Chapter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IFERROR(1/(IF(Inputs!$B$38="pvp",15,MAX(0.1,Skills!E18-IF(Skills!F18=TRUE,Inputs!$B$32,0)))*(1-IF(AND(ArtifactsInput!$M$27,Inputs!$B$4="Chapter Hunt"),CHOOSE(ArtifactsInput!$N$27+1,20,24,28,32,36,40),0)/100)),0)</f>
        <v/>
      </c>
      <c r="R1188">
        <f>IF(AND(Inputs!$B$38&lt;&gt;"pvp",Inputs!$B$43&gt;0),IF(Inputs!$B$43&lt;=0,0,(INT(Inputs!$B$43/(IF(Inputs!$B$38="pvp",15,MAX(0.1,Skills!E18-IF(Skills!F18=TRUE,Inputs!$B$32,0)))*(1-IF(AND(ArtifactsInput!$M$27,Inputs!$B$4="Chapter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IFERROR(1/(IF(Inputs!$B$38="pvp",15,MAX(0.1,Skills!E19-IF(Skills!F19=TRUE,Inputs!$B$32,0)))*(1-IF(AND(ArtifactsInput!$M$27,Inputs!$B$4="Chapter Hunt"),CHOOSE(ArtifactsInput!$N$27+1,20,24,28,32,36,40),0)/100)),0)</f>
        <v/>
      </c>
      <c r="R1189">
        <f>IF(AND(Inputs!$B$38&lt;&gt;"pvp",Inputs!$B$43&gt;0),IF(Inputs!$B$43&lt;=0,0,(INT(Inputs!$B$43/(IF(Inputs!$B$38="pvp",15,MAX(0.1,Skills!E19-IF(Skills!F19=TRUE,Inputs!$B$32,0)))*(1-IF(AND(ArtifactsInput!$M$27,Inputs!$B$4="Chapter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IFERROR(1/(IF(Inputs!$B$38="pvp",15,MAX(0.1,Skills!E20-IF(Skills!F20=TRUE,Inputs!$B$32,0)))*(1-IF(AND(ArtifactsInput!$M$27,Inputs!$B$4="Chapter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IFERROR(1/(IF(Inputs!$B$38="pvp",15,MAX(0.1,Skills!E21-IF(Skills!F21=TRUE,Inputs!$B$32,0)))*(1-IF(AND(ArtifactsInput!$M$27,Inputs!$B$4="Chapter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IFERROR(1/(IF(Inputs!$B$38="pvp",15,MAX(0.1,Skills!E22-IF(Skills!F22=TRUE,Inputs!$B$32,0)))*(1-IF(AND(ArtifactsInput!$M$27,Inputs!$B$4="Chapter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IFERROR(1/(IF(Inputs!$B$38="pvp",15,MAX(0.1,Skills!E23-IF(Skills!F23=TRUE,Inputs!$B$32,0)))*(1-IF(AND(ArtifactsInput!$M$27,Inputs!$B$4="Chapter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IFERROR(1/(IF(Inputs!$B$38="pvp",15,MAX(0.1,Skills!E24-IF(Skills!F24=TRUE,Inputs!$B$32,0)))*(1-IF(AND(ArtifactsInput!$M$27,Inputs!$B$4="Chapter Hunt"),CHOOSE(ArtifactsInput!$N$27+1,20,24,28,32,36,40),0)/100)),0)</f>
        <v/>
      </c>
      <c r="R1194">
        <f>IF(AND(Inputs!$B$38&lt;&gt;"pvp",Inputs!$B$43&gt;0),IF(MAX(0,Inputs!$B$43-B1208)&lt;=0,0,(INT(MAX(0,Inputs!$B$43-B1208)/(IF(Inputs!$B$38="pvp",15,MAX(0.1,Skills!E24-IF(Skills!F24=TRUE,Inputs!$B$32,0)))*(1-IF(AND(ArtifactsInput!$M$27,Inputs!$B$4="Chapter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IFERROR(1/(IF(Inputs!$B$38="pvp",15,MAX(0.1,Skills!E25-IF(Skills!F25=TRUE,Inputs!$B$32,0)))*(1-IF(AND(ArtifactsInput!$M$27,Inputs!$B$4="Chapter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IFERROR(1/(IF(Inputs!$B$38="pvp",15,MAX(0.1,Skills!E26-IF(Skills!F26=TRUE,Inputs!$B$32,0)))*(1-IF(AND(ArtifactsInput!$M$27,Inputs!$B$4="Chapter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IFERROR(1/(IF(Inputs!$B$38="pvp",15,MAX(0.1,Skills!E27-IF(Skills!F27=TRUE,Inputs!$B$32,0)))*(1-IF(AND(ArtifactsInput!$M$27,Inputs!$B$4="Chapter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IFERROR(1/(IF(Inputs!$B$38="pvp",15,MAX(0.1,Skills!E28-IF(Skills!F28=TRUE,Inputs!$B$32,0)))*(1-IF(AND(ArtifactsInput!$M$27,Inputs!$B$4="Chapter Hunt"),CHOOSE(ArtifactsInput!$N$27+1,20,24,28,32,36,40),0)/100)),0)</f>
        <v/>
      </c>
      <c r="R1198">
        <f>IF(AND(Inputs!$B$38&lt;&gt;"pvp",Inputs!$B$43&gt;0),IF(MAX(0,Inputs!$B$43-B1208)&lt;=0,0,(INT(MAX(0,Inputs!$B$43-B1208)/(IF(Inputs!$B$38="pvp",15,MAX(0.1,Skills!E28-IF(Skills!F28=TRUE,Inputs!$B$32,0)))*(1-IF(AND(ArtifactsInput!$M$27,Inputs!$B$4="Chapter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Skills!T6*(1+((Inputs!$B$34+(ArtifactsInput!$M$7-ArtifactsInput!$M$7)*CHOOSE(ArtifactsInput!$N$7+1,6,7.2,8.4,9.6,10.8,12))+IF(Inputs!$B$3&gt;=117,F1195,0))/100))+MIN((Skills!T6*(1+((Inputs!$B$34+(ArtifactsInput!$M$7-ArtifactsInput!$M$7)*CHOOSE(ArtifactsInput!$N$7+1,6,7.2,8.4,9.6,10.8,12))+IF(Inputs!$B$3&gt;=117,F1195,0))/100)),MAX(0,Inputs!$B$43-((R1176-1)*Skills!E6))))/Inputs!$B$43),IF(Inputs!$B$38="pvp",MIN((Skills!T6*(1+((Inputs!$B$34+(ArtifactsInput!$M$7-ArtifactsInput!$M$7)*CHOOSE(ArtifactsInput!$N$7+1,6,7.2,8.4,9.6,10.8,12))+IF(Inputs!$B$3&gt;=117,F1195,0))/100)),15)/15,(Skills!T6*(1+((Inputs!$B$34+(ArtifactsInput!$M$7-ArtifactsInput!$M$7)*CHOOSE(ArtifactsInput!$N$7+1,6,7.2,8.4,9.6,10.8,12))+IF(Inputs!$B$3&gt;=117,F1195,0))/100))/Skills!E6))+F1187*IF(AND(Inputs!$B$38&lt;&gt;"pvp",Inputs!$B$43&gt;0),(((R1187-1)*(Skills!T17*(1+((Inputs!$B$34+(ArtifactsInput!$M$7-ArtifactsInput!$M$7)*CHOOSE(ArtifactsInput!$N$7+1,6,7.2,8.4,9.6,10.8,12))+IF(Inputs!$B$3&gt;=117,F1195,0))/100))+MIN((Skills!T17*(1+((Inputs!$B$34+(ArtifactsInput!$M$7-ArtifactsInput!$M$7)*CHOOSE(ArtifactsInput!$N$7+1,6,7.2,8.4,9.6,10.8,12))+IF(Inputs!$B$3&gt;=117,F1195,0))/100)),MAX(0,Inputs!$B$43-((R1187-1)*Skills!E17))))/Inputs!$B$43),IF(Inputs!$B$38="pvp",MIN((Skills!T17*(1+((Inputs!$B$34+(ArtifactsInput!$M$7-ArtifactsInput!$M$7)*CHOOSE(ArtifactsInput!$N$7+1,6,7.2,8.4,9.6,10.8,12))+IF(Inputs!$B$3&gt;=117,F1195,0))/100)),15)/15,(Skills!T17*(1+((Inputs!$B$34+(ArtifactsInput!$M$7-ArtifactsInput!$M$7)*CHOOSE(ArtifactsInput!$N$7+1,6,7.2,8.4,9.6,10.8,12))+IF(Inputs!$B$3&gt;=117,F1195,0)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Skills!T19*(1+((Inputs!$B$34+(ArtifactsInput!$M$7-ArtifactsInput!$M$7)*CHOOSE(ArtifactsInput!$N$7+1,6,7.2,8.4,9.6,10.8,12))+IF(Inputs!$B$3&gt;=117,F1195,0))/100))+MIN((Skills!T19*(1+((Inputs!$B$34+(ArtifactsInput!$M$7-ArtifactsInput!$M$7)*CHOOSE(ArtifactsInput!$N$7+1,6,7.2,8.4,9.6,10.8,12))+IF(Inputs!$B$3&gt;=117,F1195,0))/100)),MAX(0,Inputs!$B$43-((R1189-1)*Skills!E19))))/Inputs!$B$43),IF(Inputs!$B$38="pvp",MIN((Skills!T19*(1+((Inputs!$B$34+(ArtifactsInput!$M$7-ArtifactsInput!$M$7)*CHOOSE(ArtifactsInput!$N$7+1,6,7.2,8.4,9.6,10.8,12))+IF(Inputs!$B$3&gt;=117,F1195,0))/100)),15)/15,(Skills!T19*(1+((Inputs!$B$34+(ArtifactsInput!$M$7-ArtifactsInput!$M$7)*CHOOSE(ArtifactsInput!$N$7+1,6,7.2,8.4,9.6,10.8,12))+IF(Inputs!$B$3&gt;=117,F1195,0))/100))/Skills!E19))/100),1)</f>
        <v/>
      </c>
    </row>
    <row r="1203">
      <c r="A1203" t="inlineStr">
        <is>
          <t>Attack Speed Buff Bonus % (Nimble Feet, averaged)</t>
        </is>
      </c>
      <c r="B1203">
        <f>F1188*IF(AND(Inputs!$B$38&lt;&gt;"pvp",Inputs!$B$43&gt;0),(((R1188-1)*(Skills!T18*(1+((Inputs!$B$34+(ArtifactsInput!$M$7-ArtifactsInput!$M$7)*CHOOSE(ArtifactsInput!$N$7+1,6,7.2,8.4,9.6,10.8,12))+IF(Inputs!$B$3&gt;=117,F1195,0))/100))+MIN((Skills!T18*(1+((Inputs!$B$34+(ArtifactsInput!$M$7-ArtifactsInput!$M$7)*CHOOSE(ArtifactsInput!$N$7+1,6,7.2,8.4,9.6,10.8,12))+IF(Inputs!$B$3&gt;=117,F1195,0))/100)),MAX(0,Inputs!$B$43-((R1188-1)*Skills!E18))))/Inputs!$B$43),IF(Inputs!$B$38="pvp",MIN((Skills!T18*(1+((Inputs!$B$34+(ArtifactsInput!$M$7-ArtifactsInput!$M$7)*CHOOSE(ArtifactsInput!$N$7+1,6,7.2,8.4,9.6,10.8,12))+IF(Inputs!$B$3&gt;=117,F1195,0))/100)),15)/15,(Skills!T18*(1+((Inputs!$B$34+(ArtifactsInput!$M$7-ArtifactsInput!$M$7)*CHOOSE(ArtifactsInput!$N$7+1,6,7.2,8.4,9.6,10.8,12))+IF(Inputs!$B$3&gt;=117,F1195,0))/100))/Skills!E18)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IFERROR(1/(IF(Inputs!$B$38="pvp",15,MAX(0.1,Skills!E2-IF(Skills!F2=TRUE,Inputs!$B$32,0)))*(1-IF(AND(ArtifactsInput!$M$27,Inputs!$B$4="Chapter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IFERROR(1/(IF(Inputs!$B$38="pvp",15,MAX(0.1,Skills!E3-IF(Skills!F3=TRUE,Inputs!$B$32,0)))*(1-IF(AND(ArtifactsInput!$M$27,Inputs!$B$4="Chapter Hunt"),CHOOSE(ArtifactsInput!$N$27+1,20,24,28,32,36,40),0)/100)),0)</f>
        <v/>
      </c>
      <c r="R1217">
        <f>IF(AND(Inputs!$B$38&lt;&gt;"pvp",Inputs!$B$43&gt;0),IF(MAX(0,Inputs!$B$43-B1252)&lt;=0,0,(INT(MAX(0,Inputs!$B$43-B1252)/(IF(Inputs!$B$38="pvp",15,MAX(0.1,Skills!E3-IF(Skills!F3=TRUE,Inputs!$B$32,0)))*(1-IF(AND(ArtifactsInput!$M$27,Inputs!$B$4="Chapter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IFERROR(1/(IF(Inputs!$B$38="pvp",15,MAX(0.1,Skills!E4-IF(Skills!F4=TRUE,Inputs!$B$32,0)))*(1-IF(AND(ArtifactsInput!$M$27,Inputs!$B$4="Chapter Hunt"),CHOOSE(ArtifactsInput!$N$27+1,20,24,28,32,36,40),0)/100)),0)</f>
        <v/>
      </c>
      <c r="R1218">
        <f>IF(AND(Inputs!$B$38&lt;&gt;"pvp",Inputs!$B$43&gt;0),IF(MAX(0,Inputs!$B$43-B1252)&lt;=0,0,(INT(MAX(0,Inputs!$B$43-B1252)/(IF(Inputs!$B$38="pvp",15,MAX(0.1,Skills!E4-IF(Skills!F4=TRUE,Inputs!$B$32,0)))*(1-IF(AND(ArtifactsInput!$M$27,Inputs!$B$4="Chapter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IFERROR(1/(IF(Inputs!$B$38="pvp",15,MAX(0.1,Skills!E5-IF(Skills!F5=TRUE,Inputs!$B$32,0)))*(1-IF(AND(ArtifactsInput!$M$27,Inputs!$B$4="Chapter Hunt"),CHOOSE(ArtifactsInput!$N$27+1,20,24,28,32,36,40),0)/100)),0)</f>
        <v/>
      </c>
      <c r="R1219">
        <f>IF(AND(Inputs!$B$38&lt;&gt;"pvp",Inputs!$B$43&gt;0),IF(MAX(0,Inputs!$B$43-B1252)&lt;=0,0,(INT(MAX(0,Inputs!$B$43-B1252)/(IF(Inputs!$B$38="pvp",15,MAX(0.1,Skills!E5-IF(Skills!F5=TRUE,Inputs!$B$32,0)))*(1-IF(AND(ArtifactsInput!$M$27,Inputs!$B$4="Chapter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IFERROR(1/(IF(Inputs!$B$38="pvp",15,MAX(0.1,Skills!E6-IF(Skills!F6=TRUE,Inputs!$B$32,0)))*(1-IF(AND(ArtifactsInput!$M$27,Inputs!$B$4="Chapter Hunt"),CHOOSE(ArtifactsInput!$N$27+1,20,24,28,32,36,40),0)/100)),0)</f>
        <v/>
      </c>
      <c r="R1220">
        <f>IF(AND(Inputs!$B$38&lt;&gt;"pvp",Inputs!$B$43&gt;0),IF(Inputs!$B$43&lt;=0,0,(INT(Inputs!$B$43/(IF(Inputs!$B$38="pvp",15,MAX(0.1,Skills!E6-IF(Skills!F6=TRUE,Inputs!$B$32,0)))*(1-IF(AND(ArtifactsInput!$M$27,Inputs!$B$4="Chapter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IFERROR(1/(IF(Inputs!$B$38="pvp",15,MAX(0.1,Skills!E7-IF(Skills!F7=TRUE,Inputs!$B$32,0)))*(1-IF(AND(ArtifactsInput!$M$27,Inputs!$B$4="Chapter Hunt"),CHOOSE(ArtifactsInput!$N$27+1,20,24,28,32,36,40),0)/100)),0)</f>
        <v/>
      </c>
      <c r="R1221">
        <f>IF(AND(Inputs!$B$38&lt;&gt;"pvp",Inputs!$B$43&gt;0),IF(MAX(0,Inputs!$B$43-B1252)&lt;=0,0,(INT(MAX(0,Inputs!$B$43-B1252)/(IF(Inputs!$B$38="pvp",15,MAX(0.1,Skills!E7-IF(Skills!F7=TRUE,Inputs!$B$32,0)))*(1-IF(AND(ArtifactsInput!$M$27,Inputs!$B$4="Chapter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IFERROR(1/(IF(Inputs!$B$38="pvp",15,MAX(0.1,Skills!E8-IF(Skills!F8=TRUE,Inputs!$B$32,0)))*(1-IF(AND(ArtifactsInput!$M$27,Inputs!$B$4="Chapter Hunt"),CHOOSE(ArtifactsInput!$N$27+1,20,24,28,32,36,40),0)/100)),0)</f>
        <v/>
      </c>
      <c r="R1222">
        <f>IF(AND(Inputs!$B$38&lt;&gt;"pvp",Inputs!$B$43&gt;0),IF(MAX(0,Inputs!$B$43-B1252)&lt;=0,0,(INT(MAX(0,Inputs!$B$43-B1252)/(IF(Inputs!$B$38="pvp",15,MAX(0.1,Skills!E8-IF(Skills!F8=TRUE,Inputs!$B$32,0)))*(1-IF(AND(ArtifactsInput!$M$27,Inputs!$B$4="Chapter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IFERROR(1/(IF(Inputs!$B$38="pvp",15,MAX(0.1,Skills!E9-IF(Skills!F7=TRUE,Inputs!$B$32,0)))*(1-IF(AND(ArtifactsInput!$M$27,Inputs!$B$4="Chapter Hunt"),CHOOSE(ArtifactsInput!$N$27+1,20,24,28,32,36,40),0)/100)),0)</f>
        <v/>
      </c>
      <c r="R1223">
        <f>IF(AND(Inputs!$B$38&lt;&gt;"pvp",Inputs!$B$43&gt;0),IF(MAX(0,Inputs!$B$43-B1252)&lt;=0,0,(INT(MAX(0,Inputs!$B$43-B1252)/(IF(Inputs!$B$38="pvp",15,MAX(0.1,Skills!E9-IF(Skills!F7=TRUE,Inputs!$B$32,0)))*(1-IF(AND(ArtifactsInput!$M$27,Inputs!$B$4="Chapter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IFERROR(1/(IF(Inputs!$B$38="pvp",15,MAX(0.1,Skills!E10-IF(Skills!F10=TRUE,Inputs!$B$32,0)))*(1-IF(AND(ArtifactsInput!$M$27,Inputs!$B$4="Chapter Hunt"),CHOOSE(ArtifactsInput!$N$27+1,20,24,28,32,36,40),0)/100)),0)</f>
        <v/>
      </c>
      <c r="R1224">
        <f>IF(AND(Inputs!$B$38&lt;&gt;"pvp",Inputs!$B$43&gt;0),IF(MAX(0,Inputs!$B$43-B1252)&lt;=0,0,(INT(MAX(0,Inputs!$B$43-B1252)/(IF(Inputs!$B$38="pvp",15,MAX(0.1,Skills!E10-IF(Skills!F10=TRUE,Inputs!$B$32,0)))*(1-IF(AND(ArtifactsInput!$M$27,Inputs!$B$4="Chapter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IFERROR(1/(IF(Inputs!$B$38="pvp",15,MAX(0.1,Skills!E11-IF(Skills!F11=TRUE,Inputs!$B$32,0)))*(1-IF(AND(ArtifactsInput!$M$27,Inputs!$B$4="Chapter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IFERROR(1/(IF(Inputs!$B$38="pvp",15,MAX(0.1,Skills!E12-IF(Skills!F12=TRUE,Inputs!$B$32,0)))*(1-IF(AND(ArtifactsInput!$M$27,Inputs!$B$4="Chapter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IFERROR(1/(IF(Inputs!$B$38="pvp",15,MAX(0.1,Skills!E13-IF(Skills!F13=TRUE,Inputs!$B$32,0)))*(1-IF(AND(ArtifactsInput!$M$27,Inputs!$B$4="Chapter Hunt"),CHOOSE(ArtifactsInput!$N$27+1,20,24,28,32,36,40),0)/100)),0)</f>
        <v/>
      </c>
      <c r="R1227">
        <f>IF(AND(Inputs!$B$38&lt;&gt;"pvp",Inputs!$B$43&gt;0),IF(MAX(0,Inputs!$B$43-B1252)&lt;=0,0,(INT(MAX(0,Inputs!$B$43-B1252)/(IF(Inputs!$B$38="pvp",15,MAX(0.1,Skills!E13-IF(Skills!F13=TRUE,Inputs!$B$32,0)))*(1-IF(AND(ArtifactsInput!$M$27,Inputs!$B$4="Chapter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IFERROR(1/(IF(Inputs!$B$38="pvp",15,MAX(0.1,Skills!E14-IF(Skills!F14=TRUE,Inputs!$B$32,0)))*(1-IF(AND(ArtifactsInput!$M$27,Inputs!$B$4="Chapter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IFERROR(1/(IF(Inputs!$B$38="pvp",15,MAX(0.1,Skills!E15-IF(Skills!F15=TRUE,Inputs!$B$32,0)))*(1-IF(AND(ArtifactsInput!$M$27,Inputs!$B$4="Chapter Hunt"),CHOOSE(ArtifactsInput!$N$27+1,20,24,28,32,36,40),0)/100)),0)</f>
        <v/>
      </c>
      <c r="R1229">
        <f>IF(AND(Inputs!$B$38&lt;&gt;"pvp",Inputs!$B$43&gt;0),IF(MAX(0,Inputs!$B$43-B1252)&lt;=0,0,(INT(MAX(0,Inputs!$B$43-B1252)/(IF(Inputs!$B$38="pvp",15,MAX(0.1,Skills!E15-IF(Skills!F15=TRUE,Inputs!$B$32,0)))*(1-IF(AND(ArtifactsInput!$M$27,Inputs!$B$4="Chapter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IFERROR(1/(IF(Inputs!$B$38="pvp",15,MAX(0.1,Skills!E16-IF(Skills!F16=TRUE,Inputs!$B$32,0)))*(1-IF(AND(ArtifactsInput!$M$27,Inputs!$B$4="Chapter Hunt"),CHOOSE(ArtifactsInput!$N$27+1,20,24,28,32,36,40),0)/100)),0)</f>
        <v/>
      </c>
      <c r="R1230">
        <f>IF(AND(Inputs!$B$38&lt;&gt;"pvp",Inputs!$B$43&gt;0),IF(MAX(0,Inputs!$B$43-B1252)&lt;=0,0,(INT(MAX(0,Inputs!$B$43-B1252)/(IF(Inputs!$B$38="pvp",15,MAX(0.1,Skills!E16-IF(Skills!F16=TRUE,Inputs!$B$32,0)))*(1-IF(AND(ArtifactsInput!$M$27,Inputs!$B$4="Chapter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IFERROR(1/(IF(Inputs!$B$38="pvp",15,MAX(0.1,Skills!E17-IF(Skills!F17=TRUE,Inputs!$B$32,0)))*(1-IF(AND(ArtifactsInput!$M$27,Inputs!$B$4="Chapter Hunt"),CHOOSE(ArtifactsInput!$N$27+1,20,24,28,32,36,40),0)/100)),0)</f>
        <v/>
      </c>
      <c r="R1231">
        <f>IF(AND(Inputs!$B$38&lt;&gt;"pvp",Inputs!$B$43&gt;0),IF(Inputs!$B$43&lt;=0,0,(INT(Inputs!$B$43/(IF(Inputs!$B$38="pvp",15,MAX(0.1,Skills!E17-IF(Skills!F17=TRUE,Inputs!$B$32,0)))*(1-IF(AND(ArtifactsInput!$M$27,Inputs!$B$4="Chapter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IFERROR(1/(IF(Inputs!$B$38="pvp",15,MAX(0.1,Skills!E18-IF(Skills!F18=TRUE,Inputs!$B$32,0)))*(1-IF(AND(ArtifactsInput!$M$27,Inputs!$B$4="Chapter Hunt"),CHOOSE(ArtifactsInput!$N$27+1,20,24,28,32,36,40),0)/100)),0)</f>
        <v/>
      </c>
      <c r="R1232">
        <f>IF(AND(Inputs!$B$38&lt;&gt;"pvp",Inputs!$B$43&gt;0),IF(Inputs!$B$43&lt;=0,0,(INT(Inputs!$B$43/(IF(Inputs!$B$38="pvp",15,MAX(0.1,Skills!E18-IF(Skills!F18=TRUE,Inputs!$B$32,0)))*(1-IF(AND(ArtifactsInput!$M$27,Inputs!$B$4="Chapter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IFERROR(1/(IF(Inputs!$B$38="pvp",15,MAX(0.1,Skills!E19-IF(Skills!F19=TRUE,Inputs!$B$32,0)))*(1-IF(AND(ArtifactsInput!$M$27,Inputs!$B$4="Chapter Hunt"),CHOOSE(ArtifactsInput!$N$27+1,20,24,28,32,36,40),0)/100)),0)</f>
        <v/>
      </c>
      <c r="R1233">
        <f>IF(AND(Inputs!$B$38&lt;&gt;"pvp",Inputs!$B$43&gt;0),IF(Inputs!$B$43&lt;=0,0,(INT(Inputs!$B$43/(IF(Inputs!$B$38="pvp",15,MAX(0.1,Skills!E19-IF(Skills!F19=TRUE,Inputs!$B$32,0)))*(1-IF(AND(ArtifactsInput!$M$27,Inputs!$B$4="Chapter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IFERROR(1/(IF(Inputs!$B$38="pvp",15,MAX(0.1,Skills!E20-IF(Skills!F20=TRUE,Inputs!$B$32,0)))*(1-IF(AND(ArtifactsInput!$M$27,Inputs!$B$4="Chapter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IFERROR(1/(IF(Inputs!$B$38="pvp",15,MAX(0.1,Skills!E21-IF(Skills!F21=TRUE,Inputs!$B$32,0)))*(1-IF(AND(ArtifactsInput!$M$27,Inputs!$B$4="Chapter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IFERROR(1/(IF(Inputs!$B$38="pvp",15,MAX(0.1,Skills!E22-IF(Skills!F22=TRUE,Inputs!$B$32,0)))*(1-IF(AND(ArtifactsInput!$M$27,Inputs!$B$4="Chapter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IFERROR(1/(IF(Inputs!$B$38="pvp",15,MAX(0.1,Skills!E23-IF(Skills!F23=TRUE,Inputs!$B$32,0)))*(1-IF(AND(ArtifactsInput!$M$27,Inputs!$B$4="Chapter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IFERROR(1/(IF(Inputs!$B$38="pvp",15,MAX(0.1,Skills!E24-IF(Skills!F24=TRUE,Inputs!$B$32,0)))*(1-IF(AND(ArtifactsInput!$M$27,Inputs!$B$4="Chapter Hunt"),CHOOSE(ArtifactsInput!$N$27+1,20,24,28,32,36,40),0)/100)),0)</f>
        <v/>
      </c>
      <c r="R1238">
        <f>IF(AND(Inputs!$B$38&lt;&gt;"pvp",Inputs!$B$43&gt;0),IF(MAX(0,Inputs!$B$43-B1252)&lt;=0,0,(INT(MAX(0,Inputs!$B$43-B1252)/(IF(Inputs!$B$38="pvp",15,MAX(0.1,Skills!E24-IF(Skills!F24=TRUE,Inputs!$B$32,0)))*(1-IF(AND(ArtifactsInput!$M$27,Inputs!$B$4="Chapter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IFERROR(1/(IF(Inputs!$B$38="pvp",15,MAX(0.1,Skills!E25-IF(Skills!F25=TRUE,Inputs!$B$32,0)))*(1-IF(AND(ArtifactsInput!$M$27,Inputs!$B$4="Chapter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IFERROR(1/(IF(Inputs!$B$38="pvp",15,MAX(0.1,Skills!E26-IF(Skills!F26=TRUE,Inputs!$B$32,0)))*(1-IF(AND(ArtifactsInput!$M$27,Inputs!$B$4="Chapter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IFERROR(1/(IF(Inputs!$B$38="pvp",15,MAX(0.1,Skills!E27-IF(Skills!F27=TRUE,Inputs!$B$32,0)))*(1-IF(AND(ArtifactsInput!$M$27,Inputs!$B$4="Chapter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IFERROR(1/(IF(Inputs!$B$38="pvp",15,MAX(0.1,Skills!E28-IF(Skills!F28=TRUE,Inputs!$B$32,0)))*(1-IF(AND(ArtifactsInput!$M$27,Inputs!$B$4="Chapter Hunt"),CHOOSE(ArtifactsInput!$N$27+1,20,24,28,32,36,40),0)/100)),0)</f>
        <v/>
      </c>
      <c r="R1242">
        <f>IF(AND(Inputs!$B$38&lt;&gt;"pvp",Inputs!$B$43&gt;0),IF(MAX(0,Inputs!$B$43-B1252)&lt;=0,0,(INT(MAX(0,Inputs!$B$43-B1252)/(IF(Inputs!$B$38="pvp",15,MAX(0.1,Skills!E28-IF(Skills!F28=TRUE,Inputs!$B$32,0)))*(1-IF(AND(ArtifactsInput!$M$27,Inputs!$B$4="Chapter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Skills!T6*(1+((Inputs!$B$34+(ArtifactsInput!$M$7-ArtifactsInput!$M$7)*CHOOSE(ArtifactsInput!$N$7+1,6,7.2,8.4,9.6,10.8,12))+IF(Inputs!$B$3&gt;=117,F1239,0))/100))+MIN((Skills!T6*(1+((Inputs!$B$34+(ArtifactsInput!$M$7-ArtifactsInput!$M$7)*CHOOSE(ArtifactsInput!$N$7+1,6,7.2,8.4,9.6,10.8,12))+IF(Inputs!$B$3&gt;=117,F1239,0))/100)),MAX(0,Inputs!$B$43-((R1220-1)*Skills!E6))))/Inputs!$B$43),IF(Inputs!$B$38="pvp",MIN((Skills!T6*(1+((Inputs!$B$34+(ArtifactsInput!$M$7-ArtifactsInput!$M$7)*CHOOSE(ArtifactsInput!$N$7+1,6,7.2,8.4,9.6,10.8,12))+IF(Inputs!$B$3&gt;=117,F1239,0))/100)),15)/15,(Skills!T6*(1+((Inputs!$B$34+(ArtifactsInput!$M$7-ArtifactsInput!$M$7)*CHOOSE(ArtifactsInput!$N$7+1,6,7.2,8.4,9.6,10.8,12))+IF(Inputs!$B$3&gt;=117,F1239,0))/100))/Skills!E6))+F1231*IF(AND(Inputs!$B$38&lt;&gt;"pvp",Inputs!$B$43&gt;0),(((R1231-1)*(Skills!T17*(1+((Inputs!$B$34+(ArtifactsInput!$M$7-ArtifactsInput!$M$7)*CHOOSE(ArtifactsInput!$N$7+1,6,7.2,8.4,9.6,10.8,12))+IF(Inputs!$B$3&gt;=117,F1239,0))/100))+MIN((Skills!T17*(1+((Inputs!$B$34+(ArtifactsInput!$M$7-ArtifactsInput!$M$7)*CHOOSE(ArtifactsInput!$N$7+1,6,7.2,8.4,9.6,10.8,12))+IF(Inputs!$B$3&gt;=117,F1239,0))/100)),MAX(0,Inputs!$B$43-((R1231-1)*Skills!E17))))/Inputs!$B$43),IF(Inputs!$B$38="pvp",MIN((Skills!T17*(1+((Inputs!$B$34+(ArtifactsInput!$M$7-ArtifactsInput!$M$7)*CHOOSE(ArtifactsInput!$N$7+1,6,7.2,8.4,9.6,10.8,12))+IF(Inputs!$B$3&gt;=117,F1239,0))/100)),15)/15,(Skills!T17*(1+((Inputs!$B$34+(ArtifactsInput!$M$7-ArtifactsInput!$M$7)*CHOOSE(ArtifactsInput!$N$7+1,6,7.2,8.4,9.6,10.8,12))+IF(Inputs!$B$3&gt;=117,F1239,0)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Skills!T19*(1+((Inputs!$B$34+(ArtifactsInput!$M$7-ArtifactsInput!$M$7)*CHOOSE(ArtifactsInput!$N$7+1,6,7.2,8.4,9.6,10.8,12))+IF(Inputs!$B$3&gt;=117,F1239,0))/100))+MIN((Skills!T19*(1+((Inputs!$B$34+(ArtifactsInput!$M$7-ArtifactsInput!$M$7)*CHOOSE(ArtifactsInput!$N$7+1,6,7.2,8.4,9.6,10.8,12))+IF(Inputs!$B$3&gt;=117,F1239,0))/100)),MAX(0,Inputs!$B$43-((R1233-1)*Skills!E19))))/Inputs!$B$43),IF(Inputs!$B$38="pvp",MIN((Skills!T19*(1+((Inputs!$B$34+(ArtifactsInput!$M$7-ArtifactsInput!$M$7)*CHOOSE(ArtifactsInput!$N$7+1,6,7.2,8.4,9.6,10.8,12))+IF(Inputs!$B$3&gt;=117,F1239,0))/100)),15)/15,(Skills!T19*(1+((Inputs!$B$34+(ArtifactsInput!$M$7-ArtifactsInput!$M$7)*CHOOSE(ArtifactsInput!$N$7+1,6,7.2,8.4,9.6,10.8,12))+IF(Inputs!$B$3&gt;=117,F1239,0))/100))/Skills!E19))/100),1)</f>
        <v/>
      </c>
    </row>
    <row r="1247">
      <c r="A1247" t="inlineStr">
        <is>
          <t>Attack Speed Buff Bonus % (Nimble Feet, averaged)</t>
        </is>
      </c>
      <c r="B1247">
        <f>F1232*IF(AND(Inputs!$B$38&lt;&gt;"pvp",Inputs!$B$43&gt;0),(((R1232-1)*(Skills!T18*(1+((Inputs!$B$34+(ArtifactsInput!$M$7-ArtifactsInput!$M$7)*CHOOSE(ArtifactsInput!$N$7+1,6,7.2,8.4,9.6,10.8,12))+IF(Inputs!$B$3&gt;=117,F1239,0))/100))+MIN((Skills!T18*(1+((Inputs!$B$34+(ArtifactsInput!$M$7-ArtifactsInput!$M$7)*CHOOSE(ArtifactsInput!$N$7+1,6,7.2,8.4,9.6,10.8,12))+IF(Inputs!$B$3&gt;=117,F1239,0))/100)),MAX(0,Inputs!$B$43-((R1232-1)*Skills!E18))))/Inputs!$B$43),IF(Inputs!$B$38="pvp",MIN((Skills!T18*(1+((Inputs!$B$34+(ArtifactsInput!$M$7-ArtifactsInput!$M$7)*CHOOSE(ArtifactsInput!$N$7+1,6,7.2,8.4,9.6,10.8,12))+IF(Inputs!$B$3&gt;=117,F1239,0))/100)),15)/15,(Skills!T18*(1+((Inputs!$B$34+(ArtifactsInput!$M$7-ArtifactsInput!$M$7)*CHOOSE(ArtifactsInput!$N$7+1,6,7.2,8.4,9.6,10.8,12))+IF(Inputs!$B$3&gt;=117,F1239,0))/100))/Skills!E18))</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IFERROR(1/(IF(Inputs!$B$38="pvp",15,MAX(0.1,Skills!E2-IF(Skills!F2=TRUE,Inputs!$B$32,0)))*(1-IF(AND(ArtifactsInput!$M$27,Inputs!$B$4="Chapter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IFERROR(1/(IF(Inputs!$B$38="pvp",15,MAX(0.1,Skills!E3-IF(Skills!F3=TRUE,Inputs!$B$32,0)))*(1-IF(AND(ArtifactsInput!$M$27,Inputs!$B$4="Chapter Hunt"),CHOOSE(ArtifactsInput!$N$27+1,20,24,28,32,36,40),0)/100)),0)</f>
        <v/>
      </c>
      <c r="R1261">
        <f>IF(AND(Inputs!$B$38&lt;&gt;"pvp",Inputs!$B$43&gt;0),IF(MAX(0,Inputs!$B$43-B1296)&lt;=0,0,(INT(MAX(0,Inputs!$B$43-B1296)/(IF(Inputs!$B$38="pvp",15,MAX(0.1,Skills!E3-IF(Skills!F3=TRUE,Inputs!$B$32,0)))*(1-IF(AND(ArtifactsInput!$M$27,Inputs!$B$4="Chapter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IFERROR(1/(IF(Inputs!$B$38="pvp",15,MAX(0.1,Skills!E4-IF(Skills!F4=TRUE,Inputs!$B$32,0)))*(1-IF(AND(ArtifactsInput!$M$27,Inputs!$B$4="Chapter Hunt"),CHOOSE(ArtifactsInput!$N$27+1,20,24,28,32,36,40),0)/100)),0)</f>
        <v/>
      </c>
      <c r="R1262">
        <f>IF(AND(Inputs!$B$38&lt;&gt;"pvp",Inputs!$B$43&gt;0),IF(MAX(0,Inputs!$B$43-B1296)&lt;=0,0,(INT(MAX(0,Inputs!$B$43-B1296)/(IF(Inputs!$B$38="pvp",15,MAX(0.1,Skills!E4-IF(Skills!F4=TRUE,Inputs!$B$32,0)))*(1-IF(AND(ArtifactsInput!$M$27,Inputs!$B$4="Chapter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IFERROR(1/(IF(Inputs!$B$38="pvp",15,MAX(0.1,Skills!E5-IF(Skills!F5=TRUE,Inputs!$B$32,0)))*(1-IF(AND(ArtifactsInput!$M$27,Inputs!$B$4="Chapter Hunt"),CHOOSE(ArtifactsInput!$N$27+1,20,24,28,32,36,40),0)/100)),0)</f>
        <v/>
      </c>
      <c r="R1263">
        <f>IF(AND(Inputs!$B$38&lt;&gt;"pvp",Inputs!$B$43&gt;0),IF(MAX(0,Inputs!$B$43-B1296)&lt;=0,0,(INT(MAX(0,Inputs!$B$43-B1296)/(IF(Inputs!$B$38="pvp",15,MAX(0.1,Skills!E5-IF(Skills!F5=TRUE,Inputs!$B$32,0)))*(1-IF(AND(ArtifactsInput!$M$27,Inputs!$B$4="Chapter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IFERROR(1/(IF(Inputs!$B$38="pvp",15,MAX(0.1,Skills!E6-IF(Skills!F6=TRUE,Inputs!$B$32,0)))*(1-IF(AND(ArtifactsInput!$M$27,Inputs!$B$4="Chapter Hunt"),CHOOSE(ArtifactsInput!$N$27+1,20,24,28,32,36,40),0)/100)),0)</f>
        <v/>
      </c>
      <c r="R1264">
        <f>IF(AND(Inputs!$B$38&lt;&gt;"pvp",Inputs!$B$43&gt;0),IF(Inputs!$B$43&lt;=0,0,(INT(Inputs!$B$43/(IF(Inputs!$B$38="pvp",15,MAX(0.1,Skills!E6-IF(Skills!F6=TRUE,Inputs!$B$32,0)))*(1-IF(AND(ArtifactsInput!$M$27,Inputs!$B$4="Chapter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IFERROR(1/(IF(Inputs!$B$38="pvp",15,MAX(0.1,Skills!E7-IF(Skills!F7=TRUE,Inputs!$B$32,0)))*(1-IF(AND(ArtifactsInput!$M$27,Inputs!$B$4="Chapter Hunt"),CHOOSE(ArtifactsInput!$N$27+1,20,24,28,32,36,40),0)/100)),0)</f>
        <v/>
      </c>
      <c r="R1265">
        <f>IF(AND(Inputs!$B$38&lt;&gt;"pvp",Inputs!$B$43&gt;0),IF(MAX(0,Inputs!$B$43-B1296)&lt;=0,0,(INT(MAX(0,Inputs!$B$43-B1296)/(IF(Inputs!$B$38="pvp",15,MAX(0.1,Skills!E7-IF(Skills!F7=TRUE,Inputs!$B$32,0)))*(1-IF(AND(ArtifactsInput!$M$27,Inputs!$B$4="Chapter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IFERROR(1/(IF(Inputs!$B$38="pvp",15,MAX(0.1,Skills!E8-IF(Skills!F8=TRUE,Inputs!$B$32,0)))*(1-IF(AND(ArtifactsInput!$M$27,Inputs!$B$4="Chapter Hunt"),CHOOSE(ArtifactsInput!$N$27+1,20,24,28,32,36,40),0)/100)),0)</f>
        <v/>
      </c>
      <c r="R1266">
        <f>IF(AND(Inputs!$B$38&lt;&gt;"pvp",Inputs!$B$43&gt;0),IF(MAX(0,Inputs!$B$43-B1296)&lt;=0,0,(INT(MAX(0,Inputs!$B$43-B1296)/(IF(Inputs!$B$38="pvp",15,MAX(0.1,Skills!E8-IF(Skills!F8=TRUE,Inputs!$B$32,0)))*(1-IF(AND(ArtifactsInput!$M$27,Inputs!$B$4="Chapter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IFERROR(1/(IF(Inputs!$B$38="pvp",15,MAX(0.1,Skills!E9-IF(Skills!F7=TRUE,Inputs!$B$32,0)))*(1-IF(AND(ArtifactsInput!$M$27,Inputs!$B$4="Chapter Hunt"),CHOOSE(ArtifactsInput!$N$27+1,20,24,28,32,36,40),0)/100)),0)</f>
        <v/>
      </c>
      <c r="R1267">
        <f>IF(AND(Inputs!$B$38&lt;&gt;"pvp",Inputs!$B$43&gt;0),IF(MAX(0,Inputs!$B$43-B1296)&lt;=0,0,(INT(MAX(0,Inputs!$B$43-B1296)/(IF(Inputs!$B$38="pvp",15,MAX(0.1,Skills!E9-IF(Skills!F7=TRUE,Inputs!$B$32,0)))*(1-IF(AND(ArtifactsInput!$M$27,Inputs!$B$4="Chapter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IFERROR(1/(IF(Inputs!$B$38="pvp",15,MAX(0.1,Skills!E10-IF(Skills!F10=TRUE,Inputs!$B$32,0)))*(1-IF(AND(ArtifactsInput!$M$27,Inputs!$B$4="Chapter Hunt"),CHOOSE(ArtifactsInput!$N$27+1,20,24,28,32,36,40),0)/100)),0)</f>
        <v/>
      </c>
      <c r="R1268">
        <f>IF(AND(Inputs!$B$38&lt;&gt;"pvp",Inputs!$B$43&gt;0),IF(MAX(0,Inputs!$B$43-B1296)&lt;=0,0,(INT(MAX(0,Inputs!$B$43-B1296)/(IF(Inputs!$B$38="pvp",15,MAX(0.1,Skills!E10-IF(Skills!F10=TRUE,Inputs!$B$32,0)))*(1-IF(AND(ArtifactsInput!$M$27,Inputs!$B$4="Chapter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IFERROR(1/(IF(Inputs!$B$38="pvp",15,MAX(0.1,Skills!E11-IF(Skills!F11=TRUE,Inputs!$B$32,0)))*(1-IF(AND(ArtifactsInput!$M$27,Inputs!$B$4="Chapter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IFERROR(1/(IF(Inputs!$B$38="pvp",15,MAX(0.1,Skills!E12-IF(Skills!F12=TRUE,Inputs!$B$32,0)))*(1-IF(AND(ArtifactsInput!$M$27,Inputs!$B$4="Chapter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IFERROR(1/(IF(Inputs!$B$38="pvp",15,MAX(0.1,Skills!E13-IF(Skills!F13=TRUE,Inputs!$B$32,0)))*(1-IF(AND(ArtifactsInput!$M$27,Inputs!$B$4="Chapter Hunt"),CHOOSE(ArtifactsInput!$N$27+1,20,24,28,32,36,40),0)/100)),0)</f>
        <v/>
      </c>
      <c r="R1271">
        <f>IF(AND(Inputs!$B$38&lt;&gt;"pvp",Inputs!$B$43&gt;0),IF(MAX(0,Inputs!$B$43-B1296)&lt;=0,0,(INT(MAX(0,Inputs!$B$43-B1296)/(IF(Inputs!$B$38="pvp",15,MAX(0.1,Skills!E13-IF(Skills!F13=TRUE,Inputs!$B$32,0)))*(1-IF(AND(ArtifactsInput!$M$27,Inputs!$B$4="Chapter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IFERROR(1/(IF(Inputs!$B$38="pvp",15,MAX(0.1,Skills!E14-IF(Skills!F14=TRUE,Inputs!$B$32,0)))*(1-IF(AND(ArtifactsInput!$M$27,Inputs!$B$4="Chapter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IFERROR(1/(IF(Inputs!$B$38="pvp",15,MAX(0.1,Skills!E15-IF(Skills!F15=TRUE,Inputs!$B$32,0)))*(1-IF(AND(ArtifactsInput!$M$27,Inputs!$B$4="Chapter Hunt"),CHOOSE(ArtifactsInput!$N$27+1,20,24,28,32,36,40),0)/100)),0)</f>
        <v/>
      </c>
      <c r="R1273">
        <f>IF(AND(Inputs!$B$38&lt;&gt;"pvp",Inputs!$B$43&gt;0),IF(MAX(0,Inputs!$B$43-B1296)&lt;=0,0,(INT(MAX(0,Inputs!$B$43-B1296)/(IF(Inputs!$B$38="pvp",15,MAX(0.1,Skills!E15-IF(Skills!F15=TRUE,Inputs!$B$32,0)))*(1-IF(AND(ArtifactsInput!$M$27,Inputs!$B$4="Chapter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IFERROR(1/(IF(Inputs!$B$38="pvp",15,MAX(0.1,Skills!E16-IF(Skills!F16=TRUE,Inputs!$B$32,0)))*(1-IF(AND(ArtifactsInput!$M$27,Inputs!$B$4="Chapter Hunt"),CHOOSE(ArtifactsInput!$N$27+1,20,24,28,32,36,40),0)/100)),0)</f>
        <v/>
      </c>
      <c r="R1274">
        <f>IF(AND(Inputs!$B$38&lt;&gt;"pvp",Inputs!$B$43&gt;0),IF(MAX(0,Inputs!$B$43-B1296)&lt;=0,0,(INT(MAX(0,Inputs!$B$43-B1296)/(IF(Inputs!$B$38="pvp",15,MAX(0.1,Skills!E16-IF(Skills!F16=TRUE,Inputs!$B$32,0)))*(1-IF(AND(ArtifactsInput!$M$27,Inputs!$B$4="Chapter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IFERROR(1/(IF(Inputs!$B$38="pvp",15,MAX(0.1,Skills!E17-IF(Skills!F17=TRUE,Inputs!$B$32,0)))*(1-IF(AND(ArtifactsInput!$M$27,Inputs!$B$4="Chapter Hunt"),CHOOSE(ArtifactsInput!$N$27+1,20,24,28,32,36,40),0)/100)),0)</f>
        <v/>
      </c>
      <c r="R1275">
        <f>IF(AND(Inputs!$B$38&lt;&gt;"pvp",Inputs!$B$43&gt;0),IF(Inputs!$B$43&lt;=0,0,(INT(Inputs!$B$43/(IF(Inputs!$B$38="pvp",15,MAX(0.1,Skills!E17-IF(Skills!F17=TRUE,Inputs!$B$32,0)))*(1-IF(AND(ArtifactsInput!$M$27,Inputs!$B$4="Chapter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IFERROR(1/(IF(Inputs!$B$38="pvp",15,MAX(0.1,Skills!E18-IF(Skills!F18=TRUE,Inputs!$B$32,0)))*(1-IF(AND(ArtifactsInput!$M$27,Inputs!$B$4="Chapter Hunt"),CHOOSE(ArtifactsInput!$N$27+1,20,24,28,32,36,40),0)/100)),0)</f>
        <v/>
      </c>
      <c r="R1276">
        <f>IF(AND(Inputs!$B$38&lt;&gt;"pvp",Inputs!$B$43&gt;0),IF(Inputs!$B$43&lt;=0,0,(INT(Inputs!$B$43/(IF(Inputs!$B$38="pvp",15,MAX(0.1,Skills!E18-IF(Skills!F18=TRUE,Inputs!$B$32,0)))*(1-IF(AND(ArtifactsInput!$M$27,Inputs!$B$4="Chapter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IFERROR(1/(IF(Inputs!$B$38="pvp",15,MAX(0.1,Skills!E19-IF(Skills!F19=TRUE,Inputs!$B$32,0)))*(1-IF(AND(ArtifactsInput!$M$27,Inputs!$B$4="Chapter Hunt"),CHOOSE(ArtifactsInput!$N$27+1,20,24,28,32,36,40),0)/100)),0)</f>
        <v/>
      </c>
      <c r="R1277">
        <f>IF(AND(Inputs!$B$38&lt;&gt;"pvp",Inputs!$B$43&gt;0),IF(Inputs!$B$43&lt;=0,0,(INT(Inputs!$B$43/(IF(Inputs!$B$38="pvp",15,MAX(0.1,Skills!E19-IF(Skills!F19=TRUE,Inputs!$B$32,0)))*(1-IF(AND(ArtifactsInput!$M$27,Inputs!$B$4="Chapter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IFERROR(1/(IF(Inputs!$B$38="pvp",15,MAX(0.1,Skills!E20-IF(Skills!F20=TRUE,Inputs!$B$32,0)))*(1-IF(AND(ArtifactsInput!$M$27,Inputs!$B$4="Chapter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IFERROR(1/(IF(Inputs!$B$38="pvp",15,MAX(0.1,Skills!E21-IF(Skills!F21=TRUE,Inputs!$B$32,0)))*(1-IF(AND(ArtifactsInput!$M$27,Inputs!$B$4="Chapter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IFERROR(1/(IF(Inputs!$B$38="pvp",15,MAX(0.1,Skills!E22-IF(Skills!F22=TRUE,Inputs!$B$32,0)))*(1-IF(AND(ArtifactsInput!$M$27,Inputs!$B$4="Chapter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IFERROR(1/(IF(Inputs!$B$38="pvp",15,MAX(0.1,Skills!E23-IF(Skills!F23=TRUE,Inputs!$B$32,0)))*(1-IF(AND(ArtifactsInput!$M$27,Inputs!$B$4="Chapter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IFERROR(1/(IF(Inputs!$B$38="pvp",15,MAX(0.1,Skills!E24-IF(Skills!F24=TRUE,Inputs!$B$32,0)))*(1-IF(AND(ArtifactsInput!$M$27,Inputs!$B$4="Chapter Hunt"),CHOOSE(ArtifactsInput!$N$27+1,20,24,28,32,36,40),0)/100)),0)</f>
        <v/>
      </c>
      <c r="R1282">
        <f>IF(AND(Inputs!$B$38&lt;&gt;"pvp",Inputs!$B$43&gt;0),IF(MAX(0,Inputs!$B$43-B1296)&lt;=0,0,(INT(MAX(0,Inputs!$B$43-B1296)/(IF(Inputs!$B$38="pvp",15,MAX(0.1,Skills!E24-IF(Skills!F24=TRUE,Inputs!$B$32,0)))*(1-IF(AND(ArtifactsInput!$M$27,Inputs!$B$4="Chapter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IFERROR(1/(IF(Inputs!$B$38="pvp",15,MAX(0.1,Skills!E25-IF(Skills!F25=TRUE,Inputs!$B$32,0)))*(1-IF(AND(ArtifactsInput!$M$27,Inputs!$B$4="Chapter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IFERROR(1/(IF(Inputs!$B$38="pvp",15,MAX(0.1,Skills!E26-IF(Skills!F26=TRUE,Inputs!$B$32,0)))*(1-IF(AND(ArtifactsInput!$M$27,Inputs!$B$4="Chapter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IFERROR(1/(IF(Inputs!$B$38="pvp",15,MAX(0.1,Skills!E27-IF(Skills!F27=TRUE,Inputs!$B$32,0)))*(1-IF(AND(ArtifactsInput!$M$27,Inputs!$B$4="Chapter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IFERROR(1/(IF(Inputs!$B$38="pvp",15,MAX(0.1,Skills!E28-IF(Skills!F28=TRUE,Inputs!$B$32,0)))*(1-IF(AND(ArtifactsInput!$M$27,Inputs!$B$4="Chapter Hunt"),CHOOSE(ArtifactsInput!$N$27+1,20,24,28,32,36,40),0)/100)),0)</f>
        <v/>
      </c>
      <c r="R1286">
        <f>IF(AND(Inputs!$B$38&lt;&gt;"pvp",Inputs!$B$43&gt;0),IF(MAX(0,Inputs!$B$43-B1296)&lt;=0,0,(INT(MAX(0,Inputs!$B$43-B1296)/(IF(Inputs!$B$38="pvp",15,MAX(0.1,Skills!E28-IF(Skills!F28=TRUE,Inputs!$B$32,0)))*(1-IF(AND(ArtifactsInput!$M$27,Inputs!$B$4="Chapter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Skills!T6*(1+((Inputs!$B$34+(IF(ArtifactsInput!$M$7,FALSE,TRUE)-ArtifactsInput!$M$7)*CHOOSE(ArtifactsInput!$N$7+1,6,7.2,8.4,9.6,10.8,12))+IF(Inputs!$B$3&gt;=117,F1283,0))/100))+MIN((Skills!T6*(1+((Inputs!$B$34+(IF(ArtifactsInput!$M$7,FALSE,TRUE)-ArtifactsInput!$M$7)*CHOOSE(ArtifactsInput!$N$7+1,6,7.2,8.4,9.6,10.8,12))+IF(Inputs!$B$3&gt;=117,F1283,0))/100)),MAX(0,Inputs!$B$43-((R1264-1)*Skills!E6))))/Inputs!$B$43),IF(Inputs!$B$38="pvp",MIN((Skills!T6*(1+((Inputs!$B$34+(IF(ArtifactsInput!$M$7,FALSE,TRUE)-ArtifactsInput!$M$7)*CHOOSE(ArtifactsInput!$N$7+1,6,7.2,8.4,9.6,10.8,12))+IF(Inputs!$B$3&gt;=117,F1283,0))/100)),15)/15,(Skills!T6*(1+((Inputs!$B$34+(IF(ArtifactsInput!$M$7,FALSE,TRUE)-ArtifactsInput!$M$7)*CHOOSE(ArtifactsInput!$N$7+1,6,7.2,8.4,9.6,10.8,12))+IF(Inputs!$B$3&gt;=117,F1283,0))/100))/Skills!E6))+F1275*IF(AND(Inputs!$B$38&lt;&gt;"pvp",Inputs!$B$43&gt;0),(((R1275-1)*(Skills!T17*(1+((Inputs!$B$34+(IF(ArtifactsInput!$M$7,FALSE,TRUE)-ArtifactsInput!$M$7)*CHOOSE(ArtifactsInput!$N$7+1,6,7.2,8.4,9.6,10.8,12))+IF(Inputs!$B$3&gt;=117,F1283,0))/100))+MIN((Skills!T17*(1+((Inputs!$B$34+(IF(ArtifactsInput!$M$7,FALSE,TRUE)-ArtifactsInput!$M$7)*CHOOSE(ArtifactsInput!$N$7+1,6,7.2,8.4,9.6,10.8,12))+IF(Inputs!$B$3&gt;=117,F1283,0))/100)),MAX(0,Inputs!$B$43-((R1275-1)*Skills!E17))))/Inputs!$B$43),IF(Inputs!$B$38="pvp",MIN((Skills!T17*(1+((Inputs!$B$34+(IF(ArtifactsInput!$M$7,FALSE,TRUE)-ArtifactsInput!$M$7)*CHOOSE(ArtifactsInput!$N$7+1,6,7.2,8.4,9.6,10.8,12))+IF(Inputs!$B$3&gt;=117,F1283,0))/100)),15)/15,(Skills!T17*(1+((Inputs!$B$34+(IF(ArtifactsInput!$M$7,FALSE,TRUE)-ArtifactsInput!$M$7)*CHOOSE(ArtifactsInput!$N$7+1,6,7.2,8.4,9.6,10.8,12))+IF(Inputs!$B$3&gt;=117,F1283,0)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Skills!T19*(1+((Inputs!$B$34+(IF(ArtifactsInput!$M$7,FALSE,TRUE)-ArtifactsInput!$M$7)*CHOOSE(ArtifactsInput!$N$7+1,6,7.2,8.4,9.6,10.8,12))+IF(Inputs!$B$3&gt;=117,F1283,0))/100))+MIN((Skills!T19*(1+((Inputs!$B$34+(IF(ArtifactsInput!$M$7,FALSE,TRUE)-ArtifactsInput!$M$7)*CHOOSE(ArtifactsInput!$N$7+1,6,7.2,8.4,9.6,10.8,12))+IF(Inputs!$B$3&gt;=117,F1283,0))/100)),MAX(0,Inputs!$B$43-((R1277-1)*Skills!E19))))/Inputs!$B$43),IF(Inputs!$B$38="pvp",MIN((Skills!T19*(1+((Inputs!$B$34+(IF(ArtifactsInput!$M$7,FALSE,TRUE)-ArtifactsInput!$M$7)*CHOOSE(ArtifactsInput!$N$7+1,6,7.2,8.4,9.6,10.8,12))+IF(Inputs!$B$3&gt;=117,F1283,0))/100)),15)/15,(Skills!T19*(1+((Inputs!$B$34+(IF(ArtifactsInput!$M$7,FALSE,TRUE)-ArtifactsInput!$M$7)*CHOOSE(ArtifactsInput!$N$7+1,6,7.2,8.4,9.6,10.8,12))+IF(Inputs!$B$3&gt;=117,F1283,0))/100))/Skills!E19))/100),1)</f>
        <v/>
      </c>
    </row>
    <row r="1291">
      <c r="A1291" t="inlineStr">
        <is>
          <t>Attack Speed Buff Bonus % (Nimble Feet, averaged)</t>
        </is>
      </c>
      <c r="B1291">
        <f>F1276*IF(AND(Inputs!$B$38&lt;&gt;"pvp",Inputs!$B$43&gt;0),(((R1276-1)*(Skills!T18*(1+((Inputs!$B$34+(IF(ArtifactsInput!$M$7,FALSE,TRUE)-ArtifactsInput!$M$7)*CHOOSE(ArtifactsInput!$N$7+1,6,7.2,8.4,9.6,10.8,12))+IF(Inputs!$B$3&gt;=117,F1283,0))/100))+MIN((Skills!T18*(1+((Inputs!$B$34+(IF(ArtifactsInput!$M$7,FALSE,TRUE)-ArtifactsInput!$M$7)*CHOOSE(ArtifactsInput!$N$7+1,6,7.2,8.4,9.6,10.8,12))+IF(Inputs!$B$3&gt;=117,F1283,0))/100)),MAX(0,Inputs!$B$43-((R1276-1)*Skills!E18))))/Inputs!$B$43),IF(Inputs!$B$38="pvp",MIN((Skills!T18*(1+((Inputs!$B$34+(IF(ArtifactsInput!$M$7,FALSE,TRUE)-ArtifactsInput!$M$7)*CHOOSE(ArtifactsInput!$N$7+1,6,7.2,8.4,9.6,10.8,12))+IF(Inputs!$B$3&gt;=117,F1283,0))/100)),15)/15,(Skills!T18*(1+((Inputs!$B$34+(IF(ArtifactsInput!$M$7,FALSE,TRUE)-ArtifactsInput!$M$7)*CHOOSE(ArtifactsInput!$N$7+1,6,7.2,8.4,9.6,10.8,12))+IF(Inputs!$B$3&gt;=117,F1283,0))/100))/Skills!E18))</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IFERROR(1/(IF(Inputs!$B$38="pvp",15,MAX(0.1,Skills!E2-IF(Skills!F2=TRUE,Inputs!$B$32,0)))*(1-IF(AND(ArtifactsInput!$M$27,Inputs!$B$4="Chapter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IFERROR(1/(IF(Inputs!$B$38="pvp",15,MAX(0.1,Skills!E3-IF(Skills!F3=TRUE,Inputs!$B$32,0)))*(1-IF(AND(ArtifactsInput!$M$27,Inputs!$B$4="Chapter Hunt"),CHOOSE(ArtifactsInput!$N$27+1,20,24,28,32,36,40),0)/100)),0)</f>
        <v/>
      </c>
      <c r="R1305">
        <f>IF(AND(Inputs!$B$38&lt;&gt;"pvp",Inputs!$B$43&gt;0),IF(MAX(0,Inputs!$B$43-B1340)&lt;=0,0,(INT(MAX(0,Inputs!$B$43-B1340)/(IF(Inputs!$B$38="pvp",15,MAX(0.1,Skills!E3-IF(Skills!F3=TRUE,Inputs!$B$32,0)))*(1-IF(AND(ArtifactsInput!$M$27,Inputs!$B$4="Chapter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IFERROR(1/(IF(Inputs!$B$38="pvp",15,MAX(0.1,Skills!E4-IF(Skills!F4=TRUE,Inputs!$B$32,0)))*(1-IF(AND(ArtifactsInput!$M$27,Inputs!$B$4="Chapter Hunt"),CHOOSE(ArtifactsInput!$N$27+1,20,24,28,32,36,40),0)/100)),0)</f>
        <v/>
      </c>
      <c r="R1306">
        <f>IF(AND(Inputs!$B$38&lt;&gt;"pvp",Inputs!$B$43&gt;0),IF(MAX(0,Inputs!$B$43-B1340)&lt;=0,0,(INT(MAX(0,Inputs!$B$43-B1340)/(IF(Inputs!$B$38="pvp",15,MAX(0.1,Skills!E4-IF(Skills!F4=TRUE,Inputs!$B$32,0)))*(1-IF(AND(ArtifactsInput!$M$27,Inputs!$B$4="Chapter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IFERROR(1/(IF(Inputs!$B$38="pvp",15,MAX(0.1,Skills!E5-IF(Skills!F5=TRUE,Inputs!$B$32,0)))*(1-IF(AND(ArtifactsInput!$M$27,Inputs!$B$4="Chapter Hunt"),CHOOSE(ArtifactsInput!$N$27+1,20,24,28,32,36,40),0)/100)),0)</f>
        <v/>
      </c>
      <c r="R1307">
        <f>IF(AND(Inputs!$B$38&lt;&gt;"pvp",Inputs!$B$43&gt;0),IF(MAX(0,Inputs!$B$43-B1340)&lt;=0,0,(INT(MAX(0,Inputs!$B$43-B1340)/(IF(Inputs!$B$38="pvp",15,MAX(0.1,Skills!E5-IF(Skills!F5=TRUE,Inputs!$B$32,0)))*(1-IF(AND(ArtifactsInput!$M$27,Inputs!$B$4="Chapter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IFERROR(1/(IF(Inputs!$B$38="pvp",15,MAX(0.1,Skills!E6-IF(Skills!F6=TRUE,Inputs!$B$32,0)))*(1-IF(AND(ArtifactsInput!$M$27,Inputs!$B$4="Chapter Hunt"),CHOOSE(ArtifactsInput!$N$27+1,20,24,28,32,36,40),0)/100)),0)</f>
        <v/>
      </c>
      <c r="R1308">
        <f>IF(AND(Inputs!$B$38&lt;&gt;"pvp",Inputs!$B$43&gt;0),IF(Inputs!$B$43&lt;=0,0,(INT(Inputs!$B$43/(IF(Inputs!$B$38="pvp",15,MAX(0.1,Skills!E6-IF(Skills!F6=TRUE,Inputs!$B$32,0)))*(1-IF(AND(ArtifactsInput!$M$27,Inputs!$B$4="Chapter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IFERROR(1/(IF(Inputs!$B$38="pvp",15,MAX(0.1,Skills!E7-IF(Skills!F7=TRUE,Inputs!$B$32,0)))*(1-IF(AND(ArtifactsInput!$M$27,Inputs!$B$4="Chapter Hunt"),CHOOSE(ArtifactsInput!$N$27+1,20,24,28,32,36,40),0)/100)),0)</f>
        <v/>
      </c>
      <c r="R1309">
        <f>IF(AND(Inputs!$B$38&lt;&gt;"pvp",Inputs!$B$43&gt;0),IF(MAX(0,Inputs!$B$43-B1340)&lt;=0,0,(INT(MAX(0,Inputs!$B$43-B1340)/(IF(Inputs!$B$38="pvp",15,MAX(0.1,Skills!E7-IF(Skills!F7=TRUE,Inputs!$B$32,0)))*(1-IF(AND(ArtifactsInput!$M$27,Inputs!$B$4="Chapter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IFERROR(1/(IF(Inputs!$B$38="pvp",15,MAX(0.1,Skills!E8-IF(Skills!F8=TRUE,Inputs!$B$32,0)))*(1-IF(AND(ArtifactsInput!$M$27,Inputs!$B$4="Chapter Hunt"),CHOOSE(ArtifactsInput!$N$27+1,20,24,28,32,36,40),0)/100)),0)</f>
        <v/>
      </c>
      <c r="R1310">
        <f>IF(AND(Inputs!$B$38&lt;&gt;"pvp",Inputs!$B$43&gt;0),IF(MAX(0,Inputs!$B$43-B1340)&lt;=0,0,(INT(MAX(0,Inputs!$B$43-B1340)/(IF(Inputs!$B$38="pvp",15,MAX(0.1,Skills!E8-IF(Skills!F8=TRUE,Inputs!$B$32,0)))*(1-IF(AND(ArtifactsInput!$M$27,Inputs!$B$4="Chapter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IFERROR(1/(IF(Inputs!$B$38="pvp",15,MAX(0.1,Skills!E9-IF(Skills!F7=TRUE,Inputs!$B$32,0)))*(1-IF(AND(ArtifactsInput!$M$27,Inputs!$B$4="Chapter Hunt"),CHOOSE(ArtifactsInput!$N$27+1,20,24,28,32,36,40),0)/100)),0)</f>
        <v/>
      </c>
      <c r="R1311">
        <f>IF(AND(Inputs!$B$38&lt;&gt;"pvp",Inputs!$B$43&gt;0),IF(MAX(0,Inputs!$B$43-B1340)&lt;=0,0,(INT(MAX(0,Inputs!$B$43-B1340)/(IF(Inputs!$B$38="pvp",15,MAX(0.1,Skills!E9-IF(Skills!F7=TRUE,Inputs!$B$32,0)))*(1-IF(AND(ArtifactsInput!$M$27,Inputs!$B$4="Chapter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IFERROR(1/(IF(Inputs!$B$38="pvp",15,MAX(0.1,Skills!E10-IF(Skills!F10=TRUE,Inputs!$B$32,0)))*(1-IF(AND(ArtifactsInput!$M$27,Inputs!$B$4="Chapter Hunt"),CHOOSE(ArtifactsInput!$N$27+1,20,24,28,32,36,40),0)/100)),0)</f>
        <v/>
      </c>
      <c r="R1312">
        <f>IF(AND(Inputs!$B$38&lt;&gt;"pvp",Inputs!$B$43&gt;0),IF(MAX(0,Inputs!$B$43-B1340)&lt;=0,0,(INT(MAX(0,Inputs!$B$43-B1340)/(IF(Inputs!$B$38="pvp",15,MAX(0.1,Skills!E10-IF(Skills!F10=TRUE,Inputs!$B$32,0)))*(1-IF(AND(ArtifactsInput!$M$27,Inputs!$B$4="Chapter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IFERROR(1/(IF(Inputs!$B$38="pvp",15,MAX(0.1,Skills!E11-IF(Skills!F11=TRUE,Inputs!$B$32,0)))*(1-IF(AND(ArtifactsInput!$M$27,Inputs!$B$4="Chapter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IFERROR(1/(IF(Inputs!$B$38="pvp",15,MAX(0.1,Skills!E12-IF(Skills!F12=TRUE,Inputs!$B$32,0)))*(1-IF(AND(ArtifactsInput!$M$27,Inputs!$B$4="Chapter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IFERROR(1/(IF(Inputs!$B$38="pvp",15,MAX(0.1,Skills!E13-IF(Skills!F13=TRUE,Inputs!$B$32,0)))*(1-IF(AND(ArtifactsInput!$M$27,Inputs!$B$4="Chapter Hunt"),CHOOSE(ArtifactsInput!$N$27+1,20,24,28,32,36,40),0)/100)),0)</f>
        <v/>
      </c>
      <c r="R1315">
        <f>IF(AND(Inputs!$B$38&lt;&gt;"pvp",Inputs!$B$43&gt;0),IF(MAX(0,Inputs!$B$43-B1340)&lt;=0,0,(INT(MAX(0,Inputs!$B$43-B1340)/(IF(Inputs!$B$38="pvp",15,MAX(0.1,Skills!E13-IF(Skills!F13=TRUE,Inputs!$B$32,0)))*(1-IF(AND(ArtifactsInput!$M$27,Inputs!$B$4="Chapter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IFERROR(1/(IF(Inputs!$B$38="pvp",15,MAX(0.1,Skills!E14-IF(Skills!F14=TRUE,Inputs!$B$32,0)))*(1-IF(AND(ArtifactsInput!$M$27,Inputs!$B$4="Chapter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IFERROR(1/(IF(Inputs!$B$38="pvp",15,MAX(0.1,Skills!E15-IF(Skills!F15=TRUE,Inputs!$B$32,0)))*(1-IF(AND(ArtifactsInput!$M$27,Inputs!$B$4="Chapter Hunt"),CHOOSE(ArtifactsInput!$N$27+1,20,24,28,32,36,40),0)/100)),0)</f>
        <v/>
      </c>
      <c r="R1317">
        <f>IF(AND(Inputs!$B$38&lt;&gt;"pvp",Inputs!$B$43&gt;0),IF(MAX(0,Inputs!$B$43-B1340)&lt;=0,0,(INT(MAX(0,Inputs!$B$43-B1340)/(IF(Inputs!$B$38="pvp",15,MAX(0.1,Skills!E15-IF(Skills!F15=TRUE,Inputs!$B$32,0)))*(1-IF(AND(ArtifactsInput!$M$27,Inputs!$B$4="Chapter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IFERROR(1/(IF(Inputs!$B$38="pvp",15,MAX(0.1,Skills!E16-IF(Skills!F16=TRUE,Inputs!$B$32,0)))*(1-IF(AND(ArtifactsInput!$M$27,Inputs!$B$4="Chapter Hunt"),CHOOSE(ArtifactsInput!$N$27+1,20,24,28,32,36,40),0)/100)),0)</f>
        <v/>
      </c>
      <c r="R1318">
        <f>IF(AND(Inputs!$B$38&lt;&gt;"pvp",Inputs!$B$43&gt;0),IF(MAX(0,Inputs!$B$43-B1340)&lt;=0,0,(INT(MAX(0,Inputs!$B$43-B1340)/(IF(Inputs!$B$38="pvp",15,MAX(0.1,Skills!E16-IF(Skills!F16=TRUE,Inputs!$B$32,0)))*(1-IF(AND(ArtifactsInput!$M$27,Inputs!$B$4="Chapter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IFERROR(1/(IF(Inputs!$B$38="pvp",15,MAX(0.1,Skills!E17-IF(Skills!F17=TRUE,Inputs!$B$32,0)))*(1-IF(AND(ArtifactsInput!$M$27,Inputs!$B$4="Chapter Hunt"),CHOOSE(ArtifactsInput!$N$27+1,20,24,28,32,36,40),0)/100)),0)</f>
        <v/>
      </c>
      <c r="R1319">
        <f>IF(AND(Inputs!$B$38&lt;&gt;"pvp",Inputs!$B$43&gt;0),IF(Inputs!$B$43&lt;=0,0,(INT(Inputs!$B$43/(IF(Inputs!$B$38="pvp",15,MAX(0.1,Skills!E17-IF(Skills!F17=TRUE,Inputs!$B$32,0)))*(1-IF(AND(ArtifactsInput!$M$27,Inputs!$B$4="Chapter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IFERROR(1/(IF(Inputs!$B$38="pvp",15,MAX(0.1,Skills!E18-IF(Skills!F18=TRUE,Inputs!$B$32,0)))*(1-IF(AND(ArtifactsInput!$M$27,Inputs!$B$4="Chapter Hunt"),CHOOSE(ArtifactsInput!$N$27+1,20,24,28,32,36,40),0)/100)),0)</f>
        <v/>
      </c>
      <c r="R1320">
        <f>IF(AND(Inputs!$B$38&lt;&gt;"pvp",Inputs!$B$43&gt;0),IF(Inputs!$B$43&lt;=0,0,(INT(Inputs!$B$43/(IF(Inputs!$B$38="pvp",15,MAX(0.1,Skills!E18-IF(Skills!F18=TRUE,Inputs!$B$32,0)))*(1-IF(AND(ArtifactsInput!$M$27,Inputs!$B$4="Chapter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IFERROR(1/(IF(Inputs!$B$38="pvp",15,MAX(0.1,Skills!E19-IF(Skills!F19=TRUE,Inputs!$B$32,0)))*(1-IF(AND(ArtifactsInput!$M$27,Inputs!$B$4="Chapter Hunt"),CHOOSE(ArtifactsInput!$N$27+1,20,24,28,32,36,40),0)/100)),0)</f>
        <v/>
      </c>
      <c r="R1321">
        <f>IF(AND(Inputs!$B$38&lt;&gt;"pvp",Inputs!$B$43&gt;0),IF(Inputs!$B$43&lt;=0,0,(INT(Inputs!$B$43/(IF(Inputs!$B$38="pvp",15,MAX(0.1,Skills!E19-IF(Skills!F19=TRUE,Inputs!$B$32,0)))*(1-IF(AND(ArtifactsInput!$M$27,Inputs!$B$4="Chapter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IFERROR(1/(IF(Inputs!$B$38="pvp",15,MAX(0.1,Skills!E20-IF(Skills!F20=TRUE,Inputs!$B$32,0)))*(1-IF(AND(ArtifactsInput!$M$27,Inputs!$B$4="Chapter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IFERROR(1/(IF(Inputs!$B$38="pvp",15,MAX(0.1,Skills!E21-IF(Skills!F21=TRUE,Inputs!$B$32,0)))*(1-IF(AND(ArtifactsInput!$M$27,Inputs!$B$4="Chapter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IFERROR(1/(IF(Inputs!$B$38="pvp",15,MAX(0.1,Skills!E22-IF(Skills!F22=TRUE,Inputs!$B$32,0)))*(1-IF(AND(ArtifactsInput!$M$27,Inputs!$B$4="Chapter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IFERROR(1/(IF(Inputs!$B$38="pvp",15,MAX(0.1,Skills!E23-IF(Skills!F23=TRUE,Inputs!$B$32,0)))*(1-IF(AND(ArtifactsInput!$M$27,Inputs!$B$4="Chapter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IFERROR(1/(IF(Inputs!$B$38="pvp",15,MAX(0.1,Skills!E24-IF(Skills!F24=TRUE,Inputs!$B$32,0)))*(1-IF(AND(ArtifactsInput!$M$27,Inputs!$B$4="Chapter Hunt"),CHOOSE(ArtifactsInput!$N$27+1,20,24,28,32,36,40),0)/100)),0)</f>
        <v/>
      </c>
      <c r="R1326">
        <f>IF(AND(Inputs!$B$38&lt;&gt;"pvp",Inputs!$B$43&gt;0),IF(MAX(0,Inputs!$B$43-B1340)&lt;=0,0,(INT(MAX(0,Inputs!$B$43-B1340)/(IF(Inputs!$B$38="pvp",15,MAX(0.1,Skills!E24-IF(Skills!F24=TRUE,Inputs!$B$32,0)))*(1-IF(AND(ArtifactsInput!$M$27,Inputs!$B$4="Chapter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IFERROR(1/(IF(Inputs!$B$38="pvp",15,MAX(0.1,Skills!E25-IF(Skills!F25=TRUE,Inputs!$B$32,0)))*(1-IF(AND(ArtifactsInput!$M$27,Inputs!$B$4="Chapter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IFERROR(1/(IF(Inputs!$B$38="pvp",15,MAX(0.1,Skills!E26-IF(Skills!F26=TRUE,Inputs!$B$32,0)))*(1-IF(AND(ArtifactsInput!$M$27,Inputs!$B$4="Chapter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IFERROR(1/(IF(Inputs!$B$38="pvp",15,MAX(0.1,Skills!E27-IF(Skills!F27=TRUE,Inputs!$B$32,0)))*(1-IF(AND(ArtifactsInput!$M$27,Inputs!$B$4="Chapter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IFERROR(1/(IF(Inputs!$B$38="pvp",15,MAX(0.1,Skills!E28-IF(Skills!F28=TRUE,Inputs!$B$32,0)))*(1-IF(AND(ArtifactsInput!$M$27,Inputs!$B$4="Chapter Hunt"),CHOOSE(ArtifactsInput!$N$27+1,20,24,28,32,36,40),0)/100)),0)</f>
        <v/>
      </c>
      <c r="R1330">
        <f>IF(AND(Inputs!$B$38&lt;&gt;"pvp",Inputs!$B$43&gt;0),IF(MAX(0,Inputs!$B$43-B1340)&lt;=0,0,(INT(MAX(0,Inputs!$B$43-B1340)/(IF(Inputs!$B$38="pvp",15,MAX(0.1,Skills!E28-IF(Skills!F28=TRUE,Inputs!$B$32,0)))*(1-IF(AND(ArtifactsInput!$M$27,Inputs!$B$4="Chapter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Skills!T6*(1+((Inputs!$B$34+(ArtifactsInput!$M$7-ArtifactsInput!$M$7)*CHOOSE(ArtifactsInput!$N$7+1,6,7.2,8.4,9.6,10.8,12))+IF(Inputs!$B$3&gt;=117,F1327,0))/100))+MIN((Skills!T6*(1+((Inputs!$B$34+(ArtifactsInput!$M$7-ArtifactsInput!$M$7)*CHOOSE(ArtifactsInput!$N$7+1,6,7.2,8.4,9.6,10.8,12))+IF(Inputs!$B$3&gt;=117,F1327,0))/100)),MAX(0,Inputs!$B$43-((R1308-1)*Skills!E6))))/Inputs!$B$43),IF(Inputs!$B$38="pvp",MIN((Skills!T6*(1+((Inputs!$B$34+(ArtifactsInput!$M$7-ArtifactsInput!$M$7)*CHOOSE(ArtifactsInput!$N$7+1,6,7.2,8.4,9.6,10.8,12))+IF(Inputs!$B$3&gt;=117,F1327,0))/100)),15)/15,(Skills!T6*(1+((Inputs!$B$34+(ArtifactsInput!$M$7-ArtifactsInput!$M$7)*CHOOSE(ArtifactsInput!$N$7+1,6,7.2,8.4,9.6,10.8,12))+IF(Inputs!$B$3&gt;=117,F1327,0))/100))/Skills!E6))+F1319*IF(AND(Inputs!$B$38&lt;&gt;"pvp",Inputs!$B$43&gt;0),(((R1319-1)*(Skills!T17*(1+((Inputs!$B$34+(ArtifactsInput!$M$7-ArtifactsInput!$M$7)*CHOOSE(ArtifactsInput!$N$7+1,6,7.2,8.4,9.6,10.8,12))+IF(Inputs!$B$3&gt;=117,F1327,0))/100))+MIN((Skills!T17*(1+((Inputs!$B$34+(ArtifactsInput!$M$7-ArtifactsInput!$M$7)*CHOOSE(ArtifactsInput!$N$7+1,6,7.2,8.4,9.6,10.8,12))+IF(Inputs!$B$3&gt;=117,F1327,0))/100)),MAX(0,Inputs!$B$43-((R1319-1)*Skills!E17))))/Inputs!$B$43),IF(Inputs!$B$38="pvp",MIN((Skills!T17*(1+((Inputs!$B$34+(ArtifactsInput!$M$7-ArtifactsInput!$M$7)*CHOOSE(ArtifactsInput!$N$7+1,6,7.2,8.4,9.6,10.8,12))+IF(Inputs!$B$3&gt;=117,F1327,0))/100)),15)/15,(Skills!T17*(1+((Inputs!$B$34+(ArtifactsInput!$M$7-ArtifactsInput!$M$7)*CHOOSE(ArtifactsInput!$N$7+1,6,7.2,8.4,9.6,10.8,12))+IF(Inputs!$B$3&gt;=117,F1327,0)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Skills!T19*(1+((Inputs!$B$34+(ArtifactsInput!$M$7-ArtifactsInput!$M$7)*CHOOSE(ArtifactsInput!$N$7+1,6,7.2,8.4,9.6,10.8,12))+IF(Inputs!$B$3&gt;=117,F1327,0))/100))+MIN((Skills!T19*(1+((Inputs!$B$34+(ArtifactsInput!$M$7-ArtifactsInput!$M$7)*CHOOSE(ArtifactsInput!$N$7+1,6,7.2,8.4,9.6,10.8,12))+IF(Inputs!$B$3&gt;=117,F1327,0))/100)),MAX(0,Inputs!$B$43-((R1321-1)*Skills!E19))))/Inputs!$B$43),IF(Inputs!$B$38="pvp",MIN((Skills!T19*(1+((Inputs!$B$34+(ArtifactsInput!$M$7-ArtifactsInput!$M$7)*CHOOSE(ArtifactsInput!$N$7+1,6,7.2,8.4,9.6,10.8,12))+IF(Inputs!$B$3&gt;=117,F1327,0))/100)),15)/15,(Skills!T19*(1+((Inputs!$B$34+(ArtifactsInput!$M$7-ArtifactsInput!$M$7)*CHOOSE(ArtifactsInput!$N$7+1,6,7.2,8.4,9.6,10.8,12))+IF(Inputs!$B$3&gt;=117,F1327,0))/100))/Skills!E19))/100),1)</f>
        <v/>
      </c>
    </row>
    <row r="1335">
      <c r="A1335" t="inlineStr">
        <is>
          <t>Attack Speed Buff Bonus % (Nimble Feet, averaged)</t>
        </is>
      </c>
      <c r="B1335">
        <f>F1320*IF(AND(Inputs!$B$38&lt;&gt;"pvp",Inputs!$B$43&gt;0),(((R1320-1)*(Skills!T18*(1+((Inputs!$B$34+(ArtifactsInput!$M$7-ArtifactsInput!$M$7)*CHOOSE(ArtifactsInput!$N$7+1,6,7.2,8.4,9.6,10.8,12))+IF(Inputs!$B$3&gt;=117,F1327,0))/100))+MIN((Skills!T18*(1+((Inputs!$B$34+(ArtifactsInput!$M$7-ArtifactsInput!$M$7)*CHOOSE(ArtifactsInput!$N$7+1,6,7.2,8.4,9.6,10.8,12))+IF(Inputs!$B$3&gt;=117,F1327,0))/100)),MAX(0,Inputs!$B$43-((R1320-1)*Skills!E18))))/Inputs!$B$43),IF(Inputs!$B$38="pvp",MIN((Skills!T18*(1+((Inputs!$B$34+(ArtifactsInput!$M$7-ArtifactsInput!$M$7)*CHOOSE(ArtifactsInput!$N$7+1,6,7.2,8.4,9.6,10.8,12))+IF(Inputs!$B$3&gt;=117,F1327,0))/100)),15)/15,(Skills!T18*(1+((Inputs!$B$34+(ArtifactsInput!$M$7-ArtifactsInput!$M$7)*CHOOSE(ArtifactsInput!$N$7+1,6,7.2,8.4,9.6,10.8,12))+IF(Inputs!$B$3&gt;=117,F1327,0))/100))/Skills!E18))</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IFERROR(1/(IF(Inputs!$B$38="pvp",15,MAX(0.1,Skills!E2-IF(Skills!F2=TRUE,Inputs!$B$32,0)))*(1-IF(AND(ArtifactsInput!$M$27,Inputs!$B$4="Chapter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IFERROR(1/(IF(Inputs!$B$38="pvp",15,MAX(0.1,Skills!E3-IF(Skills!F3=TRUE,Inputs!$B$32,0)))*(1-IF(AND(ArtifactsInput!$M$27,Inputs!$B$4="Chapter Hunt"),CHOOSE(ArtifactsInput!$N$27+1,20,24,28,32,36,40),0)/100)),0)</f>
        <v/>
      </c>
      <c r="R1349">
        <f>IF(AND(Inputs!$B$38&lt;&gt;"pvp",Inputs!$B$43&gt;0),IF(MAX(0,Inputs!$B$43-B1384)&lt;=0,0,(INT(MAX(0,Inputs!$B$43-B1384)/(IF(Inputs!$B$38="pvp",15,MAX(0.1,Skills!E3-IF(Skills!F3=TRUE,Inputs!$B$32,0)))*(1-IF(AND(ArtifactsInput!$M$27,Inputs!$B$4="Chapter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IFERROR(1/(IF(Inputs!$B$38="pvp",15,MAX(0.1,Skills!E4-IF(Skills!F4=TRUE,Inputs!$B$32,0)))*(1-IF(AND(ArtifactsInput!$M$27,Inputs!$B$4="Chapter Hunt"),CHOOSE(ArtifactsInput!$N$27+1,20,24,28,32,36,40),0)/100)),0)</f>
        <v/>
      </c>
      <c r="R1350">
        <f>IF(AND(Inputs!$B$38&lt;&gt;"pvp",Inputs!$B$43&gt;0),IF(MAX(0,Inputs!$B$43-B1384)&lt;=0,0,(INT(MAX(0,Inputs!$B$43-B1384)/(IF(Inputs!$B$38="pvp",15,MAX(0.1,Skills!E4-IF(Skills!F4=TRUE,Inputs!$B$32,0)))*(1-IF(AND(ArtifactsInput!$M$27,Inputs!$B$4="Chapter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IFERROR(1/(IF(Inputs!$B$38="pvp",15,MAX(0.1,Skills!E5-IF(Skills!F5=TRUE,Inputs!$B$32,0)))*(1-IF(AND(ArtifactsInput!$M$27,Inputs!$B$4="Chapter Hunt"),CHOOSE(ArtifactsInput!$N$27+1,20,24,28,32,36,40),0)/100)),0)</f>
        <v/>
      </c>
      <c r="R1351">
        <f>IF(AND(Inputs!$B$38&lt;&gt;"pvp",Inputs!$B$43&gt;0),IF(MAX(0,Inputs!$B$43-B1384)&lt;=0,0,(INT(MAX(0,Inputs!$B$43-B1384)/(IF(Inputs!$B$38="pvp",15,MAX(0.1,Skills!E5-IF(Skills!F5=TRUE,Inputs!$B$32,0)))*(1-IF(AND(ArtifactsInput!$M$27,Inputs!$B$4="Chapter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IFERROR(1/(IF(Inputs!$B$38="pvp",15,MAX(0.1,Skills!E6-IF(Skills!F6=TRUE,Inputs!$B$32,0)))*(1-IF(AND(ArtifactsInput!$M$27,Inputs!$B$4="Chapter Hunt"),CHOOSE(ArtifactsInput!$N$27+1,20,24,28,32,36,40),0)/100)),0)</f>
        <v/>
      </c>
      <c r="R1352">
        <f>IF(AND(Inputs!$B$38&lt;&gt;"pvp",Inputs!$B$43&gt;0),IF(Inputs!$B$43&lt;=0,0,(INT(Inputs!$B$43/(IF(Inputs!$B$38="pvp",15,MAX(0.1,Skills!E6-IF(Skills!F6=TRUE,Inputs!$B$32,0)))*(1-IF(AND(ArtifactsInput!$M$27,Inputs!$B$4="Chapter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IFERROR(1/(IF(Inputs!$B$38="pvp",15,MAX(0.1,Skills!E7-IF(Skills!F7=TRUE,Inputs!$B$32,0)))*(1-IF(AND(ArtifactsInput!$M$27,Inputs!$B$4="Chapter Hunt"),CHOOSE(ArtifactsInput!$N$27+1,20,24,28,32,36,40),0)/100)),0)</f>
        <v/>
      </c>
      <c r="R1353">
        <f>IF(AND(Inputs!$B$38&lt;&gt;"pvp",Inputs!$B$43&gt;0),IF(MAX(0,Inputs!$B$43-B1384)&lt;=0,0,(INT(MAX(0,Inputs!$B$43-B1384)/(IF(Inputs!$B$38="pvp",15,MAX(0.1,Skills!E7-IF(Skills!F7=TRUE,Inputs!$B$32,0)))*(1-IF(AND(ArtifactsInput!$M$27,Inputs!$B$4="Chapter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IFERROR(1/(IF(Inputs!$B$38="pvp",15,MAX(0.1,Skills!E8-IF(Skills!F8=TRUE,Inputs!$B$32,0)))*(1-IF(AND(ArtifactsInput!$M$27,Inputs!$B$4="Chapter Hunt"),CHOOSE(ArtifactsInput!$N$27+1,20,24,28,32,36,40),0)/100)),0)</f>
        <v/>
      </c>
      <c r="R1354">
        <f>IF(AND(Inputs!$B$38&lt;&gt;"pvp",Inputs!$B$43&gt;0),IF(MAX(0,Inputs!$B$43-B1384)&lt;=0,0,(INT(MAX(0,Inputs!$B$43-B1384)/(IF(Inputs!$B$38="pvp",15,MAX(0.1,Skills!E8-IF(Skills!F8=TRUE,Inputs!$B$32,0)))*(1-IF(AND(ArtifactsInput!$M$27,Inputs!$B$4="Chapter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IFERROR(1/(IF(Inputs!$B$38="pvp",15,MAX(0.1,Skills!E9-IF(Skills!F7=TRUE,Inputs!$B$32,0)))*(1-IF(AND(ArtifactsInput!$M$27,Inputs!$B$4="Chapter Hunt"),CHOOSE(ArtifactsInput!$N$27+1,20,24,28,32,36,40),0)/100)),0)</f>
        <v/>
      </c>
      <c r="R1355">
        <f>IF(AND(Inputs!$B$38&lt;&gt;"pvp",Inputs!$B$43&gt;0),IF(MAX(0,Inputs!$B$43-B1384)&lt;=0,0,(INT(MAX(0,Inputs!$B$43-B1384)/(IF(Inputs!$B$38="pvp",15,MAX(0.1,Skills!E9-IF(Skills!F7=TRUE,Inputs!$B$32,0)))*(1-IF(AND(ArtifactsInput!$M$27,Inputs!$B$4="Chapter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IFERROR(1/(IF(Inputs!$B$38="pvp",15,MAX(0.1,Skills!E10-IF(Skills!F10=TRUE,Inputs!$B$32,0)))*(1-IF(AND(ArtifactsInput!$M$27,Inputs!$B$4="Chapter Hunt"),CHOOSE(ArtifactsInput!$N$27+1,20,24,28,32,36,40),0)/100)),0)</f>
        <v/>
      </c>
      <c r="R1356">
        <f>IF(AND(Inputs!$B$38&lt;&gt;"pvp",Inputs!$B$43&gt;0),IF(MAX(0,Inputs!$B$43-B1384)&lt;=0,0,(INT(MAX(0,Inputs!$B$43-B1384)/(IF(Inputs!$B$38="pvp",15,MAX(0.1,Skills!E10-IF(Skills!F10=TRUE,Inputs!$B$32,0)))*(1-IF(AND(ArtifactsInput!$M$27,Inputs!$B$4="Chapter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IFERROR(1/(IF(Inputs!$B$38="pvp",15,MAX(0.1,Skills!E11-IF(Skills!F11=TRUE,Inputs!$B$32,0)))*(1-IF(AND(ArtifactsInput!$M$27,Inputs!$B$4="Chapter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IFERROR(1/(IF(Inputs!$B$38="pvp",15,MAX(0.1,Skills!E12-IF(Skills!F12=TRUE,Inputs!$B$32,0)))*(1-IF(AND(ArtifactsInput!$M$27,Inputs!$B$4="Chapter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IFERROR(1/(IF(Inputs!$B$38="pvp",15,MAX(0.1,Skills!E13-IF(Skills!F13=TRUE,Inputs!$B$32,0)))*(1-IF(AND(ArtifactsInput!$M$27,Inputs!$B$4="Chapter Hunt"),CHOOSE(ArtifactsInput!$N$27+1,20,24,28,32,36,40),0)/100)),0)</f>
        <v/>
      </c>
      <c r="R1359">
        <f>IF(AND(Inputs!$B$38&lt;&gt;"pvp",Inputs!$B$43&gt;0),IF(MAX(0,Inputs!$B$43-B1384)&lt;=0,0,(INT(MAX(0,Inputs!$B$43-B1384)/(IF(Inputs!$B$38="pvp",15,MAX(0.1,Skills!E13-IF(Skills!F13=TRUE,Inputs!$B$32,0)))*(1-IF(AND(ArtifactsInput!$M$27,Inputs!$B$4="Chapter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IFERROR(1/(IF(Inputs!$B$38="pvp",15,MAX(0.1,Skills!E14-IF(Skills!F14=TRUE,Inputs!$B$32,0)))*(1-IF(AND(ArtifactsInput!$M$27,Inputs!$B$4="Chapter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IFERROR(1/(IF(Inputs!$B$38="pvp",15,MAX(0.1,Skills!E15-IF(Skills!F15=TRUE,Inputs!$B$32,0)))*(1-IF(AND(ArtifactsInput!$M$27,Inputs!$B$4="Chapter Hunt"),CHOOSE(ArtifactsInput!$N$27+1,20,24,28,32,36,40),0)/100)),0)</f>
        <v/>
      </c>
      <c r="R1361">
        <f>IF(AND(Inputs!$B$38&lt;&gt;"pvp",Inputs!$B$43&gt;0),IF(MAX(0,Inputs!$B$43-B1384)&lt;=0,0,(INT(MAX(0,Inputs!$B$43-B1384)/(IF(Inputs!$B$38="pvp",15,MAX(0.1,Skills!E15-IF(Skills!F15=TRUE,Inputs!$B$32,0)))*(1-IF(AND(ArtifactsInput!$M$27,Inputs!$B$4="Chapter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IFERROR(1/(IF(Inputs!$B$38="pvp",15,MAX(0.1,Skills!E16-IF(Skills!F16=TRUE,Inputs!$B$32,0)))*(1-IF(AND(ArtifactsInput!$M$27,Inputs!$B$4="Chapter Hunt"),CHOOSE(ArtifactsInput!$N$27+1,20,24,28,32,36,40),0)/100)),0)</f>
        <v/>
      </c>
      <c r="R1362">
        <f>IF(AND(Inputs!$B$38&lt;&gt;"pvp",Inputs!$B$43&gt;0),IF(MAX(0,Inputs!$B$43-B1384)&lt;=0,0,(INT(MAX(0,Inputs!$B$43-B1384)/(IF(Inputs!$B$38="pvp",15,MAX(0.1,Skills!E16-IF(Skills!F16=TRUE,Inputs!$B$32,0)))*(1-IF(AND(ArtifactsInput!$M$27,Inputs!$B$4="Chapter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IFERROR(1/(IF(Inputs!$B$38="pvp",15,MAX(0.1,Skills!E17-IF(Skills!F17=TRUE,Inputs!$B$32,0)))*(1-IF(AND(ArtifactsInput!$M$27,Inputs!$B$4="Chapter Hunt"),CHOOSE(ArtifactsInput!$N$27+1,20,24,28,32,36,40),0)/100)),0)</f>
        <v/>
      </c>
      <c r="R1363">
        <f>IF(AND(Inputs!$B$38&lt;&gt;"pvp",Inputs!$B$43&gt;0),IF(Inputs!$B$43&lt;=0,0,(INT(Inputs!$B$43/(IF(Inputs!$B$38="pvp",15,MAX(0.1,Skills!E17-IF(Skills!F17=TRUE,Inputs!$B$32,0)))*(1-IF(AND(ArtifactsInput!$M$27,Inputs!$B$4="Chapter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IFERROR(1/(IF(Inputs!$B$38="pvp",15,MAX(0.1,Skills!E18-IF(Skills!F18=TRUE,Inputs!$B$32,0)))*(1-IF(AND(ArtifactsInput!$M$27,Inputs!$B$4="Chapter Hunt"),CHOOSE(ArtifactsInput!$N$27+1,20,24,28,32,36,40),0)/100)),0)</f>
        <v/>
      </c>
      <c r="R1364">
        <f>IF(AND(Inputs!$B$38&lt;&gt;"pvp",Inputs!$B$43&gt;0),IF(Inputs!$B$43&lt;=0,0,(INT(Inputs!$B$43/(IF(Inputs!$B$38="pvp",15,MAX(0.1,Skills!E18-IF(Skills!F18=TRUE,Inputs!$B$32,0)))*(1-IF(AND(ArtifactsInput!$M$27,Inputs!$B$4="Chapter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IFERROR(1/(IF(Inputs!$B$38="pvp",15,MAX(0.1,Skills!E19-IF(Skills!F19=TRUE,Inputs!$B$32,0)))*(1-IF(AND(ArtifactsInput!$M$27,Inputs!$B$4="Chapter Hunt"),CHOOSE(ArtifactsInput!$N$27+1,20,24,28,32,36,40),0)/100)),0)</f>
        <v/>
      </c>
      <c r="R1365">
        <f>IF(AND(Inputs!$B$38&lt;&gt;"pvp",Inputs!$B$43&gt;0),IF(Inputs!$B$43&lt;=0,0,(INT(Inputs!$B$43/(IF(Inputs!$B$38="pvp",15,MAX(0.1,Skills!E19-IF(Skills!F19=TRUE,Inputs!$B$32,0)))*(1-IF(AND(ArtifactsInput!$M$27,Inputs!$B$4="Chapter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IFERROR(1/(IF(Inputs!$B$38="pvp",15,MAX(0.1,Skills!E20-IF(Skills!F20=TRUE,Inputs!$B$32,0)))*(1-IF(AND(ArtifactsInput!$M$27,Inputs!$B$4="Chapter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IFERROR(1/(IF(Inputs!$B$38="pvp",15,MAX(0.1,Skills!E21-IF(Skills!F21=TRUE,Inputs!$B$32,0)))*(1-IF(AND(ArtifactsInput!$M$27,Inputs!$B$4="Chapter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IFERROR(1/(IF(Inputs!$B$38="pvp",15,MAX(0.1,Skills!E22-IF(Skills!F22=TRUE,Inputs!$B$32,0)))*(1-IF(AND(ArtifactsInput!$M$27,Inputs!$B$4="Chapter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IFERROR(1/(IF(Inputs!$B$38="pvp",15,MAX(0.1,Skills!E23-IF(Skills!F23=TRUE,Inputs!$B$32,0)))*(1-IF(AND(ArtifactsInput!$M$27,Inputs!$B$4="Chapter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IFERROR(1/(IF(Inputs!$B$38="pvp",15,MAX(0.1,Skills!E24-IF(Skills!F24=TRUE,Inputs!$B$32,0)))*(1-IF(AND(ArtifactsInput!$M$27,Inputs!$B$4="Chapter Hunt"),CHOOSE(ArtifactsInput!$N$27+1,20,24,28,32,36,40),0)/100)),0)</f>
        <v/>
      </c>
      <c r="R1370">
        <f>IF(AND(Inputs!$B$38&lt;&gt;"pvp",Inputs!$B$43&gt;0),IF(MAX(0,Inputs!$B$43-B1384)&lt;=0,0,(INT(MAX(0,Inputs!$B$43-B1384)/(IF(Inputs!$B$38="pvp",15,MAX(0.1,Skills!E24-IF(Skills!F24=TRUE,Inputs!$B$32,0)))*(1-IF(AND(ArtifactsInput!$M$27,Inputs!$B$4="Chapter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IFERROR(1/(IF(Inputs!$B$38="pvp",15,MAX(0.1,Skills!E25-IF(Skills!F25=TRUE,Inputs!$B$32,0)))*(1-IF(AND(ArtifactsInput!$M$27,Inputs!$B$4="Chapter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IFERROR(1/(IF(Inputs!$B$38="pvp",15,MAX(0.1,Skills!E26-IF(Skills!F26=TRUE,Inputs!$B$32,0)))*(1-IF(AND(ArtifactsInput!$M$27,Inputs!$B$4="Chapter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IFERROR(1/(IF(Inputs!$B$38="pvp",15,MAX(0.1,Skills!E27-IF(Skills!F27=TRUE,Inputs!$B$32,0)))*(1-IF(AND(ArtifactsInput!$M$27,Inputs!$B$4="Chapter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IFERROR(1/(IF(Inputs!$B$38="pvp",15,MAX(0.1,Skills!E28-IF(Skills!F28=TRUE,Inputs!$B$32,0)))*(1-IF(AND(ArtifactsInput!$M$27,Inputs!$B$4="Chapter Hunt"),CHOOSE(ArtifactsInput!$N$27+1,20,24,28,32,36,40),0)/100)),0)</f>
        <v/>
      </c>
      <c r="R1374">
        <f>IF(AND(Inputs!$B$38&lt;&gt;"pvp",Inputs!$B$43&gt;0),IF(MAX(0,Inputs!$B$43-B1384)&lt;=0,0,(INT(MAX(0,Inputs!$B$43-B1384)/(IF(Inputs!$B$38="pvp",15,MAX(0.1,Skills!E28-IF(Skills!F28=TRUE,Inputs!$B$32,0)))*(1-IF(AND(ArtifactsInput!$M$27,Inputs!$B$4="Chapter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Skills!T6*(1+((Inputs!$B$34+(ArtifactsInput!$M$7-ArtifactsInput!$M$7)*CHOOSE(ArtifactsInput!$N$7+1,6,7.2,8.4,9.6,10.8,12))+IF(Inputs!$B$3&gt;=117,F1371,0))/100))+MIN((Skills!T6*(1+((Inputs!$B$34+(ArtifactsInput!$M$7-ArtifactsInput!$M$7)*CHOOSE(ArtifactsInput!$N$7+1,6,7.2,8.4,9.6,10.8,12))+IF(Inputs!$B$3&gt;=117,F1371,0))/100)),MAX(0,Inputs!$B$43-((R1352-1)*Skills!E6))))/Inputs!$B$43),IF(Inputs!$B$38="pvp",MIN((Skills!T6*(1+((Inputs!$B$34+(ArtifactsInput!$M$7-ArtifactsInput!$M$7)*CHOOSE(ArtifactsInput!$N$7+1,6,7.2,8.4,9.6,10.8,12))+IF(Inputs!$B$3&gt;=117,F1371,0))/100)),15)/15,(Skills!T6*(1+((Inputs!$B$34+(ArtifactsInput!$M$7-ArtifactsInput!$M$7)*CHOOSE(ArtifactsInput!$N$7+1,6,7.2,8.4,9.6,10.8,12))+IF(Inputs!$B$3&gt;=117,F1371,0))/100))/Skills!E6))+F1363*IF(AND(Inputs!$B$38&lt;&gt;"pvp",Inputs!$B$43&gt;0),(((R1363-1)*(Skills!T17*(1+((Inputs!$B$34+(ArtifactsInput!$M$7-ArtifactsInput!$M$7)*CHOOSE(ArtifactsInput!$N$7+1,6,7.2,8.4,9.6,10.8,12))+IF(Inputs!$B$3&gt;=117,F1371,0))/100))+MIN((Skills!T17*(1+((Inputs!$B$34+(ArtifactsInput!$M$7-ArtifactsInput!$M$7)*CHOOSE(ArtifactsInput!$N$7+1,6,7.2,8.4,9.6,10.8,12))+IF(Inputs!$B$3&gt;=117,F1371,0))/100)),MAX(0,Inputs!$B$43-((R1363-1)*Skills!E17))))/Inputs!$B$43),IF(Inputs!$B$38="pvp",MIN((Skills!T17*(1+((Inputs!$B$34+(ArtifactsInput!$M$7-ArtifactsInput!$M$7)*CHOOSE(ArtifactsInput!$N$7+1,6,7.2,8.4,9.6,10.8,12))+IF(Inputs!$B$3&gt;=117,F1371,0))/100)),15)/15,(Skills!T17*(1+((Inputs!$B$34+(ArtifactsInput!$M$7-ArtifactsInput!$M$7)*CHOOSE(ArtifactsInput!$N$7+1,6,7.2,8.4,9.6,10.8,12))+IF(Inputs!$B$3&gt;=117,F1371,0)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Skills!T19*(1+((Inputs!$B$34+(ArtifactsInput!$M$7-ArtifactsInput!$M$7)*CHOOSE(ArtifactsInput!$N$7+1,6,7.2,8.4,9.6,10.8,12))+IF(Inputs!$B$3&gt;=117,F1371,0))/100))+MIN((Skills!T19*(1+((Inputs!$B$34+(ArtifactsInput!$M$7-ArtifactsInput!$M$7)*CHOOSE(ArtifactsInput!$N$7+1,6,7.2,8.4,9.6,10.8,12))+IF(Inputs!$B$3&gt;=117,F1371,0))/100)),MAX(0,Inputs!$B$43-((R1365-1)*Skills!E19))))/Inputs!$B$43),IF(Inputs!$B$38="pvp",MIN((Skills!T19*(1+((Inputs!$B$34+(ArtifactsInput!$M$7-ArtifactsInput!$M$7)*CHOOSE(ArtifactsInput!$N$7+1,6,7.2,8.4,9.6,10.8,12))+IF(Inputs!$B$3&gt;=117,F1371,0))/100)),15)/15,(Skills!T19*(1+((Inputs!$B$34+(ArtifactsInput!$M$7-ArtifactsInput!$M$7)*CHOOSE(ArtifactsInput!$N$7+1,6,7.2,8.4,9.6,10.8,12))+IF(Inputs!$B$3&gt;=117,F1371,0))/100))/Skills!E19))/100),1)</f>
        <v/>
      </c>
    </row>
    <row r="1379">
      <c r="A1379" t="inlineStr">
        <is>
          <t>Attack Speed Buff Bonus % (Nimble Feet, averaged)</t>
        </is>
      </c>
      <c r="B1379">
        <f>F1364*IF(AND(Inputs!$B$38&lt;&gt;"pvp",Inputs!$B$43&gt;0),(((R1364-1)*(Skills!T18*(1+((Inputs!$B$34+(ArtifactsInput!$M$7-ArtifactsInput!$M$7)*CHOOSE(ArtifactsInput!$N$7+1,6,7.2,8.4,9.6,10.8,12))+IF(Inputs!$B$3&gt;=117,F1371,0))/100))+MIN((Skills!T18*(1+((Inputs!$B$34+(ArtifactsInput!$M$7-ArtifactsInput!$M$7)*CHOOSE(ArtifactsInput!$N$7+1,6,7.2,8.4,9.6,10.8,12))+IF(Inputs!$B$3&gt;=117,F1371,0))/100)),MAX(0,Inputs!$B$43-((R1364-1)*Skills!E18))))/Inputs!$B$43),IF(Inputs!$B$38="pvp",MIN((Skills!T18*(1+((Inputs!$B$34+(ArtifactsInput!$M$7-ArtifactsInput!$M$7)*CHOOSE(ArtifactsInput!$N$7+1,6,7.2,8.4,9.6,10.8,12))+IF(Inputs!$B$3&gt;=117,F1371,0))/100)),15)/15,(Skills!T18*(1+((Inputs!$B$34+(ArtifactsInput!$M$7-ArtifactsInput!$M$7)*CHOOSE(ArtifactsInput!$N$7+1,6,7.2,8.4,9.6,10.8,12))+IF(Inputs!$B$3&gt;=117,F1371,0))/100))/Skills!E18))</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IFERROR(1/(IF(Inputs!$B$38="pvp",15,MAX(0.1,Skills!E2-IF(Skills!F2=TRUE,Inputs!$B$32,0)))*(1-IF(AND(ArtifactsInput!$M$27,Inputs!$B$4="Chapter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IFERROR(1/(IF(Inputs!$B$38="pvp",15,MAX(0.1,Skills!E3-IF(Skills!F3=TRUE,Inputs!$B$32,0)))*(1-IF(AND(ArtifactsInput!$M$27,Inputs!$B$4="Chapter Hunt"),CHOOSE(ArtifactsInput!$N$27+1,20,24,28,32,36,40),0)/100)),0)</f>
        <v/>
      </c>
      <c r="R1393">
        <f>IF(AND(Inputs!$B$38&lt;&gt;"pvp",Inputs!$B$43&gt;0),IF(MAX(0,Inputs!$B$43-B1428)&lt;=0,0,(INT(MAX(0,Inputs!$B$43-B1428)/(IF(Inputs!$B$38="pvp",15,MAX(0.1,Skills!E3-IF(Skills!F3=TRUE,Inputs!$B$32,0)))*(1-IF(AND(ArtifactsInput!$M$27,Inputs!$B$4="Chapter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IFERROR(1/(IF(Inputs!$B$38="pvp",15,MAX(0.1,Skills!E4-IF(Skills!F4=TRUE,Inputs!$B$32,0)))*(1-IF(AND(ArtifactsInput!$M$27,Inputs!$B$4="Chapter Hunt"),CHOOSE(ArtifactsInput!$N$27+1,20,24,28,32,36,40),0)/100)),0)</f>
        <v/>
      </c>
      <c r="R1394">
        <f>IF(AND(Inputs!$B$38&lt;&gt;"pvp",Inputs!$B$43&gt;0),IF(MAX(0,Inputs!$B$43-B1428)&lt;=0,0,(INT(MAX(0,Inputs!$B$43-B1428)/(IF(Inputs!$B$38="pvp",15,MAX(0.1,Skills!E4-IF(Skills!F4=TRUE,Inputs!$B$32,0)))*(1-IF(AND(ArtifactsInput!$M$27,Inputs!$B$4="Chapter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IFERROR(1/(IF(Inputs!$B$38="pvp",15,MAX(0.1,Skills!E5-IF(Skills!F5=TRUE,Inputs!$B$32,0)))*(1-IF(AND(ArtifactsInput!$M$27,Inputs!$B$4="Chapter Hunt"),CHOOSE(ArtifactsInput!$N$27+1,20,24,28,32,36,40),0)/100)),0)</f>
        <v/>
      </c>
      <c r="R1395">
        <f>IF(AND(Inputs!$B$38&lt;&gt;"pvp",Inputs!$B$43&gt;0),IF(MAX(0,Inputs!$B$43-B1428)&lt;=0,0,(INT(MAX(0,Inputs!$B$43-B1428)/(IF(Inputs!$B$38="pvp",15,MAX(0.1,Skills!E5-IF(Skills!F5=TRUE,Inputs!$B$32,0)))*(1-IF(AND(ArtifactsInput!$M$27,Inputs!$B$4="Chapter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IFERROR(1/(IF(Inputs!$B$38="pvp",15,MAX(0.1,Skills!E6-IF(Skills!F6=TRUE,Inputs!$B$32,0)))*(1-IF(AND(ArtifactsInput!$M$27,Inputs!$B$4="Chapter Hunt"),CHOOSE(ArtifactsInput!$N$27+1,20,24,28,32,36,40),0)/100)),0)</f>
        <v/>
      </c>
      <c r="R1396">
        <f>IF(AND(Inputs!$B$38&lt;&gt;"pvp",Inputs!$B$43&gt;0),IF(Inputs!$B$43&lt;=0,0,(INT(Inputs!$B$43/(IF(Inputs!$B$38="pvp",15,MAX(0.1,Skills!E6-IF(Skills!F6=TRUE,Inputs!$B$32,0)))*(1-IF(AND(ArtifactsInput!$M$27,Inputs!$B$4="Chapter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IFERROR(1/(IF(Inputs!$B$38="pvp",15,MAX(0.1,Skills!E7-IF(Skills!F7=TRUE,Inputs!$B$32,0)))*(1-IF(AND(ArtifactsInput!$M$27,Inputs!$B$4="Chapter Hunt"),CHOOSE(ArtifactsInput!$N$27+1,20,24,28,32,36,40),0)/100)),0)</f>
        <v/>
      </c>
      <c r="R1397">
        <f>IF(AND(Inputs!$B$38&lt;&gt;"pvp",Inputs!$B$43&gt;0),IF(MAX(0,Inputs!$B$43-B1428)&lt;=0,0,(INT(MAX(0,Inputs!$B$43-B1428)/(IF(Inputs!$B$38="pvp",15,MAX(0.1,Skills!E7-IF(Skills!F7=TRUE,Inputs!$B$32,0)))*(1-IF(AND(ArtifactsInput!$M$27,Inputs!$B$4="Chapter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IFERROR(1/(IF(Inputs!$B$38="pvp",15,MAX(0.1,Skills!E8-IF(Skills!F8=TRUE,Inputs!$B$32,0)))*(1-IF(AND(ArtifactsInput!$M$27,Inputs!$B$4="Chapter Hunt"),CHOOSE(ArtifactsInput!$N$27+1,20,24,28,32,36,40),0)/100)),0)</f>
        <v/>
      </c>
      <c r="R1398">
        <f>IF(AND(Inputs!$B$38&lt;&gt;"pvp",Inputs!$B$43&gt;0),IF(MAX(0,Inputs!$B$43-B1428)&lt;=0,0,(INT(MAX(0,Inputs!$B$43-B1428)/(IF(Inputs!$B$38="pvp",15,MAX(0.1,Skills!E8-IF(Skills!F8=TRUE,Inputs!$B$32,0)))*(1-IF(AND(ArtifactsInput!$M$27,Inputs!$B$4="Chapter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IFERROR(1/(IF(Inputs!$B$38="pvp",15,MAX(0.1,Skills!E9-IF(Skills!F7=TRUE,Inputs!$B$32,0)))*(1-IF(AND(ArtifactsInput!$M$27,Inputs!$B$4="Chapter Hunt"),CHOOSE(ArtifactsInput!$N$27+1,20,24,28,32,36,40),0)/100)),0)</f>
        <v/>
      </c>
      <c r="R1399">
        <f>IF(AND(Inputs!$B$38&lt;&gt;"pvp",Inputs!$B$43&gt;0),IF(MAX(0,Inputs!$B$43-B1428)&lt;=0,0,(INT(MAX(0,Inputs!$B$43-B1428)/(IF(Inputs!$B$38="pvp",15,MAX(0.1,Skills!E9-IF(Skills!F7=TRUE,Inputs!$B$32,0)))*(1-IF(AND(ArtifactsInput!$M$27,Inputs!$B$4="Chapter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IFERROR(1/(IF(Inputs!$B$38="pvp",15,MAX(0.1,Skills!E10-IF(Skills!F10=TRUE,Inputs!$B$32,0)))*(1-IF(AND(ArtifactsInput!$M$27,Inputs!$B$4="Chapter Hunt"),CHOOSE(ArtifactsInput!$N$27+1,20,24,28,32,36,40),0)/100)),0)</f>
        <v/>
      </c>
      <c r="R1400">
        <f>IF(AND(Inputs!$B$38&lt;&gt;"pvp",Inputs!$B$43&gt;0),IF(MAX(0,Inputs!$B$43-B1428)&lt;=0,0,(INT(MAX(0,Inputs!$B$43-B1428)/(IF(Inputs!$B$38="pvp",15,MAX(0.1,Skills!E10-IF(Skills!F10=TRUE,Inputs!$B$32,0)))*(1-IF(AND(ArtifactsInput!$M$27,Inputs!$B$4="Chapter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IFERROR(1/(IF(Inputs!$B$38="pvp",15,MAX(0.1,Skills!E11-IF(Skills!F11=TRUE,Inputs!$B$32,0)))*(1-IF(AND(ArtifactsInput!$M$27,Inputs!$B$4="Chapter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IFERROR(1/(IF(Inputs!$B$38="pvp",15,MAX(0.1,Skills!E12-IF(Skills!F12=TRUE,Inputs!$B$32,0)))*(1-IF(AND(ArtifactsInput!$M$27,Inputs!$B$4="Chapter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IFERROR(1/(IF(Inputs!$B$38="pvp",15,MAX(0.1,Skills!E13-IF(Skills!F13=TRUE,Inputs!$B$32,0)))*(1-IF(AND(ArtifactsInput!$M$27,Inputs!$B$4="Chapter Hunt"),CHOOSE(ArtifactsInput!$N$27+1,20,24,28,32,36,40),0)/100)),0)</f>
        <v/>
      </c>
      <c r="R1403">
        <f>IF(AND(Inputs!$B$38&lt;&gt;"pvp",Inputs!$B$43&gt;0),IF(MAX(0,Inputs!$B$43-B1428)&lt;=0,0,(INT(MAX(0,Inputs!$B$43-B1428)/(IF(Inputs!$B$38="pvp",15,MAX(0.1,Skills!E13-IF(Skills!F13=TRUE,Inputs!$B$32,0)))*(1-IF(AND(ArtifactsInput!$M$27,Inputs!$B$4="Chapter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IFERROR(1/(IF(Inputs!$B$38="pvp",15,MAX(0.1,Skills!E14-IF(Skills!F14=TRUE,Inputs!$B$32,0)))*(1-IF(AND(ArtifactsInput!$M$27,Inputs!$B$4="Chapter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IFERROR(1/(IF(Inputs!$B$38="pvp",15,MAX(0.1,Skills!E15-IF(Skills!F15=TRUE,Inputs!$B$32,0)))*(1-IF(AND(ArtifactsInput!$M$27,Inputs!$B$4="Chapter Hunt"),CHOOSE(ArtifactsInput!$N$27+1,20,24,28,32,36,40),0)/100)),0)</f>
        <v/>
      </c>
      <c r="R1405">
        <f>IF(AND(Inputs!$B$38&lt;&gt;"pvp",Inputs!$B$43&gt;0),IF(MAX(0,Inputs!$B$43-B1428)&lt;=0,0,(INT(MAX(0,Inputs!$B$43-B1428)/(IF(Inputs!$B$38="pvp",15,MAX(0.1,Skills!E15-IF(Skills!F15=TRUE,Inputs!$B$32,0)))*(1-IF(AND(ArtifactsInput!$M$27,Inputs!$B$4="Chapter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IFERROR(1/(IF(Inputs!$B$38="pvp",15,MAX(0.1,Skills!E16-IF(Skills!F16=TRUE,Inputs!$B$32,0)))*(1-IF(AND(ArtifactsInput!$M$27,Inputs!$B$4="Chapter Hunt"),CHOOSE(ArtifactsInput!$N$27+1,20,24,28,32,36,40),0)/100)),0)</f>
        <v/>
      </c>
      <c r="R1406">
        <f>IF(AND(Inputs!$B$38&lt;&gt;"pvp",Inputs!$B$43&gt;0),IF(MAX(0,Inputs!$B$43-B1428)&lt;=0,0,(INT(MAX(0,Inputs!$B$43-B1428)/(IF(Inputs!$B$38="pvp",15,MAX(0.1,Skills!E16-IF(Skills!F16=TRUE,Inputs!$B$32,0)))*(1-IF(AND(ArtifactsInput!$M$27,Inputs!$B$4="Chapter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IFERROR(1/(IF(Inputs!$B$38="pvp",15,MAX(0.1,Skills!E17-IF(Skills!F17=TRUE,Inputs!$B$32,0)))*(1-IF(AND(ArtifactsInput!$M$27,Inputs!$B$4="Chapter Hunt"),CHOOSE(ArtifactsInput!$N$27+1,20,24,28,32,36,40),0)/100)),0)</f>
        <v/>
      </c>
      <c r="R1407">
        <f>IF(AND(Inputs!$B$38&lt;&gt;"pvp",Inputs!$B$43&gt;0),IF(Inputs!$B$43&lt;=0,0,(INT(Inputs!$B$43/(IF(Inputs!$B$38="pvp",15,MAX(0.1,Skills!E17-IF(Skills!F17=TRUE,Inputs!$B$32,0)))*(1-IF(AND(ArtifactsInput!$M$27,Inputs!$B$4="Chapter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IFERROR(1/(IF(Inputs!$B$38="pvp",15,MAX(0.1,Skills!E18-IF(Skills!F18=TRUE,Inputs!$B$32,0)))*(1-IF(AND(ArtifactsInput!$M$27,Inputs!$B$4="Chapter Hunt"),CHOOSE(ArtifactsInput!$N$27+1,20,24,28,32,36,40),0)/100)),0)</f>
        <v/>
      </c>
      <c r="R1408">
        <f>IF(AND(Inputs!$B$38&lt;&gt;"pvp",Inputs!$B$43&gt;0),IF(Inputs!$B$43&lt;=0,0,(INT(Inputs!$B$43/(IF(Inputs!$B$38="pvp",15,MAX(0.1,Skills!E18-IF(Skills!F18=TRUE,Inputs!$B$32,0)))*(1-IF(AND(ArtifactsInput!$M$27,Inputs!$B$4="Chapter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IFERROR(1/(IF(Inputs!$B$38="pvp",15,MAX(0.1,Skills!E19-IF(Skills!F19=TRUE,Inputs!$B$32,0)))*(1-IF(AND(ArtifactsInput!$M$27,Inputs!$B$4="Chapter Hunt"),CHOOSE(ArtifactsInput!$N$27+1,20,24,28,32,36,40),0)/100)),0)</f>
        <v/>
      </c>
      <c r="R1409">
        <f>IF(AND(Inputs!$B$38&lt;&gt;"pvp",Inputs!$B$43&gt;0),IF(Inputs!$B$43&lt;=0,0,(INT(Inputs!$B$43/(IF(Inputs!$B$38="pvp",15,MAX(0.1,Skills!E19-IF(Skills!F19=TRUE,Inputs!$B$32,0)))*(1-IF(AND(ArtifactsInput!$M$27,Inputs!$B$4="Chapter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IFERROR(1/(IF(Inputs!$B$38="pvp",15,MAX(0.1,Skills!E20-IF(Skills!F20=TRUE,Inputs!$B$32,0)))*(1-IF(AND(ArtifactsInput!$M$27,Inputs!$B$4="Chapter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IFERROR(1/(IF(Inputs!$B$38="pvp",15,MAX(0.1,Skills!E21-IF(Skills!F21=TRUE,Inputs!$B$32,0)))*(1-IF(AND(ArtifactsInput!$M$27,Inputs!$B$4="Chapter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IFERROR(1/(IF(Inputs!$B$38="pvp",15,MAX(0.1,Skills!E22-IF(Skills!F22=TRUE,Inputs!$B$32,0)))*(1-IF(AND(ArtifactsInput!$M$27,Inputs!$B$4="Chapter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IFERROR(1/(IF(Inputs!$B$38="pvp",15,MAX(0.1,Skills!E23-IF(Skills!F23=TRUE,Inputs!$B$32,0)))*(1-IF(AND(ArtifactsInput!$M$27,Inputs!$B$4="Chapter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IFERROR(1/(IF(Inputs!$B$38="pvp",15,MAX(0.1,Skills!E24-IF(Skills!F24=TRUE,Inputs!$B$32,0)))*(1-IF(AND(ArtifactsInput!$M$27,Inputs!$B$4="Chapter Hunt"),CHOOSE(ArtifactsInput!$N$27+1,20,24,28,32,36,40),0)/100)),0)</f>
        <v/>
      </c>
      <c r="R1414">
        <f>IF(AND(Inputs!$B$38&lt;&gt;"pvp",Inputs!$B$43&gt;0),IF(MAX(0,Inputs!$B$43-B1428)&lt;=0,0,(INT(MAX(0,Inputs!$B$43-B1428)/(IF(Inputs!$B$38="pvp",15,MAX(0.1,Skills!E24-IF(Skills!F24=TRUE,Inputs!$B$32,0)))*(1-IF(AND(ArtifactsInput!$M$27,Inputs!$B$4="Chapter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IFERROR(1/(IF(Inputs!$B$38="pvp",15,MAX(0.1,Skills!E25-IF(Skills!F25=TRUE,Inputs!$B$32,0)))*(1-IF(AND(ArtifactsInput!$M$27,Inputs!$B$4="Chapter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IFERROR(1/(IF(Inputs!$B$38="pvp",15,MAX(0.1,Skills!E26-IF(Skills!F26=TRUE,Inputs!$B$32,0)))*(1-IF(AND(ArtifactsInput!$M$27,Inputs!$B$4="Chapter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IFERROR(1/(IF(Inputs!$B$38="pvp",15,MAX(0.1,Skills!E27-IF(Skills!F27=TRUE,Inputs!$B$32,0)))*(1-IF(AND(ArtifactsInput!$M$27,Inputs!$B$4="Chapter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IFERROR(1/(IF(Inputs!$B$38="pvp",15,MAX(0.1,Skills!E28-IF(Skills!F28=TRUE,Inputs!$B$32,0)))*(1-IF(AND(ArtifactsInput!$M$27,Inputs!$B$4="Chapter Hunt"),CHOOSE(ArtifactsInput!$N$27+1,20,24,28,32,36,40),0)/100)),0)</f>
        <v/>
      </c>
      <c r="R1418">
        <f>IF(AND(Inputs!$B$38&lt;&gt;"pvp",Inputs!$B$43&gt;0),IF(MAX(0,Inputs!$B$43-B1428)&lt;=0,0,(INT(MAX(0,Inputs!$B$43-B1428)/(IF(Inputs!$B$38="pvp",15,MAX(0.1,Skills!E28-IF(Skills!F28=TRUE,Inputs!$B$32,0)))*(1-IF(AND(ArtifactsInput!$M$27,Inputs!$B$4="Chapter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Skills!T6*(1+((Inputs!$B$34+(ArtifactsInput!$M$7-ArtifactsInput!$M$7)*CHOOSE(ArtifactsInput!$N$7+1,6,7.2,8.4,9.6,10.8,12))+IF(Inputs!$B$3&gt;=117,F1415,0))/100))+MIN((Skills!T6*(1+((Inputs!$B$34+(ArtifactsInput!$M$7-ArtifactsInput!$M$7)*CHOOSE(ArtifactsInput!$N$7+1,6,7.2,8.4,9.6,10.8,12))+IF(Inputs!$B$3&gt;=117,F1415,0))/100)),MAX(0,Inputs!$B$43-((R1396-1)*Skills!E6))))/Inputs!$B$43),IF(Inputs!$B$38="pvp",MIN((Skills!T6*(1+((Inputs!$B$34+(ArtifactsInput!$M$7-ArtifactsInput!$M$7)*CHOOSE(ArtifactsInput!$N$7+1,6,7.2,8.4,9.6,10.8,12))+IF(Inputs!$B$3&gt;=117,F1415,0))/100)),15)/15,(Skills!T6*(1+((Inputs!$B$34+(ArtifactsInput!$M$7-ArtifactsInput!$M$7)*CHOOSE(ArtifactsInput!$N$7+1,6,7.2,8.4,9.6,10.8,12))+IF(Inputs!$B$3&gt;=117,F1415,0))/100))/Skills!E6))+F1407*IF(AND(Inputs!$B$38&lt;&gt;"pvp",Inputs!$B$43&gt;0),(((R1407-1)*(Skills!T17*(1+((Inputs!$B$34+(ArtifactsInput!$M$7-ArtifactsInput!$M$7)*CHOOSE(ArtifactsInput!$N$7+1,6,7.2,8.4,9.6,10.8,12))+IF(Inputs!$B$3&gt;=117,F1415,0))/100))+MIN((Skills!T17*(1+((Inputs!$B$34+(ArtifactsInput!$M$7-ArtifactsInput!$M$7)*CHOOSE(ArtifactsInput!$N$7+1,6,7.2,8.4,9.6,10.8,12))+IF(Inputs!$B$3&gt;=117,F1415,0))/100)),MAX(0,Inputs!$B$43-((R1407-1)*Skills!E17))))/Inputs!$B$43),IF(Inputs!$B$38="pvp",MIN((Skills!T17*(1+((Inputs!$B$34+(ArtifactsInput!$M$7-ArtifactsInput!$M$7)*CHOOSE(ArtifactsInput!$N$7+1,6,7.2,8.4,9.6,10.8,12))+IF(Inputs!$B$3&gt;=117,F1415,0))/100)),15)/15,(Skills!T17*(1+((Inputs!$B$34+(ArtifactsInput!$M$7-ArtifactsInput!$M$7)*CHOOSE(ArtifactsInput!$N$7+1,6,7.2,8.4,9.6,10.8,12))+IF(Inputs!$B$3&gt;=117,F1415,0)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Skills!T19*(1+((Inputs!$B$34+(ArtifactsInput!$M$7-ArtifactsInput!$M$7)*CHOOSE(ArtifactsInput!$N$7+1,6,7.2,8.4,9.6,10.8,12))+IF(Inputs!$B$3&gt;=117,F1415,0))/100))+MIN((Skills!T19*(1+((Inputs!$B$34+(ArtifactsInput!$M$7-ArtifactsInput!$M$7)*CHOOSE(ArtifactsInput!$N$7+1,6,7.2,8.4,9.6,10.8,12))+IF(Inputs!$B$3&gt;=117,F1415,0))/100)),MAX(0,Inputs!$B$43-((R1409-1)*Skills!E19))))/Inputs!$B$43),IF(Inputs!$B$38="pvp",MIN((Skills!T19*(1+((Inputs!$B$34+(ArtifactsInput!$M$7-ArtifactsInput!$M$7)*CHOOSE(ArtifactsInput!$N$7+1,6,7.2,8.4,9.6,10.8,12))+IF(Inputs!$B$3&gt;=117,F1415,0))/100)),15)/15,(Skills!T19*(1+((Inputs!$B$34+(ArtifactsInput!$M$7-ArtifactsInput!$M$7)*CHOOSE(ArtifactsInput!$N$7+1,6,7.2,8.4,9.6,10.8,12))+IF(Inputs!$B$3&gt;=117,F1415,0))/100))/Skills!E19))/100),1)</f>
        <v/>
      </c>
    </row>
    <row r="1423">
      <c r="A1423" t="inlineStr">
        <is>
          <t>Attack Speed Buff Bonus % (Nimble Feet, averaged)</t>
        </is>
      </c>
      <c r="B1423">
        <f>F1408*IF(AND(Inputs!$B$38&lt;&gt;"pvp",Inputs!$B$43&gt;0),(((R1408-1)*(Skills!T18*(1+((Inputs!$B$34+(ArtifactsInput!$M$7-ArtifactsInput!$M$7)*CHOOSE(ArtifactsInput!$N$7+1,6,7.2,8.4,9.6,10.8,12))+IF(Inputs!$B$3&gt;=117,F1415,0))/100))+MIN((Skills!T18*(1+((Inputs!$B$34+(ArtifactsInput!$M$7-ArtifactsInput!$M$7)*CHOOSE(ArtifactsInput!$N$7+1,6,7.2,8.4,9.6,10.8,12))+IF(Inputs!$B$3&gt;=117,F1415,0))/100)),MAX(0,Inputs!$B$43-((R1408-1)*Skills!E18))))/Inputs!$B$43),IF(Inputs!$B$38="pvp",MIN((Skills!T18*(1+((Inputs!$B$34+(ArtifactsInput!$M$7-ArtifactsInput!$M$7)*CHOOSE(ArtifactsInput!$N$7+1,6,7.2,8.4,9.6,10.8,12))+IF(Inputs!$B$3&gt;=117,F1415,0))/100)),15)/15,(Skills!T18*(1+((Inputs!$B$34+(ArtifactsInput!$M$7-ArtifactsInput!$M$7)*CHOOSE(ArtifactsInput!$N$7+1,6,7.2,8.4,9.6,10.8,12))+IF(Inputs!$B$3&gt;=117,F1415,0))/100))/Skills!E18)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IFERROR(1/(IF(Inputs!$B$38="pvp",15,MAX(0.1,Skills!E2-IF(Skills!F2=TRUE,Inputs!$B$32,0)))*(1-IF(AND(ArtifactsInput!$M$27,Inputs!$B$4="Chapter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IFERROR(1/(IF(Inputs!$B$38="pvp",15,MAX(0.1,Skills!E3-IF(Skills!F3=TRUE,Inputs!$B$32,0)))*(1-IF(AND(ArtifactsInput!$M$27,Inputs!$B$4="Chapter Hunt"),CHOOSE(ArtifactsInput!$N$27+1,20,24,28,32,36,40),0)/100)),0)</f>
        <v/>
      </c>
      <c r="R1437">
        <f>IF(AND(Inputs!$B$38&lt;&gt;"pvp",Inputs!$B$43&gt;0),IF(MAX(0,Inputs!$B$43-B1472)&lt;=0,0,(INT(MAX(0,Inputs!$B$43-B1472)/(IF(Inputs!$B$38="pvp",15,MAX(0.1,Skills!E3-IF(Skills!F3=TRUE,Inputs!$B$32,0)))*(1-IF(AND(ArtifactsInput!$M$27,Inputs!$B$4="Chapter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IFERROR(1/(IF(Inputs!$B$38="pvp",15,MAX(0.1,Skills!E4-IF(Skills!F4=TRUE,Inputs!$B$32,0)))*(1-IF(AND(ArtifactsInput!$M$27,Inputs!$B$4="Chapter Hunt"),CHOOSE(ArtifactsInput!$N$27+1,20,24,28,32,36,40),0)/100)),0)</f>
        <v/>
      </c>
      <c r="R1438">
        <f>IF(AND(Inputs!$B$38&lt;&gt;"pvp",Inputs!$B$43&gt;0),IF(MAX(0,Inputs!$B$43-B1472)&lt;=0,0,(INT(MAX(0,Inputs!$B$43-B1472)/(IF(Inputs!$B$38="pvp",15,MAX(0.1,Skills!E4-IF(Skills!F4=TRUE,Inputs!$B$32,0)))*(1-IF(AND(ArtifactsInput!$M$27,Inputs!$B$4="Chapter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IFERROR(1/(IF(Inputs!$B$38="pvp",15,MAX(0.1,Skills!E5-IF(Skills!F5=TRUE,Inputs!$B$32,0)))*(1-IF(AND(ArtifactsInput!$M$27,Inputs!$B$4="Chapter Hunt"),CHOOSE(ArtifactsInput!$N$27+1,20,24,28,32,36,40),0)/100)),0)</f>
        <v/>
      </c>
      <c r="R1439">
        <f>IF(AND(Inputs!$B$38&lt;&gt;"pvp",Inputs!$B$43&gt;0),IF(MAX(0,Inputs!$B$43-B1472)&lt;=0,0,(INT(MAX(0,Inputs!$B$43-B1472)/(IF(Inputs!$B$38="pvp",15,MAX(0.1,Skills!E5-IF(Skills!F5=TRUE,Inputs!$B$32,0)))*(1-IF(AND(ArtifactsInput!$M$27,Inputs!$B$4="Chapter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IFERROR(1/(IF(Inputs!$B$38="pvp",15,MAX(0.1,Skills!E6-IF(Skills!F6=TRUE,Inputs!$B$32,0)))*(1-IF(AND(ArtifactsInput!$M$27,Inputs!$B$4="Chapter Hunt"),CHOOSE(ArtifactsInput!$N$27+1,20,24,28,32,36,40),0)/100)),0)</f>
        <v/>
      </c>
      <c r="R1440">
        <f>IF(AND(Inputs!$B$38&lt;&gt;"pvp",Inputs!$B$43&gt;0),IF(Inputs!$B$43&lt;=0,0,(INT(Inputs!$B$43/(IF(Inputs!$B$38="pvp",15,MAX(0.1,Skills!E6-IF(Skills!F6=TRUE,Inputs!$B$32,0)))*(1-IF(AND(ArtifactsInput!$M$27,Inputs!$B$4="Chapter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IFERROR(1/(IF(Inputs!$B$38="pvp",15,MAX(0.1,Skills!E7-IF(Skills!F7=TRUE,Inputs!$B$32,0)))*(1-IF(AND(ArtifactsInput!$M$27,Inputs!$B$4="Chapter Hunt"),CHOOSE(ArtifactsInput!$N$27+1,20,24,28,32,36,40),0)/100)),0)</f>
        <v/>
      </c>
      <c r="R1441">
        <f>IF(AND(Inputs!$B$38&lt;&gt;"pvp",Inputs!$B$43&gt;0),IF(MAX(0,Inputs!$B$43-B1472)&lt;=0,0,(INT(MAX(0,Inputs!$B$43-B1472)/(IF(Inputs!$B$38="pvp",15,MAX(0.1,Skills!E7-IF(Skills!F7=TRUE,Inputs!$B$32,0)))*(1-IF(AND(ArtifactsInput!$M$27,Inputs!$B$4="Chapter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IFERROR(1/(IF(Inputs!$B$38="pvp",15,MAX(0.1,Skills!E8-IF(Skills!F8=TRUE,Inputs!$B$32,0)))*(1-IF(AND(ArtifactsInput!$M$27,Inputs!$B$4="Chapter Hunt"),CHOOSE(ArtifactsInput!$N$27+1,20,24,28,32,36,40),0)/100)),0)</f>
        <v/>
      </c>
      <c r="R1442">
        <f>IF(AND(Inputs!$B$38&lt;&gt;"pvp",Inputs!$B$43&gt;0),IF(MAX(0,Inputs!$B$43-B1472)&lt;=0,0,(INT(MAX(0,Inputs!$B$43-B1472)/(IF(Inputs!$B$38="pvp",15,MAX(0.1,Skills!E8-IF(Skills!F8=TRUE,Inputs!$B$32,0)))*(1-IF(AND(ArtifactsInput!$M$27,Inputs!$B$4="Chapter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IFERROR(1/(IF(Inputs!$B$38="pvp",15,MAX(0.1,Skills!E9-IF(Skills!F7=TRUE,Inputs!$B$32,0)))*(1-IF(AND(ArtifactsInput!$M$27,Inputs!$B$4="Chapter Hunt"),CHOOSE(ArtifactsInput!$N$27+1,20,24,28,32,36,40),0)/100)),0)</f>
        <v/>
      </c>
      <c r="R1443">
        <f>IF(AND(Inputs!$B$38&lt;&gt;"pvp",Inputs!$B$43&gt;0),IF(MAX(0,Inputs!$B$43-B1472)&lt;=0,0,(INT(MAX(0,Inputs!$B$43-B1472)/(IF(Inputs!$B$38="pvp",15,MAX(0.1,Skills!E9-IF(Skills!F7=TRUE,Inputs!$B$32,0)))*(1-IF(AND(ArtifactsInput!$M$27,Inputs!$B$4="Chapter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IFERROR(1/(IF(Inputs!$B$38="pvp",15,MAX(0.1,Skills!E10-IF(Skills!F10=TRUE,Inputs!$B$32,0)))*(1-IF(AND(ArtifactsInput!$M$27,Inputs!$B$4="Chapter Hunt"),CHOOSE(ArtifactsInput!$N$27+1,20,24,28,32,36,40),0)/100)),0)</f>
        <v/>
      </c>
      <c r="R1444">
        <f>IF(AND(Inputs!$B$38&lt;&gt;"pvp",Inputs!$B$43&gt;0),IF(MAX(0,Inputs!$B$43-B1472)&lt;=0,0,(INT(MAX(0,Inputs!$B$43-B1472)/(IF(Inputs!$B$38="pvp",15,MAX(0.1,Skills!E10-IF(Skills!F10=TRUE,Inputs!$B$32,0)))*(1-IF(AND(ArtifactsInput!$M$27,Inputs!$B$4="Chapter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IFERROR(1/(IF(Inputs!$B$38="pvp",15,MAX(0.1,Skills!E11-IF(Skills!F11=TRUE,Inputs!$B$32,0)))*(1-IF(AND(ArtifactsInput!$M$27,Inputs!$B$4="Chapter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IFERROR(1/(IF(Inputs!$B$38="pvp",15,MAX(0.1,Skills!E12-IF(Skills!F12=TRUE,Inputs!$B$32,0)))*(1-IF(AND(ArtifactsInput!$M$27,Inputs!$B$4="Chapter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IFERROR(1/(IF(Inputs!$B$38="pvp",15,MAX(0.1,Skills!E13-IF(Skills!F13=TRUE,Inputs!$B$32,0)))*(1-IF(AND(ArtifactsInput!$M$27,Inputs!$B$4="Chapter Hunt"),CHOOSE(ArtifactsInput!$N$27+1,20,24,28,32,36,40),0)/100)),0)</f>
        <v/>
      </c>
      <c r="R1447">
        <f>IF(AND(Inputs!$B$38&lt;&gt;"pvp",Inputs!$B$43&gt;0),IF(MAX(0,Inputs!$B$43-B1472)&lt;=0,0,(INT(MAX(0,Inputs!$B$43-B1472)/(IF(Inputs!$B$38="pvp",15,MAX(0.1,Skills!E13-IF(Skills!F13=TRUE,Inputs!$B$32,0)))*(1-IF(AND(ArtifactsInput!$M$27,Inputs!$B$4="Chapter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IFERROR(1/(IF(Inputs!$B$38="pvp",15,MAX(0.1,Skills!E14-IF(Skills!F14=TRUE,Inputs!$B$32,0)))*(1-IF(AND(ArtifactsInput!$M$27,Inputs!$B$4="Chapter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IFERROR(1/(IF(Inputs!$B$38="pvp",15,MAX(0.1,Skills!E15-IF(Skills!F15=TRUE,Inputs!$B$32,0)))*(1-IF(AND(ArtifactsInput!$M$27,Inputs!$B$4="Chapter Hunt"),CHOOSE(ArtifactsInput!$N$27+1,20,24,28,32,36,40),0)/100)),0)</f>
        <v/>
      </c>
      <c r="R1449">
        <f>IF(AND(Inputs!$B$38&lt;&gt;"pvp",Inputs!$B$43&gt;0),IF(MAX(0,Inputs!$B$43-B1472)&lt;=0,0,(INT(MAX(0,Inputs!$B$43-B1472)/(IF(Inputs!$B$38="pvp",15,MAX(0.1,Skills!E15-IF(Skills!F15=TRUE,Inputs!$B$32,0)))*(1-IF(AND(ArtifactsInput!$M$27,Inputs!$B$4="Chapter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IFERROR(1/(IF(Inputs!$B$38="pvp",15,MAX(0.1,Skills!E16-IF(Skills!F16=TRUE,Inputs!$B$32,0)))*(1-IF(AND(ArtifactsInput!$M$27,Inputs!$B$4="Chapter Hunt"),CHOOSE(ArtifactsInput!$N$27+1,20,24,28,32,36,40),0)/100)),0)</f>
        <v/>
      </c>
      <c r="R1450">
        <f>IF(AND(Inputs!$B$38&lt;&gt;"pvp",Inputs!$B$43&gt;0),IF(MAX(0,Inputs!$B$43-B1472)&lt;=0,0,(INT(MAX(0,Inputs!$B$43-B1472)/(IF(Inputs!$B$38="pvp",15,MAX(0.1,Skills!E16-IF(Skills!F16=TRUE,Inputs!$B$32,0)))*(1-IF(AND(ArtifactsInput!$M$27,Inputs!$B$4="Chapter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IFERROR(1/(IF(Inputs!$B$38="pvp",15,MAX(0.1,Skills!E17-IF(Skills!F17=TRUE,Inputs!$B$32,0)))*(1-IF(AND(ArtifactsInput!$M$27,Inputs!$B$4="Chapter Hunt"),CHOOSE(ArtifactsInput!$N$27+1,20,24,28,32,36,40),0)/100)),0)</f>
        <v/>
      </c>
      <c r="R1451">
        <f>IF(AND(Inputs!$B$38&lt;&gt;"pvp",Inputs!$B$43&gt;0),IF(Inputs!$B$43&lt;=0,0,(INT(Inputs!$B$43/(IF(Inputs!$B$38="pvp",15,MAX(0.1,Skills!E17-IF(Skills!F17=TRUE,Inputs!$B$32,0)))*(1-IF(AND(ArtifactsInput!$M$27,Inputs!$B$4="Chapter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IFERROR(1/(IF(Inputs!$B$38="pvp",15,MAX(0.1,Skills!E18-IF(Skills!F18=TRUE,Inputs!$B$32,0)))*(1-IF(AND(ArtifactsInput!$M$27,Inputs!$B$4="Chapter Hunt"),CHOOSE(ArtifactsInput!$N$27+1,20,24,28,32,36,40),0)/100)),0)</f>
        <v/>
      </c>
      <c r="R1452">
        <f>IF(AND(Inputs!$B$38&lt;&gt;"pvp",Inputs!$B$43&gt;0),IF(Inputs!$B$43&lt;=0,0,(INT(Inputs!$B$43/(IF(Inputs!$B$38="pvp",15,MAX(0.1,Skills!E18-IF(Skills!F18=TRUE,Inputs!$B$32,0)))*(1-IF(AND(ArtifactsInput!$M$27,Inputs!$B$4="Chapter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IFERROR(1/(IF(Inputs!$B$38="pvp",15,MAX(0.1,Skills!E19-IF(Skills!F19=TRUE,Inputs!$B$32,0)))*(1-IF(AND(ArtifactsInput!$M$27,Inputs!$B$4="Chapter Hunt"),CHOOSE(ArtifactsInput!$N$27+1,20,24,28,32,36,40),0)/100)),0)</f>
        <v/>
      </c>
      <c r="R1453">
        <f>IF(AND(Inputs!$B$38&lt;&gt;"pvp",Inputs!$B$43&gt;0),IF(Inputs!$B$43&lt;=0,0,(INT(Inputs!$B$43/(IF(Inputs!$B$38="pvp",15,MAX(0.1,Skills!E19-IF(Skills!F19=TRUE,Inputs!$B$32,0)))*(1-IF(AND(ArtifactsInput!$M$27,Inputs!$B$4="Chapter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IFERROR(1/(IF(Inputs!$B$38="pvp",15,MAX(0.1,Skills!E20-IF(Skills!F20=TRUE,Inputs!$B$32,0)))*(1-IF(AND(ArtifactsInput!$M$27,Inputs!$B$4="Chapter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IFERROR(1/(IF(Inputs!$B$38="pvp",15,MAX(0.1,Skills!E21-IF(Skills!F21=TRUE,Inputs!$B$32,0)))*(1-IF(AND(ArtifactsInput!$M$27,Inputs!$B$4="Chapter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IFERROR(1/(IF(Inputs!$B$38="pvp",15,MAX(0.1,Skills!E22-IF(Skills!F22=TRUE,Inputs!$B$32,0)))*(1-IF(AND(ArtifactsInput!$M$27,Inputs!$B$4="Chapter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IFERROR(1/(IF(Inputs!$B$38="pvp",15,MAX(0.1,Skills!E23-IF(Skills!F23=TRUE,Inputs!$B$32,0)))*(1-IF(AND(ArtifactsInput!$M$27,Inputs!$B$4="Chapter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IFERROR(1/(IF(Inputs!$B$38="pvp",15,MAX(0.1,Skills!E24-IF(Skills!F24=TRUE,Inputs!$B$32,0)))*(1-IF(AND(ArtifactsInput!$M$27,Inputs!$B$4="Chapter Hunt"),CHOOSE(ArtifactsInput!$N$27+1,20,24,28,32,36,40),0)/100)),0)</f>
        <v/>
      </c>
      <c r="R1458">
        <f>IF(AND(Inputs!$B$38&lt;&gt;"pvp",Inputs!$B$43&gt;0),IF(MAX(0,Inputs!$B$43-B1472)&lt;=0,0,(INT(MAX(0,Inputs!$B$43-B1472)/(IF(Inputs!$B$38="pvp",15,MAX(0.1,Skills!E24-IF(Skills!F24=TRUE,Inputs!$B$32,0)))*(1-IF(AND(ArtifactsInput!$M$27,Inputs!$B$4="Chapter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IFERROR(1/(IF(Inputs!$B$38="pvp",15,MAX(0.1,Skills!E25-IF(Skills!F25=TRUE,Inputs!$B$32,0)))*(1-IF(AND(ArtifactsInput!$M$27,Inputs!$B$4="Chapter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IFERROR(1/(IF(Inputs!$B$38="pvp",15,MAX(0.1,Skills!E26-IF(Skills!F26=TRUE,Inputs!$B$32,0)))*(1-IF(AND(ArtifactsInput!$M$27,Inputs!$B$4="Chapter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IFERROR(1/(IF(Inputs!$B$38="pvp",15,MAX(0.1,Skills!E27-IF(Skills!F27=TRUE,Inputs!$B$32,0)))*(1-IF(AND(ArtifactsInput!$M$27,Inputs!$B$4="Chapter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IFERROR(1/(IF(Inputs!$B$38="pvp",15,MAX(0.1,Skills!E28-IF(Skills!F28=TRUE,Inputs!$B$32,0)))*(1-IF(AND(ArtifactsInput!$M$27,Inputs!$B$4="Chapter Hunt"),CHOOSE(ArtifactsInput!$N$27+1,20,24,28,32,36,40),0)/100)),0)</f>
        <v/>
      </c>
      <c r="R1462">
        <f>IF(AND(Inputs!$B$38&lt;&gt;"pvp",Inputs!$B$43&gt;0),IF(MAX(0,Inputs!$B$43-B1472)&lt;=0,0,(INT(MAX(0,Inputs!$B$43-B1472)/(IF(Inputs!$B$38="pvp",15,MAX(0.1,Skills!E28-IF(Skills!F28=TRUE,Inputs!$B$32,0)))*(1-IF(AND(ArtifactsInput!$M$27,Inputs!$B$4="Chapter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Skills!T6*(1+((Inputs!$B$34+(ArtifactsInput!$M$7-ArtifactsInput!$M$7)*CHOOSE(ArtifactsInput!$N$7+1,6,7.2,8.4,9.6,10.8,12))+IF(Inputs!$B$3&gt;=117,F1459,0))/100))+MIN((Skills!T6*(1+((Inputs!$B$34+(ArtifactsInput!$M$7-ArtifactsInput!$M$7)*CHOOSE(ArtifactsInput!$N$7+1,6,7.2,8.4,9.6,10.8,12))+IF(Inputs!$B$3&gt;=117,F1459,0))/100)),MAX(0,Inputs!$B$43-((R1440-1)*Skills!E6))))/Inputs!$B$43),IF(Inputs!$B$38="pvp",MIN((Skills!T6*(1+((Inputs!$B$34+(ArtifactsInput!$M$7-ArtifactsInput!$M$7)*CHOOSE(ArtifactsInput!$N$7+1,6,7.2,8.4,9.6,10.8,12))+IF(Inputs!$B$3&gt;=117,F1459,0))/100)),15)/15,(Skills!T6*(1+((Inputs!$B$34+(ArtifactsInput!$M$7-ArtifactsInput!$M$7)*CHOOSE(ArtifactsInput!$N$7+1,6,7.2,8.4,9.6,10.8,12))+IF(Inputs!$B$3&gt;=117,F1459,0))/100))/Skills!E6))+F1451*IF(AND(Inputs!$B$38&lt;&gt;"pvp",Inputs!$B$43&gt;0),(((R1451-1)*(Skills!T17*(1+((Inputs!$B$34+(ArtifactsInput!$M$7-ArtifactsInput!$M$7)*CHOOSE(ArtifactsInput!$N$7+1,6,7.2,8.4,9.6,10.8,12))+IF(Inputs!$B$3&gt;=117,F1459,0))/100))+MIN((Skills!T17*(1+((Inputs!$B$34+(ArtifactsInput!$M$7-ArtifactsInput!$M$7)*CHOOSE(ArtifactsInput!$N$7+1,6,7.2,8.4,9.6,10.8,12))+IF(Inputs!$B$3&gt;=117,F1459,0))/100)),MAX(0,Inputs!$B$43-((R1451-1)*Skills!E17))))/Inputs!$B$43),IF(Inputs!$B$38="pvp",MIN((Skills!T17*(1+((Inputs!$B$34+(ArtifactsInput!$M$7-ArtifactsInput!$M$7)*CHOOSE(ArtifactsInput!$N$7+1,6,7.2,8.4,9.6,10.8,12))+IF(Inputs!$B$3&gt;=117,F1459,0))/100)),15)/15,(Skills!T17*(1+((Inputs!$B$34+(ArtifactsInput!$M$7-ArtifactsInput!$M$7)*CHOOSE(ArtifactsInput!$N$7+1,6,7.2,8.4,9.6,10.8,12))+IF(Inputs!$B$3&gt;=117,F1459,0)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Skills!T19*(1+((Inputs!$B$34+(ArtifactsInput!$M$7-ArtifactsInput!$M$7)*CHOOSE(ArtifactsInput!$N$7+1,6,7.2,8.4,9.6,10.8,12))+IF(Inputs!$B$3&gt;=117,F1459,0))/100))+MIN((Skills!T19*(1+((Inputs!$B$34+(ArtifactsInput!$M$7-ArtifactsInput!$M$7)*CHOOSE(ArtifactsInput!$N$7+1,6,7.2,8.4,9.6,10.8,12))+IF(Inputs!$B$3&gt;=117,F1459,0))/100)),MAX(0,Inputs!$B$43-((R1453-1)*Skills!E19))))/Inputs!$B$43),IF(Inputs!$B$38="pvp",MIN((Skills!T19*(1+((Inputs!$B$34+(ArtifactsInput!$M$7-ArtifactsInput!$M$7)*CHOOSE(ArtifactsInput!$N$7+1,6,7.2,8.4,9.6,10.8,12))+IF(Inputs!$B$3&gt;=117,F1459,0))/100)),15)/15,(Skills!T19*(1+((Inputs!$B$34+(ArtifactsInput!$M$7-ArtifactsInput!$M$7)*CHOOSE(ArtifactsInput!$N$7+1,6,7.2,8.4,9.6,10.8,12))+IF(Inputs!$B$3&gt;=117,F1459,0))/100))/Skills!E19))/100),1)</f>
        <v/>
      </c>
    </row>
    <row r="1467">
      <c r="A1467" t="inlineStr">
        <is>
          <t>Attack Speed Buff Bonus % (Nimble Feet, averaged)</t>
        </is>
      </c>
      <c r="B1467">
        <f>F1452*IF(AND(Inputs!$B$38&lt;&gt;"pvp",Inputs!$B$43&gt;0),(((R1452-1)*(Skills!T18*(1+((Inputs!$B$34+(ArtifactsInput!$M$7-ArtifactsInput!$M$7)*CHOOSE(ArtifactsInput!$N$7+1,6,7.2,8.4,9.6,10.8,12))+IF(Inputs!$B$3&gt;=117,F1459,0))/100))+MIN((Skills!T18*(1+((Inputs!$B$34+(ArtifactsInput!$M$7-ArtifactsInput!$M$7)*CHOOSE(ArtifactsInput!$N$7+1,6,7.2,8.4,9.6,10.8,12))+IF(Inputs!$B$3&gt;=117,F1459,0))/100)),MAX(0,Inputs!$B$43-((R1452-1)*Skills!E18))))/Inputs!$B$43),IF(Inputs!$B$38="pvp",MIN((Skills!T18*(1+((Inputs!$B$34+(ArtifactsInput!$M$7-ArtifactsInput!$M$7)*CHOOSE(ArtifactsInput!$N$7+1,6,7.2,8.4,9.6,10.8,12))+IF(Inputs!$B$3&gt;=117,F1459,0))/100)),15)/15,(Skills!T18*(1+((Inputs!$B$34+(ArtifactsInput!$M$7-ArtifactsInput!$M$7)*CHOOSE(ArtifactsInput!$N$7+1,6,7.2,8.4,9.6,10.8,12))+IF(Inputs!$B$3&gt;=117,F1459,0))/100))/Skills!E18))</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IFERROR(1/(IF(Inputs!$B$38="pvp",15,MAX(0.1,Skills!E2-IF(Skills!F2=TRUE,Inputs!$B$32,0)))*(1-IF(AND(ArtifactsInput!$M$27,Inputs!$B$4="Chapter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IFERROR(1/(IF(Inputs!$B$38="pvp",15,MAX(0.1,Skills!E3-IF(Skills!F3=TRUE,Inputs!$B$32,0)))*(1-IF(AND(ArtifactsInput!$M$27,Inputs!$B$4="Chapter Hunt"),CHOOSE(ArtifactsInput!$N$27+1,20,24,28,32,36,40),0)/100)),0)</f>
        <v/>
      </c>
      <c r="R1481">
        <f>IF(AND(Inputs!$B$38&lt;&gt;"pvp",Inputs!$B$43&gt;0),IF(MAX(0,Inputs!$B$43-B1516)&lt;=0,0,(INT(MAX(0,Inputs!$B$43-B1516)/(IF(Inputs!$B$38="pvp",15,MAX(0.1,Skills!E3-IF(Skills!F3=TRUE,Inputs!$B$32,0)))*(1-IF(AND(ArtifactsInput!$M$27,Inputs!$B$4="Chapter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IFERROR(1/(IF(Inputs!$B$38="pvp",15,MAX(0.1,Skills!E4-IF(Skills!F4=TRUE,Inputs!$B$32,0)))*(1-IF(AND(ArtifactsInput!$M$27,Inputs!$B$4="Chapter Hunt"),CHOOSE(ArtifactsInput!$N$27+1,20,24,28,32,36,40),0)/100)),0)</f>
        <v/>
      </c>
      <c r="R1482">
        <f>IF(AND(Inputs!$B$38&lt;&gt;"pvp",Inputs!$B$43&gt;0),IF(MAX(0,Inputs!$B$43-B1516)&lt;=0,0,(INT(MAX(0,Inputs!$B$43-B1516)/(IF(Inputs!$B$38="pvp",15,MAX(0.1,Skills!E4-IF(Skills!F4=TRUE,Inputs!$B$32,0)))*(1-IF(AND(ArtifactsInput!$M$27,Inputs!$B$4="Chapter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IFERROR(1/(IF(Inputs!$B$38="pvp",15,MAX(0.1,Skills!E5-IF(Skills!F5=TRUE,Inputs!$B$32,0)))*(1-IF(AND(ArtifactsInput!$M$27,Inputs!$B$4="Chapter Hunt"),CHOOSE(ArtifactsInput!$N$27+1,20,24,28,32,36,40),0)/100)),0)</f>
        <v/>
      </c>
      <c r="R1483">
        <f>IF(AND(Inputs!$B$38&lt;&gt;"pvp",Inputs!$B$43&gt;0),IF(MAX(0,Inputs!$B$43-B1516)&lt;=0,0,(INT(MAX(0,Inputs!$B$43-B1516)/(IF(Inputs!$B$38="pvp",15,MAX(0.1,Skills!E5-IF(Skills!F5=TRUE,Inputs!$B$32,0)))*(1-IF(AND(ArtifactsInput!$M$27,Inputs!$B$4="Chapter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IFERROR(1/(IF(Inputs!$B$38="pvp",15,MAX(0.1,Skills!E6-IF(Skills!F6=TRUE,Inputs!$B$32,0)))*(1-IF(AND(ArtifactsInput!$M$27,Inputs!$B$4="Chapter Hunt"),CHOOSE(ArtifactsInput!$N$27+1,20,24,28,32,36,40),0)/100)),0)</f>
        <v/>
      </c>
      <c r="R1484">
        <f>IF(AND(Inputs!$B$38&lt;&gt;"pvp",Inputs!$B$43&gt;0),IF(Inputs!$B$43&lt;=0,0,(INT(Inputs!$B$43/(IF(Inputs!$B$38="pvp",15,MAX(0.1,Skills!E6-IF(Skills!F6=TRUE,Inputs!$B$32,0)))*(1-IF(AND(ArtifactsInput!$M$27,Inputs!$B$4="Chapter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IFERROR(1/(IF(Inputs!$B$38="pvp",15,MAX(0.1,Skills!E7-IF(Skills!F7=TRUE,Inputs!$B$32,0)))*(1-IF(AND(ArtifactsInput!$M$27,Inputs!$B$4="Chapter Hunt"),CHOOSE(ArtifactsInput!$N$27+1,20,24,28,32,36,40),0)/100)),0)</f>
        <v/>
      </c>
      <c r="R1485">
        <f>IF(AND(Inputs!$B$38&lt;&gt;"pvp",Inputs!$B$43&gt;0),IF(MAX(0,Inputs!$B$43-B1516)&lt;=0,0,(INT(MAX(0,Inputs!$B$43-B1516)/(IF(Inputs!$B$38="pvp",15,MAX(0.1,Skills!E7-IF(Skills!F7=TRUE,Inputs!$B$32,0)))*(1-IF(AND(ArtifactsInput!$M$27,Inputs!$B$4="Chapter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IFERROR(1/(IF(Inputs!$B$38="pvp",15,MAX(0.1,Skills!E8-IF(Skills!F8=TRUE,Inputs!$B$32,0)))*(1-IF(AND(ArtifactsInput!$M$27,Inputs!$B$4="Chapter Hunt"),CHOOSE(ArtifactsInput!$N$27+1,20,24,28,32,36,40),0)/100)),0)</f>
        <v/>
      </c>
      <c r="R1486">
        <f>IF(AND(Inputs!$B$38&lt;&gt;"pvp",Inputs!$B$43&gt;0),IF(MAX(0,Inputs!$B$43-B1516)&lt;=0,0,(INT(MAX(0,Inputs!$B$43-B1516)/(IF(Inputs!$B$38="pvp",15,MAX(0.1,Skills!E8-IF(Skills!F8=TRUE,Inputs!$B$32,0)))*(1-IF(AND(ArtifactsInput!$M$27,Inputs!$B$4="Chapter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IFERROR(1/(IF(Inputs!$B$38="pvp",15,MAX(0.1,Skills!E9-IF(Skills!F7=TRUE,Inputs!$B$32,0)))*(1-IF(AND(ArtifactsInput!$M$27,Inputs!$B$4="Chapter Hunt"),CHOOSE(ArtifactsInput!$N$27+1,20,24,28,32,36,40),0)/100)),0)</f>
        <v/>
      </c>
      <c r="R1487">
        <f>IF(AND(Inputs!$B$38&lt;&gt;"pvp",Inputs!$B$43&gt;0),IF(MAX(0,Inputs!$B$43-B1516)&lt;=0,0,(INT(MAX(0,Inputs!$B$43-B1516)/(IF(Inputs!$B$38="pvp",15,MAX(0.1,Skills!E9-IF(Skills!F7=TRUE,Inputs!$B$32,0)))*(1-IF(AND(ArtifactsInput!$M$27,Inputs!$B$4="Chapter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IFERROR(1/(IF(Inputs!$B$38="pvp",15,MAX(0.1,Skills!E10-IF(Skills!F10=TRUE,Inputs!$B$32,0)))*(1-IF(AND(ArtifactsInput!$M$27,Inputs!$B$4="Chapter Hunt"),CHOOSE(ArtifactsInput!$N$27+1,20,24,28,32,36,40),0)/100)),0)</f>
        <v/>
      </c>
      <c r="R1488">
        <f>IF(AND(Inputs!$B$38&lt;&gt;"pvp",Inputs!$B$43&gt;0),IF(MAX(0,Inputs!$B$43-B1516)&lt;=0,0,(INT(MAX(0,Inputs!$B$43-B1516)/(IF(Inputs!$B$38="pvp",15,MAX(0.1,Skills!E10-IF(Skills!F10=TRUE,Inputs!$B$32,0)))*(1-IF(AND(ArtifactsInput!$M$27,Inputs!$B$4="Chapter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IFERROR(1/(IF(Inputs!$B$38="pvp",15,MAX(0.1,Skills!E11-IF(Skills!F11=TRUE,Inputs!$B$32,0)))*(1-IF(AND(ArtifactsInput!$M$27,Inputs!$B$4="Chapter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IFERROR(1/(IF(Inputs!$B$38="pvp",15,MAX(0.1,Skills!E12-IF(Skills!F12=TRUE,Inputs!$B$32,0)))*(1-IF(AND(ArtifactsInput!$M$27,Inputs!$B$4="Chapter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IFERROR(1/(IF(Inputs!$B$38="pvp",15,MAX(0.1,Skills!E13-IF(Skills!F13=TRUE,Inputs!$B$32,0)))*(1-IF(AND(ArtifactsInput!$M$27,Inputs!$B$4="Chapter Hunt"),CHOOSE(ArtifactsInput!$N$27+1,20,24,28,32,36,40),0)/100)),0)</f>
        <v/>
      </c>
      <c r="R1491">
        <f>IF(AND(Inputs!$B$38&lt;&gt;"pvp",Inputs!$B$43&gt;0),IF(MAX(0,Inputs!$B$43-B1516)&lt;=0,0,(INT(MAX(0,Inputs!$B$43-B1516)/(IF(Inputs!$B$38="pvp",15,MAX(0.1,Skills!E13-IF(Skills!F13=TRUE,Inputs!$B$32,0)))*(1-IF(AND(ArtifactsInput!$M$27,Inputs!$B$4="Chapter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IFERROR(1/(IF(Inputs!$B$38="pvp",15,MAX(0.1,Skills!E14-IF(Skills!F14=TRUE,Inputs!$B$32,0)))*(1-IF(AND(ArtifactsInput!$M$27,Inputs!$B$4="Chapter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IFERROR(1/(IF(Inputs!$B$38="pvp",15,MAX(0.1,Skills!E15-IF(Skills!F15=TRUE,Inputs!$B$32,0)))*(1-IF(AND(ArtifactsInput!$M$27,Inputs!$B$4="Chapter Hunt"),CHOOSE(ArtifactsInput!$N$27+1,20,24,28,32,36,40),0)/100)),0)</f>
        <v/>
      </c>
      <c r="R1493">
        <f>IF(AND(Inputs!$B$38&lt;&gt;"pvp",Inputs!$B$43&gt;0),IF(MAX(0,Inputs!$B$43-B1516)&lt;=0,0,(INT(MAX(0,Inputs!$B$43-B1516)/(IF(Inputs!$B$38="pvp",15,MAX(0.1,Skills!E15-IF(Skills!F15=TRUE,Inputs!$B$32,0)))*(1-IF(AND(ArtifactsInput!$M$27,Inputs!$B$4="Chapter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IFERROR(1/(IF(Inputs!$B$38="pvp",15,MAX(0.1,Skills!E16-IF(Skills!F16=TRUE,Inputs!$B$32,0)))*(1-IF(AND(ArtifactsInput!$M$27,Inputs!$B$4="Chapter Hunt"),CHOOSE(ArtifactsInput!$N$27+1,20,24,28,32,36,40),0)/100)),0)</f>
        <v/>
      </c>
      <c r="R1494">
        <f>IF(AND(Inputs!$B$38&lt;&gt;"pvp",Inputs!$B$43&gt;0),IF(MAX(0,Inputs!$B$43-B1516)&lt;=0,0,(INT(MAX(0,Inputs!$B$43-B1516)/(IF(Inputs!$B$38="pvp",15,MAX(0.1,Skills!E16-IF(Skills!F16=TRUE,Inputs!$B$32,0)))*(1-IF(AND(ArtifactsInput!$M$27,Inputs!$B$4="Chapter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IFERROR(1/(IF(Inputs!$B$38="pvp",15,MAX(0.1,Skills!E17-IF(Skills!F17=TRUE,Inputs!$B$32,0)))*(1-IF(AND(ArtifactsInput!$M$27,Inputs!$B$4="Chapter Hunt"),CHOOSE(ArtifactsInput!$N$27+1,20,24,28,32,36,40),0)/100)),0)</f>
        <v/>
      </c>
      <c r="R1495">
        <f>IF(AND(Inputs!$B$38&lt;&gt;"pvp",Inputs!$B$43&gt;0),IF(Inputs!$B$43&lt;=0,0,(INT(Inputs!$B$43/(IF(Inputs!$B$38="pvp",15,MAX(0.1,Skills!E17-IF(Skills!F17=TRUE,Inputs!$B$32,0)))*(1-IF(AND(ArtifactsInput!$M$27,Inputs!$B$4="Chapter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IFERROR(1/(IF(Inputs!$B$38="pvp",15,MAX(0.1,Skills!E18-IF(Skills!F18=TRUE,Inputs!$B$32,0)))*(1-IF(AND(ArtifactsInput!$M$27,Inputs!$B$4="Chapter Hunt"),CHOOSE(ArtifactsInput!$N$27+1,20,24,28,32,36,40),0)/100)),0)</f>
        <v/>
      </c>
      <c r="R1496">
        <f>IF(AND(Inputs!$B$38&lt;&gt;"pvp",Inputs!$B$43&gt;0),IF(Inputs!$B$43&lt;=0,0,(INT(Inputs!$B$43/(IF(Inputs!$B$38="pvp",15,MAX(0.1,Skills!E18-IF(Skills!F18=TRUE,Inputs!$B$32,0)))*(1-IF(AND(ArtifactsInput!$M$27,Inputs!$B$4="Chapter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IFERROR(1/(IF(Inputs!$B$38="pvp",15,MAX(0.1,Skills!E19-IF(Skills!F19=TRUE,Inputs!$B$32,0)))*(1-IF(AND(ArtifactsInput!$M$27,Inputs!$B$4="Chapter Hunt"),CHOOSE(ArtifactsInput!$N$27+1,20,24,28,32,36,40),0)/100)),0)</f>
        <v/>
      </c>
      <c r="R1497">
        <f>IF(AND(Inputs!$B$38&lt;&gt;"pvp",Inputs!$B$43&gt;0),IF(Inputs!$B$43&lt;=0,0,(INT(Inputs!$B$43/(IF(Inputs!$B$38="pvp",15,MAX(0.1,Skills!E19-IF(Skills!F19=TRUE,Inputs!$B$32,0)))*(1-IF(AND(ArtifactsInput!$M$27,Inputs!$B$4="Chapter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IFERROR(1/(IF(Inputs!$B$38="pvp",15,MAX(0.1,Skills!E20-IF(Skills!F20=TRUE,Inputs!$B$32,0)))*(1-IF(AND(ArtifactsInput!$M$27,Inputs!$B$4="Chapter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IFERROR(1/(IF(Inputs!$B$38="pvp",15,MAX(0.1,Skills!E21-IF(Skills!F21=TRUE,Inputs!$B$32,0)))*(1-IF(AND(ArtifactsInput!$M$27,Inputs!$B$4="Chapter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IFERROR(1/(IF(Inputs!$B$38="pvp",15,MAX(0.1,Skills!E22-IF(Skills!F22=TRUE,Inputs!$B$32,0)))*(1-IF(AND(ArtifactsInput!$M$27,Inputs!$B$4="Chapter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IFERROR(1/(IF(Inputs!$B$38="pvp",15,MAX(0.1,Skills!E23-IF(Skills!F23=TRUE,Inputs!$B$32,0)))*(1-IF(AND(ArtifactsInput!$M$27,Inputs!$B$4="Chapter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IFERROR(1/(IF(Inputs!$B$38="pvp",15,MAX(0.1,Skills!E24-IF(Skills!F24=TRUE,Inputs!$B$32,0)))*(1-IF(AND(ArtifactsInput!$M$27,Inputs!$B$4="Chapter Hunt"),CHOOSE(ArtifactsInput!$N$27+1,20,24,28,32,36,40),0)/100)),0)</f>
        <v/>
      </c>
      <c r="R1502">
        <f>IF(AND(Inputs!$B$38&lt;&gt;"pvp",Inputs!$B$43&gt;0),IF(MAX(0,Inputs!$B$43-B1516)&lt;=0,0,(INT(MAX(0,Inputs!$B$43-B1516)/(IF(Inputs!$B$38="pvp",15,MAX(0.1,Skills!E24-IF(Skills!F24=TRUE,Inputs!$B$32,0)))*(1-IF(AND(ArtifactsInput!$M$27,Inputs!$B$4="Chapter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IFERROR(1/(IF(Inputs!$B$38="pvp",15,MAX(0.1,Skills!E25-IF(Skills!F25=TRUE,Inputs!$B$32,0)))*(1-IF(AND(ArtifactsInput!$M$27,Inputs!$B$4="Chapter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IFERROR(1/(IF(Inputs!$B$38="pvp",15,MAX(0.1,Skills!E26-IF(Skills!F26=TRUE,Inputs!$B$32,0)))*(1-IF(AND(ArtifactsInput!$M$27,Inputs!$B$4="Chapter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IFERROR(1/(IF(Inputs!$B$38="pvp",15,MAX(0.1,Skills!E27-IF(Skills!F27=TRUE,Inputs!$B$32,0)))*(1-IF(AND(ArtifactsInput!$M$27,Inputs!$B$4="Chapter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IFERROR(1/(IF(Inputs!$B$38="pvp",15,MAX(0.1,Skills!E28-IF(Skills!F28=TRUE,Inputs!$B$32,0)))*(1-IF(AND(ArtifactsInput!$M$27,Inputs!$B$4="Chapter Hunt"),CHOOSE(ArtifactsInput!$N$27+1,20,24,28,32,36,40),0)/100)),0)</f>
        <v/>
      </c>
      <c r="R1506">
        <f>IF(AND(Inputs!$B$38&lt;&gt;"pvp",Inputs!$B$43&gt;0),IF(MAX(0,Inputs!$B$43-B1516)&lt;=0,0,(INT(MAX(0,Inputs!$B$43-B1516)/(IF(Inputs!$B$38="pvp",15,MAX(0.1,Skills!E28-IF(Skills!F28=TRUE,Inputs!$B$32,0)))*(1-IF(AND(ArtifactsInput!$M$27,Inputs!$B$4="Chapter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Skills!T6*(1+((Inputs!$B$34+(ArtifactsInput!$M$7-ArtifactsInput!$M$7)*CHOOSE(ArtifactsInput!$N$7+1,6,7.2,8.4,9.6,10.8,12))+IF(Inputs!$B$3&gt;=117,F1503,0))/100))+MIN((Skills!T6*(1+((Inputs!$B$34+(ArtifactsInput!$M$7-ArtifactsInput!$M$7)*CHOOSE(ArtifactsInput!$N$7+1,6,7.2,8.4,9.6,10.8,12))+IF(Inputs!$B$3&gt;=117,F1503,0))/100)),MAX(0,Inputs!$B$43-((R1484-1)*Skills!E6))))/Inputs!$B$43),IF(Inputs!$B$38="pvp",MIN((Skills!T6*(1+((Inputs!$B$34+(ArtifactsInput!$M$7-ArtifactsInput!$M$7)*CHOOSE(ArtifactsInput!$N$7+1,6,7.2,8.4,9.6,10.8,12))+IF(Inputs!$B$3&gt;=117,F1503,0))/100)),15)/15,(Skills!T6*(1+((Inputs!$B$34+(ArtifactsInput!$M$7-ArtifactsInput!$M$7)*CHOOSE(ArtifactsInput!$N$7+1,6,7.2,8.4,9.6,10.8,12))+IF(Inputs!$B$3&gt;=117,F1503,0))/100))/Skills!E6))+F1495*IF(AND(Inputs!$B$38&lt;&gt;"pvp",Inputs!$B$43&gt;0),(((R1495-1)*(Skills!T17*(1+((Inputs!$B$34+(ArtifactsInput!$M$7-ArtifactsInput!$M$7)*CHOOSE(ArtifactsInput!$N$7+1,6,7.2,8.4,9.6,10.8,12))+IF(Inputs!$B$3&gt;=117,F1503,0))/100))+MIN((Skills!T17*(1+((Inputs!$B$34+(ArtifactsInput!$M$7-ArtifactsInput!$M$7)*CHOOSE(ArtifactsInput!$N$7+1,6,7.2,8.4,9.6,10.8,12))+IF(Inputs!$B$3&gt;=117,F1503,0))/100)),MAX(0,Inputs!$B$43-((R1495-1)*Skills!E17))))/Inputs!$B$43),IF(Inputs!$B$38="pvp",MIN((Skills!T17*(1+((Inputs!$B$34+(ArtifactsInput!$M$7-ArtifactsInput!$M$7)*CHOOSE(ArtifactsInput!$N$7+1,6,7.2,8.4,9.6,10.8,12))+IF(Inputs!$B$3&gt;=117,F1503,0))/100)),15)/15,(Skills!T17*(1+((Inputs!$B$34+(ArtifactsInput!$M$7-ArtifactsInput!$M$7)*CHOOSE(ArtifactsInput!$N$7+1,6,7.2,8.4,9.6,10.8,12))+IF(Inputs!$B$3&gt;=117,F1503,0)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Skills!T19*(1+((Inputs!$B$34+(ArtifactsInput!$M$7-ArtifactsInput!$M$7)*CHOOSE(ArtifactsInput!$N$7+1,6,7.2,8.4,9.6,10.8,12))+IF(Inputs!$B$3&gt;=117,F1503,0))/100))+MIN((Skills!T19*(1+((Inputs!$B$34+(ArtifactsInput!$M$7-ArtifactsInput!$M$7)*CHOOSE(ArtifactsInput!$N$7+1,6,7.2,8.4,9.6,10.8,12))+IF(Inputs!$B$3&gt;=117,F1503,0))/100)),MAX(0,Inputs!$B$43-((R1497-1)*Skills!E19))))/Inputs!$B$43),IF(Inputs!$B$38="pvp",MIN((Skills!T19*(1+((Inputs!$B$34+(ArtifactsInput!$M$7-ArtifactsInput!$M$7)*CHOOSE(ArtifactsInput!$N$7+1,6,7.2,8.4,9.6,10.8,12))+IF(Inputs!$B$3&gt;=117,F1503,0))/100)),15)/15,(Skills!T19*(1+((Inputs!$B$34+(ArtifactsInput!$M$7-ArtifactsInput!$M$7)*CHOOSE(ArtifactsInput!$N$7+1,6,7.2,8.4,9.6,10.8,12))+IF(Inputs!$B$3&gt;=117,F1503,0))/100))/Skills!E19))/100),1)</f>
        <v/>
      </c>
    </row>
    <row r="1511">
      <c r="A1511" t="inlineStr">
        <is>
          <t>Attack Speed Buff Bonus % (Nimble Feet, averaged)</t>
        </is>
      </c>
      <c r="B1511">
        <f>F1496*IF(AND(Inputs!$B$38&lt;&gt;"pvp",Inputs!$B$43&gt;0),(((R1496-1)*(Skills!T18*(1+((Inputs!$B$34+(ArtifactsInput!$M$7-ArtifactsInput!$M$7)*CHOOSE(ArtifactsInput!$N$7+1,6,7.2,8.4,9.6,10.8,12))+IF(Inputs!$B$3&gt;=117,F1503,0))/100))+MIN((Skills!T18*(1+((Inputs!$B$34+(ArtifactsInput!$M$7-ArtifactsInput!$M$7)*CHOOSE(ArtifactsInput!$N$7+1,6,7.2,8.4,9.6,10.8,12))+IF(Inputs!$B$3&gt;=117,F1503,0))/100)),MAX(0,Inputs!$B$43-((R1496-1)*Skills!E18))))/Inputs!$B$43),IF(Inputs!$B$38="pvp",MIN((Skills!T18*(1+((Inputs!$B$34+(ArtifactsInput!$M$7-ArtifactsInput!$M$7)*CHOOSE(ArtifactsInput!$N$7+1,6,7.2,8.4,9.6,10.8,12))+IF(Inputs!$B$3&gt;=117,F1503,0))/100)),15)/15,(Skills!T18*(1+((Inputs!$B$34+(ArtifactsInput!$M$7-ArtifactsInput!$M$7)*CHOOSE(ArtifactsInput!$N$7+1,6,7.2,8.4,9.6,10.8,12))+IF(Inputs!$B$3&gt;=117,F1503,0))/100))/Skills!E18))</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IFERROR(1/(IF(Inputs!$B$38="pvp",15,MAX(0.1,Skills!E2-IF(Skills!F2=TRUE,Inputs!$B$32,0)))*(1-IF(AND(ArtifactsInput!$M$27,Inputs!$B$4="Chapter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IFERROR(1/(IF(Inputs!$B$38="pvp",15,MAX(0.1,Skills!E3-IF(Skills!F3=TRUE,Inputs!$B$32,0)))*(1-IF(AND(ArtifactsInput!$M$27,Inputs!$B$4="Chapter Hunt"),CHOOSE(ArtifactsInput!$N$27+1,20,24,28,32,36,40),0)/100)),0)</f>
        <v/>
      </c>
      <c r="R1525">
        <f>IF(AND(Inputs!$B$38&lt;&gt;"pvp",Inputs!$B$43&gt;0),IF(MAX(0,Inputs!$B$43-B1560)&lt;=0,0,(INT(MAX(0,Inputs!$B$43-B1560)/(IF(Inputs!$B$38="pvp",15,MAX(0.1,Skills!E3-IF(Skills!F3=TRUE,Inputs!$B$32,0)))*(1-IF(AND(ArtifactsInput!$M$27,Inputs!$B$4="Chapter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IFERROR(1/(IF(Inputs!$B$38="pvp",15,MAX(0.1,Skills!E4-IF(Skills!F4=TRUE,Inputs!$B$32,0)))*(1-IF(AND(ArtifactsInput!$M$27,Inputs!$B$4="Chapter Hunt"),CHOOSE(ArtifactsInput!$N$27+1,20,24,28,32,36,40),0)/100)),0)</f>
        <v/>
      </c>
      <c r="R1526">
        <f>IF(AND(Inputs!$B$38&lt;&gt;"pvp",Inputs!$B$43&gt;0),IF(MAX(0,Inputs!$B$43-B1560)&lt;=0,0,(INT(MAX(0,Inputs!$B$43-B1560)/(IF(Inputs!$B$38="pvp",15,MAX(0.1,Skills!E4-IF(Skills!F4=TRUE,Inputs!$B$32,0)))*(1-IF(AND(ArtifactsInput!$M$27,Inputs!$B$4="Chapter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IFERROR(1/(IF(Inputs!$B$38="pvp",15,MAX(0.1,Skills!E5-IF(Skills!F5=TRUE,Inputs!$B$32,0)))*(1-IF(AND(ArtifactsInput!$M$27,Inputs!$B$4="Chapter Hunt"),CHOOSE(ArtifactsInput!$N$27+1,20,24,28,32,36,40),0)/100)),0)</f>
        <v/>
      </c>
      <c r="R1527">
        <f>IF(AND(Inputs!$B$38&lt;&gt;"pvp",Inputs!$B$43&gt;0),IF(MAX(0,Inputs!$B$43-B1560)&lt;=0,0,(INT(MAX(0,Inputs!$B$43-B1560)/(IF(Inputs!$B$38="pvp",15,MAX(0.1,Skills!E5-IF(Skills!F5=TRUE,Inputs!$B$32,0)))*(1-IF(AND(ArtifactsInput!$M$27,Inputs!$B$4="Chapter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IFERROR(1/(IF(Inputs!$B$38="pvp",15,MAX(0.1,Skills!E6-IF(Skills!F6=TRUE,Inputs!$B$32,0)))*(1-IF(AND(ArtifactsInput!$M$27,Inputs!$B$4="Chapter Hunt"),CHOOSE(ArtifactsInput!$N$27+1,20,24,28,32,36,40),0)/100)),0)</f>
        <v/>
      </c>
      <c r="R1528">
        <f>IF(AND(Inputs!$B$38&lt;&gt;"pvp",Inputs!$B$43&gt;0),IF(Inputs!$B$43&lt;=0,0,(INT(Inputs!$B$43/(IF(Inputs!$B$38="pvp",15,MAX(0.1,Skills!E6-IF(Skills!F6=TRUE,Inputs!$B$32,0)))*(1-IF(AND(ArtifactsInput!$M$27,Inputs!$B$4="Chapter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IFERROR(1/(IF(Inputs!$B$38="pvp",15,MAX(0.1,Skills!E7-IF(Skills!F7=TRUE,Inputs!$B$32,0)))*(1-IF(AND(ArtifactsInput!$M$27,Inputs!$B$4="Chapter Hunt"),CHOOSE(ArtifactsInput!$N$27+1,20,24,28,32,36,40),0)/100)),0)</f>
        <v/>
      </c>
      <c r="R1529">
        <f>IF(AND(Inputs!$B$38&lt;&gt;"pvp",Inputs!$B$43&gt;0),IF(MAX(0,Inputs!$B$43-B1560)&lt;=0,0,(INT(MAX(0,Inputs!$B$43-B1560)/(IF(Inputs!$B$38="pvp",15,MAX(0.1,Skills!E7-IF(Skills!F7=TRUE,Inputs!$B$32,0)))*(1-IF(AND(ArtifactsInput!$M$27,Inputs!$B$4="Chapter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IFERROR(1/(IF(Inputs!$B$38="pvp",15,MAX(0.1,Skills!E8-IF(Skills!F8=TRUE,Inputs!$B$32,0)))*(1-IF(AND(ArtifactsInput!$M$27,Inputs!$B$4="Chapter Hunt"),CHOOSE(ArtifactsInput!$N$27+1,20,24,28,32,36,40),0)/100)),0)</f>
        <v/>
      </c>
      <c r="R1530">
        <f>IF(AND(Inputs!$B$38&lt;&gt;"pvp",Inputs!$B$43&gt;0),IF(MAX(0,Inputs!$B$43-B1560)&lt;=0,0,(INT(MAX(0,Inputs!$B$43-B1560)/(IF(Inputs!$B$38="pvp",15,MAX(0.1,Skills!E8-IF(Skills!F8=TRUE,Inputs!$B$32,0)))*(1-IF(AND(ArtifactsInput!$M$27,Inputs!$B$4="Chapter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IFERROR(1/(IF(Inputs!$B$38="pvp",15,MAX(0.1,Skills!E9-IF(Skills!F7=TRUE,Inputs!$B$32,0)))*(1-IF(AND(ArtifactsInput!$M$27,Inputs!$B$4="Chapter Hunt"),CHOOSE(ArtifactsInput!$N$27+1,20,24,28,32,36,40),0)/100)),0)</f>
        <v/>
      </c>
      <c r="R1531">
        <f>IF(AND(Inputs!$B$38&lt;&gt;"pvp",Inputs!$B$43&gt;0),IF(MAX(0,Inputs!$B$43-B1560)&lt;=0,0,(INT(MAX(0,Inputs!$B$43-B1560)/(IF(Inputs!$B$38="pvp",15,MAX(0.1,Skills!E9-IF(Skills!F7=TRUE,Inputs!$B$32,0)))*(1-IF(AND(ArtifactsInput!$M$27,Inputs!$B$4="Chapter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IFERROR(1/(IF(Inputs!$B$38="pvp",15,MAX(0.1,Skills!E10-IF(Skills!F10=TRUE,Inputs!$B$32,0)))*(1-IF(AND(ArtifactsInput!$M$27,Inputs!$B$4="Chapter Hunt"),CHOOSE(ArtifactsInput!$N$27+1,20,24,28,32,36,40),0)/100)),0)</f>
        <v/>
      </c>
      <c r="R1532">
        <f>IF(AND(Inputs!$B$38&lt;&gt;"pvp",Inputs!$B$43&gt;0),IF(MAX(0,Inputs!$B$43-B1560)&lt;=0,0,(INT(MAX(0,Inputs!$B$43-B1560)/(IF(Inputs!$B$38="pvp",15,MAX(0.1,Skills!E10-IF(Skills!F10=TRUE,Inputs!$B$32,0)))*(1-IF(AND(ArtifactsInput!$M$27,Inputs!$B$4="Chapter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IFERROR(1/(IF(Inputs!$B$38="pvp",15,MAX(0.1,Skills!E11-IF(Skills!F11=TRUE,Inputs!$B$32,0)))*(1-IF(AND(ArtifactsInput!$M$27,Inputs!$B$4="Chapter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IFERROR(1/(IF(Inputs!$B$38="pvp",15,MAX(0.1,Skills!E12-IF(Skills!F12=TRUE,Inputs!$B$32,0)))*(1-IF(AND(ArtifactsInput!$M$27,Inputs!$B$4="Chapter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IFERROR(1/(IF(Inputs!$B$38="pvp",15,MAX(0.1,Skills!E13-IF(Skills!F13=TRUE,Inputs!$B$32,0)))*(1-IF(AND(ArtifactsInput!$M$27,Inputs!$B$4="Chapter Hunt"),CHOOSE(ArtifactsInput!$N$27+1,20,24,28,32,36,40),0)/100)),0)</f>
        <v/>
      </c>
      <c r="R1535">
        <f>IF(AND(Inputs!$B$38&lt;&gt;"pvp",Inputs!$B$43&gt;0),IF(MAX(0,Inputs!$B$43-B1560)&lt;=0,0,(INT(MAX(0,Inputs!$B$43-B1560)/(IF(Inputs!$B$38="pvp",15,MAX(0.1,Skills!E13-IF(Skills!F13=TRUE,Inputs!$B$32,0)))*(1-IF(AND(ArtifactsInput!$M$27,Inputs!$B$4="Chapter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IFERROR(1/(IF(Inputs!$B$38="pvp",15,MAX(0.1,Skills!E14-IF(Skills!F14=TRUE,Inputs!$B$32,0)))*(1-IF(AND(ArtifactsInput!$M$27,Inputs!$B$4="Chapter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IFERROR(1/(IF(Inputs!$B$38="pvp",15,MAX(0.1,Skills!E15-IF(Skills!F15=TRUE,Inputs!$B$32,0)))*(1-IF(AND(ArtifactsInput!$M$27,Inputs!$B$4="Chapter Hunt"),CHOOSE(ArtifactsInput!$N$27+1,20,24,28,32,36,40),0)/100)),0)</f>
        <v/>
      </c>
      <c r="R1537">
        <f>IF(AND(Inputs!$B$38&lt;&gt;"pvp",Inputs!$B$43&gt;0),IF(MAX(0,Inputs!$B$43-B1560)&lt;=0,0,(INT(MAX(0,Inputs!$B$43-B1560)/(IF(Inputs!$B$38="pvp",15,MAX(0.1,Skills!E15-IF(Skills!F15=TRUE,Inputs!$B$32,0)))*(1-IF(AND(ArtifactsInput!$M$27,Inputs!$B$4="Chapter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IFERROR(1/(IF(Inputs!$B$38="pvp",15,MAX(0.1,Skills!E16-IF(Skills!F16=TRUE,Inputs!$B$32,0)))*(1-IF(AND(ArtifactsInput!$M$27,Inputs!$B$4="Chapter Hunt"),CHOOSE(ArtifactsInput!$N$27+1,20,24,28,32,36,40),0)/100)),0)</f>
        <v/>
      </c>
      <c r="R1538">
        <f>IF(AND(Inputs!$B$38&lt;&gt;"pvp",Inputs!$B$43&gt;0),IF(MAX(0,Inputs!$B$43-B1560)&lt;=0,0,(INT(MAX(0,Inputs!$B$43-B1560)/(IF(Inputs!$B$38="pvp",15,MAX(0.1,Skills!E16-IF(Skills!F16=TRUE,Inputs!$B$32,0)))*(1-IF(AND(ArtifactsInput!$M$27,Inputs!$B$4="Chapter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IFERROR(1/(IF(Inputs!$B$38="pvp",15,MAX(0.1,Skills!E17-IF(Skills!F17=TRUE,Inputs!$B$32,0)))*(1-IF(AND(ArtifactsInput!$M$27,Inputs!$B$4="Chapter Hunt"),CHOOSE(ArtifactsInput!$N$27+1,20,24,28,32,36,40),0)/100)),0)</f>
        <v/>
      </c>
      <c r="R1539">
        <f>IF(AND(Inputs!$B$38&lt;&gt;"pvp",Inputs!$B$43&gt;0),IF(Inputs!$B$43&lt;=0,0,(INT(Inputs!$B$43/(IF(Inputs!$B$38="pvp",15,MAX(0.1,Skills!E17-IF(Skills!F17=TRUE,Inputs!$B$32,0)))*(1-IF(AND(ArtifactsInput!$M$27,Inputs!$B$4="Chapter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IFERROR(1/(IF(Inputs!$B$38="pvp",15,MAX(0.1,Skills!E18-IF(Skills!F18=TRUE,Inputs!$B$32,0)))*(1-IF(AND(ArtifactsInput!$M$27,Inputs!$B$4="Chapter Hunt"),CHOOSE(ArtifactsInput!$N$27+1,20,24,28,32,36,40),0)/100)),0)</f>
        <v/>
      </c>
      <c r="R1540">
        <f>IF(AND(Inputs!$B$38&lt;&gt;"pvp",Inputs!$B$43&gt;0),IF(Inputs!$B$43&lt;=0,0,(INT(Inputs!$B$43/(IF(Inputs!$B$38="pvp",15,MAX(0.1,Skills!E18-IF(Skills!F18=TRUE,Inputs!$B$32,0)))*(1-IF(AND(ArtifactsInput!$M$27,Inputs!$B$4="Chapter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IFERROR(1/(IF(Inputs!$B$38="pvp",15,MAX(0.1,Skills!E19-IF(Skills!F19=TRUE,Inputs!$B$32,0)))*(1-IF(AND(ArtifactsInput!$M$27,Inputs!$B$4="Chapter Hunt"),CHOOSE(ArtifactsInput!$N$27+1,20,24,28,32,36,40),0)/100)),0)</f>
        <v/>
      </c>
      <c r="R1541">
        <f>IF(AND(Inputs!$B$38&lt;&gt;"pvp",Inputs!$B$43&gt;0),IF(Inputs!$B$43&lt;=0,0,(INT(Inputs!$B$43/(IF(Inputs!$B$38="pvp",15,MAX(0.1,Skills!E19-IF(Skills!F19=TRUE,Inputs!$B$32,0)))*(1-IF(AND(ArtifactsInput!$M$27,Inputs!$B$4="Chapter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IFERROR(1/(IF(Inputs!$B$38="pvp",15,MAX(0.1,Skills!E20-IF(Skills!F20=TRUE,Inputs!$B$32,0)))*(1-IF(AND(ArtifactsInput!$M$27,Inputs!$B$4="Chapter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IFERROR(1/(IF(Inputs!$B$38="pvp",15,MAX(0.1,Skills!E21-IF(Skills!F21=TRUE,Inputs!$B$32,0)))*(1-IF(AND(ArtifactsInput!$M$27,Inputs!$B$4="Chapter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IFERROR(1/(IF(Inputs!$B$38="pvp",15,MAX(0.1,Skills!E22-IF(Skills!F22=TRUE,Inputs!$B$32,0)))*(1-IF(AND(ArtifactsInput!$M$27,Inputs!$B$4="Chapter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IFERROR(1/(IF(Inputs!$B$38="pvp",15,MAX(0.1,Skills!E23-IF(Skills!F23=TRUE,Inputs!$B$32,0)))*(1-IF(AND(ArtifactsInput!$M$27,Inputs!$B$4="Chapter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IFERROR(1/(IF(Inputs!$B$38="pvp",15,MAX(0.1,Skills!E24-IF(Skills!F24=TRUE,Inputs!$B$32,0)))*(1-IF(AND(ArtifactsInput!$M$27,Inputs!$B$4="Chapter Hunt"),CHOOSE(ArtifactsInput!$N$27+1,20,24,28,32,36,40),0)/100)),0)</f>
        <v/>
      </c>
      <c r="R1546">
        <f>IF(AND(Inputs!$B$38&lt;&gt;"pvp",Inputs!$B$43&gt;0),IF(MAX(0,Inputs!$B$43-B1560)&lt;=0,0,(INT(MAX(0,Inputs!$B$43-B1560)/(IF(Inputs!$B$38="pvp",15,MAX(0.1,Skills!E24-IF(Skills!F24=TRUE,Inputs!$B$32,0)))*(1-IF(AND(ArtifactsInput!$M$27,Inputs!$B$4="Chapter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IFERROR(1/(IF(Inputs!$B$38="pvp",15,MAX(0.1,Skills!E25-IF(Skills!F25=TRUE,Inputs!$B$32,0)))*(1-IF(AND(ArtifactsInput!$M$27,Inputs!$B$4="Chapter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IFERROR(1/(IF(Inputs!$B$38="pvp",15,MAX(0.1,Skills!E26-IF(Skills!F26=TRUE,Inputs!$B$32,0)))*(1-IF(AND(ArtifactsInput!$M$27,Inputs!$B$4="Chapter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IFERROR(1/(IF(Inputs!$B$38="pvp",15,MAX(0.1,Skills!E27-IF(Skills!F27=TRUE,Inputs!$B$32,0)))*(1-IF(AND(ArtifactsInput!$M$27,Inputs!$B$4="Chapter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IFERROR(1/(IF(Inputs!$B$38="pvp",15,MAX(0.1,Skills!E28-IF(Skills!F28=TRUE,Inputs!$B$32,0)))*(1-IF(AND(ArtifactsInput!$M$27,Inputs!$B$4="Chapter Hunt"),CHOOSE(ArtifactsInput!$N$27+1,20,24,28,32,36,40),0)/100)),0)</f>
        <v/>
      </c>
      <c r="R1550">
        <f>IF(AND(Inputs!$B$38&lt;&gt;"pvp",Inputs!$B$43&gt;0),IF(MAX(0,Inputs!$B$43-B1560)&lt;=0,0,(INT(MAX(0,Inputs!$B$43-B1560)/(IF(Inputs!$B$38="pvp",15,MAX(0.1,Skills!E28-IF(Skills!F28=TRUE,Inputs!$B$32,0)))*(1-IF(AND(ArtifactsInput!$M$27,Inputs!$B$4="Chapter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Skills!T6*(1+((Inputs!$B$34+(ArtifactsInput!$M$7-ArtifactsInput!$M$7)*CHOOSE(ArtifactsInput!$N$7+1,6,7.2,8.4,9.6,10.8,12))+IF(Inputs!$B$3&gt;=117,F1547,0))/100))+MIN((Skills!T6*(1+((Inputs!$B$34+(ArtifactsInput!$M$7-ArtifactsInput!$M$7)*CHOOSE(ArtifactsInput!$N$7+1,6,7.2,8.4,9.6,10.8,12))+IF(Inputs!$B$3&gt;=117,F1547,0))/100)),MAX(0,Inputs!$B$43-((R1528-1)*Skills!E6))))/Inputs!$B$43),IF(Inputs!$B$38="pvp",MIN((Skills!T6*(1+((Inputs!$B$34+(ArtifactsInput!$M$7-ArtifactsInput!$M$7)*CHOOSE(ArtifactsInput!$N$7+1,6,7.2,8.4,9.6,10.8,12))+IF(Inputs!$B$3&gt;=117,F1547,0))/100)),15)/15,(Skills!T6*(1+((Inputs!$B$34+(ArtifactsInput!$M$7-ArtifactsInput!$M$7)*CHOOSE(ArtifactsInput!$N$7+1,6,7.2,8.4,9.6,10.8,12))+IF(Inputs!$B$3&gt;=117,F1547,0))/100))/Skills!E6))+F1539*IF(AND(Inputs!$B$38&lt;&gt;"pvp",Inputs!$B$43&gt;0),(((R1539-1)*(Skills!T17*(1+((Inputs!$B$34+(ArtifactsInput!$M$7-ArtifactsInput!$M$7)*CHOOSE(ArtifactsInput!$N$7+1,6,7.2,8.4,9.6,10.8,12))+IF(Inputs!$B$3&gt;=117,F1547,0))/100))+MIN((Skills!T17*(1+((Inputs!$B$34+(ArtifactsInput!$M$7-ArtifactsInput!$M$7)*CHOOSE(ArtifactsInput!$N$7+1,6,7.2,8.4,9.6,10.8,12))+IF(Inputs!$B$3&gt;=117,F1547,0))/100)),MAX(0,Inputs!$B$43-((R1539-1)*Skills!E17))))/Inputs!$B$43),IF(Inputs!$B$38="pvp",MIN((Skills!T17*(1+((Inputs!$B$34+(ArtifactsInput!$M$7-ArtifactsInput!$M$7)*CHOOSE(ArtifactsInput!$N$7+1,6,7.2,8.4,9.6,10.8,12))+IF(Inputs!$B$3&gt;=117,F1547,0))/100)),15)/15,(Skills!T17*(1+((Inputs!$B$34+(ArtifactsInput!$M$7-ArtifactsInput!$M$7)*CHOOSE(ArtifactsInput!$N$7+1,6,7.2,8.4,9.6,10.8,12))+IF(Inputs!$B$3&gt;=117,F1547,0)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Skills!T19*(1+((Inputs!$B$34+(ArtifactsInput!$M$7-ArtifactsInput!$M$7)*CHOOSE(ArtifactsInput!$N$7+1,6,7.2,8.4,9.6,10.8,12))+IF(Inputs!$B$3&gt;=117,F1547,0))/100))+MIN((Skills!T19*(1+((Inputs!$B$34+(ArtifactsInput!$M$7-ArtifactsInput!$M$7)*CHOOSE(ArtifactsInput!$N$7+1,6,7.2,8.4,9.6,10.8,12))+IF(Inputs!$B$3&gt;=117,F1547,0))/100)),MAX(0,Inputs!$B$43-((R1541-1)*Skills!E19))))/Inputs!$B$43),IF(Inputs!$B$38="pvp",MIN((Skills!T19*(1+((Inputs!$B$34+(ArtifactsInput!$M$7-ArtifactsInput!$M$7)*CHOOSE(ArtifactsInput!$N$7+1,6,7.2,8.4,9.6,10.8,12))+IF(Inputs!$B$3&gt;=117,F1547,0))/100)),15)/15,(Skills!T19*(1+((Inputs!$B$34+(ArtifactsInput!$M$7-ArtifactsInput!$M$7)*CHOOSE(ArtifactsInput!$N$7+1,6,7.2,8.4,9.6,10.8,12))+IF(Inputs!$B$3&gt;=117,F1547,0))/100))/Skills!E19))/100),1)</f>
        <v/>
      </c>
    </row>
    <row r="1555">
      <c r="A1555" t="inlineStr">
        <is>
          <t>Attack Speed Buff Bonus % (Nimble Feet, averaged)</t>
        </is>
      </c>
      <c r="B1555">
        <f>F1540*IF(AND(Inputs!$B$38&lt;&gt;"pvp",Inputs!$B$43&gt;0),(((R1540-1)*(Skills!T18*(1+((Inputs!$B$34+(ArtifactsInput!$M$7-ArtifactsInput!$M$7)*CHOOSE(ArtifactsInput!$N$7+1,6,7.2,8.4,9.6,10.8,12))+IF(Inputs!$B$3&gt;=117,F1547,0))/100))+MIN((Skills!T18*(1+((Inputs!$B$34+(ArtifactsInput!$M$7-ArtifactsInput!$M$7)*CHOOSE(ArtifactsInput!$N$7+1,6,7.2,8.4,9.6,10.8,12))+IF(Inputs!$B$3&gt;=117,F1547,0))/100)),MAX(0,Inputs!$B$43-((R1540-1)*Skills!E18))))/Inputs!$B$43),IF(Inputs!$B$38="pvp",MIN((Skills!T18*(1+((Inputs!$B$34+(ArtifactsInput!$M$7-ArtifactsInput!$M$7)*CHOOSE(ArtifactsInput!$N$7+1,6,7.2,8.4,9.6,10.8,12))+IF(Inputs!$B$3&gt;=117,F1547,0))/100)),15)/15,(Skills!T18*(1+((Inputs!$B$34+(ArtifactsInput!$M$7-ArtifactsInput!$M$7)*CHOOSE(ArtifactsInput!$N$7+1,6,7.2,8.4,9.6,10.8,12))+IF(Inputs!$B$3&gt;=117,F1547,0))/100))/Skills!E18))</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IFERROR(1/(IF(Inputs!$B$38="pvp",15,MAX(0.1,Skills!E2-IF(Skills!F2=TRUE,Inputs!$B$32,0)))*(1-IF(AND(ArtifactsInput!$M$27,Inputs!$B$4="Chapter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IFERROR(1/(IF(Inputs!$B$38="pvp",15,MAX(0.1,Skills!E3-IF(Skills!F3=TRUE,Inputs!$B$32,0)))*(1-IF(AND(ArtifactsInput!$M$27,Inputs!$B$4="Chapter Hunt"),CHOOSE(ArtifactsInput!$N$27+1,20,24,28,32,36,40),0)/100)),0)</f>
        <v/>
      </c>
      <c r="R1569">
        <f>IF(AND(Inputs!$B$38&lt;&gt;"pvp",Inputs!$B$43&gt;0),IF(MAX(0,Inputs!$B$43-B1604)&lt;=0,0,(INT(MAX(0,Inputs!$B$43-B1604)/(IF(Inputs!$B$38="pvp",15,MAX(0.1,Skills!E3-IF(Skills!F3=TRUE,Inputs!$B$32,0)))*(1-IF(AND(ArtifactsInput!$M$27,Inputs!$B$4="Chapter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IFERROR(1/(IF(Inputs!$B$38="pvp",15,MAX(0.1,Skills!E4-IF(Skills!F4=TRUE,Inputs!$B$32,0)))*(1-IF(AND(ArtifactsInput!$M$27,Inputs!$B$4="Chapter Hunt"),CHOOSE(ArtifactsInput!$N$27+1,20,24,28,32,36,40),0)/100)),0)</f>
        <v/>
      </c>
      <c r="R1570">
        <f>IF(AND(Inputs!$B$38&lt;&gt;"pvp",Inputs!$B$43&gt;0),IF(MAX(0,Inputs!$B$43-B1604)&lt;=0,0,(INT(MAX(0,Inputs!$B$43-B1604)/(IF(Inputs!$B$38="pvp",15,MAX(0.1,Skills!E4-IF(Skills!F4=TRUE,Inputs!$B$32,0)))*(1-IF(AND(ArtifactsInput!$M$27,Inputs!$B$4="Chapter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IFERROR(1/(IF(Inputs!$B$38="pvp",15,MAX(0.1,Skills!E5-IF(Skills!F5=TRUE,Inputs!$B$32,0)))*(1-IF(AND(ArtifactsInput!$M$27,Inputs!$B$4="Chapter Hunt"),CHOOSE(ArtifactsInput!$N$27+1,20,24,28,32,36,40),0)/100)),0)</f>
        <v/>
      </c>
      <c r="R1571">
        <f>IF(AND(Inputs!$B$38&lt;&gt;"pvp",Inputs!$B$43&gt;0),IF(MAX(0,Inputs!$B$43-B1604)&lt;=0,0,(INT(MAX(0,Inputs!$B$43-B1604)/(IF(Inputs!$B$38="pvp",15,MAX(0.1,Skills!E5-IF(Skills!F5=TRUE,Inputs!$B$32,0)))*(1-IF(AND(ArtifactsInput!$M$27,Inputs!$B$4="Chapter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IFERROR(1/(IF(Inputs!$B$38="pvp",15,MAX(0.1,Skills!E6-IF(Skills!F6=TRUE,Inputs!$B$32,0)))*(1-IF(AND(ArtifactsInput!$M$27,Inputs!$B$4="Chapter Hunt"),CHOOSE(ArtifactsInput!$N$27+1,20,24,28,32,36,40),0)/100)),0)</f>
        <v/>
      </c>
      <c r="R1572">
        <f>IF(AND(Inputs!$B$38&lt;&gt;"pvp",Inputs!$B$43&gt;0),IF(Inputs!$B$43&lt;=0,0,(INT(Inputs!$B$43/(IF(Inputs!$B$38="pvp",15,MAX(0.1,Skills!E6-IF(Skills!F6=TRUE,Inputs!$B$32,0)))*(1-IF(AND(ArtifactsInput!$M$27,Inputs!$B$4="Chapter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IFERROR(1/(IF(Inputs!$B$38="pvp",15,MAX(0.1,Skills!E7-IF(Skills!F7=TRUE,Inputs!$B$32,0)))*(1-IF(AND(ArtifactsInput!$M$27,Inputs!$B$4="Chapter Hunt"),CHOOSE(ArtifactsInput!$N$27+1,20,24,28,32,36,40),0)/100)),0)</f>
        <v/>
      </c>
      <c r="R1573">
        <f>IF(AND(Inputs!$B$38&lt;&gt;"pvp",Inputs!$B$43&gt;0),IF(MAX(0,Inputs!$B$43-B1604)&lt;=0,0,(INT(MAX(0,Inputs!$B$43-B1604)/(IF(Inputs!$B$38="pvp",15,MAX(0.1,Skills!E7-IF(Skills!F7=TRUE,Inputs!$B$32,0)))*(1-IF(AND(ArtifactsInput!$M$27,Inputs!$B$4="Chapter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IFERROR(1/(IF(Inputs!$B$38="pvp",15,MAX(0.1,Skills!E8-IF(Skills!F8=TRUE,Inputs!$B$32,0)))*(1-IF(AND(ArtifactsInput!$M$27,Inputs!$B$4="Chapter Hunt"),CHOOSE(ArtifactsInput!$N$27+1,20,24,28,32,36,40),0)/100)),0)</f>
        <v/>
      </c>
      <c r="R1574">
        <f>IF(AND(Inputs!$B$38&lt;&gt;"pvp",Inputs!$B$43&gt;0),IF(MAX(0,Inputs!$B$43-B1604)&lt;=0,0,(INT(MAX(0,Inputs!$B$43-B1604)/(IF(Inputs!$B$38="pvp",15,MAX(0.1,Skills!E8-IF(Skills!F8=TRUE,Inputs!$B$32,0)))*(1-IF(AND(ArtifactsInput!$M$27,Inputs!$B$4="Chapter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IFERROR(1/(IF(Inputs!$B$38="pvp",15,MAX(0.1,Skills!E9-IF(Skills!F7=TRUE,Inputs!$B$32,0)))*(1-IF(AND(ArtifactsInput!$M$27,Inputs!$B$4="Chapter Hunt"),CHOOSE(ArtifactsInput!$N$27+1,20,24,28,32,36,40),0)/100)),0)</f>
        <v/>
      </c>
      <c r="R1575">
        <f>IF(AND(Inputs!$B$38&lt;&gt;"pvp",Inputs!$B$43&gt;0),IF(MAX(0,Inputs!$B$43-B1604)&lt;=0,0,(INT(MAX(0,Inputs!$B$43-B1604)/(IF(Inputs!$B$38="pvp",15,MAX(0.1,Skills!E9-IF(Skills!F7=TRUE,Inputs!$B$32,0)))*(1-IF(AND(ArtifactsInput!$M$27,Inputs!$B$4="Chapter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IFERROR(1/(IF(Inputs!$B$38="pvp",15,MAX(0.1,Skills!E10-IF(Skills!F10=TRUE,Inputs!$B$32,0)))*(1-IF(AND(ArtifactsInput!$M$27,Inputs!$B$4="Chapter Hunt"),CHOOSE(ArtifactsInput!$N$27+1,20,24,28,32,36,40),0)/100)),0)</f>
        <v/>
      </c>
      <c r="R1576">
        <f>IF(AND(Inputs!$B$38&lt;&gt;"pvp",Inputs!$B$43&gt;0),IF(MAX(0,Inputs!$B$43-B1604)&lt;=0,0,(INT(MAX(0,Inputs!$B$43-B1604)/(IF(Inputs!$B$38="pvp",15,MAX(0.1,Skills!E10-IF(Skills!F10=TRUE,Inputs!$B$32,0)))*(1-IF(AND(ArtifactsInput!$M$27,Inputs!$B$4="Chapter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IFERROR(1/(IF(Inputs!$B$38="pvp",15,MAX(0.1,Skills!E11-IF(Skills!F11=TRUE,Inputs!$B$32,0)))*(1-IF(AND(ArtifactsInput!$M$27,Inputs!$B$4="Chapter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IFERROR(1/(IF(Inputs!$B$38="pvp",15,MAX(0.1,Skills!E12-IF(Skills!F12=TRUE,Inputs!$B$32,0)))*(1-IF(AND(ArtifactsInput!$M$27,Inputs!$B$4="Chapter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IFERROR(1/(IF(Inputs!$B$38="pvp",15,MAX(0.1,Skills!E13-IF(Skills!F13=TRUE,Inputs!$B$32,0)))*(1-IF(AND(ArtifactsInput!$M$27,Inputs!$B$4="Chapter Hunt"),CHOOSE(ArtifactsInput!$N$27+1,20,24,28,32,36,40),0)/100)),0)</f>
        <v/>
      </c>
      <c r="R1579">
        <f>IF(AND(Inputs!$B$38&lt;&gt;"pvp",Inputs!$B$43&gt;0),IF(MAX(0,Inputs!$B$43-B1604)&lt;=0,0,(INT(MAX(0,Inputs!$B$43-B1604)/(IF(Inputs!$B$38="pvp",15,MAX(0.1,Skills!E13-IF(Skills!F13=TRUE,Inputs!$B$32,0)))*(1-IF(AND(ArtifactsInput!$M$27,Inputs!$B$4="Chapter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IFERROR(1/(IF(Inputs!$B$38="pvp",15,MAX(0.1,Skills!E14-IF(Skills!F14=TRUE,Inputs!$B$32,0)))*(1-IF(AND(ArtifactsInput!$M$27,Inputs!$B$4="Chapter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IFERROR(1/(IF(Inputs!$B$38="pvp",15,MAX(0.1,Skills!E15-IF(Skills!F15=TRUE,Inputs!$B$32,0)))*(1-IF(AND(ArtifactsInput!$M$27,Inputs!$B$4="Chapter Hunt"),CHOOSE(ArtifactsInput!$N$27+1,20,24,28,32,36,40),0)/100)),0)</f>
        <v/>
      </c>
      <c r="R1581">
        <f>IF(AND(Inputs!$B$38&lt;&gt;"pvp",Inputs!$B$43&gt;0),IF(MAX(0,Inputs!$B$43-B1604)&lt;=0,0,(INT(MAX(0,Inputs!$B$43-B1604)/(IF(Inputs!$B$38="pvp",15,MAX(0.1,Skills!E15-IF(Skills!F15=TRUE,Inputs!$B$32,0)))*(1-IF(AND(ArtifactsInput!$M$27,Inputs!$B$4="Chapter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IFERROR(1/(IF(Inputs!$B$38="pvp",15,MAX(0.1,Skills!E16-IF(Skills!F16=TRUE,Inputs!$B$32,0)))*(1-IF(AND(ArtifactsInput!$M$27,Inputs!$B$4="Chapter Hunt"),CHOOSE(ArtifactsInput!$N$27+1,20,24,28,32,36,40),0)/100)),0)</f>
        <v/>
      </c>
      <c r="R1582">
        <f>IF(AND(Inputs!$B$38&lt;&gt;"pvp",Inputs!$B$43&gt;0),IF(MAX(0,Inputs!$B$43-B1604)&lt;=0,0,(INT(MAX(0,Inputs!$B$43-B1604)/(IF(Inputs!$B$38="pvp",15,MAX(0.1,Skills!E16-IF(Skills!F16=TRUE,Inputs!$B$32,0)))*(1-IF(AND(ArtifactsInput!$M$27,Inputs!$B$4="Chapter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IFERROR(1/(IF(Inputs!$B$38="pvp",15,MAX(0.1,Skills!E17-IF(Skills!F17=TRUE,Inputs!$B$32,0)))*(1-IF(AND(ArtifactsInput!$M$27,Inputs!$B$4="Chapter Hunt"),CHOOSE(ArtifactsInput!$N$27+1,20,24,28,32,36,40),0)/100)),0)</f>
        <v/>
      </c>
      <c r="R1583">
        <f>IF(AND(Inputs!$B$38&lt;&gt;"pvp",Inputs!$B$43&gt;0),IF(Inputs!$B$43&lt;=0,0,(INT(Inputs!$B$43/(IF(Inputs!$B$38="pvp",15,MAX(0.1,Skills!E17-IF(Skills!F17=TRUE,Inputs!$B$32,0)))*(1-IF(AND(ArtifactsInput!$M$27,Inputs!$B$4="Chapter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IFERROR(1/(IF(Inputs!$B$38="pvp",15,MAX(0.1,Skills!E18-IF(Skills!F18=TRUE,Inputs!$B$32,0)))*(1-IF(AND(ArtifactsInput!$M$27,Inputs!$B$4="Chapter Hunt"),CHOOSE(ArtifactsInput!$N$27+1,20,24,28,32,36,40),0)/100)),0)</f>
        <v/>
      </c>
      <c r="R1584">
        <f>IF(AND(Inputs!$B$38&lt;&gt;"pvp",Inputs!$B$43&gt;0),IF(Inputs!$B$43&lt;=0,0,(INT(Inputs!$B$43/(IF(Inputs!$B$38="pvp",15,MAX(0.1,Skills!E18-IF(Skills!F18=TRUE,Inputs!$B$32,0)))*(1-IF(AND(ArtifactsInput!$M$27,Inputs!$B$4="Chapter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IFERROR(1/(IF(Inputs!$B$38="pvp",15,MAX(0.1,Skills!E19-IF(Skills!F19=TRUE,Inputs!$B$32,0)))*(1-IF(AND(ArtifactsInput!$M$27,Inputs!$B$4="Chapter Hunt"),CHOOSE(ArtifactsInput!$N$27+1,20,24,28,32,36,40),0)/100)),0)</f>
        <v/>
      </c>
      <c r="R1585">
        <f>IF(AND(Inputs!$B$38&lt;&gt;"pvp",Inputs!$B$43&gt;0),IF(Inputs!$B$43&lt;=0,0,(INT(Inputs!$B$43/(IF(Inputs!$B$38="pvp",15,MAX(0.1,Skills!E19-IF(Skills!F19=TRUE,Inputs!$B$32,0)))*(1-IF(AND(ArtifactsInput!$M$27,Inputs!$B$4="Chapter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IFERROR(1/(IF(Inputs!$B$38="pvp",15,MAX(0.1,Skills!E20-IF(Skills!F20=TRUE,Inputs!$B$32,0)))*(1-IF(AND(ArtifactsInput!$M$27,Inputs!$B$4="Chapter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IFERROR(1/(IF(Inputs!$B$38="pvp",15,MAX(0.1,Skills!E21-IF(Skills!F21=TRUE,Inputs!$B$32,0)))*(1-IF(AND(ArtifactsInput!$M$27,Inputs!$B$4="Chapter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IFERROR(1/(IF(Inputs!$B$38="pvp",15,MAX(0.1,Skills!E22-IF(Skills!F22=TRUE,Inputs!$B$32,0)))*(1-IF(AND(ArtifactsInput!$M$27,Inputs!$B$4="Chapter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IFERROR(1/(IF(Inputs!$B$38="pvp",15,MAX(0.1,Skills!E23-IF(Skills!F23=TRUE,Inputs!$B$32,0)))*(1-IF(AND(ArtifactsInput!$M$27,Inputs!$B$4="Chapter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IFERROR(1/(IF(Inputs!$B$38="pvp",15,MAX(0.1,Skills!E24-IF(Skills!F24=TRUE,Inputs!$B$32,0)))*(1-IF(AND(ArtifactsInput!$M$27,Inputs!$B$4="Chapter Hunt"),CHOOSE(ArtifactsInput!$N$27+1,20,24,28,32,36,40),0)/100)),0)</f>
        <v/>
      </c>
      <c r="R1590">
        <f>IF(AND(Inputs!$B$38&lt;&gt;"pvp",Inputs!$B$43&gt;0),IF(MAX(0,Inputs!$B$43-B1604)&lt;=0,0,(INT(MAX(0,Inputs!$B$43-B1604)/(IF(Inputs!$B$38="pvp",15,MAX(0.1,Skills!E24-IF(Skills!F24=TRUE,Inputs!$B$32,0)))*(1-IF(AND(ArtifactsInput!$M$27,Inputs!$B$4="Chapter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IFERROR(1/(IF(Inputs!$B$38="pvp",15,MAX(0.1,Skills!E25-IF(Skills!F25=TRUE,Inputs!$B$32,0)))*(1-IF(AND(ArtifactsInput!$M$27,Inputs!$B$4="Chapter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IFERROR(1/(IF(Inputs!$B$38="pvp",15,MAX(0.1,Skills!E26-IF(Skills!F26=TRUE,Inputs!$B$32,0)))*(1-IF(AND(ArtifactsInput!$M$27,Inputs!$B$4="Chapter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IFERROR(1/(IF(Inputs!$B$38="pvp",15,MAX(0.1,Skills!E27-IF(Skills!F27=TRUE,Inputs!$B$32,0)))*(1-IF(AND(ArtifactsInput!$M$27,Inputs!$B$4="Chapter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IFERROR(1/(IF(Inputs!$B$38="pvp",15,MAX(0.1,Skills!E28-IF(Skills!F28=TRUE,Inputs!$B$32,0)))*(1-IF(AND(ArtifactsInput!$M$27,Inputs!$B$4="Chapter Hunt"),CHOOSE(ArtifactsInput!$N$27+1,20,24,28,32,36,40),0)/100)),0)</f>
        <v/>
      </c>
      <c r="R1594">
        <f>IF(AND(Inputs!$B$38&lt;&gt;"pvp",Inputs!$B$43&gt;0),IF(MAX(0,Inputs!$B$43-B1604)&lt;=0,0,(INT(MAX(0,Inputs!$B$43-B1604)/(IF(Inputs!$B$38="pvp",15,MAX(0.1,Skills!E28-IF(Skills!F28=TRUE,Inputs!$B$32,0)))*(1-IF(AND(ArtifactsInput!$M$27,Inputs!$B$4="Chapter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Skills!T6*(1+((Inputs!$B$34+(ArtifactsInput!$M$7-ArtifactsInput!$M$7)*CHOOSE(ArtifactsInput!$N$7+1,6,7.2,8.4,9.6,10.8,12))+IF(Inputs!$B$3&gt;=117,F1591,0))/100))+MIN((Skills!T6*(1+((Inputs!$B$34+(ArtifactsInput!$M$7-ArtifactsInput!$M$7)*CHOOSE(ArtifactsInput!$N$7+1,6,7.2,8.4,9.6,10.8,12))+IF(Inputs!$B$3&gt;=117,F1591,0))/100)),MAX(0,Inputs!$B$43-((R1572-1)*Skills!E6))))/Inputs!$B$43),IF(Inputs!$B$38="pvp",MIN((Skills!T6*(1+((Inputs!$B$34+(ArtifactsInput!$M$7-ArtifactsInput!$M$7)*CHOOSE(ArtifactsInput!$N$7+1,6,7.2,8.4,9.6,10.8,12))+IF(Inputs!$B$3&gt;=117,F1591,0))/100)),15)/15,(Skills!T6*(1+((Inputs!$B$34+(ArtifactsInput!$M$7-ArtifactsInput!$M$7)*CHOOSE(ArtifactsInput!$N$7+1,6,7.2,8.4,9.6,10.8,12))+IF(Inputs!$B$3&gt;=117,F1591,0))/100))/Skills!E6))+F1583*IF(AND(Inputs!$B$38&lt;&gt;"pvp",Inputs!$B$43&gt;0),(((R1583-1)*(Skills!T17*(1+((Inputs!$B$34+(ArtifactsInput!$M$7-ArtifactsInput!$M$7)*CHOOSE(ArtifactsInput!$N$7+1,6,7.2,8.4,9.6,10.8,12))+IF(Inputs!$B$3&gt;=117,F1591,0))/100))+MIN((Skills!T17*(1+((Inputs!$B$34+(ArtifactsInput!$M$7-ArtifactsInput!$M$7)*CHOOSE(ArtifactsInput!$N$7+1,6,7.2,8.4,9.6,10.8,12))+IF(Inputs!$B$3&gt;=117,F1591,0))/100)),MAX(0,Inputs!$B$43-((R1583-1)*Skills!E17))))/Inputs!$B$43),IF(Inputs!$B$38="pvp",MIN((Skills!T17*(1+((Inputs!$B$34+(ArtifactsInput!$M$7-ArtifactsInput!$M$7)*CHOOSE(ArtifactsInput!$N$7+1,6,7.2,8.4,9.6,10.8,12))+IF(Inputs!$B$3&gt;=117,F1591,0))/100)),15)/15,(Skills!T17*(1+((Inputs!$B$34+(ArtifactsInput!$M$7-ArtifactsInput!$M$7)*CHOOSE(ArtifactsInput!$N$7+1,6,7.2,8.4,9.6,10.8,12))+IF(Inputs!$B$3&gt;=117,F1591,0)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Skills!T19*(1+((Inputs!$B$34+(ArtifactsInput!$M$7-ArtifactsInput!$M$7)*CHOOSE(ArtifactsInput!$N$7+1,6,7.2,8.4,9.6,10.8,12))+IF(Inputs!$B$3&gt;=117,F1591,0))/100))+MIN((Skills!T19*(1+((Inputs!$B$34+(ArtifactsInput!$M$7-ArtifactsInput!$M$7)*CHOOSE(ArtifactsInput!$N$7+1,6,7.2,8.4,9.6,10.8,12))+IF(Inputs!$B$3&gt;=117,F1591,0))/100)),MAX(0,Inputs!$B$43-((R1585-1)*Skills!E19))))/Inputs!$B$43),IF(Inputs!$B$38="pvp",MIN((Skills!T19*(1+((Inputs!$B$34+(ArtifactsInput!$M$7-ArtifactsInput!$M$7)*CHOOSE(ArtifactsInput!$N$7+1,6,7.2,8.4,9.6,10.8,12))+IF(Inputs!$B$3&gt;=117,F1591,0))/100)),15)/15,(Skills!T19*(1+((Inputs!$B$34+(ArtifactsInput!$M$7-ArtifactsInput!$M$7)*CHOOSE(ArtifactsInput!$N$7+1,6,7.2,8.4,9.6,10.8,12))+IF(Inputs!$B$3&gt;=117,F1591,0))/100))/Skills!E19))/100),1)</f>
        <v/>
      </c>
    </row>
    <row r="1599">
      <c r="A1599" t="inlineStr">
        <is>
          <t>Attack Speed Buff Bonus % (Nimble Feet, averaged)</t>
        </is>
      </c>
      <c r="B1599">
        <f>F1584*IF(AND(Inputs!$B$38&lt;&gt;"pvp",Inputs!$B$43&gt;0),(((R1584-1)*(Skills!T18*(1+((Inputs!$B$34+(ArtifactsInput!$M$7-ArtifactsInput!$M$7)*CHOOSE(ArtifactsInput!$N$7+1,6,7.2,8.4,9.6,10.8,12))+IF(Inputs!$B$3&gt;=117,F1591,0))/100))+MIN((Skills!T18*(1+((Inputs!$B$34+(ArtifactsInput!$M$7-ArtifactsInput!$M$7)*CHOOSE(ArtifactsInput!$N$7+1,6,7.2,8.4,9.6,10.8,12))+IF(Inputs!$B$3&gt;=117,F1591,0))/100)),MAX(0,Inputs!$B$43-((R1584-1)*Skills!E18))))/Inputs!$B$43),IF(Inputs!$B$38="pvp",MIN((Skills!T18*(1+((Inputs!$B$34+(ArtifactsInput!$M$7-ArtifactsInput!$M$7)*CHOOSE(ArtifactsInput!$N$7+1,6,7.2,8.4,9.6,10.8,12))+IF(Inputs!$B$3&gt;=117,F1591,0))/100)),15)/15,(Skills!T18*(1+((Inputs!$B$34+(ArtifactsInput!$M$7-ArtifactsInput!$M$7)*CHOOSE(ArtifactsInput!$N$7+1,6,7.2,8.4,9.6,10.8,12))+IF(Inputs!$B$3&gt;=117,F1591,0))/100))/Skills!E18))</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IFERROR(1/(IF(Inputs!$B$38="pvp",15,MAX(0.1,Skills!E2-IF(Skills!F2=TRUE,Inputs!$B$32,0)))*(1-IF(AND(ArtifactsInput!$M$27,Inputs!$B$4="Chapter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IFERROR(1/(IF(Inputs!$B$38="pvp",15,MAX(0.1,Skills!E3-IF(Skills!F3=TRUE,Inputs!$B$32,0)))*(1-IF(AND(ArtifactsInput!$M$27,Inputs!$B$4="Chapter Hunt"),CHOOSE(ArtifactsInput!$N$27+1,20,24,28,32,36,40),0)/100)),0)</f>
        <v/>
      </c>
      <c r="R1613">
        <f>IF(AND(Inputs!$B$38&lt;&gt;"pvp",Inputs!$B$43&gt;0),IF(MAX(0,Inputs!$B$43-B1648)&lt;=0,0,(INT(MAX(0,Inputs!$B$43-B1648)/(IF(Inputs!$B$38="pvp",15,MAX(0.1,Skills!E3-IF(Skills!F3=TRUE,Inputs!$B$32,0)))*(1-IF(AND(ArtifactsInput!$M$27,Inputs!$B$4="Chapter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IFERROR(1/(IF(Inputs!$B$38="pvp",15,MAX(0.1,Skills!E4-IF(Skills!F4=TRUE,Inputs!$B$32,0)))*(1-IF(AND(ArtifactsInput!$M$27,Inputs!$B$4="Chapter Hunt"),CHOOSE(ArtifactsInput!$N$27+1,20,24,28,32,36,40),0)/100)),0)</f>
        <v/>
      </c>
      <c r="R1614">
        <f>IF(AND(Inputs!$B$38&lt;&gt;"pvp",Inputs!$B$43&gt;0),IF(MAX(0,Inputs!$B$43-B1648)&lt;=0,0,(INT(MAX(0,Inputs!$B$43-B1648)/(IF(Inputs!$B$38="pvp",15,MAX(0.1,Skills!E4-IF(Skills!F4=TRUE,Inputs!$B$32,0)))*(1-IF(AND(ArtifactsInput!$M$27,Inputs!$B$4="Chapter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IFERROR(1/(IF(Inputs!$B$38="pvp",15,MAX(0.1,Skills!E5-IF(Skills!F5=TRUE,Inputs!$B$32,0)))*(1-IF(AND(ArtifactsInput!$M$27,Inputs!$B$4="Chapter Hunt"),CHOOSE(ArtifactsInput!$N$27+1,20,24,28,32,36,40),0)/100)),0)</f>
        <v/>
      </c>
      <c r="R1615">
        <f>IF(AND(Inputs!$B$38&lt;&gt;"pvp",Inputs!$B$43&gt;0),IF(MAX(0,Inputs!$B$43-B1648)&lt;=0,0,(INT(MAX(0,Inputs!$B$43-B1648)/(IF(Inputs!$B$38="pvp",15,MAX(0.1,Skills!E5-IF(Skills!F5=TRUE,Inputs!$B$32,0)))*(1-IF(AND(ArtifactsInput!$M$27,Inputs!$B$4="Chapter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IFERROR(1/(IF(Inputs!$B$38="pvp",15,MAX(0.1,Skills!E6-IF(Skills!F6=TRUE,Inputs!$B$32,0)))*(1-IF(AND(ArtifactsInput!$M$27,Inputs!$B$4="Chapter Hunt"),CHOOSE(ArtifactsInput!$N$27+1,20,24,28,32,36,40),0)/100)),0)</f>
        <v/>
      </c>
      <c r="R1616">
        <f>IF(AND(Inputs!$B$38&lt;&gt;"pvp",Inputs!$B$43&gt;0),IF(Inputs!$B$43&lt;=0,0,(INT(Inputs!$B$43/(IF(Inputs!$B$38="pvp",15,MAX(0.1,Skills!E6-IF(Skills!F6=TRUE,Inputs!$B$32,0)))*(1-IF(AND(ArtifactsInput!$M$27,Inputs!$B$4="Chapter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IFERROR(1/(IF(Inputs!$B$38="pvp",15,MAX(0.1,Skills!E7-IF(Skills!F7=TRUE,Inputs!$B$32,0)))*(1-IF(AND(ArtifactsInput!$M$27,Inputs!$B$4="Chapter Hunt"),CHOOSE(ArtifactsInput!$N$27+1,20,24,28,32,36,40),0)/100)),0)</f>
        <v/>
      </c>
      <c r="R1617">
        <f>IF(AND(Inputs!$B$38&lt;&gt;"pvp",Inputs!$B$43&gt;0),IF(MAX(0,Inputs!$B$43-B1648)&lt;=0,0,(INT(MAX(0,Inputs!$B$43-B1648)/(IF(Inputs!$B$38="pvp",15,MAX(0.1,Skills!E7-IF(Skills!F7=TRUE,Inputs!$B$32,0)))*(1-IF(AND(ArtifactsInput!$M$27,Inputs!$B$4="Chapter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IFERROR(1/(IF(Inputs!$B$38="pvp",15,MAX(0.1,Skills!E8-IF(Skills!F8=TRUE,Inputs!$B$32,0)))*(1-IF(AND(ArtifactsInput!$M$27,Inputs!$B$4="Chapter Hunt"),CHOOSE(ArtifactsInput!$N$27+1,20,24,28,32,36,40),0)/100)),0)</f>
        <v/>
      </c>
      <c r="R1618">
        <f>IF(AND(Inputs!$B$38&lt;&gt;"pvp",Inputs!$B$43&gt;0),IF(MAX(0,Inputs!$B$43-B1648)&lt;=0,0,(INT(MAX(0,Inputs!$B$43-B1648)/(IF(Inputs!$B$38="pvp",15,MAX(0.1,Skills!E8-IF(Skills!F8=TRUE,Inputs!$B$32,0)))*(1-IF(AND(ArtifactsInput!$M$27,Inputs!$B$4="Chapter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IFERROR(1/(IF(Inputs!$B$38="pvp",15,MAX(0.1,Skills!E9-IF(Skills!F7=TRUE,Inputs!$B$32,0)))*(1-IF(AND(ArtifactsInput!$M$27,Inputs!$B$4="Chapter Hunt"),CHOOSE(ArtifactsInput!$N$27+1,20,24,28,32,36,40),0)/100)),0)</f>
        <v/>
      </c>
      <c r="R1619">
        <f>IF(AND(Inputs!$B$38&lt;&gt;"pvp",Inputs!$B$43&gt;0),IF(MAX(0,Inputs!$B$43-B1648)&lt;=0,0,(INT(MAX(0,Inputs!$B$43-B1648)/(IF(Inputs!$B$38="pvp",15,MAX(0.1,Skills!E9-IF(Skills!F7=TRUE,Inputs!$B$32,0)))*(1-IF(AND(ArtifactsInput!$M$27,Inputs!$B$4="Chapter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IFERROR(1/(IF(Inputs!$B$38="pvp",15,MAX(0.1,Skills!E10-IF(Skills!F10=TRUE,Inputs!$B$32,0)))*(1-IF(AND(ArtifactsInput!$M$27,Inputs!$B$4="Chapter Hunt"),CHOOSE(ArtifactsInput!$N$27+1,20,24,28,32,36,40),0)/100)),0)</f>
        <v/>
      </c>
      <c r="R1620">
        <f>IF(AND(Inputs!$B$38&lt;&gt;"pvp",Inputs!$B$43&gt;0),IF(MAX(0,Inputs!$B$43-B1648)&lt;=0,0,(INT(MAX(0,Inputs!$B$43-B1648)/(IF(Inputs!$B$38="pvp",15,MAX(0.1,Skills!E10-IF(Skills!F10=TRUE,Inputs!$B$32,0)))*(1-IF(AND(ArtifactsInput!$M$27,Inputs!$B$4="Chapter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IFERROR(1/(IF(Inputs!$B$38="pvp",15,MAX(0.1,Skills!E11-IF(Skills!F11=TRUE,Inputs!$B$32,0)))*(1-IF(AND(ArtifactsInput!$M$27,Inputs!$B$4="Chapter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IFERROR(1/(IF(Inputs!$B$38="pvp",15,MAX(0.1,Skills!E12-IF(Skills!F12=TRUE,Inputs!$B$32,0)))*(1-IF(AND(ArtifactsInput!$M$27,Inputs!$B$4="Chapter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IFERROR(1/(IF(Inputs!$B$38="pvp",15,MAX(0.1,Skills!E13-IF(Skills!F13=TRUE,Inputs!$B$32,0)))*(1-IF(AND(ArtifactsInput!$M$27,Inputs!$B$4="Chapter Hunt"),CHOOSE(ArtifactsInput!$N$27+1,20,24,28,32,36,40),0)/100)),0)</f>
        <v/>
      </c>
      <c r="R1623">
        <f>IF(AND(Inputs!$B$38&lt;&gt;"pvp",Inputs!$B$43&gt;0),IF(MAX(0,Inputs!$B$43-B1648)&lt;=0,0,(INT(MAX(0,Inputs!$B$43-B1648)/(IF(Inputs!$B$38="pvp",15,MAX(0.1,Skills!E13-IF(Skills!F13=TRUE,Inputs!$B$32,0)))*(1-IF(AND(ArtifactsInput!$M$27,Inputs!$B$4="Chapter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IFERROR(1/(IF(Inputs!$B$38="pvp",15,MAX(0.1,Skills!E14-IF(Skills!F14=TRUE,Inputs!$B$32,0)))*(1-IF(AND(ArtifactsInput!$M$27,Inputs!$B$4="Chapter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IFERROR(1/(IF(Inputs!$B$38="pvp",15,MAX(0.1,Skills!E15-IF(Skills!F15=TRUE,Inputs!$B$32,0)))*(1-IF(AND(ArtifactsInput!$M$27,Inputs!$B$4="Chapter Hunt"),CHOOSE(ArtifactsInput!$N$27+1,20,24,28,32,36,40),0)/100)),0)</f>
        <v/>
      </c>
      <c r="R1625">
        <f>IF(AND(Inputs!$B$38&lt;&gt;"pvp",Inputs!$B$43&gt;0),IF(MAX(0,Inputs!$B$43-B1648)&lt;=0,0,(INT(MAX(0,Inputs!$B$43-B1648)/(IF(Inputs!$B$38="pvp",15,MAX(0.1,Skills!E15-IF(Skills!F15=TRUE,Inputs!$B$32,0)))*(1-IF(AND(ArtifactsInput!$M$27,Inputs!$B$4="Chapter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IFERROR(1/(IF(Inputs!$B$38="pvp",15,MAX(0.1,Skills!E16-IF(Skills!F16=TRUE,Inputs!$B$32,0)))*(1-IF(AND(ArtifactsInput!$M$27,Inputs!$B$4="Chapter Hunt"),CHOOSE(ArtifactsInput!$N$27+1,20,24,28,32,36,40),0)/100)),0)</f>
        <v/>
      </c>
      <c r="R1626">
        <f>IF(AND(Inputs!$B$38&lt;&gt;"pvp",Inputs!$B$43&gt;0),IF(MAX(0,Inputs!$B$43-B1648)&lt;=0,0,(INT(MAX(0,Inputs!$B$43-B1648)/(IF(Inputs!$B$38="pvp",15,MAX(0.1,Skills!E16-IF(Skills!F16=TRUE,Inputs!$B$32,0)))*(1-IF(AND(ArtifactsInput!$M$27,Inputs!$B$4="Chapter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IFERROR(1/(IF(Inputs!$B$38="pvp",15,MAX(0.1,Skills!E17-IF(Skills!F17=TRUE,Inputs!$B$32,0)))*(1-IF(AND(ArtifactsInput!$M$27,Inputs!$B$4="Chapter Hunt"),CHOOSE(ArtifactsInput!$N$27+1,20,24,28,32,36,40),0)/100)),0)</f>
        <v/>
      </c>
      <c r="R1627">
        <f>IF(AND(Inputs!$B$38&lt;&gt;"pvp",Inputs!$B$43&gt;0),IF(Inputs!$B$43&lt;=0,0,(INT(Inputs!$B$43/(IF(Inputs!$B$38="pvp",15,MAX(0.1,Skills!E17-IF(Skills!F17=TRUE,Inputs!$B$32,0)))*(1-IF(AND(ArtifactsInput!$M$27,Inputs!$B$4="Chapter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IFERROR(1/(IF(Inputs!$B$38="pvp",15,MAX(0.1,Skills!E18-IF(Skills!F18=TRUE,Inputs!$B$32,0)))*(1-IF(AND(ArtifactsInput!$M$27,Inputs!$B$4="Chapter Hunt"),CHOOSE(ArtifactsInput!$N$27+1,20,24,28,32,36,40),0)/100)),0)</f>
        <v/>
      </c>
      <c r="R1628">
        <f>IF(AND(Inputs!$B$38&lt;&gt;"pvp",Inputs!$B$43&gt;0),IF(Inputs!$B$43&lt;=0,0,(INT(Inputs!$B$43/(IF(Inputs!$B$38="pvp",15,MAX(0.1,Skills!E18-IF(Skills!F18=TRUE,Inputs!$B$32,0)))*(1-IF(AND(ArtifactsInput!$M$27,Inputs!$B$4="Chapter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IFERROR(1/(IF(Inputs!$B$38="pvp",15,MAX(0.1,Skills!E19-IF(Skills!F19=TRUE,Inputs!$B$32,0)))*(1-IF(AND(ArtifactsInput!$M$27,Inputs!$B$4="Chapter Hunt"),CHOOSE(ArtifactsInput!$N$27+1,20,24,28,32,36,40),0)/100)),0)</f>
        <v/>
      </c>
      <c r="R1629">
        <f>IF(AND(Inputs!$B$38&lt;&gt;"pvp",Inputs!$B$43&gt;0),IF(Inputs!$B$43&lt;=0,0,(INT(Inputs!$B$43/(IF(Inputs!$B$38="pvp",15,MAX(0.1,Skills!E19-IF(Skills!F19=TRUE,Inputs!$B$32,0)))*(1-IF(AND(ArtifactsInput!$M$27,Inputs!$B$4="Chapter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IFERROR(1/(IF(Inputs!$B$38="pvp",15,MAX(0.1,Skills!E20-IF(Skills!F20=TRUE,Inputs!$B$32,0)))*(1-IF(AND(ArtifactsInput!$M$27,Inputs!$B$4="Chapter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IFERROR(1/(IF(Inputs!$B$38="pvp",15,MAX(0.1,Skills!E21-IF(Skills!F21=TRUE,Inputs!$B$32,0)))*(1-IF(AND(ArtifactsInput!$M$27,Inputs!$B$4="Chapter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IFERROR(1/(IF(Inputs!$B$38="pvp",15,MAX(0.1,Skills!E22-IF(Skills!F22=TRUE,Inputs!$B$32,0)))*(1-IF(AND(ArtifactsInput!$M$27,Inputs!$B$4="Chapter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IFERROR(1/(IF(Inputs!$B$38="pvp",15,MAX(0.1,Skills!E23-IF(Skills!F23=TRUE,Inputs!$B$32,0)))*(1-IF(AND(ArtifactsInput!$M$27,Inputs!$B$4="Chapter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IFERROR(1/(IF(Inputs!$B$38="pvp",15,MAX(0.1,Skills!E24-IF(Skills!F24=TRUE,Inputs!$B$32,0)))*(1-IF(AND(ArtifactsInput!$M$27,Inputs!$B$4="Chapter Hunt"),CHOOSE(ArtifactsInput!$N$27+1,20,24,28,32,36,40),0)/100)),0)</f>
        <v/>
      </c>
      <c r="R1634">
        <f>IF(AND(Inputs!$B$38&lt;&gt;"pvp",Inputs!$B$43&gt;0),IF(MAX(0,Inputs!$B$43-B1648)&lt;=0,0,(INT(MAX(0,Inputs!$B$43-B1648)/(IF(Inputs!$B$38="pvp",15,MAX(0.1,Skills!E24-IF(Skills!F24=TRUE,Inputs!$B$32,0)))*(1-IF(AND(ArtifactsInput!$M$27,Inputs!$B$4="Chapter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IFERROR(1/(IF(Inputs!$B$38="pvp",15,MAX(0.1,Skills!E25-IF(Skills!F25=TRUE,Inputs!$B$32,0)))*(1-IF(AND(ArtifactsInput!$M$27,Inputs!$B$4="Chapter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IFERROR(1/(IF(Inputs!$B$38="pvp",15,MAX(0.1,Skills!E26-IF(Skills!F26=TRUE,Inputs!$B$32,0)))*(1-IF(AND(ArtifactsInput!$M$27,Inputs!$B$4="Chapter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IFERROR(1/(IF(Inputs!$B$38="pvp",15,MAX(0.1,Skills!E27-IF(Skills!F27=TRUE,Inputs!$B$32,0)))*(1-IF(AND(ArtifactsInput!$M$27,Inputs!$B$4="Chapter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IFERROR(1/(IF(Inputs!$B$38="pvp",15,MAX(0.1,Skills!E28-IF(Skills!F28=TRUE,Inputs!$B$32,0)))*(1-IF(AND(ArtifactsInput!$M$27,Inputs!$B$4="Chapter Hunt"),CHOOSE(ArtifactsInput!$N$27+1,20,24,28,32,36,40),0)/100)),0)</f>
        <v/>
      </c>
      <c r="R1638">
        <f>IF(AND(Inputs!$B$38&lt;&gt;"pvp",Inputs!$B$43&gt;0),IF(MAX(0,Inputs!$B$43-B1648)&lt;=0,0,(INT(MAX(0,Inputs!$B$43-B1648)/(IF(Inputs!$B$38="pvp",15,MAX(0.1,Skills!E28-IF(Skills!F28=TRUE,Inputs!$B$32,0)))*(1-IF(AND(ArtifactsInput!$M$27,Inputs!$B$4="Chapter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Skills!T6*(1+((Inputs!$B$34+(ArtifactsInput!$M$7-ArtifactsInput!$M$7)*CHOOSE(ArtifactsInput!$N$7+1,6,7.2,8.4,9.6,10.8,12))+IF(Inputs!$B$3&gt;=117,F1635,0))/100))+MIN((Skills!T6*(1+((Inputs!$B$34+(ArtifactsInput!$M$7-ArtifactsInput!$M$7)*CHOOSE(ArtifactsInput!$N$7+1,6,7.2,8.4,9.6,10.8,12))+IF(Inputs!$B$3&gt;=117,F1635,0))/100)),MAX(0,Inputs!$B$43-((R1616-1)*Skills!E6))))/Inputs!$B$43),IF(Inputs!$B$38="pvp",MIN((Skills!T6*(1+((Inputs!$B$34+(ArtifactsInput!$M$7-ArtifactsInput!$M$7)*CHOOSE(ArtifactsInput!$N$7+1,6,7.2,8.4,9.6,10.8,12))+IF(Inputs!$B$3&gt;=117,F1635,0))/100)),15)/15,(Skills!T6*(1+((Inputs!$B$34+(ArtifactsInput!$M$7-ArtifactsInput!$M$7)*CHOOSE(ArtifactsInput!$N$7+1,6,7.2,8.4,9.6,10.8,12))+IF(Inputs!$B$3&gt;=117,F1635,0))/100))/Skills!E6))+F1627*IF(AND(Inputs!$B$38&lt;&gt;"pvp",Inputs!$B$43&gt;0),(((R1627-1)*(Skills!T17*(1+((Inputs!$B$34+(ArtifactsInput!$M$7-ArtifactsInput!$M$7)*CHOOSE(ArtifactsInput!$N$7+1,6,7.2,8.4,9.6,10.8,12))+IF(Inputs!$B$3&gt;=117,F1635,0))/100))+MIN((Skills!T17*(1+((Inputs!$B$34+(ArtifactsInput!$M$7-ArtifactsInput!$M$7)*CHOOSE(ArtifactsInput!$N$7+1,6,7.2,8.4,9.6,10.8,12))+IF(Inputs!$B$3&gt;=117,F1635,0))/100)),MAX(0,Inputs!$B$43-((R1627-1)*Skills!E17))))/Inputs!$B$43),IF(Inputs!$B$38="pvp",MIN((Skills!T17*(1+((Inputs!$B$34+(ArtifactsInput!$M$7-ArtifactsInput!$M$7)*CHOOSE(ArtifactsInput!$N$7+1,6,7.2,8.4,9.6,10.8,12))+IF(Inputs!$B$3&gt;=117,F1635,0))/100)),15)/15,(Skills!T17*(1+((Inputs!$B$34+(ArtifactsInput!$M$7-ArtifactsInput!$M$7)*CHOOSE(ArtifactsInput!$N$7+1,6,7.2,8.4,9.6,10.8,12))+IF(Inputs!$B$3&gt;=117,F1635,0)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Skills!T19*(1+((Inputs!$B$34+(ArtifactsInput!$M$7-ArtifactsInput!$M$7)*CHOOSE(ArtifactsInput!$N$7+1,6,7.2,8.4,9.6,10.8,12))+IF(Inputs!$B$3&gt;=117,F1635,0))/100))+MIN((Skills!T19*(1+((Inputs!$B$34+(ArtifactsInput!$M$7-ArtifactsInput!$M$7)*CHOOSE(ArtifactsInput!$N$7+1,6,7.2,8.4,9.6,10.8,12))+IF(Inputs!$B$3&gt;=117,F1635,0))/100)),MAX(0,Inputs!$B$43-((R1629-1)*Skills!E19))))/Inputs!$B$43),IF(Inputs!$B$38="pvp",MIN((Skills!T19*(1+((Inputs!$B$34+(ArtifactsInput!$M$7-ArtifactsInput!$M$7)*CHOOSE(ArtifactsInput!$N$7+1,6,7.2,8.4,9.6,10.8,12))+IF(Inputs!$B$3&gt;=117,F1635,0))/100)),15)/15,(Skills!T19*(1+((Inputs!$B$34+(ArtifactsInput!$M$7-ArtifactsInput!$M$7)*CHOOSE(ArtifactsInput!$N$7+1,6,7.2,8.4,9.6,10.8,12))+IF(Inputs!$B$3&gt;=117,F1635,0))/100))/Skills!E19))/100),1)</f>
        <v/>
      </c>
    </row>
    <row r="1643">
      <c r="A1643" t="inlineStr">
        <is>
          <t>Attack Speed Buff Bonus % (Nimble Feet, averaged)</t>
        </is>
      </c>
      <c r="B1643">
        <f>F1628*IF(AND(Inputs!$B$38&lt;&gt;"pvp",Inputs!$B$43&gt;0),(((R1628-1)*(Skills!T18*(1+((Inputs!$B$34+(ArtifactsInput!$M$7-ArtifactsInput!$M$7)*CHOOSE(ArtifactsInput!$N$7+1,6,7.2,8.4,9.6,10.8,12))+IF(Inputs!$B$3&gt;=117,F1635,0))/100))+MIN((Skills!T18*(1+((Inputs!$B$34+(ArtifactsInput!$M$7-ArtifactsInput!$M$7)*CHOOSE(ArtifactsInput!$N$7+1,6,7.2,8.4,9.6,10.8,12))+IF(Inputs!$B$3&gt;=117,F1635,0))/100)),MAX(0,Inputs!$B$43-((R1628-1)*Skills!E18))))/Inputs!$B$43),IF(Inputs!$B$38="pvp",MIN((Skills!T18*(1+((Inputs!$B$34+(ArtifactsInput!$M$7-ArtifactsInput!$M$7)*CHOOSE(ArtifactsInput!$N$7+1,6,7.2,8.4,9.6,10.8,12))+IF(Inputs!$B$3&gt;=117,F1635,0))/100)),15)/15,(Skills!T18*(1+((Inputs!$B$34+(ArtifactsInput!$M$7-ArtifactsInput!$M$7)*CHOOSE(ArtifactsInput!$N$7+1,6,7.2,8.4,9.6,10.8,12))+IF(Inputs!$B$3&gt;=117,F1635,0))/100))/Skills!E18)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IFERROR(1/(IF(Inputs!$B$38="pvp",15,MAX(0.1,Skills!E2-IF(Skills!F2=TRUE,Inputs!$B$32,0)))*(1-IF(AND(ArtifactsInput!$M$27,Inputs!$B$4="Chapter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IFERROR(1/(IF(Inputs!$B$38="pvp",15,MAX(0.1,Skills!E3-IF(Skills!F3=TRUE,Inputs!$B$32,0)))*(1-IF(AND(ArtifactsInput!$M$27,Inputs!$B$4="Chapter Hunt"),CHOOSE(ArtifactsInput!$N$27+1,20,24,28,32,36,40),0)/100)),0)</f>
        <v/>
      </c>
      <c r="R1657">
        <f>IF(AND(Inputs!$B$38&lt;&gt;"pvp",Inputs!$B$43&gt;0),IF(MAX(0,Inputs!$B$43-B1692)&lt;=0,0,(INT(MAX(0,Inputs!$B$43-B1692)/(IF(Inputs!$B$38="pvp",15,MAX(0.1,Skills!E3-IF(Skills!F3=TRUE,Inputs!$B$32,0)))*(1-IF(AND(ArtifactsInput!$M$27,Inputs!$B$4="Chapter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IFERROR(1/(IF(Inputs!$B$38="pvp",15,MAX(0.1,Skills!E4-IF(Skills!F4=TRUE,Inputs!$B$32,0)))*(1-IF(AND(ArtifactsInput!$M$27,Inputs!$B$4="Chapter Hunt"),CHOOSE(ArtifactsInput!$N$27+1,20,24,28,32,36,40),0)/100)),0)</f>
        <v/>
      </c>
      <c r="R1658">
        <f>IF(AND(Inputs!$B$38&lt;&gt;"pvp",Inputs!$B$43&gt;0),IF(MAX(0,Inputs!$B$43-B1692)&lt;=0,0,(INT(MAX(0,Inputs!$B$43-B1692)/(IF(Inputs!$B$38="pvp",15,MAX(0.1,Skills!E4-IF(Skills!F4=TRUE,Inputs!$B$32,0)))*(1-IF(AND(ArtifactsInput!$M$27,Inputs!$B$4="Chapter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IFERROR(1/(IF(Inputs!$B$38="pvp",15,MAX(0.1,Skills!E5-IF(Skills!F5=TRUE,Inputs!$B$32,0)))*(1-IF(AND(ArtifactsInput!$M$27,Inputs!$B$4="Chapter Hunt"),CHOOSE(ArtifactsInput!$N$27+1,20,24,28,32,36,40),0)/100)),0)</f>
        <v/>
      </c>
      <c r="R1659">
        <f>IF(AND(Inputs!$B$38&lt;&gt;"pvp",Inputs!$B$43&gt;0),IF(MAX(0,Inputs!$B$43-B1692)&lt;=0,0,(INT(MAX(0,Inputs!$B$43-B1692)/(IF(Inputs!$B$38="pvp",15,MAX(0.1,Skills!E5-IF(Skills!F5=TRUE,Inputs!$B$32,0)))*(1-IF(AND(ArtifactsInput!$M$27,Inputs!$B$4="Chapter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IFERROR(1/(IF(Inputs!$B$38="pvp",15,MAX(0.1,Skills!E6-IF(Skills!F6=TRUE,Inputs!$B$32,0)))*(1-IF(AND(ArtifactsInput!$M$27,Inputs!$B$4="Chapter Hunt"),CHOOSE(ArtifactsInput!$N$27+1,20,24,28,32,36,40),0)/100)),0)</f>
        <v/>
      </c>
      <c r="R1660">
        <f>IF(AND(Inputs!$B$38&lt;&gt;"pvp",Inputs!$B$43&gt;0),IF(Inputs!$B$43&lt;=0,0,(INT(Inputs!$B$43/(IF(Inputs!$B$38="pvp",15,MAX(0.1,Skills!E6-IF(Skills!F6=TRUE,Inputs!$B$32,0)))*(1-IF(AND(ArtifactsInput!$M$27,Inputs!$B$4="Chapter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IFERROR(1/(IF(Inputs!$B$38="pvp",15,MAX(0.1,Skills!E7-IF(Skills!F7=TRUE,Inputs!$B$32,0)))*(1-IF(AND(ArtifactsInput!$M$27,Inputs!$B$4="Chapter Hunt"),CHOOSE(ArtifactsInput!$N$27+1,20,24,28,32,36,40),0)/100)),0)</f>
        <v/>
      </c>
      <c r="R1661">
        <f>IF(AND(Inputs!$B$38&lt;&gt;"pvp",Inputs!$B$43&gt;0),IF(MAX(0,Inputs!$B$43-B1692)&lt;=0,0,(INT(MAX(0,Inputs!$B$43-B1692)/(IF(Inputs!$B$38="pvp",15,MAX(0.1,Skills!E7-IF(Skills!F7=TRUE,Inputs!$B$32,0)))*(1-IF(AND(ArtifactsInput!$M$27,Inputs!$B$4="Chapter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IFERROR(1/(IF(Inputs!$B$38="pvp",15,MAX(0.1,Skills!E8-IF(Skills!F8=TRUE,Inputs!$B$32,0)))*(1-IF(AND(ArtifactsInput!$M$27,Inputs!$B$4="Chapter Hunt"),CHOOSE(ArtifactsInput!$N$27+1,20,24,28,32,36,40),0)/100)),0)</f>
        <v/>
      </c>
      <c r="R1662">
        <f>IF(AND(Inputs!$B$38&lt;&gt;"pvp",Inputs!$B$43&gt;0),IF(MAX(0,Inputs!$B$43-B1692)&lt;=0,0,(INT(MAX(0,Inputs!$B$43-B1692)/(IF(Inputs!$B$38="pvp",15,MAX(0.1,Skills!E8-IF(Skills!F8=TRUE,Inputs!$B$32,0)))*(1-IF(AND(ArtifactsInput!$M$27,Inputs!$B$4="Chapter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IFERROR(1/(IF(Inputs!$B$38="pvp",15,MAX(0.1,Skills!E9-IF(Skills!F7=TRUE,Inputs!$B$32,0)))*(1-IF(AND(ArtifactsInput!$M$27,Inputs!$B$4="Chapter Hunt"),CHOOSE(ArtifactsInput!$N$27+1,20,24,28,32,36,40),0)/100)),0)</f>
        <v/>
      </c>
      <c r="R1663">
        <f>IF(AND(Inputs!$B$38&lt;&gt;"pvp",Inputs!$B$43&gt;0),IF(MAX(0,Inputs!$B$43-B1692)&lt;=0,0,(INT(MAX(0,Inputs!$B$43-B1692)/(IF(Inputs!$B$38="pvp",15,MAX(0.1,Skills!E9-IF(Skills!F7=TRUE,Inputs!$B$32,0)))*(1-IF(AND(ArtifactsInput!$M$27,Inputs!$B$4="Chapter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IFERROR(1/(IF(Inputs!$B$38="pvp",15,MAX(0.1,Skills!E10-IF(Skills!F10=TRUE,Inputs!$B$32,0)))*(1-IF(AND(ArtifactsInput!$M$27,Inputs!$B$4="Chapter Hunt"),CHOOSE(ArtifactsInput!$N$27+1,20,24,28,32,36,40),0)/100)),0)</f>
        <v/>
      </c>
      <c r="R1664">
        <f>IF(AND(Inputs!$B$38&lt;&gt;"pvp",Inputs!$B$43&gt;0),IF(MAX(0,Inputs!$B$43-B1692)&lt;=0,0,(INT(MAX(0,Inputs!$B$43-B1692)/(IF(Inputs!$B$38="pvp",15,MAX(0.1,Skills!E10-IF(Skills!F10=TRUE,Inputs!$B$32,0)))*(1-IF(AND(ArtifactsInput!$M$27,Inputs!$B$4="Chapter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IFERROR(1/(IF(Inputs!$B$38="pvp",15,MAX(0.1,Skills!E11-IF(Skills!F11=TRUE,Inputs!$B$32,0)))*(1-IF(AND(ArtifactsInput!$M$27,Inputs!$B$4="Chapter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IFERROR(1/(IF(Inputs!$B$38="pvp",15,MAX(0.1,Skills!E12-IF(Skills!F12=TRUE,Inputs!$B$32,0)))*(1-IF(AND(ArtifactsInput!$M$27,Inputs!$B$4="Chapter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IFERROR(1/(IF(Inputs!$B$38="pvp",15,MAX(0.1,Skills!E13-IF(Skills!F13=TRUE,Inputs!$B$32,0)))*(1-IF(AND(ArtifactsInput!$M$27,Inputs!$B$4="Chapter Hunt"),CHOOSE(ArtifactsInput!$N$27+1,20,24,28,32,36,40),0)/100)),0)</f>
        <v/>
      </c>
      <c r="R1667">
        <f>IF(AND(Inputs!$B$38&lt;&gt;"pvp",Inputs!$B$43&gt;0),IF(MAX(0,Inputs!$B$43-B1692)&lt;=0,0,(INT(MAX(0,Inputs!$B$43-B1692)/(IF(Inputs!$B$38="pvp",15,MAX(0.1,Skills!E13-IF(Skills!F13=TRUE,Inputs!$B$32,0)))*(1-IF(AND(ArtifactsInput!$M$27,Inputs!$B$4="Chapter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IFERROR(1/(IF(Inputs!$B$38="pvp",15,MAX(0.1,Skills!E14-IF(Skills!F14=TRUE,Inputs!$B$32,0)))*(1-IF(AND(ArtifactsInput!$M$27,Inputs!$B$4="Chapter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IFERROR(1/(IF(Inputs!$B$38="pvp",15,MAX(0.1,Skills!E15-IF(Skills!F15=TRUE,Inputs!$B$32,0)))*(1-IF(AND(ArtifactsInput!$M$27,Inputs!$B$4="Chapter Hunt"),CHOOSE(ArtifactsInput!$N$27+1,20,24,28,32,36,40),0)/100)),0)</f>
        <v/>
      </c>
      <c r="R1669">
        <f>IF(AND(Inputs!$B$38&lt;&gt;"pvp",Inputs!$B$43&gt;0),IF(MAX(0,Inputs!$B$43-B1692)&lt;=0,0,(INT(MAX(0,Inputs!$B$43-B1692)/(IF(Inputs!$B$38="pvp",15,MAX(0.1,Skills!E15-IF(Skills!F15=TRUE,Inputs!$B$32,0)))*(1-IF(AND(ArtifactsInput!$M$27,Inputs!$B$4="Chapter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IFERROR(1/(IF(Inputs!$B$38="pvp",15,MAX(0.1,Skills!E16-IF(Skills!F16=TRUE,Inputs!$B$32,0)))*(1-IF(AND(ArtifactsInput!$M$27,Inputs!$B$4="Chapter Hunt"),CHOOSE(ArtifactsInput!$N$27+1,20,24,28,32,36,40),0)/100)),0)</f>
        <v/>
      </c>
      <c r="R1670">
        <f>IF(AND(Inputs!$B$38&lt;&gt;"pvp",Inputs!$B$43&gt;0),IF(MAX(0,Inputs!$B$43-B1692)&lt;=0,0,(INT(MAX(0,Inputs!$B$43-B1692)/(IF(Inputs!$B$38="pvp",15,MAX(0.1,Skills!E16-IF(Skills!F16=TRUE,Inputs!$B$32,0)))*(1-IF(AND(ArtifactsInput!$M$27,Inputs!$B$4="Chapter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IFERROR(1/(IF(Inputs!$B$38="pvp",15,MAX(0.1,Skills!E17-IF(Skills!F17=TRUE,Inputs!$B$32,0)))*(1-IF(AND(ArtifactsInput!$M$27,Inputs!$B$4="Chapter Hunt"),CHOOSE(ArtifactsInput!$N$27+1,20,24,28,32,36,40),0)/100)),0)</f>
        <v/>
      </c>
      <c r="R1671">
        <f>IF(AND(Inputs!$B$38&lt;&gt;"pvp",Inputs!$B$43&gt;0),IF(Inputs!$B$43&lt;=0,0,(INT(Inputs!$B$43/(IF(Inputs!$B$38="pvp",15,MAX(0.1,Skills!E17-IF(Skills!F17=TRUE,Inputs!$B$32,0)))*(1-IF(AND(ArtifactsInput!$M$27,Inputs!$B$4="Chapter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IFERROR(1/(IF(Inputs!$B$38="pvp",15,MAX(0.1,Skills!E18-IF(Skills!F18=TRUE,Inputs!$B$32,0)))*(1-IF(AND(ArtifactsInput!$M$27,Inputs!$B$4="Chapter Hunt"),CHOOSE(ArtifactsInput!$N$27+1,20,24,28,32,36,40),0)/100)),0)</f>
        <v/>
      </c>
      <c r="R1672">
        <f>IF(AND(Inputs!$B$38&lt;&gt;"pvp",Inputs!$B$43&gt;0),IF(Inputs!$B$43&lt;=0,0,(INT(Inputs!$B$43/(IF(Inputs!$B$38="pvp",15,MAX(0.1,Skills!E18-IF(Skills!F18=TRUE,Inputs!$B$32,0)))*(1-IF(AND(ArtifactsInput!$M$27,Inputs!$B$4="Chapter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IFERROR(1/(IF(Inputs!$B$38="pvp",15,MAX(0.1,Skills!E19-IF(Skills!F19=TRUE,Inputs!$B$32,0)))*(1-IF(AND(ArtifactsInput!$M$27,Inputs!$B$4="Chapter Hunt"),CHOOSE(ArtifactsInput!$N$27+1,20,24,28,32,36,40),0)/100)),0)</f>
        <v/>
      </c>
      <c r="R1673">
        <f>IF(AND(Inputs!$B$38&lt;&gt;"pvp",Inputs!$B$43&gt;0),IF(Inputs!$B$43&lt;=0,0,(INT(Inputs!$B$43/(IF(Inputs!$B$38="pvp",15,MAX(0.1,Skills!E19-IF(Skills!F19=TRUE,Inputs!$B$32,0)))*(1-IF(AND(ArtifactsInput!$M$27,Inputs!$B$4="Chapter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IFERROR(1/(IF(Inputs!$B$38="pvp",15,MAX(0.1,Skills!E20-IF(Skills!F20=TRUE,Inputs!$B$32,0)))*(1-IF(AND(ArtifactsInput!$M$27,Inputs!$B$4="Chapter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IFERROR(1/(IF(Inputs!$B$38="pvp",15,MAX(0.1,Skills!E21-IF(Skills!F21=TRUE,Inputs!$B$32,0)))*(1-IF(AND(ArtifactsInput!$M$27,Inputs!$B$4="Chapter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IFERROR(1/(IF(Inputs!$B$38="pvp",15,MAX(0.1,Skills!E22-IF(Skills!F22=TRUE,Inputs!$B$32,0)))*(1-IF(AND(ArtifactsInput!$M$27,Inputs!$B$4="Chapter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IFERROR(1/(IF(Inputs!$B$38="pvp",15,MAX(0.1,Skills!E23-IF(Skills!F23=TRUE,Inputs!$B$32,0)))*(1-IF(AND(ArtifactsInput!$M$27,Inputs!$B$4="Chapter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IFERROR(1/(IF(Inputs!$B$38="pvp",15,MAX(0.1,Skills!E24-IF(Skills!F24=TRUE,Inputs!$B$32,0)))*(1-IF(AND(ArtifactsInput!$M$27,Inputs!$B$4="Chapter Hunt"),CHOOSE(ArtifactsInput!$N$27+1,20,24,28,32,36,40),0)/100)),0)</f>
        <v/>
      </c>
      <c r="R1678">
        <f>IF(AND(Inputs!$B$38&lt;&gt;"pvp",Inputs!$B$43&gt;0),IF(MAX(0,Inputs!$B$43-B1692)&lt;=0,0,(INT(MAX(0,Inputs!$B$43-B1692)/(IF(Inputs!$B$38="pvp",15,MAX(0.1,Skills!E24-IF(Skills!F24=TRUE,Inputs!$B$32,0)))*(1-IF(AND(ArtifactsInput!$M$27,Inputs!$B$4="Chapter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IFERROR(1/(IF(Inputs!$B$38="pvp",15,MAX(0.1,Skills!E25-IF(Skills!F25=TRUE,Inputs!$B$32,0)))*(1-IF(AND(ArtifactsInput!$M$27,Inputs!$B$4="Chapter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IFERROR(1/(IF(Inputs!$B$38="pvp",15,MAX(0.1,Skills!E26-IF(Skills!F26=TRUE,Inputs!$B$32,0)))*(1-IF(AND(ArtifactsInput!$M$27,Inputs!$B$4="Chapter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IFERROR(1/(IF(Inputs!$B$38="pvp",15,MAX(0.1,Skills!E27-IF(Skills!F27=TRUE,Inputs!$B$32,0)))*(1-IF(AND(ArtifactsInput!$M$27,Inputs!$B$4="Chapter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IFERROR(1/(IF(Inputs!$B$38="pvp",15,MAX(0.1,Skills!E28-IF(Skills!F28=TRUE,Inputs!$B$32,0)))*(1-IF(AND(ArtifactsInput!$M$27,Inputs!$B$4="Chapter Hunt"),CHOOSE(ArtifactsInput!$N$27+1,20,24,28,32,36,40),0)/100)),0)</f>
        <v/>
      </c>
      <c r="R1682">
        <f>IF(AND(Inputs!$B$38&lt;&gt;"pvp",Inputs!$B$43&gt;0),IF(MAX(0,Inputs!$B$43-B1692)&lt;=0,0,(INT(MAX(0,Inputs!$B$43-B1692)/(IF(Inputs!$B$38="pvp",15,MAX(0.1,Skills!E28-IF(Skills!F28=TRUE,Inputs!$B$32,0)))*(1-IF(AND(ArtifactsInput!$M$27,Inputs!$B$4="Chapter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Skills!T6*(1+((Inputs!$B$34+(ArtifactsInput!$M$7-ArtifactsInput!$M$7)*CHOOSE(ArtifactsInput!$N$7+1,6,7.2,8.4,9.6,10.8,12))+IF(Inputs!$B$3&gt;=117,F1679,0))/100))+MIN((Skills!T6*(1+((Inputs!$B$34+(ArtifactsInput!$M$7-ArtifactsInput!$M$7)*CHOOSE(ArtifactsInput!$N$7+1,6,7.2,8.4,9.6,10.8,12))+IF(Inputs!$B$3&gt;=117,F1679,0))/100)),MAX(0,Inputs!$B$43-((R1660-1)*Skills!E6))))/Inputs!$B$43),IF(Inputs!$B$38="pvp",MIN((Skills!T6*(1+((Inputs!$B$34+(ArtifactsInput!$M$7-ArtifactsInput!$M$7)*CHOOSE(ArtifactsInput!$N$7+1,6,7.2,8.4,9.6,10.8,12))+IF(Inputs!$B$3&gt;=117,F1679,0))/100)),15)/15,(Skills!T6*(1+((Inputs!$B$34+(ArtifactsInput!$M$7-ArtifactsInput!$M$7)*CHOOSE(ArtifactsInput!$N$7+1,6,7.2,8.4,9.6,10.8,12))+IF(Inputs!$B$3&gt;=117,F1679,0))/100))/Skills!E6))+F1671*IF(AND(Inputs!$B$38&lt;&gt;"pvp",Inputs!$B$43&gt;0),(((R1671-1)*(Skills!T17*(1+((Inputs!$B$34+(ArtifactsInput!$M$7-ArtifactsInput!$M$7)*CHOOSE(ArtifactsInput!$N$7+1,6,7.2,8.4,9.6,10.8,12))+IF(Inputs!$B$3&gt;=117,F1679,0))/100))+MIN((Skills!T17*(1+((Inputs!$B$34+(ArtifactsInput!$M$7-ArtifactsInput!$M$7)*CHOOSE(ArtifactsInput!$N$7+1,6,7.2,8.4,9.6,10.8,12))+IF(Inputs!$B$3&gt;=117,F1679,0))/100)),MAX(0,Inputs!$B$43-((R1671-1)*Skills!E17))))/Inputs!$B$43),IF(Inputs!$B$38="pvp",MIN((Skills!T17*(1+((Inputs!$B$34+(ArtifactsInput!$M$7-ArtifactsInput!$M$7)*CHOOSE(ArtifactsInput!$N$7+1,6,7.2,8.4,9.6,10.8,12))+IF(Inputs!$B$3&gt;=117,F1679,0))/100)),15)/15,(Skills!T17*(1+((Inputs!$B$34+(ArtifactsInput!$M$7-ArtifactsInput!$M$7)*CHOOSE(ArtifactsInput!$N$7+1,6,7.2,8.4,9.6,10.8,12))+IF(Inputs!$B$3&gt;=117,F1679,0)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Skills!T19*(1+((Inputs!$B$34+(ArtifactsInput!$M$7-ArtifactsInput!$M$7)*CHOOSE(ArtifactsInput!$N$7+1,6,7.2,8.4,9.6,10.8,12))+IF(Inputs!$B$3&gt;=117,F1679,0))/100))+MIN((Skills!T19*(1+((Inputs!$B$34+(ArtifactsInput!$M$7-ArtifactsInput!$M$7)*CHOOSE(ArtifactsInput!$N$7+1,6,7.2,8.4,9.6,10.8,12))+IF(Inputs!$B$3&gt;=117,F1679,0))/100)),MAX(0,Inputs!$B$43-((R1673-1)*Skills!E19))))/Inputs!$B$43),IF(Inputs!$B$38="pvp",MIN((Skills!T19*(1+((Inputs!$B$34+(ArtifactsInput!$M$7-ArtifactsInput!$M$7)*CHOOSE(ArtifactsInput!$N$7+1,6,7.2,8.4,9.6,10.8,12))+IF(Inputs!$B$3&gt;=117,F1679,0))/100)),15)/15,(Skills!T19*(1+((Inputs!$B$34+(ArtifactsInput!$M$7-ArtifactsInput!$M$7)*CHOOSE(ArtifactsInput!$N$7+1,6,7.2,8.4,9.6,10.8,12))+IF(Inputs!$B$3&gt;=117,F1679,0))/100))/Skills!E19))/100),1)</f>
        <v/>
      </c>
    </row>
    <row r="1687">
      <c r="A1687" t="inlineStr">
        <is>
          <t>Attack Speed Buff Bonus % (Nimble Feet, averaged)</t>
        </is>
      </c>
      <c r="B1687">
        <f>F1672*IF(AND(Inputs!$B$38&lt;&gt;"pvp",Inputs!$B$43&gt;0),(((R1672-1)*(Skills!T18*(1+((Inputs!$B$34+(ArtifactsInput!$M$7-ArtifactsInput!$M$7)*CHOOSE(ArtifactsInput!$N$7+1,6,7.2,8.4,9.6,10.8,12))+IF(Inputs!$B$3&gt;=117,F1679,0))/100))+MIN((Skills!T18*(1+((Inputs!$B$34+(ArtifactsInput!$M$7-ArtifactsInput!$M$7)*CHOOSE(ArtifactsInput!$N$7+1,6,7.2,8.4,9.6,10.8,12))+IF(Inputs!$B$3&gt;=117,F1679,0))/100)),MAX(0,Inputs!$B$43-((R1672-1)*Skills!E18))))/Inputs!$B$43),IF(Inputs!$B$38="pvp",MIN((Skills!T18*(1+((Inputs!$B$34+(ArtifactsInput!$M$7-ArtifactsInput!$M$7)*CHOOSE(ArtifactsInput!$N$7+1,6,7.2,8.4,9.6,10.8,12))+IF(Inputs!$B$3&gt;=117,F1679,0))/100)),15)/15,(Skills!T18*(1+((Inputs!$B$34+(ArtifactsInput!$M$7-ArtifactsInput!$M$7)*CHOOSE(ArtifactsInput!$N$7+1,6,7.2,8.4,9.6,10.8,12))+IF(Inputs!$B$3&gt;=117,F1679,0))/100))/Skills!E18))</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IFERROR(1/(IF(Inputs!$B$38="pvp",15,MAX(0.1,Skills!E2-IF(Skills!F2=TRUE,Inputs!$B$32,0)))*(1-IF(AND(ArtifactsInput!$M$27,Inputs!$B$4="Chapter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IFERROR(1/(IF(Inputs!$B$38="pvp",15,MAX(0.1,Skills!E3-IF(Skills!F3=TRUE,Inputs!$B$32,0)))*(1-IF(AND(ArtifactsInput!$M$27,Inputs!$B$4="Chapter Hunt"),CHOOSE(ArtifactsInput!$N$27+1,20,24,28,32,36,40),0)/100)),0)</f>
        <v/>
      </c>
      <c r="R1701">
        <f>IF(AND(Inputs!$B$38&lt;&gt;"pvp",Inputs!$B$43&gt;0),IF(MAX(0,Inputs!$B$43-B1736)&lt;=0,0,(INT(MAX(0,Inputs!$B$43-B1736)/(IF(Inputs!$B$38="pvp",15,MAX(0.1,Skills!E3-IF(Skills!F3=TRUE,Inputs!$B$32,0)))*(1-IF(AND(ArtifactsInput!$M$27,Inputs!$B$4="Chapter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IFERROR(1/(IF(Inputs!$B$38="pvp",15,MAX(0.1,Skills!E4-IF(Skills!F4=TRUE,Inputs!$B$32,0)))*(1-IF(AND(ArtifactsInput!$M$27,Inputs!$B$4="Chapter Hunt"),CHOOSE(ArtifactsInput!$N$27+1,20,24,28,32,36,40),0)/100)),0)</f>
        <v/>
      </c>
      <c r="R1702">
        <f>IF(AND(Inputs!$B$38&lt;&gt;"pvp",Inputs!$B$43&gt;0),IF(MAX(0,Inputs!$B$43-B1736)&lt;=0,0,(INT(MAX(0,Inputs!$B$43-B1736)/(IF(Inputs!$B$38="pvp",15,MAX(0.1,Skills!E4-IF(Skills!F4=TRUE,Inputs!$B$32,0)))*(1-IF(AND(ArtifactsInput!$M$27,Inputs!$B$4="Chapter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IFERROR(1/(IF(Inputs!$B$38="pvp",15,MAX(0.1,Skills!E5-IF(Skills!F5=TRUE,Inputs!$B$32,0)))*(1-IF(AND(ArtifactsInput!$M$27,Inputs!$B$4="Chapter Hunt"),CHOOSE(ArtifactsInput!$N$27+1,20,24,28,32,36,40),0)/100)),0)</f>
        <v/>
      </c>
      <c r="R1703">
        <f>IF(AND(Inputs!$B$38&lt;&gt;"pvp",Inputs!$B$43&gt;0),IF(MAX(0,Inputs!$B$43-B1736)&lt;=0,0,(INT(MAX(0,Inputs!$B$43-B1736)/(IF(Inputs!$B$38="pvp",15,MAX(0.1,Skills!E5-IF(Skills!F5=TRUE,Inputs!$B$32,0)))*(1-IF(AND(ArtifactsInput!$M$27,Inputs!$B$4="Chapter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IFERROR(1/(IF(Inputs!$B$38="pvp",15,MAX(0.1,Skills!E6-IF(Skills!F6=TRUE,Inputs!$B$32,0)))*(1-IF(AND(ArtifactsInput!$M$27,Inputs!$B$4="Chapter Hunt"),CHOOSE(ArtifactsInput!$N$27+1,20,24,28,32,36,40),0)/100)),0)</f>
        <v/>
      </c>
      <c r="R1704">
        <f>IF(AND(Inputs!$B$38&lt;&gt;"pvp",Inputs!$B$43&gt;0),IF(Inputs!$B$43&lt;=0,0,(INT(Inputs!$B$43/(IF(Inputs!$B$38="pvp",15,MAX(0.1,Skills!E6-IF(Skills!F6=TRUE,Inputs!$B$32,0)))*(1-IF(AND(ArtifactsInput!$M$27,Inputs!$B$4="Chapter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IFERROR(1/(IF(Inputs!$B$38="pvp",15,MAX(0.1,Skills!E7-IF(Skills!F7=TRUE,Inputs!$B$32,0)))*(1-IF(AND(ArtifactsInput!$M$27,Inputs!$B$4="Chapter Hunt"),CHOOSE(ArtifactsInput!$N$27+1,20,24,28,32,36,40),0)/100)),0)</f>
        <v/>
      </c>
      <c r="R1705">
        <f>IF(AND(Inputs!$B$38&lt;&gt;"pvp",Inputs!$B$43&gt;0),IF(MAX(0,Inputs!$B$43-B1736)&lt;=0,0,(INT(MAX(0,Inputs!$B$43-B1736)/(IF(Inputs!$B$38="pvp",15,MAX(0.1,Skills!E7-IF(Skills!F7=TRUE,Inputs!$B$32,0)))*(1-IF(AND(ArtifactsInput!$M$27,Inputs!$B$4="Chapter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IFERROR(1/(IF(Inputs!$B$38="pvp",15,MAX(0.1,Skills!E8-IF(Skills!F8=TRUE,Inputs!$B$32,0)))*(1-IF(AND(ArtifactsInput!$M$27,Inputs!$B$4="Chapter Hunt"),CHOOSE(ArtifactsInput!$N$27+1,20,24,28,32,36,40),0)/100)),0)</f>
        <v/>
      </c>
      <c r="R1706">
        <f>IF(AND(Inputs!$B$38&lt;&gt;"pvp",Inputs!$B$43&gt;0),IF(MAX(0,Inputs!$B$43-B1736)&lt;=0,0,(INT(MAX(0,Inputs!$B$43-B1736)/(IF(Inputs!$B$38="pvp",15,MAX(0.1,Skills!E8-IF(Skills!F8=TRUE,Inputs!$B$32,0)))*(1-IF(AND(ArtifactsInput!$M$27,Inputs!$B$4="Chapter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IFERROR(1/(IF(Inputs!$B$38="pvp",15,MAX(0.1,Skills!E9-IF(Skills!F7=TRUE,Inputs!$B$32,0)))*(1-IF(AND(ArtifactsInput!$M$27,Inputs!$B$4="Chapter Hunt"),CHOOSE(ArtifactsInput!$N$27+1,20,24,28,32,36,40),0)/100)),0)</f>
        <v/>
      </c>
      <c r="R1707">
        <f>IF(AND(Inputs!$B$38&lt;&gt;"pvp",Inputs!$B$43&gt;0),IF(MAX(0,Inputs!$B$43-B1736)&lt;=0,0,(INT(MAX(0,Inputs!$B$43-B1736)/(IF(Inputs!$B$38="pvp",15,MAX(0.1,Skills!E9-IF(Skills!F7=TRUE,Inputs!$B$32,0)))*(1-IF(AND(ArtifactsInput!$M$27,Inputs!$B$4="Chapter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IFERROR(1/(IF(Inputs!$B$38="pvp",15,MAX(0.1,Skills!E10-IF(Skills!F10=TRUE,Inputs!$B$32,0)))*(1-IF(AND(ArtifactsInput!$M$27,Inputs!$B$4="Chapter Hunt"),CHOOSE(ArtifactsInput!$N$27+1,20,24,28,32,36,40),0)/100)),0)</f>
        <v/>
      </c>
      <c r="R1708">
        <f>IF(AND(Inputs!$B$38&lt;&gt;"pvp",Inputs!$B$43&gt;0),IF(MAX(0,Inputs!$B$43-B1736)&lt;=0,0,(INT(MAX(0,Inputs!$B$43-B1736)/(IF(Inputs!$B$38="pvp",15,MAX(0.1,Skills!E10-IF(Skills!F10=TRUE,Inputs!$B$32,0)))*(1-IF(AND(ArtifactsInput!$M$27,Inputs!$B$4="Chapter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IFERROR(1/(IF(Inputs!$B$38="pvp",15,MAX(0.1,Skills!E11-IF(Skills!F11=TRUE,Inputs!$B$32,0)))*(1-IF(AND(ArtifactsInput!$M$27,Inputs!$B$4="Chapter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IFERROR(1/(IF(Inputs!$B$38="pvp",15,MAX(0.1,Skills!E12-IF(Skills!F12=TRUE,Inputs!$B$32,0)))*(1-IF(AND(ArtifactsInput!$M$27,Inputs!$B$4="Chapter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IFERROR(1/(IF(Inputs!$B$38="pvp",15,MAX(0.1,Skills!E13-IF(Skills!F13=TRUE,Inputs!$B$32,0)))*(1-IF(AND(ArtifactsInput!$M$27,Inputs!$B$4="Chapter Hunt"),CHOOSE(ArtifactsInput!$N$27+1,20,24,28,32,36,40),0)/100)),0)</f>
        <v/>
      </c>
      <c r="R1711">
        <f>IF(AND(Inputs!$B$38&lt;&gt;"pvp",Inputs!$B$43&gt;0),IF(MAX(0,Inputs!$B$43-B1736)&lt;=0,0,(INT(MAX(0,Inputs!$B$43-B1736)/(IF(Inputs!$B$38="pvp",15,MAX(0.1,Skills!E13-IF(Skills!F13=TRUE,Inputs!$B$32,0)))*(1-IF(AND(ArtifactsInput!$M$27,Inputs!$B$4="Chapter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IFERROR(1/(IF(Inputs!$B$38="pvp",15,MAX(0.1,Skills!E14-IF(Skills!F14=TRUE,Inputs!$B$32,0)))*(1-IF(AND(ArtifactsInput!$M$27,Inputs!$B$4="Chapter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IFERROR(1/(IF(Inputs!$B$38="pvp",15,MAX(0.1,Skills!E15-IF(Skills!F15=TRUE,Inputs!$B$32,0)))*(1-IF(AND(ArtifactsInput!$M$27,Inputs!$B$4="Chapter Hunt"),CHOOSE(ArtifactsInput!$N$27+1,20,24,28,32,36,40),0)/100)),0)</f>
        <v/>
      </c>
      <c r="R1713">
        <f>IF(AND(Inputs!$B$38&lt;&gt;"pvp",Inputs!$B$43&gt;0),IF(MAX(0,Inputs!$B$43-B1736)&lt;=0,0,(INT(MAX(0,Inputs!$B$43-B1736)/(IF(Inputs!$B$38="pvp",15,MAX(0.1,Skills!E15-IF(Skills!F15=TRUE,Inputs!$B$32,0)))*(1-IF(AND(ArtifactsInput!$M$27,Inputs!$B$4="Chapter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IFERROR(1/(IF(Inputs!$B$38="pvp",15,MAX(0.1,Skills!E16-IF(Skills!F16=TRUE,Inputs!$B$32,0)))*(1-IF(AND(ArtifactsInput!$M$27,Inputs!$B$4="Chapter Hunt"),CHOOSE(ArtifactsInput!$N$27+1,20,24,28,32,36,40),0)/100)),0)</f>
        <v/>
      </c>
      <c r="R1714">
        <f>IF(AND(Inputs!$B$38&lt;&gt;"pvp",Inputs!$B$43&gt;0),IF(MAX(0,Inputs!$B$43-B1736)&lt;=0,0,(INT(MAX(0,Inputs!$B$43-B1736)/(IF(Inputs!$B$38="pvp",15,MAX(0.1,Skills!E16-IF(Skills!F16=TRUE,Inputs!$B$32,0)))*(1-IF(AND(ArtifactsInput!$M$27,Inputs!$B$4="Chapter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IFERROR(1/(IF(Inputs!$B$38="pvp",15,MAX(0.1,Skills!E17-IF(Skills!F17=TRUE,Inputs!$B$32,0)))*(1-IF(AND(ArtifactsInput!$M$27,Inputs!$B$4="Chapter Hunt"),CHOOSE(ArtifactsInput!$N$27+1,20,24,28,32,36,40),0)/100)),0)</f>
        <v/>
      </c>
      <c r="R1715">
        <f>IF(AND(Inputs!$B$38&lt;&gt;"pvp",Inputs!$B$43&gt;0),IF(Inputs!$B$43&lt;=0,0,(INT(Inputs!$B$43/(IF(Inputs!$B$38="pvp",15,MAX(0.1,Skills!E17-IF(Skills!F17=TRUE,Inputs!$B$32,0)))*(1-IF(AND(ArtifactsInput!$M$27,Inputs!$B$4="Chapter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IFERROR(1/(IF(Inputs!$B$38="pvp",15,MAX(0.1,Skills!E18-IF(Skills!F18=TRUE,Inputs!$B$32,0)))*(1-IF(AND(ArtifactsInput!$M$27,Inputs!$B$4="Chapter Hunt"),CHOOSE(ArtifactsInput!$N$27+1,20,24,28,32,36,40),0)/100)),0)</f>
        <v/>
      </c>
      <c r="R1716">
        <f>IF(AND(Inputs!$B$38&lt;&gt;"pvp",Inputs!$B$43&gt;0),IF(Inputs!$B$43&lt;=0,0,(INT(Inputs!$B$43/(IF(Inputs!$B$38="pvp",15,MAX(0.1,Skills!E18-IF(Skills!F18=TRUE,Inputs!$B$32,0)))*(1-IF(AND(ArtifactsInput!$M$27,Inputs!$B$4="Chapter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IFERROR(1/(IF(Inputs!$B$38="pvp",15,MAX(0.1,Skills!E19-IF(Skills!F19=TRUE,Inputs!$B$32,0)))*(1-IF(AND(ArtifactsInput!$M$27,Inputs!$B$4="Chapter Hunt"),CHOOSE(ArtifactsInput!$N$27+1,20,24,28,32,36,40),0)/100)),0)</f>
        <v/>
      </c>
      <c r="R1717">
        <f>IF(AND(Inputs!$B$38&lt;&gt;"pvp",Inputs!$B$43&gt;0),IF(Inputs!$B$43&lt;=0,0,(INT(Inputs!$B$43/(IF(Inputs!$B$38="pvp",15,MAX(0.1,Skills!E19-IF(Skills!F19=TRUE,Inputs!$B$32,0)))*(1-IF(AND(ArtifactsInput!$M$27,Inputs!$B$4="Chapter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IFERROR(1/(IF(Inputs!$B$38="pvp",15,MAX(0.1,Skills!E20-IF(Skills!F20=TRUE,Inputs!$B$32,0)))*(1-IF(AND(ArtifactsInput!$M$27,Inputs!$B$4="Chapter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IFERROR(1/(IF(Inputs!$B$38="pvp",15,MAX(0.1,Skills!E21-IF(Skills!F21=TRUE,Inputs!$B$32,0)))*(1-IF(AND(ArtifactsInput!$M$27,Inputs!$B$4="Chapter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IFERROR(1/(IF(Inputs!$B$38="pvp",15,MAX(0.1,Skills!E22-IF(Skills!F22=TRUE,Inputs!$B$32,0)))*(1-IF(AND(ArtifactsInput!$M$27,Inputs!$B$4="Chapter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IFERROR(1/(IF(Inputs!$B$38="pvp",15,MAX(0.1,Skills!E23-IF(Skills!F23=TRUE,Inputs!$B$32,0)))*(1-IF(AND(ArtifactsInput!$M$27,Inputs!$B$4="Chapter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IFERROR(1/(IF(Inputs!$B$38="pvp",15,MAX(0.1,Skills!E24-IF(Skills!F24=TRUE,Inputs!$B$32,0)))*(1-IF(AND(ArtifactsInput!$M$27,Inputs!$B$4="Chapter Hunt"),CHOOSE(ArtifactsInput!$N$27+1,20,24,28,32,36,40),0)/100)),0)</f>
        <v/>
      </c>
      <c r="R1722">
        <f>IF(AND(Inputs!$B$38&lt;&gt;"pvp",Inputs!$B$43&gt;0),IF(MAX(0,Inputs!$B$43-B1736)&lt;=0,0,(INT(MAX(0,Inputs!$B$43-B1736)/(IF(Inputs!$B$38="pvp",15,MAX(0.1,Skills!E24-IF(Skills!F24=TRUE,Inputs!$B$32,0)))*(1-IF(AND(ArtifactsInput!$M$27,Inputs!$B$4="Chapter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IFERROR(1/(IF(Inputs!$B$38="pvp",15,MAX(0.1,Skills!E25-IF(Skills!F25=TRUE,Inputs!$B$32,0)))*(1-IF(AND(ArtifactsInput!$M$27,Inputs!$B$4="Chapter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IFERROR(1/(IF(Inputs!$B$38="pvp",15,MAX(0.1,Skills!E26-IF(Skills!F26=TRUE,Inputs!$B$32,0)))*(1-IF(AND(ArtifactsInput!$M$27,Inputs!$B$4="Chapter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IFERROR(1/(IF(Inputs!$B$38="pvp",15,MAX(0.1,Skills!E27-IF(Skills!F27=TRUE,Inputs!$B$32,0)))*(1-IF(AND(ArtifactsInput!$M$27,Inputs!$B$4="Chapter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IFERROR(1/(IF(Inputs!$B$38="pvp",15,MAX(0.1,Skills!E28-IF(Skills!F28=TRUE,Inputs!$B$32,0)))*(1-IF(AND(ArtifactsInput!$M$27,Inputs!$B$4="Chapter Hunt"),CHOOSE(ArtifactsInput!$N$27+1,20,24,28,32,36,40),0)/100)),0)</f>
        <v/>
      </c>
      <c r="R1726">
        <f>IF(AND(Inputs!$B$38&lt;&gt;"pvp",Inputs!$B$43&gt;0),IF(MAX(0,Inputs!$B$43-B1736)&lt;=0,0,(INT(MAX(0,Inputs!$B$43-B1736)/(IF(Inputs!$B$38="pvp",15,MAX(0.1,Skills!E28-IF(Skills!F28=TRUE,Inputs!$B$32,0)))*(1-IF(AND(ArtifactsInput!$M$27,Inputs!$B$4="Chapter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Skills!T6*(1+((Inputs!$B$34+(ArtifactsInput!$M$7-ArtifactsInput!$M$7)*CHOOSE(ArtifactsInput!$N$7+1,6,7.2,8.4,9.6,10.8,12))+IF(Inputs!$B$3&gt;=117,F1723,0))/100))+MIN((Skills!T6*(1+((Inputs!$B$34+(ArtifactsInput!$M$7-ArtifactsInput!$M$7)*CHOOSE(ArtifactsInput!$N$7+1,6,7.2,8.4,9.6,10.8,12))+IF(Inputs!$B$3&gt;=117,F1723,0))/100)),MAX(0,Inputs!$B$43-((R1704-1)*Skills!E6))))/Inputs!$B$43),IF(Inputs!$B$38="pvp",MIN((Skills!T6*(1+((Inputs!$B$34+(ArtifactsInput!$M$7-ArtifactsInput!$M$7)*CHOOSE(ArtifactsInput!$N$7+1,6,7.2,8.4,9.6,10.8,12))+IF(Inputs!$B$3&gt;=117,F1723,0))/100)),15)/15,(Skills!T6*(1+((Inputs!$B$34+(ArtifactsInput!$M$7-ArtifactsInput!$M$7)*CHOOSE(ArtifactsInput!$N$7+1,6,7.2,8.4,9.6,10.8,12))+IF(Inputs!$B$3&gt;=117,F1723,0))/100))/Skills!E6))+F1715*IF(AND(Inputs!$B$38&lt;&gt;"pvp",Inputs!$B$43&gt;0),(((R1715-1)*(Skills!T17*(1+((Inputs!$B$34+(ArtifactsInput!$M$7-ArtifactsInput!$M$7)*CHOOSE(ArtifactsInput!$N$7+1,6,7.2,8.4,9.6,10.8,12))+IF(Inputs!$B$3&gt;=117,F1723,0))/100))+MIN((Skills!T17*(1+((Inputs!$B$34+(ArtifactsInput!$M$7-ArtifactsInput!$M$7)*CHOOSE(ArtifactsInput!$N$7+1,6,7.2,8.4,9.6,10.8,12))+IF(Inputs!$B$3&gt;=117,F1723,0))/100)),MAX(0,Inputs!$B$43-((R1715-1)*Skills!E17))))/Inputs!$B$43),IF(Inputs!$B$38="pvp",MIN((Skills!T17*(1+((Inputs!$B$34+(ArtifactsInput!$M$7-ArtifactsInput!$M$7)*CHOOSE(ArtifactsInput!$N$7+1,6,7.2,8.4,9.6,10.8,12))+IF(Inputs!$B$3&gt;=117,F1723,0))/100)),15)/15,(Skills!T17*(1+((Inputs!$B$34+(ArtifactsInput!$M$7-ArtifactsInput!$M$7)*CHOOSE(ArtifactsInput!$N$7+1,6,7.2,8.4,9.6,10.8,12))+IF(Inputs!$B$3&gt;=117,F1723,0)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Skills!T19*(1+((Inputs!$B$34+(ArtifactsInput!$M$7-ArtifactsInput!$M$7)*CHOOSE(ArtifactsInput!$N$7+1,6,7.2,8.4,9.6,10.8,12))+IF(Inputs!$B$3&gt;=117,F1723,0))/100))+MIN((Skills!T19*(1+((Inputs!$B$34+(ArtifactsInput!$M$7-ArtifactsInput!$M$7)*CHOOSE(ArtifactsInput!$N$7+1,6,7.2,8.4,9.6,10.8,12))+IF(Inputs!$B$3&gt;=117,F1723,0))/100)),MAX(0,Inputs!$B$43-((R1717-1)*Skills!E19))))/Inputs!$B$43),IF(Inputs!$B$38="pvp",MIN((Skills!T19*(1+((Inputs!$B$34+(ArtifactsInput!$M$7-ArtifactsInput!$M$7)*CHOOSE(ArtifactsInput!$N$7+1,6,7.2,8.4,9.6,10.8,12))+IF(Inputs!$B$3&gt;=117,F1723,0))/100)),15)/15,(Skills!T19*(1+((Inputs!$B$34+(ArtifactsInput!$M$7-ArtifactsInput!$M$7)*CHOOSE(ArtifactsInput!$N$7+1,6,7.2,8.4,9.6,10.8,12))+IF(Inputs!$B$3&gt;=117,F1723,0))/100))/Skills!E19))/100),1)</f>
        <v/>
      </c>
    </row>
    <row r="1731">
      <c r="A1731" t="inlineStr">
        <is>
          <t>Attack Speed Buff Bonus % (Nimble Feet, averaged)</t>
        </is>
      </c>
      <c r="B1731">
        <f>F1716*IF(AND(Inputs!$B$38&lt;&gt;"pvp",Inputs!$B$43&gt;0),(((R1716-1)*(Skills!T18*(1+((Inputs!$B$34+(ArtifactsInput!$M$7-ArtifactsInput!$M$7)*CHOOSE(ArtifactsInput!$N$7+1,6,7.2,8.4,9.6,10.8,12))+IF(Inputs!$B$3&gt;=117,F1723,0))/100))+MIN((Skills!T18*(1+((Inputs!$B$34+(ArtifactsInput!$M$7-ArtifactsInput!$M$7)*CHOOSE(ArtifactsInput!$N$7+1,6,7.2,8.4,9.6,10.8,12))+IF(Inputs!$B$3&gt;=117,F1723,0))/100)),MAX(0,Inputs!$B$43-((R1716-1)*Skills!E18))))/Inputs!$B$43),IF(Inputs!$B$38="pvp",MIN((Skills!T18*(1+((Inputs!$B$34+(ArtifactsInput!$M$7-ArtifactsInput!$M$7)*CHOOSE(ArtifactsInput!$N$7+1,6,7.2,8.4,9.6,10.8,12))+IF(Inputs!$B$3&gt;=117,F1723,0))/100)),15)/15,(Skills!T18*(1+((Inputs!$B$34+(ArtifactsInput!$M$7-ArtifactsInput!$M$7)*CHOOSE(ArtifactsInput!$N$7+1,6,7.2,8.4,9.6,10.8,12))+IF(Inputs!$B$3&gt;=117,F1723,0))/100))/Skills!E18))</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IFERROR(1/(IF(Inputs!$B$38="pvp",15,MAX(0.1,Skills!E2-IF(Skills!F2=TRUE,Inputs!$B$32,0)))*(1-IF(AND(ArtifactsInput!$M$27,Inputs!$B$4="Chapter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IFERROR(1/(IF(Inputs!$B$38="pvp",15,MAX(0.1,Skills!E3-IF(Skills!F3=TRUE,Inputs!$B$32,0)))*(1-IF(AND(ArtifactsInput!$M$27,Inputs!$B$4="Chapter Hunt"),CHOOSE(ArtifactsInput!$N$27+1,20,24,28,32,36,40),0)/100)),0)</f>
        <v/>
      </c>
      <c r="R1745">
        <f>IF(AND(Inputs!$B$38&lt;&gt;"pvp",Inputs!$B$43&gt;0),IF(MAX(0,Inputs!$B$43-B1780)&lt;=0,0,(INT(MAX(0,Inputs!$B$43-B1780)/(IF(Inputs!$B$38="pvp",15,MAX(0.1,Skills!E3-IF(Skills!F3=TRUE,Inputs!$B$32,0)))*(1-IF(AND(ArtifactsInput!$M$27,Inputs!$B$4="Chapter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IFERROR(1/(IF(Inputs!$B$38="pvp",15,MAX(0.1,Skills!E4-IF(Skills!F4=TRUE,Inputs!$B$32,0)))*(1-IF(AND(ArtifactsInput!$M$27,Inputs!$B$4="Chapter Hunt"),CHOOSE(ArtifactsInput!$N$27+1,20,24,28,32,36,40),0)/100)),0)</f>
        <v/>
      </c>
      <c r="R1746">
        <f>IF(AND(Inputs!$B$38&lt;&gt;"pvp",Inputs!$B$43&gt;0),IF(MAX(0,Inputs!$B$43-B1780)&lt;=0,0,(INT(MAX(0,Inputs!$B$43-B1780)/(IF(Inputs!$B$38="pvp",15,MAX(0.1,Skills!E4-IF(Skills!F4=TRUE,Inputs!$B$32,0)))*(1-IF(AND(ArtifactsInput!$M$27,Inputs!$B$4="Chapter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IFERROR(1/(IF(Inputs!$B$38="pvp",15,MAX(0.1,Skills!E5-IF(Skills!F5=TRUE,Inputs!$B$32,0)))*(1-IF(AND(ArtifactsInput!$M$27,Inputs!$B$4="Chapter Hunt"),CHOOSE(ArtifactsInput!$N$27+1,20,24,28,32,36,40),0)/100)),0)</f>
        <v/>
      </c>
      <c r="R1747">
        <f>IF(AND(Inputs!$B$38&lt;&gt;"pvp",Inputs!$B$43&gt;0),IF(MAX(0,Inputs!$B$43-B1780)&lt;=0,0,(INT(MAX(0,Inputs!$B$43-B1780)/(IF(Inputs!$B$38="pvp",15,MAX(0.1,Skills!E5-IF(Skills!F5=TRUE,Inputs!$B$32,0)))*(1-IF(AND(ArtifactsInput!$M$27,Inputs!$B$4="Chapter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IFERROR(1/(IF(Inputs!$B$38="pvp",15,MAX(0.1,Skills!E6-IF(Skills!F6=TRUE,Inputs!$B$32,0)))*(1-IF(AND(ArtifactsInput!$M$27,Inputs!$B$4="Chapter Hunt"),CHOOSE(ArtifactsInput!$N$27+1,20,24,28,32,36,40),0)/100)),0)</f>
        <v/>
      </c>
      <c r="R1748">
        <f>IF(AND(Inputs!$B$38&lt;&gt;"pvp",Inputs!$B$43&gt;0),IF(Inputs!$B$43&lt;=0,0,(INT(Inputs!$B$43/(IF(Inputs!$B$38="pvp",15,MAX(0.1,Skills!E6-IF(Skills!F6=TRUE,Inputs!$B$32,0)))*(1-IF(AND(ArtifactsInput!$M$27,Inputs!$B$4="Chapter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IFERROR(1/(IF(Inputs!$B$38="pvp",15,MAX(0.1,Skills!E7-IF(Skills!F7=TRUE,Inputs!$B$32,0)))*(1-IF(AND(ArtifactsInput!$M$27,Inputs!$B$4="Chapter Hunt"),CHOOSE(ArtifactsInput!$N$27+1,20,24,28,32,36,40),0)/100)),0)</f>
        <v/>
      </c>
      <c r="R1749">
        <f>IF(AND(Inputs!$B$38&lt;&gt;"pvp",Inputs!$B$43&gt;0),IF(MAX(0,Inputs!$B$43-B1780)&lt;=0,0,(INT(MAX(0,Inputs!$B$43-B1780)/(IF(Inputs!$B$38="pvp",15,MAX(0.1,Skills!E7-IF(Skills!F7=TRUE,Inputs!$B$32,0)))*(1-IF(AND(ArtifactsInput!$M$27,Inputs!$B$4="Chapter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IFERROR(1/(IF(Inputs!$B$38="pvp",15,MAX(0.1,Skills!E8-IF(Skills!F8=TRUE,Inputs!$B$32,0)))*(1-IF(AND(ArtifactsInput!$M$27,Inputs!$B$4="Chapter Hunt"),CHOOSE(ArtifactsInput!$N$27+1,20,24,28,32,36,40),0)/100)),0)</f>
        <v/>
      </c>
      <c r="R1750">
        <f>IF(AND(Inputs!$B$38&lt;&gt;"pvp",Inputs!$B$43&gt;0),IF(MAX(0,Inputs!$B$43-B1780)&lt;=0,0,(INT(MAX(0,Inputs!$B$43-B1780)/(IF(Inputs!$B$38="pvp",15,MAX(0.1,Skills!E8-IF(Skills!F8=TRUE,Inputs!$B$32,0)))*(1-IF(AND(ArtifactsInput!$M$27,Inputs!$B$4="Chapter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IFERROR(1/(IF(Inputs!$B$38="pvp",15,MAX(0.1,Skills!E9-IF(Skills!F7=TRUE,Inputs!$B$32,0)))*(1-IF(AND(ArtifactsInput!$M$27,Inputs!$B$4="Chapter Hunt"),CHOOSE(ArtifactsInput!$N$27+1,20,24,28,32,36,40),0)/100)),0)</f>
        <v/>
      </c>
      <c r="R1751">
        <f>IF(AND(Inputs!$B$38&lt;&gt;"pvp",Inputs!$B$43&gt;0),IF(MAX(0,Inputs!$B$43-B1780)&lt;=0,0,(INT(MAX(0,Inputs!$B$43-B1780)/(IF(Inputs!$B$38="pvp",15,MAX(0.1,Skills!E9-IF(Skills!F7=TRUE,Inputs!$B$32,0)))*(1-IF(AND(ArtifactsInput!$M$27,Inputs!$B$4="Chapter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IFERROR(1/(IF(Inputs!$B$38="pvp",15,MAX(0.1,Skills!E10-IF(Skills!F10=TRUE,Inputs!$B$32,0)))*(1-IF(AND(ArtifactsInput!$M$27,Inputs!$B$4="Chapter Hunt"),CHOOSE(ArtifactsInput!$N$27+1,20,24,28,32,36,40),0)/100)),0)</f>
        <v/>
      </c>
      <c r="R1752">
        <f>IF(AND(Inputs!$B$38&lt;&gt;"pvp",Inputs!$B$43&gt;0),IF(MAX(0,Inputs!$B$43-B1780)&lt;=0,0,(INT(MAX(0,Inputs!$B$43-B1780)/(IF(Inputs!$B$38="pvp",15,MAX(0.1,Skills!E10-IF(Skills!F10=TRUE,Inputs!$B$32,0)))*(1-IF(AND(ArtifactsInput!$M$27,Inputs!$B$4="Chapter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IFERROR(1/(IF(Inputs!$B$38="pvp",15,MAX(0.1,Skills!E11-IF(Skills!F11=TRUE,Inputs!$B$32,0)))*(1-IF(AND(ArtifactsInput!$M$27,Inputs!$B$4="Chapter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IFERROR(1/(IF(Inputs!$B$38="pvp",15,MAX(0.1,Skills!E12-IF(Skills!F12=TRUE,Inputs!$B$32,0)))*(1-IF(AND(ArtifactsInput!$M$27,Inputs!$B$4="Chapter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IFERROR(1/(IF(Inputs!$B$38="pvp",15,MAX(0.1,Skills!E13-IF(Skills!F13=TRUE,Inputs!$B$32,0)))*(1-IF(AND(ArtifactsInput!$M$27,Inputs!$B$4="Chapter Hunt"),CHOOSE(ArtifactsInput!$N$27+1,20,24,28,32,36,40),0)/100)),0)</f>
        <v/>
      </c>
      <c r="R1755">
        <f>IF(AND(Inputs!$B$38&lt;&gt;"pvp",Inputs!$B$43&gt;0),IF(MAX(0,Inputs!$B$43-B1780)&lt;=0,0,(INT(MAX(0,Inputs!$B$43-B1780)/(IF(Inputs!$B$38="pvp",15,MAX(0.1,Skills!E13-IF(Skills!F13=TRUE,Inputs!$B$32,0)))*(1-IF(AND(ArtifactsInput!$M$27,Inputs!$B$4="Chapter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IFERROR(1/(IF(Inputs!$B$38="pvp",15,MAX(0.1,Skills!E14-IF(Skills!F14=TRUE,Inputs!$B$32,0)))*(1-IF(AND(ArtifactsInput!$M$27,Inputs!$B$4="Chapter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IFERROR(1/(IF(Inputs!$B$38="pvp",15,MAX(0.1,Skills!E15-IF(Skills!F15=TRUE,Inputs!$B$32,0)))*(1-IF(AND(ArtifactsInput!$M$27,Inputs!$B$4="Chapter Hunt"),CHOOSE(ArtifactsInput!$N$27+1,20,24,28,32,36,40),0)/100)),0)</f>
        <v/>
      </c>
      <c r="R1757">
        <f>IF(AND(Inputs!$B$38&lt;&gt;"pvp",Inputs!$B$43&gt;0),IF(MAX(0,Inputs!$B$43-B1780)&lt;=0,0,(INT(MAX(0,Inputs!$B$43-B1780)/(IF(Inputs!$B$38="pvp",15,MAX(0.1,Skills!E15-IF(Skills!F15=TRUE,Inputs!$B$32,0)))*(1-IF(AND(ArtifactsInput!$M$27,Inputs!$B$4="Chapter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IFERROR(1/(IF(Inputs!$B$38="pvp",15,MAX(0.1,Skills!E16-IF(Skills!F16=TRUE,Inputs!$B$32,0)))*(1-IF(AND(ArtifactsInput!$M$27,Inputs!$B$4="Chapter Hunt"),CHOOSE(ArtifactsInput!$N$27+1,20,24,28,32,36,40),0)/100)),0)</f>
        <v/>
      </c>
      <c r="R1758">
        <f>IF(AND(Inputs!$B$38&lt;&gt;"pvp",Inputs!$B$43&gt;0),IF(MAX(0,Inputs!$B$43-B1780)&lt;=0,0,(INT(MAX(0,Inputs!$B$43-B1780)/(IF(Inputs!$B$38="pvp",15,MAX(0.1,Skills!E16-IF(Skills!F16=TRUE,Inputs!$B$32,0)))*(1-IF(AND(ArtifactsInput!$M$27,Inputs!$B$4="Chapter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IFERROR(1/(IF(Inputs!$B$38="pvp",15,MAX(0.1,Skills!E17-IF(Skills!F17=TRUE,Inputs!$B$32,0)))*(1-IF(AND(ArtifactsInput!$M$27,Inputs!$B$4="Chapter Hunt"),CHOOSE(ArtifactsInput!$N$27+1,20,24,28,32,36,40),0)/100)),0)</f>
        <v/>
      </c>
      <c r="R1759">
        <f>IF(AND(Inputs!$B$38&lt;&gt;"pvp",Inputs!$B$43&gt;0),IF(Inputs!$B$43&lt;=0,0,(INT(Inputs!$B$43/(IF(Inputs!$B$38="pvp",15,MAX(0.1,Skills!E17-IF(Skills!F17=TRUE,Inputs!$B$32,0)))*(1-IF(AND(ArtifactsInput!$M$27,Inputs!$B$4="Chapter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IFERROR(1/(IF(Inputs!$B$38="pvp",15,MAX(0.1,Skills!E18-IF(Skills!F18=TRUE,Inputs!$B$32,0)))*(1-IF(AND(ArtifactsInput!$M$27,Inputs!$B$4="Chapter Hunt"),CHOOSE(ArtifactsInput!$N$27+1,20,24,28,32,36,40),0)/100)),0)</f>
        <v/>
      </c>
      <c r="R1760">
        <f>IF(AND(Inputs!$B$38&lt;&gt;"pvp",Inputs!$B$43&gt;0),IF(Inputs!$B$43&lt;=0,0,(INT(Inputs!$B$43/(IF(Inputs!$B$38="pvp",15,MAX(0.1,Skills!E18-IF(Skills!F18=TRUE,Inputs!$B$32,0)))*(1-IF(AND(ArtifactsInput!$M$27,Inputs!$B$4="Chapter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IFERROR(1/(IF(Inputs!$B$38="pvp",15,MAX(0.1,Skills!E19-IF(Skills!F19=TRUE,Inputs!$B$32,0)))*(1-IF(AND(ArtifactsInput!$M$27,Inputs!$B$4="Chapter Hunt"),CHOOSE(ArtifactsInput!$N$27+1,20,24,28,32,36,40),0)/100)),0)</f>
        <v/>
      </c>
      <c r="R1761">
        <f>IF(AND(Inputs!$B$38&lt;&gt;"pvp",Inputs!$B$43&gt;0),IF(Inputs!$B$43&lt;=0,0,(INT(Inputs!$B$43/(IF(Inputs!$B$38="pvp",15,MAX(0.1,Skills!E19-IF(Skills!F19=TRUE,Inputs!$B$32,0)))*(1-IF(AND(ArtifactsInput!$M$27,Inputs!$B$4="Chapter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IFERROR(1/(IF(Inputs!$B$38="pvp",15,MAX(0.1,Skills!E20-IF(Skills!F20=TRUE,Inputs!$B$32,0)))*(1-IF(AND(ArtifactsInput!$M$27,Inputs!$B$4="Chapter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IFERROR(1/(IF(Inputs!$B$38="pvp",15,MAX(0.1,Skills!E21-IF(Skills!F21=TRUE,Inputs!$B$32,0)))*(1-IF(AND(ArtifactsInput!$M$27,Inputs!$B$4="Chapter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IFERROR(1/(IF(Inputs!$B$38="pvp",15,MAX(0.1,Skills!E22-IF(Skills!F22=TRUE,Inputs!$B$32,0)))*(1-IF(AND(ArtifactsInput!$M$27,Inputs!$B$4="Chapter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IFERROR(1/(IF(Inputs!$B$38="pvp",15,MAX(0.1,Skills!E23-IF(Skills!F23=TRUE,Inputs!$B$32,0)))*(1-IF(AND(ArtifactsInput!$M$27,Inputs!$B$4="Chapter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IFERROR(1/(IF(Inputs!$B$38="pvp",15,MAX(0.1,Skills!E24-IF(Skills!F24=TRUE,Inputs!$B$32,0)))*(1-IF(AND(ArtifactsInput!$M$27,Inputs!$B$4="Chapter Hunt"),CHOOSE(ArtifactsInput!$N$27+1,20,24,28,32,36,40),0)/100)),0)</f>
        <v/>
      </c>
      <c r="R1766">
        <f>IF(AND(Inputs!$B$38&lt;&gt;"pvp",Inputs!$B$43&gt;0),IF(MAX(0,Inputs!$B$43-B1780)&lt;=0,0,(INT(MAX(0,Inputs!$B$43-B1780)/(IF(Inputs!$B$38="pvp",15,MAX(0.1,Skills!E24-IF(Skills!F24=TRUE,Inputs!$B$32,0)))*(1-IF(AND(ArtifactsInput!$M$27,Inputs!$B$4="Chapter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IFERROR(1/(IF(Inputs!$B$38="pvp",15,MAX(0.1,Skills!E25-IF(Skills!F25=TRUE,Inputs!$B$32,0)))*(1-IF(AND(ArtifactsInput!$M$27,Inputs!$B$4="Chapter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IFERROR(1/(IF(Inputs!$B$38="pvp",15,MAX(0.1,Skills!E26-IF(Skills!F26=TRUE,Inputs!$B$32,0)))*(1-IF(AND(ArtifactsInput!$M$27,Inputs!$B$4="Chapter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IFERROR(1/(IF(Inputs!$B$38="pvp",15,MAX(0.1,Skills!E27-IF(Skills!F27=TRUE,Inputs!$B$32,0)))*(1-IF(AND(ArtifactsInput!$M$27,Inputs!$B$4="Chapter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IFERROR(1/(IF(Inputs!$B$38="pvp",15,MAX(0.1,Skills!E28-IF(Skills!F28=TRUE,Inputs!$B$32,0)))*(1-IF(AND(ArtifactsInput!$M$27,Inputs!$B$4="Chapter Hunt"),CHOOSE(ArtifactsInput!$N$27+1,20,24,28,32,36,40),0)/100)),0)</f>
        <v/>
      </c>
      <c r="R1770">
        <f>IF(AND(Inputs!$B$38&lt;&gt;"pvp",Inputs!$B$43&gt;0),IF(MAX(0,Inputs!$B$43-B1780)&lt;=0,0,(INT(MAX(0,Inputs!$B$43-B1780)/(IF(Inputs!$B$38="pvp",15,MAX(0.1,Skills!E28-IF(Skills!F28=TRUE,Inputs!$B$32,0)))*(1-IF(AND(ArtifactsInput!$M$27,Inputs!$B$4="Chapter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Skills!T6*(1+((Inputs!$B$34+(ArtifactsInput!$M$7-ArtifactsInput!$M$7)*CHOOSE(ArtifactsInput!$N$7+1,6,7.2,8.4,9.6,10.8,12))+IF(Inputs!$B$3&gt;=117,F1767,0))/100))+MIN((Skills!T6*(1+((Inputs!$B$34+(ArtifactsInput!$M$7-ArtifactsInput!$M$7)*CHOOSE(ArtifactsInput!$N$7+1,6,7.2,8.4,9.6,10.8,12))+IF(Inputs!$B$3&gt;=117,F1767,0))/100)),MAX(0,Inputs!$B$43-((R1748-1)*Skills!E6))))/Inputs!$B$43),IF(Inputs!$B$38="pvp",MIN((Skills!T6*(1+((Inputs!$B$34+(ArtifactsInput!$M$7-ArtifactsInput!$M$7)*CHOOSE(ArtifactsInput!$N$7+1,6,7.2,8.4,9.6,10.8,12))+IF(Inputs!$B$3&gt;=117,F1767,0))/100)),15)/15,(Skills!T6*(1+((Inputs!$B$34+(ArtifactsInput!$M$7-ArtifactsInput!$M$7)*CHOOSE(ArtifactsInput!$N$7+1,6,7.2,8.4,9.6,10.8,12))+IF(Inputs!$B$3&gt;=117,F1767,0))/100))/Skills!E6))+F1759*IF(AND(Inputs!$B$38&lt;&gt;"pvp",Inputs!$B$43&gt;0),(((R1759-1)*(Skills!T17*(1+((Inputs!$B$34+(ArtifactsInput!$M$7-ArtifactsInput!$M$7)*CHOOSE(ArtifactsInput!$N$7+1,6,7.2,8.4,9.6,10.8,12))+IF(Inputs!$B$3&gt;=117,F1767,0))/100))+MIN((Skills!T17*(1+((Inputs!$B$34+(ArtifactsInput!$M$7-ArtifactsInput!$M$7)*CHOOSE(ArtifactsInput!$N$7+1,6,7.2,8.4,9.6,10.8,12))+IF(Inputs!$B$3&gt;=117,F1767,0))/100)),MAX(0,Inputs!$B$43-((R1759-1)*Skills!E17))))/Inputs!$B$43),IF(Inputs!$B$38="pvp",MIN((Skills!T17*(1+((Inputs!$B$34+(ArtifactsInput!$M$7-ArtifactsInput!$M$7)*CHOOSE(ArtifactsInput!$N$7+1,6,7.2,8.4,9.6,10.8,12))+IF(Inputs!$B$3&gt;=117,F1767,0))/100)),15)/15,(Skills!T17*(1+((Inputs!$B$34+(ArtifactsInput!$M$7-ArtifactsInput!$M$7)*CHOOSE(ArtifactsInput!$N$7+1,6,7.2,8.4,9.6,10.8,12))+IF(Inputs!$B$3&gt;=117,F1767,0)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Skills!T19*(1+((Inputs!$B$34+(ArtifactsInput!$M$7-ArtifactsInput!$M$7)*CHOOSE(ArtifactsInput!$N$7+1,6,7.2,8.4,9.6,10.8,12))+IF(Inputs!$B$3&gt;=117,F1767,0))/100))+MIN((Skills!T19*(1+((Inputs!$B$34+(ArtifactsInput!$M$7-ArtifactsInput!$M$7)*CHOOSE(ArtifactsInput!$N$7+1,6,7.2,8.4,9.6,10.8,12))+IF(Inputs!$B$3&gt;=117,F1767,0))/100)),MAX(0,Inputs!$B$43-((R1761-1)*Skills!E19))))/Inputs!$B$43),IF(Inputs!$B$38="pvp",MIN((Skills!T19*(1+((Inputs!$B$34+(ArtifactsInput!$M$7-ArtifactsInput!$M$7)*CHOOSE(ArtifactsInput!$N$7+1,6,7.2,8.4,9.6,10.8,12))+IF(Inputs!$B$3&gt;=117,F1767,0))/100)),15)/15,(Skills!T19*(1+((Inputs!$B$34+(ArtifactsInput!$M$7-ArtifactsInput!$M$7)*CHOOSE(ArtifactsInput!$N$7+1,6,7.2,8.4,9.6,10.8,12))+IF(Inputs!$B$3&gt;=117,F1767,0))/100))/Skills!E19))/100),1)</f>
        <v/>
      </c>
    </row>
    <row r="1775">
      <c r="A1775" t="inlineStr">
        <is>
          <t>Attack Speed Buff Bonus % (Nimble Feet, averaged)</t>
        </is>
      </c>
      <c r="B1775">
        <f>F1760*IF(AND(Inputs!$B$38&lt;&gt;"pvp",Inputs!$B$43&gt;0),(((R1760-1)*(Skills!T18*(1+((Inputs!$B$34+(ArtifactsInput!$M$7-ArtifactsInput!$M$7)*CHOOSE(ArtifactsInput!$N$7+1,6,7.2,8.4,9.6,10.8,12))+IF(Inputs!$B$3&gt;=117,F1767,0))/100))+MIN((Skills!T18*(1+((Inputs!$B$34+(ArtifactsInput!$M$7-ArtifactsInput!$M$7)*CHOOSE(ArtifactsInput!$N$7+1,6,7.2,8.4,9.6,10.8,12))+IF(Inputs!$B$3&gt;=117,F1767,0))/100)),MAX(0,Inputs!$B$43-((R1760-1)*Skills!E18))))/Inputs!$B$43),IF(Inputs!$B$38="pvp",MIN((Skills!T18*(1+((Inputs!$B$34+(ArtifactsInput!$M$7-ArtifactsInput!$M$7)*CHOOSE(ArtifactsInput!$N$7+1,6,7.2,8.4,9.6,10.8,12))+IF(Inputs!$B$3&gt;=117,F1767,0))/100)),15)/15,(Skills!T18*(1+((Inputs!$B$34+(ArtifactsInput!$M$7-ArtifactsInput!$M$7)*CHOOSE(ArtifactsInput!$N$7+1,6,7.2,8.4,9.6,10.8,12))+IF(Inputs!$B$3&gt;=117,F1767,0))/100))/Skills!E18))</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IFERROR(1/(IF(Inputs!$B$38="pvp",15,MAX(0.1,Skills!E2-IF(Skills!F2=TRUE,Inputs!$B$32,0)))*(1-IF(AND(ArtifactsInput!$M$27,Inputs!$B$4="Chapter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IFERROR(1/(IF(Inputs!$B$38="pvp",15,MAX(0.1,Skills!E3-IF(Skills!F3=TRUE,Inputs!$B$32,0)))*(1-IF(AND(ArtifactsInput!$M$27,Inputs!$B$4="Chapter Hunt"),CHOOSE(ArtifactsInput!$N$27+1,20,24,28,32,36,40),0)/100)),0)</f>
        <v/>
      </c>
      <c r="R1789">
        <f>IF(AND(Inputs!$B$38&lt;&gt;"pvp",Inputs!$B$43&gt;0),IF(MAX(0,Inputs!$B$43-B1824)&lt;=0,0,(INT(MAX(0,Inputs!$B$43-B1824)/(IF(Inputs!$B$38="pvp",15,MAX(0.1,Skills!E3-IF(Skills!F3=TRUE,Inputs!$B$32,0)))*(1-IF(AND(ArtifactsInput!$M$27,Inputs!$B$4="Chapter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IFERROR(1/(IF(Inputs!$B$38="pvp",15,MAX(0.1,Skills!E4-IF(Skills!F4=TRUE,Inputs!$B$32,0)))*(1-IF(AND(ArtifactsInput!$M$27,Inputs!$B$4="Chapter Hunt"),CHOOSE(ArtifactsInput!$N$27+1,20,24,28,32,36,40),0)/100)),0)</f>
        <v/>
      </c>
      <c r="R1790">
        <f>IF(AND(Inputs!$B$38&lt;&gt;"pvp",Inputs!$B$43&gt;0),IF(MAX(0,Inputs!$B$43-B1824)&lt;=0,0,(INT(MAX(0,Inputs!$B$43-B1824)/(IF(Inputs!$B$38="pvp",15,MAX(0.1,Skills!E4-IF(Skills!F4=TRUE,Inputs!$B$32,0)))*(1-IF(AND(ArtifactsInput!$M$27,Inputs!$B$4="Chapter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IFERROR(1/(IF(Inputs!$B$38="pvp",15,MAX(0.1,Skills!E5-IF(Skills!F5=TRUE,Inputs!$B$32,0)))*(1-IF(AND(ArtifactsInput!$M$27,Inputs!$B$4="Chapter Hunt"),CHOOSE(ArtifactsInput!$N$27+1,20,24,28,32,36,40),0)/100)),0)</f>
        <v/>
      </c>
      <c r="R1791">
        <f>IF(AND(Inputs!$B$38&lt;&gt;"pvp",Inputs!$B$43&gt;0),IF(MAX(0,Inputs!$B$43-B1824)&lt;=0,0,(INT(MAX(0,Inputs!$B$43-B1824)/(IF(Inputs!$B$38="pvp",15,MAX(0.1,Skills!E5-IF(Skills!F5=TRUE,Inputs!$B$32,0)))*(1-IF(AND(ArtifactsInput!$M$27,Inputs!$B$4="Chapter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IFERROR(1/(IF(Inputs!$B$38="pvp",15,MAX(0.1,Skills!E6-IF(Skills!F6=TRUE,Inputs!$B$32,0)))*(1-IF(AND(ArtifactsInput!$M$27,Inputs!$B$4="Chapter Hunt"),CHOOSE(ArtifactsInput!$N$27+1,20,24,28,32,36,40),0)/100)),0)</f>
        <v/>
      </c>
      <c r="R1792">
        <f>IF(AND(Inputs!$B$38&lt;&gt;"pvp",Inputs!$B$43&gt;0),IF(Inputs!$B$43&lt;=0,0,(INT(Inputs!$B$43/(IF(Inputs!$B$38="pvp",15,MAX(0.1,Skills!E6-IF(Skills!F6=TRUE,Inputs!$B$32,0)))*(1-IF(AND(ArtifactsInput!$M$27,Inputs!$B$4="Chapter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IFERROR(1/(IF(Inputs!$B$38="pvp",15,MAX(0.1,Skills!E7-IF(Skills!F7=TRUE,Inputs!$B$32,0)))*(1-IF(AND(ArtifactsInput!$M$27,Inputs!$B$4="Chapter Hunt"),CHOOSE(ArtifactsInput!$N$27+1,20,24,28,32,36,40),0)/100)),0)</f>
        <v/>
      </c>
      <c r="R1793">
        <f>IF(AND(Inputs!$B$38&lt;&gt;"pvp",Inputs!$B$43&gt;0),IF(MAX(0,Inputs!$B$43-B1824)&lt;=0,0,(INT(MAX(0,Inputs!$B$43-B1824)/(IF(Inputs!$B$38="pvp",15,MAX(0.1,Skills!E7-IF(Skills!F7=TRUE,Inputs!$B$32,0)))*(1-IF(AND(ArtifactsInput!$M$27,Inputs!$B$4="Chapter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IFERROR(1/(IF(Inputs!$B$38="pvp",15,MAX(0.1,Skills!E8-IF(Skills!F8=TRUE,Inputs!$B$32,0)))*(1-IF(AND(ArtifactsInput!$M$27,Inputs!$B$4="Chapter Hunt"),CHOOSE(ArtifactsInput!$N$27+1,20,24,28,32,36,40),0)/100)),0)</f>
        <v/>
      </c>
      <c r="R1794">
        <f>IF(AND(Inputs!$B$38&lt;&gt;"pvp",Inputs!$B$43&gt;0),IF(MAX(0,Inputs!$B$43-B1824)&lt;=0,0,(INT(MAX(0,Inputs!$B$43-B1824)/(IF(Inputs!$B$38="pvp",15,MAX(0.1,Skills!E8-IF(Skills!F8=TRUE,Inputs!$B$32,0)))*(1-IF(AND(ArtifactsInput!$M$27,Inputs!$B$4="Chapter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IFERROR(1/(IF(Inputs!$B$38="pvp",15,MAX(0.1,Skills!E9-IF(Skills!F7=TRUE,Inputs!$B$32,0)))*(1-IF(AND(ArtifactsInput!$M$27,Inputs!$B$4="Chapter Hunt"),CHOOSE(ArtifactsInput!$N$27+1,20,24,28,32,36,40),0)/100)),0)</f>
        <v/>
      </c>
      <c r="R1795">
        <f>IF(AND(Inputs!$B$38&lt;&gt;"pvp",Inputs!$B$43&gt;0),IF(MAX(0,Inputs!$B$43-B1824)&lt;=0,0,(INT(MAX(0,Inputs!$B$43-B1824)/(IF(Inputs!$B$38="pvp",15,MAX(0.1,Skills!E9-IF(Skills!F7=TRUE,Inputs!$B$32,0)))*(1-IF(AND(ArtifactsInput!$M$27,Inputs!$B$4="Chapter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IFERROR(1/(IF(Inputs!$B$38="pvp",15,MAX(0.1,Skills!E10-IF(Skills!F10=TRUE,Inputs!$B$32,0)))*(1-IF(AND(ArtifactsInput!$M$27,Inputs!$B$4="Chapter Hunt"),CHOOSE(ArtifactsInput!$N$27+1,20,24,28,32,36,40),0)/100)),0)</f>
        <v/>
      </c>
      <c r="R1796">
        <f>IF(AND(Inputs!$B$38&lt;&gt;"pvp",Inputs!$B$43&gt;0),IF(MAX(0,Inputs!$B$43-B1824)&lt;=0,0,(INT(MAX(0,Inputs!$B$43-B1824)/(IF(Inputs!$B$38="pvp",15,MAX(0.1,Skills!E10-IF(Skills!F10=TRUE,Inputs!$B$32,0)))*(1-IF(AND(ArtifactsInput!$M$27,Inputs!$B$4="Chapter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IFERROR(1/(IF(Inputs!$B$38="pvp",15,MAX(0.1,Skills!E11-IF(Skills!F11=TRUE,Inputs!$B$32,0)))*(1-IF(AND(ArtifactsInput!$M$27,Inputs!$B$4="Chapter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IFERROR(1/(IF(Inputs!$B$38="pvp",15,MAX(0.1,Skills!E12-IF(Skills!F12=TRUE,Inputs!$B$32,0)))*(1-IF(AND(ArtifactsInput!$M$27,Inputs!$B$4="Chapter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IFERROR(1/(IF(Inputs!$B$38="pvp",15,MAX(0.1,Skills!E13-IF(Skills!F13=TRUE,Inputs!$B$32,0)))*(1-IF(AND(ArtifactsInput!$M$27,Inputs!$B$4="Chapter Hunt"),CHOOSE(ArtifactsInput!$N$27+1,20,24,28,32,36,40),0)/100)),0)</f>
        <v/>
      </c>
      <c r="R1799">
        <f>IF(AND(Inputs!$B$38&lt;&gt;"pvp",Inputs!$B$43&gt;0),IF(MAX(0,Inputs!$B$43-B1824)&lt;=0,0,(INT(MAX(0,Inputs!$B$43-B1824)/(IF(Inputs!$B$38="pvp",15,MAX(0.1,Skills!E13-IF(Skills!F13=TRUE,Inputs!$B$32,0)))*(1-IF(AND(ArtifactsInput!$M$27,Inputs!$B$4="Chapter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IFERROR(1/(IF(Inputs!$B$38="pvp",15,MAX(0.1,Skills!E14-IF(Skills!F14=TRUE,Inputs!$B$32,0)))*(1-IF(AND(ArtifactsInput!$M$27,Inputs!$B$4="Chapter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IFERROR(1/(IF(Inputs!$B$38="pvp",15,MAX(0.1,Skills!E15-IF(Skills!F15=TRUE,Inputs!$B$32,0)))*(1-IF(AND(ArtifactsInput!$M$27,Inputs!$B$4="Chapter Hunt"),CHOOSE(ArtifactsInput!$N$27+1,20,24,28,32,36,40),0)/100)),0)</f>
        <v/>
      </c>
      <c r="R1801">
        <f>IF(AND(Inputs!$B$38&lt;&gt;"pvp",Inputs!$B$43&gt;0),IF(MAX(0,Inputs!$B$43-B1824)&lt;=0,0,(INT(MAX(0,Inputs!$B$43-B1824)/(IF(Inputs!$B$38="pvp",15,MAX(0.1,Skills!E15-IF(Skills!F15=TRUE,Inputs!$B$32,0)))*(1-IF(AND(ArtifactsInput!$M$27,Inputs!$B$4="Chapter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IFERROR(1/(IF(Inputs!$B$38="pvp",15,MAX(0.1,Skills!E16-IF(Skills!F16=TRUE,Inputs!$B$32,0)))*(1-IF(AND(ArtifactsInput!$M$27,Inputs!$B$4="Chapter Hunt"),CHOOSE(ArtifactsInput!$N$27+1,20,24,28,32,36,40),0)/100)),0)</f>
        <v/>
      </c>
      <c r="R1802">
        <f>IF(AND(Inputs!$B$38&lt;&gt;"pvp",Inputs!$B$43&gt;0),IF(MAX(0,Inputs!$B$43-B1824)&lt;=0,0,(INT(MAX(0,Inputs!$B$43-B1824)/(IF(Inputs!$B$38="pvp",15,MAX(0.1,Skills!E16-IF(Skills!F16=TRUE,Inputs!$B$32,0)))*(1-IF(AND(ArtifactsInput!$M$27,Inputs!$B$4="Chapter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IFERROR(1/(IF(Inputs!$B$38="pvp",15,MAX(0.1,Skills!E17-IF(Skills!F17=TRUE,Inputs!$B$32,0)))*(1-IF(AND(ArtifactsInput!$M$27,Inputs!$B$4="Chapter Hunt"),CHOOSE(ArtifactsInput!$N$27+1,20,24,28,32,36,40),0)/100)),0)</f>
        <v/>
      </c>
      <c r="R1803">
        <f>IF(AND(Inputs!$B$38&lt;&gt;"pvp",Inputs!$B$43&gt;0),IF(Inputs!$B$43&lt;=0,0,(INT(Inputs!$B$43/(IF(Inputs!$B$38="pvp",15,MAX(0.1,Skills!E17-IF(Skills!F17=TRUE,Inputs!$B$32,0)))*(1-IF(AND(ArtifactsInput!$M$27,Inputs!$B$4="Chapter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IFERROR(1/(IF(Inputs!$B$38="pvp",15,MAX(0.1,Skills!E18-IF(Skills!F18=TRUE,Inputs!$B$32,0)))*(1-IF(AND(ArtifactsInput!$M$27,Inputs!$B$4="Chapter Hunt"),CHOOSE(ArtifactsInput!$N$27+1,20,24,28,32,36,40),0)/100)),0)</f>
        <v/>
      </c>
      <c r="R1804">
        <f>IF(AND(Inputs!$B$38&lt;&gt;"pvp",Inputs!$B$43&gt;0),IF(Inputs!$B$43&lt;=0,0,(INT(Inputs!$B$43/(IF(Inputs!$B$38="pvp",15,MAX(0.1,Skills!E18-IF(Skills!F18=TRUE,Inputs!$B$32,0)))*(1-IF(AND(ArtifactsInput!$M$27,Inputs!$B$4="Chapter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IFERROR(1/(IF(Inputs!$B$38="pvp",15,MAX(0.1,Skills!E19-IF(Skills!F19=TRUE,Inputs!$B$32,0)))*(1-IF(AND(ArtifactsInput!$M$27,Inputs!$B$4="Chapter Hunt"),CHOOSE(ArtifactsInput!$N$27+1,20,24,28,32,36,40),0)/100)),0)</f>
        <v/>
      </c>
      <c r="R1805">
        <f>IF(AND(Inputs!$B$38&lt;&gt;"pvp",Inputs!$B$43&gt;0),IF(Inputs!$B$43&lt;=0,0,(INT(Inputs!$B$43/(IF(Inputs!$B$38="pvp",15,MAX(0.1,Skills!E19-IF(Skills!F19=TRUE,Inputs!$B$32,0)))*(1-IF(AND(ArtifactsInput!$M$27,Inputs!$B$4="Chapter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IFERROR(1/(IF(Inputs!$B$38="pvp",15,MAX(0.1,Skills!E20-IF(Skills!F20=TRUE,Inputs!$B$32,0)))*(1-IF(AND(ArtifactsInput!$M$27,Inputs!$B$4="Chapter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IFERROR(1/(IF(Inputs!$B$38="pvp",15,MAX(0.1,Skills!E21-IF(Skills!F21=TRUE,Inputs!$B$32,0)))*(1-IF(AND(ArtifactsInput!$M$27,Inputs!$B$4="Chapter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IFERROR(1/(IF(Inputs!$B$38="pvp",15,MAX(0.1,Skills!E22-IF(Skills!F22=TRUE,Inputs!$B$32,0)))*(1-IF(AND(ArtifactsInput!$M$27,Inputs!$B$4="Chapter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IFERROR(1/(IF(Inputs!$B$38="pvp",15,MAX(0.1,Skills!E23-IF(Skills!F23=TRUE,Inputs!$B$32,0)))*(1-IF(AND(ArtifactsInput!$M$27,Inputs!$B$4="Chapter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IFERROR(1/(IF(Inputs!$B$38="pvp",15,MAX(0.1,Skills!E24-IF(Skills!F24=TRUE,Inputs!$B$32,0)))*(1-IF(AND(ArtifactsInput!$M$27,Inputs!$B$4="Chapter Hunt"),CHOOSE(ArtifactsInput!$N$27+1,20,24,28,32,36,40),0)/100)),0)</f>
        <v/>
      </c>
      <c r="R1810">
        <f>IF(AND(Inputs!$B$38&lt;&gt;"pvp",Inputs!$B$43&gt;0),IF(MAX(0,Inputs!$B$43-B1824)&lt;=0,0,(INT(MAX(0,Inputs!$B$43-B1824)/(IF(Inputs!$B$38="pvp",15,MAX(0.1,Skills!E24-IF(Skills!F24=TRUE,Inputs!$B$32,0)))*(1-IF(AND(ArtifactsInput!$M$27,Inputs!$B$4="Chapter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IFERROR(1/(IF(Inputs!$B$38="pvp",15,MAX(0.1,Skills!E25-IF(Skills!F25=TRUE,Inputs!$B$32,0)))*(1-IF(AND(ArtifactsInput!$M$27,Inputs!$B$4="Chapter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IFERROR(1/(IF(Inputs!$B$38="pvp",15,MAX(0.1,Skills!E26-IF(Skills!F26=TRUE,Inputs!$B$32,0)))*(1-IF(AND(ArtifactsInput!$M$27,Inputs!$B$4="Chapter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IFERROR(1/(IF(Inputs!$B$38="pvp",15,MAX(0.1,Skills!E27-IF(Skills!F27=TRUE,Inputs!$B$32,0)))*(1-IF(AND(ArtifactsInput!$M$27,Inputs!$B$4="Chapter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IFERROR(1/(IF(Inputs!$B$38="pvp",15,MAX(0.1,Skills!E28-IF(Skills!F28=TRUE,Inputs!$B$32,0)))*(1-IF(AND(ArtifactsInput!$M$27,Inputs!$B$4="Chapter Hunt"),CHOOSE(ArtifactsInput!$N$27+1,20,24,28,32,36,40),0)/100)),0)</f>
        <v/>
      </c>
      <c r="R1814">
        <f>IF(AND(Inputs!$B$38&lt;&gt;"pvp",Inputs!$B$43&gt;0),IF(MAX(0,Inputs!$B$43-B1824)&lt;=0,0,(INT(MAX(0,Inputs!$B$43-B1824)/(IF(Inputs!$B$38="pvp",15,MAX(0.1,Skills!E28-IF(Skills!F28=TRUE,Inputs!$B$32,0)))*(1-IF(AND(ArtifactsInput!$M$27,Inputs!$B$4="Chapter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Skills!T6*(1+((Inputs!$B$34+(ArtifactsInput!$M$7-ArtifactsInput!$M$7)*CHOOSE(ArtifactsInput!$N$7+1,6,7.2,8.4,9.6,10.8,12))+IF(Inputs!$B$3&gt;=117,F1811,0))/100))+MIN((Skills!T6*(1+((Inputs!$B$34+(ArtifactsInput!$M$7-ArtifactsInput!$M$7)*CHOOSE(ArtifactsInput!$N$7+1,6,7.2,8.4,9.6,10.8,12))+IF(Inputs!$B$3&gt;=117,F1811,0))/100)),MAX(0,Inputs!$B$43-((R1792-1)*Skills!E6))))/Inputs!$B$43),IF(Inputs!$B$38="pvp",MIN((Skills!T6*(1+((Inputs!$B$34+(ArtifactsInput!$M$7-ArtifactsInput!$M$7)*CHOOSE(ArtifactsInput!$N$7+1,6,7.2,8.4,9.6,10.8,12))+IF(Inputs!$B$3&gt;=117,F1811,0))/100)),15)/15,(Skills!T6*(1+((Inputs!$B$34+(ArtifactsInput!$M$7-ArtifactsInput!$M$7)*CHOOSE(ArtifactsInput!$N$7+1,6,7.2,8.4,9.6,10.8,12))+IF(Inputs!$B$3&gt;=117,F1811,0))/100))/Skills!E6))+F1803*IF(AND(Inputs!$B$38&lt;&gt;"pvp",Inputs!$B$43&gt;0),(((R1803-1)*(Skills!T17*(1+((Inputs!$B$34+(ArtifactsInput!$M$7-ArtifactsInput!$M$7)*CHOOSE(ArtifactsInput!$N$7+1,6,7.2,8.4,9.6,10.8,12))+IF(Inputs!$B$3&gt;=117,F1811,0))/100))+MIN((Skills!T17*(1+((Inputs!$B$34+(ArtifactsInput!$M$7-ArtifactsInput!$M$7)*CHOOSE(ArtifactsInput!$N$7+1,6,7.2,8.4,9.6,10.8,12))+IF(Inputs!$B$3&gt;=117,F1811,0))/100)),MAX(0,Inputs!$B$43-((R1803-1)*Skills!E17))))/Inputs!$B$43),IF(Inputs!$B$38="pvp",MIN((Skills!T17*(1+((Inputs!$B$34+(ArtifactsInput!$M$7-ArtifactsInput!$M$7)*CHOOSE(ArtifactsInput!$N$7+1,6,7.2,8.4,9.6,10.8,12))+IF(Inputs!$B$3&gt;=117,F1811,0))/100)),15)/15,(Skills!T17*(1+((Inputs!$B$34+(ArtifactsInput!$M$7-ArtifactsInput!$M$7)*CHOOSE(ArtifactsInput!$N$7+1,6,7.2,8.4,9.6,10.8,12))+IF(Inputs!$B$3&gt;=117,F1811,0))/100))/Skills!E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Skills!T19*(1+((Inputs!$B$34+(ArtifactsInput!$M$7-ArtifactsInput!$M$7)*CHOOSE(ArtifactsInput!$N$7+1,6,7.2,8.4,9.6,10.8,12))+IF(Inputs!$B$3&gt;=117,F1811,0))/100))+MIN((Skills!T19*(1+((Inputs!$B$34+(ArtifactsInput!$M$7-ArtifactsInput!$M$7)*CHOOSE(ArtifactsInput!$N$7+1,6,7.2,8.4,9.6,10.8,12))+IF(Inputs!$B$3&gt;=117,F1811,0))/100)),MAX(0,Inputs!$B$43-((R1805-1)*Skills!E19))))/Inputs!$B$43),IF(Inputs!$B$38="pvp",MIN((Skills!T19*(1+((Inputs!$B$34+(ArtifactsInput!$M$7-ArtifactsInput!$M$7)*CHOOSE(ArtifactsInput!$N$7+1,6,7.2,8.4,9.6,10.8,12))+IF(Inputs!$B$3&gt;=117,F1811,0))/100)),15)/15,(Skills!T19*(1+((Inputs!$B$34+(ArtifactsInput!$M$7-ArtifactsInput!$M$7)*CHOOSE(ArtifactsInput!$N$7+1,6,7.2,8.4,9.6,10.8,12))+IF(Inputs!$B$3&gt;=117,F1811,0))/100))/Skills!E19))/100),1)</f>
        <v/>
      </c>
    </row>
    <row r="1819">
      <c r="A1819" t="inlineStr">
        <is>
          <t>Attack Speed Buff Bonus % (Nimble Feet, averaged)</t>
        </is>
      </c>
      <c r="B1819">
        <f>F1804*IF(AND(Inputs!$B$38&lt;&gt;"pvp",Inputs!$B$43&gt;0),(((R1804-1)*(Skills!T18*(1+((Inputs!$B$34+(ArtifactsInput!$M$7-ArtifactsInput!$M$7)*CHOOSE(ArtifactsInput!$N$7+1,6,7.2,8.4,9.6,10.8,12))+IF(Inputs!$B$3&gt;=117,F1811,0))/100))+MIN((Skills!T18*(1+((Inputs!$B$34+(ArtifactsInput!$M$7-ArtifactsInput!$M$7)*CHOOSE(ArtifactsInput!$N$7+1,6,7.2,8.4,9.6,10.8,12))+IF(Inputs!$B$3&gt;=117,F1811,0))/100)),MAX(0,Inputs!$B$43-((R1804-1)*Skills!E18))))/Inputs!$B$43),IF(Inputs!$B$38="pvp",MIN((Skills!T18*(1+((Inputs!$B$34+(ArtifactsInput!$M$7-ArtifactsInput!$M$7)*CHOOSE(ArtifactsInput!$N$7+1,6,7.2,8.4,9.6,10.8,12))+IF(Inputs!$B$3&gt;=117,F1811,0))/100)),15)/15,(Skills!T18*(1+((Inputs!$B$34+(ArtifactsInput!$M$7-ArtifactsInput!$M$7)*CHOOSE(ArtifactsInput!$N$7+1,6,7.2,8.4,9.6,10.8,12))+IF(Inputs!$B$3&gt;=117,F1811,0))/100))/Skills!E18))</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IFERROR(1/(IF(Inputs!$B$38="pvp",15,MAX(0.1,Skills!E2-IF(Skills!F2=TRUE,Inputs!$B$32,0)))*(1-IF(AND(ArtifactsInput!$M$27,Inputs!$B$4="Chapter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IFERROR(1/(IF(Inputs!$B$38="pvp",15,MAX(0.1,Skills!E3-IF(Skills!F3=TRUE,Inputs!$B$32,0)))*(1-IF(AND(ArtifactsInput!$M$27,Inputs!$B$4="Chapter Hunt"),CHOOSE(ArtifactsInput!$N$27+1,20,24,28,32,36,40),0)/100)),0)</f>
        <v/>
      </c>
      <c r="R1833">
        <f>IF(AND(Inputs!$B$38&lt;&gt;"pvp",Inputs!$B$43&gt;0),IF(MAX(0,Inputs!$B$43-B1868)&lt;=0,0,(INT(MAX(0,Inputs!$B$43-B1868)/(IF(Inputs!$B$38="pvp",15,MAX(0.1,Skills!E3-IF(Skills!F3=TRUE,Inputs!$B$32,0)))*(1-IF(AND(ArtifactsInput!$M$27,Inputs!$B$4="Chapter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IFERROR(1/(IF(Inputs!$B$38="pvp",15,MAX(0.1,Skills!E4-IF(Skills!F4=TRUE,Inputs!$B$32,0)))*(1-IF(AND(ArtifactsInput!$M$27,Inputs!$B$4="Chapter Hunt"),CHOOSE(ArtifactsInput!$N$27+1,20,24,28,32,36,40),0)/100)),0)</f>
        <v/>
      </c>
      <c r="R1834">
        <f>IF(AND(Inputs!$B$38&lt;&gt;"pvp",Inputs!$B$43&gt;0),IF(MAX(0,Inputs!$B$43-B1868)&lt;=0,0,(INT(MAX(0,Inputs!$B$43-B1868)/(IF(Inputs!$B$38="pvp",15,MAX(0.1,Skills!E4-IF(Skills!F4=TRUE,Inputs!$B$32,0)))*(1-IF(AND(ArtifactsInput!$M$27,Inputs!$B$4="Chapter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IFERROR(1/(IF(Inputs!$B$38="pvp",15,MAX(0.1,Skills!E5-IF(Skills!F5=TRUE,Inputs!$B$32,0)))*(1-IF(AND(ArtifactsInput!$M$27,Inputs!$B$4="Chapter Hunt"),CHOOSE(ArtifactsInput!$N$27+1,20,24,28,32,36,40),0)/100)),0)</f>
        <v/>
      </c>
      <c r="R1835">
        <f>IF(AND(Inputs!$B$38&lt;&gt;"pvp",Inputs!$B$43&gt;0),IF(MAX(0,Inputs!$B$43-B1868)&lt;=0,0,(INT(MAX(0,Inputs!$B$43-B1868)/(IF(Inputs!$B$38="pvp",15,MAX(0.1,Skills!E5-IF(Skills!F5=TRUE,Inputs!$B$32,0)))*(1-IF(AND(ArtifactsInput!$M$27,Inputs!$B$4="Chapter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IFERROR(1/(IF(Inputs!$B$38="pvp",15,MAX(0.1,Skills!E6-IF(Skills!F6=TRUE,Inputs!$B$32,0)))*(1-IF(AND(ArtifactsInput!$M$27,Inputs!$B$4="Chapter Hunt"),CHOOSE(ArtifactsInput!$N$27+1,20,24,28,32,36,40),0)/100)),0)</f>
        <v/>
      </c>
      <c r="R1836">
        <f>IF(AND(Inputs!$B$38&lt;&gt;"pvp",Inputs!$B$43&gt;0),IF(Inputs!$B$43&lt;=0,0,(INT(Inputs!$B$43/(IF(Inputs!$B$38="pvp",15,MAX(0.1,Skills!E6-IF(Skills!F6=TRUE,Inputs!$B$32,0)))*(1-IF(AND(ArtifactsInput!$M$27,Inputs!$B$4="Chapter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IFERROR(1/(IF(Inputs!$B$38="pvp",15,MAX(0.1,Skills!E7-IF(Skills!F7=TRUE,Inputs!$B$32,0)))*(1-IF(AND(ArtifactsInput!$M$27,Inputs!$B$4="Chapter Hunt"),CHOOSE(ArtifactsInput!$N$27+1,20,24,28,32,36,40),0)/100)),0)</f>
        <v/>
      </c>
      <c r="R1837">
        <f>IF(AND(Inputs!$B$38&lt;&gt;"pvp",Inputs!$B$43&gt;0),IF(MAX(0,Inputs!$B$43-B1868)&lt;=0,0,(INT(MAX(0,Inputs!$B$43-B1868)/(IF(Inputs!$B$38="pvp",15,MAX(0.1,Skills!E7-IF(Skills!F7=TRUE,Inputs!$B$32,0)))*(1-IF(AND(ArtifactsInput!$M$27,Inputs!$B$4="Chapter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IFERROR(1/(IF(Inputs!$B$38="pvp",15,MAX(0.1,Skills!E8-IF(Skills!F8=TRUE,Inputs!$B$32,0)))*(1-IF(AND(ArtifactsInput!$M$27,Inputs!$B$4="Chapter Hunt"),CHOOSE(ArtifactsInput!$N$27+1,20,24,28,32,36,40),0)/100)),0)</f>
        <v/>
      </c>
      <c r="R1838">
        <f>IF(AND(Inputs!$B$38&lt;&gt;"pvp",Inputs!$B$43&gt;0),IF(MAX(0,Inputs!$B$43-B1868)&lt;=0,0,(INT(MAX(0,Inputs!$B$43-B1868)/(IF(Inputs!$B$38="pvp",15,MAX(0.1,Skills!E8-IF(Skills!F8=TRUE,Inputs!$B$32,0)))*(1-IF(AND(ArtifactsInput!$M$27,Inputs!$B$4="Chapter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IFERROR(1/(IF(Inputs!$B$38="pvp",15,MAX(0.1,Skills!E9-IF(Skills!F7=TRUE,Inputs!$B$32,0)))*(1-IF(AND(ArtifactsInput!$M$27,Inputs!$B$4="Chapter Hunt"),CHOOSE(ArtifactsInput!$N$27+1,20,24,28,32,36,40),0)/100)),0)</f>
        <v/>
      </c>
      <c r="R1839">
        <f>IF(AND(Inputs!$B$38&lt;&gt;"pvp",Inputs!$B$43&gt;0),IF(MAX(0,Inputs!$B$43-B1868)&lt;=0,0,(INT(MAX(0,Inputs!$B$43-B1868)/(IF(Inputs!$B$38="pvp",15,MAX(0.1,Skills!E9-IF(Skills!F7=TRUE,Inputs!$B$32,0)))*(1-IF(AND(ArtifactsInput!$M$27,Inputs!$B$4="Chapter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IFERROR(1/(IF(Inputs!$B$38="pvp",15,MAX(0.1,Skills!E10-IF(Skills!F10=TRUE,Inputs!$B$32,0)))*(1-IF(AND(ArtifactsInput!$M$27,Inputs!$B$4="Chapter Hunt"),CHOOSE(ArtifactsInput!$N$27+1,20,24,28,32,36,40),0)/100)),0)</f>
        <v/>
      </c>
      <c r="R1840">
        <f>IF(AND(Inputs!$B$38&lt;&gt;"pvp",Inputs!$B$43&gt;0),IF(MAX(0,Inputs!$B$43-B1868)&lt;=0,0,(INT(MAX(0,Inputs!$B$43-B1868)/(IF(Inputs!$B$38="pvp",15,MAX(0.1,Skills!E10-IF(Skills!F10=TRUE,Inputs!$B$32,0)))*(1-IF(AND(ArtifactsInput!$M$27,Inputs!$B$4="Chapter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IFERROR(1/(IF(Inputs!$B$38="pvp",15,MAX(0.1,Skills!E11-IF(Skills!F11=TRUE,Inputs!$B$32,0)))*(1-IF(AND(ArtifactsInput!$M$27,Inputs!$B$4="Chapter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IFERROR(1/(IF(Inputs!$B$38="pvp",15,MAX(0.1,Skills!E12-IF(Skills!F12=TRUE,Inputs!$B$32,0)))*(1-IF(AND(ArtifactsInput!$M$27,Inputs!$B$4="Chapter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IFERROR(1/(IF(Inputs!$B$38="pvp",15,MAX(0.1,Skills!E13-IF(Skills!F13=TRUE,Inputs!$B$32,0)))*(1-IF(AND(ArtifactsInput!$M$27,Inputs!$B$4="Chapter Hunt"),CHOOSE(ArtifactsInput!$N$27+1,20,24,28,32,36,40),0)/100)),0)</f>
        <v/>
      </c>
      <c r="R1843">
        <f>IF(AND(Inputs!$B$38&lt;&gt;"pvp",Inputs!$B$43&gt;0),IF(MAX(0,Inputs!$B$43-B1868)&lt;=0,0,(INT(MAX(0,Inputs!$B$43-B1868)/(IF(Inputs!$B$38="pvp",15,MAX(0.1,Skills!E13-IF(Skills!F13=TRUE,Inputs!$B$32,0)))*(1-IF(AND(ArtifactsInput!$M$27,Inputs!$B$4="Chapter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IFERROR(1/(IF(Inputs!$B$38="pvp",15,MAX(0.1,Skills!E14-IF(Skills!F14=TRUE,Inputs!$B$32,0)))*(1-IF(AND(ArtifactsInput!$M$27,Inputs!$B$4="Chapter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IFERROR(1/(IF(Inputs!$B$38="pvp",15,MAX(0.1,Skills!E15-IF(Skills!F15=TRUE,Inputs!$B$32,0)))*(1-IF(AND(ArtifactsInput!$M$27,Inputs!$B$4="Chapter Hunt"),CHOOSE(ArtifactsInput!$N$27+1,20,24,28,32,36,40),0)/100)),0)</f>
        <v/>
      </c>
      <c r="R1845">
        <f>IF(AND(Inputs!$B$38&lt;&gt;"pvp",Inputs!$B$43&gt;0),IF(MAX(0,Inputs!$B$43-B1868)&lt;=0,0,(INT(MAX(0,Inputs!$B$43-B1868)/(IF(Inputs!$B$38="pvp",15,MAX(0.1,Skills!E15-IF(Skills!F15=TRUE,Inputs!$B$32,0)))*(1-IF(AND(ArtifactsInput!$M$27,Inputs!$B$4="Chapter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IFERROR(1/(IF(Inputs!$B$38="pvp",15,MAX(0.1,Skills!E16-IF(Skills!F16=TRUE,Inputs!$B$32,0)))*(1-IF(AND(ArtifactsInput!$M$27,Inputs!$B$4="Chapter Hunt"),CHOOSE(ArtifactsInput!$N$27+1,20,24,28,32,36,40),0)/100)),0)</f>
        <v/>
      </c>
      <c r="R1846">
        <f>IF(AND(Inputs!$B$38&lt;&gt;"pvp",Inputs!$B$43&gt;0),IF(MAX(0,Inputs!$B$43-B1868)&lt;=0,0,(INT(MAX(0,Inputs!$B$43-B1868)/(IF(Inputs!$B$38="pvp",15,MAX(0.1,Skills!E16-IF(Skills!F16=TRUE,Inputs!$B$32,0)))*(1-IF(AND(ArtifactsInput!$M$27,Inputs!$B$4="Chapter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IFERROR(1/(IF(Inputs!$B$38="pvp",15,MAX(0.1,Skills!E17-IF(Skills!F17=TRUE,Inputs!$B$32,0)))*(1-IF(AND(ArtifactsInput!$M$27,Inputs!$B$4="Chapter Hunt"),CHOOSE(ArtifactsInput!$N$27+1,20,24,28,32,36,40),0)/100)),0)</f>
        <v/>
      </c>
      <c r="R1847">
        <f>IF(AND(Inputs!$B$38&lt;&gt;"pvp",Inputs!$B$43&gt;0),IF(Inputs!$B$43&lt;=0,0,(INT(Inputs!$B$43/(IF(Inputs!$B$38="pvp",15,MAX(0.1,Skills!E17-IF(Skills!F17=TRUE,Inputs!$B$32,0)))*(1-IF(AND(ArtifactsInput!$M$27,Inputs!$B$4="Chapter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IFERROR(1/(IF(Inputs!$B$38="pvp",15,MAX(0.1,Skills!E18-IF(Skills!F18=TRUE,Inputs!$B$32,0)))*(1-IF(AND(ArtifactsInput!$M$27,Inputs!$B$4="Chapter Hunt"),CHOOSE(ArtifactsInput!$N$27+1,20,24,28,32,36,40),0)/100)),0)</f>
        <v/>
      </c>
      <c r="R1848">
        <f>IF(AND(Inputs!$B$38&lt;&gt;"pvp",Inputs!$B$43&gt;0),IF(Inputs!$B$43&lt;=0,0,(INT(Inputs!$B$43/(IF(Inputs!$B$38="pvp",15,MAX(0.1,Skills!E18-IF(Skills!F18=TRUE,Inputs!$B$32,0)))*(1-IF(AND(ArtifactsInput!$M$27,Inputs!$B$4="Chapter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IFERROR(1/(IF(Inputs!$B$38="pvp",15,MAX(0.1,Skills!E19-IF(Skills!F19=TRUE,Inputs!$B$32,0)))*(1-IF(AND(ArtifactsInput!$M$27,Inputs!$B$4="Chapter Hunt"),CHOOSE(ArtifactsInput!$N$27+1,20,24,28,32,36,40),0)/100)),0)</f>
        <v/>
      </c>
      <c r="R1849">
        <f>IF(AND(Inputs!$B$38&lt;&gt;"pvp",Inputs!$B$43&gt;0),IF(Inputs!$B$43&lt;=0,0,(INT(Inputs!$B$43/(IF(Inputs!$B$38="pvp",15,MAX(0.1,Skills!E19-IF(Skills!F19=TRUE,Inputs!$B$32,0)))*(1-IF(AND(ArtifactsInput!$M$27,Inputs!$B$4="Chapter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IFERROR(1/(IF(Inputs!$B$38="pvp",15,MAX(0.1,Skills!E20-IF(Skills!F20=TRUE,Inputs!$B$32,0)))*(1-IF(AND(ArtifactsInput!$M$27,Inputs!$B$4="Chapter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IFERROR(1/(IF(Inputs!$B$38="pvp",15,MAX(0.1,Skills!E21-IF(Skills!F21=TRUE,Inputs!$B$32,0)))*(1-IF(AND(ArtifactsInput!$M$27,Inputs!$B$4="Chapter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IFERROR(1/(IF(Inputs!$B$38="pvp",15,MAX(0.1,Skills!E22-IF(Skills!F22=TRUE,Inputs!$B$32,0)))*(1-IF(AND(ArtifactsInput!$M$27,Inputs!$B$4="Chapter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IFERROR(1/(IF(Inputs!$B$38="pvp",15,MAX(0.1,Skills!E23-IF(Skills!F23=TRUE,Inputs!$B$32,0)))*(1-IF(AND(ArtifactsInput!$M$27,Inputs!$B$4="Chapter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IFERROR(1/(IF(Inputs!$B$38="pvp",15,MAX(0.1,Skills!E24-IF(Skills!F24=TRUE,Inputs!$B$32,0)))*(1-IF(AND(ArtifactsInput!$M$27,Inputs!$B$4="Chapter Hunt"),CHOOSE(ArtifactsInput!$N$27+1,20,24,28,32,36,40),0)/100)),0)</f>
        <v/>
      </c>
      <c r="R1854">
        <f>IF(AND(Inputs!$B$38&lt;&gt;"pvp",Inputs!$B$43&gt;0),IF(MAX(0,Inputs!$B$43-B1868)&lt;=0,0,(INT(MAX(0,Inputs!$B$43-B1868)/(IF(Inputs!$B$38="pvp",15,MAX(0.1,Skills!E24-IF(Skills!F24=TRUE,Inputs!$B$32,0)))*(1-IF(AND(ArtifactsInput!$M$27,Inputs!$B$4="Chapter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IFERROR(1/(IF(Inputs!$B$38="pvp",15,MAX(0.1,Skills!E25-IF(Skills!F25=TRUE,Inputs!$B$32,0)))*(1-IF(AND(ArtifactsInput!$M$27,Inputs!$B$4="Chapter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IFERROR(1/(IF(Inputs!$B$38="pvp",15,MAX(0.1,Skills!E26-IF(Skills!F26=TRUE,Inputs!$B$32,0)))*(1-IF(AND(ArtifactsInput!$M$27,Inputs!$B$4="Chapter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IFERROR(1/(IF(Inputs!$B$38="pvp",15,MAX(0.1,Skills!E27-IF(Skills!F27=TRUE,Inputs!$B$32,0)))*(1-IF(AND(ArtifactsInput!$M$27,Inputs!$B$4="Chapter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IFERROR(1/(IF(Inputs!$B$38="pvp",15,MAX(0.1,Skills!E28-IF(Skills!F28=TRUE,Inputs!$B$32,0)))*(1-IF(AND(ArtifactsInput!$M$27,Inputs!$B$4="Chapter Hunt"),CHOOSE(ArtifactsInput!$N$27+1,20,24,28,32,36,40),0)/100)),0)</f>
        <v/>
      </c>
      <c r="R1858">
        <f>IF(AND(Inputs!$B$38&lt;&gt;"pvp",Inputs!$B$43&gt;0),IF(MAX(0,Inputs!$B$43-B1868)&lt;=0,0,(INT(MAX(0,Inputs!$B$43-B1868)/(IF(Inputs!$B$38="pvp",15,MAX(0.1,Skills!E28-IF(Skills!F28=TRUE,Inputs!$B$32,0)))*(1-IF(AND(ArtifactsInput!$M$27,Inputs!$B$4="Chapter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Skills!T6*(1+((Inputs!$B$34+(ArtifactsInput!$M$7-ArtifactsInput!$M$7)*CHOOSE(ArtifactsInput!$N$7+1,6,7.2,8.4,9.6,10.8,12))+IF(Inputs!$B$3&gt;=117,F1855,0))/100))+MIN((Skills!T6*(1+((Inputs!$B$34+(ArtifactsInput!$M$7-ArtifactsInput!$M$7)*CHOOSE(ArtifactsInput!$N$7+1,6,7.2,8.4,9.6,10.8,12))+IF(Inputs!$B$3&gt;=117,F1855,0))/100)),MAX(0,Inputs!$B$43-((R1836-1)*Skills!E6))))/Inputs!$B$43),IF(Inputs!$B$38="pvp",MIN((Skills!T6*(1+((Inputs!$B$34+(ArtifactsInput!$M$7-ArtifactsInput!$M$7)*CHOOSE(ArtifactsInput!$N$7+1,6,7.2,8.4,9.6,10.8,12))+IF(Inputs!$B$3&gt;=117,F1855,0))/100)),15)/15,(Skills!T6*(1+((Inputs!$B$34+(ArtifactsInput!$M$7-ArtifactsInput!$M$7)*CHOOSE(ArtifactsInput!$N$7+1,6,7.2,8.4,9.6,10.8,12))+IF(Inputs!$B$3&gt;=117,F1855,0))/100))/Skills!E6))+F1847*IF(AND(Inputs!$B$38&lt;&gt;"pvp",Inputs!$B$43&gt;0),(((R1847-1)*(Skills!T17*(1+((Inputs!$B$34+(ArtifactsInput!$M$7-ArtifactsInput!$M$7)*CHOOSE(ArtifactsInput!$N$7+1,6,7.2,8.4,9.6,10.8,12))+IF(Inputs!$B$3&gt;=117,F1855,0))/100))+MIN((Skills!T17*(1+((Inputs!$B$34+(ArtifactsInput!$M$7-ArtifactsInput!$M$7)*CHOOSE(ArtifactsInput!$N$7+1,6,7.2,8.4,9.6,10.8,12))+IF(Inputs!$B$3&gt;=117,F1855,0))/100)),MAX(0,Inputs!$B$43-((R1847-1)*Skills!E17))))/Inputs!$B$43),IF(Inputs!$B$38="pvp",MIN((Skills!T17*(1+((Inputs!$B$34+(ArtifactsInput!$M$7-ArtifactsInput!$M$7)*CHOOSE(ArtifactsInput!$N$7+1,6,7.2,8.4,9.6,10.8,12))+IF(Inputs!$B$3&gt;=117,F1855,0))/100)),15)/15,(Skills!T17*(1+((Inputs!$B$34+(ArtifactsInput!$M$7-ArtifactsInput!$M$7)*CHOOSE(ArtifactsInput!$N$7+1,6,7.2,8.4,9.6,10.8,12))+IF(Inputs!$B$3&gt;=117,F1855,0)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Skills!T19*(1+((Inputs!$B$34+(ArtifactsInput!$M$7-ArtifactsInput!$M$7)*CHOOSE(ArtifactsInput!$N$7+1,6,7.2,8.4,9.6,10.8,12))+IF(Inputs!$B$3&gt;=117,F1855,0))/100))+MIN((Skills!T19*(1+((Inputs!$B$34+(ArtifactsInput!$M$7-ArtifactsInput!$M$7)*CHOOSE(ArtifactsInput!$N$7+1,6,7.2,8.4,9.6,10.8,12))+IF(Inputs!$B$3&gt;=117,F1855,0))/100)),MAX(0,Inputs!$B$43-((R1849-1)*Skills!E19))))/Inputs!$B$43),IF(Inputs!$B$38="pvp",MIN((Skills!T19*(1+((Inputs!$B$34+(ArtifactsInput!$M$7-ArtifactsInput!$M$7)*CHOOSE(ArtifactsInput!$N$7+1,6,7.2,8.4,9.6,10.8,12))+IF(Inputs!$B$3&gt;=117,F1855,0))/100)),15)/15,(Skills!T19*(1+((Inputs!$B$34+(ArtifactsInput!$M$7-ArtifactsInput!$M$7)*CHOOSE(ArtifactsInput!$N$7+1,6,7.2,8.4,9.6,10.8,12))+IF(Inputs!$B$3&gt;=117,F1855,0))/100))/Skills!E19))/100),1)</f>
        <v/>
      </c>
    </row>
    <row r="1863">
      <c r="A1863" t="inlineStr">
        <is>
          <t>Attack Speed Buff Bonus % (Nimble Feet, averaged)</t>
        </is>
      </c>
      <c r="B1863">
        <f>F1848*IF(AND(Inputs!$B$38&lt;&gt;"pvp",Inputs!$B$43&gt;0),(((R1848-1)*(Skills!T18*(1+((Inputs!$B$34+(ArtifactsInput!$M$7-ArtifactsInput!$M$7)*CHOOSE(ArtifactsInput!$N$7+1,6,7.2,8.4,9.6,10.8,12))+IF(Inputs!$B$3&gt;=117,F1855,0))/100))+MIN((Skills!T18*(1+((Inputs!$B$34+(ArtifactsInput!$M$7-ArtifactsInput!$M$7)*CHOOSE(ArtifactsInput!$N$7+1,6,7.2,8.4,9.6,10.8,12))+IF(Inputs!$B$3&gt;=117,F1855,0))/100)),MAX(0,Inputs!$B$43-((R1848-1)*Skills!E18))))/Inputs!$B$43),IF(Inputs!$B$38="pvp",MIN((Skills!T18*(1+((Inputs!$B$34+(ArtifactsInput!$M$7-ArtifactsInput!$M$7)*CHOOSE(ArtifactsInput!$N$7+1,6,7.2,8.4,9.6,10.8,12))+IF(Inputs!$B$3&gt;=117,F1855,0))/100)),15)/15,(Skills!T18*(1+((Inputs!$B$34+(ArtifactsInput!$M$7-ArtifactsInput!$M$7)*CHOOSE(ArtifactsInput!$N$7+1,6,7.2,8.4,9.6,10.8,12))+IF(Inputs!$B$3&gt;=117,F1855,0))/100))/Skills!E18)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IFERROR(1/(IF(Inputs!$B$38="pvp",15,MAX(0.1,Skills!E2-IF(Skills!F2=TRUE,Inputs!$B$32,0)))*(1-IF(AND(ArtifactsInput!$M$27,Inputs!$B$4="Chapter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IFERROR(1/(IF(Inputs!$B$38="pvp",15,MAX(0.1,Skills!E3-IF(Skills!F3=TRUE,Inputs!$B$32,0)))*(1-IF(AND(ArtifactsInput!$M$27,Inputs!$B$4="Chapter Hunt"),CHOOSE(ArtifactsInput!$N$27+1,20,24,28,32,36,40),0)/100)),0)</f>
        <v/>
      </c>
      <c r="R1877">
        <f>IF(AND(Inputs!$B$38&lt;&gt;"pvp",Inputs!$B$43&gt;0),IF(MAX(0,Inputs!$B$43-B1912)&lt;=0,0,(INT(MAX(0,Inputs!$B$43-B1912)/(IF(Inputs!$B$38="pvp",15,MAX(0.1,Skills!E3-IF(Skills!F3=TRUE,Inputs!$B$32,0)))*(1-IF(AND(ArtifactsInput!$M$27,Inputs!$B$4="Chapter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IFERROR(1/(IF(Inputs!$B$38="pvp",15,MAX(0.1,Skills!E4-IF(Skills!F4=TRUE,Inputs!$B$32,0)))*(1-IF(AND(ArtifactsInput!$M$27,Inputs!$B$4="Chapter Hunt"),CHOOSE(ArtifactsInput!$N$27+1,20,24,28,32,36,40),0)/100)),0)</f>
        <v/>
      </c>
      <c r="R1878">
        <f>IF(AND(Inputs!$B$38&lt;&gt;"pvp",Inputs!$B$43&gt;0),IF(MAX(0,Inputs!$B$43-B1912)&lt;=0,0,(INT(MAX(0,Inputs!$B$43-B1912)/(IF(Inputs!$B$38="pvp",15,MAX(0.1,Skills!E4-IF(Skills!F4=TRUE,Inputs!$B$32,0)))*(1-IF(AND(ArtifactsInput!$M$27,Inputs!$B$4="Chapter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IFERROR(1/(IF(Inputs!$B$38="pvp",15,MAX(0.1,Skills!E5-IF(Skills!F5=TRUE,Inputs!$B$32,0)))*(1-IF(AND(ArtifactsInput!$M$27,Inputs!$B$4="Chapter Hunt"),CHOOSE(ArtifactsInput!$N$27+1,20,24,28,32,36,40),0)/100)),0)</f>
        <v/>
      </c>
      <c r="R1879">
        <f>IF(AND(Inputs!$B$38&lt;&gt;"pvp",Inputs!$B$43&gt;0),IF(MAX(0,Inputs!$B$43-B1912)&lt;=0,0,(INT(MAX(0,Inputs!$B$43-B1912)/(IF(Inputs!$B$38="pvp",15,MAX(0.1,Skills!E5-IF(Skills!F5=TRUE,Inputs!$B$32,0)))*(1-IF(AND(ArtifactsInput!$M$27,Inputs!$B$4="Chapter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IFERROR(1/(IF(Inputs!$B$38="pvp",15,MAX(0.1,Skills!E6-IF(Skills!F6=TRUE,Inputs!$B$32,0)))*(1-IF(AND(ArtifactsInput!$M$27,Inputs!$B$4="Chapter Hunt"),CHOOSE(ArtifactsInput!$N$27+1,20,24,28,32,36,40),0)/100)),0)</f>
        <v/>
      </c>
      <c r="R1880">
        <f>IF(AND(Inputs!$B$38&lt;&gt;"pvp",Inputs!$B$43&gt;0),IF(Inputs!$B$43&lt;=0,0,(INT(Inputs!$B$43/(IF(Inputs!$B$38="pvp",15,MAX(0.1,Skills!E6-IF(Skills!F6=TRUE,Inputs!$B$32,0)))*(1-IF(AND(ArtifactsInput!$M$27,Inputs!$B$4="Chapter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IFERROR(1/(IF(Inputs!$B$38="pvp",15,MAX(0.1,Skills!E7-IF(Skills!F7=TRUE,Inputs!$B$32,0)))*(1-IF(AND(ArtifactsInput!$M$27,Inputs!$B$4="Chapter Hunt"),CHOOSE(ArtifactsInput!$N$27+1,20,24,28,32,36,40),0)/100)),0)</f>
        <v/>
      </c>
      <c r="R1881">
        <f>IF(AND(Inputs!$B$38&lt;&gt;"pvp",Inputs!$B$43&gt;0),IF(MAX(0,Inputs!$B$43-B1912)&lt;=0,0,(INT(MAX(0,Inputs!$B$43-B1912)/(IF(Inputs!$B$38="pvp",15,MAX(0.1,Skills!E7-IF(Skills!F7=TRUE,Inputs!$B$32,0)))*(1-IF(AND(ArtifactsInput!$M$27,Inputs!$B$4="Chapter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IFERROR(1/(IF(Inputs!$B$38="pvp",15,MAX(0.1,Skills!E8-IF(Skills!F8=TRUE,Inputs!$B$32,0)))*(1-IF(AND(ArtifactsInput!$M$27,Inputs!$B$4="Chapter Hunt"),CHOOSE(ArtifactsInput!$N$27+1,20,24,28,32,36,40),0)/100)),0)</f>
        <v/>
      </c>
      <c r="R1882">
        <f>IF(AND(Inputs!$B$38&lt;&gt;"pvp",Inputs!$B$43&gt;0),IF(MAX(0,Inputs!$B$43-B1912)&lt;=0,0,(INT(MAX(0,Inputs!$B$43-B1912)/(IF(Inputs!$B$38="pvp",15,MAX(0.1,Skills!E8-IF(Skills!F8=TRUE,Inputs!$B$32,0)))*(1-IF(AND(ArtifactsInput!$M$27,Inputs!$B$4="Chapter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IFERROR(1/(IF(Inputs!$B$38="pvp",15,MAX(0.1,Skills!E9-IF(Skills!F7=TRUE,Inputs!$B$32,0)))*(1-IF(AND(ArtifactsInput!$M$27,Inputs!$B$4="Chapter Hunt"),CHOOSE(ArtifactsInput!$N$27+1,20,24,28,32,36,40),0)/100)),0)</f>
        <v/>
      </c>
      <c r="R1883">
        <f>IF(AND(Inputs!$B$38&lt;&gt;"pvp",Inputs!$B$43&gt;0),IF(MAX(0,Inputs!$B$43-B1912)&lt;=0,0,(INT(MAX(0,Inputs!$B$43-B1912)/(IF(Inputs!$B$38="pvp",15,MAX(0.1,Skills!E9-IF(Skills!F7=TRUE,Inputs!$B$32,0)))*(1-IF(AND(ArtifactsInput!$M$27,Inputs!$B$4="Chapter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IFERROR(1/(IF(Inputs!$B$38="pvp",15,MAX(0.1,Skills!E10-IF(Skills!F10=TRUE,Inputs!$B$32,0)))*(1-IF(AND(ArtifactsInput!$M$27,Inputs!$B$4="Chapter Hunt"),CHOOSE(ArtifactsInput!$N$27+1,20,24,28,32,36,40),0)/100)),0)</f>
        <v/>
      </c>
      <c r="R1884">
        <f>IF(AND(Inputs!$B$38&lt;&gt;"pvp",Inputs!$B$43&gt;0),IF(MAX(0,Inputs!$B$43-B1912)&lt;=0,0,(INT(MAX(0,Inputs!$B$43-B1912)/(IF(Inputs!$B$38="pvp",15,MAX(0.1,Skills!E10-IF(Skills!F10=TRUE,Inputs!$B$32,0)))*(1-IF(AND(ArtifactsInput!$M$27,Inputs!$B$4="Chapter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IFERROR(1/(IF(Inputs!$B$38="pvp",15,MAX(0.1,Skills!E11-IF(Skills!F11=TRUE,Inputs!$B$32,0)))*(1-IF(AND(ArtifactsInput!$M$27,Inputs!$B$4="Chapter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IFERROR(1/(IF(Inputs!$B$38="pvp",15,MAX(0.1,Skills!E12-IF(Skills!F12=TRUE,Inputs!$B$32,0)))*(1-IF(AND(ArtifactsInput!$M$27,Inputs!$B$4="Chapter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IFERROR(1/(IF(Inputs!$B$38="pvp",15,MAX(0.1,Skills!E13-IF(Skills!F13=TRUE,Inputs!$B$32,0)))*(1-IF(AND(ArtifactsInput!$M$27,Inputs!$B$4="Chapter Hunt"),CHOOSE(ArtifactsInput!$N$27+1,20,24,28,32,36,40),0)/100)),0)</f>
        <v/>
      </c>
      <c r="R1887">
        <f>IF(AND(Inputs!$B$38&lt;&gt;"pvp",Inputs!$B$43&gt;0),IF(MAX(0,Inputs!$B$43-B1912)&lt;=0,0,(INT(MAX(0,Inputs!$B$43-B1912)/(IF(Inputs!$B$38="pvp",15,MAX(0.1,Skills!E13-IF(Skills!F13=TRUE,Inputs!$B$32,0)))*(1-IF(AND(ArtifactsInput!$M$27,Inputs!$B$4="Chapter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IFERROR(1/(IF(Inputs!$B$38="pvp",15,MAX(0.1,Skills!E14-IF(Skills!F14=TRUE,Inputs!$B$32,0)))*(1-IF(AND(ArtifactsInput!$M$27,Inputs!$B$4="Chapter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IFERROR(1/(IF(Inputs!$B$38="pvp",15,MAX(0.1,Skills!E15-IF(Skills!F15=TRUE,Inputs!$B$32,0)))*(1-IF(AND(ArtifactsInput!$M$27,Inputs!$B$4="Chapter Hunt"),CHOOSE(ArtifactsInput!$N$27+1,20,24,28,32,36,40),0)/100)),0)</f>
        <v/>
      </c>
      <c r="R1889">
        <f>IF(AND(Inputs!$B$38&lt;&gt;"pvp",Inputs!$B$43&gt;0),IF(MAX(0,Inputs!$B$43-B1912)&lt;=0,0,(INT(MAX(0,Inputs!$B$43-B1912)/(IF(Inputs!$B$38="pvp",15,MAX(0.1,Skills!E15-IF(Skills!F15=TRUE,Inputs!$B$32,0)))*(1-IF(AND(ArtifactsInput!$M$27,Inputs!$B$4="Chapter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IFERROR(1/(IF(Inputs!$B$38="pvp",15,MAX(0.1,Skills!E16-IF(Skills!F16=TRUE,Inputs!$B$32,0)))*(1-IF(AND(ArtifactsInput!$M$27,Inputs!$B$4="Chapter Hunt"),CHOOSE(ArtifactsInput!$N$27+1,20,24,28,32,36,40),0)/100)),0)</f>
        <v/>
      </c>
      <c r="R1890">
        <f>IF(AND(Inputs!$B$38&lt;&gt;"pvp",Inputs!$B$43&gt;0),IF(MAX(0,Inputs!$B$43-B1912)&lt;=0,0,(INT(MAX(0,Inputs!$B$43-B1912)/(IF(Inputs!$B$38="pvp",15,MAX(0.1,Skills!E16-IF(Skills!F16=TRUE,Inputs!$B$32,0)))*(1-IF(AND(ArtifactsInput!$M$27,Inputs!$B$4="Chapter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IFERROR(1/(IF(Inputs!$B$38="pvp",15,MAX(0.1,Skills!E17-IF(Skills!F17=TRUE,Inputs!$B$32,0)))*(1-IF(AND(ArtifactsInput!$M$27,Inputs!$B$4="Chapter Hunt"),CHOOSE(ArtifactsInput!$N$27+1,20,24,28,32,36,40),0)/100)),0)</f>
        <v/>
      </c>
      <c r="R1891">
        <f>IF(AND(Inputs!$B$38&lt;&gt;"pvp",Inputs!$B$43&gt;0),IF(Inputs!$B$43&lt;=0,0,(INT(Inputs!$B$43/(IF(Inputs!$B$38="pvp",15,MAX(0.1,Skills!E17-IF(Skills!F17=TRUE,Inputs!$B$32,0)))*(1-IF(AND(ArtifactsInput!$M$27,Inputs!$B$4="Chapter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IFERROR(1/(IF(Inputs!$B$38="pvp",15,MAX(0.1,Skills!E18-IF(Skills!F18=TRUE,Inputs!$B$32,0)))*(1-IF(AND(ArtifactsInput!$M$27,Inputs!$B$4="Chapter Hunt"),CHOOSE(ArtifactsInput!$N$27+1,20,24,28,32,36,40),0)/100)),0)</f>
        <v/>
      </c>
      <c r="R1892">
        <f>IF(AND(Inputs!$B$38&lt;&gt;"pvp",Inputs!$B$43&gt;0),IF(Inputs!$B$43&lt;=0,0,(INT(Inputs!$B$43/(IF(Inputs!$B$38="pvp",15,MAX(0.1,Skills!E18-IF(Skills!F18=TRUE,Inputs!$B$32,0)))*(1-IF(AND(ArtifactsInput!$M$27,Inputs!$B$4="Chapter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IFERROR(1/(IF(Inputs!$B$38="pvp",15,MAX(0.1,Skills!E19-IF(Skills!F19=TRUE,Inputs!$B$32,0)))*(1-IF(AND(ArtifactsInput!$M$27,Inputs!$B$4="Chapter Hunt"),CHOOSE(ArtifactsInput!$N$27+1,20,24,28,32,36,40),0)/100)),0)</f>
        <v/>
      </c>
      <c r="R1893">
        <f>IF(AND(Inputs!$B$38&lt;&gt;"pvp",Inputs!$B$43&gt;0),IF(Inputs!$B$43&lt;=0,0,(INT(Inputs!$B$43/(IF(Inputs!$B$38="pvp",15,MAX(0.1,Skills!E19-IF(Skills!F19=TRUE,Inputs!$B$32,0)))*(1-IF(AND(ArtifactsInput!$M$27,Inputs!$B$4="Chapter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IFERROR(1/(IF(Inputs!$B$38="pvp",15,MAX(0.1,Skills!E20-IF(Skills!F20=TRUE,Inputs!$B$32,0)))*(1-IF(AND(ArtifactsInput!$M$27,Inputs!$B$4="Chapter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IFERROR(1/(IF(Inputs!$B$38="pvp",15,MAX(0.1,Skills!E21-IF(Skills!F21=TRUE,Inputs!$B$32,0)))*(1-IF(AND(ArtifactsInput!$M$27,Inputs!$B$4="Chapter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IFERROR(1/(IF(Inputs!$B$38="pvp",15,MAX(0.1,Skills!E22-IF(Skills!F22=TRUE,Inputs!$B$32,0)))*(1-IF(AND(ArtifactsInput!$M$27,Inputs!$B$4="Chapter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IFERROR(1/(IF(Inputs!$B$38="pvp",15,MAX(0.1,Skills!E23-IF(Skills!F23=TRUE,Inputs!$B$32,0)))*(1-IF(AND(ArtifactsInput!$M$27,Inputs!$B$4="Chapter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IFERROR(1/(IF(Inputs!$B$38="pvp",15,MAX(0.1,Skills!E24-IF(Skills!F24=TRUE,Inputs!$B$32,0)))*(1-IF(AND(ArtifactsInput!$M$27,Inputs!$B$4="Chapter Hunt"),CHOOSE(ArtifactsInput!$N$27+1,20,24,28,32,36,40),0)/100)),0)</f>
        <v/>
      </c>
      <c r="R1898">
        <f>IF(AND(Inputs!$B$38&lt;&gt;"pvp",Inputs!$B$43&gt;0),IF(MAX(0,Inputs!$B$43-B1912)&lt;=0,0,(INT(MAX(0,Inputs!$B$43-B1912)/(IF(Inputs!$B$38="pvp",15,MAX(0.1,Skills!E24-IF(Skills!F24=TRUE,Inputs!$B$32,0)))*(1-IF(AND(ArtifactsInput!$M$27,Inputs!$B$4="Chapter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IFERROR(1/(IF(Inputs!$B$38="pvp",15,MAX(0.1,Skills!E25-IF(Skills!F25=TRUE,Inputs!$B$32,0)))*(1-IF(AND(ArtifactsInput!$M$27,Inputs!$B$4="Chapter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IFERROR(1/(IF(Inputs!$B$38="pvp",15,MAX(0.1,Skills!E26-IF(Skills!F26=TRUE,Inputs!$B$32,0)))*(1-IF(AND(ArtifactsInput!$M$27,Inputs!$B$4="Chapter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IFERROR(1/(IF(Inputs!$B$38="pvp",15,MAX(0.1,Skills!E27-IF(Skills!F27=TRUE,Inputs!$B$32,0)))*(1-IF(AND(ArtifactsInput!$M$27,Inputs!$B$4="Chapter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IFERROR(1/(IF(Inputs!$B$38="pvp",15,MAX(0.1,Skills!E28-IF(Skills!F28=TRUE,Inputs!$B$32,0)))*(1-IF(AND(ArtifactsInput!$M$27,Inputs!$B$4="Chapter Hunt"),CHOOSE(ArtifactsInput!$N$27+1,20,24,28,32,36,40),0)/100)),0)</f>
        <v/>
      </c>
      <c r="R1902">
        <f>IF(AND(Inputs!$B$38&lt;&gt;"pvp",Inputs!$B$43&gt;0),IF(MAX(0,Inputs!$B$43-B1912)&lt;=0,0,(INT(MAX(0,Inputs!$B$43-B1912)/(IF(Inputs!$B$38="pvp",15,MAX(0.1,Skills!E28-IF(Skills!F28=TRUE,Inputs!$B$32,0)))*(1-IF(AND(ArtifactsInput!$M$27,Inputs!$B$4="Chapter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Skills!T6*(1+((Inputs!$B$34+(ArtifactsInput!$M$7-ArtifactsInput!$M$7)*CHOOSE(ArtifactsInput!$N$7+1,6,7.2,8.4,9.6,10.8,12))+IF(Inputs!$B$3&gt;=117,F1899,0))/100))+MIN((Skills!T6*(1+((Inputs!$B$34+(ArtifactsInput!$M$7-ArtifactsInput!$M$7)*CHOOSE(ArtifactsInput!$N$7+1,6,7.2,8.4,9.6,10.8,12))+IF(Inputs!$B$3&gt;=117,F1899,0))/100)),MAX(0,Inputs!$B$43-((R1880-1)*Skills!E6))))/Inputs!$B$43),IF(Inputs!$B$38="pvp",MIN((Skills!T6*(1+((Inputs!$B$34+(ArtifactsInput!$M$7-ArtifactsInput!$M$7)*CHOOSE(ArtifactsInput!$N$7+1,6,7.2,8.4,9.6,10.8,12))+IF(Inputs!$B$3&gt;=117,F1899,0))/100)),15)/15,(Skills!T6*(1+((Inputs!$B$34+(ArtifactsInput!$M$7-ArtifactsInput!$M$7)*CHOOSE(ArtifactsInput!$N$7+1,6,7.2,8.4,9.6,10.8,12))+IF(Inputs!$B$3&gt;=117,F1899,0))/100))/Skills!E6))+F1891*IF(AND(Inputs!$B$38&lt;&gt;"pvp",Inputs!$B$43&gt;0),(((R1891-1)*(Skills!T17*(1+((Inputs!$B$34+(ArtifactsInput!$M$7-ArtifactsInput!$M$7)*CHOOSE(ArtifactsInput!$N$7+1,6,7.2,8.4,9.6,10.8,12))+IF(Inputs!$B$3&gt;=117,F1899,0))/100))+MIN((Skills!T17*(1+((Inputs!$B$34+(ArtifactsInput!$M$7-ArtifactsInput!$M$7)*CHOOSE(ArtifactsInput!$N$7+1,6,7.2,8.4,9.6,10.8,12))+IF(Inputs!$B$3&gt;=117,F1899,0))/100)),MAX(0,Inputs!$B$43-((R1891-1)*Skills!E17))))/Inputs!$B$43),IF(Inputs!$B$38="pvp",MIN((Skills!T17*(1+((Inputs!$B$34+(ArtifactsInput!$M$7-ArtifactsInput!$M$7)*CHOOSE(ArtifactsInput!$N$7+1,6,7.2,8.4,9.6,10.8,12))+IF(Inputs!$B$3&gt;=117,F1899,0))/100)),15)/15,(Skills!T17*(1+((Inputs!$B$34+(ArtifactsInput!$M$7-ArtifactsInput!$M$7)*CHOOSE(ArtifactsInput!$N$7+1,6,7.2,8.4,9.6,10.8,12))+IF(Inputs!$B$3&gt;=117,F1899,0)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Skills!T19*(1+((Inputs!$B$34+(ArtifactsInput!$M$7-ArtifactsInput!$M$7)*CHOOSE(ArtifactsInput!$N$7+1,6,7.2,8.4,9.6,10.8,12))+IF(Inputs!$B$3&gt;=117,F1899,0))/100))+MIN((Skills!T19*(1+((Inputs!$B$34+(ArtifactsInput!$M$7-ArtifactsInput!$M$7)*CHOOSE(ArtifactsInput!$N$7+1,6,7.2,8.4,9.6,10.8,12))+IF(Inputs!$B$3&gt;=117,F1899,0))/100)),MAX(0,Inputs!$B$43-((R1893-1)*Skills!E19))))/Inputs!$B$43),IF(Inputs!$B$38="pvp",MIN((Skills!T19*(1+((Inputs!$B$34+(ArtifactsInput!$M$7-ArtifactsInput!$M$7)*CHOOSE(ArtifactsInput!$N$7+1,6,7.2,8.4,9.6,10.8,12))+IF(Inputs!$B$3&gt;=117,F1899,0))/100)),15)/15,(Skills!T19*(1+((Inputs!$B$34+(ArtifactsInput!$M$7-ArtifactsInput!$M$7)*CHOOSE(ArtifactsInput!$N$7+1,6,7.2,8.4,9.6,10.8,12))+IF(Inputs!$B$3&gt;=117,F1899,0))/100))/Skills!E19))/100),1)</f>
        <v/>
      </c>
    </row>
    <row r="1907">
      <c r="A1907" t="inlineStr">
        <is>
          <t>Attack Speed Buff Bonus % (Nimble Feet, averaged)</t>
        </is>
      </c>
      <c r="B1907">
        <f>F1892*IF(AND(Inputs!$B$38&lt;&gt;"pvp",Inputs!$B$43&gt;0),(((R1892-1)*(Skills!T18*(1+((Inputs!$B$34+(ArtifactsInput!$M$7-ArtifactsInput!$M$7)*CHOOSE(ArtifactsInput!$N$7+1,6,7.2,8.4,9.6,10.8,12))+IF(Inputs!$B$3&gt;=117,F1899,0))/100))+MIN((Skills!T18*(1+((Inputs!$B$34+(ArtifactsInput!$M$7-ArtifactsInput!$M$7)*CHOOSE(ArtifactsInput!$N$7+1,6,7.2,8.4,9.6,10.8,12))+IF(Inputs!$B$3&gt;=117,F1899,0))/100)),MAX(0,Inputs!$B$43-((R1892-1)*Skills!E18))))/Inputs!$B$43),IF(Inputs!$B$38="pvp",MIN((Skills!T18*(1+((Inputs!$B$34+(ArtifactsInput!$M$7-ArtifactsInput!$M$7)*CHOOSE(ArtifactsInput!$N$7+1,6,7.2,8.4,9.6,10.8,12))+IF(Inputs!$B$3&gt;=117,F1899,0))/100)),15)/15,(Skills!T18*(1+((Inputs!$B$34+(ArtifactsInput!$M$7-ArtifactsInput!$M$7)*CHOOSE(ArtifactsInput!$N$7+1,6,7.2,8.4,9.6,10.8,12))+IF(Inputs!$B$3&gt;=117,F1899,0))/100))/Skills!E18))</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IFERROR(1/(IF(Inputs!$B$38="pvp",15,MAX(0.1,Skills!E2-IF(Skills!F2=TRUE,Inputs!$B$32,0)))*(1-IF(AND(ArtifactsInput!$M$27,Inputs!$B$4="Chapter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IFERROR(1/(IF(Inputs!$B$38="pvp",15,MAX(0.1,Skills!E3-IF(Skills!F3=TRUE,Inputs!$B$32,0)))*(1-IF(AND(ArtifactsInput!$M$27,Inputs!$B$4="Chapter Hunt"),CHOOSE(ArtifactsInput!$N$27+1,20,24,28,32,36,40),0)/100)),0)</f>
        <v/>
      </c>
      <c r="R1921">
        <f>IF(AND(Inputs!$B$38&lt;&gt;"pvp",Inputs!$B$43&gt;0),IF(MAX(0,Inputs!$B$43-B1956)&lt;=0,0,(INT(MAX(0,Inputs!$B$43-B1956)/(IF(Inputs!$B$38="pvp",15,MAX(0.1,Skills!E3-IF(Skills!F3=TRUE,Inputs!$B$32,0)))*(1-IF(AND(ArtifactsInput!$M$27,Inputs!$B$4="Chapter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IFERROR(1/(IF(Inputs!$B$38="pvp",15,MAX(0.1,Skills!E4-IF(Skills!F4=TRUE,Inputs!$B$32,0)))*(1-IF(AND(ArtifactsInput!$M$27,Inputs!$B$4="Chapter Hunt"),CHOOSE(ArtifactsInput!$N$27+1,20,24,28,32,36,40),0)/100)),0)</f>
        <v/>
      </c>
      <c r="R1922">
        <f>IF(AND(Inputs!$B$38&lt;&gt;"pvp",Inputs!$B$43&gt;0),IF(MAX(0,Inputs!$B$43-B1956)&lt;=0,0,(INT(MAX(0,Inputs!$B$43-B1956)/(IF(Inputs!$B$38="pvp",15,MAX(0.1,Skills!E4-IF(Skills!F4=TRUE,Inputs!$B$32,0)))*(1-IF(AND(ArtifactsInput!$M$27,Inputs!$B$4="Chapter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IFERROR(1/(IF(Inputs!$B$38="pvp",15,MAX(0.1,Skills!E5-IF(Skills!F5=TRUE,Inputs!$B$32,0)))*(1-IF(AND(ArtifactsInput!$M$27,Inputs!$B$4="Chapter Hunt"),CHOOSE(ArtifactsInput!$N$27+1,20,24,28,32,36,40),0)/100)),0)</f>
        <v/>
      </c>
      <c r="R1923">
        <f>IF(AND(Inputs!$B$38&lt;&gt;"pvp",Inputs!$B$43&gt;0),IF(MAX(0,Inputs!$B$43-B1956)&lt;=0,0,(INT(MAX(0,Inputs!$B$43-B1956)/(IF(Inputs!$B$38="pvp",15,MAX(0.1,Skills!E5-IF(Skills!F5=TRUE,Inputs!$B$32,0)))*(1-IF(AND(ArtifactsInput!$M$27,Inputs!$B$4="Chapter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IFERROR(1/(IF(Inputs!$B$38="pvp",15,MAX(0.1,Skills!E6-IF(Skills!F6=TRUE,Inputs!$B$32,0)))*(1-IF(AND(ArtifactsInput!$M$27,Inputs!$B$4="Chapter Hunt"),CHOOSE(ArtifactsInput!$N$27+1,20,24,28,32,36,40),0)/100)),0)</f>
        <v/>
      </c>
      <c r="R1924">
        <f>IF(AND(Inputs!$B$38&lt;&gt;"pvp",Inputs!$B$43&gt;0),IF(Inputs!$B$43&lt;=0,0,(INT(Inputs!$B$43/(IF(Inputs!$B$38="pvp",15,MAX(0.1,Skills!E6-IF(Skills!F6=TRUE,Inputs!$B$32,0)))*(1-IF(AND(ArtifactsInput!$M$27,Inputs!$B$4="Chapter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IFERROR(1/(IF(Inputs!$B$38="pvp",15,MAX(0.1,Skills!E7-IF(Skills!F7=TRUE,Inputs!$B$32,0)))*(1-IF(AND(ArtifactsInput!$M$27,Inputs!$B$4="Chapter Hunt"),CHOOSE(ArtifactsInput!$N$27+1,20,24,28,32,36,40),0)/100)),0)</f>
        <v/>
      </c>
      <c r="R1925">
        <f>IF(AND(Inputs!$B$38&lt;&gt;"pvp",Inputs!$B$43&gt;0),IF(MAX(0,Inputs!$B$43-B1956)&lt;=0,0,(INT(MAX(0,Inputs!$B$43-B1956)/(IF(Inputs!$B$38="pvp",15,MAX(0.1,Skills!E7-IF(Skills!F7=TRUE,Inputs!$B$32,0)))*(1-IF(AND(ArtifactsInput!$M$27,Inputs!$B$4="Chapter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IFERROR(1/(IF(Inputs!$B$38="pvp",15,MAX(0.1,Skills!E8-IF(Skills!F8=TRUE,Inputs!$B$32,0)))*(1-IF(AND(ArtifactsInput!$M$27,Inputs!$B$4="Chapter Hunt"),CHOOSE(ArtifactsInput!$N$27+1,20,24,28,32,36,40),0)/100)),0)</f>
        <v/>
      </c>
      <c r="R1926">
        <f>IF(AND(Inputs!$B$38&lt;&gt;"pvp",Inputs!$B$43&gt;0),IF(MAX(0,Inputs!$B$43-B1956)&lt;=0,0,(INT(MAX(0,Inputs!$B$43-B1956)/(IF(Inputs!$B$38="pvp",15,MAX(0.1,Skills!E8-IF(Skills!F8=TRUE,Inputs!$B$32,0)))*(1-IF(AND(ArtifactsInput!$M$27,Inputs!$B$4="Chapter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IFERROR(1/(IF(Inputs!$B$38="pvp",15,MAX(0.1,Skills!E9-IF(Skills!F7=TRUE,Inputs!$B$32,0)))*(1-IF(AND(ArtifactsInput!$M$27,Inputs!$B$4="Chapter Hunt"),CHOOSE(ArtifactsInput!$N$27+1,20,24,28,32,36,40),0)/100)),0)</f>
        <v/>
      </c>
      <c r="R1927">
        <f>IF(AND(Inputs!$B$38&lt;&gt;"pvp",Inputs!$B$43&gt;0),IF(MAX(0,Inputs!$B$43-B1956)&lt;=0,0,(INT(MAX(0,Inputs!$B$43-B1956)/(IF(Inputs!$B$38="pvp",15,MAX(0.1,Skills!E9-IF(Skills!F7=TRUE,Inputs!$B$32,0)))*(1-IF(AND(ArtifactsInput!$M$27,Inputs!$B$4="Chapter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IFERROR(1/(IF(Inputs!$B$38="pvp",15,MAX(0.1,Skills!E10-IF(Skills!F10=TRUE,Inputs!$B$32,0)))*(1-IF(AND(ArtifactsInput!$M$27,Inputs!$B$4="Chapter Hunt"),CHOOSE(ArtifactsInput!$N$27+1,20,24,28,32,36,40),0)/100)),0)</f>
        <v/>
      </c>
      <c r="R1928">
        <f>IF(AND(Inputs!$B$38&lt;&gt;"pvp",Inputs!$B$43&gt;0),IF(MAX(0,Inputs!$B$43-B1956)&lt;=0,0,(INT(MAX(0,Inputs!$B$43-B1956)/(IF(Inputs!$B$38="pvp",15,MAX(0.1,Skills!E10-IF(Skills!F10=TRUE,Inputs!$B$32,0)))*(1-IF(AND(ArtifactsInput!$M$27,Inputs!$B$4="Chapter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IFERROR(1/(IF(Inputs!$B$38="pvp",15,MAX(0.1,Skills!E11-IF(Skills!F11=TRUE,Inputs!$B$32,0)))*(1-IF(AND(ArtifactsInput!$M$27,Inputs!$B$4="Chapter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IFERROR(1/(IF(Inputs!$B$38="pvp",15,MAX(0.1,Skills!E12-IF(Skills!F12=TRUE,Inputs!$B$32,0)))*(1-IF(AND(ArtifactsInput!$M$27,Inputs!$B$4="Chapter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IFERROR(1/(IF(Inputs!$B$38="pvp",15,MAX(0.1,Skills!E13-IF(Skills!F13=TRUE,Inputs!$B$32,0)))*(1-IF(AND(ArtifactsInput!$M$27,Inputs!$B$4="Chapter Hunt"),CHOOSE(ArtifactsInput!$N$27+1,20,24,28,32,36,40),0)/100)),0)</f>
        <v/>
      </c>
      <c r="R1931">
        <f>IF(AND(Inputs!$B$38&lt;&gt;"pvp",Inputs!$B$43&gt;0),IF(MAX(0,Inputs!$B$43-B1956)&lt;=0,0,(INT(MAX(0,Inputs!$B$43-B1956)/(IF(Inputs!$B$38="pvp",15,MAX(0.1,Skills!E13-IF(Skills!F13=TRUE,Inputs!$B$32,0)))*(1-IF(AND(ArtifactsInput!$M$27,Inputs!$B$4="Chapter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IFERROR(1/(IF(Inputs!$B$38="pvp",15,MAX(0.1,Skills!E14-IF(Skills!F14=TRUE,Inputs!$B$32,0)))*(1-IF(AND(ArtifactsInput!$M$27,Inputs!$B$4="Chapter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IFERROR(1/(IF(Inputs!$B$38="pvp",15,MAX(0.1,Skills!E15-IF(Skills!F15=TRUE,Inputs!$B$32,0)))*(1-IF(AND(ArtifactsInput!$M$27,Inputs!$B$4="Chapter Hunt"),CHOOSE(ArtifactsInput!$N$27+1,20,24,28,32,36,40),0)/100)),0)</f>
        <v/>
      </c>
      <c r="R1933">
        <f>IF(AND(Inputs!$B$38&lt;&gt;"pvp",Inputs!$B$43&gt;0),IF(MAX(0,Inputs!$B$43-B1956)&lt;=0,0,(INT(MAX(0,Inputs!$B$43-B1956)/(IF(Inputs!$B$38="pvp",15,MAX(0.1,Skills!E15-IF(Skills!F15=TRUE,Inputs!$B$32,0)))*(1-IF(AND(ArtifactsInput!$M$27,Inputs!$B$4="Chapter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IFERROR(1/(IF(Inputs!$B$38="pvp",15,MAX(0.1,Skills!E16-IF(Skills!F16=TRUE,Inputs!$B$32,0)))*(1-IF(AND(ArtifactsInput!$M$27,Inputs!$B$4="Chapter Hunt"),CHOOSE(ArtifactsInput!$N$27+1,20,24,28,32,36,40),0)/100)),0)</f>
        <v/>
      </c>
      <c r="R1934">
        <f>IF(AND(Inputs!$B$38&lt;&gt;"pvp",Inputs!$B$43&gt;0),IF(MAX(0,Inputs!$B$43-B1956)&lt;=0,0,(INT(MAX(0,Inputs!$B$43-B1956)/(IF(Inputs!$B$38="pvp",15,MAX(0.1,Skills!E16-IF(Skills!F16=TRUE,Inputs!$B$32,0)))*(1-IF(AND(ArtifactsInput!$M$27,Inputs!$B$4="Chapter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IFERROR(1/(IF(Inputs!$B$38="pvp",15,MAX(0.1,Skills!E17-IF(Skills!F17=TRUE,Inputs!$B$32,0)))*(1-IF(AND(ArtifactsInput!$M$27,Inputs!$B$4="Chapter Hunt"),CHOOSE(ArtifactsInput!$N$27+1,20,24,28,32,36,40),0)/100)),0)</f>
        <v/>
      </c>
      <c r="R1935">
        <f>IF(AND(Inputs!$B$38&lt;&gt;"pvp",Inputs!$B$43&gt;0),IF(Inputs!$B$43&lt;=0,0,(INT(Inputs!$B$43/(IF(Inputs!$B$38="pvp",15,MAX(0.1,Skills!E17-IF(Skills!F17=TRUE,Inputs!$B$32,0)))*(1-IF(AND(ArtifactsInput!$M$27,Inputs!$B$4="Chapter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IFERROR(1/(IF(Inputs!$B$38="pvp",15,MAX(0.1,Skills!E18-IF(Skills!F18=TRUE,Inputs!$B$32,0)))*(1-IF(AND(ArtifactsInput!$M$27,Inputs!$B$4="Chapter Hunt"),CHOOSE(ArtifactsInput!$N$27+1,20,24,28,32,36,40),0)/100)),0)</f>
        <v/>
      </c>
      <c r="R1936">
        <f>IF(AND(Inputs!$B$38&lt;&gt;"pvp",Inputs!$B$43&gt;0),IF(Inputs!$B$43&lt;=0,0,(INT(Inputs!$B$43/(IF(Inputs!$B$38="pvp",15,MAX(0.1,Skills!E18-IF(Skills!F18=TRUE,Inputs!$B$32,0)))*(1-IF(AND(ArtifactsInput!$M$27,Inputs!$B$4="Chapter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IFERROR(1/(IF(Inputs!$B$38="pvp",15,MAX(0.1,Skills!E19-IF(Skills!F19=TRUE,Inputs!$B$32,0)))*(1-IF(AND(ArtifactsInput!$M$27,Inputs!$B$4="Chapter Hunt"),CHOOSE(ArtifactsInput!$N$27+1,20,24,28,32,36,40),0)/100)),0)</f>
        <v/>
      </c>
      <c r="R1937">
        <f>IF(AND(Inputs!$B$38&lt;&gt;"pvp",Inputs!$B$43&gt;0),IF(Inputs!$B$43&lt;=0,0,(INT(Inputs!$B$43/(IF(Inputs!$B$38="pvp",15,MAX(0.1,Skills!E19-IF(Skills!F19=TRUE,Inputs!$B$32,0)))*(1-IF(AND(ArtifactsInput!$M$27,Inputs!$B$4="Chapter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IFERROR(1/(IF(Inputs!$B$38="pvp",15,MAX(0.1,Skills!E20-IF(Skills!F20=TRUE,Inputs!$B$32,0)))*(1-IF(AND(ArtifactsInput!$M$27,Inputs!$B$4="Chapter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IFERROR(1/(IF(Inputs!$B$38="pvp",15,MAX(0.1,Skills!E21-IF(Skills!F21=TRUE,Inputs!$B$32,0)))*(1-IF(AND(ArtifactsInput!$M$27,Inputs!$B$4="Chapter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IFERROR(1/(IF(Inputs!$B$38="pvp",15,MAX(0.1,Skills!E22-IF(Skills!F22=TRUE,Inputs!$B$32,0)))*(1-IF(AND(ArtifactsInput!$M$27,Inputs!$B$4="Chapter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IFERROR(1/(IF(Inputs!$B$38="pvp",15,MAX(0.1,Skills!E23-IF(Skills!F23=TRUE,Inputs!$B$32,0)))*(1-IF(AND(ArtifactsInput!$M$27,Inputs!$B$4="Chapter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IFERROR(1/(IF(Inputs!$B$38="pvp",15,MAX(0.1,Skills!E24-IF(Skills!F24=TRUE,Inputs!$B$32,0)))*(1-IF(AND(ArtifactsInput!$M$27,Inputs!$B$4="Chapter Hunt"),CHOOSE(ArtifactsInput!$N$27+1,20,24,28,32,36,40),0)/100)),0)</f>
        <v/>
      </c>
      <c r="R1942">
        <f>IF(AND(Inputs!$B$38&lt;&gt;"pvp",Inputs!$B$43&gt;0),IF(MAX(0,Inputs!$B$43-B1956)&lt;=0,0,(INT(MAX(0,Inputs!$B$43-B1956)/(IF(Inputs!$B$38="pvp",15,MAX(0.1,Skills!E24-IF(Skills!F24=TRUE,Inputs!$B$32,0)))*(1-IF(AND(ArtifactsInput!$M$27,Inputs!$B$4="Chapter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IFERROR(1/(IF(Inputs!$B$38="pvp",15,MAX(0.1,Skills!E25-IF(Skills!F25=TRUE,Inputs!$B$32,0)))*(1-IF(AND(ArtifactsInput!$M$27,Inputs!$B$4="Chapter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IFERROR(1/(IF(Inputs!$B$38="pvp",15,MAX(0.1,Skills!E26-IF(Skills!F26=TRUE,Inputs!$B$32,0)))*(1-IF(AND(ArtifactsInput!$M$27,Inputs!$B$4="Chapter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IFERROR(1/(IF(Inputs!$B$38="pvp",15,MAX(0.1,Skills!E27-IF(Skills!F27=TRUE,Inputs!$B$32,0)))*(1-IF(AND(ArtifactsInput!$M$27,Inputs!$B$4="Chapter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IFERROR(1/(IF(Inputs!$B$38="pvp",15,MAX(0.1,Skills!E28-IF(Skills!F28=TRUE,Inputs!$B$32,0)))*(1-IF(AND(ArtifactsInput!$M$27,Inputs!$B$4="Chapter Hunt"),CHOOSE(ArtifactsInput!$N$27+1,20,24,28,32,36,40),0)/100)),0)</f>
        <v/>
      </c>
      <c r="R1946">
        <f>IF(AND(Inputs!$B$38&lt;&gt;"pvp",Inputs!$B$43&gt;0),IF(MAX(0,Inputs!$B$43-B1956)&lt;=0,0,(INT(MAX(0,Inputs!$B$43-B1956)/(IF(Inputs!$B$38="pvp",15,MAX(0.1,Skills!E28-IF(Skills!F28=TRUE,Inputs!$B$32,0)))*(1-IF(AND(ArtifactsInput!$M$27,Inputs!$B$4="Chapter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Skills!T6*(1+((Inputs!$B$34+(ArtifactsInput!$M$7-ArtifactsInput!$M$7)*CHOOSE(ArtifactsInput!$N$7+1,6,7.2,8.4,9.6,10.8,12))+IF(Inputs!$B$3&gt;=117,F1943,0))/100))+MIN((Skills!T6*(1+((Inputs!$B$34+(ArtifactsInput!$M$7-ArtifactsInput!$M$7)*CHOOSE(ArtifactsInput!$N$7+1,6,7.2,8.4,9.6,10.8,12))+IF(Inputs!$B$3&gt;=117,F1943,0))/100)),MAX(0,Inputs!$B$43-((R1924-1)*Skills!E6))))/Inputs!$B$43),IF(Inputs!$B$38="pvp",MIN((Skills!T6*(1+((Inputs!$B$34+(ArtifactsInput!$M$7-ArtifactsInput!$M$7)*CHOOSE(ArtifactsInput!$N$7+1,6,7.2,8.4,9.6,10.8,12))+IF(Inputs!$B$3&gt;=117,F1943,0))/100)),15)/15,(Skills!T6*(1+((Inputs!$B$34+(ArtifactsInput!$M$7-ArtifactsInput!$M$7)*CHOOSE(ArtifactsInput!$N$7+1,6,7.2,8.4,9.6,10.8,12))+IF(Inputs!$B$3&gt;=117,F1943,0))/100))/Skills!E6))+F1935*IF(AND(Inputs!$B$38&lt;&gt;"pvp",Inputs!$B$43&gt;0),(((R1935-1)*(Skills!T17*(1+((Inputs!$B$34+(ArtifactsInput!$M$7-ArtifactsInput!$M$7)*CHOOSE(ArtifactsInput!$N$7+1,6,7.2,8.4,9.6,10.8,12))+IF(Inputs!$B$3&gt;=117,F1943,0))/100))+MIN((Skills!T17*(1+((Inputs!$B$34+(ArtifactsInput!$M$7-ArtifactsInput!$M$7)*CHOOSE(ArtifactsInput!$N$7+1,6,7.2,8.4,9.6,10.8,12))+IF(Inputs!$B$3&gt;=117,F1943,0))/100)),MAX(0,Inputs!$B$43-((R1935-1)*Skills!E17))))/Inputs!$B$43),IF(Inputs!$B$38="pvp",MIN((Skills!T17*(1+((Inputs!$B$34+(ArtifactsInput!$M$7-ArtifactsInput!$M$7)*CHOOSE(ArtifactsInput!$N$7+1,6,7.2,8.4,9.6,10.8,12))+IF(Inputs!$B$3&gt;=117,F1943,0))/100)),15)/15,(Skills!T17*(1+((Inputs!$B$34+(ArtifactsInput!$M$7-ArtifactsInput!$M$7)*CHOOSE(ArtifactsInput!$N$7+1,6,7.2,8.4,9.6,10.8,12))+IF(Inputs!$B$3&gt;=117,F1943,0)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Skills!T19*(1+((Inputs!$B$34+(ArtifactsInput!$M$7-ArtifactsInput!$M$7)*CHOOSE(ArtifactsInput!$N$7+1,6,7.2,8.4,9.6,10.8,12))+IF(Inputs!$B$3&gt;=117,F1943,0))/100))+MIN((Skills!T19*(1+((Inputs!$B$34+(ArtifactsInput!$M$7-ArtifactsInput!$M$7)*CHOOSE(ArtifactsInput!$N$7+1,6,7.2,8.4,9.6,10.8,12))+IF(Inputs!$B$3&gt;=117,F1943,0))/100)),MAX(0,Inputs!$B$43-((R1937-1)*Skills!E19))))/Inputs!$B$43),IF(Inputs!$B$38="pvp",MIN((Skills!T19*(1+((Inputs!$B$34+(ArtifactsInput!$M$7-ArtifactsInput!$M$7)*CHOOSE(ArtifactsInput!$N$7+1,6,7.2,8.4,9.6,10.8,12))+IF(Inputs!$B$3&gt;=117,F1943,0))/100)),15)/15,(Skills!T19*(1+((Inputs!$B$34+(ArtifactsInput!$M$7-ArtifactsInput!$M$7)*CHOOSE(ArtifactsInput!$N$7+1,6,7.2,8.4,9.6,10.8,12))+IF(Inputs!$B$3&gt;=117,F1943,0))/100))/Skills!E19))/100),1)</f>
        <v/>
      </c>
    </row>
    <row r="1951">
      <c r="A1951" t="inlineStr">
        <is>
          <t>Attack Speed Buff Bonus % (Nimble Feet, averaged)</t>
        </is>
      </c>
      <c r="B1951">
        <f>F1936*IF(AND(Inputs!$B$38&lt;&gt;"pvp",Inputs!$B$43&gt;0),(((R1936-1)*(Skills!T18*(1+((Inputs!$B$34+(ArtifactsInput!$M$7-ArtifactsInput!$M$7)*CHOOSE(ArtifactsInput!$N$7+1,6,7.2,8.4,9.6,10.8,12))+IF(Inputs!$B$3&gt;=117,F1943,0))/100))+MIN((Skills!T18*(1+((Inputs!$B$34+(ArtifactsInput!$M$7-ArtifactsInput!$M$7)*CHOOSE(ArtifactsInput!$N$7+1,6,7.2,8.4,9.6,10.8,12))+IF(Inputs!$B$3&gt;=117,F1943,0))/100)),MAX(0,Inputs!$B$43-((R1936-1)*Skills!E18))))/Inputs!$B$43),IF(Inputs!$B$38="pvp",MIN((Skills!T18*(1+((Inputs!$B$34+(ArtifactsInput!$M$7-ArtifactsInput!$M$7)*CHOOSE(ArtifactsInput!$N$7+1,6,7.2,8.4,9.6,10.8,12))+IF(Inputs!$B$3&gt;=117,F1943,0))/100)),15)/15,(Skills!T18*(1+((Inputs!$B$34+(ArtifactsInput!$M$7-ArtifactsInput!$M$7)*CHOOSE(ArtifactsInput!$N$7+1,6,7.2,8.4,9.6,10.8,12))+IF(Inputs!$B$3&gt;=117,F1943,0))/100))/Skills!E18))</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IFERROR(1/(IF(Inputs!$B$38="pvp",15,MAX(0.1,Skills!E2-IF(Skills!F2=TRUE,Inputs!$B$32,0)))*(1-IF(AND(ArtifactsInput!$M$27,Inputs!$B$4="Chapter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IFERROR(1/(IF(Inputs!$B$38="pvp",15,MAX(0.1,Skills!E3-IF(Skills!F3=TRUE,Inputs!$B$32,0)))*(1-IF(AND(ArtifactsInput!$M$27,Inputs!$B$4="Chapter Hunt"),CHOOSE(ArtifactsInput!$N$27+1,20,24,28,32,36,40),0)/100)),0)</f>
        <v/>
      </c>
      <c r="R1965">
        <f>IF(AND(Inputs!$B$38&lt;&gt;"pvp",Inputs!$B$43&gt;0),IF(MAX(0,Inputs!$B$43-B2000)&lt;=0,0,(INT(MAX(0,Inputs!$B$43-B2000)/(IF(Inputs!$B$38="pvp",15,MAX(0.1,Skills!E3-IF(Skills!F3=TRUE,Inputs!$B$32,0)))*(1-IF(AND(ArtifactsInput!$M$27,Inputs!$B$4="Chapter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IFERROR(1/(IF(Inputs!$B$38="pvp",15,MAX(0.1,Skills!E4-IF(Skills!F4=TRUE,Inputs!$B$32,0)))*(1-IF(AND(ArtifactsInput!$M$27,Inputs!$B$4="Chapter Hunt"),CHOOSE(ArtifactsInput!$N$27+1,20,24,28,32,36,40),0)/100)),0)</f>
        <v/>
      </c>
      <c r="R1966">
        <f>IF(AND(Inputs!$B$38&lt;&gt;"pvp",Inputs!$B$43&gt;0),IF(MAX(0,Inputs!$B$43-B2000)&lt;=0,0,(INT(MAX(0,Inputs!$B$43-B2000)/(IF(Inputs!$B$38="pvp",15,MAX(0.1,Skills!E4-IF(Skills!F4=TRUE,Inputs!$B$32,0)))*(1-IF(AND(ArtifactsInput!$M$27,Inputs!$B$4="Chapter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IFERROR(1/(IF(Inputs!$B$38="pvp",15,MAX(0.1,Skills!E5-IF(Skills!F5=TRUE,Inputs!$B$32,0)))*(1-IF(AND(ArtifactsInput!$M$27,Inputs!$B$4="Chapter Hunt"),CHOOSE(ArtifactsInput!$N$27+1,20,24,28,32,36,40),0)/100)),0)</f>
        <v/>
      </c>
      <c r="R1967">
        <f>IF(AND(Inputs!$B$38&lt;&gt;"pvp",Inputs!$B$43&gt;0),IF(MAX(0,Inputs!$B$43-B2000)&lt;=0,0,(INT(MAX(0,Inputs!$B$43-B2000)/(IF(Inputs!$B$38="pvp",15,MAX(0.1,Skills!E5-IF(Skills!F5=TRUE,Inputs!$B$32,0)))*(1-IF(AND(ArtifactsInput!$M$27,Inputs!$B$4="Chapter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IFERROR(1/(IF(Inputs!$B$38="pvp",15,MAX(0.1,Skills!E6-IF(Skills!F6=TRUE,Inputs!$B$32,0)))*(1-IF(AND(ArtifactsInput!$M$27,Inputs!$B$4="Chapter Hunt"),CHOOSE(ArtifactsInput!$N$27+1,20,24,28,32,36,40),0)/100)),0)</f>
        <v/>
      </c>
      <c r="R1968">
        <f>IF(AND(Inputs!$B$38&lt;&gt;"pvp",Inputs!$B$43&gt;0),IF(Inputs!$B$43&lt;=0,0,(INT(Inputs!$B$43/(IF(Inputs!$B$38="pvp",15,MAX(0.1,Skills!E6-IF(Skills!F6=TRUE,Inputs!$B$32,0)))*(1-IF(AND(ArtifactsInput!$M$27,Inputs!$B$4="Chapter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IFERROR(1/(IF(Inputs!$B$38="pvp",15,MAX(0.1,Skills!E7-IF(Skills!F7=TRUE,Inputs!$B$32,0)))*(1-IF(AND(ArtifactsInput!$M$27,Inputs!$B$4="Chapter Hunt"),CHOOSE(ArtifactsInput!$N$27+1,20,24,28,32,36,40),0)/100)),0)</f>
        <v/>
      </c>
      <c r="R1969">
        <f>IF(AND(Inputs!$B$38&lt;&gt;"pvp",Inputs!$B$43&gt;0),IF(MAX(0,Inputs!$B$43-B2000)&lt;=0,0,(INT(MAX(0,Inputs!$B$43-B2000)/(IF(Inputs!$B$38="pvp",15,MAX(0.1,Skills!E7-IF(Skills!F7=TRUE,Inputs!$B$32,0)))*(1-IF(AND(ArtifactsInput!$M$27,Inputs!$B$4="Chapter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IFERROR(1/(IF(Inputs!$B$38="pvp",15,MAX(0.1,Skills!E8-IF(Skills!F8=TRUE,Inputs!$B$32,0)))*(1-IF(AND(ArtifactsInput!$M$27,Inputs!$B$4="Chapter Hunt"),CHOOSE(ArtifactsInput!$N$27+1,20,24,28,32,36,40),0)/100)),0)</f>
        <v/>
      </c>
      <c r="R1970">
        <f>IF(AND(Inputs!$B$38&lt;&gt;"pvp",Inputs!$B$43&gt;0),IF(MAX(0,Inputs!$B$43-B2000)&lt;=0,0,(INT(MAX(0,Inputs!$B$43-B2000)/(IF(Inputs!$B$38="pvp",15,MAX(0.1,Skills!E8-IF(Skills!F8=TRUE,Inputs!$B$32,0)))*(1-IF(AND(ArtifactsInput!$M$27,Inputs!$B$4="Chapter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IFERROR(1/(IF(Inputs!$B$38="pvp",15,MAX(0.1,Skills!E9-IF(Skills!F7=TRUE,Inputs!$B$32,0)))*(1-IF(AND(ArtifactsInput!$M$27,Inputs!$B$4="Chapter Hunt"),CHOOSE(ArtifactsInput!$N$27+1,20,24,28,32,36,40),0)/100)),0)</f>
        <v/>
      </c>
      <c r="R1971">
        <f>IF(AND(Inputs!$B$38&lt;&gt;"pvp",Inputs!$B$43&gt;0),IF(MAX(0,Inputs!$B$43-B2000)&lt;=0,0,(INT(MAX(0,Inputs!$B$43-B2000)/(IF(Inputs!$B$38="pvp",15,MAX(0.1,Skills!E9-IF(Skills!F7=TRUE,Inputs!$B$32,0)))*(1-IF(AND(ArtifactsInput!$M$27,Inputs!$B$4="Chapter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IFERROR(1/(IF(Inputs!$B$38="pvp",15,MAX(0.1,Skills!E10-IF(Skills!F10=TRUE,Inputs!$B$32,0)))*(1-IF(AND(ArtifactsInput!$M$27,Inputs!$B$4="Chapter Hunt"),CHOOSE(ArtifactsInput!$N$27+1,20,24,28,32,36,40),0)/100)),0)</f>
        <v/>
      </c>
      <c r="R1972">
        <f>IF(AND(Inputs!$B$38&lt;&gt;"pvp",Inputs!$B$43&gt;0),IF(MAX(0,Inputs!$B$43-B2000)&lt;=0,0,(INT(MAX(0,Inputs!$B$43-B2000)/(IF(Inputs!$B$38="pvp",15,MAX(0.1,Skills!E10-IF(Skills!F10=TRUE,Inputs!$B$32,0)))*(1-IF(AND(ArtifactsInput!$M$27,Inputs!$B$4="Chapter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IFERROR(1/(IF(Inputs!$B$38="pvp",15,MAX(0.1,Skills!E11-IF(Skills!F11=TRUE,Inputs!$B$32,0)))*(1-IF(AND(ArtifactsInput!$M$27,Inputs!$B$4="Chapter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IFERROR(1/(IF(Inputs!$B$38="pvp",15,MAX(0.1,Skills!E12-IF(Skills!F12=TRUE,Inputs!$B$32,0)))*(1-IF(AND(ArtifactsInput!$M$27,Inputs!$B$4="Chapter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IFERROR(1/(IF(Inputs!$B$38="pvp",15,MAX(0.1,Skills!E13-IF(Skills!F13=TRUE,Inputs!$B$32,0)))*(1-IF(AND(ArtifactsInput!$M$27,Inputs!$B$4="Chapter Hunt"),CHOOSE(ArtifactsInput!$N$27+1,20,24,28,32,36,40),0)/100)),0)</f>
        <v/>
      </c>
      <c r="R1975">
        <f>IF(AND(Inputs!$B$38&lt;&gt;"pvp",Inputs!$B$43&gt;0),IF(MAX(0,Inputs!$B$43-B2000)&lt;=0,0,(INT(MAX(0,Inputs!$B$43-B2000)/(IF(Inputs!$B$38="pvp",15,MAX(0.1,Skills!E13-IF(Skills!F13=TRUE,Inputs!$B$32,0)))*(1-IF(AND(ArtifactsInput!$M$27,Inputs!$B$4="Chapter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IFERROR(1/(IF(Inputs!$B$38="pvp",15,MAX(0.1,Skills!E14-IF(Skills!F14=TRUE,Inputs!$B$32,0)))*(1-IF(AND(ArtifactsInput!$M$27,Inputs!$B$4="Chapter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IFERROR(1/(IF(Inputs!$B$38="pvp",15,MAX(0.1,Skills!E15-IF(Skills!F15=TRUE,Inputs!$B$32,0)))*(1-IF(AND(ArtifactsInput!$M$27,Inputs!$B$4="Chapter Hunt"),CHOOSE(ArtifactsInput!$N$27+1,20,24,28,32,36,40),0)/100)),0)</f>
        <v/>
      </c>
      <c r="R1977">
        <f>IF(AND(Inputs!$B$38&lt;&gt;"pvp",Inputs!$B$43&gt;0),IF(MAX(0,Inputs!$B$43-B2000)&lt;=0,0,(INT(MAX(0,Inputs!$B$43-B2000)/(IF(Inputs!$B$38="pvp",15,MAX(0.1,Skills!E15-IF(Skills!F15=TRUE,Inputs!$B$32,0)))*(1-IF(AND(ArtifactsInput!$M$27,Inputs!$B$4="Chapter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IFERROR(1/(IF(Inputs!$B$38="pvp",15,MAX(0.1,Skills!E16-IF(Skills!F16=TRUE,Inputs!$B$32,0)))*(1-IF(AND(ArtifactsInput!$M$27,Inputs!$B$4="Chapter Hunt"),CHOOSE(ArtifactsInput!$N$27+1,20,24,28,32,36,40),0)/100)),0)</f>
        <v/>
      </c>
      <c r="R1978">
        <f>IF(AND(Inputs!$B$38&lt;&gt;"pvp",Inputs!$B$43&gt;0),IF(MAX(0,Inputs!$B$43-B2000)&lt;=0,0,(INT(MAX(0,Inputs!$B$43-B2000)/(IF(Inputs!$B$38="pvp",15,MAX(0.1,Skills!E16-IF(Skills!F16=TRUE,Inputs!$B$32,0)))*(1-IF(AND(ArtifactsInput!$M$27,Inputs!$B$4="Chapter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IFERROR(1/(IF(Inputs!$B$38="pvp",15,MAX(0.1,Skills!E17-IF(Skills!F17=TRUE,Inputs!$B$32,0)))*(1-IF(AND(ArtifactsInput!$M$27,Inputs!$B$4="Chapter Hunt"),CHOOSE(ArtifactsInput!$N$27+1,20,24,28,32,36,40),0)/100)),0)</f>
        <v/>
      </c>
      <c r="R1979">
        <f>IF(AND(Inputs!$B$38&lt;&gt;"pvp",Inputs!$B$43&gt;0),IF(Inputs!$B$43&lt;=0,0,(INT(Inputs!$B$43/(IF(Inputs!$B$38="pvp",15,MAX(0.1,Skills!E17-IF(Skills!F17=TRUE,Inputs!$B$32,0)))*(1-IF(AND(ArtifactsInput!$M$27,Inputs!$B$4="Chapter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IFERROR(1/(IF(Inputs!$B$38="pvp",15,MAX(0.1,Skills!E18-IF(Skills!F18=TRUE,Inputs!$B$32,0)))*(1-IF(AND(ArtifactsInput!$M$27,Inputs!$B$4="Chapter Hunt"),CHOOSE(ArtifactsInput!$N$27+1,20,24,28,32,36,40),0)/100)),0)</f>
        <v/>
      </c>
      <c r="R1980">
        <f>IF(AND(Inputs!$B$38&lt;&gt;"pvp",Inputs!$B$43&gt;0),IF(Inputs!$B$43&lt;=0,0,(INT(Inputs!$B$43/(IF(Inputs!$B$38="pvp",15,MAX(0.1,Skills!E18-IF(Skills!F18=TRUE,Inputs!$B$32,0)))*(1-IF(AND(ArtifactsInput!$M$27,Inputs!$B$4="Chapter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IFERROR(1/(IF(Inputs!$B$38="pvp",15,MAX(0.1,Skills!E19-IF(Skills!F19=TRUE,Inputs!$B$32,0)))*(1-IF(AND(ArtifactsInput!$M$27,Inputs!$B$4="Chapter Hunt"),CHOOSE(ArtifactsInput!$N$27+1,20,24,28,32,36,40),0)/100)),0)</f>
        <v/>
      </c>
      <c r="R1981">
        <f>IF(AND(Inputs!$B$38&lt;&gt;"pvp",Inputs!$B$43&gt;0),IF(Inputs!$B$43&lt;=0,0,(INT(Inputs!$B$43/(IF(Inputs!$B$38="pvp",15,MAX(0.1,Skills!E19-IF(Skills!F19=TRUE,Inputs!$B$32,0)))*(1-IF(AND(ArtifactsInput!$M$27,Inputs!$B$4="Chapter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IFERROR(1/(IF(Inputs!$B$38="pvp",15,MAX(0.1,Skills!E20-IF(Skills!F20=TRUE,Inputs!$B$32,0)))*(1-IF(AND(ArtifactsInput!$M$27,Inputs!$B$4="Chapter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IFERROR(1/(IF(Inputs!$B$38="pvp",15,MAX(0.1,Skills!E21-IF(Skills!F21=TRUE,Inputs!$B$32,0)))*(1-IF(AND(ArtifactsInput!$M$27,Inputs!$B$4="Chapter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IFERROR(1/(IF(Inputs!$B$38="pvp",15,MAX(0.1,Skills!E22-IF(Skills!F22=TRUE,Inputs!$B$32,0)))*(1-IF(AND(ArtifactsInput!$M$27,Inputs!$B$4="Chapter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IFERROR(1/(IF(Inputs!$B$38="pvp",15,MAX(0.1,Skills!E23-IF(Skills!F23=TRUE,Inputs!$B$32,0)))*(1-IF(AND(ArtifactsInput!$M$27,Inputs!$B$4="Chapter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IFERROR(1/(IF(Inputs!$B$38="pvp",15,MAX(0.1,Skills!E24-IF(Skills!F24=TRUE,Inputs!$B$32,0)))*(1-IF(AND(ArtifactsInput!$M$27,Inputs!$B$4="Chapter Hunt"),CHOOSE(ArtifactsInput!$N$27+1,20,24,28,32,36,40),0)/100)),0)</f>
        <v/>
      </c>
      <c r="R1986">
        <f>IF(AND(Inputs!$B$38&lt;&gt;"pvp",Inputs!$B$43&gt;0),IF(MAX(0,Inputs!$B$43-B2000)&lt;=0,0,(INT(MAX(0,Inputs!$B$43-B2000)/(IF(Inputs!$B$38="pvp",15,MAX(0.1,Skills!E24-IF(Skills!F24=TRUE,Inputs!$B$32,0)))*(1-IF(AND(ArtifactsInput!$M$27,Inputs!$B$4="Chapter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IFERROR(1/(IF(Inputs!$B$38="pvp",15,MAX(0.1,Skills!E25-IF(Skills!F25=TRUE,Inputs!$B$32,0)))*(1-IF(AND(ArtifactsInput!$M$27,Inputs!$B$4="Chapter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IFERROR(1/(IF(Inputs!$B$38="pvp",15,MAX(0.1,Skills!E26-IF(Skills!F26=TRUE,Inputs!$B$32,0)))*(1-IF(AND(ArtifactsInput!$M$27,Inputs!$B$4="Chapter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IFERROR(1/(IF(Inputs!$B$38="pvp",15,MAX(0.1,Skills!E27-IF(Skills!F27=TRUE,Inputs!$B$32,0)))*(1-IF(AND(ArtifactsInput!$M$27,Inputs!$B$4="Chapter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IFERROR(1/(IF(Inputs!$B$38="pvp",15,MAX(0.1,Skills!E28-IF(Skills!F28=TRUE,Inputs!$B$32,0)))*(1-IF(AND(ArtifactsInput!$M$27,Inputs!$B$4="Chapter Hunt"),CHOOSE(ArtifactsInput!$N$27+1,20,24,28,32,36,40),0)/100)),0)</f>
        <v/>
      </c>
      <c r="R1990">
        <f>IF(AND(Inputs!$B$38&lt;&gt;"pvp",Inputs!$B$43&gt;0),IF(MAX(0,Inputs!$B$43-B2000)&lt;=0,0,(INT(MAX(0,Inputs!$B$43-B2000)/(IF(Inputs!$B$38="pvp",15,MAX(0.1,Skills!E28-IF(Skills!F28=TRUE,Inputs!$B$32,0)))*(1-IF(AND(ArtifactsInput!$M$27,Inputs!$B$4="Chapter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Skills!T6*(1+((Inputs!$B$34+(ArtifactsInput!$M$7-ArtifactsInput!$M$7)*CHOOSE(ArtifactsInput!$N$7+1,6,7.2,8.4,9.6,10.8,12))+IF(Inputs!$B$3&gt;=117,F1987,0))/100))+MIN((Skills!T6*(1+((Inputs!$B$34+(ArtifactsInput!$M$7-ArtifactsInput!$M$7)*CHOOSE(ArtifactsInput!$N$7+1,6,7.2,8.4,9.6,10.8,12))+IF(Inputs!$B$3&gt;=117,F1987,0))/100)),MAX(0,Inputs!$B$43-((R1968-1)*Skills!E6))))/Inputs!$B$43),IF(Inputs!$B$38="pvp",MIN((Skills!T6*(1+((Inputs!$B$34+(ArtifactsInput!$M$7-ArtifactsInput!$M$7)*CHOOSE(ArtifactsInput!$N$7+1,6,7.2,8.4,9.6,10.8,12))+IF(Inputs!$B$3&gt;=117,F1987,0))/100)),15)/15,(Skills!T6*(1+((Inputs!$B$34+(ArtifactsInput!$M$7-ArtifactsInput!$M$7)*CHOOSE(ArtifactsInput!$N$7+1,6,7.2,8.4,9.6,10.8,12))+IF(Inputs!$B$3&gt;=117,F1987,0))/100))/Skills!E6))+F1979*IF(AND(Inputs!$B$38&lt;&gt;"pvp",Inputs!$B$43&gt;0),(((R1979-1)*(Skills!T17*(1+((Inputs!$B$34+(ArtifactsInput!$M$7-ArtifactsInput!$M$7)*CHOOSE(ArtifactsInput!$N$7+1,6,7.2,8.4,9.6,10.8,12))+IF(Inputs!$B$3&gt;=117,F1987,0))/100))+MIN((Skills!T17*(1+((Inputs!$B$34+(ArtifactsInput!$M$7-ArtifactsInput!$M$7)*CHOOSE(ArtifactsInput!$N$7+1,6,7.2,8.4,9.6,10.8,12))+IF(Inputs!$B$3&gt;=117,F1987,0))/100)),MAX(0,Inputs!$B$43-((R1979-1)*Skills!E17))))/Inputs!$B$43),IF(Inputs!$B$38="pvp",MIN((Skills!T17*(1+((Inputs!$B$34+(ArtifactsInput!$M$7-ArtifactsInput!$M$7)*CHOOSE(ArtifactsInput!$N$7+1,6,7.2,8.4,9.6,10.8,12))+IF(Inputs!$B$3&gt;=117,F1987,0))/100)),15)/15,(Skills!T17*(1+((Inputs!$B$34+(ArtifactsInput!$M$7-ArtifactsInput!$M$7)*CHOOSE(ArtifactsInput!$N$7+1,6,7.2,8.4,9.6,10.8,12))+IF(Inputs!$B$3&gt;=117,F1987,0)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Skills!T19*(1+((Inputs!$B$34+(ArtifactsInput!$M$7-ArtifactsInput!$M$7)*CHOOSE(ArtifactsInput!$N$7+1,6,7.2,8.4,9.6,10.8,12))+IF(Inputs!$B$3&gt;=117,F1987,0))/100))+MIN((Skills!T19*(1+((Inputs!$B$34+(ArtifactsInput!$M$7-ArtifactsInput!$M$7)*CHOOSE(ArtifactsInput!$N$7+1,6,7.2,8.4,9.6,10.8,12))+IF(Inputs!$B$3&gt;=117,F1987,0))/100)),MAX(0,Inputs!$B$43-((R1981-1)*Skills!E19))))/Inputs!$B$43),IF(Inputs!$B$38="pvp",MIN((Skills!T19*(1+((Inputs!$B$34+(ArtifactsInput!$M$7-ArtifactsInput!$M$7)*CHOOSE(ArtifactsInput!$N$7+1,6,7.2,8.4,9.6,10.8,12))+IF(Inputs!$B$3&gt;=117,F1987,0))/100)),15)/15,(Skills!T19*(1+((Inputs!$B$34+(ArtifactsInput!$M$7-ArtifactsInput!$M$7)*CHOOSE(ArtifactsInput!$N$7+1,6,7.2,8.4,9.6,10.8,12))+IF(Inputs!$B$3&gt;=117,F1987,0))/100))/Skills!E19))/100),1)</f>
        <v/>
      </c>
    </row>
    <row r="1995">
      <c r="A1995" t="inlineStr">
        <is>
          <t>Attack Speed Buff Bonus % (Nimble Feet, averaged)</t>
        </is>
      </c>
      <c r="B1995">
        <f>F1980*IF(AND(Inputs!$B$38&lt;&gt;"pvp",Inputs!$B$43&gt;0),(((R1980-1)*(Skills!T18*(1+((Inputs!$B$34+(ArtifactsInput!$M$7-ArtifactsInput!$M$7)*CHOOSE(ArtifactsInput!$N$7+1,6,7.2,8.4,9.6,10.8,12))+IF(Inputs!$B$3&gt;=117,F1987,0))/100))+MIN((Skills!T18*(1+((Inputs!$B$34+(ArtifactsInput!$M$7-ArtifactsInput!$M$7)*CHOOSE(ArtifactsInput!$N$7+1,6,7.2,8.4,9.6,10.8,12))+IF(Inputs!$B$3&gt;=117,F1987,0))/100)),MAX(0,Inputs!$B$43-((R1980-1)*Skills!E18))))/Inputs!$B$43),IF(Inputs!$B$38="pvp",MIN((Skills!T18*(1+((Inputs!$B$34+(ArtifactsInput!$M$7-ArtifactsInput!$M$7)*CHOOSE(ArtifactsInput!$N$7+1,6,7.2,8.4,9.6,10.8,12))+IF(Inputs!$B$3&gt;=117,F1987,0))/100)),15)/15,(Skills!T18*(1+((Inputs!$B$34+(ArtifactsInput!$M$7-ArtifactsInput!$M$7)*CHOOSE(ArtifactsInput!$N$7+1,6,7.2,8.4,9.6,10.8,12))+IF(Inputs!$B$3&gt;=117,F1987,0))/100))/Skills!E18))</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IFERROR(1/(IF(Inputs!$B$38="pvp",15,MAX(0.1,Skills!E2-IF(Skills!F2=TRUE,Inputs!$B$32,0)))*(1-IF(AND(ArtifactsInput!$M$27,Inputs!$B$4="Chapter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IFERROR(1/(IF(Inputs!$B$38="pvp",15,MAX(0.1,Skills!E3-IF(Skills!F3=TRUE,Inputs!$B$32,0)))*(1-IF(AND(ArtifactsInput!$M$27,Inputs!$B$4="Chapter Hunt"),CHOOSE(ArtifactsInput!$N$27+1,20,24,28,32,36,40),0)/100)),0)</f>
        <v/>
      </c>
      <c r="R2009">
        <f>IF(AND(Inputs!$B$38&lt;&gt;"pvp",Inputs!$B$43&gt;0),IF(MAX(0,Inputs!$B$43-B2044)&lt;=0,0,(INT(MAX(0,Inputs!$B$43-B2044)/(IF(Inputs!$B$38="pvp",15,MAX(0.1,Skills!E3-IF(Skills!F3=TRUE,Inputs!$B$32,0)))*(1-IF(AND(ArtifactsInput!$M$27,Inputs!$B$4="Chapter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IFERROR(1/(IF(Inputs!$B$38="pvp",15,MAX(0.1,Skills!E4-IF(Skills!F4=TRUE,Inputs!$B$32,0)))*(1-IF(AND(ArtifactsInput!$M$27,Inputs!$B$4="Chapter Hunt"),CHOOSE(ArtifactsInput!$N$27+1,20,24,28,32,36,40),0)/100)),0)</f>
        <v/>
      </c>
      <c r="R2010">
        <f>IF(AND(Inputs!$B$38&lt;&gt;"pvp",Inputs!$B$43&gt;0),IF(MAX(0,Inputs!$B$43-B2044)&lt;=0,0,(INT(MAX(0,Inputs!$B$43-B2044)/(IF(Inputs!$B$38="pvp",15,MAX(0.1,Skills!E4-IF(Skills!F4=TRUE,Inputs!$B$32,0)))*(1-IF(AND(ArtifactsInput!$M$27,Inputs!$B$4="Chapter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IFERROR(1/(IF(Inputs!$B$38="pvp",15,MAX(0.1,Skills!E5-IF(Skills!F5=TRUE,Inputs!$B$32,0)))*(1-IF(AND(ArtifactsInput!$M$27,Inputs!$B$4="Chapter Hunt"),CHOOSE(ArtifactsInput!$N$27+1,20,24,28,32,36,40),0)/100)),0)</f>
        <v/>
      </c>
      <c r="R2011">
        <f>IF(AND(Inputs!$B$38&lt;&gt;"pvp",Inputs!$B$43&gt;0),IF(MAX(0,Inputs!$B$43-B2044)&lt;=0,0,(INT(MAX(0,Inputs!$B$43-B2044)/(IF(Inputs!$B$38="pvp",15,MAX(0.1,Skills!E5-IF(Skills!F5=TRUE,Inputs!$B$32,0)))*(1-IF(AND(ArtifactsInput!$M$27,Inputs!$B$4="Chapter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IFERROR(1/(IF(Inputs!$B$38="pvp",15,MAX(0.1,Skills!E6-IF(Skills!F6=TRUE,Inputs!$B$32,0)))*(1-IF(AND(ArtifactsInput!$M$27,Inputs!$B$4="Chapter Hunt"),CHOOSE(ArtifactsInput!$N$27+1,20,24,28,32,36,40),0)/100)),0)</f>
        <v/>
      </c>
      <c r="R2012">
        <f>IF(AND(Inputs!$B$38&lt;&gt;"pvp",Inputs!$B$43&gt;0),IF(Inputs!$B$43&lt;=0,0,(INT(Inputs!$B$43/(IF(Inputs!$B$38="pvp",15,MAX(0.1,Skills!E6-IF(Skills!F6=TRUE,Inputs!$B$32,0)))*(1-IF(AND(ArtifactsInput!$M$27,Inputs!$B$4="Chapter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IFERROR(1/(IF(Inputs!$B$38="pvp",15,MAX(0.1,Skills!E7-IF(Skills!F7=TRUE,Inputs!$B$32,0)))*(1-IF(AND(ArtifactsInput!$M$27,Inputs!$B$4="Chapter Hunt"),CHOOSE(ArtifactsInput!$N$27+1,20,24,28,32,36,40),0)/100)),0)</f>
        <v/>
      </c>
      <c r="R2013">
        <f>IF(AND(Inputs!$B$38&lt;&gt;"pvp",Inputs!$B$43&gt;0),IF(MAX(0,Inputs!$B$43-B2044)&lt;=0,0,(INT(MAX(0,Inputs!$B$43-B2044)/(IF(Inputs!$B$38="pvp",15,MAX(0.1,Skills!E7-IF(Skills!F7=TRUE,Inputs!$B$32,0)))*(1-IF(AND(ArtifactsInput!$M$27,Inputs!$B$4="Chapter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IFERROR(1/(IF(Inputs!$B$38="pvp",15,MAX(0.1,Skills!E8-IF(Skills!F8=TRUE,Inputs!$B$32,0)))*(1-IF(AND(ArtifactsInput!$M$27,Inputs!$B$4="Chapter Hunt"),CHOOSE(ArtifactsInput!$N$27+1,20,24,28,32,36,40),0)/100)),0)</f>
        <v/>
      </c>
      <c r="R2014">
        <f>IF(AND(Inputs!$B$38&lt;&gt;"pvp",Inputs!$B$43&gt;0),IF(MAX(0,Inputs!$B$43-B2044)&lt;=0,0,(INT(MAX(0,Inputs!$B$43-B2044)/(IF(Inputs!$B$38="pvp",15,MAX(0.1,Skills!E8-IF(Skills!F8=TRUE,Inputs!$B$32,0)))*(1-IF(AND(ArtifactsInput!$M$27,Inputs!$B$4="Chapter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IFERROR(1/(IF(Inputs!$B$38="pvp",15,MAX(0.1,Skills!E9-IF(Skills!F7=TRUE,Inputs!$B$32,0)))*(1-IF(AND(ArtifactsInput!$M$27,Inputs!$B$4="Chapter Hunt"),CHOOSE(ArtifactsInput!$N$27+1,20,24,28,32,36,40),0)/100)),0)</f>
        <v/>
      </c>
      <c r="R2015">
        <f>IF(AND(Inputs!$B$38&lt;&gt;"pvp",Inputs!$B$43&gt;0),IF(MAX(0,Inputs!$B$43-B2044)&lt;=0,0,(INT(MAX(0,Inputs!$B$43-B2044)/(IF(Inputs!$B$38="pvp",15,MAX(0.1,Skills!E9-IF(Skills!F7=TRUE,Inputs!$B$32,0)))*(1-IF(AND(ArtifactsInput!$M$27,Inputs!$B$4="Chapter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IFERROR(1/(IF(Inputs!$B$38="pvp",15,MAX(0.1,Skills!E10-IF(Skills!F10=TRUE,Inputs!$B$32,0)))*(1-IF(AND(ArtifactsInput!$M$27,Inputs!$B$4="Chapter Hunt"),CHOOSE(ArtifactsInput!$N$27+1,20,24,28,32,36,40),0)/100)),0)</f>
        <v/>
      </c>
      <c r="R2016">
        <f>IF(AND(Inputs!$B$38&lt;&gt;"pvp",Inputs!$B$43&gt;0),IF(MAX(0,Inputs!$B$43-B2044)&lt;=0,0,(INT(MAX(0,Inputs!$B$43-B2044)/(IF(Inputs!$B$38="pvp",15,MAX(0.1,Skills!E10-IF(Skills!F10=TRUE,Inputs!$B$32,0)))*(1-IF(AND(ArtifactsInput!$M$27,Inputs!$B$4="Chapter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IFERROR(1/(IF(Inputs!$B$38="pvp",15,MAX(0.1,Skills!E11-IF(Skills!F11=TRUE,Inputs!$B$32,0)))*(1-IF(AND(ArtifactsInput!$M$27,Inputs!$B$4="Chapter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IFERROR(1/(IF(Inputs!$B$38="pvp",15,MAX(0.1,Skills!E12-IF(Skills!F12=TRUE,Inputs!$B$32,0)))*(1-IF(AND(ArtifactsInput!$M$27,Inputs!$B$4="Chapter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IFERROR(1/(IF(Inputs!$B$38="pvp",15,MAX(0.1,Skills!E13-IF(Skills!F13=TRUE,Inputs!$B$32,0)))*(1-IF(AND(ArtifactsInput!$M$27,Inputs!$B$4="Chapter Hunt"),CHOOSE(ArtifactsInput!$N$27+1,20,24,28,32,36,40),0)/100)),0)</f>
        <v/>
      </c>
      <c r="R2019">
        <f>IF(AND(Inputs!$B$38&lt;&gt;"pvp",Inputs!$B$43&gt;0),IF(MAX(0,Inputs!$B$43-B2044)&lt;=0,0,(INT(MAX(0,Inputs!$B$43-B2044)/(IF(Inputs!$B$38="pvp",15,MAX(0.1,Skills!E13-IF(Skills!F13=TRUE,Inputs!$B$32,0)))*(1-IF(AND(ArtifactsInput!$M$27,Inputs!$B$4="Chapter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IFERROR(1/(IF(Inputs!$B$38="pvp",15,MAX(0.1,Skills!E14-IF(Skills!F14=TRUE,Inputs!$B$32,0)))*(1-IF(AND(ArtifactsInput!$M$27,Inputs!$B$4="Chapter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IFERROR(1/(IF(Inputs!$B$38="pvp",15,MAX(0.1,Skills!E15-IF(Skills!F15=TRUE,Inputs!$B$32,0)))*(1-IF(AND(ArtifactsInput!$M$27,Inputs!$B$4="Chapter Hunt"),CHOOSE(ArtifactsInput!$N$27+1,20,24,28,32,36,40),0)/100)),0)</f>
        <v/>
      </c>
      <c r="R2021">
        <f>IF(AND(Inputs!$B$38&lt;&gt;"pvp",Inputs!$B$43&gt;0),IF(MAX(0,Inputs!$B$43-B2044)&lt;=0,0,(INT(MAX(0,Inputs!$B$43-B2044)/(IF(Inputs!$B$38="pvp",15,MAX(0.1,Skills!E15-IF(Skills!F15=TRUE,Inputs!$B$32,0)))*(1-IF(AND(ArtifactsInput!$M$27,Inputs!$B$4="Chapter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IFERROR(1/(IF(Inputs!$B$38="pvp",15,MAX(0.1,Skills!E16-IF(Skills!F16=TRUE,Inputs!$B$32,0)))*(1-IF(AND(ArtifactsInput!$M$27,Inputs!$B$4="Chapter Hunt"),CHOOSE(ArtifactsInput!$N$27+1,20,24,28,32,36,40),0)/100)),0)</f>
        <v/>
      </c>
      <c r="R2022">
        <f>IF(AND(Inputs!$B$38&lt;&gt;"pvp",Inputs!$B$43&gt;0),IF(MAX(0,Inputs!$B$43-B2044)&lt;=0,0,(INT(MAX(0,Inputs!$B$43-B2044)/(IF(Inputs!$B$38="pvp",15,MAX(0.1,Skills!E16-IF(Skills!F16=TRUE,Inputs!$B$32,0)))*(1-IF(AND(ArtifactsInput!$M$27,Inputs!$B$4="Chapter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IFERROR(1/(IF(Inputs!$B$38="pvp",15,MAX(0.1,Skills!E17-IF(Skills!F17=TRUE,Inputs!$B$32,0)))*(1-IF(AND(ArtifactsInput!$M$27,Inputs!$B$4="Chapter Hunt"),CHOOSE(ArtifactsInput!$N$27+1,20,24,28,32,36,40),0)/100)),0)</f>
        <v/>
      </c>
      <c r="R2023">
        <f>IF(AND(Inputs!$B$38&lt;&gt;"pvp",Inputs!$B$43&gt;0),IF(Inputs!$B$43&lt;=0,0,(INT(Inputs!$B$43/(IF(Inputs!$B$38="pvp",15,MAX(0.1,Skills!E17-IF(Skills!F17=TRUE,Inputs!$B$32,0)))*(1-IF(AND(ArtifactsInput!$M$27,Inputs!$B$4="Chapter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IFERROR(1/(IF(Inputs!$B$38="pvp",15,MAX(0.1,Skills!E18-IF(Skills!F18=TRUE,Inputs!$B$32,0)))*(1-IF(AND(ArtifactsInput!$M$27,Inputs!$B$4="Chapter Hunt"),CHOOSE(ArtifactsInput!$N$27+1,20,24,28,32,36,40),0)/100)),0)</f>
        <v/>
      </c>
      <c r="R2024">
        <f>IF(AND(Inputs!$B$38&lt;&gt;"pvp",Inputs!$B$43&gt;0),IF(Inputs!$B$43&lt;=0,0,(INT(Inputs!$B$43/(IF(Inputs!$B$38="pvp",15,MAX(0.1,Skills!E18-IF(Skills!F18=TRUE,Inputs!$B$32,0)))*(1-IF(AND(ArtifactsInput!$M$27,Inputs!$B$4="Chapter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IFERROR(1/(IF(Inputs!$B$38="pvp",15,MAX(0.1,Skills!E19-IF(Skills!F19=TRUE,Inputs!$B$32,0)))*(1-IF(AND(ArtifactsInput!$M$27,Inputs!$B$4="Chapter Hunt"),CHOOSE(ArtifactsInput!$N$27+1,20,24,28,32,36,40),0)/100)),0)</f>
        <v/>
      </c>
      <c r="R2025">
        <f>IF(AND(Inputs!$B$38&lt;&gt;"pvp",Inputs!$B$43&gt;0),IF(Inputs!$B$43&lt;=0,0,(INT(Inputs!$B$43/(IF(Inputs!$B$38="pvp",15,MAX(0.1,Skills!E19-IF(Skills!F19=TRUE,Inputs!$B$32,0)))*(1-IF(AND(ArtifactsInput!$M$27,Inputs!$B$4="Chapter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IFERROR(1/(IF(Inputs!$B$38="pvp",15,MAX(0.1,Skills!E20-IF(Skills!F20=TRUE,Inputs!$B$32,0)))*(1-IF(AND(ArtifactsInput!$M$27,Inputs!$B$4="Chapter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IFERROR(1/(IF(Inputs!$B$38="pvp",15,MAX(0.1,Skills!E21-IF(Skills!F21=TRUE,Inputs!$B$32,0)))*(1-IF(AND(ArtifactsInput!$M$27,Inputs!$B$4="Chapter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IFERROR(1/(IF(Inputs!$B$38="pvp",15,MAX(0.1,Skills!E22-IF(Skills!F22=TRUE,Inputs!$B$32,0)))*(1-IF(AND(ArtifactsInput!$M$27,Inputs!$B$4="Chapter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IFERROR(1/(IF(Inputs!$B$38="pvp",15,MAX(0.1,Skills!E23-IF(Skills!F23=TRUE,Inputs!$B$32,0)))*(1-IF(AND(ArtifactsInput!$M$27,Inputs!$B$4="Chapter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IFERROR(1/(IF(Inputs!$B$38="pvp",15,MAX(0.1,Skills!E24-IF(Skills!F24=TRUE,Inputs!$B$32,0)))*(1-IF(AND(ArtifactsInput!$M$27,Inputs!$B$4="Chapter Hunt"),CHOOSE(ArtifactsInput!$N$27+1,20,24,28,32,36,40),0)/100)),0)</f>
        <v/>
      </c>
      <c r="R2030">
        <f>IF(AND(Inputs!$B$38&lt;&gt;"pvp",Inputs!$B$43&gt;0),IF(MAX(0,Inputs!$B$43-B2044)&lt;=0,0,(INT(MAX(0,Inputs!$B$43-B2044)/(IF(Inputs!$B$38="pvp",15,MAX(0.1,Skills!E24-IF(Skills!F24=TRUE,Inputs!$B$32,0)))*(1-IF(AND(ArtifactsInput!$M$27,Inputs!$B$4="Chapter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IFERROR(1/(IF(Inputs!$B$38="pvp",15,MAX(0.1,Skills!E25-IF(Skills!F25=TRUE,Inputs!$B$32,0)))*(1-IF(AND(ArtifactsInput!$M$27,Inputs!$B$4="Chapter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IFERROR(1/(IF(Inputs!$B$38="pvp",15,MAX(0.1,Skills!E26-IF(Skills!F26=TRUE,Inputs!$B$32,0)))*(1-IF(AND(ArtifactsInput!$M$27,Inputs!$B$4="Chapter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IFERROR(1/(IF(Inputs!$B$38="pvp",15,MAX(0.1,Skills!E27-IF(Skills!F27=TRUE,Inputs!$B$32,0)))*(1-IF(AND(ArtifactsInput!$M$27,Inputs!$B$4="Chapter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IFERROR(1/(IF(Inputs!$B$38="pvp",15,MAX(0.1,Skills!E28-IF(Skills!F28=TRUE,Inputs!$B$32,0)))*(1-IF(AND(ArtifactsInput!$M$27,Inputs!$B$4="Chapter Hunt"),CHOOSE(ArtifactsInput!$N$27+1,20,24,28,32,36,40),0)/100)),0)</f>
        <v/>
      </c>
      <c r="R2034">
        <f>IF(AND(Inputs!$B$38&lt;&gt;"pvp",Inputs!$B$43&gt;0),IF(MAX(0,Inputs!$B$43-B2044)&lt;=0,0,(INT(MAX(0,Inputs!$B$43-B2044)/(IF(Inputs!$B$38="pvp",15,MAX(0.1,Skills!E28-IF(Skills!F28=TRUE,Inputs!$B$32,0)))*(1-IF(AND(ArtifactsInput!$M$27,Inputs!$B$4="Chapter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Skills!T6*(1+((Inputs!$B$34+(ArtifactsInput!$M$7-ArtifactsInput!$M$7)*CHOOSE(ArtifactsInput!$N$7+1,6,7.2,8.4,9.6,10.8,12))+IF(Inputs!$B$3&gt;=117,F2031,0))/100))+MIN((Skills!T6*(1+((Inputs!$B$34+(ArtifactsInput!$M$7-ArtifactsInput!$M$7)*CHOOSE(ArtifactsInput!$N$7+1,6,7.2,8.4,9.6,10.8,12))+IF(Inputs!$B$3&gt;=117,F2031,0))/100)),MAX(0,Inputs!$B$43-((R2012-1)*Skills!E6))))/Inputs!$B$43),IF(Inputs!$B$38="pvp",MIN((Skills!T6*(1+((Inputs!$B$34+(ArtifactsInput!$M$7-ArtifactsInput!$M$7)*CHOOSE(ArtifactsInput!$N$7+1,6,7.2,8.4,9.6,10.8,12))+IF(Inputs!$B$3&gt;=117,F2031,0))/100)),15)/15,(Skills!T6*(1+((Inputs!$B$34+(ArtifactsInput!$M$7-ArtifactsInput!$M$7)*CHOOSE(ArtifactsInput!$N$7+1,6,7.2,8.4,9.6,10.8,12))+IF(Inputs!$B$3&gt;=117,F2031,0))/100))/Skills!E6))+F2023*IF(AND(Inputs!$B$38&lt;&gt;"pvp",Inputs!$B$43&gt;0),(((R2023-1)*(Skills!T17*(1+((Inputs!$B$34+(ArtifactsInput!$M$7-ArtifactsInput!$M$7)*CHOOSE(ArtifactsInput!$N$7+1,6,7.2,8.4,9.6,10.8,12))+IF(Inputs!$B$3&gt;=117,F2031,0))/100))+MIN((Skills!T17*(1+((Inputs!$B$34+(ArtifactsInput!$M$7-ArtifactsInput!$M$7)*CHOOSE(ArtifactsInput!$N$7+1,6,7.2,8.4,9.6,10.8,12))+IF(Inputs!$B$3&gt;=117,F2031,0))/100)),MAX(0,Inputs!$B$43-((R2023-1)*Skills!E17))))/Inputs!$B$43),IF(Inputs!$B$38="pvp",MIN((Skills!T17*(1+((Inputs!$B$34+(ArtifactsInput!$M$7-ArtifactsInput!$M$7)*CHOOSE(ArtifactsInput!$N$7+1,6,7.2,8.4,9.6,10.8,12))+IF(Inputs!$B$3&gt;=117,F2031,0))/100)),15)/15,(Skills!T17*(1+((Inputs!$B$34+(ArtifactsInput!$M$7-ArtifactsInput!$M$7)*CHOOSE(ArtifactsInput!$N$7+1,6,7.2,8.4,9.6,10.8,12))+IF(Inputs!$B$3&gt;=117,F2031,0)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Skills!T19*(1+((Inputs!$B$34+(ArtifactsInput!$M$7-ArtifactsInput!$M$7)*CHOOSE(ArtifactsInput!$N$7+1,6,7.2,8.4,9.6,10.8,12))+IF(Inputs!$B$3&gt;=117,F2031,0))/100))+MIN((Skills!T19*(1+((Inputs!$B$34+(ArtifactsInput!$M$7-ArtifactsInput!$M$7)*CHOOSE(ArtifactsInput!$N$7+1,6,7.2,8.4,9.6,10.8,12))+IF(Inputs!$B$3&gt;=117,F2031,0))/100)),MAX(0,Inputs!$B$43-((R2025-1)*Skills!E19))))/Inputs!$B$43),IF(Inputs!$B$38="pvp",MIN((Skills!T19*(1+((Inputs!$B$34+(ArtifactsInput!$M$7-ArtifactsInput!$M$7)*CHOOSE(ArtifactsInput!$N$7+1,6,7.2,8.4,9.6,10.8,12))+IF(Inputs!$B$3&gt;=117,F2031,0))/100)),15)/15,(Skills!T19*(1+((Inputs!$B$34+(ArtifactsInput!$M$7-ArtifactsInput!$M$7)*CHOOSE(ArtifactsInput!$N$7+1,6,7.2,8.4,9.6,10.8,12))+IF(Inputs!$B$3&gt;=117,F2031,0))/100))/Skills!E19))/100),1)</f>
        <v/>
      </c>
    </row>
    <row r="2039">
      <c r="A2039" t="inlineStr">
        <is>
          <t>Attack Speed Buff Bonus % (Nimble Feet, averaged)</t>
        </is>
      </c>
      <c r="B2039">
        <f>F2024*IF(AND(Inputs!$B$38&lt;&gt;"pvp",Inputs!$B$43&gt;0),(((R2024-1)*(Skills!T18*(1+((Inputs!$B$34+(ArtifactsInput!$M$7-ArtifactsInput!$M$7)*CHOOSE(ArtifactsInput!$N$7+1,6,7.2,8.4,9.6,10.8,12))+IF(Inputs!$B$3&gt;=117,F2031,0))/100))+MIN((Skills!T18*(1+((Inputs!$B$34+(ArtifactsInput!$M$7-ArtifactsInput!$M$7)*CHOOSE(ArtifactsInput!$N$7+1,6,7.2,8.4,9.6,10.8,12))+IF(Inputs!$B$3&gt;=117,F2031,0))/100)),MAX(0,Inputs!$B$43-((R2024-1)*Skills!E18))))/Inputs!$B$43),IF(Inputs!$B$38="pvp",MIN((Skills!T18*(1+((Inputs!$B$34+(ArtifactsInput!$M$7-ArtifactsInput!$M$7)*CHOOSE(ArtifactsInput!$N$7+1,6,7.2,8.4,9.6,10.8,12))+IF(Inputs!$B$3&gt;=117,F2031,0))/100)),15)/15,(Skills!T18*(1+((Inputs!$B$34+(ArtifactsInput!$M$7-ArtifactsInput!$M$7)*CHOOSE(ArtifactsInput!$N$7+1,6,7.2,8.4,9.6,10.8,12))+IF(Inputs!$B$3&gt;=117,F2031,0))/100))/Skills!E18))</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IFERROR(1/(IF(Inputs!$B$38="pvp",15,MAX(0.1,Skills!E2-IF(Skills!F2=TRUE,Inputs!$B$32,0)))*(1-IF(AND(IF(ArtifactsInput!$M$27,FALSE,TRUE),Inputs!$B$4="Chapter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IFERROR(1/(IF(Inputs!$B$38="pvp",15,MAX(0.1,Skills!E3-IF(Skills!F3=TRUE,Inputs!$B$32,0)))*(1-IF(AND(IF(ArtifactsInput!$M$27,FALSE,TRUE),Inputs!$B$4="Chapter Hunt"),CHOOSE(ArtifactsInput!$N$27+1,20,24,28,32,36,40),0)/100)),0)</f>
        <v/>
      </c>
      <c r="R2053">
        <f>IF(AND(Inputs!$B$38&lt;&gt;"pvp",Inputs!$B$43&gt;0),IF(MAX(0,Inputs!$B$43-B2088)&lt;=0,0,(INT(MAX(0,Inputs!$B$43-B2088)/(IF(Inputs!$B$38="pvp",15,MAX(0.1,Skills!E3-IF(Skills!F3=TRUE,Inputs!$B$32,0)))*(1-IF(AND(IF(ArtifactsInput!$M$27,FALSE,TRUE),Inputs!$B$4="Chapter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IFERROR(1/(IF(Inputs!$B$38="pvp",15,MAX(0.1,Skills!E4-IF(Skills!F4=TRUE,Inputs!$B$32,0)))*(1-IF(AND(IF(ArtifactsInput!$M$27,FALSE,TRUE),Inputs!$B$4="Chapter Hunt"),CHOOSE(ArtifactsInput!$N$27+1,20,24,28,32,36,40),0)/100)),0)</f>
        <v/>
      </c>
      <c r="R2054">
        <f>IF(AND(Inputs!$B$38&lt;&gt;"pvp",Inputs!$B$43&gt;0),IF(MAX(0,Inputs!$B$43-B2088)&lt;=0,0,(INT(MAX(0,Inputs!$B$43-B2088)/(IF(Inputs!$B$38="pvp",15,MAX(0.1,Skills!E4-IF(Skills!F4=TRUE,Inputs!$B$32,0)))*(1-IF(AND(IF(ArtifactsInput!$M$27,FALSE,TRUE),Inputs!$B$4="Chapter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IFERROR(1/(IF(Inputs!$B$38="pvp",15,MAX(0.1,Skills!E5-IF(Skills!F5=TRUE,Inputs!$B$32,0)))*(1-IF(AND(IF(ArtifactsInput!$M$27,FALSE,TRUE),Inputs!$B$4="Chapter Hunt"),CHOOSE(ArtifactsInput!$N$27+1,20,24,28,32,36,40),0)/100)),0)</f>
        <v/>
      </c>
      <c r="R2055">
        <f>IF(AND(Inputs!$B$38&lt;&gt;"pvp",Inputs!$B$43&gt;0),IF(MAX(0,Inputs!$B$43-B2088)&lt;=0,0,(INT(MAX(0,Inputs!$B$43-B2088)/(IF(Inputs!$B$38="pvp",15,MAX(0.1,Skills!E5-IF(Skills!F5=TRUE,Inputs!$B$32,0)))*(1-IF(AND(IF(ArtifactsInput!$M$27,FALSE,TRUE),Inputs!$B$4="Chapter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IFERROR(1/(IF(Inputs!$B$38="pvp",15,MAX(0.1,Skills!E6-IF(Skills!F6=TRUE,Inputs!$B$32,0)))*(1-IF(AND(IF(ArtifactsInput!$M$27,FALSE,TRUE),Inputs!$B$4="Chapter Hunt"),CHOOSE(ArtifactsInput!$N$27+1,20,24,28,32,36,40),0)/100)),0)</f>
        <v/>
      </c>
      <c r="R2056">
        <f>IF(AND(Inputs!$B$38&lt;&gt;"pvp",Inputs!$B$43&gt;0),IF(Inputs!$B$43&lt;=0,0,(INT(Inputs!$B$43/(IF(Inputs!$B$38="pvp",15,MAX(0.1,Skills!E6-IF(Skills!F6=TRUE,Inputs!$B$32,0)))*(1-IF(AND(IF(ArtifactsInput!$M$27,FALSE,TRUE),Inputs!$B$4="Chapter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IFERROR(1/(IF(Inputs!$B$38="pvp",15,MAX(0.1,Skills!E7-IF(Skills!F7=TRUE,Inputs!$B$32,0)))*(1-IF(AND(IF(ArtifactsInput!$M$27,FALSE,TRUE),Inputs!$B$4="Chapter Hunt"),CHOOSE(ArtifactsInput!$N$27+1,20,24,28,32,36,40),0)/100)),0)</f>
        <v/>
      </c>
      <c r="R2057">
        <f>IF(AND(Inputs!$B$38&lt;&gt;"pvp",Inputs!$B$43&gt;0),IF(MAX(0,Inputs!$B$43-B2088)&lt;=0,0,(INT(MAX(0,Inputs!$B$43-B2088)/(IF(Inputs!$B$38="pvp",15,MAX(0.1,Skills!E7-IF(Skills!F7=TRUE,Inputs!$B$32,0)))*(1-IF(AND(IF(ArtifactsInput!$M$27,FALSE,TRUE),Inputs!$B$4="Chapter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IFERROR(1/(IF(Inputs!$B$38="pvp",15,MAX(0.1,Skills!E8-IF(Skills!F8=TRUE,Inputs!$B$32,0)))*(1-IF(AND(IF(ArtifactsInput!$M$27,FALSE,TRUE),Inputs!$B$4="Chapter Hunt"),CHOOSE(ArtifactsInput!$N$27+1,20,24,28,32,36,40),0)/100)),0)</f>
        <v/>
      </c>
      <c r="R2058">
        <f>IF(AND(Inputs!$B$38&lt;&gt;"pvp",Inputs!$B$43&gt;0),IF(MAX(0,Inputs!$B$43-B2088)&lt;=0,0,(INT(MAX(0,Inputs!$B$43-B2088)/(IF(Inputs!$B$38="pvp",15,MAX(0.1,Skills!E8-IF(Skills!F8=TRUE,Inputs!$B$32,0)))*(1-IF(AND(IF(ArtifactsInput!$M$27,FALSE,TRUE),Inputs!$B$4="Chapter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IFERROR(1/(IF(Inputs!$B$38="pvp",15,MAX(0.1,Skills!E9-IF(Skills!F7=TRUE,Inputs!$B$32,0)))*(1-IF(AND(IF(ArtifactsInput!$M$27,FALSE,TRUE),Inputs!$B$4="Chapter Hunt"),CHOOSE(ArtifactsInput!$N$27+1,20,24,28,32,36,40),0)/100)),0)</f>
        <v/>
      </c>
      <c r="R2059">
        <f>IF(AND(Inputs!$B$38&lt;&gt;"pvp",Inputs!$B$43&gt;0),IF(MAX(0,Inputs!$B$43-B2088)&lt;=0,0,(INT(MAX(0,Inputs!$B$43-B2088)/(IF(Inputs!$B$38="pvp",15,MAX(0.1,Skills!E9-IF(Skills!F7=TRUE,Inputs!$B$32,0)))*(1-IF(AND(IF(ArtifactsInput!$M$27,FALSE,TRUE),Inputs!$B$4="Chapter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IFERROR(1/(IF(Inputs!$B$38="pvp",15,MAX(0.1,Skills!E10-IF(Skills!F10=TRUE,Inputs!$B$32,0)))*(1-IF(AND(IF(ArtifactsInput!$M$27,FALSE,TRUE),Inputs!$B$4="Chapter Hunt"),CHOOSE(ArtifactsInput!$N$27+1,20,24,28,32,36,40),0)/100)),0)</f>
        <v/>
      </c>
      <c r="R2060">
        <f>IF(AND(Inputs!$B$38&lt;&gt;"pvp",Inputs!$B$43&gt;0),IF(MAX(0,Inputs!$B$43-B2088)&lt;=0,0,(INT(MAX(0,Inputs!$B$43-B2088)/(IF(Inputs!$B$38="pvp",15,MAX(0.1,Skills!E10-IF(Skills!F10=TRUE,Inputs!$B$32,0)))*(1-IF(AND(IF(ArtifactsInput!$M$27,FALSE,TRUE),Inputs!$B$4="Chapter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IFERROR(1/(IF(Inputs!$B$38="pvp",15,MAX(0.1,Skills!E11-IF(Skills!F11=TRUE,Inputs!$B$32,0)))*(1-IF(AND(IF(ArtifactsInput!$M$27,FALSE,TRUE),Inputs!$B$4="Chapter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IFERROR(1/(IF(Inputs!$B$38="pvp",15,MAX(0.1,Skills!E12-IF(Skills!F12=TRUE,Inputs!$B$32,0)))*(1-IF(AND(IF(ArtifactsInput!$M$27,FALSE,TRUE),Inputs!$B$4="Chapter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IFERROR(1/(IF(Inputs!$B$38="pvp",15,MAX(0.1,Skills!E13-IF(Skills!F13=TRUE,Inputs!$B$32,0)))*(1-IF(AND(IF(ArtifactsInput!$M$27,FALSE,TRUE),Inputs!$B$4="Chapter Hunt"),CHOOSE(ArtifactsInput!$N$27+1,20,24,28,32,36,40),0)/100)),0)</f>
        <v/>
      </c>
      <c r="R2063">
        <f>IF(AND(Inputs!$B$38&lt;&gt;"pvp",Inputs!$B$43&gt;0),IF(MAX(0,Inputs!$B$43-B2088)&lt;=0,0,(INT(MAX(0,Inputs!$B$43-B2088)/(IF(Inputs!$B$38="pvp",15,MAX(0.1,Skills!E13-IF(Skills!F13=TRUE,Inputs!$B$32,0)))*(1-IF(AND(IF(ArtifactsInput!$M$27,FALSE,TRUE),Inputs!$B$4="Chapter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IFERROR(1/(IF(Inputs!$B$38="pvp",15,MAX(0.1,Skills!E14-IF(Skills!F14=TRUE,Inputs!$B$32,0)))*(1-IF(AND(IF(ArtifactsInput!$M$27,FALSE,TRUE),Inputs!$B$4="Chapter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IFERROR(1/(IF(Inputs!$B$38="pvp",15,MAX(0.1,Skills!E15-IF(Skills!F15=TRUE,Inputs!$B$32,0)))*(1-IF(AND(IF(ArtifactsInput!$M$27,FALSE,TRUE),Inputs!$B$4="Chapter Hunt"),CHOOSE(ArtifactsInput!$N$27+1,20,24,28,32,36,40),0)/100)),0)</f>
        <v/>
      </c>
      <c r="R2065">
        <f>IF(AND(Inputs!$B$38&lt;&gt;"pvp",Inputs!$B$43&gt;0),IF(MAX(0,Inputs!$B$43-B2088)&lt;=0,0,(INT(MAX(0,Inputs!$B$43-B2088)/(IF(Inputs!$B$38="pvp",15,MAX(0.1,Skills!E15-IF(Skills!F15=TRUE,Inputs!$B$32,0)))*(1-IF(AND(IF(ArtifactsInput!$M$27,FALSE,TRUE),Inputs!$B$4="Chapter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IFERROR(1/(IF(Inputs!$B$38="pvp",15,MAX(0.1,Skills!E16-IF(Skills!F16=TRUE,Inputs!$B$32,0)))*(1-IF(AND(IF(ArtifactsInput!$M$27,FALSE,TRUE),Inputs!$B$4="Chapter Hunt"),CHOOSE(ArtifactsInput!$N$27+1,20,24,28,32,36,40),0)/100)),0)</f>
        <v/>
      </c>
      <c r="R2066">
        <f>IF(AND(Inputs!$B$38&lt;&gt;"pvp",Inputs!$B$43&gt;0),IF(MAX(0,Inputs!$B$43-B2088)&lt;=0,0,(INT(MAX(0,Inputs!$B$43-B2088)/(IF(Inputs!$B$38="pvp",15,MAX(0.1,Skills!E16-IF(Skills!F16=TRUE,Inputs!$B$32,0)))*(1-IF(AND(IF(ArtifactsInput!$M$27,FALSE,TRUE),Inputs!$B$4="Chapter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IFERROR(1/(IF(Inputs!$B$38="pvp",15,MAX(0.1,Skills!E17-IF(Skills!F17=TRUE,Inputs!$B$32,0)))*(1-IF(AND(IF(ArtifactsInput!$M$27,FALSE,TRUE),Inputs!$B$4="Chapter Hunt"),CHOOSE(ArtifactsInput!$N$27+1,20,24,28,32,36,40),0)/100)),0)</f>
        <v/>
      </c>
      <c r="R2067">
        <f>IF(AND(Inputs!$B$38&lt;&gt;"pvp",Inputs!$B$43&gt;0),IF(Inputs!$B$43&lt;=0,0,(INT(Inputs!$B$43/(IF(Inputs!$B$38="pvp",15,MAX(0.1,Skills!E17-IF(Skills!F17=TRUE,Inputs!$B$32,0)))*(1-IF(AND(IF(ArtifactsInput!$M$27,FALSE,TRUE),Inputs!$B$4="Chapter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IFERROR(1/(IF(Inputs!$B$38="pvp",15,MAX(0.1,Skills!E18-IF(Skills!F18=TRUE,Inputs!$B$32,0)))*(1-IF(AND(IF(ArtifactsInput!$M$27,FALSE,TRUE),Inputs!$B$4="Chapter Hunt"),CHOOSE(ArtifactsInput!$N$27+1,20,24,28,32,36,40),0)/100)),0)</f>
        <v/>
      </c>
      <c r="R2068">
        <f>IF(AND(Inputs!$B$38&lt;&gt;"pvp",Inputs!$B$43&gt;0),IF(Inputs!$B$43&lt;=0,0,(INT(Inputs!$B$43/(IF(Inputs!$B$38="pvp",15,MAX(0.1,Skills!E18-IF(Skills!F18=TRUE,Inputs!$B$32,0)))*(1-IF(AND(IF(ArtifactsInput!$M$27,FALSE,TRUE),Inputs!$B$4="Chapter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IFERROR(1/(IF(Inputs!$B$38="pvp",15,MAX(0.1,Skills!E19-IF(Skills!F19=TRUE,Inputs!$B$32,0)))*(1-IF(AND(IF(ArtifactsInput!$M$27,FALSE,TRUE),Inputs!$B$4="Chapter Hunt"),CHOOSE(ArtifactsInput!$N$27+1,20,24,28,32,36,40),0)/100)),0)</f>
        <v/>
      </c>
      <c r="R2069">
        <f>IF(AND(Inputs!$B$38&lt;&gt;"pvp",Inputs!$B$43&gt;0),IF(Inputs!$B$43&lt;=0,0,(INT(Inputs!$B$43/(IF(Inputs!$B$38="pvp",15,MAX(0.1,Skills!E19-IF(Skills!F19=TRUE,Inputs!$B$32,0)))*(1-IF(AND(IF(ArtifactsInput!$M$27,FALSE,TRUE),Inputs!$B$4="Chapter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IFERROR(1/(IF(Inputs!$B$38="pvp",15,MAX(0.1,Skills!E20-IF(Skills!F20=TRUE,Inputs!$B$32,0)))*(1-IF(AND(IF(ArtifactsInput!$M$27,FALSE,TRUE),Inputs!$B$4="Chapter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IFERROR(1/(IF(Inputs!$B$38="pvp",15,MAX(0.1,Skills!E21-IF(Skills!F21=TRUE,Inputs!$B$32,0)))*(1-IF(AND(IF(ArtifactsInput!$M$27,FALSE,TRUE),Inputs!$B$4="Chapter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IFERROR(1/(IF(Inputs!$B$38="pvp",15,MAX(0.1,Skills!E22-IF(Skills!F22=TRUE,Inputs!$B$32,0)))*(1-IF(AND(IF(ArtifactsInput!$M$27,FALSE,TRUE),Inputs!$B$4="Chapter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IFERROR(1/(IF(Inputs!$B$38="pvp",15,MAX(0.1,Skills!E23-IF(Skills!F23=TRUE,Inputs!$B$32,0)))*(1-IF(AND(IF(ArtifactsInput!$M$27,FALSE,TRUE),Inputs!$B$4="Chapter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IFERROR(1/(IF(Inputs!$B$38="pvp",15,MAX(0.1,Skills!E24-IF(Skills!F24=TRUE,Inputs!$B$32,0)))*(1-IF(AND(IF(ArtifactsInput!$M$27,FALSE,TRUE),Inputs!$B$4="Chapter Hunt"),CHOOSE(ArtifactsInput!$N$27+1,20,24,28,32,36,40),0)/100)),0)</f>
        <v/>
      </c>
      <c r="R2074">
        <f>IF(AND(Inputs!$B$38&lt;&gt;"pvp",Inputs!$B$43&gt;0),IF(MAX(0,Inputs!$B$43-B2088)&lt;=0,0,(INT(MAX(0,Inputs!$B$43-B2088)/(IF(Inputs!$B$38="pvp",15,MAX(0.1,Skills!E24-IF(Skills!F24=TRUE,Inputs!$B$32,0)))*(1-IF(AND(IF(ArtifactsInput!$M$27,FALSE,TRUE),Inputs!$B$4="Chapter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IFERROR(1/(IF(Inputs!$B$38="pvp",15,MAX(0.1,Skills!E25-IF(Skills!F25=TRUE,Inputs!$B$32,0)))*(1-IF(AND(IF(ArtifactsInput!$M$27,FALSE,TRUE),Inputs!$B$4="Chapter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IFERROR(1/(IF(Inputs!$B$38="pvp",15,MAX(0.1,Skills!E26-IF(Skills!F26=TRUE,Inputs!$B$32,0)))*(1-IF(AND(IF(ArtifactsInput!$M$27,FALSE,TRUE),Inputs!$B$4="Chapter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IFERROR(1/(IF(Inputs!$B$38="pvp",15,MAX(0.1,Skills!E27-IF(Skills!F27=TRUE,Inputs!$B$32,0)))*(1-IF(AND(IF(ArtifactsInput!$M$27,FALSE,TRUE),Inputs!$B$4="Chapter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IFERROR(1/(IF(Inputs!$B$38="pvp",15,MAX(0.1,Skills!E28-IF(Skills!F28=TRUE,Inputs!$B$32,0)))*(1-IF(AND(IF(ArtifactsInput!$M$27,FALSE,TRUE),Inputs!$B$4="Chapter Hunt"),CHOOSE(ArtifactsInput!$N$27+1,20,24,28,32,36,40),0)/100)),0)</f>
        <v/>
      </c>
      <c r="R2078">
        <f>IF(AND(Inputs!$B$38&lt;&gt;"pvp",Inputs!$B$43&gt;0),IF(MAX(0,Inputs!$B$43-B2088)&lt;=0,0,(INT(MAX(0,Inputs!$B$43-B2088)/(IF(Inputs!$B$38="pvp",15,MAX(0.1,Skills!E28-IF(Skills!F28=TRUE,Inputs!$B$32,0)))*(1-IF(AND(IF(ArtifactsInput!$M$27,FALSE,TRUE),Inputs!$B$4="Chapter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Skills!T6*(1+((Inputs!$B$34+(ArtifactsInput!$M$7-ArtifactsInput!$M$7)*CHOOSE(ArtifactsInput!$N$7+1,6,7.2,8.4,9.6,10.8,12))+IF(Inputs!$B$3&gt;=117,F2075,0))/100))+MIN((Skills!T6*(1+((Inputs!$B$34+(ArtifactsInput!$M$7-ArtifactsInput!$M$7)*CHOOSE(ArtifactsInput!$N$7+1,6,7.2,8.4,9.6,10.8,12))+IF(Inputs!$B$3&gt;=117,F2075,0))/100)),MAX(0,Inputs!$B$43-((R2056-1)*Skills!E6))))/Inputs!$B$43),IF(Inputs!$B$38="pvp",MIN((Skills!T6*(1+((Inputs!$B$34+(ArtifactsInput!$M$7-ArtifactsInput!$M$7)*CHOOSE(ArtifactsInput!$N$7+1,6,7.2,8.4,9.6,10.8,12))+IF(Inputs!$B$3&gt;=117,F2075,0))/100)),15)/15,(Skills!T6*(1+((Inputs!$B$34+(ArtifactsInput!$M$7-ArtifactsInput!$M$7)*CHOOSE(ArtifactsInput!$N$7+1,6,7.2,8.4,9.6,10.8,12))+IF(Inputs!$B$3&gt;=117,F2075,0))/100))/Skills!E6))+F2067*IF(AND(Inputs!$B$38&lt;&gt;"pvp",Inputs!$B$43&gt;0),(((R2067-1)*(Skills!T17*(1+((Inputs!$B$34+(ArtifactsInput!$M$7-ArtifactsInput!$M$7)*CHOOSE(ArtifactsInput!$N$7+1,6,7.2,8.4,9.6,10.8,12))+IF(Inputs!$B$3&gt;=117,F2075,0))/100))+MIN((Skills!T17*(1+((Inputs!$B$34+(ArtifactsInput!$M$7-ArtifactsInput!$M$7)*CHOOSE(ArtifactsInput!$N$7+1,6,7.2,8.4,9.6,10.8,12))+IF(Inputs!$B$3&gt;=117,F2075,0))/100)),MAX(0,Inputs!$B$43-((R2067-1)*Skills!E17))))/Inputs!$B$43),IF(Inputs!$B$38="pvp",MIN((Skills!T17*(1+((Inputs!$B$34+(ArtifactsInput!$M$7-ArtifactsInput!$M$7)*CHOOSE(ArtifactsInput!$N$7+1,6,7.2,8.4,9.6,10.8,12))+IF(Inputs!$B$3&gt;=117,F2075,0))/100)),15)/15,(Skills!T17*(1+((Inputs!$B$34+(ArtifactsInput!$M$7-ArtifactsInput!$M$7)*CHOOSE(ArtifactsInput!$N$7+1,6,7.2,8.4,9.6,10.8,12))+IF(Inputs!$B$3&gt;=117,F2075,0)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Skills!T19*(1+((Inputs!$B$34+(ArtifactsInput!$M$7-ArtifactsInput!$M$7)*CHOOSE(ArtifactsInput!$N$7+1,6,7.2,8.4,9.6,10.8,12))+IF(Inputs!$B$3&gt;=117,F2075,0))/100))+MIN((Skills!T19*(1+((Inputs!$B$34+(ArtifactsInput!$M$7-ArtifactsInput!$M$7)*CHOOSE(ArtifactsInput!$N$7+1,6,7.2,8.4,9.6,10.8,12))+IF(Inputs!$B$3&gt;=117,F2075,0))/100)),MAX(0,Inputs!$B$43-((R2069-1)*Skills!E19))))/Inputs!$B$43),IF(Inputs!$B$38="pvp",MIN((Skills!T19*(1+((Inputs!$B$34+(ArtifactsInput!$M$7-ArtifactsInput!$M$7)*CHOOSE(ArtifactsInput!$N$7+1,6,7.2,8.4,9.6,10.8,12))+IF(Inputs!$B$3&gt;=117,F2075,0))/100)),15)/15,(Skills!T19*(1+((Inputs!$B$34+(ArtifactsInput!$M$7-ArtifactsInput!$M$7)*CHOOSE(ArtifactsInput!$N$7+1,6,7.2,8.4,9.6,10.8,12))+IF(Inputs!$B$3&gt;=117,F2075,0))/100))/Skills!E19))/100),1)</f>
        <v/>
      </c>
    </row>
    <row r="2083">
      <c r="A2083" t="inlineStr">
        <is>
          <t>Attack Speed Buff Bonus % (Nimble Feet, averaged)</t>
        </is>
      </c>
      <c r="B2083">
        <f>F2068*IF(AND(Inputs!$B$38&lt;&gt;"pvp",Inputs!$B$43&gt;0),(((R2068-1)*(Skills!T18*(1+((Inputs!$B$34+(ArtifactsInput!$M$7-ArtifactsInput!$M$7)*CHOOSE(ArtifactsInput!$N$7+1,6,7.2,8.4,9.6,10.8,12))+IF(Inputs!$B$3&gt;=117,F2075,0))/100))+MIN((Skills!T18*(1+((Inputs!$B$34+(ArtifactsInput!$M$7-ArtifactsInput!$M$7)*CHOOSE(ArtifactsInput!$N$7+1,6,7.2,8.4,9.6,10.8,12))+IF(Inputs!$B$3&gt;=117,F2075,0))/100)),MAX(0,Inputs!$B$43-((R2068-1)*Skills!E18))))/Inputs!$B$43),IF(Inputs!$B$38="pvp",MIN((Skills!T18*(1+((Inputs!$B$34+(ArtifactsInput!$M$7-ArtifactsInput!$M$7)*CHOOSE(ArtifactsInput!$N$7+1,6,7.2,8.4,9.6,10.8,12))+IF(Inputs!$B$3&gt;=117,F2075,0))/100)),15)/15,(Skills!T18*(1+((Inputs!$B$34+(ArtifactsInput!$M$7-ArtifactsInput!$M$7)*CHOOSE(ArtifactsInput!$N$7+1,6,7.2,8.4,9.6,10.8,12))+IF(Inputs!$B$3&gt;=117,F2075,0))/100))/Skills!E18)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IFERROR(1/(IF(Inputs!$B$38="pvp",15,MAX(0.1,Skills!E2-IF(Skills!F2=TRUE,Inputs!$B$32,0)))*(1-IF(AND(ArtifactsInput!$M$27,Inputs!$B$4="Chapter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IFERROR(1/(IF(Inputs!$B$38="pvp",15,MAX(0.1,Skills!E3-IF(Skills!F3=TRUE,Inputs!$B$32,0)))*(1-IF(AND(ArtifactsInput!$M$27,Inputs!$B$4="Chapter Hunt"),CHOOSE(ArtifactsInput!$N$27+1,20,24,28,32,36,40),0)/100)),0)</f>
        <v/>
      </c>
      <c r="R2097">
        <f>IF(AND(Inputs!$B$38&lt;&gt;"pvp",Inputs!$B$43&gt;0),IF(MAX(0,Inputs!$B$43-B2132)&lt;=0,0,(INT(MAX(0,Inputs!$B$43-B2132)/(IF(Inputs!$B$38="pvp",15,MAX(0.1,Skills!E3-IF(Skills!F3=TRUE,Inputs!$B$32,0)))*(1-IF(AND(ArtifactsInput!$M$27,Inputs!$B$4="Chapter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IFERROR(1/(IF(Inputs!$B$38="pvp",15,MAX(0.1,Skills!E4-IF(Skills!F4=TRUE,Inputs!$B$32,0)))*(1-IF(AND(ArtifactsInput!$M$27,Inputs!$B$4="Chapter Hunt"),CHOOSE(ArtifactsInput!$N$27+1,20,24,28,32,36,40),0)/100)),0)</f>
        <v/>
      </c>
      <c r="R2098">
        <f>IF(AND(Inputs!$B$38&lt;&gt;"pvp",Inputs!$B$43&gt;0),IF(MAX(0,Inputs!$B$43-B2132)&lt;=0,0,(INT(MAX(0,Inputs!$B$43-B2132)/(IF(Inputs!$B$38="pvp",15,MAX(0.1,Skills!E4-IF(Skills!F4=TRUE,Inputs!$B$32,0)))*(1-IF(AND(ArtifactsInput!$M$27,Inputs!$B$4="Chapter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IFERROR(1/(IF(Inputs!$B$38="pvp",15,MAX(0.1,Skills!E5-IF(Skills!F5=TRUE,Inputs!$B$32,0)))*(1-IF(AND(ArtifactsInput!$M$27,Inputs!$B$4="Chapter Hunt"),CHOOSE(ArtifactsInput!$N$27+1,20,24,28,32,36,40),0)/100)),0)</f>
        <v/>
      </c>
      <c r="R2099">
        <f>IF(AND(Inputs!$B$38&lt;&gt;"pvp",Inputs!$B$43&gt;0),IF(MAX(0,Inputs!$B$43-B2132)&lt;=0,0,(INT(MAX(0,Inputs!$B$43-B2132)/(IF(Inputs!$B$38="pvp",15,MAX(0.1,Skills!E5-IF(Skills!F5=TRUE,Inputs!$B$32,0)))*(1-IF(AND(ArtifactsInput!$M$27,Inputs!$B$4="Chapter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IFERROR(1/(IF(Inputs!$B$38="pvp",15,MAX(0.1,Skills!E6-IF(Skills!F6=TRUE,Inputs!$B$32,0)))*(1-IF(AND(ArtifactsInput!$M$27,Inputs!$B$4="Chapter Hunt"),CHOOSE(ArtifactsInput!$N$27+1,20,24,28,32,36,40),0)/100)),0)</f>
        <v/>
      </c>
      <c r="R2100">
        <f>IF(AND(Inputs!$B$38&lt;&gt;"pvp",Inputs!$B$43&gt;0),IF(Inputs!$B$43&lt;=0,0,(INT(Inputs!$B$43/(IF(Inputs!$B$38="pvp",15,MAX(0.1,Skills!E6-IF(Skills!F6=TRUE,Inputs!$B$32,0)))*(1-IF(AND(ArtifactsInput!$M$27,Inputs!$B$4="Chapter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IFERROR(1/(IF(Inputs!$B$38="pvp",15,MAX(0.1,Skills!E7-IF(Skills!F7=TRUE,Inputs!$B$32,0)))*(1-IF(AND(ArtifactsInput!$M$27,Inputs!$B$4="Chapter Hunt"),CHOOSE(ArtifactsInput!$N$27+1,20,24,28,32,36,40),0)/100)),0)</f>
        <v/>
      </c>
      <c r="R2101">
        <f>IF(AND(Inputs!$B$38&lt;&gt;"pvp",Inputs!$B$43&gt;0),IF(MAX(0,Inputs!$B$43-B2132)&lt;=0,0,(INT(MAX(0,Inputs!$B$43-B2132)/(IF(Inputs!$B$38="pvp",15,MAX(0.1,Skills!E7-IF(Skills!F7=TRUE,Inputs!$B$32,0)))*(1-IF(AND(ArtifactsInput!$M$27,Inputs!$B$4="Chapter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IFERROR(1/(IF(Inputs!$B$38="pvp",15,MAX(0.1,Skills!E8-IF(Skills!F8=TRUE,Inputs!$B$32,0)))*(1-IF(AND(ArtifactsInput!$M$27,Inputs!$B$4="Chapter Hunt"),CHOOSE(ArtifactsInput!$N$27+1,20,24,28,32,36,40),0)/100)),0)</f>
        <v/>
      </c>
      <c r="R2102">
        <f>IF(AND(Inputs!$B$38&lt;&gt;"pvp",Inputs!$B$43&gt;0),IF(MAX(0,Inputs!$B$43-B2132)&lt;=0,0,(INT(MAX(0,Inputs!$B$43-B2132)/(IF(Inputs!$B$38="pvp",15,MAX(0.1,Skills!E8-IF(Skills!F8=TRUE,Inputs!$B$32,0)))*(1-IF(AND(ArtifactsInput!$M$27,Inputs!$B$4="Chapter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IFERROR(1/(IF(Inputs!$B$38="pvp",15,MAX(0.1,Skills!E9-IF(Skills!F7=TRUE,Inputs!$B$32,0)))*(1-IF(AND(ArtifactsInput!$M$27,Inputs!$B$4="Chapter Hunt"),CHOOSE(ArtifactsInput!$N$27+1,20,24,28,32,36,40),0)/100)),0)</f>
        <v/>
      </c>
      <c r="R2103">
        <f>IF(AND(Inputs!$B$38&lt;&gt;"pvp",Inputs!$B$43&gt;0),IF(MAX(0,Inputs!$B$43-B2132)&lt;=0,0,(INT(MAX(0,Inputs!$B$43-B2132)/(IF(Inputs!$B$38="pvp",15,MAX(0.1,Skills!E9-IF(Skills!F7=TRUE,Inputs!$B$32,0)))*(1-IF(AND(ArtifactsInput!$M$27,Inputs!$B$4="Chapter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IFERROR(1/(IF(Inputs!$B$38="pvp",15,MAX(0.1,Skills!E10-IF(Skills!F10=TRUE,Inputs!$B$32,0)))*(1-IF(AND(ArtifactsInput!$M$27,Inputs!$B$4="Chapter Hunt"),CHOOSE(ArtifactsInput!$N$27+1,20,24,28,32,36,40),0)/100)),0)</f>
        <v/>
      </c>
      <c r="R2104">
        <f>IF(AND(Inputs!$B$38&lt;&gt;"pvp",Inputs!$B$43&gt;0),IF(MAX(0,Inputs!$B$43-B2132)&lt;=0,0,(INT(MAX(0,Inputs!$B$43-B2132)/(IF(Inputs!$B$38="pvp",15,MAX(0.1,Skills!E10-IF(Skills!F10=TRUE,Inputs!$B$32,0)))*(1-IF(AND(ArtifactsInput!$M$27,Inputs!$B$4="Chapter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IFERROR(1/(IF(Inputs!$B$38="pvp",15,MAX(0.1,Skills!E11-IF(Skills!F11=TRUE,Inputs!$B$32,0)))*(1-IF(AND(ArtifactsInput!$M$27,Inputs!$B$4="Chapter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IFERROR(1/(IF(Inputs!$B$38="pvp",15,MAX(0.1,Skills!E12-IF(Skills!F12=TRUE,Inputs!$B$32,0)))*(1-IF(AND(ArtifactsInput!$M$27,Inputs!$B$4="Chapter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IFERROR(1/(IF(Inputs!$B$38="pvp",15,MAX(0.1,Skills!E13-IF(Skills!F13=TRUE,Inputs!$B$32,0)))*(1-IF(AND(ArtifactsInput!$M$27,Inputs!$B$4="Chapter Hunt"),CHOOSE(ArtifactsInput!$N$27+1,20,24,28,32,36,40),0)/100)),0)</f>
        <v/>
      </c>
      <c r="R2107">
        <f>IF(AND(Inputs!$B$38&lt;&gt;"pvp",Inputs!$B$43&gt;0),IF(MAX(0,Inputs!$B$43-B2132)&lt;=0,0,(INT(MAX(0,Inputs!$B$43-B2132)/(IF(Inputs!$B$38="pvp",15,MAX(0.1,Skills!E13-IF(Skills!F13=TRUE,Inputs!$B$32,0)))*(1-IF(AND(ArtifactsInput!$M$27,Inputs!$B$4="Chapter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IFERROR(1/(IF(Inputs!$B$38="pvp",15,MAX(0.1,Skills!E14-IF(Skills!F14=TRUE,Inputs!$B$32,0)))*(1-IF(AND(ArtifactsInput!$M$27,Inputs!$B$4="Chapter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IFERROR(1/(IF(Inputs!$B$38="pvp",15,MAX(0.1,Skills!E15-IF(Skills!F15=TRUE,Inputs!$B$32,0)))*(1-IF(AND(ArtifactsInput!$M$27,Inputs!$B$4="Chapter Hunt"),CHOOSE(ArtifactsInput!$N$27+1,20,24,28,32,36,40),0)/100)),0)</f>
        <v/>
      </c>
      <c r="R2109">
        <f>IF(AND(Inputs!$B$38&lt;&gt;"pvp",Inputs!$B$43&gt;0),IF(MAX(0,Inputs!$B$43-B2132)&lt;=0,0,(INT(MAX(0,Inputs!$B$43-B2132)/(IF(Inputs!$B$38="pvp",15,MAX(0.1,Skills!E15-IF(Skills!F15=TRUE,Inputs!$B$32,0)))*(1-IF(AND(ArtifactsInput!$M$27,Inputs!$B$4="Chapter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IFERROR(1/(IF(Inputs!$B$38="pvp",15,MAX(0.1,Skills!E16-IF(Skills!F16=TRUE,Inputs!$B$32,0)))*(1-IF(AND(ArtifactsInput!$M$27,Inputs!$B$4="Chapter Hunt"),CHOOSE(ArtifactsInput!$N$27+1,20,24,28,32,36,40),0)/100)),0)</f>
        <v/>
      </c>
      <c r="R2110">
        <f>IF(AND(Inputs!$B$38&lt;&gt;"pvp",Inputs!$B$43&gt;0),IF(MAX(0,Inputs!$B$43-B2132)&lt;=0,0,(INT(MAX(0,Inputs!$B$43-B2132)/(IF(Inputs!$B$38="pvp",15,MAX(0.1,Skills!E16-IF(Skills!F16=TRUE,Inputs!$B$32,0)))*(1-IF(AND(ArtifactsInput!$M$27,Inputs!$B$4="Chapter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IFERROR(1/(IF(Inputs!$B$38="pvp",15,MAX(0.1,Skills!E17-IF(Skills!F17=TRUE,Inputs!$B$32,0)))*(1-IF(AND(ArtifactsInput!$M$27,Inputs!$B$4="Chapter Hunt"),CHOOSE(ArtifactsInput!$N$27+1,20,24,28,32,36,40),0)/100)),0)</f>
        <v/>
      </c>
      <c r="R2111">
        <f>IF(AND(Inputs!$B$38&lt;&gt;"pvp",Inputs!$B$43&gt;0),IF(Inputs!$B$43&lt;=0,0,(INT(Inputs!$B$43/(IF(Inputs!$B$38="pvp",15,MAX(0.1,Skills!E17-IF(Skills!F17=TRUE,Inputs!$B$32,0)))*(1-IF(AND(ArtifactsInput!$M$27,Inputs!$B$4="Chapter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IFERROR(1/(IF(Inputs!$B$38="pvp",15,MAX(0.1,Skills!E18-IF(Skills!F18=TRUE,Inputs!$B$32,0)))*(1-IF(AND(ArtifactsInput!$M$27,Inputs!$B$4="Chapter Hunt"),CHOOSE(ArtifactsInput!$N$27+1,20,24,28,32,36,40),0)/100)),0)</f>
        <v/>
      </c>
      <c r="R2112">
        <f>IF(AND(Inputs!$B$38&lt;&gt;"pvp",Inputs!$B$43&gt;0),IF(Inputs!$B$43&lt;=0,0,(INT(Inputs!$B$43/(IF(Inputs!$B$38="pvp",15,MAX(0.1,Skills!E18-IF(Skills!F18=TRUE,Inputs!$B$32,0)))*(1-IF(AND(ArtifactsInput!$M$27,Inputs!$B$4="Chapter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IFERROR(1/(IF(Inputs!$B$38="pvp",15,MAX(0.1,Skills!E19-IF(Skills!F19=TRUE,Inputs!$B$32,0)))*(1-IF(AND(ArtifactsInput!$M$27,Inputs!$B$4="Chapter Hunt"),CHOOSE(ArtifactsInput!$N$27+1,20,24,28,32,36,40),0)/100)),0)</f>
        <v/>
      </c>
      <c r="R2113">
        <f>IF(AND(Inputs!$B$38&lt;&gt;"pvp",Inputs!$B$43&gt;0),IF(Inputs!$B$43&lt;=0,0,(INT(Inputs!$B$43/(IF(Inputs!$B$38="pvp",15,MAX(0.1,Skills!E19-IF(Skills!F19=TRUE,Inputs!$B$32,0)))*(1-IF(AND(ArtifactsInput!$M$27,Inputs!$B$4="Chapter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IFERROR(1/(IF(Inputs!$B$38="pvp",15,MAX(0.1,Skills!E20-IF(Skills!F20=TRUE,Inputs!$B$32,0)))*(1-IF(AND(ArtifactsInput!$M$27,Inputs!$B$4="Chapter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IFERROR(1/(IF(Inputs!$B$38="pvp",15,MAX(0.1,Skills!E21-IF(Skills!F21=TRUE,Inputs!$B$32,0)))*(1-IF(AND(ArtifactsInput!$M$27,Inputs!$B$4="Chapter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IFERROR(1/(IF(Inputs!$B$38="pvp",15,MAX(0.1,Skills!E22-IF(Skills!F22=TRUE,Inputs!$B$32,0)))*(1-IF(AND(ArtifactsInput!$M$27,Inputs!$B$4="Chapter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IFERROR(1/(IF(Inputs!$B$38="pvp",15,MAX(0.1,Skills!E23-IF(Skills!F23=TRUE,Inputs!$B$32,0)))*(1-IF(AND(ArtifactsInput!$M$27,Inputs!$B$4="Chapter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IFERROR(1/(IF(Inputs!$B$38="pvp",15,MAX(0.1,Skills!E24-IF(Skills!F24=TRUE,Inputs!$B$32,0)))*(1-IF(AND(ArtifactsInput!$M$27,Inputs!$B$4="Chapter Hunt"),CHOOSE(ArtifactsInput!$N$27+1,20,24,28,32,36,40),0)/100)),0)</f>
        <v/>
      </c>
      <c r="R2118">
        <f>IF(AND(Inputs!$B$38&lt;&gt;"pvp",Inputs!$B$43&gt;0),IF(MAX(0,Inputs!$B$43-B2132)&lt;=0,0,(INT(MAX(0,Inputs!$B$43-B2132)/(IF(Inputs!$B$38="pvp",15,MAX(0.1,Skills!E24-IF(Skills!F24=TRUE,Inputs!$B$32,0)))*(1-IF(AND(ArtifactsInput!$M$27,Inputs!$B$4="Chapter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IFERROR(1/(IF(Inputs!$B$38="pvp",15,MAX(0.1,Skills!E25-IF(Skills!F25=TRUE,Inputs!$B$32,0)))*(1-IF(AND(ArtifactsInput!$M$27,Inputs!$B$4="Chapter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IFERROR(1/(IF(Inputs!$B$38="pvp",15,MAX(0.1,Skills!E26-IF(Skills!F26=TRUE,Inputs!$B$32,0)))*(1-IF(AND(ArtifactsInput!$M$27,Inputs!$B$4="Chapter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IFERROR(1/(IF(Inputs!$B$38="pvp",15,MAX(0.1,Skills!E27-IF(Skills!F27=TRUE,Inputs!$B$32,0)))*(1-IF(AND(ArtifactsInput!$M$27,Inputs!$B$4="Chapter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IFERROR(1/(IF(Inputs!$B$38="pvp",15,MAX(0.1,Skills!E28-IF(Skills!F28=TRUE,Inputs!$B$32,0)))*(1-IF(AND(ArtifactsInput!$M$27,Inputs!$B$4="Chapter Hunt"),CHOOSE(ArtifactsInput!$N$27+1,20,24,28,32,36,40),0)/100)),0)</f>
        <v/>
      </c>
      <c r="R2122">
        <f>IF(AND(Inputs!$B$38&lt;&gt;"pvp",Inputs!$B$43&gt;0),IF(MAX(0,Inputs!$B$43-B2132)&lt;=0,0,(INT(MAX(0,Inputs!$B$43-B2132)/(IF(Inputs!$B$38="pvp",15,MAX(0.1,Skills!E28-IF(Skills!F28=TRUE,Inputs!$B$32,0)))*(1-IF(AND(ArtifactsInput!$M$27,Inputs!$B$4="Chapter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Skills!T6*(1+((Inputs!$B$34+(ArtifactsInput!$M$7-ArtifactsInput!$M$7)*CHOOSE(ArtifactsInput!$N$7+1,6,7.2,8.4,9.6,10.8,12))+IF(Inputs!$B$3&gt;=117,F2119,0))/100))+MIN((Skills!T6*(1+((Inputs!$B$34+(ArtifactsInput!$M$7-ArtifactsInput!$M$7)*CHOOSE(ArtifactsInput!$N$7+1,6,7.2,8.4,9.6,10.8,12))+IF(Inputs!$B$3&gt;=117,F2119,0))/100)),MAX(0,Inputs!$B$43-((R2100-1)*Skills!E6))))/Inputs!$B$43),IF(Inputs!$B$38="pvp",MIN((Skills!T6*(1+((Inputs!$B$34+(ArtifactsInput!$M$7-ArtifactsInput!$M$7)*CHOOSE(ArtifactsInput!$N$7+1,6,7.2,8.4,9.6,10.8,12))+IF(Inputs!$B$3&gt;=117,F2119,0))/100)),15)/15,(Skills!T6*(1+((Inputs!$B$34+(ArtifactsInput!$M$7-ArtifactsInput!$M$7)*CHOOSE(ArtifactsInput!$N$7+1,6,7.2,8.4,9.6,10.8,12))+IF(Inputs!$B$3&gt;=117,F2119,0))/100))/Skills!E6))+F2111*IF(AND(Inputs!$B$38&lt;&gt;"pvp",Inputs!$B$43&gt;0),(((R2111-1)*(Skills!T17*(1+((Inputs!$B$34+(ArtifactsInput!$M$7-ArtifactsInput!$M$7)*CHOOSE(ArtifactsInput!$N$7+1,6,7.2,8.4,9.6,10.8,12))+IF(Inputs!$B$3&gt;=117,F2119,0))/100))+MIN((Skills!T17*(1+((Inputs!$B$34+(ArtifactsInput!$M$7-ArtifactsInput!$M$7)*CHOOSE(ArtifactsInput!$N$7+1,6,7.2,8.4,9.6,10.8,12))+IF(Inputs!$B$3&gt;=117,F2119,0))/100)),MAX(0,Inputs!$B$43-((R2111-1)*Skills!E17))))/Inputs!$B$43),IF(Inputs!$B$38="pvp",MIN((Skills!T17*(1+((Inputs!$B$34+(ArtifactsInput!$M$7-ArtifactsInput!$M$7)*CHOOSE(ArtifactsInput!$N$7+1,6,7.2,8.4,9.6,10.8,12))+IF(Inputs!$B$3&gt;=117,F2119,0))/100)),15)/15,(Skills!T17*(1+((Inputs!$B$34+(ArtifactsInput!$M$7-ArtifactsInput!$M$7)*CHOOSE(ArtifactsInput!$N$7+1,6,7.2,8.4,9.6,10.8,12))+IF(Inputs!$B$3&gt;=117,F2119,0)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Skills!T19*(1+((Inputs!$B$34+(ArtifactsInput!$M$7-ArtifactsInput!$M$7)*CHOOSE(ArtifactsInput!$N$7+1,6,7.2,8.4,9.6,10.8,12))+IF(Inputs!$B$3&gt;=117,F2119,0))/100))+MIN((Skills!T19*(1+((Inputs!$B$34+(ArtifactsInput!$M$7-ArtifactsInput!$M$7)*CHOOSE(ArtifactsInput!$N$7+1,6,7.2,8.4,9.6,10.8,12))+IF(Inputs!$B$3&gt;=117,F2119,0))/100)),MAX(0,Inputs!$B$43-((R2113-1)*Skills!E19))))/Inputs!$B$43),IF(Inputs!$B$38="pvp",MIN((Skills!T19*(1+((Inputs!$B$34+(ArtifactsInput!$M$7-ArtifactsInput!$M$7)*CHOOSE(ArtifactsInput!$N$7+1,6,7.2,8.4,9.6,10.8,12))+IF(Inputs!$B$3&gt;=117,F2119,0))/100)),15)/15,(Skills!T19*(1+((Inputs!$B$34+(ArtifactsInput!$M$7-ArtifactsInput!$M$7)*CHOOSE(ArtifactsInput!$N$7+1,6,7.2,8.4,9.6,10.8,12))+IF(Inputs!$B$3&gt;=117,F2119,0))/100))/Skills!E19))/100),1)</f>
        <v/>
      </c>
    </row>
    <row r="2127">
      <c r="A2127" t="inlineStr">
        <is>
          <t>Attack Speed Buff Bonus % (Nimble Feet, averaged)</t>
        </is>
      </c>
      <c r="B2127">
        <f>F2112*IF(AND(Inputs!$B$38&lt;&gt;"pvp",Inputs!$B$43&gt;0),(((R2112-1)*(Skills!T18*(1+((Inputs!$B$34+(ArtifactsInput!$M$7-ArtifactsInput!$M$7)*CHOOSE(ArtifactsInput!$N$7+1,6,7.2,8.4,9.6,10.8,12))+IF(Inputs!$B$3&gt;=117,F2119,0))/100))+MIN((Skills!T18*(1+((Inputs!$B$34+(ArtifactsInput!$M$7-ArtifactsInput!$M$7)*CHOOSE(ArtifactsInput!$N$7+1,6,7.2,8.4,9.6,10.8,12))+IF(Inputs!$B$3&gt;=117,F2119,0))/100)),MAX(0,Inputs!$B$43-((R2112-1)*Skills!E18))))/Inputs!$B$43),IF(Inputs!$B$38="pvp",MIN((Skills!T18*(1+((Inputs!$B$34+(ArtifactsInput!$M$7-ArtifactsInput!$M$7)*CHOOSE(ArtifactsInput!$N$7+1,6,7.2,8.4,9.6,10.8,12))+IF(Inputs!$B$3&gt;=117,F2119,0))/100)),15)/15,(Skills!T18*(1+((Inputs!$B$34+(ArtifactsInput!$M$7-ArtifactsInput!$M$7)*CHOOSE(ArtifactsInput!$N$7+1,6,7.2,8.4,9.6,10.8,12))+IF(Inputs!$B$3&gt;=117,F2119,0))/100))/Skills!E18))</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IFERROR(1/(IF(Inputs!$B$38="pvp",15,MAX(0.1,Skills!E2-IF(Skills!F2=TRUE,Inputs!$B$32,0)))*(1-IF(AND(ArtifactsInput!$M$27,Inputs!$B$4="Chapter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IFERROR(1/(IF(Inputs!$B$38="pvp",15,MAX(0.1,Skills!E3-IF(Skills!F3=TRUE,Inputs!$B$32,0)))*(1-IF(AND(ArtifactsInput!$M$27,Inputs!$B$4="Chapter Hunt"),CHOOSE(ArtifactsInput!$N$27+1,20,24,28,32,36,40),0)/100)),0)</f>
        <v/>
      </c>
      <c r="R2141">
        <f>IF(AND(Inputs!$B$38&lt;&gt;"pvp",Inputs!$B$43&gt;0),IF(MAX(0,Inputs!$B$43-B2176)&lt;=0,0,(INT(MAX(0,Inputs!$B$43-B2176)/(IF(Inputs!$B$38="pvp",15,MAX(0.1,Skills!E3-IF(Skills!F3=TRUE,Inputs!$B$32,0)))*(1-IF(AND(ArtifactsInput!$M$27,Inputs!$B$4="Chapter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IFERROR(1/(IF(Inputs!$B$38="pvp",15,MAX(0.1,Skills!E4-IF(Skills!F4=TRUE,Inputs!$B$32,0)))*(1-IF(AND(ArtifactsInput!$M$27,Inputs!$B$4="Chapter Hunt"),CHOOSE(ArtifactsInput!$N$27+1,20,24,28,32,36,40),0)/100)),0)</f>
        <v/>
      </c>
      <c r="R2142">
        <f>IF(AND(Inputs!$B$38&lt;&gt;"pvp",Inputs!$B$43&gt;0),IF(MAX(0,Inputs!$B$43-B2176)&lt;=0,0,(INT(MAX(0,Inputs!$B$43-B2176)/(IF(Inputs!$B$38="pvp",15,MAX(0.1,Skills!E4-IF(Skills!F4=TRUE,Inputs!$B$32,0)))*(1-IF(AND(ArtifactsInput!$M$27,Inputs!$B$4="Chapter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IFERROR(1/(IF(Inputs!$B$38="pvp",15,MAX(0.1,Skills!E5-IF(Skills!F5=TRUE,Inputs!$B$32,0)))*(1-IF(AND(ArtifactsInput!$M$27,Inputs!$B$4="Chapter Hunt"),CHOOSE(ArtifactsInput!$N$27+1,20,24,28,32,36,40),0)/100)),0)</f>
        <v/>
      </c>
      <c r="R2143">
        <f>IF(AND(Inputs!$B$38&lt;&gt;"pvp",Inputs!$B$43&gt;0),IF(MAX(0,Inputs!$B$43-B2176)&lt;=0,0,(INT(MAX(0,Inputs!$B$43-B2176)/(IF(Inputs!$B$38="pvp",15,MAX(0.1,Skills!E5-IF(Skills!F5=TRUE,Inputs!$B$32,0)))*(1-IF(AND(ArtifactsInput!$M$27,Inputs!$B$4="Chapter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IFERROR(1/(IF(Inputs!$B$38="pvp",15,MAX(0.1,Skills!E6-IF(Skills!F6=TRUE,Inputs!$B$32,0)))*(1-IF(AND(ArtifactsInput!$M$27,Inputs!$B$4="Chapter Hunt"),CHOOSE(ArtifactsInput!$N$27+1,20,24,28,32,36,40),0)/100)),0)</f>
        <v/>
      </c>
      <c r="R2144">
        <f>IF(AND(Inputs!$B$38&lt;&gt;"pvp",Inputs!$B$43&gt;0),IF(Inputs!$B$43&lt;=0,0,(INT(Inputs!$B$43/(IF(Inputs!$B$38="pvp",15,MAX(0.1,Skills!E6-IF(Skills!F6=TRUE,Inputs!$B$32,0)))*(1-IF(AND(ArtifactsInput!$M$27,Inputs!$B$4="Chapter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IFERROR(1/(IF(Inputs!$B$38="pvp",15,MAX(0.1,Skills!E7-IF(Skills!F7=TRUE,Inputs!$B$32,0)))*(1-IF(AND(ArtifactsInput!$M$27,Inputs!$B$4="Chapter Hunt"),CHOOSE(ArtifactsInput!$N$27+1,20,24,28,32,36,40),0)/100)),0)</f>
        <v/>
      </c>
      <c r="R2145">
        <f>IF(AND(Inputs!$B$38&lt;&gt;"pvp",Inputs!$B$43&gt;0),IF(MAX(0,Inputs!$B$43-B2176)&lt;=0,0,(INT(MAX(0,Inputs!$B$43-B2176)/(IF(Inputs!$B$38="pvp",15,MAX(0.1,Skills!E7-IF(Skills!F7=TRUE,Inputs!$B$32,0)))*(1-IF(AND(ArtifactsInput!$M$27,Inputs!$B$4="Chapter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IFERROR(1/(IF(Inputs!$B$38="pvp",15,MAX(0.1,Skills!E8-IF(Skills!F8=TRUE,Inputs!$B$32,0)))*(1-IF(AND(ArtifactsInput!$M$27,Inputs!$B$4="Chapter Hunt"),CHOOSE(ArtifactsInput!$N$27+1,20,24,28,32,36,40),0)/100)),0)</f>
        <v/>
      </c>
      <c r="R2146">
        <f>IF(AND(Inputs!$B$38&lt;&gt;"pvp",Inputs!$B$43&gt;0),IF(MAX(0,Inputs!$B$43-B2176)&lt;=0,0,(INT(MAX(0,Inputs!$B$43-B2176)/(IF(Inputs!$B$38="pvp",15,MAX(0.1,Skills!E8-IF(Skills!F8=TRUE,Inputs!$B$32,0)))*(1-IF(AND(ArtifactsInput!$M$27,Inputs!$B$4="Chapter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IFERROR(1/(IF(Inputs!$B$38="pvp",15,MAX(0.1,Skills!E9-IF(Skills!F7=TRUE,Inputs!$B$32,0)))*(1-IF(AND(ArtifactsInput!$M$27,Inputs!$B$4="Chapter Hunt"),CHOOSE(ArtifactsInput!$N$27+1,20,24,28,32,36,40),0)/100)),0)</f>
        <v/>
      </c>
      <c r="R2147">
        <f>IF(AND(Inputs!$B$38&lt;&gt;"pvp",Inputs!$B$43&gt;0),IF(MAX(0,Inputs!$B$43-B2176)&lt;=0,0,(INT(MAX(0,Inputs!$B$43-B2176)/(IF(Inputs!$B$38="pvp",15,MAX(0.1,Skills!E9-IF(Skills!F7=TRUE,Inputs!$B$32,0)))*(1-IF(AND(ArtifactsInput!$M$27,Inputs!$B$4="Chapter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IFERROR(1/(IF(Inputs!$B$38="pvp",15,MAX(0.1,Skills!E10-IF(Skills!F10=TRUE,Inputs!$B$32,0)))*(1-IF(AND(ArtifactsInput!$M$27,Inputs!$B$4="Chapter Hunt"),CHOOSE(ArtifactsInput!$N$27+1,20,24,28,32,36,40),0)/100)),0)</f>
        <v/>
      </c>
      <c r="R2148">
        <f>IF(AND(Inputs!$B$38&lt;&gt;"pvp",Inputs!$B$43&gt;0),IF(MAX(0,Inputs!$B$43-B2176)&lt;=0,0,(INT(MAX(0,Inputs!$B$43-B2176)/(IF(Inputs!$B$38="pvp",15,MAX(0.1,Skills!E10-IF(Skills!F10=TRUE,Inputs!$B$32,0)))*(1-IF(AND(ArtifactsInput!$M$27,Inputs!$B$4="Chapter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IFERROR(1/(IF(Inputs!$B$38="pvp",15,MAX(0.1,Skills!E11-IF(Skills!F11=TRUE,Inputs!$B$32,0)))*(1-IF(AND(ArtifactsInput!$M$27,Inputs!$B$4="Chapter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IFERROR(1/(IF(Inputs!$B$38="pvp",15,MAX(0.1,Skills!E12-IF(Skills!F12=TRUE,Inputs!$B$32,0)))*(1-IF(AND(ArtifactsInput!$M$27,Inputs!$B$4="Chapter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IFERROR(1/(IF(Inputs!$B$38="pvp",15,MAX(0.1,Skills!E13-IF(Skills!F13=TRUE,Inputs!$B$32,0)))*(1-IF(AND(ArtifactsInput!$M$27,Inputs!$B$4="Chapter Hunt"),CHOOSE(ArtifactsInput!$N$27+1,20,24,28,32,36,40),0)/100)),0)</f>
        <v/>
      </c>
      <c r="R2151">
        <f>IF(AND(Inputs!$B$38&lt;&gt;"pvp",Inputs!$B$43&gt;0),IF(MAX(0,Inputs!$B$43-B2176)&lt;=0,0,(INT(MAX(0,Inputs!$B$43-B2176)/(IF(Inputs!$B$38="pvp",15,MAX(0.1,Skills!E13-IF(Skills!F13=TRUE,Inputs!$B$32,0)))*(1-IF(AND(ArtifactsInput!$M$27,Inputs!$B$4="Chapter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IFERROR(1/(IF(Inputs!$B$38="pvp",15,MAX(0.1,Skills!E14-IF(Skills!F14=TRUE,Inputs!$B$32,0)))*(1-IF(AND(ArtifactsInput!$M$27,Inputs!$B$4="Chapter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IFERROR(1/(IF(Inputs!$B$38="pvp",15,MAX(0.1,Skills!E15-IF(Skills!F15=TRUE,Inputs!$B$32,0)))*(1-IF(AND(ArtifactsInput!$M$27,Inputs!$B$4="Chapter Hunt"),CHOOSE(ArtifactsInput!$N$27+1,20,24,28,32,36,40),0)/100)),0)</f>
        <v/>
      </c>
      <c r="R2153">
        <f>IF(AND(Inputs!$B$38&lt;&gt;"pvp",Inputs!$B$43&gt;0),IF(MAX(0,Inputs!$B$43-B2176)&lt;=0,0,(INT(MAX(0,Inputs!$B$43-B2176)/(IF(Inputs!$B$38="pvp",15,MAX(0.1,Skills!E15-IF(Skills!F15=TRUE,Inputs!$B$32,0)))*(1-IF(AND(ArtifactsInput!$M$27,Inputs!$B$4="Chapter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IFERROR(1/(IF(Inputs!$B$38="pvp",15,MAX(0.1,Skills!E16-IF(Skills!F16=TRUE,Inputs!$B$32,0)))*(1-IF(AND(ArtifactsInput!$M$27,Inputs!$B$4="Chapter Hunt"),CHOOSE(ArtifactsInput!$N$27+1,20,24,28,32,36,40),0)/100)),0)</f>
        <v/>
      </c>
      <c r="R2154">
        <f>IF(AND(Inputs!$B$38&lt;&gt;"pvp",Inputs!$B$43&gt;0),IF(MAX(0,Inputs!$B$43-B2176)&lt;=0,0,(INT(MAX(0,Inputs!$B$43-B2176)/(IF(Inputs!$B$38="pvp",15,MAX(0.1,Skills!E16-IF(Skills!F16=TRUE,Inputs!$B$32,0)))*(1-IF(AND(ArtifactsInput!$M$27,Inputs!$B$4="Chapter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IFERROR(1/(IF(Inputs!$B$38="pvp",15,MAX(0.1,Skills!E17-IF(Skills!F17=TRUE,Inputs!$B$32,0)))*(1-IF(AND(ArtifactsInput!$M$27,Inputs!$B$4="Chapter Hunt"),CHOOSE(ArtifactsInput!$N$27+1,20,24,28,32,36,40),0)/100)),0)</f>
        <v/>
      </c>
      <c r="R2155">
        <f>IF(AND(Inputs!$B$38&lt;&gt;"pvp",Inputs!$B$43&gt;0),IF(Inputs!$B$43&lt;=0,0,(INT(Inputs!$B$43/(IF(Inputs!$B$38="pvp",15,MAX(0.1,Skills!E17-IF(Skills!F17=TRUE,Inputs!$B$32,0)))*(1-IF(AND(ArtifactsInput!$M$27,Inputs!$B$4="Chapter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IFERROR(1/(IF(Inputs!$B$38="pvp",15,MAX(0.1,Skills!E18-IF(Skills!F18=TRUE,Inputs!$B$32,0)))*(1-IF(AND(ArtifactsInput!$M$27,Inputs!$B$4="Chapter Hunt"),CHOOSE(ArtifactsInput!$N$27+1,20,24,28,32,36,40),0)/100)),0)</f>
        <v/>
      </c>
      <c r="R2156">
        <f>IF(AND(Inputs!$B$38&lt;&gt;"pvp",Inputs!$B$43&gt;0),IF(Inputs!$B$43&lt;=0,0,(INT(Inputs!$B$43/(IF(Inputs!$B$38="pvp",15,MAX(0.1,Skills!E18-IF(Skills!F18=TRUE,Inputs!$B$32,0)))*(1-IF(AND(ArtifactsInput!$M$27,Inputs!$B$4="Chapter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IFERROR(1/(IF(Inputs!$B$38="pvp",15,MAX(0.1,Skills!E19-IF(Skills!F19=TRUE,Inputs!$B$32,0)))*(1-IF(AND(ArtifactsInput!$M$27,Inputs!$B$4="Chapter Hunt"),CHOOSE(ArtifactsInput!$N$27+1,20,24,28,32,36,40),0)/100)),0)</f>
        <v/>
      </c>
      <c r="R2157">
        <f>IF(AND(Inputs!$B$38&lt;&gt;"pvp",Inputs!$B$43&gt;0),IF(Inputs!$B$43&lt;=0,0,(INT(Inputs!$B$43/(IF(Inputs!$B$38="pvp",15,MAX(0.1,Skills!E19-IF(Skills!F19=TRUE,Inputs!$B$32,0)))*(1-IF(AND(ArtifactsInput!$M$27,Inputs!$B$4="Chapter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IFERROR(1/(IF(Inputs!$B$38="pvp",15,MAX(0.1,Skills!E20-IF(Skills!F20=TRUE,Inputs!$B$32,0)))*(1-IF(AND(ArtifactsInput!$M$27,Inputs!$B$4="Chapter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IFERROR(1/(IF(Inputs!$B$38="pvp",15,MAX(0.1,Skills!E21-IF(Skills!F21=TRUE,Inputs!$B$32,0)))*(1-IF(AND(ArtifactsInput!$M$27,Inputs!$B$4="Chapter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IFERROR(1/(IF(Inputs!$B$38="pvp",15,MAX(0.1,Skills!E22-IF(Skills!F22=TRUE,Inputs!$B$32,0)))*(1-IF(AND(ArtifactsInput!$M$27,Inputs!$B$4="Chapter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IFERROR(1/(IF(Inputs!$B$38="pvp",15,MAX(0.1,Skills!E23-IF(Skills!F23=TRUE,Inputs!$B$32,0)))*(1-IF(AND(ArtifactsInput!$M$27,Inputs!$B$4="Chapter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IFERROR(1/(IF(Inputs!$B$38="pvp",15,MAX(0.1,Skills!E24-IF(Skills!F24=TRUE,Inputs!$B$32,0)))*(1-IF(AND(ArtifactsInput!$M$27,Inputs!$B$4="Chapter Hunt"),CHOOSE(ArtifactsInput!$N$27+1,20,24,28,32,36,40),0)/100)),0)</f>
        <v/>
      </c>
      <c r="R2162">
        <f>IF(AND(Inputs!$B$38&lt;&gt;"pvp",Inputs!$B$43&gt;0),IF(MAX(0,Inputs!$B$43-B2176)&lt;=0,0,(INT(MAX(0,Inputs!$B$43-B2176)/(IF(Inputs!$B$38="pvp",15,MAX(0.1,Skills!E24-IF(Skills!F24=TRUE,Inputs!$B$32,0)))*(1-IF(AND(ArtifactsInput!$M$27,Inputs!$B$4="Chapter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IFERROR(1/(IF(Inputs!$B$38="pvp",15,MAX(0.1,Skills!E25-IF(Skills!F25=TRUE,Inputs!$B$32,0)))*(1-IF(AND(ArtifactsInput!$M$27,Inputs!$B$4="Chapter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IFERROR(1/(IF(Inputs!$B$38="pvp",15,MAX(0.1,Skills!E26-IF(Skills!F26=TRUE,Inputs!$B$32,0)))*(1-IF(AND(ArtifactsInput!$M$27,Inputs!$B$4="Chapter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IFERROR(1/(IF(Inputs!$B$38="pvp",15,MAX(0.1,Skills!E27-IF(Skills!F27=TRUE,Inputs!$B$32,0)))*(1-IF(AND(ArtifactsInput!$M$27,Inputs!$B$4="Chapter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IFERROR(1/(IF(Inputs!$B$38="pvp",15,MAX(0.1,Skills!E28-IF(Skills!F28=TRUE,Inputs!$B$32,0)))*(1-IF(AND(ArtifactsInput!$M$27,Inputs!$B$4="Chapter Hunt"),CHOOSE(ArtifactsInput!$N$27+1,20,24,28,32,36,40),0)/100)),0)</f>
        <v/>
      </c>
      <c r="R2166">
        <f>IF(AND(Inputs!$B$38&lt;&gt;"pvp",Inputs!$B$43&gt;0),IF(MAX(0,Inputs!$B$43-B2176)&lt;=0,0,(INT(MAX(0,Inputs!$B$43-B2176)/(IF(Inputs!$B$38="pvp",15,MAX(0.1,Skills!E28-IF(Skills!F28=TRUE,Inputs!$B$32,0)))*(1-IF(AND(ArtifactsInput!$M$27,Inputs!$B$4="Chapter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Skills!T6*(1+((Inputs!$B$34+(ArtifactsInput!$M$7-ArtifactsInput!$M$7)*CHOOSE(ArtifactsInput!$N$7+1,6,7.2,8.4,9.6,10.8,12))+IF(Inputs!$B$3&gt;=117,F2163,0))/100))+MIN((Skills!T6*(1+((Inputs!$B$34+(ArtifactsInput!$M$7-ArtifactsInput!$M$7)*CHOOSE(ArtifactsInput!$N$7+1,6,7.2,8.4,9.6,10.8,12))+IF(Inputs!$B$3&gt;=117,F2163,0))/100)),MAX(0,Inputs!$B$43-((R2144-1)*Skills!E6))))/Inputs!$B$43),IF(Inputs!$B$38="pvp",MIN((Skills!T6*(1+((Inputs!$B$34+(ArtifactsInput!$M$7-ArtifactsInput!$M$7)*CHOOSE(ArtifactsInput!$N$7+1,6,7.2,8.4,9.6,10.8,12))+IF(Inputs!$B$3&gt;=117,F2163,0))/100)),15)/15,(Skills!T6*(1+((Inputs!$B$34+(ArtifactsInput!$M$7-ArtifactsInput!$M$7)*CHOOSE(ArtifactsInput!$N$7+1,6,7.2,8.4,9.6,10.8,12))+IF(Inputs!$B$3&gt;=117,F2163,0))/100))/Skills!E6))+F2155*IF(AND(Inputs!$B$38&lt;&gt;"pvp",Inputs!$B$43&gt;0),(((R2155-1)*(Skills!T17*(1+((Inputs!$B$34+(ArtifactsInput!$M$7-ArtifactsInput!$M$7)*CHOOSE(ArtifactsInput!$N$7+1,6,7.2,8.4,9.6,10.8,12))+IF(Inputs!$B$3&gt;=117,F2163,0))/100))+MIN((Skills!T17*(1+((Inputs!$B$34+(ArtifactsInput!$M$7-ArtifactsInput!$M$7)*CHOOSE(ArtifactsInput!$N$7+1,6,7.2,8.4,9.6,10.8,12))+IF(Inputs!$B$3&gt;=117,F2163,0))/100)),MAX(0,Inputs!$B$43-((R2155-1)*Skills!E17))))/Inputs!$B$43),IF(Inputs!$B$38="pvp",MIN((Skills!T17*(1+((Inputs!$B$34+(ArtifactsInput!$M$7-ArtifactsInput!$M$7)*CHOOSE(ArtifactsInput!$N$7+1,6,7.2,8.4,9.6,10.8,12))+IF(Inputs!$B$3&gt;=117,F2163,0))/100)),15)/15,(Skills!T17*(1+((Inputs!$B$34+(ArtifactsInput!$M$7-ArtifactsInput!$M$7)*CHOOSE(ArtifactsInput!$N$7+1,6,7.2,8.4,9.6,10.8,12))+IF(Inputs!$B$3&gt;=117,F2163,0)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Skills!T19*(1+((Inputs!$B$34+(ArtifactsInput!$M$7-ArtifactsInput!$M$7)*CHOOSE(ArtifactsInput!$N$7+1,6,7.2,8.4,9.6,10.8,12))+IF(Inputs!$B$3&gt;=117,F2163,0))/100))+MIN((Skills!T19*(1+((Inputs!$B$34+(ArtifactsInput!$M$7-ArtifactsInput!$M$7)*CHOOSE(ArtifactsInput!$N$7+1,6,7.2,8.4,9.6,10.8,12))+IF(Inputs!$B$3&gt;=117,F2163,0))/100)),MAX(0,Inputs!$B$43-((R2157-1)*Skills!E19))))/Inputs!$B$43),IF(Inputs!$B$38="pvp",MIN((Skills!T19*(1+((Inputs!$B$34+(ArtifactsInput!$M$7-ArtifactsInput!$M$7)*CHOOSE(ArtifactsInput!$N$7+1,6,7.2,8.4,9.6,10.8,12))+IF(Inputs!$B$3&gt;=117,F2163,0))/100)),15)/15,(Skills!T19*(1+((Inputs!$B$34+(ArtifactsInput!$M$7-ArtifactsInput!$M$7)*CHOOSE(ArtifactsInput!$N$7+1,6,7.2,8.4,9.6,10.8,12))+IF(Inputs!$B$3&gt;=117,F2163,0))/100))/Skills!E19))/100),1)</f>
        <v/>
      </c>
    </row>
    <row r="2171">
      <c r="A2171" t="inlineStr">
        <is>
          <t>Attack Speed Buff Bonus % (Nimble Feet, averaged)</t>
        </is>
      </c>
      <c r="B2171">
        <f>F2156*IF(AND(Inputs!$B$38&lt;&gt;"pvp",Inputs!$B$43&gt;0),(((R2156-1)*(Skills!T18*(1+((Inputs!$B$34+(ArtifactsInput!$M$7-ArtifactsInput!$M$7)*CHOOSE(ArtifactsInput!$N$7+1,6,7.2,8.4,9.6,10.8,12))+IF(Inputs!$B$3&gt;=117,F2163,0))/100))+MIN((Skills!T18*(1+((Inputs!$B$34+(ArtifactsInput!$M$7-ArtifactsInput!$M$7)*CHOOSE(ArtifactsInput!$N$7+1,6,7.2,8.4,9.6,10.8,12))+IF(Inputs!$B$3&gt;=117,F2163,0))/100)),MAX(0,Inputs!$B$43-((R2156-1)*Skills!E18))))/Inputs!$B$43),IF(Inputs!$B$38="pvp",MIN((Skills!T18*(1+((Inputs!$B$34+(ArtifactsInput!$M$7-ArtifactsInput!$M$7)*CHOOSE(ArtifactsInput!$N$7+1,6,7.2,8.4,9.6,10.8,12))+IF(Inputs!$B$3&gt;=117,F2163,0))/100)),15)/15,(Skills!T18*(1+((Inputs!$B$34+(ArtifactsInput!$M$7-ArtifactsInput!$M$7)*CHOOSE(ArtifactsInput!$N$7+1,6,7.2,8.4,9.6,10.8,12))+IF(Inputs!$B$3&gt;=117,F2163,0))/100))/Skills!E18))</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IFERROR(1/(IF(Inputs!$B$38="pvp",15,MAX(0.1,Skills!E2-IF(Skills!F2=TRUE,Inputs!$B$32,0)))*(1-IF(AND(ArtifactsInput!$M$27,Inputs!$B$4="Chapter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IFERROR(1/(IF(Inputs!$B$38="pvp",15,MAX(0.1,Skills!E3-IF(Skills!F3=TRUE,Inputs!$B$32,0)))*(1-IF(AND(ArtifactsInput!$M$27,Inputs!$B$4="Chapter Hunt"),CHOOSE(ArtifactsInput!$N$27+1,20,24,28,32,36,40),0)/100)),0)</f>
        <v/>
      </c>
      <c r="R2185">
        <f>IF(AND(Inputs!$B$38&lt;&gt;"pvp",Inputs!$B$43&gt;0),IF(MAX(0,Inputs!$B$43-B2220)&lt;=0,0,(INT(MAX(0,Inputs!$B$43-B2220)/(IF(Inputs!$B$38="pvp",15,MAX(0.1,Skills!E3-IF(Skills!F3=TRUE,Inputs!$B$32,0)))*(1-IF(AND(ArtifactsInput!$M$27,Inputs!$B$4="Chapter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IFERROR(1/(IF(Inputs!$B$38="pvp",15,MAX(0.1,Skills!E4-IF(Skills!F4=TRUE,Inputs!$B$32,0)))*(1-IF(AND(ArtifactsInput!$M$27,Inputs!$B$4="Chapter Hunt"),CHOOSE(ArtifactsInput!$N$27+1,20,24,28,32,36,40),0)/100)),0)</f>
        <v/>
      </c>
      <c r="R2186">
        <f>IF(AND(Inputs!$B$38&lt;&gt;"pvp",Inputs!$B$43&gt;0),IF(MAX(0,Inputs!$B$43-B2220)&lt;=0,0,(INT(MAX(0,Inputs!$B$43-B2220)/(IF(Inputs!$B$38="pvp",15,MAX(0.1,Skills!E4-IF(Skills!F4=TRUE,Inputs!$B$32,0)))*(1-IF(AND(ArtifactsInput!$M$27,Inputs!$B$4="Chapter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IFERROR(1/(IF(Inputs!$B$38="pvp",15,MAX(0.1,Skills!E5-IF(Skills!F5=TRUE,Inputs!$B$32,0)))*(1-IF(AND(ArtifactsInput!$M$27,Inputs!$B$4="Chapter Hunt"),CHOOSE(ArtifactsInput!$N$27+1,20,24,28,32,36,40),0)/100)),0)</f>
        <v/>
      </c>
      <c r="R2187">
        <f>IF(AND(Inputs!$B$38&lt;&gt;"pvp",Inputs!$B$43&gt;0),IF(MAX(0,Inputs!$B$43-B2220)&lt;=0,0,(INT(MAX(0,Inputs!$B$43-B2220)/(IF(Inputs!$B$38="pvp",15,MAX(0.1,Skills!E5-IF(Skills!F5=TRUE,Inputs!$B$32,0)))*(1-IF(AND(ArtifactsInput!$M$27,Inputs!$B$4="Chapter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IFERROR(1/(IF(Inputs!$B$38="pvp",15,MAX(0.1,Skills!E6-IF(Skills!F6=TRUE,Inputs!$B$32,0)))*(1-IF(AND(ArtifactsInput!$M$27,Inputs!$B$4="Chapter Hunt"),CHOOSE(ArtifactsInput!$N$27+1,20,24,28,32,36,40),0)/100)),0)</f>
        <v/>
      </c>
      <c r="R2188">
        <f>IF(AND(Inputs!$B$38&lt;&gt;"pvp",Inputs!$B$43&gt;0),IF(Inputs!$B$43&lt;=0,0,(INT(Inputs!$B$43/(IF(Inputs!$B$38="pvp",15,MAX(0.1,Skills!E6-IF(Skills!F6=TRUE,Inputs!$B$32,0)))*(1-IF(AND(ArtifactsInput!$M$27,Inputs!$B$4="Chapter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IFERROR(1/(IF(Inputs!$B$38="pvp",15,MAX(0.1,Skills!E7-IF(Skills!F7=TRUE,Inputs!$B$32,0)))*(1-IF(AND(ArtifactsInput!$M$27,Inputs!$B$4="Chapter Hunt"),CHOOSE(ArtifactsInput!$N$27+1,20,24,28,32,36,40),0)/100)),0)</f>
        <v/>
      </c>
      <c r="R2189">
        <f>IF(AND(Inputs!$B$38&lt;&gt;"pvp",Inputs!$B$43&gt;0),IF(MAX(0,Inputs!$B$43-B2220)&lt;=0,0,(INT(MAX(0,Inputs!$B$43-B2220)/(IF(Inputs!$B$38="pvp",15,MAX(0.1,Skills!E7-IF(Skills!F7=TRUE,Inputs!$B$32,0)))*(1-IF(AND(ArtifactsInput!$M$27,Inputs!$B$4="Chapter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IFERROR(1/(IF(Inputs!$B$38="pvp",15,MAX(0.1,Skills!E8-IF(Skills!F8=TRUE,Inputs!$B$32,0)))*(1-IF(AND(ArtifactsInput!$M$27,Inputs!$B$4="Chapter Hunt"),CHOOSE(ArtifactsInput!$N$27+1,20,24,28,32,36,40),0)/100)),0)</f>
        <v/>
      </c>
      <c r="R2190">
        <f>IF(AND(Inputs!$B$38&lt;&gt;"pvp",Inputs!$B$43&gt;0),IF(MAX(0,Inputs!$B$43-B2220)&lt;=0,0,(INT(MAX(0,Inputs!$B$43-B2220)/(IF(Inputs!$B$38="pvp",15,MAX(0.1,Skills!E8-IF(Skills!F8=TRUE,Inputs!$B$32,0)))*(1-IF(AND(ArtifactsInput!$M$27,Inputs!$B$4="Chapter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IFERROR(1/(IF(Inputs!$B$38="pvp",15,MAX(0.1,Skills!E9-IF(Skills!F7=TRUE,Inputs!$B$32,0)))*(1-IF(AND(ArtifactsInput!$M$27,Inputs!$B$4="Chapter Hunt"),CHOOSE(ArtifactsInput!$N$27+1,20,24,28,32,36,40),0)/100)),0)</f>
        <v/>
      </c>
      <c r="R2191">
        <f>IF(AND(Inputs!$B$38&lt;&gt;"pvp",Inputs!$B$43&gt;0),IF(MAX(0,Inputs!$B$43-B2220)&lt;=0,0,(INT(MAX(0,Inputs!$B$43-B2220)/(IF(Inputs!$B$38="pvp",15,MAX(0.1,Skills!E9-IF(Skills!F7=TRUE,Inputs!$B$32,0)))*(1-IF(AND(ArtifactsInput!$M$27,Inputs!$B$4="Chapter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IFERROR(1/(IF(Inputs!$B$38="pvp",15,MAX(0.1,Skills!E10-IF(Skills!F10=TRUE,Inputs!$B$32,0)))*(1-IF(AND(ArtifactsInput!$M$27,Inputs!$B$4="Chapter Hunt"),CHOOSE(ArtifactsInput!$N$27+1,20,24,28,32,36,40),0)/100)),0)</f>
        <v/>
      </c>
      <c r="R2192">
        <f>IF(AND(Inputs!$B$38&lt;&gt;"pvp",Inputs!$B$43&gt;0),IF(MAX(0,Inputs!$B$43-B2220)&lt;=0,0,(INT(MAX(0,Inputs!$B$43-B2220)/(IF(Inputs!$B$38="pvp",15,MAX(0.1,Skills!E10-IF(Skills!F10=TRUE,Inputs!$B$32,0)))*(1-IF(AND(ArtifactsInput!$M$27,Inputs!$B$4="Chapter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IFERROR(1/(IF(Inputs!$B$38="pvp",15,MAX(0.1,Skills!E11-IF(Skills!F11=TRUE,Inputs!$B$32,0)))*(1-IF(AND(ArtifactsInput!$M$27,Inputs!$B$4="Chapter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IFERROR(1/(IF(Inputs!$B$38="pvp",15,MAX(0.1,Skills!E12-IF(Skills!F12=TRUE,Inputs!$B$32,0)))*(1-IF(AND(ArtifactsInput!$M$27,Inputs!$B$4="Chapter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IFERROR(1/(IF(Inputs!$B$38="pvp",15,MAX(0.1,Skills!E13-IF(Skills!F13=TRUE,Inputs!$B$32,0)))*(1-IF(AND(ArtifactsInput!$M$27,Inputs!$B$4="Chapter Hunt"),CHOOSE(ArtifactsInput!$N$27+1,20,24,28,32,36,40),0)/100)),0)</f>
        <v/>
      </c>
      <c r="R2195">
        <f>IF(AND(Inputs!$B$38&lt;&gt;"pvp",Inputs!$B$43&gt;0),IF(MAX(0,Inputs!$B$43-B2220)&lt;=0,0,(INT(MAX(0,Inputs!$B$43-B2220)/(IF(Inputs!$B$38="pvp",15,MAX(0.1,Skills!E13-IF(Skills!F13=TRUE,Inputs!$B$32,0)))*(1-IF(AND(ArtifactsInput!$M$27,Inputs!$B$4="Chapter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IFERROR(1/(IF(Inputs!$B$38="pvp",15,MAX(0.1,Skills!E14-IF(Skills!F14=TRUE,Inputs!$B$32,0)))*(1-IF(AND(ArtifactsInput!$M$27,Inputs!$B$4="Chapter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IFERROR(1/(IF(Inputs!$B$38="pvp",15,MAX(0.1,Skills!E15-IF(Skills!F15=TRUE,Inputs!$B$32,0)))*(1-IF(AND(ArtifactsInput!$M$27,Inputs!$B$4="Chapter Hunt"),CHOOSE(ArtifactsInput!$N$27+1,20,24,28,32,36,40),0)/100)),0)</f>
        <v/>
      </c>
      <c r="R2197">
        <f>IF(AND(Inputs!$B$38&lt;&gt;"pvp",Inputs!$B$43&gt;0),IF(MAX(0,Inputs!$B$43-B2220)&lt;=0,0,(INT(MAX(0,Inputs!$B$43-B2220)/(IF(Inputs!$B$38="pvp",15,MAX(0.1,Skills!E15-IF(Skills!F15=TRUE,Inputs!$B$32,0)))*(1-IF(AND(ArtifactsInput!$M$27,Inputs!$B$4="Chapter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IFERROR(1/(IF(Inputs!$B$38="pvp",15,MAX(0.1,Skills!E16-IF(Skills!F16=TRUE,Inputs!$B$32,0)))*(1-IF(AND(ArtifactsInput!$M$27,Inputs!$B$4="Chapter Hunt"),CHOOSE(ArtifactsInput!$N$27+1,20,24,28,32,36,40),0)/100)),0)</f>
        <v/>
      </c>
      <c r="R2198">
        <f>IF(AND(Inputs!$B$38&lt;&gt;"pvp",Inputs!$B$43&gt;0),IF(MAX(0,Inputs!$B$43-B2220)&lt;=0,0,(INT(MAX(0,Inputs!$B$43-B2220)/(IF(Inputs!$B$38="pvp",15,MAX(0.1,Skills!E16-IF(Skills!F16=TRUE,Inputs!$B$32,0)))*(1-IF(AND(ArtifactsInput!$M$27,Inputs!$B$4="Chapter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IFERROR(1/(IF(Inputs!$B$38="pvp",15,MAX(0.1,Skills!E17-IF(Skills!F17=TRUE,Inputs!$B$32,0)))*(1-IF(AND(ArtifactsInput!$M$27,Inputs!$B$4="Chapter Hunt"),CHOOSE(ArtifactsInput!$N$27+1,20,24,28,32,36,40),0)/100)),0)</f>
        <v/>
      </c>
      <c r="R2199">
        <f>IF(AND(Inputs!$B$38&lt;&gt;"pvp",Inputs!$B$43&gt;0),IF(Inputs!$B$43&lt;=0,0,(INT(Inputs!$B$43/(IF(Inputs!$B$38="pvp",15,MAX(0.1,Skills!E17-IF(Skills!F17=TRUE,Inputs!$B$32,0)))*(1-IF(AND(ArtifactsInput!$M$27,Inputs!$B$4="Chapter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IFERROR(1/(IF(Inputs!$B$38="pvp",15,MAX(0.1,Skills!E18-IF(Skills!F18=TRUE,Inputs!$B$32,0)))*(1-IF(AND(ArtifactsInput!$M$27,Inputs!$B$4="Chapter Hunt"),CHOOSE(ArtifactsInput!$N$27+1,20,24,28,32,36,40),0)/100)),0)</f>
        <v/>
      </c>
      <c r="R2200">
        <f>IF(AND(Inputs!$B$38&lt;&gt;"pvp",Inputs!$B$43&gt;0),IF(Inputs!$B$43&lt;=0,0,(INT(Inputs!$B$43/(IF(Inputs!$B$38="pvp",15,MAX(0.1,Skills!E18-IF(Skills!F18=TRUE,Inputs!$B$32,0)))*(1-IF(AND(ArtifactsInput!$M$27,Inputs!$B$4="Chapter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IFERROR(1/(IF(Inputs!$B$38="pvp",15,MAX(0.1,Skills!E19-IF(Skills!F19=TRUE,Inputs!$B$32,0)))*(1-IF(AND(ArtifactsInput!$M$27,Inputs!$B$4="Chapter Hunt"),CHOOSE(ArtifactsInput!$N$27+1,20,24,28,32,36,40),0)/100)),0)</f>
        <v/>
      </c>
      <c r="R2201">
        <f>IF(AND(Inputs!$B$38&lt;&gt;"pvp",Inputs!$B$43&gt;0),IF(Inputs!$B$43&lt;=0,0,(INT(Inputs!$B$43/(IF(Inputs!$B$38="pvp",15,MAX(0.1,Skills!E19-IF(Skills!F19=TRUE,Inputs!$B$32,0)))*(1-IF(AND(ArtifactsInput!$M$27,Inputs!$B$4="Chapter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IFERROR(1/(IF(Inputs!$B$38="pvp",15,MAX(0.1,Skills!E20-IF(Skills!F20=TRUE,Inputs!$B$32,0)))*(1-IF(AND(ArtifactsInput!$M$27,Inputs!$B$4="Chapter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IFERROR(1/(IF(Inputs!$B$38="pvp",15,MAX(0.1,Skills!E21-IF(Skills!F21=TRUE,Inputs!$B$32,0)))*(1-IF(AND(ArtifactsInput!$M$27,Inputs!$B$4="Chapter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IFERROR(1/(IF(Inputs!$B$38="pvp",15,MAX(0.1,Skills!E22-IF(Skills!F22=TRUE,Inputs!$B$32,0)))*(1-IF(AND(ArtifactsInput!$M$27,Inputs!$B$4="Chapter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IFERROR(1/(IF(Inputs!$B$38="pvp",15,MAX(0.1,Skills!E23-IF(Skills!F23=TRUE,Inputs!$B$32,0)))*(1-IF(AND(ArtifactsInput!$M$27,Inputs!$B$4="Chapter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IFERROR(1/(IF(Inputs!$B$38="pvp",15,MAX(0.1,Skills!E24-IF(Skills!F24=TRUE,Inputs!$B$32,0)))*(1-IF(AND(ArtifactsInput!$M$27,Inputs!$B$4="Chapter Hunt"),CHOOSE(ArtifactsInput!$N$27+1,20,24,28,32,36,40),0)/100)),0)</f>
        <v/>
      </c>
      <c r="R2206">
        <f>IF(AND(Inputs!$B$38&lt;&gt;"pvp",Inputs!$B$43&gt;0),IF(MAX(0,Inputs!$B$43-B2220)&lt;=0,0,(INT(MAX(0,Inputs!$B$43-B2220)/(IF(Inputs!$B$38="pvp",15,MAX(0.1,Skills!E24-IF(Skills!F24=TRUE,Inputs!$B$32,0)))*(1-IF(AND(ArtifactsInput!$M$27,Inputs!$B$4="Chapter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IFERROR(1/(IF(Inputs!$B$38="pvp",15,MAX(0.1,Skills!E25-IF(Skills!F25=TRUE,Inputs!$B$32,0)))*(1-IF(AND(ArtifactsInput!$M$27,Inputs!$B$4="Chapter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IFERROR(1/(IF(Inputs!$B$38="pvp",15,MAX(0.1,Skills!E26-IF(Skills!F26=TRUE,Inputs!$B$32,0)))*(1-IF(AND(ArtifactsInput!$M$27,Inputs!$B$4="Chapter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IFERROR(1/(IF(Inputs!$B$38="pvp",15,MAX(0.1,Skills!E27-IF(Skills!F27=TRUE,Inputs!$B$32,0)))*(1-IF(AND(ArtifactsInput!$M$27,Inputs!$B$4="Chapter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IFERROR(1/(IF(Inputs!$B$38="pvp",15,MAX(0.1,Skills!E28-IF(Skills!F28=TRUE,Inputs!$B$32,0)))*(1-IF(AND(ArtifactsInput!$M$27,Inputs!$B$4="Chapter Hunt"),CHOOSE(ArtifactsInput!$N$27+1,20,24,28,32,36,40),0)/100)),0)</f>
        <v/>
      </c>
      <c r="R2210">
        <f>IF(AND(Inputs!$B$38&lt;&gt;"pvp",Inputs!$B$43&gt;0),IF(MAX(0,Inputs!$B$43-B2220)&lt;=0,0,(INT(MAX(0,Inputs!$B$43-B2220)/(IF(Inputs!$B$38="pvp",15,MAX(0.1,Skills!E28-IF(Skills!F28=TRUE,Inputs!$B$32,0)))*(1-IF(AND(ArtifactsInput!$M$27,Inputs!$B$4="Chapter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Skills!T6*(1+((Inputs!$B$34+(ArtifactsInput!$M$7-ArtifactsInput!$M$7)*CHOOSE(ArtifactsInput!$N$7+1,6,7.2,8.4,9.6,10.8,12))+IF(Inputs!$B$3&gt;=117,F2207,0))/100))+MIN((Skills!T6*(1+((Inputs!$B$34+(ArtifactsInput!$M$7-ArtifactsInput!$M$7)*CHOOSE(ArtifactsInput!$N$7+1,6,7.2,8.4,9.6,10.8,12))+IF(Inputs!$B$3&gt;=117,F2207,0))/100)),MAX(0,Inputs!$B$43-((R2188-1)*Skills!E6))))/Inputs!$B$43),IF(Inputs!$B$38="pvp",MIN((Skills!T6*(1+((Inputs!$B$34+(ArtifactsInput!$M$7-ArtifactsInput!$M$7)*CHOOSE(ArtifactsInput!$N$7+1,6,7.2,8.4,9.6,10.8,12))+IF(Inputs!$B$3&gt;=117,F2207,0))/100)),15)/15,(Skills!T6*(1+((Inputs!$B$34+(ArtifactsInput!$M$7-ArtifactsInput!$M$7)*CHOOSE(ArtifactsInput!$N$7+1,6,7.2,8.4,9.6,10.8,12))+IF(Inputs!$B$3&gt;=117,F2207,0))/100))/Skills!E6))+F2199*IF(AND(Inputs!$B$38&lt;&gt;"pvp",Inputs!$B$43&gt;0),(((R2199-1)*(Skills!T17*(1+((Inputs!$B$34+(ArtifactsInput!$M$7-ArtifactsInput!$M$7)*CHOOSE(ArtifactsInput!$N$7+1,6,7.2,8.4,9.6,10.8,12))+IF(Inputs!$B$3&gt;=117,F2207,0))/100))+MIN((Skills!T17*(1+((Inputs!$B$34+(ArtifactsInput!$M$7-ArtifactsInput!$M$7)*CHOOSE(ArtifactsInput!$N$7+1,6,7.2,8.4,9.6,10.8,12))+IF(Inputs!$B$3&gt;=117,F2207,0))/100)),MAX(0,Inputs!$B$43-((R2199-1)*Skills!E17))))/Inputs!$B$43),IF(Inputs!$B$38="pvp",MIN((Skills!T17*(1+((Inputs!$B$34+(ArtifactsInput!$M$7-ArtifactsInput!$M$7)*CHOOSE(ArtifactsInput!$N$7+1,6,7.2,8.4,9.6,10.8,12))+IF(Inputs!$B$3&gt;=117,F2207,0))/100)),15)/15,(Skills!T17*(1+((Inputs!$B$34+(ArtifactsInput!$M$7-ArtifactsInput!$M$7)*CHOOSE(ArtifactsInput!$N$7+1,6,7.2,8.4,9.6,10.8,12))+IF(Inputs!$B$3&gt;=117,F2207,0)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Skills!T19*(1+((Inputs!$B$34+(ArtifactsInput!$M$7-ArtifactsInput!$M$7)*CHOOSE(ArtifactsInput!$N$7+1,6,7.2,8.4,9.6,10.8,12))+IF(Inputs!$B$3&gt;=117,F2207,0))/100))+MIN((Skills!T19*(1+((Inputs!$B$34+(ArtifactsInput!$M$7-ArtifactsInput!$M$7)*CHOOSE(ArtifactsInput!$N$7+1,6,7.2,8.4,9.6,10.8,12))+IF(Inputs!$B$3&gt;=117,F2207,0))/100)),MAX(0,Inputs!$B$43-((R2201-1)*Skills!E19))))/Inputs!$B$43),IF(Inputs!$B$38="pvp",MIN((Skills!T19*(1+((Inputs!$B$34+(ArtifactsInput!$M$7-ArtifactsInput!$M$7)*CHOOSE(ArtifactsInput!$N$7+1,6,7.2,8.4,9.6,10.8,12))+IF(Inputs!$B$3&gt;=117,F2207,0))/100)),15)/15,(Skills!T19*(1+((Inputs!$B$34+(ArtifactsInput!$M$7-ArtifactsInput!$M$7)*CHOOSE(ArtifactsInput!$N$7+1,6,7.2,8.4,9.6,10.8,12))+IF(Inputs!$B$3&gt;=117,F2207,0))/100))/Skills!E19))/100),1)</f>
        <v/>
      </c>
    </row>
    <row r="2215">
      <c r="A2215" t="inlineStr">
        <is>
          <t>Attack Speed Buff Bonus % (Nimble Feet, averaged)</t>
        </is>
      </c>
      <c r="B2215">
        <f>F2200*IF(AND(Inputs!$B$38&lt;&gt;"pvp",Inputs!$B$43&gt;0),(((R2200-1)*(Skills!T18*(1+((Inputs!$B$34+(ArtifactsInput!$M$7-ArtifactsInput!$M$7)*CHOOSE(ArtifactsInput!$N$7+1,6,7.2,8.4,9.6,10.8,12))+IF(Inputs!$B$3&gt;=117,F2207,0))/100))+MIN((Skills!T18*(1+((Inputs!$B$34+(ArtifactsInput!$M$7-ArtifactsInput!$M$7)*CHOOSE(ArtifactsInput!$N$7+1,6,7.2,8.4,9.6,10.8,12))+IF(Inputs!$B$3&gt;=117,F2207,0))/100)),MAX(0,Inputs!$B$43-((R2200-1)*Skills!E18))))/Inputs!$B$43),IF(Inputs!$B$38="pvp",MIN((Skills!T18*(1+((Inputs!$B$34+(ArtifactsInput!$M$7-ArtifactsInput!$M$7)*CHOOSE(ArtifactsInput!$N$7+1,6,7.2,8.4,9.6,10.8,12))+IF(Inputs!$B$3&gt;=117,F2207,0))/100)),15)/15,(Skills!T18*(1+((Inputs!$B$34+(ArtifactsInput!$M$7-ArtifactsInput!$M$7)*CHOOSE(ArtifactsInput!$N$7+1,6,7.2,8.4,9.6,10.8,12))+IF(Inputs!$B$3&gt;=117,F2207,0))/100))/Skills!E18))</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IFERROR(1/(IF(Inputs!$B$38="pvp",15,MAX(0.1,Skills!E2-IF(Skills!F2=TRUE,Inputs!$B$32,0)))*(1-IF(AND(ArtifactsInput!$M$27,Inputs!$B$4="Chapter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IFERROR(1/(IF(Inputs!$B$38="pvp",15,MAX(0.1,Skills!E3-IF(Skills!F3=TRUE,Inputs!$B$32,0)))*(1-IF(AND(ArtifactsInput!$M$27,Inputs!$B$4="Chapter Hunt"),CHOOSE(ArtifactsInput!$N$27+1,20,24,28,32,36,40),0)/100)),0)</f>
        <v/>
      </c>
      <c r="R2229">
        <f>IF(AND(Inputs!$B$38&lt;&gt;"pvp",Inputs!$B$43&gt;0),IF(MAX(0,Inputs!$B$43-B2264)&lt;=0,0,(INT(MAX(0,Inputs!$B$43-B2264)/(IF(Inputs!$B$38="pvp",15,MAX(0.1,Skills!E3-IF(Skills!F3=TRUE,Inputs!$B$32,0)))*(1-IF(AND(ArtifactsInput!$M$27,Inputs!$B$4="Chapter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IFERROR(1/(IF(Inputs!$B$38="pvp",15,MAX(0.1,Skills!E4-IF(Skills!F4=TRUE,Inputs!$B$32,0)))*(1-IF(AND(ArtifactsInput!$M$27,Inputs!$B$4="Chapter Hunt"),CHOOSE(ArtifactsInput!$N$27+1,20,24,28,32,36,40),0)/100)),0)</f>
        <v/>
      </c>
      <c r="R2230">
        <f>IF(AND(Inputs!$B$38&lt;&gt;"pvp",Inputs!$B$43&gt;0),IF(MAX(0,Inputs!$B$43-B2264)&lt;=0,0,(INT(MAX(0,Inputs!$B$43-B2264)/(IF(Inputs!$B$38="pvp",15,MAX(0.1,Skills!E4-IF(Skills!F4=TRUE,Inputs!$B$32,0)))*(1-IF(AND(ArtifactsInput!$M$27,Inputs!$B$4="Chapter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IFERROR(1/(IF(Inputs!$B$38="pvp",15,MAX(0.1,Skills!E5-IF(Skills!F5=TRUE,Inputs!$B$32,0)))*(1-IF(AND(ArtifactsInput!$M$27,Inputs!$B$4="Chapter Hunt"),CHOOSE(ArtifactsInput!$N$27+1,20,24,28,32,36,40),0)/100)),0)</f>
        <v/>
      </c>
      <c r="R2231">
        <f>IF(AND(Inputs!$B$38&lt;&gt;"pvp",Inputs!$B$43&gt;0),IF(MAX(0,Inputs!$B$43-B2264)&lt;=0,0,(INT(MAX(0,Inputs!$B$43-B2264)/(IF(Inputs!$B$38="pvp",15,MAX(0.1,Skills!E5-IF(Skills!F5=TRUE,Inputs!$B$32,0)))*(1-IF(AND(ArtifactsInput!$M$27,Inputs!$B$4="Chapter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IFERROR(1/(IF(Inputs!$B$38="pvp",15,MAX(0.1,Skills!E6-IF(Skills!F6=TRUE,Inputs!$B$32,0)))*(1-IF(AND(ArtifactsInput!$M$27,Inputs!$B$4="Chapter Hunt"),CHOOSE(ArtifactsInput!$N$27+1,20,24,28,32,36,40),0)/100)),0)</f>
        <v/>
      </c>
      <c r="R2232">
        <f>IF(AND(Inputs!$B$38&lt;&gt;"pvp",Inputs!$B$43&gt;0),IF(Inputs!$B$43&lt;=0,0,(INT(Inputs!$B$43/(IF(Inputs!$B$38="pvp",15,MAX(0.1,Skills!E6-IF(Skills!F6=TRUE,Inputs!$B$32,0)))*(1-IF(AND(ArtifactsInput!$M$27,Inputs!$B$4="Chapter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IFERROR(1/(IF(Inputs!$B$38="pvp",15,MAX(0.1,Skills!E7-IF(Skills!F7=TRUE,Inputs!$B$32,0)))*(1-IF(AND(ArtifactsInput!$M$27,Inputs!$B$4="Chapter Hunt"),CHOOSE(ArtifactsInput!$N$27+1,20,24,28,32,36,40),0)/100)),0)</f>
        <v/>
      </c>
      <c r="R2233">
        <f>IF(AND(Inputs!$B$38&lt;&gt;"pvp",Inputs!$B$43&gt;0),IF(MAX(0,Inputs!$B$43-B2264)&lt;=0,0,(INT(MAX(0,Inputs!$B$43-B2264)/(IF(Inputs!$B$38="pvp",15,MAX(0.1,Skills!E7-IF(Skills!F7=TRUE,Inputs!$B$32,0)))*(1-IF(AND(ArtifactsInput!$M$27,Inputs!$B$4="Chapter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IFERROR(1/(IF(Inputs!$B$38="pvp",15,MAX(0.1,Skills!E8-IF(Skills!F8=TRUE,Inputs!$B$32,0)))*(1-IF(AND(ArtifactsInput!$M$27,Inputs!$B$4="Chapter Hunt"),CHOOSE(ArtifactsInput!$N$27+1,20,24,28,32,36,40),0)/100)),0)</f>
        <v/>
      </c>
      <c r="R2234">
        <f>IF(AND(Inputs!$B$38&lt;&gt;"pvp",Inputs!$B$43&gt;0),IF(MAX(0,Inputs!$B$43-B2264)&lt;=0,0,(INT(MAX(0,Inputs!$B$43-B2264)/(IF(Inputs!$B$38="pvp",15,MAX(0.1,Skills!E8-IF(Skills!F8=TRUE,Inputs!$B$32,0)))*(1-IF(AND(ArtifactsInput!$M$27,Inputs!$B$4="Chapter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IFERROR(1/(IF(Inputs!$B$38="pvp",15,MAX(0.1,Skills!E9-IF(Skills!F7=TRUE,Inputs!$B$32,0)))*(1-IF(AND(ArtifactsInput!$M$27,Inputs!$B$4="Chapter Hunt"),CHOOSE(ArtifactsInput!$N$27+1,20,24,28,32,36,40),0)/100)),0)</f>
        <v/>
      </c>
      <c r="R2235">
        <f>IF(AND(Inputs!$B$38&lt;&gt;"pvp",Inputs!$B$43&gt;0),IF(MAX(0,Inputs!$B$43-B2264)&lt;=0,0,(INT(MAX(0,Inputs!$B$43-B2264)/(IF(Inputs!$B$38="pvp",15,MAX(0.1,Skills!E9-IF(Skills!F7=TRUE,Inputs!$B$32,0)))*(1-IF(AND(ArtifactsInput!$M$27,Inputs!$B$4="Chapter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IFERROR(1/(IF(Inputs!$B$38="pvp",15,MAX(0.1,Skills!E10-IF(Skills!F10=TRUE,Inputs!$B$32,0)))*(1-IF(AND(ArtifactsInput!$M$27,Inputs!$B$4="Chapter Hunt"),CHOOSE(ArtifactsInput!$N$27+1,20,24,28,32,36,40),0)/100)),0)</f>
        <v/>
      </c>
      <c r="R2236">
        <f>IF(AND(Inputs!$B$38&lt;&gt;"pvp",Inputs!$B$43&gt;0),IF(MAX(0,Inputs!$B$43-B2264)&lt;=0,0,(INT(MAX(0,Inputs!$B$43-B2264)/(IF(Inputs!$B$38="pvp",15,MAX(0.1,Skills!E10-IF(Skills!F10=TRUE,Inputs!$B$32,0)))*(1-IF(AND(ArtifactsInput!$M$27,Inputs!$B$4="Chapter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IFERROR(1/(IF(Inputs!$B$38="pvp",15,MAX(0.1,Skills!E11-IF(Skills!F11=TRUE,Inputs!$B$32,0)))*(1-IF(AND(ArtifactsInput!$M$27,Inputs!$B$4="Chapter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IFERROR(1/(IF(Inputs!$B$38="pvp",15,MAX(0.1,Skills!E12-IF(Skills!F12=TRUE,Inputs!$B$32,0)))*(1-IF(AND(ArtifactsInput!$M$27,Inputs!$B$4="Chapter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IFERROR(1/(IF(Inputs!$B$38="pvp",15,MAX(0.1,Skills!E13-IF(Skills!F13=TRUE,Inputs!$B$32,0)))*(1-IF(AND(ArtifactsInput!$M$27,Inputs!$B$4="Chapter Hunt"),CHOOSE(ArtifactsInput!$N$27+1,20,24,28,32,36,40),0)/100)),0)</f>
        <v/>
      </c>
      <c r="R2239">
        <f>IF(AND(Inputs!$B$38&lt;&gt;"pvp",Inputs!$B$43&gt;0),IF(MAX(0,Inputs!$B$43-B2264)&lt;=0,0,(INT(MAX(0,Inputs!$B$43-B2264)/(IF(Inputs!$B$38="pvp",15,MAX(0.1,Skills!E13-IF(Skills!F13=TRUE,Inputs!$B$32,0)))*(1-IF(AND(ArtifactsInput!$M$27,Inputs!$B$4="Chapter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IFERROR(1/(IF(Inputs!$B$38="pvp",15,MAX(0.1,Skills!E14-IF(Skills!F14=TRUE,Inputs!$B$32,0)))*(1-IF(AND(ArtifactsInput!$M$27,Inputs!$B$4="Chapter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IFERROR(1/(IF(Inputs!$B$38="pvp",15,MAX(0.1,Skills!E15-IF(Skills!F15=TRUE,Inputs!$B$32,0)))*(1-IF(AND(ArtifactsInput!$M$27,Inputs!$B$4="Chapter Hunt"),CHOOSE(ArtifactsInput!$N$27+1,20,24,28,32,36,40),0)/100)),0)</f>
        <v/>
      </c>
      <c r="R2241">
        <f>IF(AND(Inputs!$B$38&lt;&gt;"pvp",Inputs!$B$43&gt;0),IF(MAX(0,Inputs!$B$43-B2264)&lt;=0,0,(INT(MAX(0,Inputs!$B$43-B2264)/(IF(Inputs!$B$38="pvp",15,MAX(0.1,Skills!E15-IF(Skills!F15=TRUE,Inputs!$B$32,0)))*(1-IF(AND(ArtifactsInput!$M$27,Inputs!$B$4="Chapter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IFERROR(1/(IF(Inputs!$B$38="pvp",15,MAX(0.1,Skills!E16-IF(Skills!F16=TRUE,Inputs!$B$32,0)))*(1-IF(AND(ArtifactsInput!$M$27,Inputs!$B$4="Chapter Hunt"),CHOOSE(ArtifactsInput!$N$27+1,20,24,28,32,36,40),0)/100)),0)</f>
        <v/>
      </c>
      <c r="R2242">
        <f>IF(AND(Inputs!$B$38&lt;&gt;"pvp",Inputs!$B$43&gt;0),IF(MAX(0,Inputs!$B$43-B2264)&lt;=0,0,(INT(MAX(0,Inputs!$B$43-B2264)/(IF(Inputs!$B$38="pvp",15,MAX(0.1,Skills!E16-IF(Skills!F16=TRUE,Inputs!$B$32,0)))*(1-IF(AND(ArtifactsInput!$M$27,Inputs!$B$4="Chapter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IFERROR(1/(IF(Inputs!$B$38="pvp",15,MAX(0.1,Skills!E17-IF(Skills!F17=TRUE,Inputs!$B$32,0)))*(1-IF(AND(ArtifactsInput!$M$27,Inputs!$B$4="Chapter Hunt"),CHOOSE(ArtifactsInput!$N$27+1,20,24,28,32,36,40),0)/100)),0)</f>
        <v/>
      </c>
      <c r="R2243">
        <f>IF(AND(Inputs!$B$38&lt;&gt;"pvp",Inputs!$B$43&gt;0),IF(Inputs!$B$43&lt;=0,0,(INT(Inputs!$B$43/(IF(Inputs!$B$38="pvp",15,MAX(0.1,Skills!E17-IF(Skills!F17=TRUE,Inputs!$B$32,0)))*(1-IF(AND(ArtifactsInput!$M$27,Inputs!$B$4="Chapter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IFERROR(1/(IF(Inputs!$B$38="pvp",15,MAX(0.1,Skills!E18-IF(Skills!F18=TRUE,Inputs!$B$32,0)))*(1-IF(AND(ArtifactsInput!$M$27,Inputs!$B$4="Chapter Hunt"),CHOOSE(ArtifactsInput!$N$27+1,20,24,28,32,36,40),0)/100)),0)</f>
        <v/>
      </c>
      <c r="R2244">
        <f>IF(AND(Inputs!$B$38&lt;&gt;"pvp",Inputs!$B$43&gt;0),IF(Inputs!$B$43&lt;=0,0,(INT(Inputs!$B$43/(IF(Inputs!$B$38="pvp",15,MAX(0.1,Skills!E18-IF(Skills!F18=TRUE,Inputs!$B$32,0)))*(1-IF(AND(ArtifactsInput!$M$27,Inputs!$B$4="Chapter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IFERROR(1/(IF(Inputs!$B$38="pvp",15,MAX(0.1,Skills!E19-IF(Skills!F19=TRUE,Inputs!$B$32,0)))*(1-IF(AND(ArtifactsInput!$M$27,Inputs!$B$4="Chapter Hunt"),CHOOSE(ArtifactsInput!$N$27+1,20,24,28,32,36,40),0)/100)),0)</f>
        <v/>
      </c>
      <c r="R2245">
        <f>IF(AND(Inputs!$B$38&lt;&gt;"pvp",Inputs!$B$43&gt;0),IF(Inputs!$B$43&lt;=0,0,(INT(Inputs!$B$43/(IF(Inputs!$B$38="pvp",15,MAX(0.1,Skills!E19-IF(Skills!F19=TRUE,Inputs!$B$32,0)))*(1-IF(AND(ArtifactsInput!$M$27,Inputs!$B$4="Chapter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IFERROR(1/(IF(Inputs!$B$38="pvp",15,MAX(0.1,Skills!E20-IF(Skills!F20=TRUE,Inputs!$B$32,0)))*(1-IF(AND(ArtifactsInput!$M$27,Inputs!$B$4="Chapter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IFERROR(1/(IF(Inputs!$B$38="pvp",15,MAX(0.1,Skills!E21-IF(Skills!F21=TRUE,Inputs!$B$32,0)))*(1-IF(AND(ArtifactsInput!$M$27,Inputs!$B$4="Chapter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IFERROR(1/(IF(Inputs!$B$38="pvp",15,MAX(0.1,Skills!E22-IF(Skills!F22=TRUE,Inputs!$B$32,0)))*(1-IF(AND(ArtifactsInput!$M$27,Inputs!$B$4="Chapter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IFERROR(1/(IF(Inputs!$B$38="pvp",15,MAX(0.1,Skills!E23-IF(Skills!F23=TRUE,Inputs!$B$32,0)))*(1-IF(AND(ArtifactsInput!$M$27,Inputs!$B$4="Chapter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IFERROR(1/(IF(Inputs!$B$38="pvp",15,MAX(0.1,Skills!E24-IF(Skills!F24=TRUE,Inputs!$B$32,0)))*(1-IF(AND(ArtifactsInput!$M$27,Inputs!$B$4="Chapter Hunt"),CHOOSE(ArtifactsInput!$N$27+1,20,24,28,32,36,40),0)/100)),0)</f>
        <v/>
      </c>
      <c r="R2250">
        <f>IF(AND(Inputs!$B$38&lt;&gt;"pvp",Inputs!$B$43&gt;0),IF(MAX(0,Inputs!$B$43-B2264)&lt;=0,0,(INT(MAX(0,Inputs!$B$43-B2264)/(IF(Inputs!$B$38="pvp",15,MAX(0.1,Skills!E24-IF(Skills!F24=TRUE,Inputs!$B$32,0)))*(1-IF(AND(ArtifactsInput!$M$27,Inputs!$B$4="Chapter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IFERROR(1/(IF(Inputs!$B$38="pvp",15,MAX(0.1,Skills!E25-IF(Skills!F25=TRUE,Inputs!$B$32,0)))*(1-IF(AND(ArtifactsInput!$M$27,Inputs!$B$4="Chapter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IFERROR(1/(IF(Inputs!$B$38="pvp",15,MAX(0.1,Skills!E26-IF(Skills!F26=TRUE,Inputs!$B$32,0)))*(1-IF(AND(ArtifactsInput!$M$27,Inputs!$B$4="Chapter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IFERROR(1/(IF(Inputs!$B$38="pvp",15,MAX(0.1,Skills!E27-IF(Skills!F27=TRUE,Inputs!$B$32,0)))*(1-IF(AND(ArtifactsInput!$M$27,Inputs!$B$4="Chapter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IFERROR(1/(IF(Inputs!$B$38="pvp",15,MAX(0.1,Skills!E28-IF(Skills!F28=TRUE,Inputs!$B$32,0)))*(1-IF(AND(ArtifactsInput!$M$27,Inputs!$B$4="Chapter Hunt"),CHOOSE(ArtifactsInput!$N$27+1,20,24,28,32,36,40),0)/100)),0)</f>
        <v/>
      </c>
      <c r="R2254">
        <f>IF(AND(Inputs!$B$38&lt;&gt;"pvp",Inputs!$B$43&gt;0),IF(MAX(0,Inputs!$B$43-B2264)&lt;=0,0,(INT(MAX(0,Inputs!$B$43-B2264)/(IF(Inputs!$B$38="pvp",15,MAX(0.1,Skills!E28-IF(Skills!F28=TRUE,Inputs!$B$32,0)))*(1-IF(AND(ArtifactsInput!$M$27,Inputs!$B$4="Chapter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Skills!T6*(1+((Inputs!$B$34+(ArtifactsInput!$M$7-ArtifactsInput!$M$7)*CHOOSE(ArtifactsInput!$N$7+1,6,7.2,8.4,9.6,10.8,12))+IF(Inputs!$B$3&gt;=117,F2251,0))/100))+MIN((Skills!T6*(1+((Inputs!$B$34+(ArtifactsInput!$M$7-ArtifactsInput!$M$7)*CHOOSE(ArtifactsInput!$N$7+1,6,7.2,8.4,9.6,10.8,12))+IF(Inputs!$B$3&gt;=117,F2251,0))/100)),MAX(0,Inputs!$B$43-((R2232-1)*Skills!E6))))/Inputs!$B$43),IF(Inputs!$B$38="pvp",MIN((Skills!T6*(1+((Inputs!$B$34+(ArtifactsInput!$M$7-ArtifactsInput!$M$7)*CHOOSE(ArtifactsInput!$N$7+1,6,7.2,8.4,9.6,10.8,12))+IF(Inputs!$B$3&gt;=117,F2251,0))/100)),15)/15,(Skills!T6*(1+((Inputs!$B$34+(ArtifactsInput!$M$7-ArtifactsInput!$M$7)*CHOOSE(ArtifactsInput!$N$7+1,6,7.2,8.4,9.6,10.8,12))+IF(Inputs!$B$3&gt;=117,F2251,0))/100))/Skills!E6))+F2243*IF(AND(Inputs!$B$38&lt;&gt;"pvp",Inputs!$B$43&gt;0),(((R2243-1)*(Skills!T17*(1+((Inputs!$B$34+(ArtifactsInput!$M$7-ArtifactsInput!$M$7)*CHOOSE(ArtifactsInput!$N$7+1,6,7.2,8.4,9.6,10.8,12))+IF(Inputs!$B$3&gt;=117,F2251,0))/100))+MIN((Skills!T17*(1+((Inputs!$B$34+(ArtifactsInput!$M$7-ArtifactsInput!$M$7)*CHOOSE(ArtifactsInput!$N$7+1,6,7.2,8.4,9.6,10.8,12))+IF(Inputs!$B$3&gt;=117,F2251,0))/100)),MAX(0,Inputs!$B$43-((R2243-1)*Skills!E17))))/Inputs!$B$43),IF(Inputs!$B$38="pvp",MIN((Skills!T17*(1+((Inputs!$B$34+(ArtifactsInput!$M$7-ArtifactsInput!$M$7)*CHOOSE(ArtifactsInput!$N$7+1,6,7.2,8.4,9.6,10.8,12))+IF(Inputs!$B$3&gt;=117,F2251,0))/100)),15)/15,(Skills!T17*(1+((Inputs!$B$34+(ArtifactsInput!$M$7-ArtifactsInput!$M$7)*CHOOSE(ArtifactsInput!$N$7+1,6,7.2,8.4,9.6,10.8,12))+IF(Inputs!$B$3&gt;=117,F2251,0)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Skills!T19*(1+((Inputs!$B$34+(ArtifactsInput!$M$7-ArtifactsInput!$M$7)*CHOOSE(ArtifactsInput!$N$7+1,6,7.2,8.4,9.6,10.8,12))+IF(Inputs!$B$3&gt;=117,F2251,0))/100))+MIN((Skills!T19*(1+((Inputs!$B$34+(ArtifactsInput!$M$7-ArtifactsInput!$M$7)*CHOOSE(ArtifactsInput!$N$7+1,6,7.2,8.4,9.6,10.8,12))+IF(Inputs!$B$3&gt;=117,F2251,0))/100)),MAX(0,Inputs!$B$43-((R2245-1)*Skills!E19))))/Inputs!$B$43),IF(Inputs!$B$38="pvp",MIN((Skills!T19*(1+((Inputs!$B$34+(ArtifactsInput!$M$7-ArtifactsInput!$M$7)*CHOOSE(ArtifactsInput!$N$7+1,6,7.2,8.4,9.6,10.8,12))+IF(Inputs!$B$3&gt;=117,F2251,0))/100)),15)/15,(Skills!T19*(1+((Inputs!$B$34+(ArtifactsInput!$M$7-ArtifactsInput!$M$7)*CHOOSE(ArtifactsInput!$N$7+1,6,7.2,8.4,9.6,10.8,12))+IF(Inputs!$B$3&gt;=117,F2251,0))/100))/Skills!E19))/100),1)</f>
        <v/>
      </c>
    </row>
    <row r="2259">
      <c r="A2259" t="inlineStr">
        <is>
          <t>Attack Speed Buff Bonus % (Nimble Feet, averaged)</t>
        </is>
      </c>
      <c r="B2259">
        <f>F2244*IF(AND(Inputs!$B$38&lt;&gt;"pvp",Inputs!$B$43&gt;0),(((R2244-1)*(Skills!T18*(1+((Inputs!$B$34+(ArtifactsInput!$M$7-ArtifactsInput!$M$7)*CHOOSE(ArtifactsInput!$N$7+1,6,7.2,8.4,9.6,10.8,12))+IF(Inputs!$B$3&gt;=117,F2251,0))/100))+MIN((Skills!T18*(1+((Inputs!$B$34+(ArtifactsInput!$M$7-ArtifactsInput!$M$7)*CHOOSE(ArtifactsInput!$N$7+1,6,7.2,8.4,9.6,10.8,12))+IF(Inputs!$B$3&gt;=117,F2251,0))/100)),MAX(0,Inputs!$B$43-((R2244-1)*Skills!E18))))/Inputs!$B$43),IF(Inputs!$B$38="pvp",MIN((Skills!T18*(1+((Inputs!$B$34+(ArtifactsInput!$M$7-ArtifactsInput!$M$7)*CHOOSE(ArtifactsInput!$N$7+1,6,7.2,8.4,9.6,10.8,12))+IF(Inputs!$B$3&gt;=117,F2251,0))/100)),15)/15,(Skills!T18*(1+((Inputs!$B$34+(ArtifactsInput!$M$7-ArtifactsInput!$M$7)*CHOOSE(ArtifactsInput!$N$7+1,6,7.2,8.4,9.6,10.8,12))+IF(Inputs!$B$3&gt;=117,F2251,0))/100))/Skills!E18))</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IFERROR(1/(IF(Inputs!$B$38="pvp",15,MAX(0.1,Skills!E2-IF(Skills!F2=TRUE,Inputs!$B$32,0)))*(1-IF(AND(ArtifactsInput!$M$27,Inputs!$B$4="Chapter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IFERROR(1/(IF(Inputs!$B$38="pvp",15,MAX(0.1,Skills!E3-IF(Skills!F3=TRUE,Inputs!$B$32,0)))*(1-IF(AND(ArtifactsInput!$M$27,Inputs!$B$4="Chapter Hunt"),CHOOSE(ArtifactsInput!$N$27+1,20,24,28,32,36,40),0)/100)),0)</f>
        <v/>
      </c>
      <c r="R2273">
        <f>IF(AND(Inputs!$B$38&lt;&gt;"pvp",Inputs!$B$43&gt;0),IF(MAX(0,Inputs!$B$43-B2308)&lt;=0,0,(INT(MAX(0,Inputs!$B$43-B2308)/(IF(Inputs!$B$38="pvp",15,MAX(0.1,Skills!E3-IF(Skills!F3=TRUE,Inputs!$B$32,0)))*(1-IF(AND(ArtifactsInput!$M$27,Inputs!$B$4="Chapter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IFERROR(1/(IF(Inputs!$B$38="pvp",15,MAX(0.1,Skills!E4-IF(Skills!F4=TRUE,Inputs!$B$32,0)))*(1-IF(AND(ArtifactsInput!$M$27,Inputs!$B$4="Chapter Hunt"),CHOOSE(ArtifactsInput!$N$27+1,20,24,28,32,36,40),0)/100)),0)</f>
        <v/>
      </c>
      <c r="R2274">
        <f>IF(AND(Inputs!$B$38&lt;&gt;"pvp",Inputs!$B$43&gt;0),IF(MAX(0,Inputs!$B$43-B2308)&lt;=0,0,(INT(MAX(0,Inputs!$B$43-B2308)/(IF(Inputs!$B$38="pvp",15,MAX(0.1,Skills!E4-IF(Skills!F4=TRUE,Inputs!$B$32,0)))*(1-IF(AND(ArtifactsInput!$M$27,Inputs!$B$4="Chapter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IFERROR(1/(IF(Inputs!$B$38="pvp",15,MAX(0.1,Skills!E5-IF(Skills!F5=TRUE,Inputs!$B$32,0)))*(1-IF(AND(ArtifactsInput!$M$27,Inputs!$B$4="Chapter Hunt"),CHOOSE(ArtifactsInput!$N$27+1,20,24,28,32,36,40),0)/100)),0)</f>
        <v/>
      </c>
      <c r="R2275">
        <f>IF(AND(Inputs!$B$38&lt;&gt;"pvp",Inputs!$B$43&gt;0),IF(MAX(0,Inputs!$B$43-B2308)&lt;=0,0,(INT(MAX(0,Inputs!$B$43-B2308)/(IF(Inputs!$B$38="pvp",15,MAX(0.1,Skills!E5-IF(Skills!F5=TRUE,Inputs!$B$32,0)))*(1-IF(AND(ArtifactsInput!$M$27,Inputs!$B$4="Chapter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IFERROR(1/(IF(Inputs!$B$38="pvp",15,MAX(0.1,Skills!E6-IF(Skills!F6=TRUE,Inputs!$B$32,0)))*(1-IF(AND(ArtifactsInput!$M$27,Inputs!$B$4="Chapter Hunt"),CHOOSE(ArtifactsInput!$N$27+1,20,24,28,32,36,40),0)/100)),0)</f>
        <v/>
      </c>
      <c r="R2276">
        <f>IF(AND(Inputs!$B$38&lt;&gt;"pvp",Inputs!$B$43&gt;0),IF(Inputs!$B$43&lt;=0,0,(INT(Inputs!$B$43/(IF(Inputs!$B$38="pvp",15,MAX(0.1,Skills!E6-IF(Skills!F6=TRUE,Inputs!$B$32,0)))*(1-IF(AND(ArtifactsInput!$M$27,Inputs!$B$4="Chapter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IFERROR(1/(IF(Inputs!$B$38="pvp",15,MAX(0.1,Skills!E7-IF(Skills!F7=TRUE,Inputs!$B$32,0)))*(1-IF(AND(ArtifactsInput!$M$27,Inputs!$B$4="Chapter Hunt"),CHOOSE(ArtifactsInput!$N$27+1,20,24,28,32,36,40),0)/100)),0)</f>
        <v/>
      </c>
      <c r="R2277">
        <f>IF(AND(Inputs!$B$38&lt;&gt;"pvp",Inputs!$B$43&gt;0),IF(MAX(0,Inputs!$B$43-B2308)&lt;=0,0,(INT(MAX(0,Inputs!$B$43-B2308)/(IF(Inputs!$B$38="pvp",15,MAX(0.1,Skills!E7-IF(Skills!F7=TRUE,Inputs!$B$32,0)))*(1-IF(AND(ArtifactsInput!$M$27,Inputs!$B$4="Chapter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IFERROR(1/(IF(Inputs!$B$38="pvp",15,MAX(0.1,Skills!E8-IF(Skills!F8=TRUE,Inputs!$B$32,0)))*(1-IF(AND(ArtifactsInput!$M$27,Inputs!$B$4="Chapter Hunt"),CHOOSE(ArtifactsInput!$N$27+1,20,24,28,32,36,40),0)/100)),0)</f>
        <v/>
      </c>
      <c r="R2278">
        <f>IF(AND(Inputs!$B$38&lt;&gt;"pvp",Inputs!$B$43&gt;0),IF(MAX(0,Inputs!$B$43-B2308)&lt;=0,0,(INT(MAX(0,Inputs!$B$43-B2308)/(IF(Inputs!$B$38="pvp",15,MAX(0.1,Skills!E8-IF(Skills!F8=TRUE,Inputs!$B$32,0)))*(1-IF(AND(ArtifactsInput!$M$27,Inputs!$B$4="Chapter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IFERROR(1/(IF(Inputs!$B$38="pvp",15,MAX(0.1,Skills!E9-IF(Skills!F7=TRUE,Inputs!$B$32,0)))*(1-IF(AND(ArtifactsInput!$M$27,Inputs!$B$4="Chapter Hunt"),CHOOSE(ArtifactsInput!$N$27+1,20,24,28,32,36,40),0)/100)),0)</f>
        <v/>
      </c>
      <c r="R2279">
        <f>IF(AND(Inputs!$B$38&lt;&gt;"pvp",Inputs!$B$43&gt;0),IF(MAX(0,Inputs!$B$43-B2308)&lt;=0,0,(INT(MAX(0,Inputs!$B$43-B2308)/(IF(Inputs!$B$38="pvp",15,MAX(0.1,Skills!E9-IF(Skills!F7=TRUE,Inputs!$B$32,0)))*(1-IF(AND(ArtifactsInput!$M$27,Inputs!$B$4="Chapter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IFERROR(1/(IF(Inputs!$B$38="pvp",15,MAX(0.1,Skills!E10-IF(Skills!F10=TRUE,Inputs!$B$32,0)))*(1-IF(AND(ArtifactsInput!$M$27,Inputs!$B$4="Chapter Hunt"),CHOOSE(ArtifactsInput!$N$27+1,20,24,28,32,36,40),0)/100)),0)</f>
        <v/>
      </c>
      <c r="R2280">
        <f>IF(AND(Inputs!$B$38&lt;&gt;"pvp",Inputs!$B$43&gt;0),IF(MAX(0,Inputs!$B$43-B2308)&lt;=0,0,(INT(MAX(0,Inputs!$B$43-B2308)/(IF(Inputs!$B$38="pvp",15,MAX(0.1,Skills!E10-IF(Skills!F10=TRUE,Inputs!$B$32,0)))*(1-IF(AND(ArtifactsInput!$M$27,Inputs!$B$4="Chapter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IFERROR(1/(IF(Inputs!$B$38="pvp",15,MAX(0.1,Skills!E11-IF(Skills!F11=TRUE,Inputs!$B$32,0)))*(1-IF(AND(ArtifactsInput!$M$27,Inputs!$B$4="Chapter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IFERROR(1/(IF(Inputs!$B$38="pvp",15,MAX(0.1,Skills!E12-IF(Skills!F12=TRUE,Inputs!$B$32,0)))*(1-IF(AND(ArtifactsInput!$M$27,Inputs!$B$4="Chapter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IFERROR(1/(IF(Inputs!$B$38="pvp",15,MAX(0.1,Skills!E13-IF(Skills!F13=TRUE,Inputs!$B$32,0)))*(1-IF(AND(ArtifactsInput!$M$27,Inputs!$B$4="Chapter Hunt"),CHOOSE(ArtifactsInput!$N$27+1,20,24,28,32,36,40),0)/100)),0)</f>
        <v/>
      </c>
      <c r="R2283">
        <f>IF(AND(Inputs!$B$38&lt;&gt;"pvp",Inputs!$B$43&gt;0),IF(MAX(0,Inputs!$B$43-B2308)&lt;=0,0,(INT(MAX(0,Inputs!$B$43-B2308)/(IF(Inputs!$B$38="pvp",15,MAX(0.1,Skills!E13-IF(Skills!F13=TRUE,Inputs!$B$32,0)))*(1-IF(AND(ArtifactsInput!$M$27,Inputs!$B$4="Chapter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IFERROR(1/(IF(Inputs!$B$38="pvp",15,MAX(0.1,Skills!E14-IF(Skills!F14=TRUE,Inputs!$B$32,0)))*(1-IF(AND(ArtifactsInput!$M$27,Inputs!$B$4="Chapter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IFERROR(1/(IF(Inputs!$B$38="pvp",15,MAX(0.1,Skills!E15-IF(Skills!F15=TRUE,Inputs!$B$32,0)))*(1-IF(AND(ArtifactsInput!$M$27,Inputs!$B$4="Chapter Hunt"),CHOOSE(ArtifactsInput!$N$27+1,20,24,28,32,36,40),0)/100)),0)</f>
        <v/>
      </c>
      <c r="R2285">
        <f>IF(AND(Inputs!$B$38&lt;&gt;"pvp",Inputs!$B$43&gt;0),IF(MAX(0,Inputs!$B$43-B2308)&lt;=0,0,(INT(MAX(0,Inputs!$B$43-B2308)/(IF(Inputs!$B$38="pvp",15,MAX(0.1,Skills!E15-IF(Skills!F15=TRUE,Inputs!$B$32,0)))*(1-IF(AND(ArtifactsInput!$M$27,Inputs!$B$4="Chapter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IFERROR(1/(IF(Inputs!$B$38="pvp",15,MAX(0.1,Skills!E16-IF(Skills!F16=TRUE,Inputs!$B$32,0)))*(1-IF(AND(ArtifactsInput!$M$27,Inputs!$B$4="Chapter Hunt"),CHOOSE(ArtifactsInput!$N$27+1,20,24,28,32,36,40),0)/100)),0)</f>
        <v/>
      </c>
      <c r="R2286">
        <f>IF(AND(Inputs!$B$38&lt;&gt;"pvp",Inputs!$B$43&gt;0),IF(MAX(0,Inputs!$B$43-B2308)&lt;=0,0,(INT(MAX(0,Inputs!$B$43-B2308)/(IF(Inputs!$B$38="pvp",15,MAX(0.1,Skills!E16-IF(Skills!F16=TRUE,Inputs!$B$32,0)))*(1-IF(AND(ArtifactsInput!$M$27,Inputs!$B$4="Chapter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IFERROR(1/(IF(Inputs!$B$38="pvp",15,MAX(0.1,Skills!E17-IF(Skills!F17=TRUE,Inputs!$B$32,0)))*(1-IF(AND(ArtifactsInput!$M$27,Inputs!$B$4="Chapter Hunt"),CHOOSE(ArtifactsInput!$N$27+1,20,24,28,32,36,40),0)/100)),0)</f>
        <v/>
      </c>
      <c r="R2287">
        <f>IF(AND(Inputs!$B$38&lt;&gt;"pvp",Inputs!$B$43&gt;0),IF(Inputs!$B$43&lt;=0,0,(INT(Inputs!$B$43/(IF(Inputs!$B$38="pvp",15,MAX(0.1,Skills!E17-IF(Skills!F17=TRUE,Inputs!$B$32,0)))*(1-IF(AND(ArtifactsInput!$M$27,Inputs!$B$4="Chapter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IFERROR(1/(IF(Inputs!$B$38="pvp",15,MAX(0.1,Skills!E18-IF(Skills!F18=TRUE,Inputs!$B$32,0)))*(1-IF(AND(ArtifactsInput!$M$27,Inputs!$B$4="Chapter Hunt"),CHOOSE(ArtifactsInput!$N$27+1,20,24,28,32,36,40),0)/100)),0)</f>
        <v/>
      </c>
      <c r="R2288">
        <f>IF(AND(Inputs!$B$38&lt;&gt;"pvp",Inputs!$B$43&gt;0),IF(Inputs!$B$43&lt;=0,0,(INT(Inputs!$B$43/(IF(Inputs!$B$38="pvp",15,MAX(0.1,Skills!E18-IF(Skills!F18=TRUE,Inputs!$B$32,0)))*(1-IF(AND(ArtifactsInput!$M$27,Inputs!$B$4="Chapter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IFERROR(1/(IF(Inputs!$B$38="pvp",15,MAX(0.1,Skills!E19-IF(Skills!F19=TRUE,Inputs!$B$32,0)))*(1-IF(AND(ArtifactsInput!$M$27,Inputs!$B$4="Chapter Hunt"),CHOOSE(ArtifactsInput!$N$27+1,20,24,28,32,36,40),0)/100)),0)</f>
        <v/>
      </c>
      <c r="R2289">
        <f>IF(AND(Inputs!$B$38&lt;&gt;"pvp",Inputs!$B$43&gt;0),IF(Inputs!$B$43&lt;=0,0,(INT(Inputs!$B$43/(IF(Inputs!$B$38="pvp",15,MAX(0.1,Skills!E19-IF(Skills!F19=TRUE,Inputs!$B$32,0)))*(1-IF(AND(ArtifactsInput!$M$27,Inputs!$B$4="Chapter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IFERROR(1/(IF(Inputs!$B$38="pvp",15,MAX(0.1,Skills!E20-IF(Skills!F20=TRUE,Inputs!$B$32,0)))*(1-IF(AND(ArtifactsInput!$M$27,Inputs!$B$4="Chapter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IFERROR(1/(IF(Inputs!$B$38="pvp",15,MAX(0.1,Skills!E21-IF(Skills!F21=TRUE,Inputs!$B$32,0)))*(1-IF(AND(ArtifactsInput!$M$27,Inputs!$B$4="Chapter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IFERROR(1/(IF(Inputs!$B$38="pvp",15,MAX(0.1,Skills!E22-IF(Skills!F22=TRUE,Inputs!$B$32,0)))*(1-IF(AND(ArtifactsInput!$M$27,Inputs!$B$4="Chapter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IFERROR(1/(IF(Inputs!$B$38="pvp",15,MAX(0.1,Skills!E23-IF(Skills!F23=TRUE,Inputs!$B$32,0)))*(1-IF(AND(ArtifactsInput!$M$27,Inputs!$B$4="Chapter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IFERROR(1/(IF(Inputs!$B$38="pvp",15,MAX(0.1,Skills!E24-IF(Skills!F24=TRUE,Inputs!$B$32,0)))*(1-IF(AND(ArtifactsInput!$M$27,Inputs!$B$4="Chapter Hunt"),CHOOSE(ArtifactsInput!$N$27+1,20,24,28,32,36,40),0)/100)),0)</f>
        <v/>
      </c>
      <c r="R2294">
        <f>IF(AND(Inputs!$B$38&lt;&gt;"pvp",Inputs!$B$43&gt;0),IF(MAX(0,Inputs!$B$43-B2308)&lt;=0,0,(INT(MAX(0,Inputs!$B$43-B2308)/(IF(Inputs!$B$38="pvp",15,MAX(0.1,Skills!E24-IF(Skills!F24=TRUE,Inputs!$B$32,0)))*(1-IF(AND(ArtifactsInput!$M$27,Inputs!$B$4="Chapter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IFERROR(1/(IF(Inputs!$B$38="pvp",15,MAX(0.1,Skills!E25-IF(Skills!F25=TRUE,Inputs!$B$32,0)))*(1-IF(AND(ArtifactsInput!$M$27,Inputs!$B$4="Chapter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IFERROR(1/(IF(Inputs!$B$38="pvp",15,MAX(0.1,Skills!E26-IF(Skills!F26=TRUE,Inputs!$B$32,0)))*(1-IF(AND(ArtifactsInput!$M$27,Inputs!$B$4="Chapter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IFERROR(1/(IF(Inputs!$B$38="pvp",15,MAX(0.1,Skills!E27-IF(Skills!F27=TRUE,Inputs!$B$32,0)))*(1-IF(AND(ArtifactsInput!$M$27,Inputs!$B$4="Chapter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IFERROR(1/(IF(Inputs!$B$38="pvp",15,MAX(0.1,Skills!E28-IF(Skills!F28=TRUE,Inputs!$B$32,0)))*(1-IF(AND(ArtifactsInput!$M$27,Inputs!$B$4="Chapter Hunt"),CHOOSE(ArtifactsInput!$N$27+1,20,24,28,32,36,40),0)/100)),0)</f>
        <v/>
      </c>
      <c r="R2298">
        <f>IF(AND(Inputs!$B$38&lt;&gt;"pvp",Inputs!$B$43&gt;0),IF(MAX(0,Inputs!$B$43-B2308)&lt;=0,0,(INT(MAX(0,Inputs!$B$43-B2308)/(IF(Inputs!$B$38="pvp",15,MAX(0.1,Skills!E28-IF(Skills!F28=TRUE,Inputs!$B$32,0)))*(1-IF(AND(ArtifactsInput!$M$27,Inputs!$B$4="Chapter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Skills!T6*(1+((Inputs!$B$34+(ArtifactsInput!$M$7-ArtifactsInput!$M$7)*CHOOSE(ArtifactsInput!$N$7+1,6,7.2,8.4,9.6,10.8,12))+IF(Inputs!$B$3&gt;=117,F2295,0))/100))+MIN((Skills!T6*(1+((Inputs!$B$34+(ArtifactsInput!$M$7-ArtifactsInput!$M$7)*CHOOSE(ArtifactsInput!$N$7+1,6,7.2,8.4,9.6,10.8,12))+IF(Inputs!$B$3&gt;=117,F2295,0))/100)),MAX(0,Inputs!$B$43-((R2276-1)*Skills!E6))))/Inputs!$B$43),IF(Inputs!$B$38="pvp",MIN((Skills!T6*(1+((Inputs!$B$34+(ArtifactsInput!$M$7-ArtifactsInput!$M$7)*CHOOSE(ArtifactsInput!$N$7+1,6,7.2,8.4,9.6,10.8,12))+IF(Inputs!$B$3&gt;=117,F2295,0))/100)),15)/15,(Skills!T6*(1+((Inputs!$B$34+(ArtifactsInput!$M$7-ArtifactsInput!$M$7)*CHOOSE(ArtifactsInput!$N$7+1,6,7.2,8.4,9.6,10.8,12))+IF(Inputs!$B$3&gt;=117,F2295,0))/100))/Skills!E6))+F2287*IF(AND(Inputs!$B$38&lt;&gt;"pvp",Inputs!$B$43&gt;0),(((R2287-1)*(Skills!T17*(1+((Inputs!$B$34+(ArtifactsInput!$M$7-ArtifactsInput!$M$7)*CHOOSE(ArtifactsInput!$N$7+1,6,7.2,8.4,9.6,10.8,12))+IF(Inputs!$B$3&gt;=117,F2295,0))/100))+MIN((Skills!T17*(1+((Inputs!$B$34+(ArtifactsInput!$M$7-ArtifactsInput!$M$7)*CHOOSE(ArtifactsInput!$N$7+1,6,7.2,8.4,9.6,10.8,12))+IF(Inputs!$B$3&gt;=117,F2295,0))/100)),MAX(0,Inputs!$B$43-((R2287-1)*Skills!E17))))/Inputs!$B$43),IF(Inputs!$B$38="pvp",MIN((Skills!T17*(1+((Inputs!$B$34+(ArtifactsInput!$M$7-ArtifactsInput!$M$7)*CHOOSE(ArtifactsInput!$N$7+1,6,7.2,8.4,9.6,10.8,12))+IF(Inputs!$B$3&gt;=117,F2295,0))/100)),15)/15,(Skills!T17*(1+((Inputs!$B$34+(ArtifactsInput!$M$7-ArtifactsInput!$M$7)*CHOOSE(ArtifactsInput!$N$7+1,6,7.2,8.4,9.6,10.8,12))+IF(Inputs!$B$3&gt;=117,F2295,0)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Skills!T19*(1+((Inputs!$B$34+(ArtifactsInput!$M$7-ArtifactsInput!$M$7)*CHOOSE(ArtifactsInput!$N$7+1,6,7.2,8.4,9.6,10.8,12))+IF(Inputs!$B$3&gt;=117,F2295,0))/100))+MIN((Skills!T19*(1+((Inputs!$B$34+(ArtifactsInput!$M$7-ArtifactsInput!$M$7)*CHOOSE(ArtifactsInput!$N$7+1,6,7.2,8.4,9.6,10.8,12))+IF(Inputs!$B$3&gt;=117,F2295,0))/100)),MAX(0,Inputs!$B$43-((R2289-1)*Skills!E19))))/Inputs!$B$43),IF(Inputs!$B$38="pvp",MIN((Skills!T19*(1+((Inputs!$B$34+(ArtifactsInput!$M$7-ArtifactsInput!$M$7)*CHOOSE(ArtifactsInput!$N$7+1,6,7.2,8.4,9.6,10.8,12))+IF(Inputs!$B$3&gt;=117,F2295,0))/100)),15)/15,(Skills!T19*(1+((Inputs!$B$34+(ArtifactsInput!$M$7-ArtifactsInput!$M$7)*CHOOSE(ArtifactsInput!$N$7+1,6,7.2,8.4,9.6,10.8,12))+IF(Inputs!$B$3&gt;=117,F2295,0))/100))/Skills!E19))/100),1)</f>
        <v/>
      </c>
    </row>
    <row r="2303">
      <c r="A2303" t="inlineStr">
        <is>
          <t>Attack Speed Buff Bonus % (Nimble Feet, averaged)</t>
        </is>
      </c>
      <c r="B2303">
        <f>F2288*IF(AND(Inputs!$B$38&lt;&gt;"pvp",Inputs!$B$43&gt;0),(((R2288-1)*(Skills!T18*(1+((Inputs!$B$34+(ArtifactsInput!$M$7-ArtifactsInput!$M$7)*CHOOSE(ArtifactsInput!$N$7+1,6,7.2,8.4,9.6,10.8,12))+IF(Inputs!$B$3&gt;=117,F2295,0))/100))+MIN((Skills!T18*(1+((Inputs!$B$34+(ArtifactsInput!$M$7-ArtifactsInput!$M$7)*CHOOSE(ArtifactsInput!$N$7+1,6,7.2,8.4,9.6,10.8,12))+IF(Inputs!$B$3&gt;=117,F2295,0))/100)),MAX(0,Inputs!$B$43-((R2288-1)*Skills!E18))))/Inputs!$B$43),IF(Inputs!$B$38="pvp",MIN((Skills!T18*(1+((Inputs!$B$34+(ArtifactsInput!$M$7-ArtifactsInput!$M$7)*CHOOSE(ArtifactsInput!$N$7+1,6,7.2,8.4,9.6,10.8,12))+IF(Inputs!$B$3&gt;=117,F2295,0))/100)),15)/15,(Skills!T18*(1+((Inputs!$B$34+(ArtifactsInput!$M$7-ArtifactsInput!$M$7)*CHOOSE(ArtifactsInput!$N$7+1,6,7.2,8.4,9.6,10.8,12))+IF(Inputs!$B$3&gt;=117,F2295,0))/100))/Skills!E18)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IFERROR(1/(IF(Inputs!$B$38="pvp",15,MAX(0.1,Skills!E2-IF(Skills!F2=TRUE,Inputs!$B$32,0)))*(1-IF(AND(ArtifactsInput!$M$27,Inputs!$B$4="Chapter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IFERROR(1/(IF(Inputs!$B$38="pvp",15,MAX(0.1,Skills!E3-IF(Skills!F3=TRUE,Inputs!$B$32,0)))*(1-IF(AND(ArtifactsInput!$M$27,Inputs!$B$4="Chapter Hunt"),CHOOSE(ArtifactsInput!$N$27+1,20,24,28,32,36,40),0)/100)),0)</f>
        <v/>
      </c>
      <c r="R2317">
        <f>IF(AND(Inputs!$B$38&lt;&gt;"pvp",Inputs!$B$43&gt;0),IF(MAX(0,Inputs!$B$43-B2352)&lt;=0,0,(INT(MAX(0,Inputs!$B$43-B2352)/(IF(Inputs!$B$38="pvp",15,MAX(0.1,Skills!E3-IF(Skills!F3=TRUE,Inputs!$B$32,0)))*(1-IF(AND(ArtifactsInput!$M$27,Inputs!$B$4="Chapter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IFERROR(1/(IF(Inputs!$B$38="pvp",15,MAX(0.1,Skills!E4-IF(Skills!F4=TRUE,Inputs!$B$32,0)))*(1-IF(AND(ArtifactsInput!$M$27,Inputs!$B$4="Chapter Hunt"),CHOOSE(ArtifactsInput!$N$27+1,20,24,28,32,36,40),0)/100)),0)</f>
        <v/>
      </c>
      <c r="R2318">
        <f>IF(AND(Inputs!$B$38&lt;&gt;"pvp",Inputs!$B$43&gt;0),IF(MAX(0,Inputs!$B$43-B2352)&lt;=0,0,(INT(MAX(0,Inputs!$B$43-B2352)/(IF(Inputs!$B$38="pvp",15,MAX(0.1,Skills!E4-IF(Skills!F4=TRUE,Inputs!$B$32,0)))*(1-IF(AND(ArtifactsInput!$M$27,Inputs!$B$4="Chapter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IFERROR(1/(IF(Inputs!$B$38="pvp",15,MAX(0.1,Skills!E5-IF(Skills!F5=TRUE,Inputs!$B$32,0)))*(1-IF(AND(ArtifactsInput!$M$27,Inputs!$B$4="Chapter Hunt"),CHOOSE(ArtifactsInput!$N$27+1,20,24,28,32,36,40),0)/100)),0)</f>
        <v/>
      </c>
      <c r="R2319">
        <f>IF(AND(Inputs!$B$38&lt;&gt;"pvp",Inputs!$B$43&gt;0),IF(MAX(0,Inputs!$B$43-B2352)&lt;=0,0,(INT(MAX(0,Inputs!$B$43-B2352)/(IF(Inputs!$B$38="pvp",15,MAX(0.1,Skills!E5-IF(Skills!F5=TRUE,Inputs!$B$32,0)))*(1-IF(AND(ArtifactsInput!$M$27,Inputs!$B$4="Chapter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IFERROR(1/(IF(Inputs!$B$38="pvp",15,MAX(0.1,Skills!E6-IF(Skills!F6=TRUE,Inputs!$B$32,0)))*(1-IF(AND(ArtifactsInput!$M$27,Inputs!$B$4="Chapter Hunt"),CHOOSE(ArtifactsInput!$N$27+1,20,24,28,32,36,40),0)/100)),0)</f>
        <v/>
      </c>
      <c r="R2320">
        <f>IF(AND(Inputs!$B$38&lt;&gt;"pvp",Inputs!$B$43&gt;0),IF(Inputs!$B$43&lt;=0,0,(INT(Inputs!$B$43/(IF(Inputs!$B$38="pvp",15,MAX(0.1,Skills!E6-IF(Skills!F6=TRUE,Inputs!$B$32,0)))*(1-IF(AND(ArtifactsInput!$M$27,Inputs!$B$4="Chapter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IFERROR(1/(IF(Inputs!$B$38="pvp",15,MAX(0.1,Skills!E7-IF(Skills!F7=TRUE,Inputs!$B$32,0)))*(1-IF(AND(ArtifactsInput!$M$27,Inputs!$B$4="Chapter Hunt"),CHOOSE(ArtifactsInput!$N$27+1,20,24,28,32,36,40),0)/100)),0)</f>
        <v/>
      </c>
      <c r="R2321">
        <f>IF(AND(Inputs!$B$38&lt;&gt;"pvp",Inputs!$B$43&gt;0),IF(MAX(0,Inputs!$B$43-B2352)&lt;=0,0,(INT(MAX(0,Inputs!$B$43-B2352)/(IF(Inputs!$B$38="pvp",15,MAX(0.1,Skills!E7-IF(Skills!F7=TRUE,Inputs!$B$32,0)))*(1-IF(AND(ArtifactsInput!$M$27,Inputs!$B$4="Chapter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IFERROR(1/(IF(Inputs!$B$38="pvp",15,MAX(0.1,Skills!E8-IF(Skills!F8=TRUE,Inputs!$B$32,0)))*(1-IF(AND(ArtifactsInput!$M$27,Inputs!$B$4="Chapter Hunt"),CHOOSE(ArtifactsInput!$N$27+1,20,24,28,32,36,40),0)/100)),0)</f>
        <v/>
      </c>
      <c r="R2322">
        <f>IF(AND(Inputs!$B$38&lt;&gt;"pvp",Inputs!$B$43&gt;0),IF(MAX(0,Inputs!$B$43-B2352)&lt;=0,0,(INT(MAX(0,Inputs!$B$43-B2352)/(IF(Inputs!$B$38="pvp",15,MAX(0.1,Skills!E8-IF(Skills!F8=TRUE,Inputs!$B$32,0)))*(1-IF(AND(ArtifactsInput!$M$27,Inputs!$B$4="Chapter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IFERROR(1/(IF(Inputs!$B$38="pvp",15,MAX(0.1,Skills!E9-IF(Skills!F7=TRUE,Inputs!$B$32,0)))*(1-IF(AND(ArtifactsInput!$M$27,Inputs!$B$4="Chapter Hunt"),CHOOSE(ArtifactsInput!$N$27+1,20,24,28,32,36,40),0)/100)),0)</f>
        <v/>
      </c>
      <c r="R2323">
        <f>IF(AND(Inputs!$B$38&lt;&gt;"pvp",Inputs!$B$43&gt;0),IF(MAX(0,Inputs!$B$43-B2352)&lt;=0,0,(INT(MAX(0,Inputs!$B$43-B2352)/(IF(Inputs!$B$38="pvp",15,MAX(0.1,Skills!E9-IF(Skills!F7=TRUE,Inputs!$B$32,0)))*(1-IF(AND(ArtifactsInput!$M$27,Inputs!$B$4="Chapter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IFERROR(1/(IF(Inputs!$B$38="pvp",15,MAX(0.1,Skills!E10-IF(Skills!F10=TRUE,Inputs!$B$32,0)))*(1-IF(AND(ArtifactsInput!$M$27,Inputs!$B$4="Chapter Hunt"),CHOOSE(ArtifactsInput!$N$27+1,20,24,28,32,36,40),0)/100)),0)</f>
        <v/>
      </c>
      <c r="R2324">
        <f>IF(AND(Inputs!$B$38&lt;&gt;"pvp",Inputs!$B$43&gt;0),IF(MAX(0,Inputs!$B$43-B2352)&lt;=0,0,(INT(MAX(0,Inputs!$B$43-B2352)/(IF(Inputs!$B$38="pvp",15,MAX(0.1,Skills!E10-IF(Skills!F10=TRUE,Inputs!$B$32,0)))*(1-IF(AND(ArtifactsInput!$M$27,Inputs!$B$4="Chapter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IFERROR(1/(IF(Inputs!$B$38="pvp",15,MAX(0.1,Skills!E11-IF(Skills!F11=TRUE,Inputs!$B$32,0)))*(1-IF(AND(ArtifactsInput!$M$27,Inputs!$B$4="Chapter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IFERROR(1/(IF(Inputs!$B$38="pvp",15,MAX(0.1,Skills!E12-IF(Skills!F12=TRUE,Inputs!$B$32,0)))*(1-IF(AND(ArtifactsInput!$M$27,Inputs!$B$4="Chapter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IFERROR(1/(IF(Inputs!$B$38="pvp",15,MAX(0.1,Skills!E13-IF(Skills!F13=TRUE,Inputs!$B$32,0)))*(1-IF(AND(ArtifactsInput!$M$27,Inputs!$B$4="Chapter Hunt"),CHOOSE(ArtifactsInput!$N$27+1,20,24,28,32,36,40),0)/100)),0)</f>
        <v/>
      </c>
      <c r="R2327">
        <f>IF(AND(Inputs!$B$38&lt;&gt;"pvp",Inputs!$B$43&gt;0),IF(MAX(0,Inputs!$B$43-B2352)&lt;=0,0,(INT(MAX(0,Inputs!$B$43-B2352)/(IF(Inputs!$B$38="pvp",15,MAX(0.1,Skills!E13-IF(Skills!F13=TRUE,Inputs!$B$32,0)))*(1-IF(AND(ArtifactsInput!$M$27,Inputs!$B$4="Chapter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IFERROR(1/(IF(Inputs!$B$38="pvp",15,MAX(0.1,Skills!E14-IF(Skills!F14=TRUE,Inputs!$B$32,0)))*(1-IF(AND(ArtifactsInput!$M$27,Inputs!$B$4="Chapter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IFERROR(1/(IF(Inputs!$B$38="pvp",15,MAX(0.1,Skills!E15-IF(Skills!F15=TRUE,Inputs!$B$32,0)))*(1-IF(AND(ArtifactsInput!$M$27,Inputs!$B$4="Chapter Hunt"),CHOOSE(ArtifactsInput!$N$27+1,20,24,28,32,36,40),0)/100)),0)</f>
        <v/>
      </c>
      <c r="R2329">
        <f>IF(AND(Inputs!$B$38&lt;&gt;"pvp",Inputs!$B$43&gt;0),IF(MAX(0,Inputs!$B$43-B2352)&lt;=0,0,(INT(MAX(0,Inputs!$B$43-B2352)/(IF(Inputs!$B$38="pvp",15,MAX(0.1,Skills!E15-IF(Skills!F15=TRUE,Inputs!$B$32,0)))*(1-IF(AND(ArtifactsInput!$M$27,Inputs!$B$4="Chapter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IFERROR(1/(IF(Inputs!$B$38="pvp",15,MAX(0.1,Skills!E16-IF(Skills!F16=TRUE,Inputs!$B$32,0)))*(1-IF(AND(ArtifactsInput!$M$27,Inputs!$B$4="Chapter Hunt"),CHOOSE(ArtifactsInput!$N$27+1,20,24,28,32,36,40),0)/100)),0)</f>
        <v/>
      </c>
      <c r="R2330">
        <f>IF(AND(Inputs!$B$38&lt;&gt;"pvp",Inputs!$B$43&gt;0),IF(MAX(0,Inputs!$B$43-B2352)&lt;=0,0,(INT(MAX(0,Inputs!$B$43-B2352)/(IF(Inputs!$B$38="pvp",15,MAX(0.1,Skills!E16-IF(Skills!F16=TRUE,Inputs!$B$32,0)))*(1-IF(AND(ArtifactsInput!$M$27,Inputs!$B$4="Chapter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IFERROR(1/(IF(Inputs!$B$38="pvp",15,MAX(0.1,Skills!E17-IF(Skills!F17=TRUE,Inputs!$B$32,0)))*(1-IF(AND(ArtifactsInput!$M$27,Inputs!$B$4="Chapter Hunt"),CHOOSE(ArtifactsInput!$N$27+1,20,24,28,32,36,40),0)/100)),0)</f>
        <v/>
      </c>
      <c r="R2331">
        <f>IF(AND(Inputs!$B$38&lt;&gt;"pvp",Inputs!$B$43&gt;0),IF(Inputs!$B$43&lt;=0,0,(INT(Inputs!$B$43/(IF(Inputs!$B$38="pvp",15,MAX(0.1,Skills!E17-IF(Skills!F17=TRUE,Inputs!$B$32,0)))*(1-IF(AND(ArtifactsInput!$M$27,Inputs!$B$4="Chapter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IFERROR(1/(IF(Inputs!$B$38="pvp",15,MAX(0.1,Skills!E18-IF(Skills!F18=TRUE,Inputs!$B$32,0)))*(1-IF(AND(ArtifactsInput!$M$27,Inputs!$B$4="Chapter Hunt"),CHOOSE(ArtifactsInput!$N$27+1,20,24,28,32,36,40),0)/100)),0)</f>
        <v/>
      </c>
      <c r="R2332">
        <f>IF(AND(Inputs!$B$38&lt;&gt;"pvp",Inputs!$B$43&gt;0),IF(Inputs!$B$43&lt;=0,0,(INT(Inputs!$B$43/(IF(Inputs!$B$38="pvp",15,MAX(0.1,Skills!E18-IF(Skills!F18=TRUE,Inputs!$B$32,0)))*(1-IF(AND(ArtifactsInput!$M$27,Inputs!$B$4="Chapter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IFERROR(1/(IF(Inputs!$B$38="pvp",15,MAX(0.1,Skills!E19-IF(Skills!F19=TRUE,Inputs!$B$32,0)))*(1-IF(AND(ArtifactsInput!$M$27,Inputs!$B$4="Chapter Hunt"),CHOOSE(ArtifactsInput!$N$27+1,20,24,28,32,36,40),0)/100)),0)</f>
        <v/>
      </c>
      <c r="R2333">
        <f>IF(AND(Inputs!$B$38&lt;&gt;"pvp",Inputs!$B$43&gt;0),IF(Inputs!$B$43&lt;=0,0,(INT(Inputs!$B$43/(IF(Inputs!$B$38="pvp",15,MAX(0.1,Skills!E19-IF(Skills!F19=TRUE,Inputs!$B$32,0)))*(1-IF(AND(ArtifactsInput!$M$27,Inputs!$B$4="Chapter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IFERROR(1/(IF(Inputs!$B$38="pvp",15,MAX(0.1,Skills!E20-IF(Skills!F20=TRUE,Inputs!$B$32,0)))*(1-IF(AND(ArtifactsInput!$M$27,Inputs!$B$4="Chapter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IFERROR(1/(IF(Inputs!$B$38="pvp",15,MAX(0.1,Skills!E21-IF(Skills!F21=TRUE,Inputs!$B$32,0)))*(1-IF(AND(ArtifactsInput!$M$27,Inputs!$B$4="Chapter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IFERROR(1/(IF(Inputs!$B$38="pvp",15,MAX(0.1,Skills!E22-IF(Skills!F22=TRUE,Inputs!$B$32,0)))*(1-IF(AND(ArtifactsInput!$M$27,Inputs!$B$4="Chapter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IFERROR(1/(IF(Inputs!$B$38="pvp",15,MAX(0.1,Skills!E23-IF(Skills!F23=TRUE,Inputs!$B$32,0)))*(1-IF(AND(ArtifactsInput!$M$27,Inputs!$B$4="Chapter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IFERROR(1/(IF(Inputs!$B$38="pvp",15,MAX(0.1,Skills!E24-IF(Skills!F24=TRUE,Inputs!$B$32,0)))*(1-IF(AND(ArtifactsInput!$M$27,Inputs!$B$4="Chapter Hunt"),CHOOSE(ArtifactsInput!$N$27+1,20,24,28,32,36,40),0)/100)),0)</f>
        <v/>
      </c>
      <c r="R2338">
        <f>IF(AND(Inputs!$B$38&lt;&gt;"pvp",Inputs!$B$43&gt;0),IF(MAX(0,Inputs!$B$43-B2352)&lt;=0,0,(INT(MAX(0,Inputs!$B$43-B2352)/(IF(Inputs!$B$38="pvp",15,MAX(0.1,Skills!E24-IF(Skills!F24=TRUE,Inputs!$B$32,0)))*(1-IF(AND(ArtifactsInput!$M$27,Inputs!$B$4="Chapter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IFERROR(1/(IF(Inputs!$B$38="pvp",15,MAX(0.1,Skills!E25-IF(Skills!F25=TRUE,Inputs!$B$32,0)))*(1-IF(AND(ArtifactsInput!$M$27,Inputs!$B$4="Chapter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IFERROR(1/(IF(Inputs!$B$38="pvp",15,MAX(0.1,Skills!E26-IF(Skills!F26=TRUE,Inputs!$B$32,0)))*(1-IF(AND(ArtifactsInput!$M$27,Inputs!$B$4="Chapter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IFERROR(1/(IF(Inputs!$B$38="pvp",15,MAX(0.1,Skills!E27-IF(Skills!F27=TRUE,Inputs!$B$32,0)))*(1-IF(AND(ArtifactsInput!$M$27,Inputs!$B$4="Chapter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IFERROR(1/(IF(Inputs!$B$38="pvp",15,MAX(0.1,Skills!E28-IF(Skills!F28=TRUE,Inputs!$B$32,0)))*(1-IF(AND(ArtifactsInput!$M$27,Inputs!$B$4="Chapter Hunt"),CHOOSE(ArtifactsInput!$N$27+1,20,24,28,32,36,40),0)/100)),0)</f>
        <v/>
      </c>
      <c r="R2342">
        <f>IF(AND(Inputs!$B$38&lt;&gt;"pvp",Inputs!$B$43&gt;0),IF(MAX(0,Inputs!$B$43-B2352)&lt;=0,0,(INT(MAX(0,Inputs!$B$43-B2352)/(IF(Inputs!$B$38="pvp",15,MAX(0.1,Skills!E28-IF(Skills!F28=TRUE,Inputs!$B$32,0)))*(1-IF(AND(ArtifactsInput!$M$27,Inputs!$B$4="Chapter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Skills!T6*(1+((Inputs!$B$34+(ArtifactsInput!$M$7-ArtifactsInput!$M$7)*CHOOSE(ArtifactsInput!$N$7+1,6,7.2,8.4,9.6,10.8,12))+IF(Inputs!$B$3&gt;=117,F2339,0))/100))+MIN((Skills!T6*(1+((Inputs!$B$34+(ArtifactsInput!$M$7-ArtifactsInput!$M$7)*CHOOSE(ArtifactsInput!$N$7+1,6,7.2,8.4,9.6,10.8,12))+IF(Inputs!$B$3&gt;=117,F2339,0))/100)),MAX(0,Inputs!$B$43-((R2320-1)*Skills!E6))))/Inputs!$B$43),IF(Inputs!$B$38="pvp",MIN((Skills!T6*(1+((Inputs!$B$34+(ArtifactsInput!$M$7-ArtifactsInput!$M$7)*CHOOSE(ArtifactsInput!$N$7+1,6,7.2,8.4,9.6,10.8,12))+IF(Inputs!$B$3&gt;=117,F2339,0))/100)),15)/15,(Skills!T6*(1+((Inputs!$B$34+(ArtifactsInput!$M$7-ArtifactsInput!$M$7)*CHOOSE(ArtifactsInput!$N$7+1,6,7.2,8.4,9.6,10.8,12))+IF(Inputs!$B$3&gt;=117,F2339,0))/100))/Skills!E6))+F2331*IF(AND(Inputs!$B$38&lt;&gt;"pvp",Inputs!$B$43&gt;0),(((R2331-1)*(Skills!T17*(1+((Inputs!$B$34+(ArtifactsInput!$M$7-ArtifactsInput!$M$7)*CHOOSE(ArtifactsInput!$N$7+1,6,7.2,8.4,9.6,10.8,12))+IF(Inputs!$B$3&gt;=117,F2339,0))/100))+MIN((Skills!T17*(1+((Inputs!$B$34+(ArtifactsInput!$M$7-ArtifactsInput!$M$7)*CHOOSE(ArtifactsInput!$N$7+1,6,7.2,8.4,9.6,10.8,12))+IF(Inputs!$B$3&gt;=117,F2339,0))/100)),MAX(0,Inputs!$B$43-((R2331-1)*Skills!E17))))/Inputs!$B$43),IF(Inputs!$B$38="pvp",MIN((Skills!T17*(1+((Inputs!$B$34+(ArtifactsInput!$M$7-ArtifactsInput!$M$7)*CHOOSE(ArtifactsInput!$N$7+1,6,7.2,8.4,9.6,10.8,12))+IF(Inputs!$B$3&gt;=117,F2339,0))/100)),15)/15,(Skills!T17*(1+((Inputs!$B$34+(ArtifactsInput!$M$7-ArtifactsInput!$M$7)*CHOOSE(ArtifactsInput!$N$7+1,6,7.2,8.4,9.6,10.8,12))+IF(Inputs!$B$3&gt;=117,F2339,0)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Skills!T19*(1+((Inputs!$B$34+(ArtifactsInput!$M$7-ArtifactsInput!$M$7)*CHOOSE(ArtifactsInput!$N$7+1,6,7.2,8.4,9.6,10.8,12))+IF(Inputs!$B$3&gt;=117,F2339,0))/100))+MIN((Skills!T19*(1+((Inputs!$B$34+(ArtifactsInput!$M$7-ArtifactsInput!$M$7)*CHOOSE(ArtifactsInput!$N$7+1,6,7.2,8.4,9.6,10.8,12))+IF(Inputs!$B$3&gt;=117,F2339,0))/100)),MAX(0,Inputs!$B$43-((R2333-1)*Skills!E19))))/Inputs!$B$43),IF(Inputs!$B$38="pvp",MIN((Skills!T19*(1+((Inputs!$B$34+(ArtifactsInput!$M$7-ArtifactsInput!$M$7)*CHOOSE(ArtifactsInput!$N$7+1,6,7.2,8.4,9.6,10.8,12))+IF(Inputs!$B$3&gt;=117,F2339,0))/100)),15)/15,(Skills!T19*(1+((Inputs!$B$34+(ArtifactsInput!$M$7-ArtifactsInput!$M$7)*CHOOSE(ArtifactsInput!$N$7+1,6,7.2,8.4,9.6,10.8,12))+IF(Inputs!$B$3&gt;=117,F2339,0))/100))/Skills!E19))/100),1)</f>
        <v/>
      </c>
    </row>
    <row r="2347">
      <c r="A2347" t="inlineStr">
        <is>
          <t>Attack Speed Buff Bonus % (Nimble Feet, averaged)</t>
        </is>
      </c>
      <c r="B2347">
        <f>F2332*IF(AND(Inputs!$B$38&lt;&gt;"pvp",Inputs!$B$43&gt;0),(((R2332-1)*(Skills!T18*(1+((Inputs!$B$34+(ArtifactsInput!$M$7-ArtifactsInput!$M$7)*CHOOSE(ArtifactsInput!$N$7+1,6,7.2,8.4,9.6,10.8,12))+IF(Inputs!$B$3&gt;=117,F2339,0))/100))+MIN((Skills!T18*(1+((Inputs!$B$34+(ArtifactsInput!$M$7-ArtifactsInput!$M$7)*CHOOSE(ArtifactsInput!$N$7+1,6,7.2,8.4,9.6,10.8,12))+IF(Inputs!$B$3&gt;=117,F2339,0))/100)),MAX(0,Inputs!$B$43-((R2332-1)*Skills!E18))))/Inputs!$B$43),IF(Inputs!$B$38="pvp",MIN((Skills!T18*(1+((Inputs!$B$34+(ArtifactsInput!$M$7-ArtifactsInput!$M$7)*CHOOSE(ArtifactsInput!$N$7+1,6,7.2,8.4,9.6,10.8,12))+IF(Inputs!$B$3&gt;=117,F2339,0))/100)),15)/15,(Skills!T18*(1+((Inputs!$B$34+(ArtifactsInput!$M$7-ArtifactsInput!$M$7)*CHOOSE(ArtifactsInput!$N$7+1,6,7.2,8.4,9.6,10.8,12))+IF(Inputs!$B$3&gt;=117,F2339,0))/100))/Skills!E18))</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IFERROR(1/(IF(Inputs!$B$38="pvp",15,MAX(0.1,Skills!E2-IF(Skills!F2=TRUE,Inputs!$B$32,0)))*(1-IF(AND(ArtifactsInput!$M$27,Inputs!$B$4="Chapter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IFERROR(1/(IF(Inputs!$B$38="pvp",15,MAX(0.1,Skills!E3-IF(Skills!F3=TRUE,Inputs!$B$32,0)))*(1-IF(AND(ArtifactsInput!$M$27,Inputs!$B$4="Chapter Hunt"),CHOOSE(ArtifactsInput!$N$27+1,20,24,28,32,36,40),0)/100)),0)</f>
        <v/>
      </c>
      <c r="R2361">
        <f>IF(AND(Inputs!$B$38&lt;&gt;"pvp",Inputs!$B$43&gt;0),IF(MAX(0,Inputs!$B$43-B2396)&lt;=0,0,(INT(MAX(0,Inputs!$B$43-B2396)/(IF(Inputs!$B$38="pvp",15,MAX(0.1,Skills!E3-IF(Skills!F3=TRUE,Inputs!$B$32,0)))*(1-IF(AND(ArtifactsInput!$M$27,Inputs!$B$4="Chapter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IFERROR(1/(IF(Inputs!$B$38="pvp",15,MAX(0.1,Skills!E4-IF(Skills!F4=TRUE,Inputs!$B$32,0)))*(1-IF(AND(ArtifactsInput!$M$27,Inputs!$B$4="Chapter Hunt"),CHOOSE(ArtifactsInput!$N$27+1,20,24,28,32,36,40),0)/100)),0)</f>
        <v/>
      </c>
      <c r="R2362">
        <f>IF(AND(Inputs!$B$38&lt;&gt;"pvp",Inputs!$B$43&gt;0),IF(MAX(0,Inputs!$B$43-B2396)&lt;=0,0,(INT(MAX(0,Inputs!$B$43-B2396)/(IF(Inputs!$B$38="pvp",15,MAX(0.1,Skills!E4-IF(Skills!F4=TRUE,Inputs!$B$32,0)))*(1-IF(AND(ArtifactsInput!$M$27,Inputs!$B$4="Chapter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IFERROR(1/(IF(Inputs!$B$38="pvp",15,MAX(0.1,Skills!E5-IF(Skills!F5=TRUE,Inputs!$B$32,0)))*(1-IF(AND(ArtifactsInput!$M$27,Inputs!$B$4="Chapter Hunt"),CHOOSE(ArtifactsInput!$N$27+1,20,24,28,32,36,40),0)/100)),0)</f>
        <v/>
      </c>
      <c r="R2363">
        <f>IF(AND(Inputs!$B$38&lt;&gt;"pvp",Inputs!$B$43&gt;0),IF(MAX(0,Inputs!$B$43-B2396)&lt;=0,0,(INT(MAX(0,Inputs!$B$43-B2396)/(IF(Inputs!$B$38="pvp",15,MAX(0.1,Skills!E5-IF(Skills!F5=TRUE,Inputs!$B$32,0)))*(1-IF(AND(ArtifactsInput!$M$27,Inputs!$B$4="Chapter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IFERROR(1/(IF(Inputs!$B$38="pvp",15,MAX(0.1,Skills!E6-IF(Skills!F6=TRUE,Inputs!$B$32,0)))*(1-IF(AND(ArtifactsInput!$M$27,Inputs!$B$4="Chapter Hunt"),CHOOSE(ArtifactsInput!$N$27+1,20,24,28,32,36,40),0)/100)),0)</f>
        <v/>
      </c>
      <c r="R2364">
        <f>IF(AND(Inputs!$B$38&lt;&gt;"pvp",Inputs!$B$43&gt;0),IF(Inputs!$B$43&lt;=0,0,(INT(Inputs!$B$43/(IF(Inputs!$B$38="pvp",15,MAX(0.1,Skills!E6-IF(Skills!F6=TRUE,Inputs!$B$32,0)))*(1-IF(AND(ArtifactsInput!$M$27,Inputs!$B$4="Chapter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IFERROR(1/(IF(Inputs!$B$38="pvp",15,MAX(0.1,Skills!E7-IF(Skills!F7=TRUE,Inputs!$B$32,0)))*(1-IF(AND(ArtifactsInput!$M$27,Inputs!$B$4="Chapter Hunt"),CHOOSE(ArtifactsInput!$N$27+1,20,24,28,32,36,40),0)/100)),0)</f>
        <v/>
      </c>
      <c r="R2365">
        <f>IF(AND(Inputs!$B$38&lt;&gt;"pvp",Inputs!$B$43&gt;0),IF(MAX(0,Inputs!$B$43-B2396)&lt;=0,0,(INT(MAX(0,Inputs!$B$43-B2396)/(IF(Inputs!$B$38="pvp",15,MAX(0.1,Skills!E7-IF(Skills!F7=TRUE,Inputs!$B$32,0)))*(1-IF(AND(ArtifactsInput!$M$27,Inputs!$B$4="Chapter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IFERROR(1/(IF(Inputs!$B$38="pvp",15,MAX(0.1,Skills!E8-IF(Skills!F8=TRUE,Inputs!$B$32,0)))*(1-IF(AND(ArtifactsInput!$M$27,Inputs!$B$4="Chapter Hunt"),CHOOSE(ArtifactsInput!$N$27+1,20,24,28,32,36,40),0)/100)),0)</f>
        <v/>
      </c>
      <c r="R2366">
        <f>IF(AND(Inputs!$B$38&lt;&gt;"pvp",Inputs!$B$43&gt;0),IF(MAX(0,Inputs!$B$43-B2396)&lt;=0,0,(INT(MAX(0,Inputs!$B$43-B2396)/(IF(Inputs!$B$38="pvp",15,MAX(0.1,Skills!E8-IF(Skills!F8=TRUE,Inputs!$B$32,0)))*(1-IF(AND(ArtifactsInput!$M$27,Inputs!$B$4="Chapter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IFERROR(1/(IF(Inputs!$B$38="pvp",15,MAX(0.1,Skills!E9-IF(Skills!F7=TRUE,Inputs!$B$32,0)))*(1-IF(AND(ArtifactsInput!$M$27,Inputs!$B$4="Chapter Hunt"),CHOOSE(ArtifactsInput!$N$27+1,20,24,28,32,36,40),0)/100)),0)</f>
        <v/>
      </c>
      <c r="R2367">
        <f>IF(AND(Inputs!$B$38&lt;&gt;"pvp",Inputs!$B$43&gt;0),IF(MAX(0,Inputs!$B$43-B2396)&lt;=0,0,(INT(MAX(0,Inputs!$B$43-B2396)/(IF(Inputs!$B$38="pvp",15,MAX(0.1,Skills!E9-IF(Skills!F7=TRUE,Inputs!$B$32,0)))*(1-IF(AND(ArtifactsInput!$M$27,Inputs!$B$4="Chapter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IFERROR(1/(IF(Inputs!$B$38="pvp",15,MAX(0.1,Skills!E10-IF(Skills!F10=TRUE,Inputs!$B$32,0)))*(1-IF(AND(ArtifactsInput!$M$27,Inputs!$B$4="Chapter Hunt"),CHOOSE(ArtifactsInput!$N$27+1,20,24,28,32,36,40),0)/100)),0)</f>
        <v/>
      </c>
      <c r="R2368">
        <f>IF(AND(Inputs!$B$38&lt;&gt;"pvp",Inputs!$B$43&gt;0),IF(MAX(0,Inputs!$B$43-B2396)&lt;=0,0,(INT(MAX(0,Inputs!$B$43-B2396)/(IF(Inputs!$B$38="pvp",15,MAX(0.1,Skills!E10-IF(Skills!F10=TRUE,Inputs!$B$32,0)))*(1-IF(AND(ArtifactsInput!$M$27,Inputs!$B$4="Chapter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IFERROR(1/(IF(Inputs!$B$38="pvp",15,MAX(0.1,Skills!E11-IF(Skills!F11=TRUE,Inputs!$B$32,0)))*(1-IF(AND(ArtifactsInput!$M$27,Inputs!$B$4="Chapter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IFERROR(1/(IF(Inputs!$B$38="pvp",15,MAX(0.1,Skills!E12-IF(Skills!F12=TRUE,Inputs!$B$32,0)))*(1-IF(AND(ArtifactsInput!$M$27,Inputs!$B$4="Chapter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IFERROR(1/(IF(Inputs!$B$38="pvp",15,MAX(0.1,Skills!E13-IF(Skills!F13=TRUE,Inputs!$B$32,0)))*(1-IF(AND(ArtifactsInput!$M$27,Inputs!$B$4="Chapter Hunt"),CHOOSE(ArtifactsInput!$N$27+1,20,24,28,32,36,40),0)/100)),0)</f>
        <v/>
      </c>
      <c r="R2371">
        <f>IF(AND(Inputs!$B$38&lt;&gt;"pvp",Inputs!$B$43&gt;0),IF(MAX(0,Inputs!$B$43-B2396)&lt;=0,0,(INT(MAX(0,Inputs!$B$43-B2396)/(IF(Inputs!$B$38="pvp",15,MAX(0.1,Skills!E13-IF(Skills!F13=TRUE,Inputs!$B$32,0)))*(1-IF(AND(ArtifactsInput!$M$27,Inputs!$B$4="Chapter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IFERROR(1/(IF(Inputs!$B$38="pvp",15,MAX(0.1,Skills!E14-IF(Skills!F14=TRUE,Inputs!$B$32,0)))*(1-IF(AND(ArtifactsInput!$M$27,Inputs!$B$4="Chapter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IFERROR(1/(IF(Inputs!$B$38="pvp",15,MAX(0.1,Skills!E15-IF(Skills!F15=TRUE,Inputs!$B$32,0)))*(1-IF(AND(ArtifactsInput!$M$27,Inputs!$B$4="Chapter Hunt"),CHOOSE(ArtifactsInput!$N$27+1,20,24,28,32,36,40),0)/100)),0)</f>
        <v/>
      </c>
      <c r="R2373">
        <f>IF(AND(Inputs!$B$38&lt;&gt;"pvp",Inputs!$B$43&gt;0),IF(MAX(0,Inputs!$B$43-B2396)&lt;=0,0,(INT(MAX(0,Inputs!$B$43-B2396)/(IF(Inputs!$B$38="pvp",15,MAX(0.1,Skills!E15-IF(Skills!F15=TRUE,Inputs!$B$32,0)))*(1-IF(AND(ArtifactsInput!$M$27,Inputs!$B$4="Chapter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IFERROR(1/(IF(Inputs!$B$38="pvp",15,MAX(0.1,Skills!E16-IF(Skills!F16=TRUE,Inputs!$B$32,0)))*(1-IF(AND(ArtifactsInput!$M$27,Inputs!$B$4="Chapter Hunt"),CHOOSE(ArtifactsInput!$N$27+1,20,24,28,32,36,40),0)/100)),0)</f>
        <v/>
      </c>
      <c r="R2374">
        <f>IF(AND(Inputs!$B$38&lt;&gt;"pvp",Inputs!$B$43&gt;0),IF(MAX(0,Inputs!$B$43-B2396)&lt;=0,0,(INT(MAX(0,Inputs!$B$43-B2396)/(IF(Inputs!$B$38="pvp",15,MAX(0.1,Skills!E16-IF(Skills!F16=TRUE,Inputs!$B$32,0)))*(1-IF(AND(ArtifactsInput!$M$27,Inputs!$B$4="Chapter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IFERROR(1/(IF(Inputs!$B$38="pvp",15,MAX(0.1,Skills!E17-IF(Skills!F17=TRUE,Inputs!$B$32,0)))*(1-IF(AND(ArtifactsInput!$M$27,Inputs!$B$4="Chapter Hunt"),CHOOSE(ArtifactsInput!$N$27+1,20,24,28,32,36,40),0)/100)),0)</f>
        <v/>
      </c>
      <c r="R2375">
        <f>IF(AND(Inputs!$B$38&lt;&gt;"pvp",Inputs!$B$43&gt;0),IF(Inputs!$B$43&lt;=0,0,(INT(Inputs!$B$43/(IF(Inputs!$B$38="pvp",15,MAX(0.1,Skills!E17-IF(Skills!F17=TRUE,Inputs!$B$32,0)))*(1-IF(AND(ArtifactsInput!$M$27,Inputs!$B$4="Chapter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IFERROR(1/(IF(Inputs!$B$38="pvp",15,MAX(0.1,Skills!E18-IF(Skills!F18=TRUE,Inputs!$B$32,0)))*(1-IF(AND(ArtifactsInput!$M$27,Inputs!$B$4="Chapter Hunt"),CHOOSE(ArtifactsInput!$N$27+1,20,24,28,32,36,40),0)/100)),0)</f>
        <v/>
      </c>
      <c r="R2376">
        <f>IF(AND(Inputs!$B$38&lt;&gt;"pvp",Inputs!$B$43&gt;0),IF(Inputs!$B$43&lt;=0,0,(INT(Inputs!$B$43/(IF(Inputs!$B$38="pvp",15,MAX(0.1,Skills!E18-IF(Skills!F18=TRUE,Inputs!$B$32,0)))*(1-IF(AND(ArtifactsInput!$M$27,Inputs!$B$4="Chapter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IFERROR(1/(IF(Inputs!$B$38="pvp",15,MAX(0.1,Skills!E19-IF(Skills!F19=TRUE,Inputs!$B$32,0)))*(1-IF(AND(ArtifactsInput!$M$27,Inputs!$B$4="Chapter Hunt"),CHOOSE(ArtifactsInput!$N$27+1,20,24,28,32,36,40),0)/100)),0)</f>
        <v/>
      </c>
      <c r="R2377">
        <f>IF(AND(Inputs!$B$38&lt;&gt;"pvp",Inputs!$B$43&gt;0),IF(Inputs!$B$43&lt;=0,0,(INT(Inputs!$B$43/(IF(Inputs!$B$38="pvp",15,MAX(0.1,Skills!E19-IF(Skills!F19=TRUE,Inputs!$B$32,0)))*(1-IF(AND(ArtifactsInput!$M$27,Inputs!$B$4="Chapter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IFERROR(1/(IF(Inputs!$B$38="pvp",15,MAX(0.1,Skills!E20-IF(Skills!F20=TRUE,Inputs!$B$32,0)))*(1-IF(AND(ArtifactsInput!$M$27,Inputs!$B$4="Chapter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IFERROR(1/(IF(Inputs!$B$38="pvp",15,MAX(0.1,Skills!E21-IF(Skills!F21=TRUE,Inputs!$B$32,0)))*(1-IF(AND(ArtifactsInput!$M$27,Inputs!$B$4="Chapter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IFERROR(1/(IF(Inputs!$B$38="pvp",15,MAX(0.1,Skills!E22-IF(Skills!F22=TRUE,Inputs!$B$32,0)))*(1-IF(AND(ArtifactsInput!$M$27,Inputs!$B$4="Chapter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IFERROR(1/(IF(Inputs!$B$38="pvp",15,MAX(0.1,Skills!E23-IF(Skills!F23=TRUE,Inputs!$B$32,0)))*(1-IF(AND(ArtifactsInput!$M$27,Inputs!$B$4="Chapter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IFERROR(1/(IF(Inputs!$B$38="pvp",15,MAX(0.1,Skills!E24-IF(Skills!F24=TRUE,Inputs!$B$32,0)))*(1-IF(AND(ArtifactsInput!$M$27,Inputs!$B$4="Chapter Hunt"),CHOOSE(ArtifactsInput!$N$27+1,20,24,28,32,36,40),0)/100)),0)</f>
        <v/>
      </c>
      <c r="R2382">
        <f>IF(AND(Inputs!$B$38&lt;&gt;"pvp",Inputs!$B$43&gt;0),IF(MAX(0,Inputs!$B$43-B2396)&lt;=0,0,(INT(MAX(0,Inputs!$B$43-B2396)/(IF(Inputs!$B$38="pvp",15,MAX(0.1,Skills!E24-IF(Skills!F24=TRUE,Inputs!$B$32,0)))*(1-IF(AND(ArtifactsInput!$M$27,Inputs!$B$4="Chapter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IFERROR(1/(IF(Inputs!$B$38="pvp",15,MAX(0.1,Skills!E25-IF(Skills!F25=TRUE,Inputs!$B$32,0)))*(1-IF(AND(ArtifactsInput!$M$27,Inputs!$B$4="Chapter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IFERROR(1/(IF(Inputs!$B$38="pvp",15,MAX(0.1,Skills!E26-IF(Skills!F26=TRUE,Inputs!$B$32,0)))*(1-IF(AND(ArtifactsInput!$M$27,Inputs!$B$4="Chapter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IFERROR(1/(IF(Inputs!$B$38="pvp",15,MAX(0.1,Skills!E27-IF(Skills!F27=TRUE,Inputs!$B$32,0)))*(1-IF(AND(ArtifactsInput!$M$27,Inputs!$B$4="Chapter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IFERROR(1/(IF(Inputs!$B$38="pvp",15,MAX(0.1,Skills!E28-IF(Skills!F28=TRUE,Inputs!$B$32,0)))*(1-IF(AND(ArtifactsInput!$M$27,Inputs!$B$4="Chapter Hunt"),CHOOSE(ArtifactsInput!$N$27+1,20,24,28,32,36,40),0)/100)),0)</f>
        <v/>
      </c>
      <c r="R2386">
        <f>IF(AND(Inputs!$B$38&lt;&gt;"pvp",Inputs!$B$43&gt;0),IF(MAX(0,Inputs!$B$43-B2396)&lt;=0,0,(INT(MAX(0,Inputs!$B$43-B2396)/(IF(Inputs!$B$38="pvp",15,MAX(0.1,Skills!E28-IF(Skills!F28=TRUE,Inputs!$B$32,0)))*(1-IF(AND(ArtifactsInput!$M$27,Inputs!$B$4="Chapter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Skills!T6*(1+((Inputs!$B$34+(ArtifactsInput!$M$7-ArtifactsInput!$M$7)*CHOOSE(ArtifactsInput!$N$7+1,6,7.2,8.4,9.6,10.8,12))+IF(Inputs!$B$3&gt;=117,F2383,0))/100))+MIN((Skills!T6*(1+((Inputs!$B$34+(ArtifactsInput!$M$7-ArtifactsInput!$M$7)*CHOOSE(ArtifactsInput!$N$7+1,6,7.2,8.4,9.6,10.8,12))+IF(Inputs!$B$3&gt;=117,F2383,0))/100)),MAX(0,Inputs!$B$43-((R2364-1)*Skills!E6))))/Inputs!$B$43),IF(Inputs!$B$38="pvp",MIN((Skills!T6*(1+((Inputs!$B$34+(ArtifactsInput!$M$7-ArtifactsInput!$M$7)*CHOOSE(ArtifactsInput!$N$7+1,6,7.2,8.4,9.6,10.8,12))+IF(Inputs!$B$3&gt;=117,F2383,0))/100)),15)/15,(Skills!T6*(1+((Inputs!$B$34+(ArtifactsInput!$M$7-ArtifactsInput!$M$7)*CHOOSE(ArtifactsInput!$N$7+1,6,7.2,8.4,9.6,10.8,12))+IF(Inputs!$B$3&gt;=117,F2383,0))/100))/Skills!E6))+F2375*IF(AND(Inputs!$B$38&lt;&gt;"pvp",Inputs!$B$43&gt;0),(((R2375-1)*(Skills!T17*(1+((Inputs!$B$34+(ArtifactsInput!$M$7-ArtifactsInput!$M$7)*CHOOSE(ArtifactsInput!$N$7+1,6,7.2,8.4,9.6,10.8,12))+IF(Inputs!$B$3&gt;=117,F2383,0))/100))+MIN((Skills!T17*(1+((Inputs!$B$34+(ArtifactsInput!$M$7-ArtifactsInput!$M$7)*CHOOSE(ArtifactsInput!$N$7+1,6,7.2,8.4,9.6,10.8,12))+IF(Inputs!$B$3&gt;=117,F2383,0))/100)),MAX(0,Inputs!$B$43-((R2375-1)*Skills!E17))))/Inputs!$B$43),IF(Inputs!$B$38="pvp",MIN((Skills!T17*(1+((Inputs!$B$34+(ArtifactsInput!$M$7-ArtifactsInput!$M$7)*CHOOSE(ArtifactsInput!$N$7+1,6,7.2,8.4,9.6,10.8,12))+IF(Inputs!$B$3&gt;=117,F2383,0))/100)),15)/15,(Skills!T17*(1+((Inputs!$B$34+(ArtifactsInput!$M$7-ArtifactsInput!$M$7)*CHOOSE(ArtifactsInput!$N$7+1,6,7.2,8.4,9.6,10.8,12))+IF(Inputs!$B$3&gt;=117,F2383,0)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Skills!T19*(1+((Inputs!$B$34+(ArtifactsInput!$M$7-ArtifactsInput!$M$7)*CHOOSE(ArtifactsInput!$N$7+1,6,7.2,8.4,9.6,10.8,12))+IF(Inputs!$B$3&gt;=117,F2383,0))/100))+MIN((Skills!T19*(1+((Inputs!$B$34+(ArtifactsInput!$M$7-ArtifactsInput!$M$7)*CHOOSE(ArtifactsInput!$N$7+1,6,7.2,8.4,9.6,10.8,12))+IF(Inputs!$B$3&gt;=117,F2383,0))/100)),MAX(0,Inputs!$B$43-((R2377-1)*Skills!E19))))/Inputs!$B$43),IF(Inputs!$B$38="pvp",MIN((Skills!T19*(1+((Inputs!$B$34+(ArtifactsInput!$M$7-ArtifactsInput!$M$7)*CHOOSE(ArtifactsInput!$N$7+1,6,7.2,8.4,9.6,10.8,12))+IF(Inputs!$B$3&gt;=117,F2383,0))/100)),15)/15,(Skills!T19*(1+((Inputs!$B$34+(ArtifactsInput!$M$7-ArtifactsInput!$M$7)*CHOOSE(ArtifactsInput!$N$7+1,6,7.2,8.4,9.6,10.8,12))+IF(Inputs!$B$3&gt;=117,F2383,0))/100))/Skills!E19))/100),1)</f>
        <v/>
      </c>
    </row>
    <row r="2391">
      <c r="A2391" t="inlineStr">
        <is>
          <t>Attack Speed Buff Bonus % (Nimble Feet, averaged)</t>
        </is>
      </c>
      <c r="B2391">
        <f>F2376*IF(AND(Inputs!$B$38&lt;&gt;"pvp",Inputs!$B$43&gt;0),(((R2376-1)*(Skills!T18*(1+((Inputs!$B$34+(ArtifactsInput!$M$7-ArtifactsInput!$M$7)*CHOOSE(ArtifactsInput!$N$7+1,6,7.2,8.4,9.6,10.8,12))+IF(Inputs!$B$3&gt;=117,F2383,0))/100))+MIN((Skills!T18*(1+((Inputs!$B$34+(ArtifactsInput!$M$7-ArtifactsInput!$M$7)*CHOOSE(ArtifactsInput!$N$7+1,6,7.2,8.4,9.6,10.8,12))+IF(Inputs!$B$3&gt;=117,F2383,0))/100)),MAX(0,Inputs!$B$43-((R2376-1)*Skills!E18))))/Inputs!$B$43),IF(Inputs!$B$38="pvp",MIN((Skills!T18*(1+((Inputs!$B$34+(ArtifactsInput!$M$7-ArtifactsInput!$M$7)*CHOOSE(ArtifactsInput!$N$7+1,6,7.2,8.4,9.6,10.8,12))+IF(Inputs!$B$3&gt;=117,F2383,0))/100)),15)/15,(Skills!T18*(1+((Inputs!$B$34+(ArtifactsInput!$M$7-ArtifactsInput!$M$7)*CHOOSE(ArtifactsInput!$N$7+1,6,7.2,8.4,9.6,10.8,12))+IF(Inputs!$B$3&gt;=117,F2383,0))/100))/Skills!E18))</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IFERROR(1/(IF(Inputs!$B$38="pvp",15,MAX(0.1,Skills!E2-IF(Skills!F2=TRUE,Inputs!$B$32,0)))*(1-IF(AND(ArtifactsInput!$M$27,Inputs!$B$4="Chapter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IFERROR(1/(IF(Inputs!$B$38="pvp",15,MAX(0.1,Skills!E3-IF(Skills!F3=TRUE,Inputs!$B$32,0)))*(1-IF(AND(ArtifactsInput!$M$27,Inputs!$B$4="Chapter Hunt"),CHOOSE(ArtifactsInput!$N$27+1,20,24,28,32,36,40),0)/100)),0)</f>
        <v/>
      </c>
      <c r="R2405">
        <f>IF(AND(Inputs!$B$38&lt;&gt;"pvp",Inputs!$B$43&gt;0),IF(MAX(0,Inputs!$B$43-B2440)&lt;=0,0,(INT(MAX(0,Inputs!$B$43-B2440)/(IF(Inputs!$B$38="pvp",15,MAX(0.1,Skills!E3-IF(Skills!F3=TRUE,Inputs!$B$32,0)))*(1-IF(AND(ArtifactsInput!$M$27,Inputs!$B$4="Chapter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IFERROR(1/(IF(Inputs!$B$38="pvp",15,MAX(0.1,Skills!E4-IF(Skills!F4=TRUE,Inputs!$B$32,0)))*(1-IF(AND(ArtifactsInput!$M$27,Inputs!$B$4="Chapter Hunt"),CHOOSE(ArtifactsInput!$N$27+1,20,24,28,32,36,40),0)/100)),0)</f>
        <v/>
      </c>
      <c r="R2406">
        <f>IF(AND(Inputs!$B$38&lt;&gt;"pvp",Inputs!$B$43&gt;0),IF(MAX(0,Inputs!$B$43-B2440)&lt;=0,0,(INT(MAX(0,Inputs!$B$43-B2440)/(IF(Inputs!$B$38="pvp",15,MAX(0.1,Skills!E4-IF(Skills!F4=TRUE,Inputs!$B$32,0)))*(1-IF(AND(ArtifactsInput!$M$27,Inputs!$B$4="Chapter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IFERROR(1/(IF(Inputs!$B$38="pvp",15,MAX(0.1,Skills!E5-IF(Skills!F5=TRUE,Inputs!$B$32,0)))*(1-IF(AND(ArtifactsInput!$M$27,Inputs!$B$4="Chapter Hunt"),CHOOSE(ArtifactsInput!$N$27+1,20,24,28,32,36,40),0)/100)),0)</f>
        <v/>
      </c>
      <c r="R2407">
        <f>IF(AND(Inputs!$B$38&lt;&gt;"pvp",Inputs!$B$43&gt;0),IF(MAX(0,Inputs!$B$43-B2440)&lt;=0,0,(INT(MAX(0,Inputs!$B$43-B2440)/(IF(Inputs!$B$38="pvp",15,MAX(0.1,Skills!E5-IF(Skills!F5=TRUE,Inputs!$B$32,0)))*(1-IF(AND(ArtifactsInput!$M$27,Inputs!$B$4="Chapter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IFERROR(1/(IF(Inputs!$B$38="pvp",15,MAX(0.1,Skills!E6-IF(Skills!F6=TRUE,Inputs!$B$32,0)))*(1-IF(AND(ArtifactsInput!$M$27,Inputs!$B$4="Chapter Hunt"),CHOOSE(ArtifactsInput!$N$27+1,20,24,28,32,36,40),0)/100)),0)</f>
        <v/>
      </c>
      <c r="R2408">
        <f>IF(AND(Inputs!$B$38&lt;&gt;"pvp",Inputs!$B$43&gt;0),IF(Inputs!$B$43&lt;=0,0,(INT(Inputs!$B$43/(IF(Inputs!$B$38="pvp",15,MAX(0.1,Skills!E6-IF(Skills!F6=TRUE,Inputs!$B$32,0)))*(1-IF(AND(ArtifactsInput!$M$27,Inputs!$B$4="Chapter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IFERROR(1/(IF(Inputs!$B$38="pvp",15,MAX(0.1,Skills!E7-IF(Skills!F7=TRUE,Inputs!$B$32,0)))*(1-IF(AND(ArtifactsInput!$M$27,Inputs!$B$4="Chapter Hunt"),CHOOSE(ArtifactsInput!$N$27+1,20,24,28,32,36,40),0)/100)),0)</f>
        <v/>
      </c>
      <c r="R2409">
        <f>IF(AND(Inputs!$B$38&lt;&gt;"pvp",Inputs!$B$43&gt;0),IF(MAX(0,Inputs!$B$43-B2440)&lt;=0,0,(INT(MAX(0,Inputs!$B$43-B2440)/(IF(Inputs!$B$38="pvp",15,MAX(0.1,Skills!E7-IF(Skills!F7=TRUE,Inputs!$B$32,0)))*(1-IF(AND(ArtifactsInput!$M$27,Inputs!$B$4="Chapter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IFERROR(1/(IF(Inputs!$B$38="pvp",15,MAX(0.1,Skills!E8-IF(Skills!F8=TRUE,Inputs!$B$32,0)))*(1-IF(AND(ArtifactsInput!$M$27,Inputs!$B$4="Chapter Hunt"),CHOOSE(ArtifactsInput!$N$27+1,20,24,28,32,36,40),0)/100)),0)</f>
        <v/>
      </c>
      <c r="R2410">
        <f>IF(AND(Inputs!$B$38&lt;&gt;"pvp",Inputs!$B$43&gt;0),IF(MAX(0,Inputs!$B$43-B2440)&lt;=0,0,(INT(MAX(0,Inputs!$B$43-B2440)/(IF(Inputs!$B$38="pvp",15,MAX(0.1,Skills!E8-IF(Skills!F8=TRUE,Inputs!$B$32,0)))*(1-IF(AND(ArtifactsInput!$M$27,Inputs!$B$4="Chapter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IFERROR(1/(IF(Inputs!$B$38="pvp",15,MAX(0.1,Skills!E9-IF(Skills!F7=TRUE,Inputs!$B$32,0)))*(1-IF(AND(ArtifactsInput!$M$27,Inputs!$B$4="Chapter Hunt"),CHOOSE(ArtifactsInput!$N$27+1,20,24,28,32,36,40),0)/100)),0)</f>
        <v/>
      </c>
      <c r="R2411">
        <f>IF(AND(Inputs!$B$38&lt;&gt;"pvp",Inputs!$B$43&gt;0),IF(MAX(0,Inputs!$B$43-B2440)&lt;=0,0,(INT(MAX(0,Inputs!$B$43-B2440)/(IF(Inputs!$B$38="pvp",15,MAX(0.1,Skills!E9-IF(Skills!F7=TRUE,Inputs!$B$32,0)))*(1-IF(AND(ArtifactsInput!$M$27,Inputs!$B$4="Chapter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IFERROR(1/(IF(Inputs!$B$38="pvp",15,MAX(0.1,Skills!E10-IF(Skills!F10=TRUE,Inputs!$B$32,0)))*(1-IF(AND(ArtifactsInput!$M$27,Inputs!$B$4="Chapter Hunt"),CHOOSE(ArtifactsInput!$N$27+1,20,24,28,32,36,40),0)/100)),0)</f>
        <v/>
      </c>
      <c r="R2412">
        <f>IF(AND(Inputs!$B$38&lt;&gt;"pvp",Inputs!$B$43&gt;0),IF(MAX(0,Inputs!$B$43-B2440)&lt;=0,0,(INT(MAX(0,Inputs!$B$43-B2440)/(IF(Inputs!$B$38="pvp",15,MAX(0.1,Skills!E10-IF(Skills!F10=TRUE,Inputs!$B$32,0)))*(1-IF(AND(ArtifactsInput!$M$27,Inputs!$B$4="Chapter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IFERROR(1/(IF(Inputs!$B$38="pvp",15,MAX(0.1,Skills!E11-IF(Skills!F11=TRUE,Inputs!$B$32,0)))*(1-IF(AND(ArtifactsInput!$M$27,Inputs!$B$4="Chapter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IFERROR(1/(IF(Inputs!$B$38="pvp",15,MAX(0.1,Skills!E12-IF(Skills!F12=TRUE,Inputs!$B$32,0)))*(1-IF(AND(ArtifactsInput!$M$27,Inputs!$B$4="Chapter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IFERROR(1/(IF(Inputs!$B$38="pvp",15,MAX(0.1,Skills!E13-IF(Skills!F13=TRUE,Inputs!$B$32,0)))*(1-IF(AND(ArtifactsInput!$M$27,Inputs!$B$4="Chapter Hunt"),CHOOSE(ArtifactsInput!$N$27+1,20,24,28,32,36,40),0)/100)),0)</f>
        <v/>
      </c>
      <c r="R2415">
        <f>IF(AND(Inputs!$B$38&lt;&gt;"pvp",Inputs!$B$43&gt;0),IF(MAX(0,Inputs!$B$43-B2440)&lt;=0,0,(INT(MAX(0,Inputs!$B$43-B2440)/(IF(Inputs!$B$38="pvp",15,MAX(0.1,Skills!E13-IF(Skills!F13=TRUE,Inputs!$B$32,0)))*(1-IF(AND(ArtifactsInput!$M$27,Inputs!$B$4="Chapter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IFERROR(1/(IF(Inputs!$B$38="pvp",15,MAX(0.1,Skills!E14-IF(Skills!F14=TRUE,Inputs!$B$32,0)))*(1-IF(AND(ArtifactsInput!$M$27,Inputs!$B$4="Chapter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IFERROR(1/(IF(Inputs!$B$38="pvp",15,MAX(0.1,Skills!E15-IF(Skills!F15=TRUE,Inputs!$B$32,0)))*(1-IF(AND(ArtifactsInput!$M$27,Inputs!$B$4="Chapter Hunt"),CHOOSE(ArtifactsInput!$N$27+1,20,24,28,32,36,40),0)/100)),0)</f>
        <v/>
      </c>
      <c r="R2417">
        <f>IF(AND(Inputs!$B$38&lt;&gt;"pvp",Inputs!$B$43&gt;0),IF(MAX(0,Inputs!$B$43-B2440)&lt;=0,0,(INT(MAX(0,Inputs!$B$43-B2440)/(IF(Inputs!$B$38="pvp",15,MAX(0.1,Skills!E15-IF(Skills!F15=TRUE,Inputs!$B$32,0)))*(1-IF(AND(ArtifactsInput!$M$27,Inputs!$B$4="Chapter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IFERROR(1/(IF(Inputs!$B$38="pvp",15,MAX(0.1,Skills!E16-IF(Skills!F16=TRUE,Inputs!$B$32,0)))*(1-IF(AND(ArtifactsInput!$M$27,Inputs!$B$4="Chapter Hunt"),CHOOSE(ArtifactsInput!$N$27+1,20,24,28,32,36,40),0)/100)),0)</f>
        <v/>
      </c>
      <c r="R2418">
        <f>IF(AND(Inputs!$B$38&lt;&gt;"pvp",Inputs!$B$43&gt;0),IF(MAX(0,Inputs!$B$43-B2440)&lt;=0,0,(INT(MAX(0,Inputs!$B$43-B2440)/(IF(Inputs!$B$38="pvp",15,MAX(0.1,Skills!E16-IF(Skills!F16=TRUE,Inputs!$B$32,0)))*(1-IF(AND(ArtifactsInput!$M$27,Inputs!$B$4="Chapter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IFERROR(1/(IF(Inputs!$B$38="pvp",15,MAX(0.1,Skills!E17-IF(Skills!F17=TRUE,Inputs!$B$32,0)))*(1-IF(AND(ArtifactsInput!$M$27,Inputs!$B$4="Chapter Hunt"),CHOOSE(ArtifactsInput!$N$27+1,20,24,28,32,36,40),0)/100)),0)</f>
        <v/>
      </c>
      <c r="R2419">
        <f>IF(AND(Inputs!$B$38&lt;&gt;"pvp",Inputs!$B$43&gt;0),IF(Inputs!$B$43&lt;=0,0,(INT(Inputs!$B$43/(IF(Inputs!$B$38="pvp",15,MAX(0.1,Skills!E17-IF(Skills!F17=TRUE,Inputs!$B$32,0)))*(1-IF(AND(ArtifactsInput!$M$27,Inputs!$B$4="Chapter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IFERROR(1/(IF(Inputs!$B$38="pvp",15,MAX(0.1,Skills!E18-IF(Skills!F18=TRUE,Inputs!$B$32,0)))*(1-IF(AND(ArtifactsInput!$M$27,Inputs!$B$4="Chapter Hunt"),CHOOSE(ArtifactsInput!$N$27+1,20,24,28,32,36,40),0)/100)),0)</f>
        <v/>
      </c>
      <c r="R2420">
        <f>IF(AND(Inputs!$B$38&lt;&gt;"pvp",Inputs!$B$43&gt;0),IF(Inputs!$B$43&lt;=0,0,(INT(Inputs!$B$43/(IF(Inputs!$B$38="pvp",15,MAX(0.1,Skills!E18-IF(Skills!F18=TRUE,Inputs!$B$32,0)))*(1-IF(AND(ArtifactsInput!$M$27,Inputs!$B$4="Chapter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IFERROR(1/(IF(Inputs!$B$38="pvp",15,MAX(0.1,Skills!E19-IF(Skills!F19=TRUE,Inputs!$B$32,0)))*(1-IF(AND(ArtifactsInput!$M$27,Inputs!$B$4="Chapter Hunt"),CHOOSE(ArtifactsInput!$N$27+1,20,24,28,32,36,40),0)/100)),0)</f>
        <v/>
      </c>
      <c r="R2421">
        <f>IF(AND(Inputs!$B$38&lt;&gt;"pvp",Inputs!$B$43&gt;0),IF(Inputs!$B$43&lt;=0,0,(INT(Inputs!$B$43/(IF(Inputs!$B$38="pvp",15,MAX(0.1,Skills!E19-IF(Skills!F19=TRUE,Inputs!$B$32,0)))*(1-IF(AND(ArtifactsInput!$M$27,Inputs!$B$4="Chapter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IFERROR(1/(IF(Inputs!$B$38="pvp",15,MAX(0.1,Skills!E20-IF(Skills!F20=TRUE,Inputs!$B$32,0)))*(1-IF(AND(ArtifactsInput!$M$27,Inputs!$B$4="Chapter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IFERROR(1/(IF(Inputs!$B$38="pvp",15,MAX(0.1,Skills!E21-IF(Skills!F21=TRUE,Inputs!$B$32,0)))*(1-IF(AND(ArtifactsInput!$M$27,Inputs!$B$4="Chapter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IFERROR(1/(IF(Inputs!$B$38="pvp",15,MAX(0.1,Skills!E22-IF(Skills!F22=TRUE,Inputs!$B$32,0)))*(1-IF(AND(ArtifactsInput!$M$27,Inputs!$B$4="Chapter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IFERROR(1/(IF(Inputs!$B$38="pvp",15,MAX(0.1,Skills!E23-IF(Skills!F23=TRUE,Inputs!$B$32,0)))*(1-IF(AND(ArtifactsInput!$M$27,Inputs!$B$4="Chapter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IFERROR(1/(IF(Inputs!$B$38="pvp",15,MAX(0.1,Skills!E24-IF(Skills!F24=TRUE,Inputs!$B$32,0)))*(1-IF(AND(ArtifactsInput!$M$27,Inputs!$B$4="Chapter Hunt"),CHOOSE(ArtifactsInput!$N$27+1,20,24,28,32,36,40),0)/100)),0)</f>
        <v/>
      </c>
      <c r="R2426">
        <f>IF(AND(Inputs!$B$38&lt;&gt;"pvp",Inputs!$B$43&gt;0),IF(MAX(0,Inputs!$B$43-B2440)&lt;=0,0,(INT(MAX(0,Inputs!$B$43-B2440)/(IF(Inputs!$B$38="pvp",15,MAX(0.1,Skills!E24-IF(Skills!F24=TRUE,Inputs!$B$32,0)))*(1-IF(AND(ArtifactsInput!$M$27,Inputs!$B$4="Chapter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IFERROR(1/(IF(Inputs!$B$38="pvp",15,MAX(0.1,Skills!E25-IF(Skills!F25=TRUE,Inputs!$B$32,0)))*(1-IF(AND(ArtifactsInput!$M$27,Inputs!$B$4="Chapter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IFERROR(1/(IF(Inputs!$B$38="pvp",15,MAX(0.1,Skills!E26-IF(Skills!F26=TRUE,Inputs!$B$32,0)))*(1-IF(AND(ArtifactsInput!$M$27,Inputs!$B$4="Chapter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IFERROR(1/(IF(Inputs!$B$38="pvp",15,MAX(0.1,Skills!E27-IF(Skills!F27=TRUE,Inputs!$B$32,0)))*(1-IF(AND(ArtifactsInput!$M$27,Inputs!$B$4="Chapter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IFERROR(1/(IF(Inputs!$B$38="pvp",15,MAX(0.1,Skills!E28-IF(Skills!F28=TRUE,Inputs!$B$32,0)))*(1-IF(AND(ArtifactsInput!$M$27,Inputs!$B$4="Chapter Hunt"),CHOOSE(ArtifactsInput!$N$27+1,20,24,28,32,36,40),0)/100)),0)</f>
        <v/>
      </c>
      <c r="R2430">
        <f>IF(AND(Inputs!$B$38&lt;&gt;"pvp",Inputs!$B$43&gt;0),IF(MAX(0,Inputs!$B$43-B2440)&lt;=0,0,(INT(MAX(0,Inputs!$B$43-B2440)/(IF(Inputs!$B$38="pvp",15,MAX(0.1,Skills!E28-IF(Skills!F28=TRUE,Inputs!$B$32,0)))*(1-IF(AND(ArtifactsInput!$M$27,Inputs!$B$4="Chapter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Skills!T6*(1+((Inputs!$B$34+(ArtifactsInput!$M$7-ArtifactsInput!$M$7)*CHOOSE(ArtifactsInput!$N$7+1,6,7.2,8.4,9.6,10.8,12))+IF(Inputs!$B$3&gt;=117,F2427,0))/100))+MIN((Skills!T6*(1+((Inputs!$B$34+(ArtifactsInput!$M$7-ArtifactsInput!$M$7)*CHOOSE(ArtifactsInput!$N$7+1,6,7.2,8.4,9.6,10.8,12))+IF(Inputs!$B$3&gt;=117,F2427,0))/100)),MAX(0,Inputs!$B$43-((R2408-1)*Skills!E6))))/Inputs!$B$43),IF(Inputs!$B$38="pvp",MIN((Skills!T6*(1+((Inputs!$B$34+(ArtifactsInput!$M$7-ArtifactsInput!$M$7)*CHOOSE(ArtifactsInput!$N$7+1,6,7.2,8.4,9.6,10.8,12))+IF(Inputs!$B$3&gt;=117,F2427,0))/100)),15)/15,(Skills!T6*(1+((Inputs!$B$34+(ArtifactsInput!$M$7-ArtifactsInput!$M$7)*CHOOSE(ArtifactsInput!$N$7+1,6,7.2,8.4,9.6,10.8,12))+IF(Inputs!$B$3&gt;=117,F2427,0))/100))/Skills!E6))+F2419*IF(AND(Inputs!$B$38&lt;&gt;"pvp",Inputs!$B$43&gt;0),(((R2419-1)*(Skills!T17*(1+((Inputs!$B$34+(ArtifactsInput!$M$7-ArtifactsInput!$M$7)*CHOOSE(ArtifactsInput!$N$7+1,6,7.2,8.4,9.6,10.8,12))+IF(Inputs!$B$3&gt;=117,F2427,0))/100))+MIN((Skills!T17*(1+((Inputs!$B$34+(ArtifactsInput!$M$7-ArtifactsInput!$M$7)*CHOOSE(ArtifactsInput!$N$7+1,6,7.2,8.4,9.6,10.8,12))+IF(Inputs!$B$3&gt;=117,F2427,0))/100)),MAX(0,Inputs!$B$43-((R2419-1)*Skills!E17))))/Inputs!$B$43),IF(Inputs!$B$38="pvp",MIN((Skills!T17*(1+((Inputs!$B$34+(ArtifactsInput!$M$7-ArtifactsInput!$M$7)*CHOOSE(ArtifactsInput!$N$7+1,6,7.2,8.4,9.6,10.8,12))+IF(Inputs!$B$3&gt;=117,F2427,0))/100)),15)/15,(Skills!T17*(1+((Inputs!$B$34+(ArtifactsInput!$M$7-ArtifactsInput!$M$7)*CHOOSE(ArtifactsInput!$N$7+1,6,7.2,8.4,9.6,10.8,12))+IF(Inputs!$B$3&gt;=117,F2427,0)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Skills!T19*(1+((Inputs!$B$34+(ArtifactsInput!$M$7-ArtifactsInput!$M$7)*CHOOSE(ArtifactsInput!$N$7+1,6,7.2,8.4,9.6,10.8,12))+IF(Inputs!$B$3&gt;=117,F2427,0))/100))+MIN((Skills!T19*(1+((Inputs!$B$34+(ArtifactsInput!$M$7-ArtifactsInput!$M$7)*CHOOSE(ArtifactsInput!$N$7+1,6,7.2,8.4,9.6,10.8,12))+IF(Inputs!$B$3&gt;=117,F2427,0))/100)),MAX(0,Inputs!$B$43-((R2421-1)*Skills!E19))))/Inputs!$B$43),IF(Inputs!$B$38="pvp",MIN((Skills!T19*(1+((Inputs!$B$34+(ArtifactsInput!$M$7-ArtifactsInput!$M$7)*CHOOSE(ArtifactsInput!$N$7+1,6,7.2,8.4,9.6,10.8,12))+IF(Inputs!$B$3&gt;=117,F2427,0))/100)),15)/15,(Skills!T19*(1+((Inputs!$B$34+(ArtifactsInput!$M$7-ArtifactsInput!$M$7)*CHOOSE(ArtifactsInput!$N$7+1,6,7.2,8.4,9.6,10.8,12))+IF(Inputs!$B$3&gt;=117,F2427,0))/100))/Skills!E19))/100),1)</f>
        <v/>
      </c>
    </row>
    <row r="2435">
      <c r="A2435" t="inlineStr">
        <is>
          <t>Attack Speed Buff Bonus % (Nimble Feet, averaged)</t>
        </is>
      </c>
      <c r="B2435">
        <f>F2420*IF(AND(Inputs!$B$38&lt;&gt;"pvp",Inputs!$B$43&gt;0),(((R2420-1)*(Skills!T18*(1+((Inputs!$B$34+(ArtifactsInput!$M$7-ArtifactsInput!$M$7)*CHOOSE(ArtifactsInput!$N$7+1,6,7.2,8.4,9.6,10.8,12))+IF(Inputs!$B$3&gt;=117,F2427,0))/100))+MIN((Skills!T18*(1+((Inputs!$B$34+(ArtifactsInput!$M$7-ArtifactsInput!$M$7)*CHOOSE(ArtifactsInput!$N$7+1,6,7.2,8.4,9.6,10.8,12))+IF(Inputs!$B$3&gt;=117,F2427,0))/100)),MAX(0,Inputs!$B$43-((R2420-1)*Skills!E18))))/Inputs!$B$43),IF(Inputs!$B$38="pvp",MIN((Skills!T18*(1+((Inputs!$B$34+(ArtifactsInput!$M$7-ArtifactsInput!$M$7)*CHOOSE(ArtifactsInput!$N$7+1,6,7.2,8.4,9.6,10.8,12))+IF(Inputs!$B$3&gt;=117,F2427,0))/100)),15)/15,(Skills!T18*(1+((Inputs!$B$34+(ArtifactsInput!$M$7-ArtifactsInput!$M$7)*CHOOSE(ArtifactsInput!$N$7+1,6,7.2,8.4,9.6,10.8,12))+IF(Inputs!$B$3&gt;=117,F2427,0))/100))/Skills!E18))</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IFERROR(1/(IF(Inputs!$B$38="pvp",15,MAX(0.1,Skills!E2-IF(Skills!F2=TRUE,Inputs!$B$32,0)))*(1-IF(AND(ArtifactsInput!$M$27,Inputs!$B$4="Chapter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IFERROR(1/(IF(Inputs!$B$38="pvp",15,MAX(0.1,Skills!E3-IF(Skills!F3=TRUE,Inputs!$B$32,0)))*(1-IF(AND(ArtifactsInput!$M$27,Inputs!$B$4="Chapter Hunt"),CHOOSE(ArtifactsInput!$N$27+1,20,24,28,32,36,40),0)/100)),0)</f>
        <v/>
      </c>
      <c r="R2449">
        <f>IF(AND(Inputs!$B$38&lt;&gt;"pvp",Inputs!$B$43&gt;0),IF(MAX(0,Inputs!$B$43-B2484)&lt;=0,0,(INT(MAX(0,Inputs!$B$43-B2484)/(IF(Inputs!$B$38="pvp",15,MAX(0.1,Skills!E3-IF(Skills!F3=TRUE,Inputs!$B$32,0)))*(1-IF(AND(ArtifactsInput!$M$27,Inputs!$B$4="Chapter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IFERROR(1/(IF(Inputs!$B$38="pvp",15,MAX(0.1,Skills!E4-IF(Skills!F4=TRUE,Inputs!$B$32,0)))*(1-IF(AND(ArtifactsInput!$M$27,Inputs!$B$4="Chapter Hunt"),CHOOSE(ArtifactsInput!$N$27+1,20,24,28,32,36,40),0)/100)),0)</f>
        <v/>
      </c>
      <c r="R2450">
        <f>IF(AND(Inputs!$B$38&lt;&gt;"pvp",Inputs!$B$43&gt;0),IF(MAX(0,Inputs!$B$43-B2484)&lt;=0,0,(INT(MAX(0,Inputs!$B$43-B2484)/(IF(Inputs!$B$38="pvp",15,MAX(0.1,Skills!E4-IF(Skills!F4=TRUE,Inputs!$B$32,0)))*(1-IF(AND(ArtifactsInput!$M$27,Inputs!$B$4="Chapter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IFERROR(1/(IF(Inputs!$B$38="pvp",15,MAX(0.1,Skills!E5-IF(Skills!F5=TRUE,Inputs!$B$32,0)))*(1-IF(AND(ArtifactsInput!$M$27,Inputs!$B$4="Chapter Hunt"),CHOOSE(ArtifactsInput!$N$27+1,20,24,28,32,36,40),0)/100)),0)</f>
        <v/>
      </c>
      <c r="R2451">
        <f>IF(AND(Inputs!$B$38&lt;&gt;"pvp",Inputs!$B$43&gt;0),IF(MAX(0,Inputs!$B$43-B2484)&lt;=0,0,(INT(MAX(0,Inputs!$B$43-B2484)/(IF(Inputs!$B$38="pvp",15,MAX(0.1,Skills!E5-IF(Skills!F5=TRUE,Inputs!$B$32,0)))*(1-IF(AND(ArtifactsInput!$M$27,Inputs!$B$4="Chapter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IFERROR(1/(IF(Inputs!$B$38="pvp",15,MAX(0.1,Skills!E6-IF(Skills!F6=TRUE,Inputs!$B$32,0)))*(1-IF(AND(ArtifactsInput!$M$27,Inputs!$B$4="Chapter Hunt"),CHOOSE(ArtifactsInput!$N$27+1,20,24,28,32,36,40),0)/100)),0)</f>
        <v/>
      </c>
      <c r="R2452">
        <f>IF(AND(Inputs!$B$38&lt;&gt;"pvp",Inputs!$B$43&gt;0),IF(Inputs!$B$43&lt;=0,0,(INT(Inputs!$B$43/(IF(Inputs!$B$38="pvp",15,MAX(0.1,Skills!E6-IF(Skills!F6=TRUE,Inputs!$B$32,0)))*(1-IF(AND(ArtifactsInput!$M$27,Inputs!$B$4="Chapter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IFERROR(1/(IF(Inputs!$B$38="pvp",15,MAX(0.1,Skills!E7-IF(Skills!F7=TRUE,Inputs!$B$32,0)))*(1-IF(AND(ArtifactsInput!$M$27,Inputs!$B$4="Chapter Hunt"),CHOOSE(ArtifactsInput!$N$27+1,20,24,28,32,36,40),0)/100)),0)</f>
        <v/>
      </c>
      <c r="R2453">
        <f>IF(AND(Inputs!$B$38&lt;&gt;"pvp",Inputs!$B$43&gt;0),IF(MAX(0,Inputs!$B$43-B2484)&lt;=0,0,(INT(MAX(0,Inputs!$B$43-B2484)/(IF(Inputs!$B$38="pvp",15,MAX(0.1,Skills!E7-IF(Skills!F7=TRUE,Inputs!$B$32,0)))*(1-IF(AND(ArtifactsInput!$M$27,Inputs!$B$4="Chapter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IFERROR(1/(IF(Inputs!$B$38="pvp",15,MAX(0.1,Skills!E8-IF(Skills!F8=TRUE,Inputs!$B$32,0)))*(1-IF(AND(ArtifactsInput!$M$27,Inputs!$B$4="Chapter Hunt"),CHOOSE(ArtifactsInput!$N$27+1,20,24,28,32,36,40),0)/100)),0)</f>
        <v/>
      </c>
      <c r="R2454">
        <f>IF(AND(Inputs!$B$38&lt;&gt;"pvp",Inputs!$B$43&gt;0),IF(MAX(0,Inputs!$B$43-B2484)&lt;=0,0,(INT(MAX(0,Inputs!$B$43-B2484)/(IF(Inputs!$B$38="pvp",15,MAX(0.1,Skills!E8-IF(Skills!F8=TRUE,Inputs!$B$32,0)))*(1-IF(AND(ArtifactsInput!$M$27,Inputs!$B$4="Chapter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IFERROR(1/(IF(Inputs!$B$38="pvp",15,MAX(0.1,Skills!E9-IF(Skills!F7=TRUE,Inputs!$B$32,0)))*(1-IF(AND(ArtifactsInput!$M$27,Inputs!$B$4="Chapter Hunt"),CHOOSE(ArtifactsInput!$N$27+1,20,24,28,32,36,40),0)/100)),0)</f>
        <v/>
      </c>
      <c r="R2455">
        <f>IF(AND(Inputs!$B$38&lt;&gt;"pvp",Inputs!$B$43&gt;0),IF(MAX(0,Inputs!$B$43-B2484)&lt;=0,0,(INT(MAX(0,Inputs!$B$43-B2484)/(IF(Inputs!$B$38="pvp",15,MAX(0.1,Skills!E9-IF(Skills!F7=TRUE,Inputs!$B$32,0)))*(1-IF(AND(ArtifactsInput!$M$27,Inputs!$B$4="Chapter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IFERROR(1/(IF(Inputs!$B$38="pvp",15,MAX(0.1,Skills!E10-IF(Skills!F10=TRUE,Inputs!$B$32,0)))*(1-IF(AND(ArtifactsInput!$M$27,Inputs!$B$4="Chapter Hunt"),CHOOSE(ArtifactsInput!$N$27+1,20,24,28,32,36,40),0)/100)),0)</f>
        <v/>
      </c>
      <c r="R2456">
        <f>IF(AND(Inputs!$B$38&lt;&gt;"pvp",Inputs!$B$43&gt;0),IF(MAX(0,Inputs!$B$43-B2484)&lt;=0,0,(INT(MAX(0,Inputs!$B$43-B2484)/(IF(Inputs!$B$38="pvp",15,MAX(0.1,Skills!E10-IF(Skills!F10=TRUE,Inputs!$B$32,0)))*(1-IF(AND(ArtifactsInput!$M$27,Inputs!$B$4="Chapter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IFERROR(1/(IF(Inputs!$B$38="pvp",15,MAX(0.1,Skills!E11-IF(Skills!F11=TRUE,Inputs!$B$32,0)))*(1-IF(AND(ArtifactsInput!$M$27,Inputs!$B$4="Chapter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IFERROR(1/(IF(Inputs!$B$38="pvp",15,MAX(0.1,Skills!E12-IF(Skills!F12=TRUE,Inputs!$B$32,0)))*(1-IF(AND(ArtifactsInput!$M$27,Inputs!$B$4="Chapter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IFERROR(1/(IF(Inputs!$B$38="pvp",15,MAX(0.1,Skills!E13-IF(Skills!F13=TRUE,Inputs!$B$32,0)))*(1-IF(AND(ArtifactsInput!$M$27,Inputs!$B$4="Chapter Hunt"),CHOOSE(ArtifactsInput!$N$27+1,20,24,28,32,36,40),0)/100)),0)</f>
        <v/>
      </c>
      <c r="R2459">
        <f>IF(AND(Inputs!$B$38&lt;&gt;"pvp",Inputs!$B$43&gt;0),IF(MAX(0,Inputs!$B$43-B2484)&lt;=0,0,(INT(MAX(0,Inputs!$B$43-B2484)/(IF(Inputs!$B$38="pvp",15,MAX(0.1,Skills!E13-IF(Skills!F13=TRUE,Inputs!$B$32,0)))*(1-IF(AND(ArtifactsInput!$M$27,Inputs!$B$4="Chapter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IFERROR(1/(IF(Inputs!$B$38="pvp",15,MAX(0.1,Skills!E14-IF(Skills!F14=TRUE,Inputs!$B$32,0)))*(1-IF(AND(ArtifactsInput!$M$27,Inputs!$B$4="Chapter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IFERROR(1/(IF(Inputs!$B$38="pvp",15,MAX(0.1,Skills!E15-IF(Skills!F15=TRUE,Inputs!$B$32,0)))*(1-IF(AND(ArtifactsInput!$M$27,Inputs!$B$4="Chapter Hunt"),CHOOSE(ArtifactsInput!$N$27+1,20,24,28,32,36,40),0)/100)),0)</f>
        <v/>
      </c>
      <c r="R2461">
        <f>IF(AND(Inputs!$B$38&lt;&gt;"pvp",Inputs!$B$43&gt;0),IF(MAX(0,Inputs!$B$43-B2484)&lt;=0,0,(INT(MAX(0,Inputs!$B$43-B2484)/(IF(Inputs!$B$38="pvp",15,MAX(0.1,Skills!E15-IF(Skills!F15=TRUE,Inputs!$B$32,0)))*(1-IF(AND(ArtifactsInput!$M$27,Inputs!$B$4="Chapter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IFERROR(1/(IF(Inputs!$B$38="pvp",15,MAX(0.1,Skills!E16-IF(Skills!F16=TRUE,Inputs!$B$32,0)))*(1-IF(AND(ArtifactsInput!$M$27,Inputs!$B$4="Chapter Hunt"),CHOOSE(ArtifactsInput!$N$27+1,20,24,28,32,36,40),0)/100)),0)</f>
        <v/>
      </c>
      <c r="R2462">
        <f>IF(AND(Inputs!$B$38&lt;&gt;"pvp",Inputs!$B$43&gt;0),IF(MAX(0,Inputs!$B$43-B2484)&lt;=0,0,(INT(MAX(0,Inputs!$B$43-B2484)/(IF(Inputs!$B$38="pvp",15,MAX(0.1,Skills!E16-IF(Skills!F16=TRUE,Inputs!$B$32,0)))*(1-IF(AND(ArtifactsInput!$M$27,Inputs!$B$4="Chapter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IFERROR(1/(IF(Inputs!$B$38="pvp",15,MAX(0.1,Skills!E17-IF(Skills!F17=TRUE,Inputs!$B$32,0)))*(1-IF(AND(ArtifactsInput!$M$27,Inputs!$B$4="Chapter Hunt"),CHOOSE(ArtifactsInput!$N$27+1,20,24,28,32,36,40),0)/100)),0)</f>
        <v/>
      </c>
      <c r="R2463">
        <f>IF(AND(Inputs!$B$38&lt;&gt;"pvp",Inputs!$B$43&gt;0),IF(Inputs!$B$43&lt;=0,0,(INT(Inputs!$B$43/(IF(Inputs!$B$38="pvp",15,MAX(0.1,Skills!E17-IF(Skills!F17=TRUE,Inputs!$B$32,0)))*(1-IF(AND(ArtifactsInput!$M$27,Inputs!$B$4="Chapter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IFERROR(1/(IF(Inputs!$B$38="pvp",15,MAX(0.1,Skills!E18-IF(Skills!F18=TRUE,Inputs!$B$32,0)))*(1-IF(AND(ArtifactsInput!$M$27,Inputs!$B$4="Chapter Hunt"),CHOOSE(ArtifactsInput!$N$27+1,20,24,28,32,36,40),0)/100)),0)</f>
        <v/>
      </c>
      <c r="R2464">
        <f>IF(AND(Inputs!$B$38&lt;&gt;"pvp",Inputs!$B$43&gt;0),IF(Inputs!$B$43&lt;=0,0,(INT(Inputs!$B$43/(IF(Inputs!$B$38="pvp",15,MAX(0.1,Skills!E18-IF(Skills!F18=TRUE,Inputs!$B$32,0)))*(1-IF(AND(ArtifactsInput!$M$27,Inputs!$B$4="Chapter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IFERROR(1/(IF(Inputs!$B$38="pvp",15,MAX(0.1,Skills!E19-IF(Skills!F19=TRUE,Inputs!$B$32,0)))*(1-IF(AND(ArtifactsInput!$M$27,Inputs!$B$4="Chapter Hunt"),CHOOSE(ArtifactsInput!$N$27+1,20,24,28,32,36,40),0)/100)),0)</f>
        <v/>
      </c>
      <c r="R2465">
        <f>IF(AND(Inputs!$B$38&lt;&gt;"pvp",Inputs!$B$43&gt;0),IF(Inputs!$B$43&lt;=0,0,(INT(Inputs!$B$43/(IF(Inputs!$B$38="pvp",15,MAX(0.1,Skills!E19-IF(Skills!F19=TRUE,Inputs!$B$32,0)))*(1-IF(AND(ArtifactsInput!$M$27,Inputs!$B$4="Chapter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IFERROR(1/(IF(Inputs!$B$38="pvp",15,MAX(0.1,Skills!E20-IF(Skills!F20=TRUE,Inputs!$B$32,0)))*(1-IF(AND(ArtifactsInput!$M$27,Inputs!$B$4="Chapter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IFERROR(1/(IF(Inputs!$B$38="pvp",15,MAX(0.1,Skills!E21-IF(Skills!F21=TRUE,Inputs!$B$32,0)))*(1-IF(AND(ArtifactsInput!$M$27,Inputs!$B$4="Chapter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IFERROR(1/(IF(Inputs!$B$38="pvp",15,MAX(0.1,Skills!E22-IF(Skills!F22=TRUE,Inputs!$B$32,0)))*(1-IF(AND(ArtifactsInput!$M$27,Inputs!$B$4="Chapter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IFERROR(1/(IF(Inputs!$B$38="pvp",15,MAX(0.1,Skills!E23-IF(Skills!F23=TRUE,Inputs!$B$32,0)))*(1-IF(AND(ArtifactsInput!$M$27,Inputs!$B$4="Chapter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IFERROR(1/(IF(Inputs!$B$38="pvp",15,MAX(0.1,Skills!E24-IF(Skills!F24=TRUE,Inputs!$B$32,0)))*(1-IF(AND(ArtifactsInput!$M$27,Inputs!$B$4="Chapter Hunt"),CHOOSE(ArtifactsInput!$N$27+1,20,24,28,32,36,40),0)/100)),0)</f>
        <v/>
      </c>
      <c r="R2470">
        <f>IF(AND(Inputs!$B$38&lt;&gt;"pvp",Inputs!$B$43&gt;0),IF(MAX(0,Inputs!$B$43-B2484)&lt;=0,0,(INT(MAX(0,Inputs!$B$43-B2484)/(IF(Inputs!$B$38="pvp",15,MAX(0.1,Skills!E24-IF(Skills!F24=TRUE,Inputs!$B$32,0)))*(1-IF(AND(ArtifactsInput!$M$27,Inputs!$B$4="Chapter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IFERROR(1/(IF(Inputs!$B$38="pvp",15,MAX(0.1,Skills!E25-IF(Skills!F25=TRUE,Inputs!$B$32,0)))*(1-IF(AND(ArtifactsInput!$M$27,Inputs!$B$4="Chapter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IFERROR(1/(IF(Inputs!$B$38="pvp",15,MAX(0.1,Skills!E26-IF(Skills!F26=TRUE,Inputs!$B$32,0)))*(1-IF(AND(ArtifactsInput!$M$27,Inputs!$B$4="Chapter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IFERROR(1/(IF(Inputs!$B$38="pvp",15,MAX(0.1,Skills!E27-IF(Skills!F27=TRUE,Inputs!$B$32,0)))*(1-IF(AND(ArtifactsInput!$M$27,Inputs!$B$4="Chapter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IFERROR(1/(IF(Inputs!$B$38="pvp",15,MAX(0.1,Skills!E28-IF(Skills!F28=TRUE,Inputs!$B$32,0)))*(1-IF(AND(ArtifactsInput!$M$27,Inputs!$B$4="Chapter Hunt"),CHOOSE(ArtifactsInput!$N$27+1,20,24,28,32,36,40),0)/100)),0)</f>
        <v/>
      </c>
      <c r="R2474">
        <f>IF(AND(Inputs!$B$38&lt;&gt;"pvp",Inputs!$B$43&gt;0),IF(MAX(0,Inputs!$B$43-B2484)&lt;=0,0,(INT(MAX(0,Inputs!$B$43-B2484)/(IF(Inputs!$B$38="pvp",15,MAX(0.1,Skills!E28-IF(Skills!F28=TRUE,Inputs!$B$32,0)))*(1-IF(AND(ArtifactsInput!$M$27,Inputs!$B$4="Chapter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Skills!T6*(1+((Inputs!$B$34+(ArtifactsInput!$M$7-ArtifactsInput!$M$7)*CHOOSE(ArtifactsInput!$N$7+1,6,7.2,8.4,9.6,10.8,12))+IF(Inputs!$B$3&gt;=117,F2471,0))/100))+MIN((Skills!T6*(1+((Inputs!$B$34+(ArtifactsInput!$M$7-ArtifactsInput!$M$7)*CHOOSE(ArtifactsInput!$N$7+1,6,7.2,8.4,9.6,10.8,12))+IF(Inputs!$B$3&gt;=117,F2471,0))/100)),MAX(0,Inputs!$B$43-((R2452-1)*Skills!E6))))/Inputs!$B$43),IF(Inputs!$B$38="pvp",MIN((Skills!T6*(1+((Inputs!$B$34+(ArtifactsInput!$M$7-ArtifactsInput!$M$7)*CHOOSE(ArtifactsInput!$N$7+1,6,7.2,8.4,9.6,10.8,12))+IF(Inputs!$B$3&gt;=117,F2471,0))/100)),15)/15,(Skills!T6*(1+((Inputs!$B$34+(ArtifactsInput!$M$7-ArtifactsInput!$M$7)*CHOOSE(ArtifactsInput!$N$7+1,6,7.2,8.4,9.6,10.8,12))+IF(Inputs!$B$3&gt;=117,F2471,0))/100))/Skills!E6))+F2463*IF(AND(Inputs!$B$38&lt;&gt;"pvp",Inputs!$B$43&gt;0),(((R2463-1)*(Skills!T17*(1+((Inputs!$B$34+(ArtifactsInput!$M$7-ArtifactsInput!$M$7)*CHOOSE(ArtifactsInput!$N$7+1,6,7.2,8.4,9.6,10.8,12))+IF(Inputs!$B$3&gt;=117,F2471,0))/100))+MIN((Skills!T17*(1+((Inputs!$B$34+(ArtifactsInput!$M$7-ArtifactsInput!$M$7)*CHOOSE(ArtifactsInput!$N$7+1,6,7.2,8.4,9.6,10.8,12))+IF(Inputs!$B$3&gt;=117,F2471,0))/100)),MAX(0,Inputs!$B$43-((R2463-1)*Skills!E17))))/Inputs!$B$43),IF(Inputs!$B$38="pvp",MIN((Skills!T17*(1+((Inputs!$B$34+(ArtifactsInput!$M$7-ArtifactsInput!$M$7)*CHOOSE(ArtifactsInput!$N$7+1,6,7.2,8.4,9.6,10.8,12))+IF(Inputs!$B$3&gt;=117,F2471,0))/100)),15)/15,(Skills!T17*(1+((Inputs!$B$34+(ArtifactsInput!$M$7-ArtifactsInput!$M$7)*CHOOSE(ArtifactsInput!$N$7+1,6,7.2,8.4,9.6,10.8,12))+IF(Inputs!$B$3&gt;=117,F2471,0)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Skills!T19*(1+((Inputs!$B$34+(ArtifactsInput!$M$7-ArtifactsInput!$M$7)*CHOOSE(ArtifactsInput!$N$7+1,6,7.2,8.4,9.6,10.8,12))+IF(Inputs!$B$3&gt;=117,F2471,0))/100))+MIN((Skills!T19*(1+((Inputs!$B$34+(ArtifactsInput!$M$7-ArtifactsInput!$M$7)*CHOOSE(ArtifactsInput!$N$7+1,6,7.2,8.4,9.6,10.8,12))+IF(Inputs!$B$3&gt;=117,F2471,0))/100)),MAX(0,Inputs!$B$43-((R2465-1)*Skills!E19))))/Inputs!$B$43),IF(Inputs!$B$38="pvp",MIN((Skills!T19*(1+((Inputs!$B$34+(ArtifactsInput!$M$7-ArtifactsInput!$M$7)*CHOOSE(ArtifactsInput!$N$7+1,6,7.2,8.4,9.6,10.8,12))+IF(Inputs!$B$3&gt;=117,F2471,0))/100)),15)/15,(Skills!T19*(1+((Inputs!$B$34+(ArtifactsInput!$M$7-ArtifactsInput!$M$7)*CHOOSE(ArtifactsInput!$N$7+1,6,7.2,8.4,9.6,10.8,12))+IF(Inputs!$B$3&gt;=117,F2471,0))/100))/Skills!E19))/100),1)</f>
        <v/>
      </c>
    </row>
    <row r="2479">
      <c r="A2479" t="inlineStr">
        <is>
          <t>Attack Speed Buff Bonus % (Nimble Feet, averaged)</t>
        </is>
      </c>
      <c r="B2479">
        <f>F2464*IF(AND(Inputs!$B$38&lt;&gt;"pvp",Inputs!$B$43&gt;0),(((R2464-1)*(Skills!T18*(1+((Inputs!$B$34+(ArtifactsInput!$M$7-ArtifactsInput!$M$7)*CHOOSE(ArtifactsInput!$N$7+1,6,7.2,8.4,9.6,10.8,12))+IF(Inputs!$B$3&gt;=117,F2471,0))/100))+MIN((Skills!T18*(1+((Inputs!$B$34+(ArtifactsInput!$M$7-ArtifactsInput!$M$7)*CHOOSE(ArtifactsInput!$N$7+1,6,7.2,8.4,9.6,10.8,12))+IF(Inputs!$B$3&gt;=117,F2471,0))/100)),MAX(0,Inputs!$B$43-((R2464-1)*Skills!E18))))/Inputs!$B$43),IF(Inputs!$B$38="pvp",MIN((Skills!T18*(1+((Inputs!$B$34+(ArtifactsInput!$M$7-ArtifactsInput!$M$7)*CHOOSE(ArtifactsInput!$N$7+1,6,7.2,8.4,9.6,10.8,12))+IF(Inputs!$B$3&gt;=117,F2471,0))/100)),15)/15,(Skills!T18*(1+((Inputs!$B$34+(ArtifactsInput!$M$7-ArtifactsInput!$M$7)*CHOOSE(ArtifactsInput!$N$7+1,6,7.2,8.4,9.6,10.8,12))+IF(Inputs!$B$3&gt;=117,F2471,0))/100))/Skills!E18))</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IFERROR(1/(IF(Inputs!$B$38="pvp",15,MAX(0.1,Skills!E2-IF(Skills!F2=TRUE,Inputs!$B$32,0)))*(1-IF(AND(ArtifactsInput!$M$27,Inputs!$B$4="Chapter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IFERROR(1/(IF(Inputs!$B$38="pvp",15,MAX(0.1,Skills!E3-IF(Skills!F3=TRUE,Inputs!$B$32,0)))*(1-IF(AND(ArtifactsInput!$M$27,Inputs!$B$4="Chapter Hunt"),CHOOSE(ArtifactsInput!$N$27+1,20,24,28,32,36,40),0)/100)),0)</f>
        <v/>
      </c>
      <c r="R2493">
        <f>IF(AND(Inputs!$B$38&lt;&gt;"pvp",Inputs!$B$43&gt;0),IF(MAX(0,Inputs!$B$43-B2528)&lt;=0,0,(INT(MAX(0,Inputs!$B$43-B2528)/(IF(Inputs!$B$38="pvp",15,MAX(0.1,Skills!E3-IF(Skills!F3=TRUE,Inputs!$B$32,0)))*(1-IF(AND(ArtifactsInput!$M$27,Inputs!$B$4="Chapter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IFERROR(1/(IF(Inputs!$B$38="pvp",15,MAX(0.1,Skills!E4-IF(Skills!F4=TRUE,Inputs!$B$32,0)))*(1-IF(AND(ArtifactsInput!$M$27,Inputs!$B$4="Chapter Hunt"),CHOOSE(ArtifactsInput!$N$27+1,20,24,28,32,36,40),0)/100)),0)</f>
        <v/>
      </c>
      <c r="R2494">
        <f>IF(AND(Inputs!$B$38&lt;&gt;"pvp",Inputs!$B$43&gt;0),IF(MAX(0,Inputs!$B$43-B2528)&lt;=0,0,(INT(MAX(0,Inputs!$B$43-B2528)/(IF(Inputs!$B$38="pvp",15,MAX(0.1,Skills!E4-IF(Skills!F4=TRUE,Inputs!$B$32,0)))*(1-IF(AND(ArtifactsInput!$M$27,Inputs!$B$4="Chapter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IFERROR(1/(IF(Inputs!$B$38="pvp",15,MAX(0.1,Skills!E5-IF(Skills!F5=TRUE,Inputs!$B$32,0)))*(1-IF(AND(ArtifactsInput!$M$27,Inputs!$B$4="Chapter Hunt"),CHOOSE(ArtifactsInput!$N$27+1,20,24,28,32,36,40),0)/100)),0)</f>
        <v/>
      </c>
      <c r="R2495">
        <f>IF(AND(Inputs!$B$38&lt;&gt;"pvp",Inputs!$B$43&gt;0),IF(MAX(0,Inputs!$B$43-B2528)&lt;=0,0,(INT(MAX(0,Inputs!$B$43-B2528)/(IF(Inputs!$B$38="pvp",15,MAX(0.1,Skills!E5-IF(Skills!F5=TRUE,Inputs!$B$32,0)))*(1-IF(AND(ArtifactsInput!$M$27,Inputs!$B$4="Chapter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IFERROR(1/(IF(Inputs!$B$38="pvp",15,MAX(0.1,Skills!E6-IF(Skills!F6=TRUE,Inputs!$B$32,0)))*(1-IF(AND(ArtifactsInput!$M$27,Inputs!$B$4="Chapter Hunt"),CHOOSE(ArtifactsInput!$N$27+1,20,24,28,32,36,40),0)/100)),0)</f>
        <v/>
      </c>
      <c r="R2496">
        <f>IF(AND(Inputs!$B$38&lt;&gt;"pvp",Inputs!$B$43&gt;0),IF(Inputs!$B$43&lt;=0,0,(INT(Inputs!$B$43/(IF(Inputs!$B$38="pvp",15,MAX(0.1,Skills!E6-IF(Skills!F6=TRUE,Inputs!$B$32,0)))*(1-IF(AND(ArtifactsInput!$M$27,Inputs!$B$4="Chapter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IFERROR(1/(IF(Inputs!$B$38="pvp",15,MAX(0.1,Skills!E7-IF(Skills!F7=TRUE,Inputs!$B$32,0)))*(1-IF(AND(ArtifactsInput!$M$27,Inputs!$B$4="Chapter Hunt"),CHOOSE(ArtifactsInput!$N$27+1,20,24,28,32,36,40),0)/100)),0)</f>
        <v/>
      </c>
      <c r="R2497">
        <f>IF(AND(Inputs!$B$38&lt;&gt;"pvp",Inputs!$B$43&gt;0),IF(MAX(0,Inputs!$B$43-B2528)&lt;=0,0,(INT(MAX(0,Inputs!$B$43-B2528)/(IF(Inputs!$B$38="pvp",15,MAX(0.1,Skills!E7-IF(Skills!F7=TRUE,Inputs!$B$32,0)))*(1-IF(AND(ArtifactsInput!$M$27,Inputs!$B$4="Chapter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IFERROR(1/(IF(Inputs!$B$38="pvp",15,MAX(0.1,Skills!E8-IF(Skills!F8=TRUE,Inputs!$B$32,0)))*(1-IF(AND(ArtifactsInput!$M$27,Inputs!$B$4="Chapter Hunt"),CHOOSE(ArtifactsInput!$N$27+1,20,24,28,32,36,40),0)/100)),0)</f>
        <v/>
      </c>
      <c r="R2498">
        <f>IF(AND(Inputs!$B$38&lt;&gt;"pvp",Inputs!$B$43&gt;0),IF(MAX(0,Inputs!$B$43-B2528)&lt;=0,0,(INT(MAX(0,Inputs!$B$43-B2528)/(IF(Inputs!$B$38="pvp",15,MAX(0.1,Skills!E8-IF(Skills!F8=TRUE,Inputs!$B$32,0)))*(1-IF(AND(ArtifactsInput!$M$27,Inputs!$B$4="Chapter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IFERROR(1/(IF(Inputs!$B$38="pvp",15,MAX(0.1,Skills!E9-IF(Skills!F7=TRUE,Inputs!$B$32,0)))*(1-IF(AND(ArtifactsInput!$M$27,Inputs!$B$4="Chapter Hunt"),CHOOSE(ArtifactsInput!$N$27+1,20,24,28,32,36,40),0)/100)),0)</f>
        <v/>
      </c>
      <c r="R2499">
        <f>IF(AND(Inputs!$B$38&lt;&gt;"pvp",Inputs!$B$43&gt;0),IF(MAX(0,Inputs!$B$43-B2528)&lt;=0,0,(INT(MAX(0,Inputs!$B$43-B2528)/(IF(Inputs!$B$38="pvp",15,MAX(0.1,Skills!E9-IF(Skills!F7=TRUE,Inputs!$B$32,0)))*(1-IF(AND(ArtifactsInput!$M$27,Inputs!$B$4="Chapter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IFERROR(1/(IF(Inputs!$B$38="pvp",15,MAX(0.1,Skills!E10-IF(Skills!F10=TRUE,Inputs!$B$32,0)))*(1-IF(AND(ArtifactsInput!$M$27,Inputs!$B$4="Chapter Hunt"),CHOOSE(ArtifactsInput!$N$27+1,20,24,28,32,36,40),0)/100)),0)</f>
        <v/>
      </c>
      <c r="R2500">
        <f>IF(AND(Inputs!$B$38&lt;&gt;"pvp",Inputs!$B$43&gt;0),IF(MAX(0,Inputs!$B$43-B2528)&lt;=0,0,(INT(MAX(0,Inputs!$B$43-B2528)/(IF(Inputs!$B$38="pvp",15,MAX(0.1,Skills!E10-IF(Skills!F10=TRUE,Inputs!$B$32,0)))*(1-IF(AND(ArtifactsInput!$M$27,Inputs!$B$4="Chapter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IFERROR(1/(IF(Inputs!$B$38="pvp",15,MAX(0.1,Skills!E11-IF(Skills!F11=TRUE,Inputs!$B$32,0)))*(1-IF(AND(ArtifactsInput!$M$27,Inputs!$B$4="Chapter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IFERROR(1/(IF(Inputs!$B$38="pvp",15,MAX(0.1,Skills!E12-IF(Skills!F12=TRUE,Inputs!$B$32,0)))*(1-IF(AND(ArtifactsInput!$M$27,Inputs!$B$4="Chapter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IFERROR(1/(IF(Inputs!$B$38="pvp",15,MAX(0.1,Skills!E13-IF(Skills!F13=TRUE,Inputs!$B$32,0)))*(1-IF(AND(ArtifactsInput!$M$27,Inputs!$B$4="Chapter Hunt"),CHOOSE(ArtifactsInput!$N$27+1,20,24,28,32,36,40),0)/100)),0)</f>
        <v/>
      </c>
      <c r="R2503">
        <f>IF(AND(Inputs!$B$38&lt;&gt;"pvp",Inputs!$B$43&gt;0),IF(MAX(0,Inputs!$B$43-B2528)&lt;=0,0,(INT(MAX(0,Inputs!$B$43-B2528)/(IF(Inputs!$B$38="pvp",15,MAX(0.1,Skills!E13-IF(Skills!F13=TRUE,Inputs!$B$32,0)))*(1-IF(AND(ArtifactsInput!$M$27,Inputs!$B$4="Chapter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IFERROR(1/(IF(Inputs!$B$38="pvp",15,MAX(0.1,Skills!E14-IF(Skills!F14=TRUE,Inputs!$B$32,0)))*(1-IF(AND(ArtifactsInput!$M$27,Inputs!$B$4="Chapter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IFERROR(1/(IF(Inputs!$B$38="pvp",15,MAX(0.1,Skills!E15-IF(Skills!F15=TRUE,Inputs!$B$32,0)))*(1-IF(AND(ArtifactsInput!$M$27,Inputs!$B$4="Chapter Hunt"),CHOOSE(ArtifactsInput!$N$27+1,20,24,28,32,36,40),0)/100)),0)</f>
        <v/>
      </c>
      <c r="R2505">
        <f>IF(AND(Inputs!$B$38&lt;&gt;"pvp",Inputs!$B$43&gt;0),IF(MAX(0,Inputs!$B$43-B2528)&lt;=0,0,(INT(MAX(0,Inputs!$B$43-B2528)/(IF(Inputs!$B$38="pvp",15,MAX(0.1,Skills!E15-IF(Skills!F15=TRUE,Inputs!$B$32,0)))*(1-IF(AND(ArtifactsInput!$M$27,Inputs!$B$4="Chapter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IFERROR(1/(IF(Inputs!$B$38="pvp",15,MAX(0.1,Skills!E16-IF(Skills!F16=TRUE,Inputs!$B$32,0)))*(1-IF(AND(ArtifactsInput!$M$27,Inputs!$B$4="Chapter Hunt"),CHOOSE(ArtifactsInput!$N$27+1,20,24,28,32,36,40),0)/100)),0)</f>
        <v/>
      </c>
      <c r="R2506">
        <f>IF(AND(Inputs!$B$38&lt;&gt;"pvp",Inputs!$B$43&gt;0),IF(MAX(0,Inputs!$B$43-B2528)&lt;=0,0,(INT(MAX(0,Inputs!$B$43-B2528)/(IF(Inputs!$B$38="pvp",15,MAX(0.1,Skills!E16-IF(Skills!F16=TRUE,Inputs!$B$32,0)))*(1-IF(AND(ArtifactsInput!$M$27,Inputs!$B$4="Chapter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IFERROR(1/(IF(Inputs!$B$38="pvp",15,MAX(0.1,Skills!E17-IF(Skills!F17=TRUE,Inputs!$B$32,0)))*(1-IF(AND(ArtifactsInput!$M$27,Inputs!$B$4="Chapter Hunt"),CHOOSE(ArtifactsInput!$N$27+1,20,24,28,32,36,40),0)/100)),0)</f>
        <v/>
      </c>
      <c r="R2507">
        <f>IF(AND(Inputs!$B$38&lt;&gt;"pvp",Inputs!$B$43&gt;0),IF(Inputs!$B$43&lt;=0,0,(INT(Inputs!$B$43/(IF(Inputs!$B$38="pvp",15,MAX(0.1,Skills!E17-IF(Skills!F17=TRUE,Inputs!$B$32,0)))*(1-IF(AND(ArtifactsInput!$M$27,Inputs!$B$4="Chapter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IFERROR(1/(IF(Inputs!$B$38="pvp",15,MAX(0.1,Skills!E18-IF(Skills!F18=TRUE,Inputs!$B$32,0)))*(1-IF(AND(ArtifactsInput!$M$27,Inputs!$B$4="Chapter Hunt"),CHOOSE(ArtifactsInput!$N$27+1,20,24,28,32,36,40),0)/100)),0)</f>
        <v/>
      </c>
      <c r="R2508">
        <f>IF(AND(Inputs!$B$38&lt;&gt;"pvp",Inputs!$B$43&gt;0),IF(Inputs!$B$43&lt;=0,0,(INT(Inputs!$B$43/(IF(Inputs!$B$38="pvp",15,MAX(0.1,Skills!E18-IF(Skills!F18=TRUE,Inputs!$B$32,0)))*(1-IF(AND(ArtifactsInput!$M$27,Inputs!$B$4="Chapter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IFERROR(1/(IF(Inputs!$B$38="pvp",15,MAX(0.1,Skills!E19-IF(Skills!F19=TRUE,Inputs!$B$32,0)))*(1-IF(AND(ArtifactsInput!$M$27,Inputs!$B$4="Chapter Hunt"),CHOOSE(ArtifactsInput!$N$27+1,20,24,28,32,36,40),0)/100)),0)</f>
        <v/>
      </c>
      <c r="R2509">
        <f>IF(AND(Inputs!$B$38&lt;&gt;"pvp",Inputs!$B$43&gt;0),IF(Inputs!$B$43&lt;=0,0,(INT(Inputs!$B$43/(IF(Inputs!$B$38="pvp",15,MAX(0.1,Skills!E19-IF(Skills!F19=TRUE,Inputs!$B$32,0)))*(1-IF(AND(ArtifactsInput!$M$27,Inputs!$B$4="Chapter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IFERROR(1/(IF(Inputs!$B$38="pvp",15,MAX(0.1,Skills!E20-IF(Skills!F20=TRUE,Inputs!$B$32,0)))*(1-IF(AND(ArtifactsInput!$M$27,Inputs!$B$4="Chapter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IFERROR(1/(IF(Inputs!$B$38="pvp",15,MAX(0.1,Skills!E21-IF(Skills!F21=TRUE,Inputs!$B$32,0)))*(1-IF(AND(ArtifactsInput!$M$27,Inputs!$B$4="Chapter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IFERROR(1/(IF(Inputs!$B$38="pvp",15,MAX(0.1,Skills!E22-IF(Skills!F22=TRUE,Inputs!$B$32,0)))*(1-IF(AND(ArtifactsInput!$M$27,Inputs!$B$4="Chapter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IFERROR(1/(IF(Inputs!$B$38="pvp",15,MAX(0.1,Skills!E23-IF(Skills!F23=TRUE,Inputs!$B$32,0)))*(1-IF(AND(ArtifactsInput!$M$27,Inputs!$B$4="Chapter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IFERROR(1/(IF(Inputs!$B$38="pvp",15,MAX(0.1,Skills!E24-IF(Skills!F24=TRUE,Inputs!$B$32,0)))*(1-IF(AND(ArtifactsInput!$M$27,Inputs!$B$4="Chapter Hunt"),CHOOSE(ArtifactsInput!$N$27+1,20,24,28,32,36,40),0)/100)),0)</f>
        <v/>
      </c>
      <c r="R2514">
        <f>IF(AND(Inputs!$B$38&lt;&gt;"pvp",Inputs!$B$43&gt;0),IF(MAX(0,Inputs!$B$43-B2528)&lt;=0,0,(INT(MAX(0,Inputs!$B$43-B2528)/(IF(Inputs!$B$38="pvp",15,MAX(0.1,Skills!E24-IF(Skills!F24=TRUE,Inputs!$B$32,0)))*(1-IF(AND(ArtifactsInput!$M$27,Inputs!$B$4="Chapter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IFERROR(1/(IF(Inputs!$B$38="pvp",15,MAX(0.1,Skills!E25-IF(Skills!F25=TRUE,Inputs!$B$32,0)))*(1-IF(AND(ArtifactsInput!$M$27,Inputs!$B$4="Chapter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IFERROR(1/(IF(Inputs!$B$38="pvp",15,MAX(0.1,Skills!E26-IF(Skills!F26=TRUE,Inputs!$B$32,0)))*(1-IF(AND(ArtifactsInput!$M$27,Inputs!$B$4="Chapter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IFERROR(1/(IF(Inputs!$B$38="pvp",15,MAX(0.1,Skills!E27-IF(Skills!F27=TRUE,Inputs!$B$32,0)))*(1-IF(AND(ArtifactsInput!$M$27,Inputs!$B$4="Chapter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IFERROR(1/(IF(Inputs!$B$38="pvp",15,MAX(0.1,Skills!E28-IF(Skills!F28=TRUE,Inputs!$B$32,0)))*(1-IF(AND(ArtifactsInput!$M$27,Inputs!$B$4="Chapter Hunt"),CHOOSE(ArtifactsInput!$N$27+1,20,24,28,32,36,40),0)/100)),0)</f>
        <v/>
      </c>
      <c r="R2518">
        <f>IF(AND(Inputs!$B$38&lt;&gt;"pvp",Inputs!$B$43&gt;0),IF(MAX(0,Inputs!$B$43-B2528)&lt;=0,0,(INT(MAX(0,Inputs!$B$43-B2528)/(IF(Inputs!$B$38="pvp",15,MAX(0.1,Skills!E28-IF(Skills!F28=TRUE,Inputs!$B$32,0)))*(1-IF(AND(ArtifactsInput!$M$27,Inputs!$B$4="Chapter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Skills!T6*(1+((Inputs!$B$34+(ArtifactsInput!$M$7-ArtifactsInput!$M$7)*CHOOSE(ArtifactsInput!$N$7+1,6,7.2,8.4,9.6,10.8,12))+IF(Inputs!$B$3&gt;=117,F2515,0))/100))+MIN((Skills!T6*(1+((Inputs!$B$34+(ArtifactsInput!$M$7-ArtifactsInput!$M$7)*CHOOSE(ArtifactsInput!$N$7+1,6,7.2,8.4,9.6,10.8,12))+IF(Inputs!$B$3&gt;=117,F2515,0))/100)),MAX(0,Inputs!$B$43-((R2496-1)*Skills!E6))))/Inputs!$B$43),IF(Inputs!$B$38="pvp",MIN((Skills!T6*(1+((Inputs!$B$34+(ArtifactsInput!$M$7-ArtifactsInput!$M$7)*CHOOSE(ArtifactsInput!$N$7+1,6,7.2,8.4,9.6,10.8,12))+IF(Inputs!$B$3&gt;=117,F2515,0))/100)),15)/15,(Skills!T6*(1+((Inputs!$B$34+(ArtifactsInput!$M$7-ArtifactsInput!$M$7)*CHOOSE(ArtifactsInput!$N$7+1,6,7.2,8.4,9.6,10.8,12))+IF(Inputs!$B$3&gt;=117,F2515,0))/100))/Skills!E6))+F2507*IF(AND(Inputs!$B$38&lt;&gt;"pvp",Inputs!$B$43&gt;0),(((R2507-1)*(Skills!T17*(1+((Inputs!$B$34+(ArtifactsInput!$M$7-ArtifactsInput!$M$7)*CHOOSE(ArtifactsInput!$N$7+1,6,7.2,8.4,9.6,10.8,12))+IF(Inputs!$B$3&gt;=117,F2515,0))/100))+MIN((Skills!T17*(1+((Inputs!$B$34+(ArtifactsInput!$M$7-ArtifactsInput!$M$7)*CHOOSE(ArtifactsInput!$N$7+1,6,7.2,8.4,9.6,10.8,12))+IF(Inputs!$B$3&gt;=117,F2515,0))/100)),MAX(0,Inputs!$B$43-((R2507-1)*Skills!E17))))/Inputs!$B$43),IF(Inputs!$B$38="pvp",MIN((Skills!T17*(1+((Inputs!$B$34+(ArtifactsInput!$M$7-ArtifactsInput!$M$7)*CHOOSE(ArtifactsInput!$N$7+1,6,7.2,8.4,9.6,10.8,12))+IF(Inputs!$B$3&gt;=117,F2515,0))/100)),15)/15,(Skills!T17*(1+((Inputs!$B$34+(ArtifactsInput!$M$7-ArtifactsInput!$M$7)*CHOOSE(ArtifactsInput!$N$7+1,6,7.2,8.4,9.6,10.8,12))+IF(Inputs!$B$3&gt;=117,F2515,0)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Skills!T19*(1+((Inputs!$B$34+(ArtifactsInput!$M$7-ArtifactsInput!$M$7)*CHOOSE(ArtifactsInput!$N$7+1,6,7.2,8.4,9.6,10.8,12))+IF(Inputs!$B$3&gt;=117,F2515,0))/100))+MIN((Skills!T19*(1+((Inputs!$B$34+(ArtifactsInput!$M$7-ArtifactsInput!$M$7)*CHOOSE(ArtifactsInput!$N$7+1,6,7.2,8.4,9.6,10.8,12))+IF(Inputs!$B$3&gt;=117,F2515,0))/100)),MAX(0,Inputs!$B$43-((R2509-1)*Skills!E19))))/Inputs!$B$43),IF(Inputs!$B$38="pvp",MIN((Skills!T19*(1+((Inputs!$B$34+(ArtifactsInput!$M$7-ArtifactsInput!$M$7)*CHOOSE(ArtifactsInput!$N$7+1,6,7.2,8.4,9.6,10.8,12))+IF(Inputs!$B$3&gt;=117,F2515,0))/100)),15)/15,(Skills!T19*(1+((Inputs!$B$34+(ArtifactsInput!$M$7-ArtifactsInput!$M$7)*CHOOSE(ArtifactsInput!$N$7+1,6,7.2,8.4,9.6,10.8,12))+IF(Inputs!$B$3&gt;=117,F2515,0))/100))/Skills!E19))/100),1)</f>
        <v/>
      </c>
    </row>
    <row r="2523">
      <c r="A2523" t="inlineStr">
        <is>
          <t>Attack Speed Buff Bonus % (Nimble Feet, averaged)</t>
        </is>
      </c>
      <c r="B2523">
        <f>F2508*IF(AND(Inputs!$B$38&lt;&gt;"pvp",Inputs!$B$43&gt;0),(((R2508-1)*(Skills!T18*(1+((Inputs!$B$34+(ArtifactsInput!$M$7-ArtifactsInput!$M$7)*CHOOSE(ArtifactsInput!$N$7+1,6,7.2,8.4,9.6,10.8,12))+IF(Inputs!$B$3&gt;=117,F2515,0))/100))+MIN((Skills!T18*(1+((Inputs!$B$34+(ArtifactsInput!$M$7-ArtifactsInput!$M$7)*CHOOSE(ArtifactsInput!$N$7+1,6,7.2,8.4,9.6,10.8,12))+IF(Inputs!$B$3&gt;=117,F2515,0))/100)),MAX(0,Inputs!$B$43-((R2508-1)*Skills!E18))))/Inputs!$B$43),IF(Inputs!$B$38="pvp",MIN((Skills!T18*(1+((Inputs!$B$34+(ArtifactsInput!$M$7-ArtifactsInput!$M$7)*CHOOSE(ArtifactsInput!$N$7+1,6,7.2,8.4,9.6,10.8,12))+IF(Inputs!$B$3&gt;=117,F2515,0))/100)),15)/15,(Skills!T18*(1+((Inputs!$B$34+(ArtifactsInput!$M$7-ArtifactsInput!$M$7)*CHOOSE(ArtifactsInput!$N$7+1,6,7.2,8.4,9.6,10.8,12))+IF(Inputs!$B$3&gt;=117,F2515,0))/100))/Skills!E18)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IFERROR(1/(IF(Inputs!$B$38="pvp",15,MAX(0.1,Skills!E2-IF(Skills!F2=TRUE,Inputs!$B$32,0)))*(1-IF(AND(ArtifactsInput!$M$27,Inputs!$B$4="Chapter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IFERROR(1/(IF(Inputs!$B$38="pvp",15,MAX(0.1,Skills!E3-IF(Skills!F3=TRUE,Inputs!$B$32,0)))*(1-IF(AND(ArtifactsInput!$M$27,Inputs!$B$4="Chapter Hunt"),CHOOSE(ArtifactsInput!$N$27+1,20,24,28,32,36,40),0)/100)),0)</f>
        <v/>
      </c>
      <c r="R2537">
        <f>IF(AND(Inputs!$B$38&lt;&gt;"pvp",Inputs!$B$43&gt;0),IF(MAX(0,Inputs!$B$43-B2572)&lt;=0,0,(INT(MAX(0,Inputs!$B$43-B2572)/(IF(Inputs!$B$38="pvp",15,MAX(0.1,Skills!E3-IF(Skills!F3=TRUE,Inputs!$B$32,0)))*(1-IF(AND(ArtifactsInput!$M$27,Inputs!$B$4="Chapter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IFERROR(1/(IF(Inputs!$B$38="pvp",15,MAX(0.1,Skills!E4-IF(Skills!F4=TRUE,Inputs!$B$32,0)))*(1-IF(AND(ArtifactsInput!$M$27,Inputs!$B$4="Chapter Hunt"),CHOOSE(ArtifactsInput!$N$27+1,20,24,28,32,36,40),0)/100)),0)</f>
        <v/>
      </c>
      <c r="R2538">
        <f>IF(AND(Inputs!$B$38&lt;&gt;"pvp",Inputs!$B$43&gt;0),IF(MAX(0,Inputs!$B$43-B2572)&lt;=0,0,(INT(MAX(0,Inputs!$B$43-B2572)/(IF(Inputs!$B$38="pvp",15,MAX(0.1,Skills!E4-IF(Skills!F4=TRUE,Inputs!$B$32,0)))*(1-IF(AND(ArtifactsInput!$M$27,Inputs!$B$4="Chapter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IFERROR(1/(IF(Inputs!$B$38="pvp",15,MAX(0.1,Skills!E5-IF(Skills!F5=TRUE,Inputs!$B$32,0)))*(1-IF(AND(ArtifactsInput!$M$27,Inputs!$B$4="Chapter Hunt"),CHOOSE(ArtifactsInput!$N$27+1,20,24,28,32,36,40),0)/100)),0)</f>
        <v/>
      </c>
      <c r="R2539">
        <f>IF(AND(Inputs!$B$38&lt;&gt;"pvp",Inputs!$B$43&gt;0),IF(MAX(0,Inputs!$B$43-B2572)&lt;=0,0,(INT(MAX(0,Inputs!$B$43-B2572)/(IF(Inputs!$B$38="pvp",15,MAX(0.1,Skills!E5-IF(Skills!F5=TRUE,Inputs!$B$32,0)))*(1-IF(AND(ArtifactsInput!$M$27,Inputs!$B$4="Chapter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IFERROR(1/(IF(Inputs!$B$38="pvp",15,MAX(0.1,Skills!E6-IF(Skills!F6=TRUE,Inputs!$B$32,0)))*(1-IF(AND(ArtifactsInput!$M$27,Inputs!$B$4="Chapter Hunt"),CHOOSE(ArtifactsInput!$N$27+1,20,24,28,32,36,40),0)/100)),0)</f>
        <v/>
      </c>
      <c r="R2540">
        <f>IF(AND(Inputs!$B$38&lt;&gt;"pvp",Inputs!$B$43&gt;0),IF(Inputs!$B$43&lt;=0,0,(INT(Inputs!$B$43/(IF(Inputs!$B$38="pvp",15,MAX(0.1,Skills!E6-IF(Skills!F6=TRUE,Inputs!$B$32,0)))*(1-IF(AND(ArtifactsInput!$M$27,Inputs!$B$4="Chapter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IFERROR(1/(IF(Inputs!$B$38="pvp",15,MAX(0.1,Skills!E7-IF(Skills!F7=TRUE,Inputs!$B$32,0)))*(1-IF(AND(ArtifactsInput!$M$27,Inputs!$B$4="Chapter Hunt"),CHOOSE(ArtifactsInput!$N$27+1,20,24,28,32,36,40),0)/100)),0)</f>
        <v/>
      </c>
      <c r="R2541">
        <f>IF(AND(Inputs!$B$38&lt;&gt;"pvp",Inputs!$B$43&gt;0),IF(MAX(0,Inputs!$B$43-B2572)&lt;=0,0,(INT(MAX(0,Inputs!$B$43-B2572)/(IF(Inputs!$B$38="pvp",15,MAX(0.1,Skills!E7-IF(Skills!F7=TRUE,Inputs!$B$32,0)))*(1-IF(AND(ArtifactsInput!$M$27,Inputs!$B$4="Chapter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IFERROR(1/(IF(Inputs!$B$38="pvp",15,MAX(0.1,Skills!E8-IF(Skills!F8=TRUE,Inputs!$B$32,0)))*(1-IF(AND(ArtifactsInput!$M$27,Inputs!$B$4="Chapter Hunt"),CHOOSE(ArtifactsInput!$N$27+1,20,24,28,32,36,40),0)/100)),0)</f>
        <v/>
      </c>
      <c r="R2542">
        <f>IF(AND(Inputs!$B$38&lt;&gt;"pvp",Inputs!$B$43&gt;0),IF(MAX(0,Inputs!$B$43-B2572)&lt;=0,0,(INT(MAX(0,Inputs!$B$43-B2572)/(IF(Inputs!$B$38="pvp",15,MAX(0.1,Skills!E8-IF(Skills!F8=TRUE,Inputs!$B$32,0)))*(1-IF(AND(ArtifactsInput!$M$27,Inputs!$B$4="Chapter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IFERROR(1/(IF(Inputs!$B$38="pvp",15,MAX(0.1,Skills!E9-IF(Skills!F7=TRUE,Inputs!$B$32,0)))*(1-IF(AND(ArtifactsInput!$M$27,Inputs!$B$4="Chapter Hunt"),CHOOSE(ArtifactsInput!$N$27+1,20,24,28,32,36,40),0)/100)),0)</f>
        <v/>
      </c>
      <c r="R2543">
        <f>IF(AND(Inputs!$B$38&lt;&gt;"pvp",Inputs!$B$43&gt;0),IF(MAX(0,Inputs!$B$43-B2572)&lt;=0,0,(INT(MAX(0,Inputs!$B$43-B2572)/(IF(Inputs!$B$38="pvp",15,MAX(0.1,Skills!E9-IF(Skills!F7=TRUE,Inputs!$B$32,0)))*(1-IF(AND(ArtifactsInput!$M$27,Inputs!$B$4="Chapter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IFERROR(1/(IF(Inputs!$B$38="pvp",15,MAX(0.1,Skills!E10-IF(Skills!F10=TRUE,Inputs!$B$32,0)))*(1-IF(AND(ArtifactsInput!$M$27,Inputs!$B$4="Chapter Hunt"),CHOOSE(ArtifactsInput!$N$27+1,20,24,28,32,36,40),0)/100)),0)</f>
        <v/>
      </c>
      <c r="R2544">
        <f>IF(AND(Inputs!$B$38&lt;&gt;"pvp",Inputs!$B$43&gt;0),IF(MAX(0,Inputs!$B$43-B2572)&lt;=0,0,(INT(MAX(0,Inputs!$B$43-B2572)/(IF(Inputs!$B$38="pvp",15,MAX(0.1,Skills!E10-IF(Skills!F10=TRUE,Inputs!$B$32,0)))*(1-IF(AND(ArtifactsInput!$M$27,Inputs!$B$4="Chapter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IFERROR(1/(IF(Inputs!$B$38="pvp",15,MAX(0.1,Skills!E11-IF(Skills!F11=TRUE,Inputs!$B$32,0)))*(1-IF(AND(ArtifactsInput!$M$27,Inputs!$B$4="Chapter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IFERROR(1/(IF(Inputs!$B$38="pvp",15,MAX(0.1,Skills!E12-IF(Skills!F12=TRUE,Inputs!$B$32,0)))*(1-IF(AND(ArtifactsInput!$M$27,Inputs!$B$4="Chapter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IFERROR(1/(IF(Inputs!$B$38="pvp",15,MAX(0.1,Skills!E13-IF(Skills!F13=TRUE,Inputs!$B$32,0)))*(1-IF(AND(ArtifactsInput!$M$27,Inputs!$B$4="Chapter Hunt"),CHOOSE(ArtifactsInput!$N$27+1,20,24,28,32,36,40),0)/100)),0)</f>
        <v/>
      </c>
      <c r="R2547">
        <f>IF(AND(Inputs!$B$38&lt;&gt;"pvp",Inputs!$B$43&gt;0),IF(MAX(0,Inputs!$B$43-B2572)&lt;=0,0,(INT(MAX(0,Inputs!$B$43-B2572)/(IF(Inputs!$B$38="pvp",15,MAX(0.1,Skills!E13-IF(Skills!F13=TRUE,Inputs!$B$32,0)))*(1-IF(AND(ArtifactsInput!$M$27,Inputs!$B$4="Chapter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IFERROR(1/(IF(Inputs!$B$38="pvp",15,MAX(0.1,Skills!E14-IF(Skills!F14=TRUE,Inputs!$B$32,0)))*(1-IF(AND(ArtifactsInput!$M$27,Inputs!$B$4="Chapter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IFERROR(1/(IF(Inputs!$B$38="pvp",15,MAX(0.1,Skills!E15-IF(Skills!F15=TRUE,Inputs!$B$32,0)))*(1-IF(AND(ArtifactsInput!$M$27,Inputs!$B$4="Chapter Hunt"),CHOOSE(ArtifactsInput!$N$27+1,20,24,28,32,36,40),0)/100)),0)</f>
        <v/>
      </c>
      <c r="R2549">
        <f>IF(AND(Inputs!$B$38&lt;&gt;"pvp",Inputs!$B$43&gt;0),IF(MAX(0,Inputs!$B$43-B2572)&lt;=0,0,(INT(MAX(0,Inputs!$B$43-B2572)/(IF(Inputs!$B$38="pvp",15,MAX(0.1,Skills!E15-IF(Skills!F15=TRUE,Inputs!$B$32,0)))*(1-IF(AND(ArtifactsInput!$M$27,Inputs!$B$4="Chapter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IFERROR(1/(IF(Inputs!$B$38="pvp",15,MAX(0.1,Skills!E16-IF(Skills!F16=TRUE,Inputs!$B$32,0)))*(1-IF(AND(ArtifactsInput!$M$27,Inputs!$B$4="Chapter Hunt"),CHOOSE(ArtifactsInput!$N$27+1,20,24,28,32,36,40),0)/100)),0)</f>
        <v/>
      </c>
      <c r="R2550">
        <f>IF(AND(Inputs!$B$38&lt;&gt;"pvp",Inputs!$B$43&gt;0),IF(MAX(0,Inputs!$B$43-B2572)&lt;=0,0,(INT(MAX(0,Inputs!$B$43-B2572)/(IF(Inputs!$B$38="pvp",15,MAX(0.1,Skills!E16-IF(Skills!F16=TRUE,Inputs!$B$32,0)))*(1-IF(AND(ArtifactsInput!$M$27,Inputs!$B$4="Chapter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IFERROR(1/(IF(Inputs!$B$38="pvp",15,MAX(0.1,Skills!E17-IF(Skills!F17=TRUE,Inputs!$B$32,0)))*(1-IF(AND(ArtifactsInput!$M$27,Inputs!$B$4="Chapter Hunt"),CHOOSE(ArtifactsInput!$N$27+1,20,24,28,32,36,40),0)/100)),0)</f>
        <v/>
      </c>
      <c r="R2551">
        <f>IF(AND(Inputs!$B$38&lt;&gt;"pvp",Inputs!$B$43&gt;0),IF(Inputs!$B$43&lt;=0,0,(INT(Inputs!$B$43/(IF(Inputs!$B$38="pvp",15,MAX(0.1,Skills!E17-IF(Skills!F17=TRUE,Inputs!$B$32,0)))*(1-IF(AND(ArtifactsInput!$M$27,Inputs!$B$4="Chapter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IFERROR(1/(IF(Inputs!$B$38="pvp",15,MAX(0.1,Skills!E18-IF(Skills!F18=TRUE,Inputs!$B$32,0)))*(1-IF(AND(ArtifactsInput!$M$27,Inputs!$B$4="Chapter Hunt"),CHOOSE(ArtifactsInput!$N$27+1,20,24,28,32,36,40),0)/100)),0)</f>
        <v/>
      </c>
      <c r="R2552">
        <f>IF(AND(Inputs!$B$38&lt;&gt;"pvp",Inputs!$B$43&gt;0),IF(Inputs!$B$43&lt;=0,0,(INT(Inputs!$B$43/(IF(Inputs!$B$38="pvp",15,MAX(0.1,Skills!E18-IF(Skills!F18=TRUE,Inputs!$B$32,0)))*(1-IF(AND(ArtifactsInput!$M$27,Inputs!$B$4="Chapter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IFERROR(1/(IF(Inputs!$B$38="pvp",15,MAX(0.1,Skills!E19-IF(Skills!F19=TRUE,Inputs!$B$32,0)))*(1-IF(AND(ArtifactsInput!$M$27,Inputs!$B$4="Chapter Hunt"),CHOOSE(ArtifactsInput!$N$27+1,20,24,28,32,36,40),0)/100)),0)</f>
        <v/>
      </c>
      <c r="R2553">
        <f>IF(AND(Inputs!$B$38&lt;&gt;"pvp",Inputs!$B$43&gt;0),IF(Inputs!$B$43&lt;=0,0,(INT(Inputs!$B$43/(IF(Inputs!$B$38="pvp",15,MAX(0.1,Skills!E19-IF(Skills!F19=TRUE,Inputs!$B$32,0)))*(1-IF(AND(ArtifactsInput!$M$27,Inputs!$B$4="Chapter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IFERROR(1/(IF(Inputs!$B$38="pvp",15,MAX(0.1,Skills!E20-IF(Skills!F20=TRUE,Inputs!$B$32,0)))*(1-IF(AND(ArtifactsInput!$M$27,Inputs!$B$4="Chapter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IFERROR(1/(IF(Inputs!$B$38="pvp",15,MAX(0.1,Skills!E21-IF(Skills!F21=TRUE,Inputs!$B$32,0)))*(1-IF(AND(ArtifactsInput!$M$27,Inputs!$B$4="Chapter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IFERROR(1/(IF(Inputs!$B$38="pvp",15,MAX(0.1,Skills!E22-IF(Skills!F22=TRUE,Inputs!$B$32,0)))*(1-IF(AND(ArtifactsInput!$M$27,Inputs!$B$4="Chapter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IFERROR(1/(IF(Inputs!$B$38="pvp",15,MAX(0.1,Skills!E23-IF(Skills!F23=TRUE,Inputs!$B$32,0)))*(1-IF(AND(ArtifactsInput!$M$27,Inputs!$B$4="Chapter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IFERROR(1/(IF(Inputs!$B$38="pvp",15,MAX(0.1,Skills!E24-IF(Skills!F24=TRUE,Inputs!$B$32,0)))*(1-IF(AND(ArtifactsInput!$M$27,Inputs!$B$4="Chapter Hunt"),CHOOSE(ArtifactsInput!$N$27+1,20,24,28,32,36,40),0)/100)),0)</f>
        <v/>
      </c>
      <c r="R2558">
        <f>IF(AND(Inputs!$B$38&lt;&gt;"pvp",Inputs!$B$43&gt;0),IF(MAX(0,Inputs!$B$43-B2572)&lt;=0,0,(INT(MAX(0,Inputs!$B$43-B2572)/(IF(Inputs!$B$38="pvp",15,MAX(0.1,Skills!E24-IF(Skills!F24=TRUE,Inputs!$B$32,0)))*(1-IF(AND(ArtifactsInput!$M$27,Inputs!$B$4="Chapter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IFERROR(1/(IF(Inputs!$B$38="pvp",15,MAX(0.1,Skills!E25-IF(Skills!F25=TRUE,Inputs!$B$32,0)))*(1-IF(AND(ArtifactsInput!$M$27,Inputs!$B$4="Chapter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IFERROR(1/(IF(Inputs!$B$38="pvp",15,MAX(0.1,Skills!E26-IF(Skills!F26=TRUE,Inputs!$B$32,0)))*(1-IF(AND(ArtifactsInput!$M$27,Inputs!$B$4="Chapter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IFERROR(1/(IF(Inputs!$B$38="pvp",15,MAX(0.1,Skills!E27-IF(Skills!F27=TRUE,Inputs!$B$32,0)))*(1-IF(AND(ArtifactsInput!$M$27,Inputs!$B$4="Chapter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IFERROR(1/(IF(Inputs!$B$38="pvp",15,MAX(0.1,Skills!E28-IF(Skills!F28=TRUE,Inputs!$B$32,0)))*(1-IF(AND(ArtifactsInput!$M$27,Inputs!$B$4="Chapter Hunt"),CHOOSE(ArtifactsInput!$N$27+1,20,24,28,32,36,40),0)/100)),0)</f>
        <v/>
      </c>
      <c r="R2562">
        <f>IF(AND(Inputs!$B$38&lt;&gt;"pvp",Inputs!$B$43&gt;0),IF(MAX(0,Inputs!$B$43-B2572)&lt;=0,0,(INT(MAX(0,Inputs!$B$43-B2572)/(IF(Inputs!$B$38="pvp",15,MAX(0.1,Skills!E28-IF(Skills!F28=TRUE,Inputs!$B$32,0)))*(1-IF(AND(ArtifactsInput!$M$27,Inputs!$B$4="Chapter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Skills!T6*(1+((Inputs!$B$34+(ArtifactsInput!$M$7-ArtifactsInput!$M$7)*CHOOSE(ArtifactsInput!$N$7+1,6,7.2,8.4,9.6,10.8,12))+IF(Inputs!$B$3&gt;=117,F2559,0))/100))+MIN((Skills!T6*(1+((Inputs!$B$34+(ArtifactsInput!$M$7-ArtifactsInput!$M$7)*CHOOSE(ArtifactsInput!$N$7+1,6,7.2,8.4,9.6,10.8,12))+IF(Inputs!$B$3&gt;=117,F2559,0))/100)),MAX(0,Inputs!$B$43-((R2540-1)*Skills!E6))))/Inputs!$B$43),IF(Inputs!$B$38="pvp",MIN((Skills!T6*(1+((Inputs!$B$34+(ArtifactsInput!$M$7-ArtifactsInput!$M$7)*CHOOSE(ArtifactsInput!$N$7+1,6,7.2,8.4,9.6,10.8,12))+IF(Inputs!$B$3&gt;=117,F2559,0))/100)),15)/15,(Skills!T6*(1+((Inputs!$B$34+(ArtifactsInput!$M$7-ArtifactsInput!$M$7)*CHOOSE(ArtifactsInput!$N$7+1,6,7.2,8.4,9.6,10.8,12))+IF(Inputs!$B$3&gt;=117,F2559,0))/100))/Skills!E6))+F2551*IF(AND(Inputs!$B$38&lt;&gt;"pvp",Inputs!$B$43&gt;0),(((R2551-1)*(Skills!T17*(1+((Inputs!$B$34+(ArtifactsInput!$M$7-ArtifactsInput!$M$7)*CHOOSE(ArtifactsInput!$N$7+1,6,7.2,8.4,9.6,10.8,12))+IF(Inputs!$B$3&gt;=117,F2559,0))/100))+MIN((Skills!T17*(1+((Inputs!$B$34+(ArtifactsInput!$M$7-ArtifactsInput!$M$7)*CHOOSE(ArtifactsInput!$N$7+1,6,7.2,8.4,9.6,10.8,12))+IF(Inputs!$B$3&gt;=117,F2559,0))/100)),MAX(0,Inputs!$B$43-((R2551-1)*Skills!E17))))/Inputs!$B$43),IF(Inputs!$B$38="pvp",MIN((Skills!T17*(1+((Inputs!$B$34+(ArtifactsInput!$M$7-ArtifactsInput!$M$7)*CHOOSE(ArtifactsInput!$N$7+1,6,7.2,8.4,9.6,10.8,12))+IF(Inputs!$B$3&gt;=117,F2559,0))/100)),15)/15,(Skills!T17*(1+((Inputs!$B$34+(ArtifactsInput!$M$7-ArtifactsInput!$M$7)*CHOOSE(ArtifactsInput!$N$7+1,6,7.2,8.4,9.6,10.8,12))+IF(Inputs!$B$3&gt;=117,F2559,0)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Skills!T19*(1+((Inputs!$B$34+(ArtifactsInput!$M$7-ArtifactsInput!$M$7)*CHOOSE(ArtifactsInput!$N$7+1,6,7.2,8.4,9.6,10.8,12))+IF(Inputs!$B$3&gt;=117,F2559,0))/100))+MIN((Skills!T19*(1+((Inputs!$B$34+(ArtifactsInput!$M$7-ArtifactsInput!$M$7)*CHOOSE(ArtifactsInput!$N$7+1,6,7.2,8.4,9.6,10.8,12))+IF(Inputs!$B$3&gt;=117,F2559,0))/100)),MAX(0,Inputs!$B$43-((R2553-1)*Skills!E19))))/Inputs!$B$43),IF(Inputs!$B$38="pvp",MIN((Skills!T19*(1+((Inputs!$B$34+(ArtifactsInput!$M$7-ArtifactsInput!$M$7)*CHOOSE(ArtifactsInput!$N$7+1,6,7.2,8.4,9.6,10.8,12))+IF(Inputs!$B$3&gt;=117,F2559,0))/100)),15)/15,(Skills!T19*(1+((Inputs!$B$34+(ArtifactsInput!$M$7-ArtifactsInput!$M$7)*CHOOSE(ArtifactsInput!$N$7+1,6,7.2,8.4,9.6,10.8,12))+IF(Inputs!$B$3&gt;=117,F2559,0))/100))/Skills!E19))/100),1)</f>
        <v/>
      </c>
    </row>
    <row r="2567">
      <c r="A2567" t="inlineStr">
        <is>
          <t>Attack Speed Buff Bonus % (Nimble Feet, averaged)</t>
        </is>
      </c>
      <c r="B2567">
        <f>F2552*IF(AND(Inputs!$B$38&lt;&gt;"pvp",Inputs!$B$43&gt;0),(((R2552-1)*(Skills!T18*(1+((Inputs!$B$34+(ArtifactsInput!$M$7-ArtifactsInput!$M$7)*CHOOSE(ArtifactsInput!$N$7+1,6,7.2,8.4,9.6,10.8,12))+IF(Inputs!$B$3&gt;=117,F2559,0))/100))+MIN((Skills!T18*(1+((Inputs!$B$34+(ArtifactsInput!$M$7-ArtifactsInput!$M$7)*CHOOSE(ArtifactsInput!$N$7+1,6,7.2,8.4,9.6,10.8,12))+IF(Inputs!$B$3&gt;=117,F2559,0))/100)),MAX(0,Inputs!$B$43-((R2552-1)*Skills!E18))))/Inputs!$B$43),IF(Inputs!$B$38="pvp",MIN((Skills!T18*(1+((Inputs!$B$34+(ArtifactsInput!$M$7-ArtifactsInput!$M$7)*CHOOSE(ArtifactsInput!$N$7+1,6,7.2,8.4,9.6,10.8,12))+IF(Inputs!$B$3&gt;=117,F2559,0))/100)),15)/15,(Skills!T18*(1+((Inputs!$B$34+(ArtifactsInput!$M$7-ArtifactsInput!$M$7)*CHOOSE(ArtifactsInput!$N$7+1,6,7.2,8.4,9.6,10.8,12))+IF(Inputs!$B$3&gt;=117,F2559,0))/100))/Skills!E18))</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IFERROR(1/(IF(Inputs!$B$38="pvp",15,MAX(0.1,Skills!E2-IF(Skills!F2=TRUE,Inputs!$B$32,0)))*(1-IF(AND(ArtifactsInput!$M$27,Inputs!$B$4="Chapter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IFERROR(1/(IF(Inputs!$B$38="pvp",15,MAX(0.1,Skills!E3-IF(Skills!F3=TRUE,Inputs!$B$32,0)))*(1-IF(AND(ArtifactsInput!$M$27,Inputs!$B$4="Chapter Hunt"),CHOOSE(ArtifactsInput!$N$27+1,20,24,28,32,36,40),0)/100)),0)</f>
        <v/>
      </c>
      <c r="R2581">
        <f>IF(AND(Inputs!$B$38&lt;&gt;"pvp",Inputs!$B$43&gt;0),IF(MAX(0,Inputs!$B$43-B2616)&lt;=0,0,(INT(MAX(0,Inputs!$B$43-B2616)/(IF(Inputs!$B$38="pvp",15,MAX(0.1,Skills!E3-IF(Skills!F3=TRUE,Inputs!$B$32,0)))*(1-IF(AND(ArtifactsInput!$M$27,Inputs!$B$4="Chapter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IFERROR(1/(IF(Inputs!$B$38="pvp",15,MAX(0.1,Skills!E4-IF(Skills!F4=TRUE,Inputs!$B$32,0)))*(1-IF(AND(ArtifactsInput!$M$27,Inputs!$B$4="Chapter Hunt"),CHOOSE(ArtifactsInput!$N$27+1,20,24,28,32,36,40),0)/100)),0)</f>
        <v/>
      </c>
      <c r="R2582">
        <f>IF(AND(Inputs!$B$38&lt;&gt;"pvp",Inputs!$B$43&gt;0),IF(MAX(0,Inputs!$B$43-B2616)&lt;=0,0,(INT(MAX(0,Inputs!$B$43-B2616)/(IF(Inputs!$B$38="pvp",15,MAX(0.1,Skills!E4-IF(Skills!F4=TRUE,Inputs!$B$32,0)))*(1-IF(AND(ArtifactsInput!$M$27,Inputs!$B$4="Chapter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IFERROR(1/(IF(Inputs!$B$38="pvp",15,MAX(0.1,Skills!E5-IF(Skills!F5=TRUE,Inputs!$B$32,0)))*(1-IF(AND(ArtifactsInput!$M$27,Inputs!$B$4="Chapter Hunt"),CHOOSE(ArtifactsInput!$N$27+1,20,24,28,32,36,40),0)/100)),0)</f>
        <v/>
      </c>
      <c r="R2583">
        <f>IF(AND(Inputs!$B$38&lt;&gt;"pvp",Inputs!$B$43&gt;0),IF(MAX(0,Inputs!$B$43-B2616)&lt;=0,0,(INT(MAX(0,Inputs!$B$43-B2616)/(IF(Inputs!$B$38="pvp",15,MAX(0.1,Skills!E5-IF(Skills!F5=TRUE,Inputs!$B$32,0)))*(1-IF(AND(ArtifactsInput!$M$27,Inputs!$B$4="Chapter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IFERROR(1/(IF(Inputs!$B$38="pvp",15,MAX(0.1,Skills!E6-IF(Skills!F6=TRUE,Inputs!$B$32,0)))*(1-IF(AND(ArtifactsInput!$M$27,Inputs!$B$4="Chapter Hunt"),CHOOSE(ArtifactsInput!$N$27+1,20,24,28,32,36,40),0)/100)),0)</f>
        <v/>
      </c>
      <c r="R2584">
        <f>IF(AND(Inputs!$B$38&lt;&gt;"pvp",Inputs!$B$43&gt;0),IF(Inputs!$B$43&lt;=0,0,(INT(Inputs!$B$43/(IF(Inputs!$B$38="pvp",15,MAX(0.1,Skills!E6-IF(Skills!F6=TRUE,Inputs!$B$32,0)))*(1-IF(AND(ArtifactsInput!$M$27,Inputs!$B$4="Chapter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IFERROR(1/(IF(Inputs!$B$38="pvp",15,MAX(0.1,Skills!E7-IF(Skills!F7=TRUE,Inputs!$B$32,0)))*(1-IF(AND(ArtifactsInput!$M$27,Inputs!$B$4="Chapter Hunt"),CHOOSE(ArtifactsInput!$N$27+1,20,24,28,32,36,40),0)/100)),0)</f>
        <v/>
      </c>
      <c r="R2585">
        <f>IF(AND(Inputs!$B$38&lt;&gt;"pvp",Inputs!$B$43&gt;0),IF(MAX(0,Inputs!$B$43-B2616)&lt;=0,0,(INT(MAX(0,Inputs!$B$43-B2616)/(IF(Inputs!$B$38="pvp",15,MAX(0.1,Skills!E7-IF(Skills!F7=TRUE,Inputs!$B$32,0)))*(1-IF(AND(ArtifactsInput!$M$27,Inputs!$B$4="Chapter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IFERROR(1/(IF(Inputs!$B$38="pvp",15,MAX(0.1,Skills!E8-IF(Skills!F8=TRUE,Inputs!$B$32,0)))*(1-IF(AND(ArtifactsInput!$M$27,Inputs!$B$4="Chapter Hunt"),CHOOSE(ArtifactsInput!$N$27+1,20,24,28,32,36,40),0)/100)),0)</f>
        <v/>
      </c>
      <c r="R2586">
        <f>IF(AND(Inputs!$B$38&lt;&gt;"pvp",Inputs!$B$43&gt;0),IF(MAX(0,Inputs!$B$43-B2616)&lt;=0,0,(INT(MAX(0,Inputs!$B$43-B2616)/(IF(Inputs!$B$38="pvp",15,MAX(0.1,Skills!E8-IF(Skills!F8=TRUE,Inputs!$B$32,0)))*(1-IF(AND(ArtifactsInput!$M$27,Inputs!$B$4="Chapter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IFERROR(1/(IF(Inputs!$B$38="pvp",15,MAX(0.1,Skills!E9-IF(Skills!F7=TRUE,Inputs!$B$32,0)))*(1-IF(AND(ArtifactsInput!$M$27,Inputs!$B$4="Chapter Hunt"),CHOOSE(ArtifactsInput!$N$27+1,20,24,28,32,36,40),0)/100)),0)</f>
        <v/>
      </c>
      <c r="R2587">
        <f>IF(AND(Inputs!$B$38&lt;&gt;"pvp",Inputs!$B$43&gt;0),IF(MAX(0,Inputs!$B$43-B2616)&lt;=0,0,(INT(MAX(0,Inputs!$B$43-B2616)/(IF(Inputs!$B$38="pvp",15,MAX(0.1,Skills!E9-IF(Skills!F7=TRUE,Inputs!$B$32,0)))*(1-IF(AND(ArtifactsInput!$M$27,Inputs!$B$4="Chapter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IFERROR(1/(IF(Inputs!$B$38="pvp",15,MAX(0.1,Skills!E10-IF(Skills!F10=TRUE,Inputs!$B$32,0)))*(1-IF(AND(ArtifactsInput!$M$27,Inputs!$B$4="Chapter Hunt"),CHOOSE(ArtifactsInput!$N$27+1,20,24,28,32,36,40),0)/100)),0)</f>
        <v/>
      </c>
      <c r="R2588">
        <f>IF(AND(Inputs!$B$38&lt;&gt;"pvp",Inputs!$B$43&gt;0),IF(MAX(0,Inputs!$B$43-B2616)&lt;=0,0,(INT(MAX(0,Inputs!$B$43-B2616)/(IF(Inputs!$B$38="pvp",15,MAX(0.1,Skills!E10-IF(Skills!F10=TRUE,Inputs!$B$32,0)))*(1-IF(AND(ArtifactsInput!$M$27,Inputs!$B$4="Chapter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IFERROR(1/(IF(Inputs!$B$38="pvp",15,MAX(0.1,Skills!E11-IF(Skills!F11=TRUE,Inputs!$B$32,0)))*(1-IF(AND(ArtifactsInput!$M$27,Inputs!$B$4="Chapter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IFERROR(1/(IF(Inputs!$B$38="pvp",15,MAX(0.1,Skills!E12-IF(Skills!F12=TRUE,Inputs!$B$32,0)))*(1-IF(AND(ArtifactsInput!$M$27,Inputs!$B$4="Chapter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IFERROR(1/(IF(Inputs!$B$38="pvp",15,MAX(0.1,Skills!E13-IF(Skills!F13=TRUE,Inputs!$B$32,0)))*(1-IF(AND(ArtifactsInput!$M$27,Inputs!$B$4="Chapter Hunt"),CHOOSE(ArtifactsInput!$N$27+1,20,24,28,32,36,40),0)/100)),0)</f>
        <v/>
      </c>
      <c r="R2591">
        <f>IF(AND(Inputs!$B$38&lt;&gt;"pvp",Inputs!$B$43&gt;0),IF(MAX(0,Inputs!$B$43-B2616)&lt;=0,0,(INT(MAX(0,Inputs!$B$43-B2616)/(IF(Inputs!$B$38="pvp",15,MAX(0.1,Skills!E13-IF(Skills!F13=TRUE,Inputs!$B$32,0)))*(1-IF(AND(ArtifactsInput!$M$27,Inputs!$B$4="Chapter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IFERROR(1/(IF(Inputs!$B$38="pvp",15,MAX(0.1,Skills!E14-IF(Skills!F14=TRUE,Inputs!$B$32,0)))*(1-IF(AND(ArtifactsInput!$M$27,Inputs!$B$4="Chapter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IFERROR(1/(IF(Inputs!$B$38="pvp",15,MAX(0.1,Skills!E15-IF(Skills!F15=TRUE,Inputs!$B$32,0)))*(1-IF(AND(ArtifactsInput!$M$27,Inputs!$B$4="Chapter Hunt"),CHOOSE(ArtifactsInput!$N$27+1,20,24,28,32,36,40),0)/100)),0)</f>
        <v/>
      </c>
      <c r="R2593">
        <f>IF(AND(Inputs!$B$38&lt;&gt;"pvp",Inputs!$B$43&gt;0),IF(MAX(0,Inputs!$B$43-B2616)&lt;=0,0,(INT(MAX(0,Inputs!$B$43-B2616)/(IF(Inputs!$B$38="pvp",15,MAX(0.1,Skills!E15-IF(Skills!F15=TRUE,Inputs!$B$32,0)))*(1-IF(AND(ArtifactsInput!$M$27,Inputs!$B$4="Chapter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IFERROR(1/(IF(Inputs!$B$38="pvp",15,MAX(0.1,Skills!E16-IF(Skills!F16=TRUE,Inputs!$B$32,0)))*(1-IF(AND(ArtifactsInput!$M$27,Inputs!$B$4="Chapter Hunt"),CHOOSE(ArtifactsInput!$N$27+1,20,24,28,32,36,40),0)/100)),0)</f>
        <v/>
      </c>
      <c r="R2594">
        <f>IF(AND(Inputs!$B$38&lt;&gt;"pvp",Inputs!$B$43&gt;0),IF(MAX(0,Inputs!$B$43-B2616)&lt;=0,0,(INT(MAX(0,Inputs!$B$43-B2616)/(IF(Inputs!$B$38="pvp",15,MAX(0.1,Skills!E16-IF(Skills!F16=TRUE,Inputs!$B$32,0)))*(1-IF(AND(ArtifactsInput!$M$27,Inputs!$B$4="Chapter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IFERROR(1/(IF(Inputs!$B$38="pvp",15,MAX(0.1,Skills!E17-IF(Skills!F17=TRUE,Inputs!$B$32,0)))*(1-IF(AND(ArtifactsInput!$M$27,Inputs!$B$4="Chapter Hunt"),CHOOSE(ArtifactsInput!$N$27+1,20,24,28,32,36,40),0)/100)),0)</f>
        <v/>
      </c>
      <c r="R2595">
        <f>IF(AND(Inputs!$B$38&lt;&gt;"pvp",Inputs!$B$43&gt;0),IF(Inputs!$B$43&lt;=0,0,(INT(Inputs!$B$43/(IF(Inputs!$B$38="pvp",15,MAX(0.1,Skills!E17-IF(Skills!F17=TRUE,Inputs!$B$32,0)))*(1-IF(AND(ArtifactsInput!$M$27,Inputs!$B$4="Chapter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IFERROR(1/(IF(Inputs!$B$38="pvp",15,MAX(0.1,Skills!E18-IF(Skills!F18=TRUE,Inputs!$B$32,0)))*(1-IF(AND(ArtifactsInput!$M$27,Inputs!$B$4="Chapter Hunt"),CHOOSE(ArtifactsInput!$N$27+1,20,24,28,32,36,40),0)/100)),0)</f>
        <v/>
      </c>
      <c r="R2596">
        <f>IF(AND(Inputs!$B$38&lt;&gt;"pvp",Inputs!$B$43&gt;0),IF(Inputs!$B$43&lt;=0,0,(INT(Inputs!$B$43/(IF(Inputs!$B$38="pvp",15,MAX(0.1,Skills!E18-IF(Skills!F18=TRUE,Inputs!$B$32,0)))*(1-IF(AND(ArtifactsInput!$M$27,Inputs!$B$4="Chapter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IFERROR(1/(IF(Inputs!$B$38="pvp",15,MAX(0.1,Skills!E19-IF(Skills!F19=TRUE,Inputs!$B$32,0)))*(1-IF(AND(ArtifactsInput!$M$27,Inputs!$B$4="Chapter Hunt"),CHOOSE(ArtifactsInput!$N$27+1,20,24,28,32,36,40),0)/100)),0)</f>
        <v/>
      </c>
      <c r="R2597">
        <f>IF(AND(Inputs!$B$38&lt;&gt;"pvp",Inputs!$B$43&gt;0),IF(Inputs!$B$43&lt;=0,0,(INT(Inputs!$B$43/(IF(Inputs!$B$38="pvp",15,MAX(0.1,Skills!E19-IF(Skills!F19=TRUE,Inputs!$B$32,0)))*(1-IF(AND(ArtifactsInput!$M$27,Inputs!$B$4="Chapter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IFERROR(1/(IF(Inputs!$B$38="pvp",15,MAX(0.1,Skills!E20-IF(Skills!F20=TRUE,Inputs!$B$32,0)))*(1-IF(AND(ArtifactsInput!$M$27,Inputs!$B$4="Chapter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IFERROR(1/(IF(Inputs!$B$38="pvp",15,MAX(0.1,Skills!E21-IF(Skills!F21=TRUE,Inputs!$B$32,0)))*(1-IF(AND(ArtifactsInput!$M$27,Inputs!$B$4="Chapter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IFERROR(1/(IF(Inputs!$B$38="pvp",15,MAX(0.1,Skills!E22-IF(Skills!F22=TRUE,Inputs!$B$32,0)))*(1-IF(AND(ArtifactsInput!$M$27,Inputs!$B$4="Chapter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IFERROR(1/(IF(Inputs!$B$38="pvp",15,MAX(0.1,Skills!E23-IF(Skills!F23=TRUE,Inputs!$B$32,0)))*(1-IF(AND(ArtifactsInput!$M$27,Inputs!$B$4="Chapter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IFERROR(1/(IF(Inputs!$B$38="pvp",15,MAX(0.1,Skills!E24-IF(Skills!F24=TRUE,Inputs!$B$32,0)))*(1-IF(AND(ArtifactsInput!$M$27,Inputs!$B$4="Chapter Hunt"),CHOOSE(ArtifactsInput!$N$27+1,20,24,28,32,36,40),0)/100)),0)</f>
        <v/>
      </c>
      <c r="R2602">
        <f>IF(AND(Inputs!$B$38&lt;&gt;"pvp",Inputs!$B$43&gt;0),IF(MAX(0,Inputs!$B$43-B2616)&lt;=0,0,(INT(MAX(0,Inputs!$B$43-B2616)/(IF(Inputs!$B$38="pvp",15,MAX(0.1,Skills!E24-IF(Skills!F24=TRUE,Inputs!$B$32,0)))*(1-IF(AND(ArtifactsInput!$M$27,Inputs!$B$4="Chapter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IFERROR(1/(IF(Inputs!$B$38="pvp",15,MAX(0.1,Skills!E25-IF(Skills!F25=TRUE,Inputs!$B$32,0)))*(1-IF(AND(ArtifactsInput!$M$27,Inputs!$B$4="Chapter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IFERROR(1/(IF(Inputs!$B$38="pvp",15,MAX(0.1,Skills!E26-IF(Skills!F26=TRUE,Inputs!$B$32,0)))*(1-IF(AND(ArtifactsInput!$M$27,Inputs!$B$4="Chapter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IFERROR(1/(IF(Inputs!$B$38="pvp",15,MAX(0.1,Skills!E27-IF(Skills!F27=TRUE,Inputs!$B$32,0)))*(1-IF(AND(ArtifactsInput!$M$27,Inputs!$B$4="Chapter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IFERROR(1/(IF(Inputs!$B$38="pvp",15,MAX(0.1,Skills!E28-IF(Skills!F28=TRUE,Inputs!$B$32,0)))*(1-IF(AND(ArtifactsInput!$M$27,Inputs!$B$4="Chapter Hunt"),CHOOSE(ArtifactsInput!$N$27+1,20,24,28,32,36,40),0)/100)),0)</f>
        <v/>
      </c>
      <c r="R2606">
        <f>IF(AND(Inputs!$B$38&lt;&gt;"pvp",Inputs!$B$43&gt;0),IF(MAX(0,Inputs!$B$43-B2616)&lt;=0,0,(INT(MAX(0,Inputs!$B$43-B2616)/(IF(Inputs!$B$38="pvp",15,MAX(0.1,Skills!E28-IF(Skills!F28=TRUE,Inputs!$B$32,0)))*(1-IF(AND(ArtifactsInput!$M$27,Inputs!$B$4="Chapter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Skills!T6*(1+((Inputs!$B$34+(ArtifactsInput!$M$7-ArtifactsInput!$M$7)*CHOOSE(ArtifactsInput!$N$7+1,6,7.2,8.4,9.6,10.8,12))+IF(Inputs!$B$3&gt;=117,F2603,0))/100))+MIN((Skills!T6*(1+((Inputs!$B$34+(ArtifactsInput!$M$7-ArtifactsInput!$M$7)*CHOOSE(ArtifactsInput!$N$7+1,6,7.2,8.4,9.6,10.8,12))+IF(Inputs!$B$3&gt;=117,F2603,0))/100)),MAX(0,Inputs!$B$43-((R2584-1)*Skills!E6))))/Inputs!$B$43),IF(Inputs!$B$38="pvp",MIN((Skills!T6*(1+((Inputs!$B$34+(ArtifactsInput!$M$7-ArtifactsInput!$M$7)*CHOOSE(ArtifactsInput!$N$7+1,6,7.2,8.4,9.6,10.8,12))+IF(Inputs!$B$3&gt;=117,F2603,0))/100)),15)/15,(Skills!T6*(1+((Inputs!$B$34+(ArtifactsInput!$M$7-ArtifactsInput!$M$7)*CHOOSE(ArtifactsInput!$N$7+1,6,7.2,8.4,9.6,10.8,12))+IF(Inputs!$B$3&gt;=117,F2603,0))/100))/Skills!E6))+F2595*IF(AND(Inputs!$B$38&lt;&gt;"pvp",Inputs!$B$43&gt;0),(((R2595-1)*(Skills!T17*(1+((Inputs!$B$34+(ArtifactsInput!$M$7-ArtifactsInput!$M$7)*CHOOSE(ArtifactsInput!$N$7+1,6,7.2,8.4,9.6,10.8,12))+IF(Inputs!$B$3&gt;=117,F2603,0))/100))+MIN((Skills!T17*(1+((Inputs!$B$34+(ArtifactsInput!$M$7-ArtifactsInput!$M$7)*CHOOSE(ArtifactsInput!$N$7+1,6,7.2,8.4,9.6,10.8,12))+IF(Inputs!$B$3&gt;=117,F2603,0))/100)),MAX(0,Inputs!$B$43-((R2595-1)*Skills!E17))))/Inputs!$B$43),IF(Inputs!$B$38="pvp",MIN((Skills!T17*(1+((Inputs!$B$34+(ArtifactsInput!$M$7-ArtifactsInput!$M$7)*CHOOSE(ArtifactsInput!$N$7+1,6,7.2,8.4,9.6,10.8,12))+IF(Inputs!$B$3&gt;=117,F2603,0))/100)),15)/15,(Skills!T17*(1+((Inputs!$B$34+(ArtifactsInput!$M$7-ArtifactsInput!$M$7)*CHOOSE(ArtifactsInput!$N$7+1,6,7.2,8.4,9.6,10.8,12))+IF(Inputs!$B$3&gt;=117,F2603,0)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Skills!T19*(1+((Inputs!$B$34+(ArtifactsInput!$M$7-ArtifactsInput!$M$7)*CHOOSE(ArtifactsInput!$N$7+1,6,7.2,8.4,9.6,10.8,12))+IF(Inputs!$B$3&gt;=117,F2603,0))/100))+MIN((Skills!T19*(1+((Inputs!$B$34+(ArtifactsInput!$M$7-ArtifactsInput!$M$7)*CHOOSE(ArtifactsInput!$N$7+1,6,7.2,8.4,9.6,10.8,12))+IF(Inputs!$B$3&gt;=117,F2603,0))/100)),MAX(0,Inputs!$B$43-((R2597-1)*Skills!E19))))/Inputs!$B$43),IF(Inputs!$B$38="pvp",MIN((Skills!T19*(1+((Inputs!$B$34+(ArtifactsInput!$M$7-ArtifactsInput!$M$7)*CHOOSE(ArtifactsInput!$N$7+1,6,7.2,8.4,9.6,10.8,12))+IF(Inputs!$B$3&gt;=117,F2603,0))/100)),15)/15,(Skills!T19*(1+((Inputs!$B$34+(ArtifactsInput!$M$7-ArtifactsInput!$M$7)*CHOOSE(ArtifactsInput!$N$7+1,6,7.2,8.4,9.6,10.8,12))+IF(Inputs!$B$3&gt;=117,F2603,0))/100))/Skills!E19))/100),1)</f>
        <v/>
      </c>
    </row>
    <row r="2611">
      <c r="A2611" t="inlineStr">
        <is>
          <t>Attack Speed Buff Bonus % (Nimble Feet, averaged)</t>
        </is>
      </c>
      <c r="B2611">
        <f>F2596*IF(AND(Inputs!$B$38&lt;&gt;"pvp",Inputs!$B$43&gt;0),(((R2596-1)*(Skills!T18*(1+((Inputs!$B$34+(ArtifactsInput!$M$7-ArtifactsInput!$M$7)*CHOOSE(ArtifactsInput!$N$7+1,6,7.2,8.4,9.6,10.8,12))+IF(Inputs!$B$3&gt;=117,F2603,0))/100))+MIN((Skills!T18*(1+((Inputs!$B$34+(ArtifactsInput!$M$7-ArtifactsInput!$M$7)*CHOOSE(ArtifactsInput!$N$7+1,6,7.2,8.4,9.6,10.8,12))+IF(Inputs!$B$3&gt;=117,F2603,0))/100)),MAX(0,Inputs!$B$43-((R2596-1)*Skills!E18))))/Inputs!$B$43),IF(Inputs!$B$38="pvp",MIN((Skills!T18*(1+((Inputs!$B$34+(ArtifactsInput!$M$7-ArtifactsInput!$M$7)*CHOOSE(ArtifactsInput!$N$7+1,6,7.2,8.4,9.6,10.8,12))+IF(Inputs!$B$3&gt;=117,F2603,0))/100)),15)/15,(Skills!T18*(1+((Inputs!$B$34+(ArtifactsInput!$M$7-ArtifactsInput!$M$7)*CHOOSE(ArtifactsInput!$N$7+1,6,7.2,8.4,9.6,10.8,12))+IF(Inputs!$B$3&gt;=117,F2603,0))/100))/Skills!E18))</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IFERROR(1/(IF(Inputs!$B$38="pvp",15,MAX(0.1,Skills!E2-IF(Skills!F2=TRUE,Inputs!$B$32,0)))*(1-IF(AND(ArtifactsInput!$M$27,Inputs!$B$4="Chapter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IFERROR(1/(IF(Inputs!$B$38="pvp",15,MAX(0.1,Skills!E3-IF(Skills!F3=TRUE,Inputs!$B$32,0)))*(1-IF(AND(ArtifactsInput!$M$27,Inputs!$B$4="Chapter Hunt"),CHOOSE(ArtifactsInput!$N$27+1,20,24,28,32,36,40),0)/100)),0)</f>
        <v/>
      </c>
      <c r="R2625">
        <f>IF(AND(Inputs!$B$38&lt;&gt;"pvp",Inputs!$B$43&gt;0),IF(MAX(0,Inputs!$B$43-B2660)&lt;=0,0,(INT(MAX(0,Inputs!$B$43-B2660)/(IF(Inputs!$B$38="pvp",15,MAX(0.1,Skills!E3-IF(Skills!F3=TRUE,Inputs!$B$32,0)))*(1-IF(AND(ArtifactsInput!$M$27,Inputs!$B$4="Chapter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IFERROR(1/(IF(Inputs!$B$38="pvp",15,MAX(0.1,Skills!E4-IF(Skills!F4=TRUE,Inputs!$B$32,0)))*(1-IF(AND(ArtifactsInput!$M$27,Inputs!$B$4="Chapter Hunt"),CHOOSE(ArtifactsInput!$N$27+1,20,24,28,32,36,40),0)/100)),0)</f>
        <v/>
      </c>
      <c r="R2626">
        <f>IF(AND(Inputs!$B$38&lt;&gt;"pvp",Inputs!$B$43&gt;0),IF(MAX(0,Inputs!$B$43-B2660)&lt;=0,0,(INT(MAX(0,Inputs!$B$43-B2660)/(IF(Inputs!$B$38="pvp",15,MAX(0.1,Skills!E4-IF(Skills!F4=TRUE,Inputs!$B$32,0)))*(1-IF(AND(ArtifactsInput!$M$27,Inputs!$B$4="Chapter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IFERROR(1/(IF(Inputs!$B$38="pvp",15,MAX(0.1,Skills!E5-IF(Skills!F5=TRUE,Inputs!$B$32,0)))*(1-IF(AND(ArtifactsInput!$M$27,Inputs!$B$4="Chapter Hunt"),CHOOSE(ArtifactsInput!$N$27+1,20,24,28,32,36,40),0)/100)),0)</f>
        <v/>
      </c>
      <c r="R2627">
        <f>IF(AND(Inputs!$B$38&lt;&gt;"pvp",Inputs!$B$43&gt;0),IF(MAX(0,Inputs!$B$43-B2660)&lt;=0,0,(INT(MAX(0,Inputs!$B$43-B2660)/(IF(Inputs!$B$38="pvp",15,MAX(0.1,Skills!E5-IF(Skills!F5=TRUE,Inputs!$B$32,0)))*(1-IF(AND(ArtifactsInput!$M$27,Inputs!$B$4="Chapter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IFERROR(1/(IF(Inputs!$B$38="pvp",15,MAX(0.1,Skills!E6-IF(Skills!F6=TRUE,Inputs!$B$32,0)))*(1-IF(AND(ArtifactsInput!$M$27,Inputs!$B$4="Chapter Hunt"),CHOOSE(ArtifactsInput!$N$27+1,20,24,28,32,36,40),0)/100)),0)</f>
        <v/>
      </c>
      <c r="R2628">
        <f>IF(AND(Inputs!$B$38&lt;&gt;"pvp",Inputs!$B$43&gt;0),IF(Inputs!$B$43&lt;=0,0,(INT(Inputs!$B$43/(IF(Inputs!$B$38="pvp",15,MAX(0.1,Skills!E6-IF(Skills!F6=TRUE,Inputs!$B$32,0)))*(1-IF(AND(ArtifactsInput!$M$27,Inputs!$B$4="Chapter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IFERROR(1/(IF(Inputs!$B$38="pvp",15,MAX(0.1,Skills!E7-IF(Skills!F7=TRUE,Inputs!$B$32,0)))*(1-IF(AND(ArtifactsInput!$M$27,Inputs!$B$4="Chapter Hunt"),CHOOSE(ArtifactsInput!$N$27+1,20,24,28,32,36,40),0)/100)),0)</f>
        <v/>
      </c>
      <c r="R2629">
        <f>IF(AND(Inputs!$B$38&lt;&gt;"pvp",Inputs!$B$43&gt;0),IF(MAX(0,Inputs!$B$43-B2660)&lt;=0,0,(INT(MAX(0,Inputs!$B$43-B2660)/(IF(Inputs!$B$38="pvp",15,MAX(0.1,Skills!E7-IF(Skills!F7=TRUE,Inputs!$B$32,0)))*(1-IF(AND(ArtifactsInput!$M$27,Inputs!$B$4="Chapter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IFERROR(1/(IF(Inputs!$B$38="pvp",15,MAX(0.1,Skills!E8-IF(Skills!F8=TRUE,Inputs!$B$32,0)))*(1-IF(AND(ArtifactsInput!$M$27,Inputs!$B$4="Chapter Hunt"),CHOOSE(ArtifactsInput!$N$27+1,20,24,28,32,36,40),0)/100)),0)</f>
        <v/>
      </c>
      <c r="R2630">
        <f>IF(AND(Inputs!$B$38&lt;&gt;"pvp",Inputs!$B$43&gt;0),IF(MAX(0,Inputs!$B$43-B2660)&lt;=0,0,(INT(MAX(0,Inputs!$B$43-B2660)/(IF(Inputs!$B$38="pvp",15,MAX(0.1,Skills!E8-IF(Skills!F8=TRUE,Inputs!$B$32,0)))*(1-IF(AND(ArtifactsInput!$M$27,Inputs!$B$4="Chapter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IFERROR(1/(IF(Inputs!$B$38="pvp",15,MAX(0.1,Skills!E9-IF(Skills!F7=TRUE,Inputs!$B$32,0)))*(1-IF(AND(ArtifactsInput!$M$27,Inputs!$B$4="Chapter Hunt"),CHOOSE(ArtifactsInput!$N$27+1,20,24,28,32,36,40),0)/100)),0)</f>
        <v/>
      </c>
      <c r="R2631">
        <f>IF(AND(Inputs!$B$38&lt;&gt;"pvp",Inputs!$B$43&gt;0),IF(MAX(0,Inputs!$B$43-B2660)&lt;=0,0,(INT(MAX(0,Inputs!$B$43-B2660)/(IF(Inputs!$B$38="pvp",15,MAX(0.1,Skills!E9-IF(Skills!F7=TRUE,Inputs!$B$32,0)))*(1-IF(AND(ArtifactsInput!$M$27,Inputs!$B$4="Chapter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IFERROR(1/(IF(Inputs!$B$38="pvp",15,MAX(0.1,Skills!E10-IF(Skills!F10=TRUE,Inputs!$B$32,0)))*(1-IF(AND(ArtifactsInput!$M$27,Inputs!$B$4="Chapter Hunt"),CHOOSE(ArtifactsInput!$N$27+1,20,24,28,32,36,40),0)/100)),0)</f>
        <v/>
      </c>
      <c r="R2632">
        <f>IF(AND(Inputs!$B$38&lt;&gt;"pvp",Inputs!$B$43&gt;0),IF(MAX(0,Inputs!$B$43-B2660)&lt;=0,0,(INT(MAX(0,Inputs!$B$43-B2660)/(IF(Inputs!$B$38="pvp",15,MAX(0.1,Skills!E10-IF(Skills!F10=TRUE,Inputs!$B$32,0)))*(1-IF(AND(ArtifactsInput!$M$27,Inputs!$B$4="Chapter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IFERROR(1/(IF(Inputs!$B$38="pvp",15,MAX(0.1,Skills!E11-IF(Skills!F11=TRUE,Inputs!$B$32,0)))*(1-IF(AND(ArtifactsInput!$M$27,Inputs!$B$4="Chapter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IFERROR(1/(IF(Inputs!$B$38="pvp",15,MAX(0.1,Skills!E12-IF(Skills!F12=TRUE,Inputs!$B$32,0)))*(1-IF(AND(ArtifactsInput!$M$27,Inputs!$B$4="Chapter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IFERROR(1/(IF(Inputs!$B$38="pvp",15,MAX(0.1,Skills!E13-IF(Skills!F13=TRUE,Inputs!$B$32,0)))*(1-IF(AND(ArtifactsInput!$M$27,Inputs!$B$4="Chapter Hunt"),CHOOSE(ArtifactsInput!$N$27+1,20,24,28,32,36,40),0)/100)),0)</f>
        <v/>
      </c>
      <c r="R2635">
        <f>IF(AND(Inputs!$B$38&lt;&gt;"pvp",Inputs!$B$43&gt;0),IF(MAX(0,Inputs!$B$43-B2660)&lt;=0,0,(INT(MAX(0,Inputs!$B$43-B2660)/(IF(Inputs!$B$38="pvp",15,MAX(0.1,Skills!E13-IF(Skills!F13=TRUE,Inputs!$B$32,0)))*(1-IF(AND(ArtifactsInput!$M$27,Inputs!$B$4="Chapter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IFERROR(1/(IF(Inputs!$B$38="pvp",15,MAX(0.1,Skills!E14-IF(Skills!F14=TRUE,Inputs!$B$32,0)))*(1-IF(AND(ArtifactsInput!$M$27,Inputs!$B$4="Chapter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IFERROR(1/(IF(Inputs!$B$38="pvp",15,MAX(0.1,Skills!E15-IF(Skills!F15=TRUE,Inputs!$B$32,0)))*(1-IF(AND(ArtifactsInput!$M$27,Inputs!$B$4="Chapter Hunt"),CHOOSE(ArtifactsInput!$N$27+1,20,24,28,32,36,40),0)/100)),0)</f>
        <v/>
      </c>
      <c r="R2637">
        <f>IF(AND(Inputs!$B$38&lt;&gt;"pvp",Inputs!$B$43&gt;0),IF(MAX(0,Inputs!$B$43-B2660)&lt;=0,0,(INT(MAX(0,Inputs!$B$43-B2660)/(IF(Inputs!$B$38="pvp",15,MAX(0.1,Skills!E15-IF(Skills!F15=TRUE,Inputs!$B$32,0)))*(1-IF(AND(ArtifactsInput!$M$27,Inputs!$B$4="Chapter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IFERROR(1/(IF(Inputs!$B$38="pvp",15,MAX(0.1,Skills!E16-IF(Skills!F16=TRUE,Inputs!$B$32,0)))*(1-IF(AND(ArtifactsInput!$M$27,Inputs!$B$4="Chapter Hunt"),CHOOSE(ArtifactsInput!$N$27+1,20,24,28,32,36,40),0)/100)),0)</f>
        <v/>
      </c>
      <c r="R2638">
        <f>IF(AND(Inputs!$B$38&lt;&gt;"pvp",Inputs!$B$43&gt;0),IF(MAX(0,Inputs!$B$43-B2660)&lt;=0,0,(INT(MAX(0,Inputs!$B$43-B2660)/(IF(Inputs!$B$38="pvp",15,MAX(0.1,Skills!E16-IF(Skills!F16=TRUE,Inputs!$B$32,0)))*(1-IF(AND(ArtifactsInput!$M$27,Inputs!$B$4="Chapter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IFERROR(1/(IF(Inputs!$B$38="pvp",15,MAX(0.1,Skills!E17-IF(Skills!F17=TRUE,Inputs!$B$32,0)))*(1-IF(AND(ArtifactsInput!$M$27,Inputs!$B$4="Chapter Hunt"),CHOOSE(ArtifactsInput!$N$27+1,20,24,28,32,36,40),0)/100)),0)</f>
        <v/>
      </c>
      <c r="R2639">
        <f>IF(AND(Inputs!$B$38&lt;&gt;"pvp",Inputs!$B$43&gt;0),IF(Inputs!$B$43&lt;=0,0,(INT(Inputs!$B$43/(IF(Inputs!$B$38="pvp",15,MAX(0.1,Skills!E17-IF(Skills!F17=TRUE,Inputs!$B$32,0)))*(1-IF(AND(ArtifactsInput!$M$27,Inputs!$B$4="Chapter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IFERROR(1/(IF(Inputs!$B$38="pvp",15,MAX(0.1,Skills!E18-IF(Skills!F18=TRUE,Inputs!$B$32,0)))*(1-IF(AND(ArtifactsInput!$M$27,Inputs!$B$4="Chapter Hunt"),CHOOSE(ArtifactsInput!$N$27+1,20,24,28,32,36,40),0)/100)),0)</f>
        <v/>
      </c>
      <c r="R2640">
        <f>IF(AND(Inputs!$B$38&lt;&gt;"pvp",Inputs!$B$43&gt;0),IF(Inputs!$B$43&lt;=0,0,(INT(Inputs!$B$43/(IF(Inputs!$B$38="pvp",15,MAX(0.1,Skills!E18-IF(Skills!F18=TRUE,Inputs!$B$32,0)))*(1-IF(AND(ArtifactsInput!$M$27,Inputs!$B$4="Chapter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IFERROR(1/(IF(Inputs!$B$38="pvp",15,MAX(0.1,Skills!E19-IF(Skills!F19=TRUE,Inputs!$B$32,0)))*(1-IF(AND(ArtifactsInput!$M$27,Inputs!$B$4="Chapter Hunt"),CHOOSE(ArtifactsInput!$N$27+1,20,24,28,32,36,40),0)/100)),0)</f>
        <v/>
      </c>
      <c r="R2641">
        <f>IF(AND(Inputs!$B$38&lt;&gt;"pvp",Inputs!$B$43&gt;0),IF(Inputs!$B$43&lt;=0,0,(INT(Inputs!$B$43/(IF(Inputs!$B$38="pvp",15,MAX(0.1,Skills!E19-IF(Skills!F19=TRUE,Inputs!$B$32,0)))*(1-IF(AND(ArtifactsInput!$M$27,Inputs!$B$4="Chapter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IFERROR(1/(IF(Inputs!$B$38="pvp",15,MAX(0.1,Skills!E20-IF(Skills!F20=TRUE,Inputs!$B$32,0)))*(1-IF(AND(ArtifactsInput!$M$27,Inputs!$B$4="Chapter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IFERROR(1/(IF(Inputs!$B$38="pvp",15,MAX(0.1,Skills!E21-IF(Skills!F21=TRUE,Inputs!$B$32,0)))*(1-IF(AND(ArtifactsInput!$M$27,Inputs!$B$4="Chapter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IFERROR(1/(IF(Inputs!$B$38="pvp",15,MAX(0.1,Skills!E22-IF(Skills!F22=TRUE,Inputs!$B$32,0)))*(1-IF(AND(ArtifactsInput!$M$27,Inputs!$B$4="Chapter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IFERROR(1/(IF(Inputs!$B$38="pvp",15,MAX(0.1,Skills!E23-IF(Skills!F23=TRUE,Inputs!$B$32,0)))*(1-IF(AND(ArtifactsInput!$M$27,Inputs!$B$4="Chapter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IFERROR(1/(IF(Inputs!$B$38="pvp",15,MAX(0.1,Skills!E24-IF(Skills!F24=TRUE,Inputs!$B$32,0)))*(1-IF(AND(ArtifactsInput!$M$27,Inputs!$B$4="Chapter Hunt"),CHOOSE(ArtifactsInput!$N$27+1,20,24,28,32,36,40),0)/100)),0)</f>
        <v/>
      </c>
      <c r="R2646">
        <f>IF(AND(Inputs!$B$38&lt;&gt;"pvp",Inputs!$B$43&gt;0),IF(MAX(0,Inputs!$B$43-B2660)&lt;=0,0,(INT(MAX(0,Inputs!$B$43-B2660)/(IF(Inputs!$B$38="pvp",15,MAX(0.1,Skills!E24-IF(Skills!F24=TRUE,Inputs!$B$32,0)))*(1-IF(AND(ArtifactsInput!$M$27,Inputs!$B$4="Chapter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IFERROR(1/(IF(Inputs!$B$38="pvp",15,MAX(0.1,Skills!E25-IF(Skills!F25=TRUE,Inputs!$B$32,0)))*(1-IF(AND(ArtifactsInput!$M$27,Inputs!$B$4="Chapter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IFERROR(1/(IF(Inputs!$B$38="pvp",15,MAX(0.1,Skills!E26-IF(Skills!F26=TRUE,Inputs!$B$32,0)))*(1-IF(AND(ArtifactsInput!$M$27,Inputs!$B$4="Chapter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IFERROR(1/(IF(Inputs!$B$38="pvp",15,MAX(0.1,Skills!E27-IF(Skills!F27=TRUE,Inputs!$B$32,0)))*(1-IF(AND(ArtifactsInput!$M$27,Inputs!$B$4="Chapter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IFERROR(1/(IF(Inputs!$B$38="pvp",15,MAX(0.1,Skills!E28-IF(Skills!F28=TRUE,Inputs!$B$32,0)))*(1-IF(AND(ArtifactsInput!$M$27,Inputs!$B$4="Chapter Hunt"),CHOOSE(ArtifactsInput!$N$27+1,20,24,28,32,36,40),0)/100)),0)</f>
        <v/>
      </c>
      <c r="R2650">
        <f>IF(AND(Inputs!$B$38&lt;&gt;"pvp",Inputs!$B$43&gt;0),IF(MAX(0,Inputs!$B$43-B2660)&lt;=0,0,(INT(MAX(0,Inputs!$B$43-B2660)/(IF(Inputs!$B$38="pvp",15,MAX(0.1,Skills!E28-IF(Skills!F28=TRUE,Inputs!$B$32,0)))*(1-IF(AND(ArtifactsInput!$M$27,Inputs!$B$4="Chapter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Skills!T6*(1+((Inputs!$B$34+(ArtifactsInput!$M$7-ArtifactsInput!$M$7)*CHOOSE(ArtifactsInput!$N$7+1,6,7.2,8.4,9.6,10.8,12))+IF(Inputs!$B$3&gt;=117,F2647,0))/100))+MIN((Skills!T6*(1+((Inputs!$B$34+(ArtifactsInput!$M$7-ArtifactsInput!$M$7)*CHOOSE(ArtifactsInput!$N$7+1,6,7.2,8.4,9.6,10.8,12))+IF(Inputs!$B$3&gt;=117,F2647,0))/100)),MAX(0,Inputs!$B$43-((R2628-1)*Skills!E6))))/Inputs!$B$43),IF(Inputs!$B$38="pvp",MIN((Skills!T6*(1+((Inputs!$B$34+(ArtifactsInput!$M$7-ArtifactsInput!$M$7)*CHOOSE(ArtifactsInput!$N$7+1,6,7.2,8.4,9.6,10.8,12))+IF(Inputs!$B$3&gt;=117,F2647,0))/100)),15)/15,(Skills!T6*(1+((Inputs!$B$34+(ArtifactsInput!$M$7-ArtifactsInput!$M$7)*CHOOSE(ArtifactsInput!$N$7+1,6,7.2,8.4,9.6,10.8,12))+IF(Inputs!$B$3&gt;=117,F2647,0))/100))/Skills!E6))+F2639*IF(AND(Inputs!$B$38&lt;&gt;"pvp",Inputs!$B$43&gt;0),(((R2639-1)*(Skills!T17*(1+((Inputs!$B$34+(ArtifactsInput!$M$7-ArtifactsInput!$M$7)*CHOOSE(ArtifactsInput!$N$7+1,6,7.2,8.4,9.6,10.8,12))+IF(Inputs!$B$3&gt;=117,F2647,0))/100))+MIN((Skills!T17*(1+((Inputs!$B$34+(ArtifactsInput!$M$7-ArtifactsInput!$M$7)*CHOOSE(ArtifactsInput!$N$7+1,6,7.2,8.4,9.6,10.8,12))+IF(Inputs!$B$3&gt;=117,F2647,0))/100)),MAX(0,Inputs!$B$43-((R2639-1)*Skills!E17))))/Inputs!$B$43),IF(Inputs!$B$38="pvp",MIN((Skills!T17*(1+((Inputs!$B$34+(ArtifactsInput!$M$7-ArtifactsInput!$M$7)*CHOOSE(ArtifactsInput!$N$7+1,6,7.2,8.4,9.6,10.8,12))+IF(Inputs!$B$3&gt;=117,F2647,0))/100)),15)/15,(Skills!T17*(1+((Inputs!$B$34+(ArtifactsInput!$M$7-ArtifactsInput!$M$7)*CHOOSE(ArtifactsInput!$N$7+1,6,7.2,8.4,9.6,10.8,12))+IF(Inputs!$B$3&gt;=117,F2647,0)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Skills!T19*(1+((Inputs!$B$34+(ArtifactsInput!$M$7-ArtifactsInput!$M$7)*CHOOSE(ArtifactsInput!$N$7+1,6,7.2,8.4,9.6,10.8,12))+IF(Inputs!$B$3&gt;=117,F2647,0))/100))+MIN((Skills!T19*(1+((Inputs!$B$34+(ArtifactsInput!$M$7-ArtifactsInput!$M$7)*CHOOSE(ArtifactsInput!$N$7+1,6,7.2,8.4,9.6,10.8,12))+IF(Inputs!$B$3&gt;=117,F2647,0))/100)),MAX(0,Inputs!$B$43-((R2641-1)*Skills!E19))))/Inputs!$B$43),IF(Inputs!$B$38="pvp",MIN((Skills!T19*(1+((Inputs!$B$34+(ArtifactsInput!$M$7-ArtifactsInput!$M$7)*CHOOSE(ArtifactsInput!$N$7+1,6,7.2,8.4,9.6,10.8,12))+IF(Inputs!$B$3&gt;=117,F2647,0))/100)),15)/15,(Skills!T19*(1+((Inputs!$B$34+(ArtifactsInput!$M$7-ArtifactsInput!$M$7)*CHOOSE(ArtifactsInput!$N$7+1,6,7.2,8.4,9.6,10.8,12))+IF(Inputs!$B$3&gt;=117,F2647,0))/100))/Skills!E19))/100),1)</f>
        <v/>
      </c>
    </row>
    <row r="2655">
      <c r="A2655" t="inlineStr">
        <is>
          <t>Attack Speed Buff Bonus % (Nimble Feet, averaged)</t>
        </is>
      </c>
      <c r="B2655">
        <f>F2640*IF(AND(Inputs!$B$38&lt;&gt;"pvp",Inputs!$B$43&gt;0),(((R2640-1)*(Skills!T18*(1+((Inputs!$B$34+(ArtifactsInput!$M$7-ArtifactsInput!$M$7)*CHOOSE(ArtifactsInput!$N$7+1,6,7.2,8.4,9.6,10.8,12))+IF(Inputs!$B$3&gt;=117,F2647,0))/100))+MIN((Skills!T18*(1+((Inputs!$B$34+(ArtifactsInput!$M$7-ArtifactsInput!$M$7)*CHOOSE(ArtifactsInput!$N$7+1,6,7.2,8.4,9.6,10.8,12))+IF(Inputs!$B$3&gt;=117,F2647,0))/100)),MAX(0,Inputs!$B$43-((R2640-1)*Skills!E18))))/Inputs!$B$43),IF(Inputs!$B$38="pvp",MIN((Skills!T18*(1+((Inputs!$B$34+(ArtifactsInput!$M$7-ArtifactsInput!$M$7)*CHOOSE(ArtifactsInput!$N$7+1,6,7.2,8.4,9.6,10.8,12))+IF(Inputs!$B$3&gt;=117,F2647,0))/100)),15)/15,(Skills!T18*(1+((Inputs!$B$34+(ArtifactsInput!$M$7-ArtifactsInput!$M$7)*CHOOSE(ArtifactsInput!$N$7+1,6,7.2,8.4,9.6,10.8,12))+IF(Inputs!$B$3&gt;=117,F2647,0))/100))/Skills!E18))</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IFERROR(1/(IF(Inputs!$B$38="pvp",15,MAX(0.1,Skills!E2-IF(Skills!F2=TRUE,Inputs!$B$32,0)))*(1-IF(AND(ArtifactsInput!$M$27,Inputs!$B$4="Chapter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IFERROR(1/(IF(Inputs!$B$38="pvp",15,MAX(0.1,Skills!E3-IF(Skills!F3=TRUE,Inputs!$B$32,0)))*(1-IF(AND(ArtifactsInput!$M$27,Inputs!$B$4="Chapter Hunt"),CHOOSE(ArtifactsInput!$N$27+1,20,24,28,32,36,40),0)/100)),0)</f>
        <v/>
      </c>
      <c r="R2669">
        <f>IF(AND(Inputs!$B$38&lt;&gt;"pvp",Inputs!$B$43&gt;0),IF(MAX(0,Inputs!$B$43-B2704)&lt;=0,0,(INT(MAX(0,Inputs!$B$43-B2704)/(IF(Inputs!$B$38="pvp",15,MAX(0.1,Skills!E3-IF(Skills!F3=TRUE,Inputs!$B$32,0)))*(1-IF(AND(ArtifactsInput!$M$27,Inputs!$B$4="Chapter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IFERROR(1/(IF(Inputs!$B$38="pvp",15,MAX(0.1,Skills!E4-IF(Skills!F4=TRUE,Inputs!$B$32,0)))*(1-IF(AND(ArtifactsInput!$M$27,Inputs!$B$4="Chapter Hunt"),CHOOSE(ArtifactsInput!$N$27+1,20,24,28,32,36,40),0)/100)),0)</f>
        <v/>
      </c>
      <c r="R2670">
        <f>IF(AND(Inputs!$B$38&lt;&gt;"pvp",Inputs!$B$43&gt;0),IF(MAX(0,Inputs!$B$43-B2704)&lt;=0,0,(INT(MAX(0,Inputs!$B$43-B2704)/(IF(Inputs!$B$38="pvp",15,MAX(0.1,Skills!E4-IF(Skills!F4=TRUE,Inputs!$B$32,0)))*(1-IF(AND(ArtifactsInput!$M$27,Inputs!$B$4="Chapter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IFERROR(1/(IF(Inputs!$B$38="pvp",15,MAX(0.1,Skills!E5-IF(Skills!F5=TRUE,Inputs!$B$32,0)))*(1-IF(AND(ArtifactsInput!$M$27,Inputs!$B$4="Chapter Hunt"),CHOOSE(ArtifactsInput!$N$27+1,20,24,28,32,36,40),0)/100)),0)</f>
        <v/>
      </c>
      <c r="R2671">
        <f>IF(AND(Inputs!$B$38&lt;&gt;"pvp",Inputs!$B$43&gt;0),IF(MAX(0,Inputs!$B$43-B2704)&lt;=0,0,(INT(MAX(0,Inputs!$B$43-B2704)/(IF(Inputs!$B$38="pvp",15,MAX(0.1,Skills!E5-IF(Skills!F5=TRUE,Inputs!$B$32,0)))*(1-IF(AND(ArtifactsInput!$M$27,Inputs!$B$4="Chapter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IFERROR(1/(IF(Inputs!$B$38="pvp",15,MAX(0.1,Skills!E6-IF(Skills!F6=TRUE,Inputs!$B$32,0)))*(1-IF(AND(ArtifactsInput!$M$27,Inputs!$B$4="Chapter Hunt"),CHOOSE(ArtifactsInput!$N$27+1,20,24,28,32,36,40),0)/100)),0)</f>
        <v/>
      </c>
      <c r="R2672">
        <f>IF(AND(Inputs!$B$38&lt;&gt;"pvp",Inputs!$B$43&gt;0),IF(Inputs!$B$43&lt;=0,0,(INT(Inputs!$B$43/(IF(Inputs!$B$38="pvp",15,MAX(0.1,Skills!E6-IF(Skills!F6=TRUE,Inputs!$B$32,0)))*(1-IF(AND(ArtifactsInput!$M$27,Inputs!$B$4="Chapter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IFERROR(1/(IF(Inputs!$B$38="pvp",15,MAX(0.1,Skills!E7-IF(Skills!F7=TRUE,Inputs!$B$32,0)))*(1-IF(AND(ArtifactsInput!$M$27,Inputs!$B$4="Chapter Hunt"),CHOOSE(ArtifactsInput!$N$27+1,20,24,28,32,36,40),0)/100)),0)</f>
        <v/>
      </c>
      <c r="R2673">
        <f>IF(AND(Inputs!$B$38&lt;&gt;"pvp",Inputs!$B$43&gt;0),IF(MAX(0,Inputs!$B$43-B2704)&lt;=0,0,(INT(MAX(0,Inputs!$B$43-B2704)/(IF(Inputs!$B$38="pvp",15,MAX(0.1,Skills!E7-IF(Skills!F7=TRUE,Inputs!$B$32,0)))*(1-IF(AND(ArtifactsInput!$M$27,Inputs!$B$4="Chapter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IFERROR(1/(IF(Inputs!$B$38="pvp",15,MAX(0.1,Skills!E8-IF(Skills!F8=TRUE,Inputs!$B$32,0)))*(1-IF(AND(ArtifactsInput!$M$27,Inputs!$B$4="Chapter Hunt"),CHOOSE(ArtifactsInput!$N$27+1,20,24,28,32,36,40),0)/100)),0)</f>
        <v/>
      </c>
      <c r="R2674">
        <f>IF(AND(Inputs!$B$38&lt;&gt;"pvp",Inputs!$B$43&gt;0),IF(MAX(0,Inputs!$B$43-B2704)&lt;=0,0,(INT(MAX(0,Inputs!$B$43-B2704)/(IF(Inputs!$B$38="pvp",15,MAX(0.1,Skills!E8-IF(Skills!F8=TRUE,Inputs!$B$32,0)))*(1-IF(AND(ArtifactsInput!$M$27,Inputs!$B$4="Chapter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IFERROR(1/(IF(Inputs!$B$38="pvp",15,MAX(0.1,Skills!E9-IF(Skills!F7=TRUE,Inputs!$B$32,0)))*(1-IF(AND(ArtifactsInput!$M$27,Inputs!$B$4="Chapter Hunt"),CHOOSE(ArtifactsInput!$N$27+1,20,24,28,32,36,40),0)/100)),0)</f>
        <v/>
      </c>
      <c r="R2675">
        <f>IF(AND(Inputs!$B$38&lt;&gt;"pvp",Inputs!$B$43&gt;0),IF(MAX(0,Inputs!$B$43-B2704)&lt;=0,0,(INT(MAX(0,Inputs!$B$43-B2704)/(IF(Inputs!$B$38="pvp",15,MAX(0.1,Skills!E9-IF(Skills!F7=TRUE,Inputs!$B$32,0)))*(1-IF(AND(ArtifactsInput!$M$27,Inputs!$B$4="Chapter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IFERROR(1/(IF(Inputs!$B$38="pvp",15,MAX(0.1,Skills!E10-IF(Skills!F10=TRUE,Inputs!$B$32,0)))*(1-IF(AND(ArtifactsInput!$M$27,Inputs!$B$4="Chapter Hunt"),CHOOSE(ArtifactsInput!$N$27+1,20,24,28,32,36,40),0)/100)),0)</f>
        <v/>
      </c>
      <c r="R2676">
        <f>IF(AND(Inputs!$B$38&lt;&gt;"pvp",Inputs!$B$43&gt;0),IF(MAX(0,Inputs!$B$43-B2704)&lt;=0,0,(INT(MAX(0,Inputs!$B$43-B2704)/(IF(Inputs!$B$38="pvp",15,MAX(0.1,Skills!E10-IF(Skills!F10=TRUE,Inputs!$B$32,0)))*(1-IF(AND(ArtifactsInput!$M$27,Inputs!$B$4="Chapter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IFERROR(1/(IF(Inputs!$B$38="pvp",15,MAX(0.1,Skills!E11-IF(Skills!F11=TRUE,Inputs!$B$32,0)))*(1-IF(AND(ArtifactsInput!$M$27,Inputs!$B$4="Chapter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IFERROR(1/(IF(Inputs!$B$38="pvp",15,MAX(0.1,Skills!E12-IF(Skills!F12=TRUE,Inputs!$B$32,0)))*(1-IF(AND(ArtifactsInput!$M$27,Inputs!$B$4="Chapter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IFERROR(1/(IF(Inputs!$B$38="pvp",15,MAX(0.1,Skills!E13-IF(Skills!F13=TRUE,Inputs!$B$32,0)))*(1-IF(AND(ArtifactsInput!$M$27,Inputs!$B$4="Chapter Hunt"),CHOOSE(ArtifactsInput!$N$27+1,20,24,28,32,36,40),0)/100)),0)</f>
        <v/>
      </c>
      <c r="R2679">
        <f>IF(AND(Inputs!$B$38&lt;&gt;"pvp",Inputs!$B$43&gt;0),IF(MAX(0,Inputs!$B$43-B2704)&lt;=0,0,(INT(MAX(0,Inputs!$B$43-B2704)/(IF(Inputs!$B$38="pvp",15,MAX(0.1,Skills!E13-IF(Skills!F13=TRUE,Inputs!$B$32,0)))*(1-IF(AND(ArtifactsInput!$M$27,Inputs!$B$4="Chapter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IFERROR(1/(IF(Inputs!$B$38="pvp",15,MAX(0.1,Skills!E14-IF(Skills!F14=TRUE,Inputs!$B$32,0)))*(1-IF(AND(ArtifactsInput!$M$27,Inputs!$B$4="Chapter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IFERROR(1/(IF(Inputs!$B$38="pvp",15,MAX(0.1,Skills!E15-IF(Skills!F15=TRUE,Inputs!$B$32,0)))*(1-IF(AND(ArtifactsInput!$M$27,Inputs!$B$4="Chapter Hunt"),CHOOSE(ArtifactsInput!$N$27+1,20,24,28,32,36,40),0)/100)),0)</f>
        <v/>
      </c>
      <c r="R2681">
        <f>IF(AND(Inputs!$B$38&lt;&gt;"pvp",Inputs!$B$43&gt;0),IF(MAX(0,Inputs!$B$43-B2704)&lt;=0,0,(INT(MAX(0,Inputs!$B$43-B2704)/(IF(Inputs!$B$38="pvp",15,MAX(0.1,Skills!E15-IF(Skills!F15=TRUE,Inputs!$B$32,0)))*(1-IF(AND(ArtifactsInput!$M$27,Inputs!$B$4="Chapter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IFERROR(1/(IF(Inputs!$B$38="pvp",15,MAX(0.1,Skills!E16-IF(Skills!F16=TRUE,Inputs!$B$32,0)))*(1-IF(AND(ArtifactsInput!$M$27,Inputs!$B$4="Chapter Hunt"),CHOOSE(ArtifactsInput!$N$27+1,20,24,28,32,36,40),0)/100)),0)</f>
        <v/>
      </c>
      <c r="R2682">
        <f>IF(AND(Inputs!$B$38&lt;&gt;"pvp",Inputs!$B$43&gt;0),IF(MAX(0,Inputs!$B$43-B2704)&lt;=0,0,(INT(MAX(0,Inputs!$B$43-B2704)/(IF(Inputs!$B$38="pvp",15,MAX(0.1,Skills!E16-IF(Skills!F16=TRUE,Inputs!$B$32,0)))*(1-IF(AND(ArtifactsInput!$M$27,Inputs!$B$4="Chapter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IFERROR(1/(IF(Inputs!$B$38="pvp",15,MAX(0.1,Skills!E17-IF(Skills!F17=TRUE,Inputs!$B$32,0)))*(1-IF(AND(ArtifactsInput!$M$27,Inputs!$B$4="Chapter Hunt"),CHOOSE(ArtifactsInput!$N$27+1,20,24,28,32,36,40),0)/100)),0)</f>
        <v/>
      </c>
      <c r="R2683">
        <f>IF(AND(Inputs!$B$38&lt;&gt;"pvp",Inputs!$B$43&gt;0),IF(Inputs!$B$43&lt;=0,0,(INT(Inputs!$B$43/(IF(Inputs!$B$38="pvp",15,MAX(0.1,Skills!E17-IF(Skills!F17=TRUE,Inputs!$B$32,0)))*(1-IF(AND(ArtifactsInput!$M$27,Inputs!$B$4="Chapter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IFERROR(1/(IF(Inputs!$B$38="pvp",15,MAX(0.1,Skills!E18-IF(Skills!F18=TRUE,Inputs!$B$32,0)))*(1-IF(AND(ArtifactsInput!$M$27,Inputs!$B$4="Chapter Hunt"),CHOOSE(ArtifactsInput!$N$27+1,20,24,28,32,36,40),0)/100)),0)</f>
        <v/>
      </c>
      <c r="R2684">
        <f>IF(AND(Inputs!$B$38&lt;&gt;"pvp",Inputs!$B$43&gt;0),IF(Inputs!$B$43&lt;=0,0,(INT(Inputs!$B$43/(IF(Inputs!$B$38="pvp",15,MAX(0.1,Skills!E18-IF(Skills!F18=TRUE,Inputs!$B$32,0)))*(1-IF(AND(ArtifactsInput!$M$27,Inputs!$B$4="Chapter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IFERROR(1/(IF(Inputs!$B$38="pvp",15,MAX(0.1,Skills!E19-IF(Skills!F19=TRUE,Inputs!$B$32,0)))*(1-IF(AND(ArtifactsInput!$M$27,Inputs!$B$4="Chapter Hunt"),CHOOSE(ArtifactsInput!$N$27+1,20,24,28,32,36,40),0)/100)),0)</f>
        <v/>
      </c>
      <c r="R2685">
        <f>IF(AND(Inputs!$B$38&lt;&gt;"pvp",Inputs!$B$43&gt;0),IF(Inputs!$B$43&lt;=0,0,(INT(Inputs!$B$43/(IF(Inputs!$B$38="pvp",15,MAX(0.1,Skills!E19-IF(Skills!F19=TRUE,Inputs!$B$32,0)))*(1-IF(AND(ArtifactsInput!$M$27,Inputs!$B$4="Chapter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IFERROR(1/(IF(Inputs!$B$38="pvp",15,MAX(0.1,Skills!E20-IF(Skills!F20=TRUE,Inputs!$B$32,0)))*(1-IF(AND(ArtifactsInput!$M$27,Inputs!$B$4="Chapter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IFERROR(1/(IF(Inputs!$B$38="pvp",15,MAX(0.1,Skills!E21-IF(Skills!F21=TRUE,Inputs!$B$32,0)))*(1-IF(AND(ArtifactsInput!$M$27,Inputs!$B$4="Chapter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IFERROR(1/(IF(Inputs!$B$38="pvp",15,MAX(0.1,Skills!E22-IF(Skills!F22=TRUE,Inputs!$B$32,0)))*(1-IF(AND(ArtifactsInput!$M$27,Inputs!$B$4="Chapter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IFERROR(1/(IF(Inputs!$B$38="pvp",15,MAX(0.1,Skills!E23-IF(Skills!F23=TRUE,Inputs!$B$32,0)))*(1-IF(AND(ArtifactsInput!$M$27,Inputs!$B$4="Chapter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IFERROR(1/(IF(Inputs!$B$38="pvp",15,MAX(0.1,Skills!E24-IF(Skills!F24=TRUE,Inputs!$B$32,0)))*(1-IF(AND(ArtifactsInput!$M$27,Inputs!$B$4="Chapter Hunt"),CHOOSE(ArtifactsInput!$N$27+1,20,24,28,32,36,40),0)/100)),0)</f>
        <v/>
      </c>
      <c r="R2690">
        <f>IF(AND(Inputs!$B$38&lt;&gt;"pvp",Inputs!$B$43&gt;0),IF(MAX(0,Inputs!$B$43-B2704)&lt;=0,0,(INT(MAX(0,Inputs!$B$43-B2704)/(IF(Inputs!$B$38="pvp",15,MAX(0.1,Skills!E24-IF(Skills!F24=TRUE,Inputs!$B$32,0)))*(1-IF(AND(ArtifactsInput!$M$27,Inputs!$B$4="Chapter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IFERROR(1/(IF(Inputs!$B$38="pvp",15,MAX(0.1,Skills!E25-IF(Skills!F25=TRUE,Inputs!$B$32,0)))*(1-IF(AND(ArtifactsInput!$M$27,Inputs!$B$4="Chapter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IFERROR(1/(IF(Inputs!$B$38="pvp",15,MAX(0.1,Skills!E26-IF(Skills!F26=TRUE,Inputs!$B$32,0)))*(1-IF(AND(ArtifactsInput!$M$27,Inputs!$B$4="Chapter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IFERROR(1/(IF(Inputs!$B$38="pvp",15,MAX(0.1,Skills!E27-IF(Skills!F27=TRUE,Inputs!$B$32,0)))*(1-IF(AND(ArtifactsInput!$M$27,Inputs!$B$4="Chapter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IFERROR(1/(IF(Inputs!$B$38="pvp",15,MAX(0.1,Skills!E28-IF(Skills!F28=TRUE,Inputs!$B$32,0)))*(1-IF(AND(ArtifactsInput!$M$27,Inputs!$B$4="Chapter Hunt"),CHOOSE(ArtifactsInput!$N$27+1,20,24,28,32,36,40),0)/100)),0)</f>
        <v/>
      </c>
      <c r="R2694">
        <f>IF(AND(Inputs!$B$38&lt;&gt;"pvp",Inputs!$B$43&gt;0),IF(MAX(0,Inputs!$B$43-B2704)&lt;=0,0,(INT(MAX(0,Inputs!$B$43-B2704)/(IF(Inputs!$B$38="pvp",15,MAX(0.1,Skills!E28-IF(Skills!F28=TRUE,Inputs!$B$32,0)))*(1-IF(AND(ArtifactsInput!$M$27,Inputs!$B$4="Chapter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Skills!T6*(1+((Inputs!$B$34+(ArtifactsInput!$M$7-ArtifactsInput!$M$7)*CHOOSE(ArtifactsInput!$N$7+1,6,7.2,8.4,9.6,10.8,12))+IF(Inputs!$B$3&gt;=117,F2691,0))/100))+MIN((Skills!T6*(1+((Inputs!$B$34+(ArtifactsInput!$M$7-ArtifactsInput!$M$7)*CHOOSE(ArtifactsInput!$N$7+1,6,7.2,8.4,9.6,10.8,12))+IF(Inputs!$B$3&gt;=117,F2691,0))/100)),MAX(0,Inputs!$B$43-((R2672-1)*Skills!E6))))/Inputs!$B$43),IF(Inputs!$B$38="pvp",MIN((Skills!T6*(1+((Inputs!$B$34+(ArtifactsInput!$M$7-ArtifactsInput!$M$7)*CHOOSE(ArtifactsInput!$N$7+1,6,7.2,8.4,9.6,10.8,12))+IF(Inputs!$B$3&gt;=117,F2691,0))/100)),15)/15,(Skills!T6*(1+((Inputs!$B$34+(ArtifactsInput!$M$7-ArtifactsInput!$M$7)*CHOOSE(ArtifactsInput!$N$7+1,6,7.2,8.4,9.6,10.8,12))+IF(Inputs!$B$3&gt;=117,F2691,0))/100))/Skills!E6))+F2683*IF(AND(Inputs!$B$38&lt;&gt;"pvp",Inputs!$B$43&gt;0),(((R2683-1)*(Skills!T17*(1+((Inputs!$B$34+(ArtifactsInput!$M$7-ArtifactsInput!$M$7)*CHOOSE(ArtifactsInput!$N$7+1,6,7.2,8.4,9.6,10.8,12))+IF(Inputs!$B$3&gt;=117,F2691,0))/100))+MIN((Skills!T17*(1+((Inputs!$B$34+(ArtifactsInput!$M$7-ArtifactsInput!$M$7)*CHOOSE(ArtifactsInput!$N$7+1,6,7.2,8.4,9.6,10.8,12))+IF(Inputs!$B$3&gt;=117,F2691,0))/100)),MAX(0,Inputs!$B$43-((R2683-1)*Skills!E17))))/Inputs!$B$43),IF(Inputs!$B$38="pvp",MIN((Skills!T17*(1+((Inputs!$B$34+(ArtifactsInput!$M$7-ArtifactsInput!$M$7)*CHOOSE(ArtifactsInput!$N$7+1,6,7.2,8.4,9.6,10.8,12))+IF(Inputs!$B$3&gt;=117,F2691,0))/100)),15)/15,(Skills!T17*(1+((Inputs!$B$34+(ArtifactsInput!$M$7-ArtifactsInput!$M$7)*CHOOSE(ArtifactsInput!$N$7+1,6,7.2,8.4,9.6,10.8,12))+IF(Inputs!$B$3&gt;=117,F2691,0)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Skills!T19*(1+((Inputs!$B$34+(ArtifactsInput!$M$7-ArtifactsInput!$M$7)*CHOOSE(ArtifactsInput!$N$7+1,6,7.2,8.4,9.6,10.8,12))+IF(Inputs!$B$3&gt;=117,F2691,0))/100))+MIN((Skills!T19*(1+((Inputs!$B$34+(ArtifactsInput!$M$7-ArtifactsInput!$M$7)*CHOOSE(ArtifactsInput!$N$7+1,6,7.2,8.4,9.6,10.8,12))+IF(Inputs!$B$3&gt;=117,F2691,0))/100)),MAX(0,Inputs!$B$43-((R2685-1)*Skills!E19))))/Inputs!$B$43),IF(Inputs!$B$38="pvp",MIN((Skills!T19*(1+((Inputs!$B$34+(ArtifactsInput!$M$7-ArtifactsInput!$M$7)*CHOOSE(ArtifactsInput!$N$7+1,6,7.2,8.4,9.6,10.8,12))+IF(Inputs!$B$3&gt;=117,F2691,0))/100)),15)/15,(Skills!T19*(1+((Inputs!$B$34+(ArtifactsInput!$M$7-ArtifactsInput!$M$7)*CHOOSE(ArtifactsInput!$N$7+1,6,7.2,8.4,9.6,10.8,12))+IF(Inputs!$B$3&gt;=117,F2691,0))/100))/Skills!E19))/100),1)</f>
        <v/>
      </c>
    </row>
    <row r="2699">
      <c r="A2699" t="inlineStr">
        <is>
          <t>Attack Speed Buff Bonus % (Nimble Feet, averaged)</t>
        </is>
      </c>
      <c r="B2699">
        <f>F2684*IF(AND(Inputs!$B$38&lt;&gt;"pvp",Inputs!$B$43&gt;0),(((R2684-1)*(Skills!T18*(1+((Inputs!$B$34+(ArtifactsInput!$M$7-ArtifactsInput!$M$7)*CHOOSE(ArtifactsInput!$N$7+1,6,7.2,8.4,9.6,10.8,12))+IF(Inputs!$B$3&gt;=117,F2691,0))/100))+MIN((Skills!T18*(1+((Inputs!$B$34+(ArtifactsInput!$M$7-ArtifactsInput!$M$7)*CHOOSE(ArtifactsInput!$N$7+1,6,7.2,8.4,9.6,10.8,12))+IF(Inputs!$B$3&gt;=117,F2691,0))/100)),MAX(0,Inputs!$B$43-((R2684-1)*Skills!E18))))/Inputs!$B$43),IF(Inputs!$B$38="pvp",MIN((Skills!T18*(1+((Inputs!$B$34+(ArtifactsInput!$M$7-ArtifactsInput!$M$7)*CHOOSE(ArtifactsInput!$N$7+1,6,7.2,8.4,9.6,10.8,12))+IF(Inputs!$B$3&gt;=117,F2691,0))/100)),15)/15,(Skills!T18*(1+((Inputs!$B$34+(ArtifactsInput!$M$7-ArtifactsInput!$M$7)*CHOOSE(ArtifactsInput!$N$7+1,6,7.2,8.4,9.6,10.8,12))+IF(Inputs!$B$3&gt;=117,F2691,0))/100))/Skills!E18))</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IFERROR(1/(IF(Inputs!$B$38="pvp",15,MAX(0.1,Skills!E2-IF(Skills!F2=TRUE,Inputs!$B$32,0)))*(1-IF(AND(ArtifactsInput!$M$27,Inputs!$B$4="Chapter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IFERROR(1/(IF(Inputs!$B$38="pvp",15,MAX(0.1,Skills!E3-IF(Skills!F3=TRUE,Inputs!$B$32,0)))*(1-IF(AND(ArtifactsInput!$M$27,Inputs!$B$4="Chapter Hunt"),CHOOSE(ArtifactsInput!$N$27+1,20,24,28,32,36,40),0)/100)),0)</f>
        <v/>
      </c>
      <c r="R2713">
        <f>IF(AND(Inputs!$B$38&lt;&gt;"pvp",Inputs!$B$43&gt;0),IF(MAX(0,Inputs!$B$43-B2748)&lt;=0,0,(INT(MAX(0,Inputs!$B$43-B2748)/(IF(Inputs!$B$38="pvp",15,MAX(0.1,Skills!E3-IF(Skills!F3=TRUE,Inputs!$B$32,0)))*(1-IF(AND(ArtifactsInput!$M$27,Inputs!$B$4="Chapter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IFERROR(1/(IF(Inputs!$B$38="pvp",15,MAX(0.1,Skills!E4-IF(Skills!F4=TRUE,Inputs!$B$32,0)))*(1-IF(AND(ArtifactsInput!$M$27,Inputs!$B$4="Chapter Hunt"),CHOOSE(ArtifactsInput!$N$27+1,20,24,28,32,36,40),0)/100)),0)</f>
        <v/>
      </c>
      <c r="R2714">
        <f>IF(AND(Inputs!$B$38&lt;&gt;"pvp",Inputs!$B$43&gt;0),IF(MAX(0,Inputs!$B$43-B2748)&lt;=0,0,(INT(MAX(0,Inputs!$B$43-B2748)/(IF(Inputs!$B$38="pvp",15,MAX(0.1,Skills!E4-IF(Skills!F4=TRUE,Inputs!$B$32,0)))*(1-IF(AND(ArtifactsInput!$M$27,Inputs!$B$4="Chapter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IFERROR(1/(IF(Inputs!$B$38="pvp",15,MAX(0.1,Skills!E5-IF(Skills!F5=TRUE,Inputs!$B$32,0)))*(1-IF(AND(ArtifactsInput!$M$27,Inputs!$B$4="Chapter Hunt"),CHOOSE(ArtifactsInput!$N$27+1,20,24,28,32,36,40),0)/100)),0)</f>
        <v/>
      </c>
      <c r="R2715">
        <f>IF(AND(Inputs!$B$38&lt;&gt;"pvp",Inputs!$B$43&gt;0),IF(MAX(0,Inputs!$B$43-B2748)&lt;=0,0,(INT(MAX(0,Inputs!$B$43-B2748)/(IF(Inputs!$B$38="pvp",15,MAX(0.1,Skills!E5-IF(Skills!F5=TRUE,Inputs!$B$32,0)))*(1-IF(AND(ArtifactsInput!$M$27,Inputs!$B$4="Chapter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IFERROR(1/(IF(Inputs!$B$38="pvp",15,MAX(0.1,Skills!E6-IF(Skills!F6=TRUE,Inputs!$B$32,0)))*(1-IF(AND(ArtifactsInput!$M$27,Inputs!$B$4="Chapter Hunt"),CHOOSE(ArtifactsInput!$N$27+1,20,24,28,32,36,40),0)/100)),0)</f>
        <v/>
      </c>
      <c r="R2716">
        <f>IF(AND(Inputs!$B$38&lt;&gt;"pvp",Inputs!$B$43&gt;0),IF(Inputs!$B$43&lt;=0,0,(INT(Inputs!$B$43/(IF(Inputs!$B$38="pvp",15,MAX(0.1,Skills!E6-IF(Skills!F6=TRUE,Inputs!$B$32,0)))*(1-IF(AND(ArtifactsInput!$M$27,Inputs!$B$4="Chapter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IFERROR(1/(IF(Inputs!$B$38="pvp",15,MAX(0.1,Skills!E7-IF(Skills!F7=TRUE,Inputs!$B$32,0)))*(1-IF(AND(ArtifactsInput!$M$27,Inputs!$B$4="Chapter Hunt"),CHOOSE(ArtifactsInput!$N$27+1,20,24,28,32,36,40),0)/100)),0)</f>
        <v/>
      </c>
      <c r="R2717">
        <f>IF(AND(Inputs!$B$38&lt;&gt;"pvp",Inputs!$B$43&gt;0),IF(MAX(0,Inputs!$B$43-B2748)&lt;=0,0,(INT(MAX(0,Inputs!$B$43-B2748)/(IF(Inputs!$B$38="pvp",15,MAX(0.1,Skills!E7-IF(Skills!F7=TRUE,Inputs!$B$32,0)))*(1-IF(AND(ArtifactsInput!$M$27,Inputs!$B$4="Chapter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IFERROR(1/(IF(Inputs!$B$38="pvp",15,MAX(0.1,Skills!E8-IF(Skills!F8=TRUE,Inputs!$B$32,0)))*(1-IF(AND(ArtifactsInput!$M$27,Inputs!$B$4="Chapter Hunt"),CHOOSE(ArtifactsInput!$N$27+1,20,24,28,32,36,40),0)/100)),0)</f>
        <v/>
      </c>
      <c r="R2718">
        <f>IF(AND(Inputs!$B$38&lt;&gt;"pvp",Inputs!$B$43&gt;0),IF(MAX(0,Inputs!$B$43-B2748)&lt;=0,0,(INT(MAX(0,Inputs!$B$43-B2748)/(IF(Inputs!$B$38="pvp",15,MAX(0.1,Skills!E8-IF(Skills!F8=TRUE,Inputs!$B$32,0)))*(1-IF(AND(ArtifactsInput!$M$27,Inputs!$B$4="Chapter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IFERROR(1/(IF(Inputs!$B$38="pvp",15,MAX(0.1,Skills!E9-IF(Skills!F7=TRUE,Inputs!$B$32,0)))*(1-IF(AND(ArtifactsInput!$M$27,Inputs!$B$4="Chapter Hunt"),CHOOSE(ArtifactsInput!$N$27+1,20,24,28,32,36,40),0)/100)),0)</f>
        <v/>
      </c>
      <c r="R2719">
        <f>IF(AND(Inputs!$B$38&lt;&gt;"pvp",Inputs!$B$43&gt;0),IF(MAX(0,Inputs!$B$43-B2748)&lt;=0,0,(INT(MAX(0,Inputs!$B$43-B2748)/(IF(Inputs!$B$38="pvp",15,MAX(0.1,Skills!E9-IF(Skills!F7=TRUE,Inputs!$B$32,0)))*(1-IF(AND(ArtifactsInput!$M$27,Inputs!$B$4="Chapter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IFERROR(1/(IF(Inputs!$B$38="pvp",15,MAX(0.1,Skills!E10-IF(Skills!F10=TRUE,Inputs!$B$32,0)))*(1-IF(AND(ArtifactsInput!$M$27,Inputs!$B$4="Chapter Hunt"),CHOOSE(ArtifactsInput!$N$27+1,20,24,28,32,36,40),0)/100)),0)</f>
        <v/>
      </c>
      <c r="R2720">
        <f>IF(AND(Inputs!$B$38&lt;&gt;"pvp",Inputs!$B$43&gt;0),IF(MAX(0,Inputs!$B$43-B2748)&lt;=0,0,(INT(MAX(0,Inputs!$B$43-B2748)/(IF(Inputs!$B$38="pvp",15,MAX(0.1,Skills!E10-IF(Skills!F10=TRUE,Inputs!$B$32,0)))*(1-IF(AND(ArtifactsInput!$M$27,Inputs!$B$4="Chapter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IFERROR(1/(IF(Inputs!$B$38="pvp",15,MAX(0.1,Skills!E11-IF(Skills!F11=TRUE,Inputs!$B$32,0)))*(1-IF(AND(ArtifactsInput!$M$27,Inputs!$B$4="Chapter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IFERROR(1/(IF(Inputs!$B$38="pvp",15,MAX(0.1,Skills!E12-IF(Skills!F12=TRUE,Inputs!$B$32,0)))*(1-IF(AND(ArtifactsInput!$M$27,Inputs!$B$4="Chapter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IFERROR(1/(IF(Inputs!$B$38="pvp",15,MAX(0.1,Skills!E13-IF(Skills!F13=TRUE,Inputs!$B$32,0)))*(1-IF(AND(ArtifactsInput!$M$27,Inputs!$B$4="Chapter Hunt"),CHOOSE(ArtifactsInput!$N$27+1,20,24,28,32,36,40),0)/100)),0)</f>
        <v/>
      </c>
      <c r="R2723">
        <f>IF(AND(Inputs!$B$38&lt;&gt;"pvp",Inputs!$B$43&gt;0),IF(MAX(0,Inputs!$B$43-B2748)&lt;=0,0,(INT(MAX(0,Inputs!$B$43-B2748)/(IF(Inputs!$B$38="pvp",15,MAX(0.1,Skills!E13-IF(Skills!F13=TRUE,Inputs!$B$32,0)))*(1-IF(AND(ArtifactsInput!$M$27,Inputs!$B$4="Chapter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IFERROR(1/(IF(Inputs!$B$38="pvp",15,MAX(0.1,Skills!E14-IF(Skills!F14=TRUE,Inputs!$B$32,0)))*(1-IF(AND(ArtifactsInput!$M$27,Inputs!$B$4="Chapter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IFERROR(1/(IF(Inputs!$B$38="pvp",15,MAX(0.1,Skills!E15-IF(Skills!F15=TRUE,Inputs!$B$32,0)))*(1-IF(AND(ArtifactsInput!$M$27,Inputs!$B$4="Chapter Hunt"),CHOOSE(ArtifactsInput!$N$27+1,20,24,28,32,36,40),0)/100)),0)</f>
        <v/>
      </c>
      <c r="R2725">
        <f>IF(AND(Inputs!$B$38&lt;&gt;"pvp",Inputs!$B$43&gt;0),IF(MAX(0,Inputs!$B$43-B2748)&lt;=0,0,(INT(MAX(0,Inputs!$B$43-B2748)/(IF(Inputs!$B$38="pvp",15,MAX(0.1,Skills!E15-IF(Skills!F15=TRUE,Inputs!$B$32,0)))*(1-IF(AND(ArtifactsInput!$M$27,Inputs!$B$4="Chapter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IFERROR(1/(IF(Inputs!$B$38="pvp",15,MAX(0.1,Skills!E16-IF(Skills!F16=TRUE,Inputs!$B$32,0)))*(1-IF(AND(ArtifactsInput!$M$27,Inputs!$B$4="Chapter Hunt"),CHOOSE(ArtifactsInput!$N$27+1,20,24,28,32,36,40),0)/100)),0)</f>
        <v/>
      </c>
      <c r="R2726">
        <f>IF(AND(Inputs!$B$38&lt;&gt;"pvp",Inputs!$B$43&gt;0),IF(MAX(0,Inputs!$B$43-B2748)&lt;=0,0,(INT(MAX(0,Inputs!$B$43-B2748)/(IF(Inputs!$B$38="pvp",15,MAX(0.1,Skills!E16-IF(Skills!F16=TRUE,Inputs!$B$32,0)))*(1-IF(AND(ArtifactsInput!$M$27,Inputs!$B$4="Chapter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IFERROR(1/(IF(Inputs!$B$38="pvp",15,MAX(0.1,Skills!E17-IF(Skills!F17=TRUE,Inputs!$B$32,0)))*(1-IF(AND(ArtifactsInput!$M$27,Inputs!$B$4="Chapter Hunt"),CHOOSE(ArtifactsInput!$N$27+1,20,24,28,32,36,40),0)/100)),0)</f>
        <v/>
      </c>
      <c r="R2727">
        <f>IF(AND(Inputs!$B$38&lt;&gt;"pvp",Inputs!$B$43&gt;0),IF(Inputs!$B$43&lt;=0,0,(INT(Inputs!$B$43/(IF(Inputs!$B$38="pvp",15,MAX(0.1,Skills!E17-IF(Skills!F17=TRUE,Inputs!$B$32,0)))*(1-IF(AND(ArtifactsInput!$M$27,Inputs!$B$4="Chapter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IFERROR(1/(IF(Inputs!$B$38="pvp",15,MAX(0.1,Skills!E18-IF(Skills!F18=TRUE,Inputs!$B$32,0)))*(1-IF(AND(ArtifactsInput!$M$27,Inputs!$B$4="Chapter Hunt"),CHOOSE(ArtifactsInput!$N$27+1,20,24,28,32,36,40),0)/100)),0)</f>
        <v/>
      </c>
      <c r="R2728">
        <f>IF(AND(Inputs!$B$38&lt;&gt;"pvp",Inputs!$B$43&gt;0),IF(Inputs!$B$43&lt;=0,0,(INT(Inputs!$B$43/(IF(Inputs!$B$38="pvp",15,MAX(0.1,Skills!E18-IF(Skills!F18=TRUE,Inputs!$B$32,0)))*(1-IF(AND(ArtifactsInput!$M$27,Inputs!$B$4="Chapter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IFERROR(1/(IF(Inputs!$B$38="pvp",15,MAX(0.1,Skills!E19-IF(Skills!F19=TRUE,Inputs!$B$32,0)))*(1-IF(AND(ArtifactsInput!$M$27,Inputs!$B$4="Chapter Hunt"),CHOOSE(ArtifactsInput!$N$27+1,20,24,28,32,36,40),0)/100)),0)</f>
        <v/>
      </c>
      <c r="R2729">
        <f>IF(AND(Inputs!$B$38&lt;&gt;"pvp",Inputs!$B$43&gt;0),IF(Inputs!$B$43&lt;=0,0,(INT(Inputs!$B$43/(IF(Inputs!$B$38="pvp",15,MAX(0.1,Skills!E19-IF(Skills!F19=TRUE,Inputs!$B$32,0)))*(1-IF(AND(ArtifactsInput!$M$27,Inputs!$B$4="Chapter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IFERROR(1/(IF(Inputs!$B$38="pvp",15,MAX(0.1,Skills!E20-IF(Skills!F20=TRUE,Inputs!$B$32,0)))*(1-IF(AND(ArtifactsInput!$M$27,Inputs!$B$4="Chapter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IFERROR(1/(IF(Inputs!$B$38="pvp",15,MAX(0.1,Skills!E21-IF(Skills!F21=TRUE,Inputs!$B$32,0)))*(1-IF(AND(ArtifactsInput!$M$27,Inputs!$B$4="Chapter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IFERROR(1/(IF(Inputs!$B$38="pvp",15,MAX(0.1,Skills!E22-IF(Skills!F22=TRUE,Inputs!$B$32,0)))*(1-IF(AND(ArtifactsInput!$M$27,Inputs!$B$4="Chapter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IFERROR(1/(IF(Inputs!$B$38="pvp",15,MAX(0.1,Skills!E23-IF(Skills!F23=TRUE,Inputs!$B$32,0)))*(1-IF(AND(ArtifactsInput!$M$27,Inputs!$B$4="Chapter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IFERROR(1/(IF(Inputs!$B$38="pvp",15,MAX(0.1,Skills!E24-IF(Skills!F24=TRUE,Inputs!$B$32,0)))*(1-IF(AND(ArtifactsInput!$M$27,Inputs!$B$4="Chapter Hunt"),CHOOSE(ArtifactsInput!$N$27+1,20,24,28,32,36,40),0)/100)),0)</f>
        <v/>
      </c>
      <c r="R2734">
        <f>IF(AND(Inputs!$B$38&lt;&gt;"pvp",Inputs!$B$43&gt;0),IF(MAX(0,Inputs!$B$43-B2748)&lt;=0,0,(INT(MAX(0,Inputs!$B$43-B2748)/(IF(Inputs!$B$38="pvp",15,MAX(0.1,Skills!E24-IF(Skills!F24=TRUE,Inputs!$B$32,0)))*(1-IF(AND(ArtifactsInput!$M$27,Inputs!$B$4="Chapter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IFERROR(1/(IF(Inputs!$B$38="pvp",15,MAX(0.1,Skills!E25-IF(Skills!F25=TRUE,Inputs!$B$32,0)))*(1-IF(AND(ArtifactsInput!$M$27,Inputs!$B$4="Chapter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IFERROR(1/(IF(Inputs!$B$38="pvp",15,MAX(0.1,Skills!E26-IF(Skills!F26=TRUE,Inputs!$B$32,0)))*(1-IF(AND(ArtifactsInput!$M$27,Inputs!$B$4="Chapter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IFERROR(1/(IF(Inputs!$B$38="pvp",15,MAX(0.1,Skills!E27-IF(Skills!F27=TRUE,Inputs!$B$32,0)))*(1-IF(AND(ArtifactsInput!$M$27,Inputs!$B$4="Chapter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IFERROR(1/(IF(Inputs!$B$38="pvp",15,MAX(0.1,Skills!E28-IF(Skills!F28=TRUE,Inputs!$B$32,0)))*(1-IF(AND(ArtifactsInput!$M$27,Inputs!$B$4="Chapter Hunt"),CHOOSE(ArtifactsInput!$N$27+1,20,24,28,32,36,40),0)/100)),0)</f>
        <v/>
      </c>
      <c r="R2738">
        <f>IF(AND(Inputs!$B$38&lt;&gt;"pvp",Inputs!$B$43&gt;0),IF(MAX(0,Inputs!$B$43-B2748)&lt;=0,0,(INT(MAX(0,Inputs!$B$43-B2748)/(IF(Inputs!$B$38="pvp",15,MAX(0.1,Skills!E28-IF(Skills!F28=TRUE,Inputs!$B$32,0)))*(1-IF(AND(ArtifactsInput!$M$27,Inputs!$B$4="Chapter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Skills!T6*(1+((Inputs!$B$34+(ArtifactsInput!$M$7-ArtifactsInput!$M$7)*CHOOSE(ArtifactsInput!$N$7+1,6,7.2,8.4,9.6,10.8,12))+IF(Inputs!$B$3&gt;=117,F2735,0))/100))+MIN((Skills!T6*(1+((Inputs!$B$34+(ArtifactsInput!$M$7-ArtifactsInput!$M$7)*CHOOSE(ArtifactsInput!$N$7+1,6,7.2,8.4,9.6,10.8,12))+IF(Inputs!$B$3&gt;=117,F2735,0))/100)),MAX(0,Inputs!$B$43-((R2716-1)*Skills!E6))))/Inputs!$B$43),IF(Inputs!$B$38="pvp",MIN((Skills!T6*(1+((Inputs!$B$34+(ArtifactsInput!$M$7-ArtifactsInput!$M$7)*CHOOSE(ArtifactsInput!$N$7+1,6,7.2,8.4,9.6,10.8,12))+IF(Inputs!$B$3&gt;=117,F2735,0))/100)),15)/15,(Skills!T6*(1+((Inputs!$B$34+(ArtifactsInput!$M$7-ArtifactsInput!$M$7)*CHOOSE(ArtifactsInput!$N$7+1,6,7.2,8.4,9.6,10.8,12))+IF(Inputs!$B$3&gt;=117,F2735,0))/100))/Skills!E6))+F2727*IF(AND(Inputs!$B$38&lt;&gt;"pvp",Inputs!$B$43&gt;0),(((R2727-1)*(Skills!T17*(1+((Inputs!$B$34+(ArtifactsInput!$M$7-ArtifactsInput!$M$7)*CHOOSE(ArtifactsInput!$N$7+1,6,7.2,8.4,9.6,10.8,12))+IF(Inputs!$B$3&gt;=117,F2735,0))/100))+MIN((Skills!T17*(1+((Inputs!$B$34+(ArtifactsInput!$M$7-ArtifactsInput!$M$7)*CHOOSE(ArtifactsInput!$N$7+1,6,7.2,8.4,9.6,10.8,12))+IF(Inputs!$B$3&gt;=117,F2735,0))/100)),MAX(0,Inputs!$B$43-((R2727-1)*Skills!E17))))/Inputs!$B$43),IF(Inputs!$B$38="pvp",MIN((Skills!T17*(1+((Inputs!$B$34+(ArtifactsInput!$M$7-ArtifactsInput!$M$7)*CHOOSE(ArtifactsInput!$N$7+1,6,7.2,8.4,9.6,10.8,12))+IF(Inputs!$B$3&gt;=117,F2735,0))/100)),15)/15,(Skills!T17*(1+((Inputs!$B$34+(ArtifactsInput!$M$7-ArtifactsInput!$M$7)*CHOOSE(ArtifactsInput!$N$7+1,6,7.2,8.4,9.6,10.8,12))+IF(Inputs!$B$3&gt;=117,F2735,0)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Skills!T19*(1+((Inputs!$B$34+(ArtifactsInput!$M$7-ArtifactsInput!$M$7)*CHOOSE(ArtifactsInput!$N$7+1,6,7.2,8.4,9.6,10.8,12))+IF(Inputs!$B$3&gt;=117,F2735,0))/100))+MIN((Skills!T19*(1+((Inputs!$B$34+(ArtifactsInput!$M$7-ArtifactsInput!$M$7)*CHOOSE(ArtifactsInput!$N$7+1,6,7.2,8.4,9.6,10.8,12))+IF(Inputs!$B$3&gt;=117,F2735,0))/100)),MAX(0,Inputs!$B$43-((R2729-1)*Skills!E19))))/Inputs!$B$43),IF(Inputs!$B$38="pvp",MIN((Skills!T19*(1+((Inputs!$B$34+(ArtifactsInput!$M$7-ArtifactsInput!$M$7)*CHOOSE(ArtifactsInput!$N$7+1,6,7.2,8.4,9.6,10.8,12))+IF(Inputs!$B$3&gt;=117,F2735,0))/100)),15)/15,(Skills!T19*(1+((Inputs!$B$34+(ArtifactsInput!$M$7-ArtifactsInput!$M$7)*CHOOSE(ArtifactsInput!$N$7+1,6,7.2,8.4,9.6,10.8,12))+IF(Inputs!$B$3&gt;=117,F2735,0))/100))/Skills!E19))/100),1)</f>
        <v/>
      </c>
    </row>
    <row r="2743">
      <c r="A2743" t="inlineStr">
        <is>
          <t>Attack Speed Buff Bonus % (Nimble Feet, averaged)</t>
        </is>
      </c>
      <c r="B2743">
        <f>F2728*IF(AND(Inputs!$B$38&lt;&gt;"pvp",Inputs!$B$43&gt;0),(((R2728-1)*(Skills!T18*(1+((Inputs!$B$34+(ArtifactsInput!$M$7-ArtifactsInput!$M$7)*CHOOSE(ArtifactsInput!$N$7+1,6,7.2,8.4,9.6,10.8,12))+IF(Inputs!$B$3&gt;=117,F2735,0))/100))+MIN((Skills!T18*(1+((Inputs!$B$34+(ArtifactsInput!$M$7-ArtifactsInput!$M$7)*CHOOSE(ArtifactsInput!$N$7+1,6,7.2,8.4,9.6,10.8,12))+IF(Inputs!$B$3&gt;=117,F2735,0))/100)),MAX(0,Inputs!$B$43-((R2728-1)*Skills!E18))))/Inputs!$B$43),IF(Inputs!$B$38="pvp",MIN((Skills!T18*(1+((Inputs!$B$34+(ArtifactsInput!$M$7-ArtifactsInput!$M$7)*CHOOSE(ArtifactsInput!$N$7+1,6,7.2,8.4,9.6,10.8,12))+IF(Inputs!$B$3&gt;=117,F2735,0))/100)),15)/15,(Skills!T18*(1+((Inputs!$B$34+(ArtifactsInput!$M$7-ArtifactsInput!$M$7)*CHOOSE(ArtifactsInput!$N$7+1,6,7.2,8.4,9.6,10.8,12))+IF(Inputs!$B$3&gt;=117,F2735,0))/100))/Skills!E18)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IFERROR(1/(IF(Inputs!$B$38="pvp",15,MAX(0.1,Skills!E2-IF(Skills!F2=TRUE,0.5,0)))*(1-IF(AND(ArtifactsInput!$M$27,Inputs!$B$4="Chapter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IFERROR(1/(IF(Inputs!$B$38="pvp",15,MAX(0.1,Skills!E3-IF(Skills!F3=TRUE,0.5,0)))*(1-IF(AND(ArtifactsInput!$M$27,Inputs!$B$4="Chapter Hunt"),CHOOSE(ArtifactsInput!$N$27+1,20,24,28,32,36,40),0)/100)),0)</f>
        <v/>
      </c>
      <c r="R2771">
        <f>IF(AND(Inputs!$B$38&lt;&gt;"pvp",Inputs!$B$43&gt;0),IF(MAX(0,Inputs!$B$43-B2806)&lt;=0,0,(INT(MAX(0,Inputs!$B$43-B2806)/(IF(Inputs!$B$38="pvp",15,MAX(0.1,Skills!E3-IF(Skills!F3=TRUE,0.5,0)))*(1-IF(AND(ArtifactsInput!$M$27,Inputs!$B$4="Chapter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IFERROR(1/(IF(Inputs!$B$38="pvp",15,MAX(0.1,Skills!E4-IF(Skills!F4=TRUE,0.5,0)))*(1-IF(AND(ArtifactsInput!$M$27,Inputs!$B$4="Chapter Hunt"),CHOOSE(ArtifactsInput!$N$27+1,20,24,28,32,36,40),0)/100)),0)</f>
        <v/>
      </c>
      <c r="R2772">
        <f>IF(AND(Inputs!$B$38&lt;&gt;"pvp",Inputs!$B$43&gt;0),IF(MAX(0,Inputs!$B$43-B2806)&lt;=0,0,(INT(MAX(0,Inputs!$B$43-B2806)/(IF(Inputs!$B$38="pvp",15,MAX(0.1,Skills!E4-IF(Skills!F4=TRUE,0.5,0)))*(1-IF(AND(ArtifactsInput!$M$27,Inputs!$B$4="Chapter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IFERROR(1/(IF(Inputs!$B$38="pvp",15,MAX(0.1,Skills!E5-IF(Skills!F5=TRUE,0.5,0)))*(1-IF(AND(ArtifactsInput!$M$27,Inputs!$B$4="Chapter Hunt"),CHOOSE(ArtifactsInput!$N$27+1,20,24,28,32,36,40),0)/100)),0)</f>
        <v/>
      </c>
      <c r="R2773">
        <f>IF(AND(Inputs!$B$38&lt;&gt;"pvp",Inputs!$B$43&gt;0),IF(MAX(0,Inputs!$B$43-B2806)&lt;=0,0,(INT(MAX(0,Inputs!$B$43-B2806)/(IF(Inputs!$B$38="pvp",15,MAX(0.1,Skills!E5-IF(Skills!F5=TRUE,0.5,0)))*(1-IF(AND(ArtifactsInput!$M$27,Inputs!$B$4="Chapter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IFERROR(1/(IF(Inputs!$B$38="pvp",15,MAX(0.1,Skills!E6-IF(Skills!F6=TRUE,0.5,0)))*(1-IF(AND(ArtifactsInput!$M$27,Inputs!$B$4="Chapter Hunt"),CHOOSE(ArtifactsInput!$N$27+1,20,24,28,32,36,40),0)/100)),0)</f>
        <v/>
      </c>
      <c r="R2774">
        <f>IF(AND(Inputs!$B$38&lt;&gt;"pvp",Inputs!$B$43&gt;0),IF(Inputs!$B$43&lt;=0,0,(INT(Inputs!$B$43/(IF(Inputs!$B$38="pvp",15,MAX(0.1,Skills!E6-IF(Skills!F6=TRUE,0.5,0)))*(1-IF(AND(ArtifactsInput!$M$27,Inputs!$B$4="Chapter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IFERROR(1/(IF(Inputs!$B$38="pvp",15,MAX(0.1,Skills!E7-IF(Skills!F7=TRUE,0.5,0)))*(1-IF(AND(ArtifactsInput!$M$27,Inputs!$B$4="Chapter Hunt"),CHOOSE(ArtifactsInput!$N$27+1,20,24,28,32,36,40),0)/100)),0)</f>
        <v/>
      </c>
      <c r="R2775">
        <f>IF(AND(Inputs!$B$38&lt;&gt;"pvp",Inputs!$B$43&gt;0),IF(MAX(0,Inputs!$B$43-B2806)&lt;=0,0,(INT(MAX(0,Inputs!$B$43-B2806)/(IF(Inputs!$B$38="pvp",15,MAX(0.1,Skills!E7-IF(Skills!F7=TRUE,0.5,0)))*(1-IF(AND(ArtifactsInput!$M$27,Inputs!$B$4="Chapter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IFERROR(1/(IF(Inputs!$B$38="pvp",15,MAX(0.1,Skills!E8-IF(Skills!F8=TRUE,0.5,0)))*(1-IF(AND(ArtifactsInput!$M$27,Inputs!$B$4="Chapter Hunt"),CHOOSE(ArtifactsInput!$N$27+1,20,24,28,32,36,40),0)/100)),0)</f>
        <v/>
      </c>
      <c r="R2776">
        <f>IF(AND(Inputs!$B$38&lt;&gt;"pvp",Inputs!$B$43&gt;0),IF(MAX(0,Inputs!$B$43-B2806)&lt;=0,0,(INT(MAX(0,Inputs!$B$43-B2806)/(IF(Inputs!$B$38="pvp",15,MAX(0.1,Skills!E8-IF(Skills!F8=TRUE,0.5,0)))*(1-IF(AND(ArtifactsInput!$M$27,Inputs!$B$4="Chapter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IFERROR(1/(IF(Inputs!$B$38="pvp",15,MAX(0.1,Skills!E9-IF(Skills!F7=TRUE,0.5,0)))*(1-IF(AND(ArtifactsInput!$M$27,Inputs!$B$4="Chapter Hunt"),CHOOSE(ArtifactsInput!$N$27+1,20,24,28,32,36,40),0)/100)),0)</f>
        <v/>
      </c>
      <c r="R2777">
        <f>IF(AND(Inputs!$B$38&lt;&gt;"pvp",Inputs!$B$43&gt;0),IF(MAX(0,Inputs!$B$43-B2806)&lt;=0,0,(INT(MAX(0,Inputs!$B$43-B2806)/(IF(Inputs!$B$38="pvp",15,MAX(0.1,Skills!E9-IF(Skills!F7=TRUE,0.5,0)))*(1-IF(AND(ArtifactsInput!$M$27,Inputs!$B$4="Chapter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IFERROR(1/(IF(Inputs!$B$38="pvp",15,MAX(0.1,Skills!E10-IF(Skills!F10=TRUE,0.5,0)))*(1-IF(AND(ArtifactsInput!$M$27,Inputs!$B$4="Chapter Hunt"),CHOOSE(ArtifactsInput!$N$27+1,20,24,28,32,36,40),0)/100)),0)</f>
        <v/>
      </c>
      <c r="R2778">
        <f>IF(AND(Inputs!$B$38&lt;&gt;"pvp",Inputs!$B$43&gt;0),IF(MAX(0,Inputs!$B$43-B2806)&lt;=0,0,(INT(MAX(0,Inputs!$B$43-B2806)/(IF(Inputs!$B$38="pvp",15,MAX(0.1,Skills!E10-IF(Skills!F10=TRUE,0.5,0)))*(1-IF(AND(ArtifactsInput!$M$27,Inputs!$B$4="Chapter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IFERROR(1/(IF(Inputs!$B$38="pvp",15,MAX(0.1,Skills!E11-IF(Skills!F11=TRUE,0.5,0)))*(1-IF(AND(ArtifactsInput!$M$27,Inputs!$B$4="Chapter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IFERROR(1/(IF(Inputs!$B$38="pvp",15,MAX(0.1,Skills!E12-IF(Skills!F12=TRUE,0.5,0)))*(1-IF(AND(ArtifactsInput!$M$27,Inputs!$B$4="Chapter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IFERROR(1/(IF(Inputs!$B$38="pvp",15,MAX(0.1,Skills!E13-IF(Skills!F13=TRUE,0.5,0)))*(1-IF(AND(ArtifactsInput!$M$27,Inputs!$B$4="Chapter Hunt"),CHOOSE(ArtifactsInput!$N$27+1,20,24,28,32,36,40),0)/100)),0)</f>
        <v/>
      </c>
      <c r="R2781">
        <f>IF(AND(Inputs!$B$38&lt;&gt;"pvp",Inputs!$B$43&gt;0),IF(MAX(0,Inputs!$B$43-B2806)&lt;=0,0,(INT(MAX(0,Inputs!$B$43-B2806)/(IF(Inputs!$B$38="pvp",15,MAX(0.1,Skills!E13-IF(Skills!F13=TRUE,0.5,0)))*(1-IF(AND(ArtifactsInput!$M$27,Inputs!$B$4="Chapter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IFERROR(1/(IF(Inputs!$B$38="pvp",15,MAX(0.1,Skills!E14-IF(Skills!F14=TRUE,0.5,0)))*(1-IF(AND(ArtifactsInput!$M$27,Inputs!$B$4="Chapter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IFERROR(1/(IF(Inputs!$B$38="pvp",15,MAX(0.1,Skills!E15-IF(Skills!F15=TRUE,0.5,0)))*(1-IF(AND(ArtifactsInput!$M$27,Inputs!$B$4="Chapter Hunt"),CHOOSE(ArtifactsInput!$N$27+1,20,24,28,32,36,40),0)/100)),0)</f>
        <v/>
      </c>
      <c r="R2783">
        <f>IF(AND(Inputs!$B$38&lt;&gt;"pvp",Inputs!$B$43&gt;0),IF(MAX(0,Inputs!$B$43-B2806)&lt;=0,0,(INT(MAX(0,Inputs!$B$43-B2806)/(IF(Inputs!$B$38="pvp",15,MAX(0.1,Skills!E15-IF(Skills!F15=TRUE,0.5,0)))*(1-IF(AND(ArtifactsInput!$M$27,Inputs!$B$4="Chapter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IFERROR(1/(IF(Inputs!$B$38="pvp",15,MAX(0.1,Skills!E16-IF(Skills!F16=TRUE,0.5,0)))*(1-IF(AND(ArtifactsInput!$M$27,Inputs!$B$4="Chapter Hunt"),CHOOSE(ArtifactsInput!$N$27+1,20,24,28,32,36,40),0)/100)),0)</f>
        <v/>
      </c>
      <c r="R2784">
        <f>IF(AND(Inputs!$B$38&lt;&gt;"pvp",Inputs!$B$43&gt;0),IF(MAX(0,Inputs!$B$43-B2806)&lt;=0,0,(INT(MAX(0,Inputs!$B$43-B2806)/(IF(Inputs!$B$38="pvp",15,MAX(0.1,Skills!E16-IF(Skills!F16=TRUE,0.5,0)))*(1-IF(AND(ArtifactsInput!$M$27,Inputs!$B$4="Chapter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IFERROR(1/(IF(Inputs!$B$38="pvp",15,MAX(0.1,Skills!E17-IF(Skills!F17=TRUE,0.5,0)))*(1-IF(AND(ArtifactsInput!$M$27,Inputs!$B$4="Chapter Hunt"),CHOOSE(ArtifactsInput!$N$27+1,20,24,28,32,36,40),0)/100)),0)</f>
        <v/>
      </c>
      <c r="R2785">
        <f>IF(AND(Inputs!$B$38&lt;&gt;"pvp",Inputs!$B$43&gt;0),IF(Inputs!$B$43&lt;=0,0,(INT(Inputs!$B$43/(IF(Inputs!$B$38="pvp",15,MAX(0.1,Skills!E17-IF(Skills!F17=TRUE,0.5,0)))*(1-IF(AND(ArtifactsInput!$M$27,Inputs!$B$4="Chapter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IFERROR(1/(IF(Inputs!$B$38="pvp",15,MAX(0.1,Skills!E18-IF(Skills!F18=TRUE,0.5,0)))*(1-IF(AND(ArtifactsInput!$M$27,Inputs!$B$4="Chapter Hunt"),CHOOSE(ArtifactsInput!$N$27+1,20,24,28,32,36,40),0)/100)),0)</f>
        <v/>
      </c>
      <c r="R2786">
        <f>IF(AND(Inputs!$B$38&lt;&gt;"pvp",Inputs!$B$43&gt;0),IF(Inputs!$B$43&lt;=0,0,(INT(Inputs!$B$43/(IF(Inputs!$B$38="pvp",15,MAX(0.1,Skills!E18-IF(Skills!F18=TRUE,0.5,0)))*(1-IF(AND(ArtifactsInput!$M$27,Inputs!$B$4="Chapter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IFERROR(1/(IF(Inputs!$B$38="pvp",15,MAX(0.1,Skills!E19-IF(Skills!F19=TRUE,0.5,0)))*(1-IF(AND(ArtifactsInput!$M$27,Inputs!$B$4="Chapter Hunt"),CHOOSE(ArtifactsInput!$N$27+1,20,24,28,32,36,40),0)/100)),0)</f>
        <v/>
      </c>
      <c r="R2787">
        <f>IF(AND(Inputs!$B$38&lt;&gt;"pvp",Inputs!$B$43&gt;0),IF(Inputs!$B$43&lt;=0,0,(INT(Inputs!$B$43/(IF(Inputs!$B$38="pvp",15,MAX(0.1,Skills!E19-IF(Skills!F19=TRUE,0.5,0)))*(1-IF(AND(ArtifactsInput!$M$27,Inputs!$B$4="Chapter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IFERROR(1/(IF(Inputs!$B$38="pvp",15,MAX(0.1,Skills!E20-IF(Skills!F20=TRUE,0.5,0)))*(1-IF(AND(ArtifactsInput!$M$27,Inputs!$B$4="Chapter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IFERROR(1/(IF(Inputs!$B$38="pvp",15,MAX(0.1,Skills!E21-IF(Skills!F21=TRUE,0.5,0)))*(1-IF(AND(ArtifactsInput!$M$27,Inputs!$B$4="Chapter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IFERROR(1/(IF(Inputs!$B$38="pvp",15,MAX(0.1,Skills!E22-IF(Skills!F22=TRUE,0.5,0)))*(1-IF(AND(ArtifactsInput!$M$27,Inputs!$B$4="Chapter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IFERROR(1/(IF(Inputs!$B$38="pvp",15,MAX(0.1,Skills!E23-IF(Skills!F23=TRUE,0.5,0)))*(1-IF(AND(ArtifactsInput!$M$27,Inputs!$B$4="Chapter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IFERROR(1/(IF(Inputs!$B$38="pvp",15,MAX(0.1,Skills!E24-IF(Skills!F24=TRUE,0.5,0)))*(1-IF(AND(ArtifactsInput!$M$27,Inputs!$B$4="Chapter Hunt"),CHOOSE(ArtifactsInput!$N$27+1,20,24,28,32,36,40),0)/100)),0)</f>
        <v/>
      </c>
      <c r="R2792">
        <f>IF(AND(Inputs!$B$38&lt;&gt;"pvp",Inputs!$B$43&gt;0),IF(MAX(0,Inputs!$B$43-B2806)&lt;=0,0,(INT(MAX(0,Inputs!$B$43-B2806)/(IF(Inputs!$B$38="pvp",15,MAX(0.1,Skills!E24-IF(Skills!F24=TRUE,0.5,0)))*(1-IF(AND(ArtifactsInput!$M$27,Inputs!$B$4="Chapter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IFERROR(1/(IF(Inputs!$B$38="pvp",15,MAX(0.1,Skills!E25-IF(Skills!F25=TRUE,0.5,0)))*(1-IF(AND(ArtifactsInput!$M$27,Inputs!$B$4="Chapter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IFERROR(1/(IF(Inputs!$B$38="pvp",15,MAX(0.1,Skills!E26-IF(Skills!F26=TRUE,0.5,0)))*(1-IF(AND(ArtifactsInput!$M$27,Inputs!$B$4="Chapter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IFERROR(1/(IF(Inputs!$B$38="pvp",15,MAX(0.1,Skills!E27-IF(Skills!F27=TRUE,0.5,0)))*(1-IF(AND(ArtifactsInput!$M$27,Inputs!$B$4="Chapter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IFERROR(1/(IF(Inputs!$B$38="pvp",15,MAX(0.1,Skills!E28-IF(Skills!F28=TRUE,0.5,0)))*(1-IF(AND(ArtifactsInput!$M$27,Inputs!$B$4="Chapter Hunt"),CHOOSE(ArtifactsInput!$N$27+1,20,24,28,32,36,40),0)/100)),0)</f>
        <v/>
      </c>
      <c r="R2796">
        <f>IF(AND(Inputs!$B$38&lt;&gt;"pvp",Inputs!$B$43&gt;0),IF(MAX(0,Inputs!$B$43-B2806)&lt;=0,0,(INT(MAX(0,Inputs!$B$43-B2806)/(IF(Inputs!$B$38="pvp",15,MAX(0.1,Skills!E28-IF(Skills!F28=TRUE,0.5,0)))*(1-IF(AND(ArtifactsInput!$M$27,Inputs!$B$4="Chapter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Skills!T6*(1+((Inputs!$B$34+(ArtifactsInput!$M$7-ArtifactsInput!$M$7)*CHOOSE(ArtifactsInput!$N$7+1,6,7.2,8.4,9.6,10.8,12))+IF(Inputs!$B$3&gt;=117,F2793,0))/100))+MIN((Skills!T6*(1+((Inputs!$B$34+(ArtifactsInput!$M$7-ArtifactsInput!$M$7)*CHOOSE(ArtifactsInput!$N$7+1,6,7.2,8.4,9.6,10.8,12))+IF(Inputs!$B$3&gt;=117,F2793,0))/100)),MAX(0,Inputs!$B$43-((R2774-1)*Skills!E6))))/Inputs!$B$43),IF(Inputs!$B$38="pvp",MIN((Skills!T6*(1+((Inputs!$B$34+(ArtifactsInput!$M$7-ArtifactsInput!$M$7)*CHOOSE(ArtifactsInput!$N$7+1,6,7.2,8.4,9.6,10.8,12))+IF(Inputs!$B$3&gt;=117,F2793,0))/100)),15)/15,(Skills!T6*(1+((Inputs!$B$34+(ArtifactsInput!$M$7-ArtifactsInput!$M$7)*CHOOSE(ArtifactsInput!$N$7+1,6,7.2,8.4,9.6,10.8,12))+IF(Inputs!$B$3&gt;=117,F2793,0))/100))/Skills!E6))+F2785*IF(AND(Inputs!$B$38&lt;&gt;"pvp",Inputs!$B$43&gt;0),(((R2785-1)*(Skills!T17*(1+((Inputs!$B$34+(ArtifactsInput!$M$7-ArtifactsInput!$M$7)*CHOOSE(ArtifactsInput!$N$7+1,6,7.2,8.4,9.6,10.8,12))+IF(Inputs!$B$3&gt;=117,F2793,0))/100))+MIN((Skills!T17*(1+((Inputs!$B$34+(ArtifactsInput!$M$7-ArtifactsInput!$M$7)*CHOOSE(ArtifactsInput!$N$7+1,6,7.2,8.4,9.6,10.8,12))+IF(Inputs!$B$3&gt;=117,F2793,0))/100)),MAX(0,Inputs!$B$43-((R2785-1)*Skills!E17))))/Inputs!$B$43),IF(Inputs!$B$38="pvp",MIN((Skills!T17*(1+((Inputs!$B$34+(ArtifactsInput!$M$7-ArtifactsInput!$M$7)*CHOOSE(ArtifactsInput!$N$7+1,6,7.2,8.4,9.6,10.8,12))+IF(Inputs!$B$3&gt;=117,F2793,0))/100)),15)/15,(Skills!T17*(1+((Inputs!$B$34+(ArtifactsInput!$M$7-ArtifactsInput!$M$7)*CHOOSE(ArtifactsInput!$N$7+1,6,7.2,8.4,9.6,10.8,12))+IF(Inputs!$B$3&gt;=117,F2793,0)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Skills!T19*(1+((Inputs!$B$34+(ArtifactsInput!$M$7-ArtifactsInput!$M$7)*CHOOSE(ArtifactsInput!$N$7+1,6,7.2,8.4,9.6,10.8,12))+IF(Inputs!$B$3&gt;=117,F2793,0))/100))+MIN((Skills!T19*(1+((Inputs!$B$34+(ArtifactsInput!$M$7-ArtifactsInput!$M$7)*CHOOSE(ArtifactsInput!$N$7+1,6,7.2,8.4,9.6,10.8,12))+IF(Inputs!$B$3&gt;=117,F2793,0))/100)),MAX(0,Inputs!$B$43-((R2787-1)*Skills!E19))))/Inputs!$B$43),IF(Inputs!$B$38="pvp",MIN((Skills!T19*(1+((Inputs!$B$34+(ArtifactsInput!$M$7-ArtifactsInput!$M$7)*CHOOSE(ArtifactsInput!$N$7+1,6,7.2,8.4,9.6,10.8,12))+IF(Inputs!$B$3&gt;=117,F2793,0))/100)),15)/15,(Skills!T19*(1+((Inputs!$B$34+(ArtifactsInput!$M$7-ArtifactsInput!$M$7)*CHOOSE(ArtifactsInput!$N$7+1,6,7.2,8.4,9.6,10.8,12))+IF(Inputs!$B$3&gt;=117,F2793,0))/100))/Skills!E19))/100),1)</f>
        <v/>
      </c>
    </row>
    <row r="2801">
      <c r="A2801" t="inlineStr">
        <is>
          <t>Attack Speed Buff Bonus % (Nimble Feet, averaged)</t>
        </is>
      </c>
      <c r="B2801">
        <f>F2786*IF(AND(Inputs!$B$38&lt;&gt;"pvp",Inputs!$B$43&gt;0),(((R2786-1)*(Skills!T18*(1+((Inputs!$B$34+(ArtifactsInput!$M$7-ArtifactsInput!$M$7)*CHOOSE(ArtifactsInput!$N$7+1,6,7.2,8.4,9.6,10.8,12))+IF(Inputs!$B$3&gt;=117,F2793,0))/100))+MIN((Skills!T18*(1+((Inputs!$B$34+(ArtifactsInput!$M$7-ArtifactsInput!$M$7)*CHOOSE(ArtifactsInput!$N$7+1,6,7.2,8.4,9.6,10.8,12))+IF(Inputs!$B$3&gt;=117,F2793,0))/100)),MAX(0,Inputs!$B$43-((R2786-1)*Skills!E18))))/Inputs!$B$43),IF(Inputs!$B$38="pvp",MIN((Skills!T18*(1+((Inputs!$B$34+(ArtifactsInput!$M$7-ArtifactsInput!$M$7)*CHOOSE(ArtifactsInput!$N$7+1,6,7.2,8.4,9.6,10.8,12))+IF(Inputs!$B$3&gt;=117,F2793,0))/100)),15)/15,(Skills!T18*(1+((Inputs!$B$34+(ArtifactsInput!$M$7-ArtifactsInput!$M$7)*CHOOSE(ArtifactsInput!$N$7+1,6,7.2,8.4,9.6,10.8,12))+IF(Inputs!$B$3&gt;=117,F2793,0))/100))/Skills!E18))</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IFERROR(1/(IF(Inputs!$B$38="pvp",15,MAX(0.1,Skills!E2-IF(Skills!F2=TRUE,1.0,0)))*(1-IF(AND(ArtifactsInput!$M$27,Inputs!$B$4="Chapter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IFERROR(1/(IF(Inputs!$B$38="pvp",15,MAX(0.1,Skills!E3-IF(Skills!F3=TRUE,1.0,0)))*(1-IF(AND(ArtifactsInput!$M$27,Inputs!$B$4="Chapter Hunt"),CHOOSE(ArtifactsInput!$N$27+1,20,24,28,32,36,40),0)/100)),0)</f>
        <v/>
      </c>
      <c r="R2815">
        <f>IF(AND(Inputs!$B$38&lt;&gt;"pvp",Inputs!$B$43&gt;0),IF(MAX(0,Inputs!$B$43-B2850)&lt;=0,0,(INT(MAX(0,Inputs!$B$43-B2850)/(IF(Inputs!$B$38="pvp",15,MAX(0.1,Skills!E3-IF(Skills!F3=TRUE,1.0,0)))*(1-IF(AND(ArtifactsInput!$M$27,Inputs!$B$4="Chapter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IFERROR(1/(IF(Inputs!$B$38="pvp",15,MAX(0.1,Skills!E4-IF(Skills!F4=TRUE,1.0,0)))*(1-IF(AND(ArtifactsInput!$M$27,Inputs!$B$4="Chapter Hunt"),CHOOSE(ArtifactsInput!$N$27+1,20,24,28,32,36,40),0)/100)),0)</f>
        <v/>
      </c>
      <c r="R2816">
        <f>IF(AND(Inputs!$B$38&lt;&gt;"pvp",Inputs!$B$43&gt;0),IF(MAX(0,Inputs!$B$43-B2850)&lt;=0,0,(INT(MAX(0,Inputs!$B$43-B2850)/(IF(Inputs!$B$38="pvp",15,MAX(0.1,Skills!E4-IF(Skills!F4=TRUE,1.0,0)))*(1-IF(AND(ArtifactsInput!$M$27,Inputs!$B$4="Chapter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IFERROR(1/(IF(Inputs!$B$38="pvp",15,MAX(0.1,Skills!E5-IF(Skills!F5=TRUE,1.0,0)))*(1-IF(AND(ArtifactsInput!$M$27,Inputs!$B$4="Chapter Hunt"),CHOOSE(ArtifactsInput!$N$27+1,20,24,28,32,36,40),0)/100)),0)</f>
        <v/>
      </c>
      <c r="R2817">
        <f>IF(AND(Inputs!$B$38&lt;&gt;"pvp",Inputs!$B$43&gt;0),IF(MAX(0,Inputs!$B$43-B2850)&lt;=0,0,(INT(MAX(0,Inputs!$B$43-B2850)/(IF(Inputs!$B$38="pvp",15,MAX(0.1,Skills!E5-IF(Skills!F5=TRUE,1.0,0)))*(1-IF(AND(ArtifactsInput!$M$27,Inputs!$B$4="Chapter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IFERROR(1/(IF(Inputs!$B$38="pvp",15,MAX(0.1,Skills!E6-IF(Skills!F6=TRUE,1.0,0)))*(1-IF(AND(ArtifactsInput!$M$27,Inputs!$B$4="Chapter Hunt"),CHOOSE(ArtifactsInput!$N$27+1,20,24,28,32,36,40),0)/100)),0)</f>
        <v/>
      </c>
      <c r="R2818">
        <f>IF(AND(Inputs!$B$38&lt;&gt;"pvp",Inputs!$B$43&gt;0),IF(Inputs!$B$43&lt;=0,0,(INT(Inputs!$B$43/(IF(Inputs!$B$38="pvp",15,MAX(0.1,Skills!E6-IF(Skills!F6=TRUE,1.0,0)))*(1-IF(AND(ArtifactsInput!$M$27,Inputs!$B$4="Chapter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IFERROR(1/(IF(Inputs!$B$38="pvp",15,MAX(0.1,Skills!E7-IF(Skills!F7=TRUE,1.0,0)))*(1-IF(AND(ArtifactsInput!$M$27,Inputs!$B$4="Chapter Hunt"),CHOOSE(ArtifactsInput!$N$27+1,20,24,28,32,36,40),0)/100)),0)</f>
        <v/>
      </c>
      <c r="R2819">
        <f>IF(AND(Inputs!$B$38&lt;&gt;"pvp",Inputs!$B$43&gt;0),IF(MAX(0,Inputs!$B$43-B2850)&lt;=0,0,(INT(MAX(0,Inputs!$B$43-B2850)/(IF(Inputs!$B$38="pvp",15,MAX(0.1,Skills!E7-IF(Skills!F7=TRUE,1.0,0)))*(1-IF(AND(ArtifactsInput!$M$27,Inputs!$B$4="Chapter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IFERROR(1/(IF(Inputs!$B$38="pvp",15,MAX(0.1,Skills!E8-IF(Skills!F8=TRUE,1.0,0)))*(1-IF(AND(ArtifactsInput!$M$27,Inputs!$B$4="Chapter Hunt"),CHOOSE(ArtifactsInput!$N$27+1,20,24,28,32,36,40),0)/100)),0)</f>
        <v/>
      </c>
      <c r="R2820">
        <f>IF(AND(Inputs!$B$38&lt;&gt;"pvp",Inputs!$B$43&gt;0),IF(MAX(0,Inputs!$B$43-B2850)&lt;=0,0,(INT(MAX(0,Inputs!$B$43-B2850)/(IF(Inputs!$B$38="pvp",15,MAX(0.1,Skills!E8-IF(Skills!F8=TRUE,1.0,0)))*(1-IF(AND(ArtifactsInput!$M$27,Inputs!$B$4="Chapter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IFERROR(1/(IF(Inputs!$B$38="pvp",15,MAX(0.1,Skills!E9-IF(Skills!F7=TRUE,1.0,0)))*(1-IF(AND(ArtifactsInput!$M$27,Inputs!$B$4="Chapter Hunt"),CHOOSE(ArtifactsInput!$N$27+1,20,24,28,32,36,40),0)/100)),0)</f>
        <v/>
      </c>
      <c r="R2821">
        <f>IF(AND(Inputs!$B$38&lt;&gt;"pvp",Inputs!$B$43&gt;0),IF(MAX(0,Inputs!$B$43-B2850)&lt;=0,0,(INT(MAX(0,Inputs!$B$43-B2850)/(IF(Inputs!$B$38="pvp",15,MAX(0.1,Skills!E9-IF(Skills!F7=TRUE,1.0,0)))*(1-IF(AND(ArtifactsInput!$M$27,Inputs!$B$4="Chapter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IFERROR(1/(IF(Inputs!$B$38="pvp",15,MAX(0.1,Skills!E10-IF(Skills!F10=TRUE,1.0,0)))*(1-IF(AND(ArtifactsInput!$M$27,Inputs!$B$4="Chapter Hunt"),CHOOSE(ArtifactsInput!$N$27+1,20,24,28,32,36,40),0)/100)),0)</f>
        <v/>
      </c>
      <c r="R2822">
        <f>IF(AND(Inputs!$B$38&lt;&gt;"pvp",Inputs!$B$43&gt;0),IF(MAX(0,Inputs!$B$43-B2850)&lt;=0,0,(INT(MAX(0,Inputs!$B$43-B2850)/(IF(Inputs!$B$38="pvp",15,MAX(0.1,Skills!E10-IF(Skills!F10=TRUE,1.0,0)))*(1-IF(AND(ArtifactsInput!$M$27,Inputs!$B$4="Chapter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IFERROR(1/(IF(Inputs!$B$38="pvp",15,MAX(0.1,Skills!E11-IF(Skills!F11=TRUE,1.0,0)))*(1-IF(AND(ArtifactsInput!$M$27,Inputs!$B$4="Chapter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IFERROR(1/(IF(Inputs!$B$38="pvp",15,MAX(0.1,Skills!E12-IF(Skills!F12=TRUE,1.0,0)))*(1-IF(AND(ArtifactsInput!$M$27,Inputs!$B$4="Chapter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IFERROR(1/(IF(Inputs!$B$38="pvp",15,MAX(0.1,Skills!E13-IF(Skills!F13=TRUE,1.0,0)))*(1-IF(AND(ArtifactsInput!$M$27,Inputs!$B$4="Chapter Hunt"),CHOOSE(ArtifactsInput!$N$27+1,20,24,28,32,36,40),0)/100)),0)</f>
        <v/>
      </c>
      <c r="R2825">
        <f>IF(AND(Inputs!$B$38&lt;&gt;"pvp",Inputs!$B$43&gt;0),IF(MAX(0,Inputs!$B$43-B2850)&lt;=0,0,(INT(MAX(0,Inputs!$B$43-B2850)/(IF(Inputs!$B$38="pvp",15,MAX(0.1,Skills!E13-IF(Skills!F13=TRUE,1.0,0)))*(1-IF(AND(ArtifactsInput!$M$27,Inputs!$B$4="Chapter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IFERROR(1/(IF(Inputs!$B$38="pvp",15,MAX(0.1,Skills!E14-IF(Skills!F14=TRUE,1.0,0)))*(1-IF(AND(ArtifactsInput!$M$27,Inputs!$B$4="Chapter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IFERROR(1/(IF(Inputs!$B$38="pvp",15,MAX(0.1,Skills!E15-IF(Skills!F15=TRUE,1.0,0)))*(1-IF(AND(ArtifactsInput!$M$27,Inputs!$B$4="Chapter Hunt"),CHOOSE(ArtifactsInput!$N$27+1,20,24,28,32,36,40),0)/100)),0)</f>
        <v/>
      </c>
      <c r="R2827">
        <f>IF(AND(Inputs!$B$38&lt;&gt;"pvp",Inputs!$B$43&gt;0),IF(MAX(0,Inputs!$B$43-B2850)&lt;=0,0,(INT(MAX(0,Inputs!$B$43-B2850)/(IF(Inputs!$B$38="pvp",15,MAX(0.1,Skills!E15-IF(Skills!F15=TRUE,1.0,0)))*(1-IF(AND(ArtifactsInput!$M$27,Inputs!$B$4="Chapter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IFERROR(1/(IF(Inputs!$B$38="pvp",15,MAX(0.1,Skills!E16-IF(Skills!F16=TRUE,1.0,0)))*(1-IF(AND(ArtifactsInput!$M$27,Inputs!$B$4="Chapter Hunt"),CHOOSE(ArtifactsInput!$N$27+1,20,24,28,32,36,40),0)/100)),0)</f>
        <v/>
      </c>
      <c r="R2828">
        <f>IF(AND(Inputs!$B$38&lt;&gt;"pvp",Inputs!$B$43&gt;0),IF(MAX(0,Inputs!$B$43-B2850)&lt;=0,0,(INT(MAX(0,Inputs!$B$43-B2850)/(IF(Inputs!$B$38="pvp",15,MAX(0.1,Skills!E16-IF(Skills!F16=TRUE,1.0,0)))*(1-IF(AND(ArtifactsInput!$M$27,Inputs!$B$4="Chapter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IFERROR(1/(IF(Inputs!$B$38="pvp",15,MAX(0.1,Skills!E17-IF(Skills!F17=TRUE,1.0,0)))*(1-IF(AND(ArtifactsInput!$M$27,Inputs!$B$4="Chapter Hunt"),CHOOSE(ArtifactsInput!$N$27+1,20,24,28,32,36,40),0)/100)),0)</f>
        <v/>
      </c>
      <c r="R2829">
        <f>IF(AND(Inputs!$B$38&lt;&gt;"pvp",Inputs!$B$43&gt;0),IF(Inputs!$B$43&lt;=0,0,(INT(Inputs!$B$43/(IF(Inputs!$B$38="pvp",15,MAX(0.1,Skills!E17-IF(Skills!F17=TRUE,1.0,0)))*(1-IF(AND(ArtifactsInput!$M$27,Inputs!$B$4="Chapter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IFERROR(1/(IF(Inputs!$B$38="pvp",15,MAX(0.1,Skills!E18-IF(Skills!F18=TRUE,1.0,0)))*(1-IF(AND(ArtifactsInput!$M$27,Inputs!$B$4="Chapter Hunt"),CHOOSE(ArtifactsInput!$N$27+1,20,24,28,32,36,40),0)/100)),0)</f>
        <v/>
      </c>
      <c r="R2830">
        <f>IF(AND(Inputs!$B$38&lt;&gt;"pvp",Inputs!$B$43&gt;0),IF(Inputs!$B$43&lt;=0,0,(INT(Inputs!$B$43/(IF(Inputs!$B$38="pvp",15,MAX(0.1,Skills!E18-IF(Skills!F18=TRUE,1.0,0)))*(1-IF(AND(ArtifactsInput!$M$27,Inputs!$B$4="Chapter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IFERROR(1/(IF(Inputs!$B$38="pvp",15,MAX(0.1,Skills!E19-IF(Skills!F19=TRUE,1.0,0)))*(1-IF(AND(ArtifactsInput!$M$27,Inputs!$B$4="Chapter Hunt"),CHOOSE(ArtifactsInput!$N$27+1,20,24,28,32,36,40),0)/100)),0)</f>
        <v/>
      </c>
      <c r="R2831">
        <f>IF(AND(Inputs!$B$38&lt;&gt;"pvp",Inputs!$B$43&gt;0),IF(Inputs!$B$43&lt;=0,0,(INT(Inputs!$B$43/(IF(Inputs!$B$38="pvp",15,MAX(0.1,Skills!E19-IF(Skills!F19=TRUE,1.0,0)))*(1-IF(AND(ArtifactsInput!$M$27,Inputs!$B$4="Chapter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IFERROR(1/(IF(Inputs!$B$38="pvp",15,MAX(0.1,Skills!E20-IF(Skills!F20=TRUE,1.0,0)))*(1-IF(AND(ArtifactsInput!$M$27,Inputs!$B$4="Chapter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IFERROR(1/(IF(Inputs!$B$38="pvp",15,MAX(0.1,Skills!E21-IF(Skills!F21=TRUE,1.0,0)))*(1-IF(AND(ArtifactsInput!$M$27,Inputs!$B$4="Chapter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IFERROR(1/(IF(Inputs!$B$38="pvp",15,MAX(0.1,Skills!E22-IF(Skills!F22=TRUE,1.0,0)))*(1-IF(AND(ArtifactsInput!$M$27,Inputs!$B$4="Chapter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IFERROR(1/(IF(Inputs!$B$38="pvp",15,MAX(0.1,Skills!E23-IF(Skills!F23=TRUE,1.0,0)))*(1-IF(AND(ArtifactsInput!$M$27,Inputs!$B$4="Chapter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IFERROR(1/(IF(Inputs!$B$38="pvp",15,MAX(0.1,Skills!E24-IF(Skills!F24=TRUE,1.0,0)))*(1-IF(AND(ArtifactsInput!$M$27,Inputs!$B$4="Chapter Hunt"),CHOOSE(ArtifactsInput!$N$27+1,20,24,28,32,36,40),0)/100)),0)</f>
        <v/>
      </c>
      <c r="R2836">
        <f>IF(AND(Inputs!$B$38&lt;&gt;"pvp",Inputs!$B$43&gt;0),IF(MAX(0,Inputs!$B$43-B2850)&lt;=0,0,(INT(MAX(0,Inputs!$B$43-B2850)/(IF(Inputs!$B$38="pvp",15,MAX(0.1,Skills!E24-IF(Skills!F24=TRUE,1.0,0)))*(1-IF(AND(ArtifactsInput!$M$27,Inputs!$B$4="Chapter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IFERROR(1/(IF(Inputs!$B$38="pvp",15,MAX(0.1,Skills!E25-IF(Skills!F25=TRUE,1.0,0)))*(1-IF(AND(ArtifactsInput!$M$27,Inputs!$B$4="Chapter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IFERROR(1/(IF(Inputs!$B$38="pvp",15,MAX(0.1,Skills!E26-IF(Skills!F26=TRUE,1.0,0)))*(1-IF(AND(ArtifactsInput!$M$27,Inputs!$B$4="Chapter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IFERROR(1/(IF(Inputs!$B$38="pvp",15,MAX(0.1,Skills!E27-IF(Skills!F27=TRUE,1.0,0)))*(1-IF(AND(ArtifactsInput!$M$27,Inputs!$B$4="Chapter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IFERROR(1/(IF(Inputs!$B$38="pvp",15,MAX(0.1,Skills!E28-IF(Skills!F28=TRUE,1.0,0)))*(1-IF(AND(ArtifactsInput!$M$27,Inputs!$B$4="Chapter Hunt"),CHOOSE(ArtifactsInput!$N$27+1,20,24,28,32,36,40),0)/100)),0)</f>
        <v/>
      </c>
      <c r="R2840">
        <f>IF(AND(Inputs!$B$38&lt;&gt;"pvp",Inputs!$B$43&gt;0),IF(MAX(0,Inputs!$B$43-B2850)&lt;=0,0,(INT(MAX(0,Inputs!$B$43-B2850)/(IF(Inputs!$B$38="pvp",15,MAX(0.1,Skills!E28-IF(Skills!F28=TRUE,1.0,0)))*(1-IF(AND(ArtifactsInput!$M$27,Inputs!$B$4="Chapter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Skills!T6*(1+((Inputs!$B$34+(ArtifactsInput!$M$7-ArtifactsInput!$M$7)*CHOOSE(ArtifactsInput!$N$7+1,6,7.2,8.4,9.6,10.8,12))+IF(Inputs!$B$3&gt;=117,F2837,0))/100))+MIN((Skills!T6*(1+((Inputs!$B$34+(ArtifactsInput!$M$7-ArtifactsInput!$M$7)*CHOOSE(ArtifactsInput!$N$7+1,6,7.2,8.4,9.6,10.8,12))+IF(Inputs!$B$3&gt;=117,F2837,0))/100)),MAX(0,Inputs!$B$43-((R2818-1)*Skills!E6))))/Inputs!$B$43),IF(Inputs!$B$38="pvp",MIN((Skills!T6*(1+((Inputs!$B$34+(ArtifactsInput!$M$7-ArtifactsInput!$M$7)*CHOOSE(ArtifactsInput!$N$7+1,6,7.2,8.4,9.6,10.8,12))+IF(Inputs!$B$3&gt;=117,F2837,0))/100)),15)/15,(Skills!T6*(1+((Inputs!$B$34+(ArtifactsInput!$M$7-ArtifactsInput!$M$7)*CHOOSE(ArtifactsInput!$N$7+1,6,7.2,8.4,9.6,10.8,12))+IF(Inputs!$B$3&gt;=117,F2837,0))/100))/Skills!E6))+F2829*IF(AND(Inputs!$B$38&lt;&gt;"pvp",Inputs!$B$43&gt;0),(((R2829-1)*(Skills!T17*(1+((Inputs!$B$34+(ArtifactsInput!$M$7-ArtifactsInput!$M$7)*CHOOSE(ArtifactsInput!$N$7+1,6,7.2,8.4,9.6,10.8,12))+IF(Inputs!$B$3&gt;=117,F2837,0))/100))+MIN((Skills!T17*(1+((Inputs!$B$34+(ArtifactsInput!$M$7-ArtifactsInput!$M$7)*CHOOSE(ArtifactsInput!$N$7+1,6,7.2,8.4,9.6,10.8,12))+IF(Inputs!$B$3&gt;=117,F2837,0))/100)),MAX(0,Inputs!$B$43-((R2829-1)*Skills!E17))))/Inputs!$B$43),IF(Inputs!$B$38="pvp",MIN((Skills!T17*(1+((Inputs!$B$34+(ArtifactsInput!$M$7-ArtifactsInput!$M$7)*CHOOSE(ArtifactsInput!$N$7+1,6,7.2,8.4,9.6,10.8,12))+IF(Inputs!$B$3&gt;=117,F2837,0))/100)),15)/15,(Skills!T17*(1+((Inputs!$B$34+(ArtifactsInput!$M$7-ArtifactsInput!$M$7)*CHOOSE(ArtifactsInput!$N$7+1,6,7.2,8.4,9.6,10.8,12))+IF(Inputs!$B$3&gt;=117,F2837,0)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Skills!T19*(1+((Inputs!$B$34+(ArtifactsInput!$M$7-ArtifactsInput!$M$7)*CHOOSE(ArtifactsInput!$N$7+1,6,7.2,8.4,9.6,10.8,12))+IF(Inputs!$B$3&gt;=117,F2837,0))/100))+MIN((Skills!T19*(1+((Inputs!$B$34+(ArtifactsInput!$M$7-ArtifactsInput!$M$7)*CHOOSE(ArtifactsInput!$N$7+1,6,7.2,8.4,9.6,10.8,12))+IF(Inputs!$B$3&gt;=117,F2837,0))/100)),MAX(0,Inputs!$B$43-((R2831-1)*Skills!E19))))/Inputs!$B$43),IF(Inputs!$B$38="pvp",MIN((Skills!T19*(1+((Inputs!$B$34+(ArtifactsInput!$M$7-ArtifactsInput!$M$7)*CHOOSE(ArtifactsInput!$N$7+1,6,7.2,8.4,9.6,10.8,12))+IF(Inputs!$B$3&gt;=117,F2837,0))/100)),15)/15,(Skills!T19*(1+((Inputs!$B$34+(ArtifactsInput!$M$7-ArtifactsInput!$M$7)*CHOOSE(ArtifactsInput!$N$7+1,6,7.2,8.4,9.6,10.8,12))+IF(Inputs!$B$3&gt;=117,F2837,0))/100))/Skills!E19))/100),1)</f>
        <v/>
      </c>
    </row>
    <row r="2845">
      <c r="A2845" t="inlineStr">
        <is>
          <t>Attack Speed Buff Bonus % (Nimble Feet, averaged)</t>
        </is>
      </c>
      <c r="B2845">
        <f>F2830*IF(AND(Inputs!$B$38&lt;&gt;"pvp",Inputs!$B$43&gt;0),(((R2830-1)*(Skills!T18*(1+((Inputs!$B$34+(ArtifactsInput!$M$7-ArtifactsInput!$M$7)*CHOOSE(ArtifactsInput!$N$7+1,6,7.2,8.4,9.6,10.8,12))+IF(Inputs!$B$3&gt;=117,F2837,0))/100))+MIN((Skills!T18*(1+((Inputs!$B$34+(ArtifactsInput!$M$7-ArtifactsInput!$M$7)*CHOOSE(ArtifactsInput!$N$7+1,6,7.2,8.4,9.6,10.8,12))+IF(Inputs!$B$3&gt;=117,F2837,0))/100)),MAX(0,Inputs!$B$43-((R2830-1)*Skills!E18))))/Inputs!$B$43),IF(Inputs!$B$38="pvp",MIN((Skills!T18*(1+((Inputs!$B$34+(ArtifactsInput!$M$7-ArtifactsInput!$M$7)*CHOOSE(ArtifactsInput!$N$7+1,6,7.2,8.4,9.6,10.8,12))+IF(Inputs!$B$3&gt;=117,F2837,0))/100)),15)/15,(Skills!T18*(1+((Inputs!$B$34+(ArtifactsInput!$M$7-ArtifactsInput!$M$7)*CHOOSE(ArtifactsInput!$N$7+1,6,7.2,8.4,9.6,10.8,12))+IF(Inputs!$B$3&gt;=117,F2837,0))/100))/Skills!E18))</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IFERROR(1/(IF(Inputs!$B$38="pvp",15,MAX(0.1,Skills!E2-IF(Skills!F2=TRUE,1.5,0)))*(1-IF(AND(ArtifactsInput!$M$27,Inputs!$B$4="Chapter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IFERROR(1/(IF(Inputs!$B$38="pvp",15,MAX(0.1,Skills!E3-IF(Skills!F3=TRUE,1.5,0)))*(1-IF(AND(ArtifactsInput!$M$27,Inputs!$B$4="Chapter Hunt"),CHOOSE(ArtifactsInput!$N$27+1,20,24,28,32,36,40),0)/100)),0)</f>
        <v/>
      </c>
      <c r="R2859">
        <f>IF(AND(Inputs!$B$38&lt;&gt;"pvp",Inputs!$B$43&gt;0),IF(MAX(0,Inputs!$B$43-B2894)&lt;=0,0,(INT(MAX(0,Inputs!$B$43-B2894)/(IF(Inputs!$B$38="pvp",15,MAX(0.1,Skills!E3-IF(Skills!F3=TRUE,1.5,0)))*(1-IF(AND(ArtifactsInput!$M$27,Inputs!$B$4="Chapter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IFERROR(1/(IF(Inputs!$B$38="pvp",15,MAX(0.1,Skills!E4-IF(Skills!F4=TRUE,1.5,0)))*(1-IF(AND(ArtifactsInput!$M$27,Inputs!$B$4="Chapter Hunt"),CHOOSE(ArtifactsInput!$N$27+1,20,24,28,32,36,40),0)/100)),0)</f>
        <v/>
      </c>
      <c r="R2860">
        <f>IF(AND(Inputs!$B$38&lt;&gt;"pvp",Inputs!$B$43&gt;0),IF(MAX(0,Inputs!$B$43-B2894)&lt;=0,0,(INT(MAX(0,Inputs!$B$43-B2894)/(IF(Inputs!$B$38="pvp",15,MAX(0.1,Skills!E4-IF(Skills!F4=TRUE,1.5,0)))*(1-IF(AND(ArtifactsInput!$M$27,Inputs!$B$4="Chapter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IFERROR(1/(IF(Inputs!$B$38="pvp",15,MAX(0.1,Skills!E5-IF(Skills!F5=TRUE,1.5,0)))*(1-IF(AND(ArtifactsInput!$M$27,Inputs!$B$4="Chapter Hunt"),CHOOSE(ArtifactsInput!$N$27+1,20,24,28,32,36,40),0)/100)),0)</f>
        <v/>
      </c>
      <c r="R2861">
        <f>IF(AND(Inputs!$B$38&lt;&gt;"pvp",Inputs!$B$43&gt;0),IF(MAX(0,Inputs!$B$43-B2894)&lt;=0,0,(INT(MAX(0,Inputs!$B$43-B2894)/(IF(Inputs!$B$38="pvp",15,MAX(0.1,Skills!E5-IF(Skills!F5=TRUE,1.5,0)))*(1-IF(AND(ArtifactsInput!$M$27,Inputs!$B$4="Chapter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IFERROR(1/(IF(Inputs!$B$38="pvp",15,MAX(0.1,Skills!E6-IF(Skills!F6=TRUE,1.5,0)))*(1-IF(AND(ArtifactsInput!$M$27,Inputs!$B$4="Chapter Hunt"),CHOOSE(ArtifactsInput!$N$27+1,20,24,28,32,36,40),0)/100)),0)</f>
        <v/>
      </c>
      <c r="R2862">
        <f>IF(AND(Inputs!$B$38&lt;&gt;"pvp",Inputs!$B$43&gt;0),IF(Inputs!$B$43&lt;=0,0,(INT(Inputs!$B$43/(IF(Inputs!$B$38="pvp",15,MAX(0.1,Skills!E6-IF(Skills!F6=TRUE,1.5,0)))*(1-IF(AND(ArtifactsInput!$M$27,Inputs!$B$4="Chapter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IFERROR(1/(IF(Inputs!$B$38="pvp",15,MAX(0.1,Skills!E7-IF(Skills!F7=TRUE,1.5,0)))*(1-IF(AND(ArtifactsInput!$M$27,Inputs!$B$4="Chapter Hunt"),CHOOSE(ArtifactsInput!$N$27+1,20,24,28,32,36,40),0)/100)),0)</f>
        <v/>
      </c>
      <c r="R2863">
        <f>IF(AND(Inputs!$B$38&lt;&gt;"pvp",Inputs!$B$43&gt;0),IF(MAX(0,Inputs!$B$43-B2894)&lt;=0,0,(INT(MAX(0,Inputs!$B$43-B2894)/(IF(Inputs!$B$38="pvp",15,MAX(0.1,Skills!E7-IF(Skills!F7=TRUE,1.5,0)))*(1-IF(AND(ArtifactsInput!$M$27,Inputs!$B$4="Chapter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IFERROR(1/(IF(Inputs!$B$38="pvp",15,MAX(0.1,Skills!E8-IF(Skills!F8=TRUE,1.5,0)))*(1-IF(AND(ArtifactsInput!$M$27,Inputs!$B$4="Chapter Hunt"),CHOOSE(ArtifactsInput!$N$27+1,20,24,28,32,36,40),0)/100)),0)</f>
        <v/>
      </c>
      <c r="R2864">
        <f>IF(AND(Inputs!$B$38&lt;&gt;"pvp",Inputs!$B$43&gt;0),IF(MAX(0,Inputs!$B$43-B2894)&lt;=0,0,(INT(MAX(0,Inputs!$B$43-B2894)/(IF(Inputs!$B$38="pvp",15,MAX(0.1,Skills!E8-IF(Skills!F8=TRUE,1.5,0)))*(1-IF(AND(ArtifactsInput!$M$27,Inputs!$B$4="Chapter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IFERROR(1/(IF(Inputs!$B$38="pvp",15,MAX(0.1,Skills!E9-IF(Skills!F7=TRUE,1.5,0)))*(1-IF(AND(ArtifactsInput!$M$27,Inputs!$B$4="Chapter Hunt"),CHOOSE(ArtifactsInput!$N$27+1,20,24,28,32,36,40),0)/100)),0)</f>
        <v/>
      </c>
      <c r="R2865">
        <f>IF(AND(Inputs!$B$38&lt;&gt;"pvp",Inputs!$B$43&gt;0),IF(MAX(0,Inputs!$B$43-B2894)&lt;=0,0,(INT(MAX(0,Inputs!$B$43-B2894)/(IF(Inputs!$B$38="pvp",15,MAX(0.1,Skills!E9-IF(Skills!F7=TRUE,1.5,0)))*(1-IF(AND(ArtifactsInput!$M$27,Inputs!$B$4="Chapter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IFERROR(1/(IF(Inputs!$B$38="pvp",15,MAX(0.1,Skills!E10-IF(Skills!F10=TRUE,1.5,0)))*(1-IF(AND(ArtifactsInput!$M$27,Inputs!$B$4="Chapter Hunt"),CHOOSE(ArtifactsInput!$N$27+1,20,24,28,32,36,40),0)/100)),0)</f>
        <v/>
      </c>
      <c r="R2866">
        <f>IF(AND(Inputs!$B$38&lt;&gt;"pvp",Inputs!$B$43&gt;0),IF(MAX(0,Inputs!$B$43-B2894)&lt;=0,0,(INT(MAX(0,Inputs!$B$43-B2894)/(IF(Inputs!$B$38="pvp",15,MAX(0.1,Skills!E10-IF(Skills!F10=TRUE,1.5,0)))*(1-IF(AND(ArtifactsInput!$M$27,Inputs!$B$4="Chapter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IFERROR(1/(IF(Inputs!$B$38="pvp",15,MAX(0.1,Skills!E11-IF(Skills!F11=TRUE,1.5,0)))*(1-IF(AND(ArtifactsInput!$M$27,Inputs!$B$4="Chapter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IFERROR(1/(IF(Inputs!$B$38="pvp",15,MAX(0.1,Skills!E12-IF(Skills!F12=TRUE,1.5,0)))*(1-IF(AND(ArtifactsInput!$M$27,Inputs!$B$4="Chapter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IFERROR(1/(IF(Inputs!$B$38="pvp",15,MAX(0.1,Skills!E13-IF(Skills!F13=TRUE,1.5,0)))*(1-IF(AND(ArtifactsInput!$M$27,Inputs!$B$4="Chapter Hunt"),CHOOSE(ArtifactsInput!$N$27+1,20,24,28,32,36,40),0)/100)),0)</f>
        <v/>
      </c>
      <c r="R2869">
        <f>IF(AND(Inputs!$B$38&lt;&gt;"pvp",Inputs!$B$43&gt;0),IF(MAX(0,Inputs!$B$43-B2894)&lt;=0,0,(INT(MAX(0,Inputs!$B$43-B2894)/(IF(Inputs!$B$38="pvp",15,MAX(0.1,Skills!E13-IF(Skills!F13=TRUE,1.5,0)))*(1-IF(AND(ArtifactsInput!$M$27,Inputs!$B$4="Chapter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IFERROR(1/(IF(Inputs!$B$38="pvp",15,MAX(0.1,Skills!E14-IF(Skills!F14=TRUE,1.5,0)))*(1-IF(AND(ArtifactsInput!$M$27,Inputs!$B$4="Chapter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IFERROR(1/(IF(Inputs!$B$38="pvp",15,MAX(0.1,Skills!E15-IF(Skills!F15=TRUE,1.5,0)))*(1-IF(AND(ArtifactsInput!$M$27,Inputs!$B$4="Chapter Hunt"),CHOOSE(ArtifactsInput!$N$27+1,20,24,28,32,36,40),0)/100)),0)</f>
        <v/>
      </c>
      <c r="R2871">
        <f>IF(AND(Inputs!$B$38&lt;&gt;"pvp",Inputs!$B$43&gt;0),IF(MAX(0,Inputs!$B$43-B2894)&lt;=0,0,(INT(MAX(0,Inputs!$B$43-B2894)/(IF(Inputs!$B$38="pvp",15,MAX(0.1,Skills!E15-IF(Skills!F15=TRUE,1.5,0)))*(1-IF(AND(ArtifactsInput!$M$27,Inputs!$B$4="Chapter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IFERROR(1/(IF(Inputs!$B$38="pvp",15,MAX(0.1,Skills!E16-IF(Skills!F16=TRUE,1.5,0)))*(1-IF(AND(ArtifactsInput!$M$27,Inputs!$B$4="Chapter Hunt"),CHOOSE(ArtifactsInput!$N$27+1,20,24,28,32,36,40),0)/100)),0)</f>
        <v/>
      </c>
      <c r="R2872">
        <f>IF(AND(Inputs!$B$38&lt;&gt;"pvp",Inputs!$B$43&gt;0),IF(MAX(0,Inputs!$B$43-B2894)&lt;=0,0,(INT(MAX(0,Inputs!$B$43-B2894)/(IF(Inputs!$B$38="pvp",15,MAX(0.1,Skills!E16-IF(Skills!F16=TRUE,1.5,0)))*(1-IF(AND(ArtifactsInput!$M$27,Inputs!$B$4="Chapter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IFERROR(1/(IF(Inputs!$B$38="pvp",15,MAX(0.1,Skills!E17-IF(Skills!F17=TRUE,1.5,0)))*(1-IF(AND(ArtifactsInput!$M$27,Inputs!$B$4="Chapter Hunt"),CHOOSE(ArtifactsInput!$N$27+1,20,24,28,32,36,40),0)/100)),0)</f>
        <v/>
      </c>
      <c r="R2873">
        <f>IF(AND(Inputs!$B$38&lt;&gt;"pvp",Inputs!$B$43&gt;0),IF(Inputs!$B$43&lt;=0,0,(INT(Inputs!$B$43/(IF(Inputs!$B$38="pvp",15,MAX(0.1,Skills!E17-IF(Skills!F17=TRUE,1.5,0)))*(1-IF(AND(ArtifactsInput!$M$27,Inputs!$B$4="Chapter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IFERROR(1/(IF(Inputs!$B$38="pvp",15,MAX(0.1,Skills!E18-IF(Skills!F18=TRUE,1.5,0)))*(1-IF(AND(ArtifactsInput!$M$27,Inputs!$B$4="Chapter Hunt"),CHOOSE(ArtifactsInput!$N$27+1,20,24,28,32,36,40),0)/100)),0)</f>
        <v/>
      </c>
      <c r="R2874">
        <f>IF(AND(Inputs!$B$38&lt;&gt;"pvp",Inputs!$B$43&gt;0),IF(Inputs!$B$43&lt;=0,0,(INT(Inputs!$B$43/(IF(Inputs!$B$38="pvp",15,MAX(0.1,Skills!E18-IF(Skills!F18=TRUE,1.5,0)))*(1-IF(AND(ArtifactsInput!$M$27,Inputs!$B$4="Chapter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IFERROR(1/(IF(Inputs!$B$38="pvp",15,MAX(0.1,Skills!E19-IF(Skills!F19=TRUE,1.5,0)))*(1-IF(AND(ArtifactsInput!$M$27,Inputs!$B$4="Chapter Hunt"),CHOOSE(ArtifactsInput!$N$27+1,20,24,28,32,36,40),0)/100)),0)</f>
        <v/>
      </c>
      <c r="R2875">
        <f>IF(AND(Inputs!$B$38&lt;&gt;"pvp",Inputs!$B$43&gt;0),IF(Inputs!$B$43&lt;=0,0,(INT(Inputs!$B$43/(IF(Inputs!$B$38="pvp",15,MAX(0.1,Skills!E19-IF(Skills!F19=TRUE,1.5,0)))*(1-IF(AND(ArtifactsInput!$M$27,Inputs!$B$4="Chapter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IFERROR(1/(IF(Inputs!$B$38="pvp",15,MAX(0.1,Skills!E20-IF(Skills!F20=TRUE,1.5,0)))*(1-IF(AND(ArtifactsInput!$M$27,Inputs!$B$4="Chapter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IFERROR(1/(IF(Inputs!$B$38="pvp",15,MAX(0.1,Skills!E21-IF(Skills!F21=TRUE,1.5,0)))*(1-IF(AND(ArtifactsInput!$M$27,Inputs!$B$4="Chapter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IFERROR(1/(IF(Inputs!$B$38="pvp",15,MAX(0.1,Skills!E22-IF(Skills!F22=TRUE,1.5,0)))*(1-IF(AND(ArtifactsInput!$M$27,Inputs!$B$4="Chapter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IFERROR(1/(IF(Inputs!$B$38="pvp",15,MAX(0.1,Skills!E23-IF(Skills!F23=TRUE,1.5,0)))*(1-IF(AND(ArtifactsInput!$M$27,Inputs!$B$4="Chapter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IFERROR(1/(IF(Inputs!$B$38="pvp",15,MAX(0.1,Skills!E24-IF(Skills!F24=TRUE,1.5,0)))*(1-IF(AND(ArtifactsInput!$M$27,Inputs!$B$4="Chapter Hunt"),CHOOSE(ArtifactsInput!$N$27+1,20,24,28,32,36,40),0)/100)),0)</f>
        <v/>
      </c>
      <c r="R2880">
        <f>IF(AND(Inputs!$B$38&lt;&gt;"pvp",Inputs!$B$43&gt;0),IF(MAX(0,Inputs!$B$43-B2894)&lt;=0,0,(INT(MAX(0,Inputs!$B$43-B2894)/(IF(Inputs!$B$38="pvp",15,MAX(0.1,Skills!E24-IF(Skills!F24=TRUE,1.5,0)))*(1-IF(AND(ArtifactsInput!$M$27,Inputs!$B$4="Chapter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IFERROR(1/(IF(Inputs!$B$38="pvp",15,MAX(0.1,Skills!E25-IF(Skills!F25=TRUE,1.5,0)))*(1-IF(AND(ArtifactsInput!$M$27,Inputs!$B$4="Chapter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IFERROR(1/(IF(Inputs!$B$38="pvp",15,MAX(0.1,Skills!E26-IF(Skills!F26=TRUE,1.5,0)))*(1-IF(AND(ArtifactsInput!$M$27,Inputs!$B$4="Chapter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IFERROR(1/(IF(Inputs!$B$38="pvp",15,MAX(0.1,Skills!E27-IF(Skills!F27=TRUE,1.5,0)))*(1-IF(AND(ArtifactsInput!$M$27,Inputs!$B$4="Chapter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IFERROR(1/(IF(Inputs!$B$38="pvp",15,MAX(0.1,Skills!E28-IF(Skills!F28=TRUE,1.5,0)))*(1-IF(AND(ArtifactsInput!$M$27,Inputs!$B$4="Chapter Hunt"),CHOOSE(ArtifactsInput!$N$27+1,20,24,28,32,36,40),0)/100)),0)</f>
        <v/>
      </c>
      <c r="R2884">
        <f>IF(AND(Inputs!$B$38&lt;&gt;"pvp",Inputs!$B$43&gt;0),IF(MAX(0,Inputs!$B$43-B2894)&lt;=0,0,(INT(MAX(0,Inputs!$B$43-B2894)/(IF(Inputs!$B$38="pvp",15,MAX(0.1,Skills!E28-IF(Skills!F28=TRUE,1.5,0)))*(1-IF(AND(ArtifactsInput!$M$27,Inputs!$B$4="Chapter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Skills!T6*(1+((Inputs!$B$34+(ArtifactsInput!$M$7-ArtifactsInput!$M$7)*CHOOSE(ArtifactsInput!$N$7+1,6,7.2,8.4,9.6,10.8,12))+IF(Inputs!$B$3&gt;=117,F2881,0))/100))+MIN((Skills!T6*(1+((Inputs!$B$34+(ArtifactsInput!$M$7-ArtifactsInput!$M$7)*CHOOSE(ArtifactsInput!$N$7+1,6,7.2,8.4,9.6,10.8,12))+IF(Inputs!$B$3&gt;=117,F2881,0))/100)),MAX(0,Inputs!$B$43-((R2862-1)*Skills!E6))))/Inputs!$B$43),IF(Inputs!$B$38="pvp",MIN((Skills!T6*(1+((Inputs!$B$34+(ArtifactsInput!$M$7-ArtifactsInput!$M$7)*CHOOSE(ArtifactsInput!$N$7+1,6,7.2,8.4,9.6,10.8,12))+IF(Inputs!$B$3&gt;=117,F2881,0))/100)),15)/15,(Skills!T6*(1+((Inputs!$B$34+(ArtifactsInput!$M$7-ArtifactsInput!$M$7)*CHOOSE(ArtifactsInput!$N$7+1,6,7.2,8.4,9.6,10.8,12))+IF(Inputs!$B$3&gt;=117,F2881,0))/100))/Skills!E6))+F2873*IF(AND(Inputs!$B$38&lt;&gt;"pvp",Inputs!$B$43&gt;0),(((R2873-1)*(Skills!T17*(1+((Inputs!$B$34+(ArtifactsInput!$M$7-ArtifactsInput!$M$7)*CHOOSE(ArtifactsInput!$N$7+1,6,7.2,8.4,9.6,10.8,12))+IF(Inputs!$B$3&gt;=117,F2881,0))/100))+MIN((Skills!T17*(1+((Inputs!$B$34+(ArtifactsInput!$M$7-ArtifactsInput!$M$7)*CHOOSE(ArtifactsInput!$N$7+1,6,7.2,8.4,9.6,10.8,12))+IF(Inputs!$B$3&gt;=117,F2881,0))/100)),MAX(0,Inputs!$B$43-((R2873-1)*Skills!E17))))/Inputs!$B$43),IF(Inputs!$B$38="pvp",MIN((Skills!T17*(1+((Inputs!$B$34+(ArtifactsInput!$M$7-ArtifactsInput!$M$7)*CHOOSE(ArtifactsInput!$N$7+1,6,7.2,8.4,9.6,10.8,12))+IF(Inputs!$B$3&gt;=117,F2881,0))/100)),15)/15,(Skills!T17*(1+((Inputs!$B$34+(ArtifactsInput!$M$7-ArtifactsInput!$M$7)*CHOOSE(ArtifactsInput!$N$7+1,6,7.2,8.4,9.6,10.8,12))+IF(Inputs!$B$3&gt;=117,F2881,0)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Skills!T19*(1+((Inputs!$B$34+(ArtifactsInput!$M$7-ArtifactsInput!$M$7)*CHOOSE(ArtifactsInput!$N$7+1,6,7.2,8.4,9.6,10.8,12))+IF(Inputs!$B$3&gt;=117,F2881,0))/100))+MIN((Skills!T19*(1+((Inputs!$B$34+(ArtifactsInput!$M$7-ArtifactsInput!$M$7)*CHOOSE(ArtifactsInput!$N$7+1,6,7.2,8.4,9.6,10.8,12))+IF(Inputs!$B$3&gt;=117,F2881,0))/100)),MAX(0,Inputs!$B$43-((R2875-1)*Skills!E19))))/Inputs!$B$43),IF(Inputs!$B$38="pvp",MIN((Skills!T19*(1+((Inputs!$B$34+(ArtifactsInput!$M$7-ArtifactsInput!$M$7)*CHOOSE(ArtifactsInput!$N$7+1,6,7.2,8.4,9.6,10.8,12))+IF(Inputs!$B$3&gt;=117,F2881,0))/100)),15)/15,(Skills!T19*(1+((Inputs!$B$34+(ArtifactsInput!$M$7-ArtifactsInput!$M$7)*CHOOSE(ArtifactsInput!$N$7+1,6,7.2,8.4,9.6,10.8,12))+IF(Inputs!$B$3&gt;=117,F2881,0))/100))/Skills!E19))/100),1)</f>
        <v/>
      </c>
    </row>
    <row r="2889">
      <c r="A2889" t="inlineStr">
        <is>
          <t>Attack Speed Buff Bonus % (Nimble Feet, averaged)</t>
        </is>
      </c>
      <c r="B2889">
        <f>F2874*IF(AND(Inputs!$B$38&lt;&gt;"pvp",Inputs!$B$43&gt;0),(((R2874-1)*(Skills!T18*(1+((Inputs!$B$34+(ArtifactsInput!$M$7-ArtifactsInput!$M$7)*CHOOSE(ArtifactsInput!$N$7+1,6,7.2,8.4,9.6,10.8,12))+IF(Inputs!$B$3&gt;=117,F2881,0))/100))+MIN((Skills!T18*(1+((Inputs!$B$34+(ArtifactsInput!$M$7-ArtifactsInput!$M$7)*CHOOSE(ArtifactsInput!$N$7+1,6,7.2,8.4,9.6,10.8,12))+IF(Inputs!$B$3&gt;=117,F2881,0))/100)),MAX(0,Inputs!$B$43-((R2874-1)*Skills!E18))))/Inputs!$B$43),IF(Inputs!$B$38="pvp",MIN((Skills!T18*(1+((Inputs!$B$34+(ArtifactsInput!$M$7-ArtifactsInput!$M$7)*CHOOSE(ArtifactsInput!$N$7+1,6,7.2,8.4,9.6,10.8,12))+IF(Inputs!$B$3&gt;=117,F2881,0))/100)),15)/15,(Skills!T18*(1+((Inputs!$B$34+(ArtifactsInput!$M$7-ArtifactsInput!$M$7)*CHOOSE(ArtifactsInput!$N$7+1,6,7.2,8.4,9.6,10.8,12))+IF(Inputs!$B$3&gt;=117,F2881,0))/100))/Skills!E18))</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IFERROR(1/(IF(Inputs!$B$38="pvp",15,MAX(0.1,Skills!E2-IF(Skills!F2=TRUE,2.0,0)))*(1-IF(AND(ArtifactsInput!$M$27,Inputs!$B$4="Chapter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IFERROR(1/(IF(Inputs!$B$38="pvp",15,MAX(0.1,Skills!E3-IF(Skills!F3=TRUE,2.0,0)))*(1-IF(AND(ArtifactsInput!$M$27,Inputs!$B$4="Chapter Hunt"),CHOOSE(ArtifactsInput!$N$27+1,20,24,28,32,36,40),0)/100)),0)</f>
        <v/>
      </c>
      <c r="R2903">
        <f>IF(AND(Inputs!$B$38&lt;&gt;"pvp",Inputs!$B$43&gt;0),IF(MAX(0,Inputs!$B$43-B2938)&lt;=0,0,(INT(MAX(0,Inputs!$B$43-B2938)/(IF(Inputs!$B$38="pvp",15,MAX(0.1,Skills!E3-IF(Skills!F3=TRUE,2.0,0)))*(1-IF(AND(ArtifactsInput!$M$27,Inputs!$B$4="Chapter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IFERROR(1/(IF(Inputs!$B$38="pvp",15,MAX(0.1,Skills!E4-IF(Skills!F4=TRUE,2.0,0)))*(1-IF(AND(ArtifactsInput!$M$27,Inputs!$B$4="Chapter Hunt"),CHOOSE(ArtifactsInput!$N$27+1,20,24,28,32,36,40),0)/100)),0)</f>
        <v/>
      </c>
      <c r="R2904">
        <f>IF(AND(Inputs!$B$38&lt;&gt;"pvp",Inputs!$B$43&gt;0),IF(MAX(0,Inputs!$B$43-B2938)&lt;=0,0,(INT(MAX(0,Inputs!$B$43-B2938)/(IF(Inputs!$B$38="pvp",15,MAX(0.1,Skills!E4-IF(Skills!F4=TRUE,2.0,0)))*(1-IF(AND(ArtifactsInput!$M$27,Inputs!$B$4="Chapter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IFERROR(1/(IF(Inputs!$B$38="pvp",15,MAX(0.1,Skills!E5-IF(Skills!F5=TRUE,2.0,0)))*(1-IF(AND(ArtifactsInput!$M$27,Inputs!$B$4="Chapter Hunt"),CHOOSE(ArtifactsInput!$N$27+1,20,24,28,32,36,40),0)/100)),0)</f>
        <v/>
      </c>
      <c r="R2905">
        <f>IF(AND(Inputs!$B$38&lt;&gt;"pvp",Inputs!$B$43&gt;0),IF(MAX(0,Inputs!$B$43-B2938)&lt;=0,0,(INT(MAX(0,Inputs!$B$43-B2938)/(IF(Inputs!$B$38="pvp",15,MAX(0.1,Skills!E5-IF(Skills!F5=TRUE,2.0,0)))*(1-IF(AND(ArtifactsInput!$M$27,Inputs!$B$4="Chapter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IFERROR(1/(IF(Inputs!$B$38="pvp",15,MAX(0.1,Skills!E6-IF(Skills!F6=TRUE,2.0,0)))*(1-IF(AND(ArtifactsInput!$M$27,Inputs!$B$4="Chapter Hunt"),CHOOSE(ArtifactsInput!$N$27+1,20,24,28,32,36,40),0)/100)),0)</f>
        <v/>
      </c>
      <c r="R2906">
        <f>IF(AND(Inputs!$B$38&lt;&gt;"pvp",Inputs!$B$43&gt;0),IF(Inputs!$B$43&lt;=0,0,(INT(Inputs!$B$43/(IF(Inputs!$B$38="pvp",15,MAX(0.1,Skills!E6-IF(Skills!F6=TRUE,2.0,0)))*(1-IF(AND(ArtifactsInput!$M$27,Inputs!$B$4="Chapter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IFERROR(1/(IF(Inputs!$B$38="pvp",15,MAX(0.1,Skills!E7-IF(Skills!F7=TRUE,2.0,0)))*(1-IF(AND(ArtifactsInput!$M$27,Inputs!$B$4="Chapter Hunt"),CHOOSE(ArtifactsInput!$N$27+1,20,24,28,32,36,40),0)/100)),0)</f>
        <v/>
      </c>
      <c r="R2907">
        <f>IF(AND(Inputs!$B$38&lt;&gt;"pvp",Inputs!$B$43&gt;0),IF(MAX(0,Inputs!$B$43-B2938)&lt;=0,0,(INT(MAX(0,Inputs!$B$43-B2938)/(IF(Inputs!$B$38="pvp",15,MAX(0.1,Skills!E7-IF(Skills!F7=TRUE,2.0,0)))*(1-IF(AND(ArtifactsInput!$M$27,Inputs!$B$4="Chapter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IFERROR(1/(IF(Inputs!$B$38="pvp",15,MAX(0.1,Skills!E8-IF(Skills!F8=TRUE,2.0,0)))*(1-IF(AND(ArtifactsInput!$M$27,Inputs!$B$4="Chapter Hunt"),CHOOSE(ArtifactsInput!$N$27+1,20,24,28,32,36,40),0)/100)),0)</f>
        <v/>
      </c>
      <c r="R2908">
        <f>IF(AND(Inputs!$B$38&lt;&gt;"pvp",Inputs!$B$43&gt;0),IF(MAX(0,Inputs!$B$43-B2938)&lt;=0,0,(INT(MAX(0,Inputs!$B$43-B2938)/(IF(Inputs!$B$38="pvp",15,MAX(0.1,Skills!E8-IF(Skills!F8=TRUE,2.0,0)))*(1-IF(AND(ArtifactsInput!$M$27,Inputs!$B$4="Chapter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IFERROR(1/(IF(Inputs!$B$38="pvp",15,MAX(0.1,Skills!E9-IF(Skills!F7=TRUE,2.0,0)))*(1-IF(AND(ArtifactsInput!$M$27,Inputs!$B$4="Chapter Hunt"),CHOOSE(ArtifactsInput!$N$27+1,20,24,28,32,36,40),0)/100)),0)</f>
        <v/>
      </c>
      <c r="R2909">
        <f>IF(AND(Inputs!$B$38&lt;&gt;"pvp",Inputs!$B$43&gt;0),IF(MAX(0,Inputs!$B$43-B2938)&lt;=0,0,(INT(MAX(0,Inputs!$B$43-B2938)/(IF(Inputs!$B$38="pvp",15,MAX(0.1,Skills!E9-IF(Skills!F7=TRUE,2.0,0)))*(1-IF(AND(ArtifactsInput!$M$27,Inputs!$B$4="Chapter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IFERROR(1/(IF(Inputs!$B$38="pvp",15,MAX(0.1,Skills!E10-IF(Skills!F10=TRUE,2.0,0)))*(1-IF(AND(ArtifactsInput!$M$27,Inputs!$B$4="Chapter Hunt"),CHOOSE(ArtifactsInput!$N$27+1,20,24,28,32,36,40),0)/100)),0)</f>
        <v/>
      </c>
      <c r="R2910">
        <f>IF(AND(Inputs!$B$38&lt;&gt;"pvp",Inputs!$B$43&gt;0),IF(MAX(0,Inputs!$B$43-B2938)&lt;=0,0,(INT(MAX(0,Inputs!$B$43-B2938)/(IF(Inputs!$B$38="pvp",15,MAX(0.1,Skills!E10-IF(Skills!F10=TRUE,2.0,0)))*(1-IF(AND(ArtifactsInput!$M$27,Inputs!$B$4="Chapter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IFERROR(1/(IF(Inputs!$B$38="pvp",15,MAX(0.1,Skills!E11-IF(Skills!F11=TRUE,2.0,0)))*(1-IF(AND(ArtifactsInput!$M$27,Inputs!$B$4="Chapter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IFERROR(1/(IF(Inputs!$B$38="pvp",15,MAX(0.1,Skills!E12-IF(Skills!F12=TRUE,2.0,0)))*(1-IF(AND(ArtifactsInput!$M$27,Inputs!$B$4="Chapter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IFERROR(1/(IF(Inputs!$B$38="pvp",15,MAX(0.1,Skills!E13-IF(Skills!F13=TRUE,2.0,0)))*(1-IF(AND(ArtifactsInput!$M$27,Inputs!$B$4="Chapter Hunt"),CHOOSE(ArtifactsInput!$N$27+1,20,24,28,32,36,40),0)/100)),0)</f>
        <v/>
      </c>
      <c r="R2913">
        <f>IF(AND(Inputs!$B$38&lt;&gt;"pvp",Inputs!$B$43&gt;0),IF(MAX(0,Inputs!$B$43-B2938)&lt;=0,0,(INT(MAX(0,Inputs!$B$43-B2938)/(IF(Inputs!$B$38="pvp",15,MAX(0.1,Skills!E13-IF(Skills!F13=TRUE,2.0,0)))*(1-IF(AND(ArtifactsInput!$M$27,Inputs!$B$4="Chapter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IFERROR(1/(IF(Inputs!$B$38="pvp",15,MAX(0.1,Skills!E14-IF(Skills!F14=TRUE,2.0,0)))*(1-IF(AND(ArtifactsInput!$M$27,Inputs!$B$4="Chapter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IFERROR(1/(IF(Inputs!$B$38="pvp",15,MAX(0.1,Skills!E15-IF(Skills!F15=TRUE,2.0,0)))*(1-IF(AND(ArtifactsInput!$M$27,Inputs!$B$4="Chapter Hunt"),CHOOSE(ArtifactsInput!$N$27+1,20,24,28,32,36,40),0)/100)),0)</f>
        <v/>
      </c>
      <c r="R2915">
        <f>IF(AND(Inputs!$B$38&lt;&gt;"pvp",Inputs!$B$43&gt;0),IF(MAX(0,Inputs!$B$43-B2938)&lt;=0,0,(INT(MAX(0,Inputs!$B$43-B2938)/(IF(Inputs!$B$38="pvp",15,MAX(0.1,Skills!E15-IF(Skills!F15=TRUE,2.0,0)))*(1-IF(AND(ArtifactsInput!$M$27,Inputs!$B$4="Chapter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IFERROR(1/(IF(Inputs!$B$38="pvp",15,MAX(0.1,Skills!E16-IF(Skills!F16=TRUE,2.0,0)))*(1-IF(AND(ArtifactsInput!$M$27,Inputs!$B$4="Chapter Hunt"),CHOOSE(ArtifactsInput!$N$27+1,20,24,28,32,36,40),0)/100)),0)</f>
        <v/>
      </c>
      <c r="R2916">
        <f>IF(AND(Inputs!$B$38&lt;&gt;"pvp",Inputs!$B$43&gt;0),IF(MAX(0,Inputs!$B$43-B2938)&lt;=0,0,(INT(MAX(0,Inputs!$B$43-B2938)/(IF(Inputs!$B$38="pvp",15,MAX(0.1,Skills!E16-IF(Skills!F16=TRUE,2.0,0)))*(1-IF(AND(ArtifactsInput!$M$27,Inputs!$B$4="Chapter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IFERROR(1/(IF(Inputs!$B$38="pvp",15,MAX(0.1,Skills!E17-IF(Skills!F17=TRUE,2.0,0)))*(1-IF(AND(ArtifactsInput!$M$27,Inputs!$B$4="Chapter Hunt"),CHOOSE(ArtifactsInput!$N$27+1,20,24,28,32,36,40),0)/100)),0)</f>
        <v/>
      </c>
      <c r="R2917">
        <f>IF(AND(Inputs!$B$38&lt;&gt;"pvp",Inputs!$B$43&gt;0),IF(Inputs!$B$43&lt;=0,0,(INT(Inputs!$B$43/(IF(Inputs!$B$38="pvp",15,MAX(0.1,Skills!E17-IF(Skills!F17=TRUE,2.0,0)))*(1-IF(AND(ArtifactsInput!$M$27,Inputs!$B$4="Chapter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IFERROR(1/(IF(Inputs!$B$38="pvp",15,MAX(0.1,Skills!E18-IF(Skills!F18=TRUE,2.0,0)))*(1-IF(AND(ArtifactsInput!$M$27,Inputs!$B$4="Chapter Hunt"),CHOOSE(ArtifactsInput!$N$27+1,20,24,28,32,36,40),0)/100)),0)</f>
        <v/>
      </c>
      <c r="R2918">
        <f>IF(AND(Inputs!$B$38&lt;&gt;"pvp",Inputs!$B$43&gt;0),IF(Inputs!$B$43&lt;=0,0,(INT(Inputs!$B$43/(IF(Inputs!$B$38="pvp",15,MAX(0.1,Skills!E18-IF(Skills!F18=TRUE,2.0,0)))*(1-IF(AND(ArtifactsInput!$M$27,Inputs!$B$4="Chapter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IFERROR(1/(IF(Inputs!$B$38="pvp",15,MAX(0.1,Skills!E19-IF(Skills!F19=TRUE,2.0,0)))*(1-IF(AND(ArtifactsInput!$M$27,Inputs!$B$4="Chapter Hunt"),CHOOSE(ArtifactsInput!$N$27+1,20,24,28,32,36,40),0)/100)),0)</f>
        <v/>
      </c>
      <c r="R2919">
        <f>IF(AND(Inputs!$B$38&lt;&gt;"pvp",Inputs!$B$43&gt;0),IF(Inputs!$B$43&lt;=0,0,(INT(Inputs!$B$43/(IF(Inputs!$B$38="pvp",15,MAX(0.1,Skills!E19-IF(Skills!F19=TRUE,2.0,0)))*(1-IF(AND(ArtifactsInput!$M$27,Inputs!$B$4="Chapter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IFERROR(1/(IF(Inputs!$B$38="pvp",15,MAX(0.1,Skills!E20-IF(Skills!F20=TRUE,2.0,0)))*(1-IF(AND(ArtifactsInput!$M$27,Inputs!$B$4="Chapter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IFERROR(1/(IF(Inputs!$B$38="pvp",15,MAX(0.1,Skills!E21-IF(Skills!F21=TRUE,2.0,0)))*(1-IF(AND(ArtifactsInput!$M$27,Inputs!$B$4="Chapter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IFERROR(1/(IF(Inputs!$B$38="pvp",15,MAX(0.1,Skills!E22-IF(Skills!F22=TRUE,2.0,0)))*(1-IF(AND(ArtifactsInput!$M$27,Inputs!$B$4="Chapter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IFERROR(1/(IF(Inputs!$B$38="pvp",15,MAX(0.1,Skills!E23-IF(Skills!F23=TRUE,2.0,0)))*(1-IF(AND(ArtifactsInput!$M$27,Inputs!$B$4="Chapter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IFERROR(1/(IF(Inputs!$B$38="pvp",15,MAX(0.1,Skills!E24-IF(Skills!F24=TRUE,2.0,0)))*(1-IF(AND(ArtifactsInput!$M$27,Inputs!$B$4="Chapter Hunt"),CHOOSE(ArtifactsInput!$N$27+1,20,24,28,32,36,40),0)/100)),0)</f>
        <v/>
      </c>
      <c r="R2924">
        <f>IF(AND(Inputs!$B$38&lt;&gt;"pvp",Inputs!$B$43&gt;0),IF(MAX(0,Inputs!$B$43-B2938)&lt;=0,0,(INT(MAX(0,Inputs!$B$43-B2938)/(IF(Inputs!$B$38="pvp",15,MAX(0.1,Skills!E24-IF(Skills!F24=TRUE,2.0,0)))*(1-IF(AND(ArtifactsInput!$M$27,Inputs!$B$4="Chapter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IFERROR(1/(IF(Inputs!$B$38="pvp",15,MAX(0.1,Skills!E25-IF(Skills!F25=TRUE,2.0,0)))*(1-IF(AND(ArtifactsInput!$M$27,Inputs!$B$4="Chapter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IFERROR(1/(IF(Inputs!$B$38="pvp",15,MAX(0.1,Skills!E26-IF(Skills!F26=TRUE,2.0,0)))*(1-IF(AND(ArtifactsInput!$M$27,Inputs!$B$4="Chapter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IFERROR(1/(IF(Inputs!$B$38="pvp",15,MAX(0.1,Skills!E27-IF(Skills!F27=TRUE,2.0,0)))*(1-IF(AND(ArtifactsInput!$M$27,Inputs!$B$4="Chapter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IFERROR(1/(IF(Inputs!$B$38="pvp",15,MAX(0.1,Skills!E28-IF(Skills!F28=TRUE,2.0,0)))*(1-IF(AND(ArtifactsInput!$M$27,Inputs!$B$4="Chapter Hunt"),CHOOSE(ArtifactsInput!$N$27+1,20,24,28,32,36,40),0)/100)),0)</f>
        <v/>
      </c>
      <c r="R2928">
        <f>IF(AND(Inputs!$B$38&lt;&gt;"pvp",Inputs!$B$43&gt;0),IF(MAX(0,Inputs!$B$43-B2938)&lt;=0,0,(INT(MAX(0,Inputs!$B$43-B2938)/(IF(Inputs!$B$38="pvp",15,MAX(0.1,Skills!E28-IF(Skills!F28=TRUE,2.0,0)))*(1-IF(AND(ArtifactsInput!$M$27,Inputs!$B$4="Chapter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Skills!T6*(1+((Inputs!$B$34+(ArtifactsInput!$M$7-ArtifactsInput!$M$7)*CHOOSE(ArtifactsInput!$N$7+1,6,7.2,8.4,9.6,10.8,12))+IF(Inputs!$B$3&gt;=117,F2925,0))/100))+MIN((Skills!T6*(1+((Inputs!$B$34+(ArtifactsInput!$M$7-ArtifactsInput!$M$7)*CHOOSE(ArtifactsInput!$N$7+1,6,7.2,8.4,9.6,10.8,12))+IF(Inputs!$B$3&gt;=117,F2925,0))/100)),MAX(0,Inputs!$B$43-((R2906-1)*Skills!E6))))/Inputs!$B$43),IF(Inputs!$B$38="pvp",MIN((Skills!T6*(1+((Inputs!$B$34+(ArtifactsInput!$M$7-ArtifactsInput!$M$7)*CHOOSE(ArtifactsInput!$N$7+1,6,7.2,8.4,9.6,10.8,12))+IF(Inputs!$B$3&gt;=117,F2925,0))/100)),15)/15,(Skills!T6*(1+((Inputs!$B$34+(ArtifactsInput!$M$7-ArtifactsInput!$M$7)*CHOOSE(ArtifactsInput!$N$7+1,6,7.2,8.4,9.6,10.8,12))+IF(Inputs!$B$3&gt;=117,F2925,0))/100))/Skills!E6))+F2917*IF(AND(Inputs!$B$38&lt;&gt;"pvp",Inputs!$B$43&gt;0),(((R2917-1)*(Skills!T17*(1+((Inputs!$B$34+(ArtifactsInput!$M$7-ArtifactsInput!$M$7)*CHOOSE(ArtifactsInput!$N$7+1,6,7.2,8.4,9.6,10.8,12))+IF(Inputs!$B$3&gt;=117,F2925,0))/100))+MIN((Skills!T17*(1+((Inputs!$B$34+(ArtifactsInput!$M$7-ArtifactsInput!$M$7)*CHOOSE(ArtifactsInput!$N$7+1,6,7.2,8.4,9.6,10.8,12))+IF(Inputs!$B$3&gt;=117,F2925,0))/100)),MAX(0,Inputs!$B$43-((R2917-1)*Skills!E17))))/Inputs!$B$43),IF(Inputs!$B$38="pvp",MIN((Skills!T17*(1+((Inputs!$B$34+(ArtifactsInput!$M$7-ArtifactsInput!$M$7)*CHOOSE(ArtifactsInput!$N$7+1,6,7.2,8.4,9.6,10.8,12))+IF(Inputs!$B$3&gt;=117,F2925,0))/100)),15)/15,(Skills!T17*(1+((Inputs!$B$34+(ArtifactsInput!$M$7-ArtifactsInput!$M$7)*CHOOSE(ArtifactsInput!$N$7+1,6,7.2,8.4,9.6,10.8,12))+IF(Inputs!$B$3&gt;=117,F2925,0)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Skills!T19*(1+((Inputs!$B$34+(ArtifactsInput!$M$7-ArtifactsInput!$M$7)*CHOOSE(ArtifactsInput!$N$7+1,6,7.2,8.4,9.6,10.8,12))+IF(Inputs!$B$3&gt;=117,F2925,0))/100))+MIN((Skills!T19*(1+((Inputs!$B$34+(ArtifactsInput!$M$7-ArtifactsInput!$M$7)*CHOOSE(ArtifactsInput!$N$7+1,6,7.2,8.4,9.6,10.8,12))+IF(Inputs!$B$3&gt;=117,F2925,0))/100)),MAX(0,Inputs!$B$43-((R2919-1)*Skills!E19))))/Inputs!$B$43),IF(Inputs!$B$38="pvp",MIN((Skills!T19*(1+((Inputs!$B$34+(ArtifactsInput!$M$7-ArtifactsInput!$M$7)*CHOOSE(ArtifactsInput!$N$7+1,6,7.2,8.4,9.6,10.8,12))+IF(Inputs!$B$3&gt;=117,F2925,0))/100)),15)/15,(Skills!T19*(1+((Inputs!$B$34+(ArtifactsInput!$M$7-ArtifactsInput!$M$7)*CHOOSE(ArtifactsInput!$N$7+1,6,7.2,8.4,9.6,10.8,12))+IF(Inputs!$B$3&gt;=117,F2925,0))/100))/Skills!E19))/100),1)</f>
        <v/>
      </c>
    </row>
    <row r="2933">
      <c r="A2933" t="inlineStr">
        <is>
          <t>Attack Speed Buff Bonus % (Nimble Feet, averaged)</t>
        </is>
      </c>
      <c r="B2933">
        <f>F2918*IF(AND(Inputs!$B$38&lt;&gt;"pvp",Inputs!$B$43&gt;0),(((R2918-1)*(Skills!T18*(1+((Inputs!$B$34+(ArtifactsInput!$M$7-ArtifactsInput!$M$7)*CHOOSE(ArtifactsInput!$N$7+1,6,7.2,8.4,9.6,10.8,12))+IF(Inputs!$B$3&gt;=117,F2925,0))/100))+MIN((Skills!T18*(1+((Inputs!$B$34+(ArtifactsInput!$M$7-ArtifactsInput!$M$7)*CHOOSE(ArtifactsInput!$N$7+1,6,7.2,8.4,9.6,10.8,12))+IF(Inputs!$B$3&gt;=117,F2925,0))/100)),MAX(0,Inputs!$B$43-((R2918-1)*Skills!E18))))/Inputs!$B$43),IF(Inputs!$B$38="pvp",MIN((Skills!T18*(1+((Inputs!$B$34+(ArtifactsInput!$M$7-ArtifactsInput!$M$7)*CHOOSE(ArtifactsInput!$N$7+1,6,7.2,8.4,9.6,10.8,12))+IF(Inputs!$B$3&gt;=117,F2925,0))/100)),15)/15,(Skills!T18*(1+((Inputs!$B$34+(ArtifactsInput!$M$7-ArtifactsInput!$M$7)*CHOOSE(ArtifactsInput!$N$7+1,6,7.2,8.4,9.6,10.8,12))+IF(Inputs!$B$3&gt;=117,F2925,0))/100))/Skills!E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IFERROR(1/(IF(Inputs!$B$38="pvp",15,MAX(0.1,Skills!E2-IF(Skills!F2=TRUE,2.5,0)))*(1-IF(AND(ArtifactsInput!$M$27,Inputs!$B$4="Chapter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IFERROR(1/(IF(Inputs!$B$38="pvp",15,MAX(0.1,Skills!E3-IF(Skills!F3=TRUE,2.5,0)))*(1-IF(AND(ArtifactsInput!$M$27,Inputs!$B$4="Chapter Hunt"),CHOOSE(ArtifactsInput!$N$27+1,20,24,28,32,36,40),0)/100)),0)</f>
        <v/>
      </c>
      <c r="R2947">
        <f>IF(AND(Inputs!$B$38&lt;&gt;"pvp",Inputs!$B$43&gt;0),IF(MAX(0,Inputs!$B$43-B2982)&lt;=0,0,(INT(MAX(0,Inputs!$B$43-B2982)/(IF(Inputs!$B$38="pvp",15,MAX(0.1,Skills!E3-IF(Skills!F3=TRUE,2.5,0)))*(1-IF(AND(ArtifactsInput!$M$27,Inputs!$B$4="Chapter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IFERROR(1/(IF(Inputs!$B$38="pvp",15,MAX(0.1,Skills!E4-IF(Skills!F4=TRUE,2.5,0)))*(1-IF(AND(ArtifactsInput!$M$27,Inputs!$B$4="Chapter Hunt"),CHOOSE(ArtifactsInput!$N$27+1,20,24,28,32,36,40),0)/100)),0)</f>
        <v/>
      </c>
      <c r="R2948">
        <f>IF(AND(Inputs!$B$38&lt;&gt;"pvp",Inputs!$B$43&gt;0),IF(MAX(0,Inputs!$B$43-B2982)&lt;=0,0,(INT(MAX(0,Inputs!$B$43-B2982)/(IF(Inputs!$B$38="pvp",15,MAX(0.1,Skills!E4-IF(Skills!F4=TRUE,2.5,0)))*(1-IF(AND(ArtifactsInput!$M$27,Inputs!$B$4="Chapter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IFERROR(1/(IF(Inputs!$B$38="pvp",15,MAX(0.1,Skills!E5-IF(Skills!F5=TRUE,2.5,0)))*(1-IF(AND(ArtifactsInput!$M$27,Inputs!$B$4="Chapter Hunt"),CHOOSE(ArtifactsInput!$N$27+1,20,24,28,32,36,40),0)/100)),0)</f>
        <v/>
      </c>
      <c r="R2949">
        <f>IF(AND(Inputs!$B$38&lt;&gt;"pvp",Inputs!$B$43&gt;0),IF(MAX(0,Inputs!$B$43-B2982)&lt;=0,0,(INT(MAX(0,Inputs!$B$43-B2982)/(IF(Inputs!$B$38="pvp",15,MAX(0.1,Skills!E5-IF(Skills!F5=TRUE,2.5,0)))*(1-IF(AND(ArtifactsInput!$M$27,Inputs!$B$4="Chapter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IFERROR(1/(IF(Inputs!$B$38="pvp",15,MAX(0.1,Skills!E6-IF(Skills!F6=TRUE,2.5,0)))*(1-IF(AND(ArtifactsInput!$M$27,Inputs!$B$4="Chapter Hunt"),CHOOSE(ArtifactsInput!$N$27+1,20,24,28,32,36,40),0)/100)),0)</f>
        <v/>
      </c>
      <c r="R2950">
        <f>IF(AND(Inputs!$B$38&lt;&gt;"pvp",Inputs!$B$43&gt;0),IF(Inputs!$B$43&lt;=0,0,(INT(Inputs!$B$43/(IF(Inputs!$B$38="pvp",15,MAX(0.1,Skills!E6-IF(Skills!F6=TRUE,2.5,0)))*(1-IF(AND(ArtifactsInput!$M$27,Inputs!$B$4="Chapter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IFERROR(1/(IF(Inputs!$B$38="pvp",15,MAX(0.1,Skills!E7-IF(Skills!F7=TRUE,2.5,0)))*(1-IF(AND(ArtifactsInput!$M$27,Inputs!$B$4="Chapter Hunt"),CHOOSE(ArtifactsInput!$N$27+1,20,24,28,32,36,40),0)/100)),0)</f>
        <v/>
      </c>
      <c r="R2951">
        <f>IF(AND(Inputs!$B$38&lt;&gt;"pvp",Inputs!$B$43&gt;0),IF(MAX(0,Inputs!$B$43-B2982)&lt;=0,0,(INT(MAX(0,Inputs!$B$43-B2982)/(IF(Inputs!$B$38="pvp",15,MAX(0.1,Skills!E7-IF(Skills!F7=TRUE,2.5,0)))*(1-IF(AND(ArtifactsInput!$M$27,Inputs!$B$4="Chapter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IFERROR(1/(IF(Inputs!$B$38="pvp",15,MAX(0.1,Skills!E8-IF(Skills!F8=TRUE,2.5,0)))*(1-IF(AND(ArtifactsInput!$M$27,Inputs!$B$4="Chapter Hunt"),CHOOSE(ArtifactsInput!$N$27+1,20,24,28,32,36,40),0)/100)),0)</f>
        <v/>
      </c>
      <c r="R2952">
        <f>IF(AND(Inputs!$B$38&lt;&gt;"pvp",Inputs!$B$43&gt;0),IF(MAX(0,Inputs!$B$43-B2982)&lt;=0,0,(INT(MAX(0,Inputs!$B$43-B2982)/(IF(Inputs!$B$38="pvp",15,MAX(0.1,Skills!E8-IF(Skills!F8=TRUE,2.5,0)))*(1-IF(AND(ArtifactsInput!$M$27,Inputs!$B$4="Chapter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IFERROR(1/(IF(Inputs!$B$38="pvp",15,MAX(0.1,Skills!E9-IF(Skills!F7=TRUE,2.5,0)))*(1-IF(AND(ArtifactsInput!$M$27,Inputs!$B$4="Chapter Hunt"),CHOOSE(ArtifactsInput!$N$27+1,20,24,28,32,36,40),0)/100)),0)</f>
        <v/>
      </c>
      <c r="R2953">
        <f>IF(AND(Inputs!$B$38&lt;&gt;"pvp",Inputs!$B$43&gt;0),IF(MAX(0,Inputs!$B$43-B2982)&lt;=0,0,(INT(MAX(0,Inputs!$B$43-B2982)/(IF(Inputs!$B$38="pvp",15,MAX(0.1,Skills!E9-IF(Skills!F7=TRUE,2.5,0)))*(1-IF(AND(ArtifactsInput!$M$27,Inputs!$B$4="Chapter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IFERROR(1/(IF(Inputs!$B$38="pvp",15,MAX(0.1,Skills!E10-IF(Skills!F10=TRUE,2.5,0)))*(1-IF(AND(ArtifactsInput!$M$27,Inputs!$B$4="Chapter Hunt"),CHOOSE(ArtifactsInput!$N$27+1,20,24,28,32,36,40),0)/100)),0)</f>
        <v/>
      </c>
      <c r="R2954">
        <f>IF(AND(Inputs!$B$38&lt;&gt;"pvp",Inputs!$B$43&gt;0),IF(MAX(0,Inputs!$B$43-B2982)&lt;=0,0,(INT(MAX(0,Inputs!$B$43-B2982)/(IF(Inputs!$B$38="pvp",15,MAX(0.1,Skills!E10-IF(Skills!F10=TRUE,2.5,0)))*(1-IF(AND(ArtifactsInput!$M$27,Inputs!$B$4="Chapter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IFERROR(1/(IF(Inputs!$B$38="pvp",15,MAX(0.1,Skills!E11-IF(Skills!F11=TRUE,2.5,0)))*(1-IF(AND(ArtifactsInput!$M$27,Inputs!$B$4="Chapter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IFERROR(1/(IF(Inputs!$B$38="pvp",15,MAX(0.1,Skills!E12-IF(Skills!F12=TRUE,2.5,0)))*(1-IF(AND(ArtifactsInput!$M$27,Inputs!$B$4="Chapter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IFERROR(1/(IF(Inputs!$B$38="pvp",15,MAX(0.1,Skills!E13-IF(Skills!F13=TRUE,2.5,0)))*(1-IF(AND(ArtifactsInput!$M$27,Inputs!$B$4="Chapter Hunt"),CHOOSE(ArtifactsInput!$N$27+1,20,24,28,32,36,40),0)/100)),0)</f>
        <v/>
      </c>
      <c r="R2957">
        <f>IF(AND(Inputs!$B$38&lt;&gt;"pvp",Inputs!$B$43&gt;0),IF(MAX(0,Inputs!$B$43-B2982)&lt;=0,0,(INT(MAX(0,Inputs!$B$43-B2982)/(IF(Inputs!$B$38="pvp",15,MAX(0.1,Skills!E13-IF(Skills!F13=TRUE,2.5,0)))*(1-IF(AND(ArtifactsInput!$M$27,Inputs!$B$4="Chapter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IFERROR(1/(IF(Inputs!$B$38="pvp",15,MAX(0.1,Skills!E14-IF(Skills!F14=TRUE,2.5,0)))*(1-IF(AND(ArtifactsInput!$M$27,Inputs!$B$4="Chapter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IFERROR(1/(IF(Inputs!$B$38="pvp",15,MAX(0.1,Skills!E15-IF(Skills!F15=TRUE,2.5,0)))*(1-IF(AND(ArtifactsInput!$M$27,Inputs!$B$4="Chapter Hunt"),CHOOSE(ArtifactsInput!$N$27+1,20,24,28,32,36,40),0)/100)),0)</f>
        <v/>
      </c>
      <c r="R2959">
        <f>IF(AND(Inputs!$B$38&lt;&gt;"pvp",Inputs!$B$43&gt;0),IF(MAX(0,Inputs!$B$43-B2982)&lt;=0,0,(INT(MAX(0,Inputs!$B$43-B2982)/(IF(Inputs!$B$38="pvp",15,MAX(0.1,Skills!E15-IF(Skills!F15=TRUE,2.5,0)))*(1-IF(AND(ArtifactsInput!$M$27,Inputs!$B$4="Chapter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IFERROR(1/(IF(Inputs!$B$38="pvp",15,MAX(0.1,Skills!E16-IF(Skills!F16=TRUE,2.5,0)))*(1-IF(AND(ArtifactsInput!$M$27,Inputs!$B$4="Chapter Hunt"),CHOOSE(ArtifactsInput!$N$27+1,20,24,28,32,36,40),0)/100)),0)</f>
        <v/>
      </c>
      <c r="R2960">
        <f>IF(AND(Inputs!$B$38&lt;&gt;"pvp",Inputs!$B$43&gt;0),IF(MAX(0,Inputs!$B$43-B2982)&lt;=0,0,(INT(MAX(0,Inputs!$B$43-B2982)/(IF(Inputs!$B$38="pvp",15,MAX(0.1,Skills!E16-IF(Skills!F16=TRUE,2.5,0)))*(1-IF(AND(ArtifactsInput!$M$27,Inputs!$B$4="Chapter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IFERROR(1/(IF(Inputs!$B$38="pvp",15,MAX(0.1,Skills!E17-IF(Skills!F17=TRUE,2.5,0)))*(1-IF(AND(ArtifactsInput!$M$27,Inputs!$B$4="Chapter Hunt"),CHOOSE(ArtifactsInput!$N$27+1,20,24,28,32,36,40),0)/100)),0)</f>
        <v/>
      </c>
      <c r="R2961">
        <f>IF(AND(Inputs!$B$38&lt;&gt;"pvp",Inputs!$B$43&gt;0),IF(Inputs!$B$43&lt;=0,0,(INT(Inputs!$B$43/(IF(Inputs!$B$38="pvp",15,MAX(0.1,Skills!E17-IF(Skills!F17=TRUE,2.5,0)))*(1-IF(AND(ArtifactsInput!$M$27,Inputs!$B$4="Chapter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IFERROR(1/(IF(Inputs!$B$38="pvp",15,MAX(0.1,Skills!E18-IF(Skills!F18=TRUE,2.5,0)))*(1-IF(AND(ArtifactsInput!$M$27,Inputs!$B$4="Chapter Hunt"),CHOOSE(ArtifactsInput!$N$27+1,20,24,28,32,36,40),0)/100)),0)</f>
        <v/>
      </c>
      <c r="R2962">
        <f>IF(AND(Inputs!$B$38&lt;&gt;"pvp",Inputs!$B$43&gt;0),IF(Inputs!$B$43&lt;=0,0,(INT(Inputs!$B$43/(IF(Inputs!$B$38="pvp",15,MAX(0.1,Skills!E18-IF(Skills!F18=TRUE,2.5,0)))*(1-IF(AND(ArtifactsInput!$M$27,Inputs!$B$4="Chapter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IFERROR(1/(IF(Inputs!$B$38="pvp",15,MAX(0.1,Skills!E19-IF(Skills!F19=TRUE,2.5,0)))*(1-IF(AND(ArtifactsInput!$M$27,Inputs!$B$4="Chapter Hunt"),CHOOSE(ArtifactsInput!$N$27+1,20,24,28,32,36,40),0)/100)),0)</f>
        <v/>
      </c>
      <c r="R2963">
        <f>IF(AND(Inputs!$B$38&lt;&gt;"pvp",Inputs!$B$43&gt;0),IF(Inputs!$B$43&lt;=0,0,(INT(Inputs!$B$43/(IF(Inputs!$B$38="pvp",15,MAX(0.1,Skills!E19-IF(Skills!F19=TRUE,2.5,0)))*(1-IF(AND(ArtifactsInput!$M$27,Inputs!$B$4="Chapter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IFERROR(1/(IF(Inputs!$B$38="pvp",15,MAX(0.1,Skills!E20-IF(Skills!F20=TRUE,2.5,0)))*(1-IF(AND(ArtifactsInput!$M$27,Inputs!$B$4="Chapter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IFERROR(1/(IF(Inputs!$B$38="pvp",15,MAX(0.1,Skills!E21-IF(Skills!F21=TRUE,2.5,0)))*(1-IF(AND(ArtifactsInput!$M$27,Inputs!$B$4="Chapter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IFERROR(1/(IF(Inputs!$B$38="pvp",15,MAX(0.1,Skills!E22-IF(Skills!F22=TRUE,2.5,0)))*(1-IF(AND(ArtifactsInput!$M$27,Inputs!$B$4="Chapter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IFERROR(1/(IF(Inputs!$B$38="pvp",15,MAX(0.1,Skills!E23-IF(Skills!F23=TRUE,2.5,0)))*(1-IF(AND(ArtifactsInput!$M$27,Inputs!$B$4="Chapter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IFERROR(1/(IF(Inputs!$B$38="pvp",15,MAX(0.1,Skills!E24-IF(Skills!F24=TRUE,2.5,0)))*(1-IF(AND(ArtifactsInput!$M$27,Inputs!$B$4="Chapter Hunt"),CHOOSE(ArtifactsInput!$N$27+1,20,24,28,32,36,40),0)/100)),0)</f>
        <v/>
      </c>
      <c r="R2968">
        <f>IF(AND(Inputs!$B$38&lt;&gt;"pvp",Inputs!$B$43&gt;0),IF(MAX(0,Inputs!$B$43-B2982)&lt;=0,0,(INT(MAX(0,Inputs!$B$43-B2982)/(IF(Inputs!$B$38="pvp",15,MAX(0.1,Skills!E24-IF(Skills!F24=TRUE,2.5,0)))*(1-IF(AND(ArtifactsInput!$M$27,Inputs!$B$4="Chapter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IFERROR(1/(IF(Inputs!$B$38="pvp",15,MAX(0.1,Skills!E25-IF(Skills!F25=TRUE,2.5,0)))*(1-IF(AND(ArtifactsInput!$M$27,Inputs!$B$4="Chapter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IFERROR(1/(IF(Inputs!$B$38="pvp",15,MAX(0.1,Skills!E26-IF(Skills!F26=TRUE,2.5,0)))*(1-IF(AND(ArtifactsInput!$M$27,Inputs!$B$4="Chapter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IFERROR(1/(IF(Inputs!$B$38="pvp",15,MAX(0.1,Skills!E27-IF(Skills!F27=TRUE,2.5,0)))*(1-IF(AND(ArtifactsInput!$M$27,Inputs!$B$4="Chapter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IFERROR(1/(IF(Inputs!$B$38="pvp",15,MAX(0.1,Skills!E28-IF(Skills!F28=TRUE,2.5,0)))*(1-IF(AND(ArtifactsInput!$M$27,Inputs!$B$4="Chapter Hunt"),CHOOSE(ArtifactsInput!$N$27+1,20,24,28,32,36,40),0)/100)),0)</f>
        <v/>
      </c>
      <c r="R2972">
        <f>IF(AND(Inputs!$B$38&lt;&gt;"pvp",Inputs!$B$43&gt;0),IF(MAX(0,Inputs!$B$43-B2982)&lt;=0,0,(INT(MAX(0,Inputs!$B$43-B2982)/(IF(Inputs!$B$38="pvp",15,MAX(0.1,Skills!E28-IF(Skills!F28=TRUE,2.5,0)))*(1-IF(AND(ArtifactsInput!$M$27,Inputs!$B$4="Chapter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Skills!T6*(1+((Inputs!$B$34+(ArtifactsInput!$M$7-ArtifactsInput!$M$7)*CHOOSE(ArtifactsInput!$N$7+1,6,7.2,8.4,9.6,10.8,12))+IF(Inputs!$B$3&gt;=117,F2969,0))/100))+MIN((Skills!T6*(1+((Inputs!$B$34+(ArtifactsInput!$M$7-ArtifactsInput!$M$7)*CHOOSE(ArtifactsInput!$N$7+1,6,7.2,8.4,9.6,10.8,12))+IF(Inputs!$B$3&gt;=117,F2969,0))/100)),MAX(0,Inputs!$B$43-((R2950-1)*Skills!E6))))/Inputs!$B$43),IF(Inputs!$B$38="pvp",MIN((Skills!T6*(1+((Inputs!$B$34+(ArtifactsInput!$M$7-ArtifactsInput!$M$7)*CHOOSE(ArtifactsInput!$N$7+1,6,7.2,8.4,9.6,10.8,12))+IF(Inputs!$B$3&gt;=117,F2969,0))/100)),15)/15,(Skills!T6*(1+((Inputs!$B$34+(ArtifactsInput!$M$7-ArtifactsInput!$M$7)*CHOOSE(ArtifactsInput!$N$7+1,6,7.2,8.4,9.6,10.8,12))+IF(Inputs!$B$3&gt;=117,F2969,0))/100))/Skills!E6))+F2961*IF(AND(Inputs!$B$38&lt;&gt;"pvp",Inputs!$B$43&gt;0),(((R2961-1)*(Skills!T17*(1+((Inputs!$B$34+(ArtifactsInput!$M$7-ArtifactsInput!$M$7)*CHOOSE(ArtifactsInput!$N$7+1,6,7.2,8.4,9.6,10.8,12))+IF(Inputs!$B$3&gt;=117,F2969,0))/100))+MIN((Skills!T17*(1+((Inputs!$B$34+(ArtifactsInput!$M$7-ArtifactsInput!$M$7)*CHOOSE(ArtifactsInput!$N$7+1,6,7.2,8.4,9.6,10.8,12))+IF(Inputs!$B$3&gt;=117,F2969,0))/100)),MAX(0,Inputs!$B$43-((R2961-1)*Skills!E17))))/Inputs!$B$43),IF(Inputs!$B$38="pvp",MIN((Skills!T17*(1+((Inputs!$B$34+(ArtifactsInput!$M$7-ArtifactsInput!$M$7)*CHOOSE(ArtifactsInput!$N$7+1,6,7.2,8.4,9.6,10.8,12))+IF(Inputs!$B$3&gt;=117,F2969,0))/100)),15)/15,(Skills!T17*(1+((Inputs!$B$34+(ArtifactsInput!$M$7-ArtifactsInput!$M$7)*CHOOSE(ArtifactsInput!$N$7+1,6,7.2,8.4,9.6,10.8,12))+IF(Inputs!$B$3&gt;=117,F2969,0)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Skills!T19*(1+((Inputs!$B$34+(ArtifactsInput!$M$7-ArtifactsInput!$M$7)*CHOOSE(ArtifactsInput!$N$7+1,6,7.2,8.4,9.6,10.8,12))+IF(Inputs!$B$3&gt;=117,F2969,0))/100))+MIN((Skills!T19*(1+((Inputs!$B$34+(ArtifactsInput!$M$7-ArtifactsInput!$M$7)*CHOOSE(ArtifactsInput!$N$7+1,6,7.2,8.4,9.6,10.8,12))+IF(Inputs!$B$3&gt;=117,F2969,0))/100)),MAX(0,Inputs!$B$43-((R2963-1)*Skills!E19))))/Inputs!$B$43),IF(Inputs!$B$38="pvp",MIN((Skills!T19*(1+((Inputs!$B$34+(ArtifactsInput!$M$7-ArtifactsInput!$M$7)*CHOOSE(ArtifactsInput!$N$7+1,6,7.2,8.4,9.6,10.8,12))+IF(Inputs!$B$3&gt;=117,F2969,0))/100)),15)/15,(Skills!T19*(1+((Inputs!$B$34+(ArtifactsInput!$M$7-ArtifactsInput!$M$7)*CHOOSE(ArtifactsInput!$N$7+1,6,7.2,8.4,9.6,10.8,12))+IF(Inputs!$B$3&gt;=117,F2969,0))/100))/Skills!E19))/100),1)</f>
        <v/>
      </c>
    </row>
    <row r="2977">
      <c r="A2977" t="inlineStr">
        <is>
          <t>Attack Speed Buff Bonus % (Nimble Feet, averaged)</t>
        </is>
      </c>
      <c r="B2977">
        <f>F2962*IF(AND(Inputs!$B$38&lt;&gt;"pvp",Inputs!$B$43&gt;0),(((R2962-1)*(Skills!T18*(1+((Inputs!$B$34+(ArtifactsInput!$M$7-ArtifactsInput!$M$7)*CHOOSE(ArtifactsInput!$N$7+1,6,7.2,8.4,9.6,10.8,12))+IF(Inputs!$B$3&gt;=117,F2969,0))/100))+MIN((Skills!T18*(1+((Inputs!$B$34+(ArtifactsInput!$M$7-ArtifactsInput!$M$7)*CHOOSE(ArtifactsInput!$N$7+1,6,7.2,8.4,9.6,10.8,12))+IF(Inputs!$B$3&gt;=117,F2969,0))/100)),MAX(0,Inputs!$B$43-((R2962-1)*Skills!E18))))/Inputs!$B$43),IF(Inputs!$B$38="pvp",MIN((Skills!T18*(1+((Inputs!$B$34+(ArtifactsInput!$M$7-ArtifactsInput!$M$7)*CHOOSE(ArtifactsInput!$N$7+1,6,7.2,8.4,9.6,10.8,12))+IF(Inputs!$B$3&gt;=117,F2969,0))/100)),15)/15,(Skills!T18*(1+((Inputs!$B$34+(ArtifactsInput!$M$7-ArtifactsInput!$M$7)*CHOOSE(ArtifactsInput!$N$7+1,6,7.2,8.4,9.6,10.8,12))+IF(Inputs!$B$3&gt;=117,F2969,0))/100))/Skills!E18))</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IFERROR(1/(IF(Inputs!$B$38="pvp",15,MAX(0.1,Skills!E2-IF(Skills!F2=TRUE,3.0,0)))*(1-IF(AND(ArtifactsInput!$M$27,Inputs!$B$4="Chapter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IFERROR(1/(IF(Inputs!$B$38="pvp",15,MAX(0.1,Skills!E3-IF(Skills!F3=TRUE,3.0,0)))*(1-IF(AND(ArtifactsInput!$M$27,Inputs!$B$4="Chapter Hunt"),CHOOSE(ArtifactsInput!$N$27+1,20,24,28,32,36,40),0)/100)),0)</f>
        <v/>
      </c>
      <c r="R2991">
        <f>IF(AND(Inputs!$B$38&lt;&gt;"pvp",Inputs!$B$43&gt;0),IF(MAX(0,Inputs!$B$43-B3026)&lt;=0,0,(INT(MAX(0,Inputs!$B$43-B3026)/(IF(Inputs!$B$38="pvp",15,MAX(0.1,Skills!E3-IF(Skills!F3=TRUE,3.0,0)))*(1-IF(AND(ArtifactsInput!$M$27,Inputs!$B$4="Chapter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IFERROR(1/(IF(Inputs!$B$38="pvp",15,MAX(0.1,Skills!E4-IF(Skills!F4=TRUE,3.0,0)))*(1-IF(AND(ArtifactsInput!$M$27,Inputs!$B$4="Chapter Hunt"),CHOOSE(ArtifactsInput!$N$27+1,20,24,28,32,36,40),0)/100)),0)</f>
        <v/>
      </c>
      <c r="R2992">
        <f>IF(AND(Inputs!$B$38&lt;&gt;"pvp",Inputs!$B$43&gt;0),IF(MAX(0,Inputs!$B$43-B3026)&lt;=0,0,(INT(MAX(0,Inputs!$B$43-B3026)/(IF(Inputs!$B$38="pvp",15,MAX(0.1,Skills!E4-IF(Skills!F4=TRUE,3.0,0)))*(1-IF(AND(ArtifactsInput!$M$27,Inputs!$B$4="Chapter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IFERROR(1/(IF(Inputs!$B$38="pvp",15,MAX(0.1,Skills!E5-IF(Skills!F5=TRUE,3.0,0)))*(1-IF(AND(ArtifactsInput!$M$27,Inputs!$B$4="Chapter Hunt"),CHOOSE(ArtifactsInput!$N$27+1,20,24,28,32,36,40),0)/100)),0)</f>
        <v/>
      </c>
      <c r="R2993">
        <f>IF(AND(Inputs!$B$38&lt;&gt;"pvp",Inputs!$B$43&gt;0),IF(MAX(0,Inputs!$B$43-B3026)&lt;=0,0,(INT(MAX(0,Inputs!$B$43-B3026)/(IF(Inputs!$B$38="pvp",15,MAX(0.1,Skills!E5-IF(Skills!F5=TRUE,3.0,0)))*(1-IF(AND(ArtifactsInput!$M$27,Inputs!$B$4="Chapter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IFERROR(1/(IF(Inputs!$B$38="pvp",15,MAX(0.1,Skills!E6-IF(Skills!F6=TRUE,3.0,0)))*(1-IF(AND(ArtifactsInput!$M$27,Inputs!$B$4="Chapter Hunt"),CHOOSE(ArtifactsInput!$N$27+1,20,24,28,32,36,40),0)/100)),0)</f>
        <v/>
      </c>
      <c r="R2994">
        <f>IF(AND(Inputs!$B$38&lt;&gt;"pvp",Inputs!$B$43&gt;0),IF(Inputs!$B$43&lt;=0,0,(INT(Inputs!$B$43/(IF(Inputs!$B$38="pvp",15,MAX(0.1,Skills!E6-IF(Skills!F6=TRUE,3.0,0)))*(1-IF(AND(ArtifactsInput!$M$27,Inputs!$B$4="Chapter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IFERROR(1/(IF(Inputs!$B$38="pvp",15,MAX(0.1,Skills!E7-IF(Skills!F7=TRUE,3.0,0)))*(1-IF(AND(ArtifactsInput!$M$27,Inputs!$B$4="Chapter Hunt"),CHOOSE(ArtifactsInput!$N$27+1,20,24,28,32,36,40),0)/100)),0)</f>
        <v/>
      </c>
      <c r="R2995">
        <f>IF(AND(Inputs!$B$38&lt;&gt;"pvp",Inputs!$B$43&gt;0),IF(MAX(0,Inputs!$B$43-B3026)&lt;=0,0,(INT(MAX(0,Inputs!$B$43-B3026)/(IF(Inputs!$B$38="pvp",15,MAX(0.1,Skills!E7-IF(Skills!F7=TRUE,3.0,0)))*(1-IF(AND(ArtifactsInput!$M$27,Inputs!$B$4="Chapter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IFERROR(1/(IF(Inputs!$B$38="pvp",15,MAX(0.1,Skills!E8-IF(Skills!F8=TRUE,3.0,0)))*(1-IF(AND(ArtifactsInput!$M$27,Inputs!$B$4="Chapter Hunt"),CHOOSE(ArtifactsInput!$N$27+1,20,24,28,32,36,40),0)/100)),0)</f>
        <v/>
      </c>
      <c r="R2996">
        <f>IF(AND(Inputs!$B$38&lt;&gt;"pvp",Inputs!$B$43&gt;0),IF(MAX(0,Inputs!$B$43-B3026)&lt;=0,0,(INT(MAX(0,Inputs!$B$43-B3026)/(IF(Inputs!$B$38="pvp",15,MAX(0.1,Skills!E8-IF(Skills!F8=TRUE,3.0,0)))*(1-IF(AND(ArtifactsInput!$M$27,Inputs!$B$4="Chapter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IFERROR(1/(IF(Inputs!$B$38="pvp",15,MAX(0.1,Skills!E9-IF(Skills!F7=TRUE,3.0,0)))*(1-IF(AND(ArtifactsInput!$M$27,Inputs!$B$4="Chapter Hunt"),CHOOSE(ArtifactsInput!$N$27+1,20,24,28,32,36,40),0)/100)),0)</f>
        <v/>
      </c>
      <c r="R2997">
        <f>IF(AND(Inputs!$B$38&lt;&gt;"pvp",Inputs!$B$43&gt;0),IF(MAX(0,Inputs!$B$43-B3026)&lt;=0,0,(INT(MAX(0,Inputs!$B$43-B3026)/(IF(Inputs!$B$38="pvp",15,MAX(0.1,Skills!E9-IF(Skills!F7=TRUE,3.0,0)))*(1-IF(AND(ArtifactsInput!$M$27,Inputs!$B$4="Chapter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IFERROR(1/(IF(Inputs!$B$38="pvp",15,MAX(0.1,Skills!E10-IF(Skills!F10=TRUE,3.0,0)))*(1-IF(AND(ArtifactsInput!$M$27,Inputs!$B$4="Chapter Hunt"),CHOOSE(ArtifactsInput!$N$27+1,20,24,28,32,36,40),0)/100)),0)</f>
        <v/>
      </c>
      <c r="R2998">
        <f>IF(AND(Inputs!$B$38&lt;&gt;"pvp",Inputs!$B$43&gt;0),IF(MAX(0,Inputs!$B$43-B3026)&lt;=0,0,(INT(MAX(0,Inputs!$B$43-B3026)/(IF(Inputs!$B$38="pvp",15,MAX(0.1,Skills!E10-IF(Skills!F10=TRUE,3.0,0)))*(1-IF(AND(ArtifactsInput!$M$27,Inputs!$B$4="Chapter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IFERROR(1/(IF(Inputs!$B$38="pvp",15,MAX(0.1,Skills!E11-IF(Skills!F11=TRUE,3.0,0)))*(1-IF(AND(ArtifactsInput!$M$27,Inputs!$B$4="Chapter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IFERROR(1/(IF(Inputs!$B$38="pvp",15,MAX(0.1,Skills!E12-IF(Skills!F12=TRUE,3.0,0)))*(1-IF(AND(ArtifactsInput!$M$27,Inputs!$B$4="Chapter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IFERROR(1/(IF(Inputs!$B$38="pvp",15,MAX(0.1,Skills!E13-IF(Skills!F13=TRUE,3.0,0)))*(1-IF(AND(ArtifactsInput!$M$27,Inputs!$B$4="Chapter Hunt"),CHOOSE(ArtifactsInput!$N$27+1,20,24,28,32,36,40),0)/100)),0)</f>
        <v/>
      </c>
      <c r="R3001">
        <f>IF(AND(Inputs!$B$38&lt;&gt;"pvp",Inputs!$B$43&gt;0),IF(MAX(0,Inputs!$B$43-B3026)&lt;=0,0,(INT(MAX(0,Inputs!$B$43-B3026)/(IF(Inputs!$B$38="pvp",15,MAX(0.1,Skills!E13-IF(Skills!F13=TRUE,3.0,0)))*(1-IF(AND(ArtifactsInput!$M$27,Inputs!$B$4="Chapter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IFERROR(1/(IF(Inputs!$B$38="pvp",15,MAX(0.1,Skills!E14-IF(Skills!F14=TRUE,3.0,0)))*(1-IF(AND(ArtifactsInput!$M$27,Inputs!$B$4="Chapter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IFERROR(1/(IF(Inputs!$B$38="pvp",15,MAX(0.1,Skills!E15-IF(Skills!F15=TRUE,3.0,0)))*(1-IF(AND(ArtifactsInput!$M$27,Inputs!$B$4="Chapter Hunt"),CHOOSE(ArtifactsInput!$N$27+1,20,24,28,32,36,40),0)/100)),0)</f>
        <v/>
      </c>
      <c r="R3003">
        <f>IF(AND(Inputs!$B$38&lt;&gt;"pvp",Inputs!$B$43&gt;0),IF(MAX(0,Inputs!$B$43-B3026)&lt;=0,0,(INT(MAX(0,Inputs!$B$43-B3026)/(IF(Inputs!$B$38="pvp",15,MAX(0.1,Skills!E15-IF(Skills!F15=TRUE,3.0,0)))*(1-IF(AND(ArtifactsInput!$M$27,Inputs!$B$4="Chapter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IFERROR(1/(IF(Inputs!$B$38="pvp",15,MAX(0.1,Skills!E16-IF(Skills!F16=TRUE,3.0,0)))*(1-IF(AND(ArtifactsInput!$M$27,Inputs!$B$4="Chapter Hunt"),CHOOSE(ArtifactsInput!$N$27+1,20,24,28,32,36,40),0)/100)),0)</f>
        <v/>
      </c>
      <c r="R3004">
        <f>IF(AND(Inputs!$B$38&lt;&gt;"pvp",Inputs!$B$43&gt;0),IF(MAX(0,Inputs!$B$43-B3026)&lt;=0,0,(INT(MAX(0,Inputs!$B$43-B3026)/(IF(Inputs!$B$38="pvp",15,MAX(0.1,Skills!E16-IF(Skills!F16=TRUE,3.0,0)))*(1-IF(AND(ArtifactsInput!$M$27,Inputs!$B$4="Chapter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IFERROR(1/(IF(Inputs!$B$38="pvp",15,MAX(0.1,Skills!E17-IF(Skills!F17=TRUE,3.0,0)))*(1-IF(AND(ArtifactsInput!$M$27,Inputs!$B$4="Chapter Hunt"),CHOOSE(ArtifactsInput!$N$27+1,20,24,28,32,36,40),0)/100)),0)</f>
        <v/>
      </c>
      <c r="R3005">
        <f>IF(AND(Inputs!$B$38&lt;&gt;"pvp",Inputs!$B$43&gt;0),IF(Inputs!$B$43&lt;=0,0,(INT(Inputs!$B$43/(IF(Inputs!$B$38="pvp",15,MAX(0.1,Skills!E17-IF(Skills!F17=TRUE,3.0,0)))*(1-IF(AND(ArtifactsInput!$M$27,Inputs!$B$4="Chapter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IFERROR(1/(IF(Inputs!$B$38="pvp",15,MAX(0.1,Skills!E18-IF(Skills!F18=TRUE,3.0,0)))*(1-IF(AND(ArtifactsInput!$M$27,Inputs!$B$4="Chapter Hunt"),CHOOSE(ArtifactsInput!$N$27+1,20,24,28,32,36,40),0)/100)),0)</f>
        <v/>
      </c>
      <c r="R3006">
        <f>IF(AND(Inputs!$B$38&lt;&gt;"pvp",Inputs!$B$43&gt;0),IF(Inputs!$B$43&lt;=0,0,(INT(Inputs!$B$43/(IF(Inputs!$B$38="pvp",15,MAX(0.1,Skills!E18-IF(Skills!F18=TRUE,3.0,0)))*(1-IF(AND(ArtifactsInput!$M$27,Inputs!$B$4="Chapter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IFERROR(1/(IF(Inputs!$B$38="pvp",15,MAX(0.1,Skills!E19-IF(Skills!F19=TRUE,3.0,0)))*(1-IF(AND(ArtifactsInput!$M$27,Inputs!$B$4="Chapter Hunt"),CHOOSE(ArtifactsInput!$N$27+1,20,24,28,32,36,40),0)/100)),0)</f>
        <v/>
      </c>
      <c r="R3007">
        <f>IF(AND(Inputs!$B$38&lt;&gt;"pvp",Inputs!$B$43&gt;0),IF(Inputs!$B$43&lt;=0,0,(INT(Inputs!$B$43/(IF(Inputs!$B$38="pvp",15,MAX(0.1,Skills!E19-IF(Skills!F19=TRUE,3.0,0)))*(1-IF(AND(ArtifactsInput!$M$27,Inputs!$B$4="Chapter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IFERROR(1/(IF(Inputs!$B$38="pvp",15,MAX(0.1,Skills!E20-IF(Skills!F20=TRUE,3.0,0)))*(1-IF(AND(ArtifactsInput!$M$27,Inputs!$B$4="Chapter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IFERROR(1/(IF(Inputs!$B$38="pvp",15,MAX(0.1,Skills!E21-IF(Skills!F21=TRUE,3.0,0)))*(1-IF(AND(ArtifactsInput!$M$27,Inputs!$B$4="Chapter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IFERROR(1/(IF(Inputs!$B$38="pvp",15,MAX(0.1,Skills!E22-IF(Skills!F22=TRUE,3.0,0)))*(1-IF(AND(ArtifactsInput!$M$27,Inputs!$B$4="Chapter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IFERROR(1/(IF(Inputs!$B$38="pvp",15,MAX(0.1,Skills!E23-IF(Skills!F23=TRUE,3.0,0)))*(1-IF(AND(ArtifactsInput!$M$27,Inputs!$B$4="Chapter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IFERROR(1/(IF(Inputs!$B$38="pvp",15,MAX(0.1,Skills!E24-IF(Skills!F24=TRUE,3.0,0)))*(1-IF(AND(ArtifactsInput!$M$27,Inputs!$B$4="Chapter Hunt"),CHOOSE(ArtifactsInput!$N$27+1,20,24,28,32,36,40),0)/100)),0)</f>
        <v/>
      </c>
      <c r="R3012">
        <f>IF(AND(Inputs!$B$38&lt;&gt;"pvp",Inputs!$B$43&gt;0),IF(MAX(0,Inputs!$B$43-B3026)&lt;=0,0,(INT(MAX(0,Inputs!$B$43-B3026)/(IF(Inputs!$B$38="pvp",15,MAX(0.1,Skills!E24-IF(Skills!F24=TRUE,3.0,0)))*(1-IF(AND(ArtifactsInput!$M$27,Inputs!$B$4="Chapter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IFERROR(1/(IF(Inputs!$B$38="pvp",15,MAX(0.1,Skills!E25-IF(Skills!F25=TRUE,3.0,0)))*(1-IF(AND(ArtifactsInput!$M$27,Inputs!$B$4="Chapter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IFERROR(1/(IF(Inputs!$B$38="pvp",15,MAX(0.1,Skills!E26-IF(Skills!F26=TRUE,3.0,0)))*(1-IF(AND(ArtifactsInput!$M$27,Inputs!$B$4="Chapter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IFERROR(1/(IF(Inputs!$B$38="pvp",15,MAX(0.1,Skills!E27-IF(Skills!F27=TRUE,3.0,0)))*(1-IF(AND(ArtifactsInput!$M$27,Inputs!$B$4="Chapter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IFERROR(1/(IF(Inputs!$B$38="pvp",15,MAX(0.1,Skills!E28-IF(Skills!F28=TRUE,3.0,0)))*(1-IF(AND(ArtifactsInput!$M$27,Inputs!$B$4="Chapter Hunt"),CHOOSE(ArtifactsInput!$N$27+1,20,24,28,32,36,40),0)/100)),0)</f>
        <v/>
      </c>
      <c r="R3016">
        <f>IF(AND(Inputs!$B$38&lt;&gt;"pvp",Inputs!$B$43&gt;0),IF(MAX(0,Inputs!$B$43-B3026)&lt;=0,0,(INT(MAX(0,Inputs!$B$43-B3026)/(IF(Inputs!$B$38="pvp",15,MAX(0.1,Skills!E28-IF(Skills!F28=TRUE,3.0,0)))*(1-IF(AND(ArtifactsInput!$M$27,Inputs!$B$4="Chapter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Skills!T6*(1+((Inputs!$B$34+(ArtifactsInput!$M$7-ArtifactsInput!$M$7)*CHOOSE(ArtifactsInput!$N$7+1,6,7.2,8.4,9.6,10.8,12))+IF(Inputs!$B$3&gt;=117,F3013,0))/100))+MIN((Skills!T6*(1+((Inputs!$B$34+(ArtifactsInput!$M$7-ArtifactsInput!$M$7)*CHOOSE(ArtifactsInput!$N$7+1,6,7.2,8.4,9.6,10.8,12))+IF(Inputs!$B$3&gt;=117,F3013,0))/100)),MAX(0,Inputs!$B$43-((R2994-1)*Skills!E6))))/Inputs!$B$43),IF(Inputs!$B$38="pvp",MIN((Skills!T6*(1+((Inputs!$B$34+(ArtifactsInput!$M$7-ArtifactsInput!$M$7)*CHOOSE(ArtifactsInput!$N$7+1,6,7.2,8.4,9.6,10.8,12))+IF(Inputs!$B$3&gt;=117,F3013,0))/100)),15)/15,(Skills!T6*(1+((Inputs!$B$34+(ArtifactsInput!$M$7-ArtifactsInput!$M$7)*CHOOSE(ArtifactsInput!$N$7+1,6,7.2,8.4,9.6,10.8,12))+IF(Inputs!$B$3&gt;=117,F3013,0))/100))/Skills!E6))+F3005*IF(AND(Inputs!$B$38&lt;&gt;"pvp",Inputs!$B$43&gt;0),(((R3005-1)*(Skills!T17*(1+((Inputs!$B$34+(ArtifactsInput!$M$7-ArtifactsInput!$M$7)*CHOOSE(ArtifactsInput!$N$7+1,6,7.2,8.4,9.6,10.8,12))+IF(Inputs!$B$3&gt;=117,F3013,0))/100))+MIN((Skills!T17*(1+((Inputs!$B$34+(ArtifactsInput!$M$7-ArtifactsInput!$M$7)*CHOOSE(ArtifactsInput!$N$7+1,6,7.2,8.4,9.6,10.8,12))+IF(Inputs!$B$3&gt;=117,F3013,0))/100)),MAX(0,Inputs!$B$43-((R3005-1)*Skills!E17))))/Inputs!$B$43),IF(Inputs!$B$38="pvp",MIN((Skills!T17*(1+((Inputs!$B$34+(ArtifactsInput!$M$7-ArtifactsInput!$M$7)*CHOOSE(ArtifactsInput!$N$7+1,6,7.2,8.4,9.6,10.8,12))+IF(Inputs!$B$3&gt;=117,F3013,0))/100)),15)/15,(Skills!T17*(1+((Inputs!$B$34+(ArtifactsInput!$M$7-ArtifactsInput!$M$7)*CHOOSE(ArtifactsInput!$N$7+1,6,7.2,8.4,9.6,10.8,12))+IF(Inputs!$B$3&gt;=117,F3013,0)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Skills!T19*(1+((Inputs!$B$34+(ArtifactsInput!$M$7-ArtifactsInput!$M$7)*CHOOSE(ArtifactsInput!$N$7+1,6,7.2,8.4,9.6,10.8,12))+IF(Inputs!$B$3&gt;=117,F3013,0))/100))+MIN((Skills!T19*(1+((Inputs!$B$34+(ArtifactsInput!$M$7-ArtifactsInput!$M$7)*CHOOSE(ArtifactsInput!$N$7+1,6,7.2,8.4,9.6,10.8,12))+IF(Inputs!$B$3&gt;=117,F3013,0))/100)),MAX(0,Inputs!$B$43-((R3007-1)*Skills!E19))))/Inputs!$B$43),IF(Inputs!$B$38="pvp",MIN((Skills!T19*(1+((Inputs!$B$34+(ArtifactsInput!$M$7-ArtifactsInput!$M$7)*CHOOSE(ArtifactsInput!$N$7+1,6,7.2,8.4,9.6,10.8,12))+IF(Inputs!$B$3&gt;=117,F3013,0))/100)),15)/15,(Skills!T19*(1+((Inputs!$B$34+(ArtifactsInput!$M$7-ArtifactsInput!$M$7)*CHOOSE(ArtifactsInput!$N$7+1,6,7.2,8.4,9.6,10.8,12))+IF(Inputs!$B$3&gt;=117,F3013,0))/100))/Skills!E19))/100),1)</f>
        <v/>
      </c>
    </row>
    <row r="3021">
      <c r="A3021" t="inlineStr">
        <is>
          <t>Attack Speed Buff Bonus % (Nimble Feet, averaged)</t>
        </is>
      </c>
      <c r="B3021">
        <f>F3006*IF(AND(Inputs!$B$38&lt;&gt;"pvp",Inputs!$B$43&gt;0),(((R3006-1)*(Skills!T18*(1+((Inputs!$B$34+(ArtifactsInput!$M$7-ArtifactsInput!$M$7)*CHOOSE(ArtifactsInput!$N$7+1,6,7.2,8.4,9.6,10.8,12))+IF(Inputs!$B$3&gt;=117,F3013,0))/100))+MIN((Skills!T18*(1+((Inputs!$B$34+(ArtifactsInput!$M$7-ArtifactsInput!$M$7)*CHOOSE(ArtifactsInput!$N$7+1,6,7.2,8.4,9.6,10.8,12))+IF(Inputs!$B$3&gt;=117,F3013,0))/100)),MAX(0,Inputs!$B$43-((R3006-1)*Skills!E18))))/Inputs!$B$43),IF(Inputs!$B$38="pvp",MIN((Skills!T18*(1+((Inputs!$B$34+(ArtifactsInput!$M$7-ArtifactsInput!$M$7)*CHOOSE(ArtifactsInput!$N$7+1,6,7.2,8.4,9.6,10.8,12))+IF(Inputs!$B$3&gt;=117,F3013,0))/100)),15)/15,(Skills!T18*(1+((Inputs!$B$34+(ArtifactsInput!$M$7-ArtifactsInput!$M$7)*CHOOSE(ArtifactsInput!$N$7+1,6,7.2,8.4,9.6,10.8,12))+IF(Inputs!$B$3&gt;=117,F3013,0))/100))/Skills!E18))</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IFERROR(1/(IF(Inputs!$B$38="pvp",15,MAX(0.1,Skills!E2-IF(Skills!F2=TRUE,3.5,0)))*(1-IF(AND(ArtifactsInput!$M$27,Inputs!$B$4="Chapter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IFERROR(1/(IF(Inputs!$B$38="pvp",15,MAX(0.1,Skills!E3-IF(Skills!F3=TRUE,3.5,0)))*(1-IF(AND(ArtifactsInput!$M$27,Inputs!$B$4="Chapter Hunt"),CHOOSE(ArtifactsInput!$N$27+1,20,24,28,32,36,40),0)/100)),0)</f>
        <v/>
      </c>
      <c r="R3035">
        <f>IF(AND(Inputs!$B$38&lt;&gt;"pvp",Inputs!$B$43&gt;0),IF(MAX(0,Inputs!$B$43-B3070)&lt;=0,0,(INT(MAX(0,Inputs!$B$43-B3070)/(IF(Inputs!$B$38="pvp",15,MAX(0.1,Skills!E3-IF(Skills!F3=TRUE,3.5,0)))*(1-IF(AND(ArtifactsInput!$M$27,Inputs!$B$4="Chapter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IFERROR(1/(IF(Inputs!$B$38="pvp",15,MAX(0.1,Skills!E4-IF(Skills!F4=TRUE,3.5,0)))*(1-IF(AND(ArtifactsInput!$M$27,Inputs!$B$4="Chapter Hunt"),CHOOSE(ArtifactsInput!$N$27+1,20,24,28,32,36,40),0)/100)),0)</f>
        <v/>
      </c>
      <c r="R3036">
        <f>IF(AND(Inputs!$B$38&lt;&gt;"pvp",Inputs!$B$43&gt;0),IF(MAX(0,Inputs!$B$43-B3070)&lt;=0,0,(INT(MAX(0,Inputs!$B$43-B3070)/(IF(Inputs!$B$38="pvp",15,MAX(0.1,Skills!E4-IF(Skills!F4=TRUE,3.5,0)))*(1-IF(AND(ArtifactsInput!$M$27,Inputs!$B$4="Chapter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IFERROR(1/(IF(Inputs!$B$38="pvp",15,MAX(0.1,Skills!E5-IF(Skills!F5=TRUE,3.5,0)))*(1-IF(AND(ArtifactsInput!$M$27,Inputs!$B$4="Chapter Hunt"),CHOOSE(ArtifactsInput!$N$27+1,20,24,28,32,36,40),0)/100)),0)</f>
        <v/>
      </c>
      <c r="R3037">
        <f>IF(AND(Inputs!$B$38&lt;&gt;"pvp",Inputs!$B$43&gt;0),IF(MAX(0,Inputs!$B$43-B3070)&lt;=0,0,(INT(MAX(0,Inputs!$B$43-B3070)/(IF(Inputs!$B$38="pvp",15,MAX(0.1,Skills!E5-IF(Skills!F5=TRUE,3.5,0)))*(1-IF(AND(ArtifactsInput!$M$27,Inputs!$B$4="Chapter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IFERROR(1/(IF(Inputs!$B$38="pvp",15,MAX(0.1,Skills!E6-IF(Skills!F6=TRUE,3.5,0)))*(1-IF(AND(ArtifactsInput!$M$27,Inputs!$B$4="Chapter Hunt"),CHOOSE(ArtifactsInput!$N$27+1,20,24,28,32,36,40),0)/100)),0)</f>
        <v/>
      </c>
      <c r="R3038">
        <f>IF(AND(Inputs!$B$38&lt;&gt;"pvp",Inputs!$B$43&gt;0),IF(Inputs!$B$43&lt;=0,0,(INT(Inputs!$B$43/(IF(Inputs!$B$38="pvp",15,MAX(0.1,Skills!E6-IF(Skills!F6=TRUE,3.5,0)))*(1-IF(AND(ArtifactsInput!$M$27,Inputs!$B$4="Chapter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IFERROR(1/(IF(Inputs!$B$38="pvp",15,MAX(0.1,Skills!E7-IF(Skills!F7=TRUE,3.5,0)))*(1-IF(AND(ArtifactsInput!$M$27,Inputs!$B$4="Chapter Hunt"),CHOOSE(ArtifactsInput!$N$27+1,20,24,28,32,36,40),0)/100)),0)</f>
        <v/>
      </c>
      <c r="R3039">
        <f>IF(AND(Inputs!$B$38&lt;&gt;"pvp",Inputs!$B$43&gt;0),IF(MAX(0,Inputs!$B$43-B3070)&lt;=0,0,(INT(MAX(0,Inputs!$B$43-B3070)/(IF(Inputs!$B$38="pvp",15,MAX(0.1,Skills!E7-IF(Skills!F7=TRUE,3.5,0)))*(1-IF(AND(ArtifactsInput!$M$27,Inputs!$B$4="Chapter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IFERROR(1/(IF(Inputs!$B$38="pvp",15,MAX(0.1,Skills!E8-IF(Skills!F8=TRUE,3.5,0)))*(1-IF(AND(ArtifactsInput!$M$27,Inputs!$B$4="Chapter Hunt"),CHOOSE(ArtifactsInput!$N$27+1,20,24,28,32,36,40),0)/100)),0)</f>
        <v/>
      </c>
      <c r="R3040">
        <f>IF(AND(Inputs!$B$38&lt;&gt;"pvp",Inputs!$B$43&gt;0),IF(MAX(0,Inputs!$B$43-B3070)&lt;=0,0,(INT(MAX(0,Inputs!$B$43-B3070)/(IF(Inputs!$B$38="pvp",15,MAX(0.1,Skills!E8-IF(Skills!F8=TRUE,3.5,0)))*(1-IF(AND(ArtifactsInput!$M$27,Inputs!$B$4="Chapter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IFERROR(1/(IF(Inputs!$B$38="pvp",15,MAX(0.1,Skills!E9-IF(Skills!F7=TRUE,3.5,0)))*(1-IF(AND(ArtifactsInput!$M$27,Inputs!$B$4="Chapter Hunt"),CHOOSE(ArtifactsInput!$N$27+1,20,24,28,32,36,40),0)/100)),0)</f>
        <v/>
      </c>
      <c r="R3041">
        <f>IF(AND(Inputs!$B$38&lt;&gt;"pvp",Inputs!$B$43&gt;0),IF(MAX(0,Inputs!$B$43-B3070)&lt;=0,0,(INT(MAX(0,Inputs!$B$43-B3070)/(IF(Inputs!$B$38="pvp",15,MAX(0.1,Skills!E9-IF(Skills!F7=TRUE,3.5,0)))*(1-IF(AND(ArtifactsInput!$M$27,Inputs!$B$4="Chapter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IFERROR(1/(IF(Inputs!$B$38="pvp",15,MAX(0.1,Skills!E10-IF(Skills!F10=TRUE,3.5,0)))*(1-IF(AND(ArtifactsInput!$M$27,Inputs!$B$4="Chapter Hunt"),CHOOSE(ArtifactsInput!$N$27+1,20,24,28,32,36,40),0)/100)),0)</f>
        <v/>
      </c>
      <c r="R3042">
        <f>IF(AND(Inputs!$B$38&lt;&gt;"pvp",Inputs!$B$43&gt;0),IF(MAX(0,Inputs!$B$43-B3070)&lt;=0,0,(INT(MAX(0,Inputs!$B$43-B3070)/(IF(Inputs!$B$38="pvp",15,MAX(0.1,Skills!E10-IF(Skills!F10=TRUE,3.5,0)))*(1-IF(AND(ArtifactsInput!$M$27,Inputs!$B$4="Chapter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IFERROR(1/(IF(Inputs!$B$38="pvp",15,MAX(0.1,Skills!E11-IF(Skills!F11=TRUE,3.5,0)))*(1-IF(AND(ArtifactsInput!$M$27,Inputs!$B$4="Chapter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IFERROR(1/(IF(Inputs!$B$38="pvp",15,MAX(0.1,Skills!E12-IF(Skills!F12=TRUE,3.5,0)))*(1-IF(AND(ArtifactsInput!$M$27,Inputs!$B$4="Chapter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IFERROR(1/(IF(Inputs!$B$38="pvp",15,MAX(0.1,Skills!E13-IF(Skills!F13=TRUE,3.5,0)))*(1-IF(AND(ArtifactsInput!$M$27,Inputs!$B$4="Chapter Hunt"),CHOOSE(ArtifactsInput!$N$27+1,20,24,28,32,36,40),0)/100)),0)</f>
        <v/>
      </c>
      <c r="R3045">
        <f>IF(AND(Inputs!$B$38&lt;&gt;"pvp",Inputs!$B$43&gt;0),IF(MAX(0,Inputs!$B$43-B3070)&lt;=0,0,(INT(MAX(0,Inputs!$B$43-B3070)/(IF(Inputs!$B$38="pvp",15,MAX(0.1,Skills!E13-IF(Skills!F13=TRUE,3.5,0)))*(1-IF(AND(ArtifactsInput!$M$27,Inputs!$B$4="Chapter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IFERROR(1/(IF(Inputs!$B$38="pvp",15,MAX(0.1,Skills!E14-IF(Skills!F14=TRUE,3.5,0)))*(1-IF(AND(ArtifactsInput!$M$27,Inputs!$B$4="Chapter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IFERROR(1/(IF(Inputs!$B$38="pvp",15,MAX(0.1,Skills!E15-IF(Skills!F15=TRUE,3.5,0)))*(1-IF(AND(ArtifactsInput!$M$27,Inputs!$B$4="Chapter Hunt"),CHOOSE(ArtifactsInput!$N$27+1,20,24,28,32,36,40),0)/100)),0)</f>
        <v/>
      </c>
      <c r="R3047">
        <f>IF(AND(Inputs!$B$38&lt;&gt;"pvp",Inputs!$B$43&gt;0),IF(MAX(0,Inputs!$B$43-B3070)&lt;=0,0,(INT(MAX(0,Inputs!$B$43-B3070)/(IF(Inputs!$B$38="pvp",15,MAX(0.1,Skills!E15-IF(Skills!F15=TRUE,3.5,0)))*(1-IF(AND(ArtifactsInput!$M$27,Inputs!$B$4="Chapter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IFERROR(1/(IF(Inputs!$B$38="pvp",15,MAX(0.1,Skills!E16-IF(Skills!F16=TRUE,3.5,0)))*(1-IF(AND(ArtifactsInput!$M$27,Inputs!$B$4="Chapter Hunt"),CHOOSE(ArtifactsInput!$N$27+1,20,24,28,32,36,40),0)/100)),0)</f>
        <v/>
      </c>
      <c r="R3048">
        <f>IF(AND(Inputs!$B$38&lt;&gt;"pvp",Inputs!$B$43&gt;0),IF(MAX(0,Inputs!$B$43-B3070)&lt;=0,0,(INT(MAX(0,Inputs!$B$43-B3070)/(IF(Inputs!$B$38="pvp",15,MAX(0.1,Skills!E16-IF(Skills!F16=TRUE,3.5,0)))*(1-IF(AND(ArtifactsInput!$M$27,Inputs!$B$4="Chapter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IFERROR(1/(IF(Inputs!$B$38="pvp",15,MAX(0.1,Skills!E17-IF(Skills!F17=TRUE,3.5,0)))*(1-IF(AND(ArtifactsInput!$M$27,Inputs!$B$4="Chapter Hunt"),CHOOSE(ArtifactsInput!$N$27+1,20,24,28,32,36,40),0)/100)),0)</f>
        <v/>
      </c>
      <c r="R3049">
        <f>IF(AND(Inputs!$B$38&lt;&gt;"pvp",Inputs!$B$43&gt;0),IF(Inputs!$B$43&lt;=0,0,(INT(Inputs!$B$43/(IF(Inputs!$B$38="pvp",15,MAX(0.1,Skills!E17-IF(Skills!F17=TRUE,3.5,0)))*(1-IF(AND(ArtifactsInput!$M$27,Inputs!$B$4="Chapter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IFERROR(1/(IF(Inputs!$B$38="pvp",15,MAX(0.1,Skills!E18-IF(Skills!F18=TRUE,3.5,0)))*(1-IF(AND(ArtifactsInput!$M$27,Inputs!$B$4="Chapter Hunt"),CHOOSE(ArtifactsInput!$N$27+1,20,24,28,32,36,40),0)/100)),0)</f>
        <v/>
      </c>
      <c r="R3050">
        <f>IF(AND(Inputs!$B$38&lt;&gt;"pvp",Inputs!$B$43&gt;0),IF(Inputs!$B$43&lt;=0,0,(INT(Inputs!$B$43/(IF(Inputs!$B$38="pvp",15,MAX(0.1,Skills!E18-IF(Skills!F18=TRUE,3.5,0)))*(1-IF(AND(ArtifactsInput!$M$27,Inputs!$B$4="Chapter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IFERROR(1/(IF(Inputs!$B$38="pvp",15,MAX(0.1,Skills!E19-IF(Skills!F19=TRUE,3.5,0)))*(1-IF(AND(ArtifactsInput!$M$27,Inputs!$B$4="Chapter Hunt"),CHOOSE(ArtifactsInput!$N$27+1,20,24,28,32,36,40),0)/100)),0)</f>
        <v/>
      </c>
      <c r="R3051">
        <f>IF(AND(Inputs!$B$38&lt;&gt;"pvp",Inputs!$B$43&gt;0),IF(Inputs!$B$43&lt;=0,0,(INT(Inputs!$B$43/(IF(Inputs!$B$38="pvp",15,MAX(0.1,Skills!E19-IF(Skills!F19=TRUE,3.5,0)))*(1-IF(AND(ArtifactsInput!$M$27,Inputs!$B$4="Chapter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IFERROR(1/(IF(Inputs!$B$38="pvp",15,MAX(0.1,Skills!E20-IF(Skills!F20=TRUE,3.5,0)))*(1-IF(AND(ArtifactsInput!$M$27,Inputs!$B$4="Chapter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IFERROR(1/(IF(Inputs!$B$38="pvp",15,MAX(0.1,Skills!E21-IF(Skills!F21=TRUE,3.5,0)))*(1-IF(AND(ArtifactsInput!$M$27,Inputs!$B$4="Chapter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IFERROR(1/(IF(Inputs!$B$38="pvp",15,MAX(0.1,Skills!E22-IF(Skills!F22=TRUE,3.5,0)))*(1-IF(AND(ArtifactsInput!$M$27,Inputs!$B$4="Chapter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IFERROR(1/(IF(Inputs!$B$38="pvp",15,MAX(0.1,Skills!E23-IF(Skills!F23=TRUE,3.5,0)))*(1-IF(AND(ArtifactsInput!$M$27,Inputs!$B$4="Chapter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IFERROR(1/(IF(Inputs!$B$38="pvp",15,MAX(0.1,Skills!E24-IF(Skills!F24=TRUE,3.5,0)))*(1-IF(AND(ArtifactsInput!$M$27,Inputs!$B$4="Chapter Hunt"),CHOOSE(ArtifactsInput!$N$27+1,20,24,28,32,36,40),0)/100)),0)</f>
        <v/>
      </c>
      <c r="R3056">
        <f>IF(AND(Inputs!$B$38&lt;&gt;"pvp",Inputs!$B$43&gt;0),IF(MAX(0,Inputs!$B$43-B3070)&lt;=0,0,(INT(MAX(0,Inputs!$B$43-B3070)/(IF(Inputs!$B$38="pvp",15,MAX(0.1,Skills!E24-IF(Skills!F24=TRUE,3.5,0)))*(1-IF(AND(ArtifactsInput!$M$27,Inputs!$B$4="Chapter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IFERROR(1/(IF(Inputs!$B$38="pvp",15,MAX(0.1,Skills!E25-IF(Skills!F25=TRUE,3.5,0)))*(1-IF(AND(ArtifactsInput!$M$27,Inputs!$B$4="Chapter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IFERROR(1/(IF(Inputs!$B$38="pvp",15,MAX(0.1,Skills!E26-IF(Skills!F26=TRUE,3.5,0)))*(1-IF(AND(ArtifactsInput!$M$27,Inputs!$B$4="Chapter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IFERROR(1/(IF(Inputs!$B$38="pvp",15,MAX(0.1,Skills!E27-IF(Skills!F27=TRUE,3.5,0)))*(1-IF(AND(ArtifactsInput!$M$27,Inputs!$B$4="Chapter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IFERROR(1/(IF(Inputs!$B$38="pvp",15,MAX(0.1,Skills!E28-IF(Skills!F28=TRUE,3.5,0)))*(1-IF(AND(ArtifactsInput!$M$27,Inputs!$B$4="Chapter Hunt"),CHOOSE(ArtifactsInput!$N$27+1,20,24,28,32,36,40),0)/100)),0)</f>
        <v/>
      </c>
      <c r="R3060">
        <f>IF(AND(Inputs!$B$38&lt;&gt;"pvp",Inputs!$B$43&gt;0),IF(MAX(0,Inputs!$B$43-B3070)&lt;=0,0,(INT(MAX(0,Inputs!$B$43-B3070)/(IF(Inputs!$B$38="pvp",15,MAX(0.1,Skills!E28-IF(Skills!F28=TRUE,3.5,0)))*(1-IF(AND(ArtifactsInput!$M$27,Inputs!$B$4="Chapter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Skills!T6*(1+((Inputs!$B$34+(ArtifactsInput!$M$7-ArtifactsInput!$M$7)*CHOOSE(ArtifactsInput!$N$7+1,6,7.2,8.4,9.6,10.8,12))+IF(Inputs!$B$3&gt;=117,F3057,0))/100))+MIN((Skills!T6*(1+((Inputs!$B$34+(ArtifactsInput!$M$7-ArtifactsInput!$M$7)*CHOOSE(ArtifactsInput!$N$7+1,6,7.2,8.4,9.6,10.8,12))+IF(Inputs!$B$3&gt;=117,F3057,0))/100)),MAX(0,Inputs!$B$43-((R3038-1)*Skills!E6))))/Inputs!$B$43),IF(Inputs!$B$38="pvp",MIN((Skills!T6*(1+((Inputs!$B$34+(ArtifactsInput!$M$7-ArtifactsInput!$M$7)*CHOOSE(ArtifactsInput!$N$7+1,6,7.2,8.4,9.6,10.8,12))+IF(Inputs!$B$3&gt;=117,F3057,0))/100)),15)/15,(Skills!T6*(1+((Inputs!$B$34+(ArtifactsInput!$M$7-ArtifactsInput!$M$7)*CHOOSE(ArtifactsInput!$N$7+1,6,7.2,8.4,9.6,10.8,12))+IF(Inputs!$B$3&gt;=117,F3057,0))/100))/Skills!E6))+F3049*IF(AND(Inputs!$B$38&lt;&gt;"pvp",Inputs!$B$43&gt;0),(((R3049-1)*(Skills!T17*(1+((Inputs!$B$34+(ArtifactsInput!$M$7-ArtifactsInput!$M$7)*CHOOSE(ArtifactsInput!$N$7+1,6,7.2,8.4,9.6,10.8,12))+IF(Inputs!$B$3&gt;=117,F3057,0))/100))+MIN((Skills!T17*(1+((Inputs!$B$34+(ArtifactsInput!$M$7-ArtifactsInput!$M$7)*CHOOSE(ArtifactsInput!$N$7+1,6,7.2,8.4,9.6,10.8,12))+IF(Inputs!$B$3&gt;=117,F3057,0))/100)),MAX(0,Inputs!$B$43-((R3049-1)*Skills!E17))))/Inputs!$B$43),IF(Inputs!$B$38="pvp",MIN((Skills!T17*(1+((Inputs!$B$34+(ArtifactsInput!$M$7-ArtifactsInput!$M$7)*CHOOSE(ArtifactsInput!$N$7+1,6,7.2,8.4,9.6,10.8,12))+IF(Inputs!$B$3&gt;=117,F3057,0))/100)),15)/15,(Skills!T17*(1+((Inputs!$B$34+(ArtifactsInput!$M$7-ArtifactsInput!$M$7)*CHOOSE(ArtifactsInput!$N$7+1,6,7.2,8.4,9.6,10.8,12))+IF(Inputs!$B$3&gt;=117,F3057,0)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Skills!T19*(1+((Inputs!$B$34+(ArtifactsInput!$M$7-ArtifactsInput!$M$7)*CHOOSE(ArtifactsInput!$N$7+1,6,7.2,8.4,9.6,10.8,12))+IF(Inputs!$B$3&gt;=117,F3057,0))/100))+MIN((Skills!T19*(1+((Inputs!$B$34+(ArtifactsInput!$M$7-ArtifactsInput!$M$7)*CHOOSE(ArtifactsInput!$N$7+1,6,7.2,8.4,9.6,10.8,12))+IF(Inputs!$B$3&gt;=117,F3057,0))/100)),MAX(0,Inputs!$B$43-((R3051-1)*Skills!E19))))/Inputs!$B$43),IF(Inputs!$B$38="pvp",MIN((Skills!T19*(1+((Inputs!$B$34+(ArtifactsInput!$M$7-ArtifactsInput!$M$7)*CHOOSE(ArtifactsInput!$N$7+1,6,7.2,8.4,9.6,10.8,12))+IF(Inputs!$B$3&gt;=117,F3057,0))/100)),15)/15,(Skills!T19*(1+((Inputs!$B$34+(ArtifactsInput!$M$7-ArtifactsInput!$M$7)*CHOOSE(ArtifactsInput!$N$7+1,6,7.2,8.4,9.6,10.8,12))+IF(Inputs!$B$3&gt;=117,F3057,0))/100))/Skills!E19))/100),1)</f>
        <v/>
      </c>
    </row>
    <row r="3065">
      <c r="A3065" t="inlineStr">
        <is>
          <t>Attack Speed Buff Bonus % (Nimble Feet, averaged)</t>
        </is>
      </c>
      <c r="B3065">
        <f>F3050*IF(AND(Inputs!$B$38&lt;&gt;"pvp",Inputs!$B$43&gt;0),(((R3050-1)*(Skills!T18*(1+((Inputs!$B$34+(ArtifactsInput!$M$7-ArtifactsInput!$M$7)*CHOOSE(ArtifactsInput!$N$7+1,6,7.2,8.4,9.6,10.8,12))+IF(Inputs!$B$3&gt;=117,F3057,0))/100))+MIN((Skills!T18*(1+((Inputs!$B$34+(ArtifactsInput!$M$7-ArtifactsInput!$M$7)*CHOOSE(ArtifactsInput!$N$7+1,6,7.2,8.4,9.6,10.8,12))+IF(Inputs!$B$3&gt;=117,F3057,0))/100)),MAX(0,Inputs!$B$43-((R3050-1)*Skills!E18))))/Inputs!$B$43),IF(Inputs!$B$38="pvp",MIN((Skills!T18*(1+((Inputs!$B$34+(ArtifactsInput!$M$7-ArtifactsInput!$M$7)*CHOOSE(ArtifactsInput!$N$7+1,6,7.2,8.4,9.6,10.8,12))+IF(Inputs!$B$3&gt;=117,F3057,0))/100)),15)/15,(Skills!T18*(1+((Inputs!$B$34+(ArtifactsInput!$M$7-ArtifactsInput!$M$7)*CHOOSE(ArtifactsInput!$N$7+1,6,7.2,8.4,9.6,10.8,12))+IF(Inputs!$B$3&gt;=117,F3057,0))/100))/Skills!E18))</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IFERROR(1/(IF(Inputs!$B$38="pvp",15,MAX(0.1,Skills!E2-IF(Skills!F2=TRUE,4.0,0)))*(1-IF(AND(ArtifactsInput!$M$27,Inputs!$B$4="Chapter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IFERROR(1/(IF(Inputs!$B$38="pvp",15,MAX(0.1,Skills!E3-IF(Skills!F3=TRUE,4.0,0)))*(1-IF(AND(ArtifactsInput!$M$27,Inputs!$B$4="Chapter Hunt"),CHOOSE(ArtifactsInput!$N$27+1,20,24,28,32,36,40),0)/100)),0)</f>
        <v/>
      </c>
      <c r="R3079">
        <f>IF(AND(Inputs!$B$38&lt;&gt;"pvp",Inputs!$B$43&gt;0),IF(MAX(0,Inputs!$B$43-B3114)&lt;=0,0,(INT(MAX(0,Inputs!$B$43-B3114)/(IF(Inputs!$B$38="pvp",15,MAX(0.1,Skills!E3-IF(Skills!F3=TRUE,4.0,0)))*(1-IF(AND(ArtifactsInput!$M$27,Inputs!$B$4="Chapter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IFERROR(1/(IF(Inputs!$B$38="pvp",15,MAX(0.1,Skills!E4-IF(Skills!F4=TRUE,4.0,0)))*(1-IF(AND(ArtifactsInput!$M$27,Inputs!$B$4="Chapter Hunt"),CHOOSE(ArtifactsInput!$N$27+1,20,24,28,32,36,40),0)/100)),0)</f>
        <v/>
      </c>
      <c r="R3080">
        <f>IF(AND(Inputs!$B$38&lt;&gt;"pvp",Inputs!$B$43&gt;0),IF(MAX(0,Inputs!$B$43-B3114)&lt;=0,0,(INT(MAX(0,Inputs!$B$43-B3114)/(IF(Inputs!$B$38="pvp",15,MAX(0.1,Skills!E4-IF(Skills!F4=TRUE,4.0,0)))*(1-IF(AND(ArtifactsInput!$M$27,Inputs!$B$4="Chapter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IFERROR(1/(IF(Inputs!$B$38="pvp",15,MAX(0.1,Skills!E5-IF(Skills!F5=TRUE,4.0,0)))*(1-IF(AND(ArtifactsInput!$M$27,Inputs!$B$4="Chapter Hunt"),CHOOSE(ArtifactsInput!$N$27+1,20,24,28,32,36,40),0)/100)),0)</f>
        <v/>
      </c>
      <c r="R3081">
        <f>IF(AND(Inputs!$B$38&lt;&gt;"pvp",Inputs!$B$43&gt;0),IF(MAX(0,Inputs!$B$43-B3114)&lt;=0,0,(INT(MAX(0,Inputs!$B$43-B3114)/(IF(Inputs!$B$38="pvp",15,MAX(0.1,Skills!E5-IF(Skills!F5=TRUE,4.0,0)))*(1-IF(AND(ArtifactsInput!$M$27,Inputs!$B$4="Chapter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IFERROR(1/(IF(Inputs!$B$38="pvp",15,MAX(0.1,Skills!E6-IF(Skills!F6=TRUE,4.0,0)))*(1-IF(AND(ArtifactsInput!$M$27,Inputs!$B$4="Chapter Hunt"),CHOOSE(ArtifactsInput!$N$27+1,20,24,28,32,36,40),0)/100)),0)</f>
        <v/>
      </c>
      <c r="R3082">
        <f>IF(AND(Inputs!$B$38&lt;&gt;"pvp",Inputs!$B$43&gt;0),IF(Inputs!$B$43&lt;=0,0,(INT(Inputs!$B$43/(IF(Inputs!$B$38="pvp",15,MAX(0.1,Skills!E6-IF(Skills!F6=TRUE,4.0,0)))*(1-IF(AND(ArtifactsInput!$M$27,Inputs!$B$4="Chapter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IFERROR(1/(IF(Inputs!$B$38="pvp",15,MAX(0.1,Skills!E7-IF(Skills!F7=TRUE,4.0,0)))*(1-IF(AND(ArtifactsInput!$M$27,Inputs!$B$4="Chapter Hunt"),CHOOSE(ArtifactsInput!$N$27+1,20,24,28,32,36,40),0)/100)),0)</f>
        <v/>
      </c>
      <c r="R3083">
        <f>IF(AND(Inputs!$B$38&lt;&gt;"pvp",Inputs!$B$43&gt;0),IF(MAX(0,Inputs!$B$43-B3114)&lt;=0,0,(INT(MAX(0,Inputs!$B$43-B3114)/(IF(Inputs!$B$38="pvp",15,MAX(0.1,Skills!E7-IF(Skills!F7=TRUE,4.0,0)))*(1-IF(AND(ArtifactsInput!$M$27,Inputs!$B$4="Chapter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IFERROR(1/(IF(Inputs!$B$38="pvp",15,MAX(0.1,Skills!E8-IF(Skills!F8=TRUE,4.0,0)))*(1-IF(AND(ArtifactsInput!$M$27,Inputs!$B$4="Chapter Hunt"),CHOOSE(ArtifactsInput!$N$27+1,20,24,28,32,36,40),0)/100)),0)</f>
        <v/>
      </c>
      <c r="R3084">
        <f>IF(AND(Inputs!$B$38&lt;&gt;"pvp",Inputs!$B$43&gt;0),IF(MAX(0,Inputs!$B$43-B3114)&lt;=0,0,(INT(MAX(0,Inputs!$B$43-B3114)/(IF(Inputs!$B$38="pvp",15,MAX(0.1,Skills!E8-IF(Skills!F8=TRUE,4.0,0)))*(1-IF(AND(ArtifactsInput!$M$27,Inputs!$B$4="Chapter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IFERROR(1/(IF(Inputs!$B$38="pvp",15,MAX(0.1,Skills!E9-IF(Skills!F7=TRUE,4.0,0)))*(1-IF(AND(ArtifactsInput!$M$27,Inputs!$B$4="Chapter Hunt"),CHOOSE(ArtifactsInput!$N$27+1,20,24,28,32,36,40),0)/100)),0)</f>
        <v/>
      </c>
      <c r="R3085">
        <f>IF(AND(Inputs!$B$38&lt;&gt;"pvp",Inputs!$B$43&gt;0),IF(MAX(0,Inputs!$B$43-B3114)&lt;=0,0,(INT(MAX(0,Inputs!$B$43-B3114)/(IF(Inputs!$B$38="pvp",15,MAX(0.1,Skills!E9-IF(Skills!F7=TRUE,4.0,0)))*(1-IF(AND(ArtifactsInput!$M$27,Inputs!$B$4="Chapter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IFERROR(1/(IF(Inputs!$B$38="pvp",15,MAX(0.1,Skills!E10-IF(Skills!F10=TRUE,4.0,0)))*(1-IF(AND(ArtifactsInput!$M$27,Inputs!$B$4="Chapter Hunt"),CHOOSE(ArtifactsInput!$N$27+1,20,24,28,32,36,40),0)/100)),0)</f>
        <v/>
      </c>
      <c r="R3086">
        <f>IF(AND(Inputs!$B$38&lt;&gt;"pvp",Inputs!$B$43&gt;0),IF(MAX(0,Inputs!$B$43-B3114)&lt;=0,0,(INT(MAX(0,Inputs!$B$43-B3114)/(IF(Inputs!$B$38="pvp",15,MAX(0.1,Skills!E10-IF(Skills!F10=TRUE,4.0,0)))*(1-IF(AND(ArtifactsInput!$M$27,Inputs!$B$4="Chapter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IFERROR(1/(IF(Inputs!$B$38="pvp",15,MAX(0.1,Skills!E11-IF(Skills!F11=TRUE,4.0,0)))*(1-IF(AND(ArtifactsInput!$M$27,Inputs!$B$4="Chapter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IFERROR(1/(IF(Inputs!$B$38="pvp",15,MAX(0.1,Skills!E12-IF(Skills!F12=TRUE,4.0,0)))*(1-IF(AND(ArtifactsInput!$M$27,Inputs!$B$4="Chapter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IFERROR(1/(IF(Inputs!$B$38="pvp",15,MAX(0.1,Skills!E13-IF(Skills!F13=TRUE,4.0,0)))*(1-IF(AND(ArtifactsInput!$M$27,Inputs!$B$4="Chapter Hunt"),CHOOSE(ArtifactsInput!$N$27+1,20,24,28,32,36,40),0)/100)),0)</f>
        <v/>
      </c>
      <c r="R3089">
        <f>IF(AND(Inputs!$B$38&lt;&gt;"pvp",Inputs!$B$43&gt;0),IF(MAX(0,Inputs!$B$43-B3114)&lt;=0,0,(INT(MAX(0,Inputs!$B$43-B3114)/(IF(Inputs!$B$38="pvp",15,MAX(0.1,Skills!E13-IF(Skills!F13=TRUE,4.0,0)))*(1-IF(AND(ArtifactsInput!$M$27,Inputs!$B$4="Chapter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IFERROR(1/(IF(Inputs!$B$38="pvp",15,MAX(0.1,Skills!E14-IF(Skills!F14=TRUE,4.0,0)))*(1-IF(AND(ArtifactsInput!$M$27,Inputs!$B$4="Chapter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IFERROR(1/(IF(Inputs!$B$38="pvp",15,MAX(0.1,Skills!E15-IF(Skills!F15=TRUE,4.0,0)))*(1-IF(AND(ArtifactsInput!$M$27,Inputs!$B$4="Chapter Hunt"),CHOOSE(ArtifactsInput!$N$27+1,20,24,28,32,36,40),0)/100)),0)</f>
        <v/>
      </c>
      <c r="R3091">
        <f>IF(AND(Inputs!$B$38&lt;&gt;"pvp",Inputs!$B$43&gt;0),IF(MAX(0,Inputs!$B$43-B3114)&lt;=0,0,(INT(MAX(0,Inputs!$B$43-B3114)/(IF(Inputs!$B$38="pvp",15,MAX(0.1,Skills!E15-IF(Skills!F15=TRUE,4.0,0)))*(1-IF(AND(ArtifactsInput!$M$27,Inputs!$B$4="Chapter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IFERROR(1/(IF(Inputs!$B$38="pvp",15,MAX(0.1,Skills!E16-IF(Skills!F16=TRUE,4.0,0)))*(1-IF(AND(ArtifactsInput!$M$27,Inputs!$B$4="Chapter Hunt"),CHOOSE(ArtifactsInput!$N$27+1,20,24,28,32,36,40),0)/100)),0)</f>
        <v/>
      </c>
      <c r="R3092">
        <f>IF(AND(Inputs!$B$38&lt;&gt;"pvp",Inputs!$B$43&gt;0),IF(MAX(0,Inputs!$B$43-B3114)&lt;=0,0,(INT(MAX(0,Inputs!$B$43-B3114)/(IF(Inputs!$B$38="pvp",15,MAX(0.1,Skills!E16-IF(Skills!F16=TRUE,4.0,0)))*(1-IF(AND(ArtifactsInput!$M$27,Inputs!$B$4="Chapter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IFERROR(1/(IF(Inputs!$B$38="pvp",15,MAX(0.1,Skills!E17-IF(Skills!F17=TRUE,4.0,0)))*(1-IF(AND(ArtifactsInput!$M$27,Inputs!$B$4="Chapter Hunt"),CHOOSE(ArtifactsInput!$N$27+1,20,24,28,32,36,40),0)/100)),0)</f>
        <v/>
      </c>
      <c r="R3093">
        <f>IF(AND(Inputs!$B$38&lt;&gt;"pvp",Inputs!$B$43&gt;0),IF(Inputs!$B$43&lt;=0,0,(INT(Inputs!$B$43/(IF(Inputs!$B$38="pvp",15,MAX(0.1,Skills!E17-IF(Skills!F17=TRUE,4.0,0)))*(1-IF(AND(ArtifactsInput!$M$27,Inputs!$B$4="Chapter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IFERROR(1/(IF(Inputs!$B$38="pvp",15,MAX(0.1,Skills!E18-IF(Skills!F18=TRUE,4.0,0)))*(1-IF(AND(ArtifactsInput!$M$27,Inputs!$B$4="Chapter Hunt"),CHOOSE(ArtifactsInput!$N$27+1,20,24,28,32,36,40),0)/100)),0)</f>
        <v/>
      </c>
      <c r="R3094">
        <f>IF(AND(Inputs!$B$38&lt;&gt;"pvp",Inputs!$B$43&gt;0),IF(Inputs!$B$43&lt;=0,0,(INT(Inputs!$B$43/(IF(Inputs!$B$38="pvp",15,MAX(0.1,Skills!E18-IF(Skills!F18=TRUE,4.0,0)))*(1-IF(AND(ArtifactsInput!$M$27,Inputs!$B$4="Chapter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IFERROR(1/(IF(Inputs!$B$38="pvp",15,MAX(0.1,Skills!E19-IF(Skills!F19=TRUE,4.0,0)))*(1-IF(AND(ArtifactsInput!$M$27,Inputs!$B$4="Chapter Hunt"),CHOOSE(ArtifactsInput!$N$27+1,20,24,28,32,36,40),0)/100)),0)</f>
        <v/>
      </c>
      <c r="R3095">
        <f>IF(AND(Inputs!$B$38&lt;&gt;"pvp",Inputs!$B$43&gt;0),IF(Inputs!$B$43&lt;=0,0,(INT(Inputs!$B$43/(IF(Inputs!$B$38="pvp",15,MAX(0.1,Skills!E19-IF(Skills!F19=TRUE,4.0,0)))*(1-IF(AND(ArtifactsInput!$M$27,Inputs!$B$4="Chapter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IFERROR(1/(IF(Inputs!$B$38="pvp",15,MAX(0.1,Skills!E20-IF(Skills!F20=TRUE,4.0,0)))*(1-IF(AND(ArtifactsInput!$M$27,Inputs!$B$4="Chapter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IFERROR(1/(IF(Inputs!$B$38="pvp",15,MAX(0.1,Skills!E21-IF(Skills!F21=TRUE,4.0,0)))*(1-IF(AND(ArtifactsInput!$M$27,Inputs!$B$4="Chapter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IFERROR(1/(IF(Inputs!$B$38="pvp",15,MAX(0.1,Skills!E22-IF(Skills!F22=TRUE,4.0,0)))*(1-IF(AND(ArtifactsInput!$M$27,Inputs!$B$4="Chapter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IFERROR(1/(IF(Inputs!$B$38="pvp",15,MAX(0.1,Skills!E23-IF(Skills!F23=TRUE,4.0,0)))*(1-IF(AND(ArtifactsInput!$M$27,Inputs!$B$4="Chapter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IFERROR(1/(IF(Inputs!$B$38="pvp",15,MAX(0.1,Skills!E24-IF(Skills!F24=TRUE,4.0,0)))*(1-IF(AND(ArtifactsInput!$M$27,Inputs!$B$4="Chapter Hunt"),CHOOSE(ArtifactsInput!$N$27+1,20,24,28,32,36,40),0)/100)),0)</f>
        <v/>
      </c>
      <c r="R3100">
        <f>IF(AND(Inputs!$B$38&lt;&gt;"pvp",Inputs!$B$43&gt;0),IF(MAX(0,Inputs!$B$43-B3114)&lt;=0,0,(INT(MAX(0,Inputs!$B$43-B3114)/(IF(Inputs!$B$38="pvp",15,MAX(0.1,Skills!E24-IF(Skills!F24=TRUE,4.0,0)))*(1-IF(AND(ArtifactsInput!$M$27,Inputs!$B$4="Chapter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IFERROR(1/(IF(Inputs!$B$38="pvp",15,MAX(0.1,Skills!E25-IF(Skills!F25=TRUE,4.0,0)))*(1-IF(AND(ArtifactsInput!$M$27,Inputs!$B$4="Chapter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IFERROR(1/(IF(Inputs!$B$38="pvp",15,MAX(0.1,Skills!E26-IF(Skills!F26=TRUE,4.0,0)))*(1-IF(AND(ArtifactsInput!$M$27,Inputs!$B$4="Chapter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IFERROR(1/(IF(Inputs!$B$38="pvp",15,MAX(0.1,Skills!E27-IF(Skills!F27=TRUE,4.0,0)))*(1-IF(AND(ArtifactsInput!$M$27,Inputs!$B$4="Chapter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IFERROR(1/(IF(Inputs!$B$38="pvp",15,MAX(0.1,Skills!E28-IF(Skills!F28=TRUE,4.0,0)))*(1-IF(AND(ArtifactsInput!$M$27,Inputs!$B$4="Chapter Hunt"),CHOOSE(ArtifactsInput!$N$27+1,20,24,28,32,36,40),0)/100)),0)</f>
        <v/>
      </c>
      <c r="R3104">
        <f>IF(AND(Inputs!$B$38&lt;&gt;"pvp",Inputs!$B$43&gt;0),IF(MAX(0,Inputs!$B$43-B3114)&lt;=0,0,(INT(MAX(0,Inputs!$B$43-B3114)/(IF(Inputs!$B$38="pvp",15,MAX(0.1,Skills!E28-IF(Skills!F28=TRUE,4.0,0)))*(1-IF(AND(ArtifactsInput!$M$27,Inputs!$B$4="Chapter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Skills!T6*(1+((Inputs!$B$34+(ArtifactsInput!$M$7-ArtifactsInput!$M$7)*CHOOSE(ArtifactsInput!$N$7+1,6,7.2,8.4,9.6,10.8,12))+IF(Inputs!$B$3&gt;=117,F3101,0))/100))+MIN((Skills!T6*(1+((Inputs!$B$34+(ArtifactsInput!$M$7-ArtifactsInput!$M$7)*CHOOSE(ArtifactsInput!$N$7+1,6,7.2,8.4,9.6,10.8,12))+IF(Inputs!$B$3&gt;=117,F3101,0))/100)),MAX(0,Inputs!$B$43-((R3082-1)*Skills!E6))))/Inputs!$B$43),IF(Inputs!$B$38="pvp",MIN((Skills!T6*(1+((Inputs!$B$34+(ArtifactsInput!$M$7-ArtifactsInput!$M$7)*CHOOSE(ArtifactsInput!$N$7+1,6,7.2,8.4,9.6,10.8,12))+IF(Inputs!$B$3&gt;=117,F3101,0))/100)),15)/15,(Skills!T6*(1+((Inputs!$B$34+(ArtifactsInput!$M$7-ArtifactsInput!$M$7)*CHOOSE(ArtifactsInput!$N$7+1,6,7.2,8.4,9.6,10.8,12))+IF(Inputs!$B$3&gt;=117,F3101,0))/100))/Skills!E6))+F3093*IF(AND(Inputs!$B$38&lt;&gt;"pvp",Inputs!$B$43&gt;0),(((R3093-1)*(Skills!T17*(1+((Inputs!$B$34+(ArtifactsInput!$M$7-ArtifactsInput!$M$7)*CHOOSE(ArtifactsInput!$N$7+1,6,7.2,8.4,9.6,10.8,12))+IF(Inputs!$B$3&gt;=117,F3101,0))/100))+MIN((Skills!T17*(1+((Inputs!$B$34+(ArtifactsInput!$M$7-ArtifactsInput!$M$7)*CHOOSE(ArtifactsInput!$N$7+1,6,7.2,8.4,9.6,10.8,12))+IF(Inputs!$B$3&gt;=117,F3101,0))/100)),MAX(0,Inputs!$B$43-((R3093-1)*Skills!E17))))/Inputs!$B$43),IF(Inputs!$B$38="pvp",MIN((Skills!T17*(1+((Inputs!$B$34+(ArtifactsInput!$M$7-ArtifactsInput!$M$7)*CHOOSE(ArtifactsInput!$N$7+1,6,7.2,8.4,9.6,10.8,12))+IF(Inputs!$B$3&gt;=117,F3101,0))/100)),15)/15,(Skills!T17*(1+((Inputs!$B$34+(ArtifactsInput!$M$7-ArtifactsInput!$M$7)*CHOOSE(ArtifactsInput!$N$7+1,6,7.2,8.4,9.6,10.8,12))+IF(Inputs!$B$3&gt;=117,F3101,0)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Skills!T19*(1+((Inputs!$B$34+(ArtifactsInput!$M$7-ArtifactsInput!$M$7)*CHOOSE(ArtifactsInput!$N$7+1,6,7.2,8.4,9.6,10.8,12))+IF(Inputs!$B$3&gt;=117,F3101,0))/100))+MIN((Skills!T19*(1+((Inputs!$B$34+(ArtifactsInput!$M$7-ArtifactsInput!$M$7)*CHOOSE(ArtifactsInput!$N$7+1,6,7.2,8.4,9.6,10.8,12))+IF(Inputs!$B$3&gt;=117,F3101,0))/100)),MAX(0,Inputs!$B$43-((R3095-1)*Skills!E19))))/Inputs!$B$43),IF(Inputs!$B$38="pvp",MIN((Skills!T19*(1+((Inputs!$B$34+(ArtifactsInput!$M$7-ArtifactsInput!$M$7)*CHOOSE(ArtifactsInput!$N$7+1,6,7.2,8.4,9.6,10.8,12))+IF(Inputs!$B$3&gt;=117,F3101,0))/100)),15)/15,(Skills!T19*(1+((Inputs!$B$34+(ArtifactsInput!$M$7-ArtifactsInput!$M$7)*CHOOSE(ArtifactsInput!$N$7+1,6,7.2,8.4,9.6,10.8,12))+IF(Inputs!$B$3&gt;=117,F3101,0))/100))/Skills!E19))/100),1)</f>
        <v/>
      </c>
    </row>
    <row r="3109">
      <c r="A3109" t="inlineStr">
        <is>
          <t>Attack Speed Buff Bonus % (Nimble Feet, averaged)</t>
        </is>
      </c>
      <c r="B3109">
        <f>F3094*IF(AND(Inputs!$B$38&lt;&gt;"pvp",Inputs!$B$43&gt;0),(((R3094-1)*(Skills!T18*(1+((Inputs!$B$34+(ArtifactsInput!$M$7-ArtifactsInput!$M$7)*CHOOSE(ArtifactsInput!$N$7+1,6,7.2,8.4,9.6,10.8,12))+IF(Inputs!$B$3&gt;=117,F3101,0))/100))+MIN((Skills!T18*(1+((Inputs!$B$34+(ArtifactsInput!$M$7-ArtifactsInput!$M$7)*CHOOSE(ArtifactsInput!$N$7+1,6,7.2,8.4,9.6,10.8,12))+IF(Inputs!$B$3&gt;=117,F3101,0))/100)),MAX(0,Inputs!$B$43-((R3094-1)*Skills!E18))))/Inputs!$B$43),IF(Inputs!$B$38="pvp",MIN((Skills!T18*(1+((Inputs!$B$34+(ArtifactsInput!$M$7-ArtifactsInput!$M$7)*CHOOSE(ArtifactsInput!$N$7+1,6,7.2,8.4,9.6,10.8,12))+IF(Inputs!$B$3&gt;=117,F3101,0))/100)),15)/15,(Skills!T18*(1+((Inputs!$B$34+(ArtifactsInput!$M$7-ArtifactsInput!$M$7)*CHOOSE(ArtifactsInput!$N$7+1,6,7.2,8.4,9.6,10.8,12))+IF(Inputs!$B$3&gt;=117,F3101,0))/100))/Skills!E18))</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IFERROR(1/(IF(Inputs!$B$38="pvp",15,MAX(0.1,Skills!E2-IF(Skills!F2=TRUE,4.5,0)))*(1-IF(AND(ArtifactsInput!$M$27,Inputs!$B$4="Chapter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IFERROR(1/(IF(Inputs!$B$38="pvp",15,MAX(0.1,Skills!E3-IF(Skills!F3=TRUE,4.5,0)))*(1-IF(AND(ArtifactsInput!$M$27,Inputs!$B$4="Chapter Hunt"),CHOOSE(ArtifactsInput!$N$27+1,20,24,28,32,36,40),0)/100)),0)</f>
        <v/>
      </c>
      <c r="R3123">
        <f>IF(AND(Inputs!$B$38&lt;&gt;"pvp",Inputs!$B$43&gt;0),IF(MAX(0,Inputs!$B$43-B3158)&lt;=0,0,(INT(MAX(0,Inputs!$B$43-B3158)/(IF(Inputs!$B$38="pvp",15,MAX(0.1,Skills!E3-IF(Skills!F3=TRUE,4.5,0)))*(1-IF(AND(ArtifactsInput!$M$27,Inputs!$B$4="Chapter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IFERROR(1/(IF(Inputs!$B$38="pvp",15,MAX(0.1,Skills!E4-IF(Skills!F4=TRUE,4.5,0)))*(1-IF(AND(ArtifactsInput!$M$27,Inputs!$B$4="Chapter Hunt"),CHOOSE(ArtifactsInput!$N$27+1,20,24,28,32,36,40),0)/100)),0)</f>
        <v/>
      </c>
      <c r="R3124">
        <f>IF(AND(Inputs!$B$38&lt;&gt;"pvp",Inputs!$B$43&gt;0),IF(MAX(0,Inputs!$B$43-B3158)&lt;=0,0,(INT(MAX(0,Inputs!$B$43-B3158)/(IF(Inputs!$B$38="pvp",15,MAX(0.1,Skills!E4-IF(Skills!F4=TRUE,4.5,0)))*(1-IF(AND(ArtifactsInput!$M$27,Inputs!$B$4="Chapter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IFERROR(1/(IF(Inputs!$B$38="pvp",15,MAX(0.1,Skills!E5-IF(Skills!F5=TRUE,4.5,0)))*(1-IF(AND(ArtifactsInput!$M$27,Inputs!$B$4="Chapter Hunt"),CHOOSE(ArtifactsInput!$N$27+1,20,24,28,32,36,40),0)/100)),0)</f>
        <v/>
      </c>
      <c r="R3125">
        <f>IF(AND(Inputs!$B$38&lt;&gt;"pvp",Inputs!$B$43&gt;0),IF(MAX(0,Inputs!$B$43-B3158)&lt;=0,0,(INT(MAX(0,Inputs!$B$43-B3158)/(IF(Inputs!$B$38="pvp",15,MAX(0.1,Skills!E5-IF(Skills!F5=TRUE,4.5,0)))*(1-IF(AND(ArtifactsInput!$M$27,Inputs!$B$4="Chapter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IFERROR(1/(IF(Inputs!$B$38="pvp",15,MAX(0.1,Skills!E6-IF(Skills!F6=TRUE,4.5,0)))*(1-IF(AND(ArtifactsInput!$M$27,Inputs!$B$4="Chapter Hunt"),CHOOSE(ArtifactsInput!$N$27+1,20,24,28,32,36,40),0)/100)),0)</f>
        <v/>
      </c>
      <c r="R3126">
        <f>IF(AND(Inputs!$B$38&lt;&gt;"pvp",Inputs!$B$43&gt;0),IF(Inputs!$B$43&lt;=0,0,(INT(Inputs!$B$43/(IF(Inputs!$B$38="pvp",15,MAX(0.1,Skills!E6-IF(Skills!F6=TRUE,4.5,0)))*(1-IF(AND(ArtifactsInput!$M$27,Inputs!$B$4="Chapter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IFERROR(1/(IF(Inputs!$B$38="pvp",15,MAX(0.1,Skills!E7-IF(Skills!F7=TRUE,4.5,0)))*(1-IF(AND(ArtifactsInput!$M$27,Inputs!$B$4="Chapter Hunt"),CHOOSE(ArtifactsInput!$N$27+1,20,24,28,32,36,40),0)/100)),0)</f>
        <v/>
      </c>
      <c r="R3127">
        <f>IF(AND(Inputs!$B$38&lt;&gt;"pvp",Inputs!$B$43&gt;0),IF(MAX(0,Inputs!$B$43-B3158)&lt;=0,0,(INT(MAX(0,Inputs!$B$43-B3158)/(IF(Inputs!$B$38="pvp",15,MAX(0.1,Skills!E7-IF(Skills!F7=TRUE,4.5,0)))*(1-IF(AND(ArtifactsInput!$M$27,Inputs!$B$4="Chapter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IFERROR(1/(IF(Inputs!$B$38="pvp",15,MAX(0.1,Skills!E8-IF(Skills!F8=TRUE,4.5,0)))*(1-IF(AND(ArtifactsInput!$M$27,Inputs!$B$4="Chapter Hunt"),CHOOSE(ArtifactsInput!$N$27+1,20,24,28,32,36,40),0)/100)),0)</f>
        <v/>
      </c>
      <c r="R3128">
        <f>IF(AND(Inputs!$B$38&lt;&gt;"pvp",Inputs!$B$43&gt;0),IF(MAX(0,Inputs!$B$43-B3158)&lt;=0,0,(INT(MAX(0,Inputs!$B$43-B3158)/(IF(Inputs!$B$38="pvp",15,MAX(0.1,Skills!E8-IF(Skills!F8=TRUE,4.5,0)))*(1-IF(AND(ArtifactsInput!$M$27,Inputs!$B$4="Chapter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IFERROR(1/(IF(Inputs!$B$38="pvp",15,MAX(0.1,Skills!E9-IF(Skills!F7=TRUE,4.5,0)))*(1-IF(AND(ArtifactsInput!$M$27,Inputs!$B$4="Chapter Hunt"),CHOOSE(ArtifactsInput!$N$27+1,20,24,28,32,36,40),0)/100)),0)</f>
        <v/>
      </c>
      <c r="R3129">
        <f>IF(AND(Inputs!$B$38&lt;&gt;"pvp",Inputs!$B$43&gt;0),IF(MAX(0,Inputs!$B$43-B3158)&lt;=0,0,(INT(MAX(0,Inputs!$B$43-B3158)/(IF(Inputs!$B$38="pvp",15,MAX(0.1,Skills!E9-IF(Skills!F7=TRUE,4.5,0)))*(1-IF(AND(ArtifactsInput!$M$27,Inputs!$B$4="Chapter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IFERROR(1/(IF(Inputs!$B$38="pvp",15,MAX(0.1,Skills!E10-IF(Skills!F10=TRUE,4.5,0)))*(1-IF(AND(ArtifactsInput!$M$27,Inputs!$B$4="Chapter Hunt"),CHOOSE(ArtifactsInput!$N$27+1,20,24,28,32,36,40),0)/100)),0)</f>
        <v/>
      </c>
      <c r="R3130">
        <f>IF(AND(Inputs!$B$38&lt;&gt;"pvp",Inputs!$B$43&gt;0),IF(MAX(0,Inputs!$B$43-B3158)&lt;=0,0,(INT(MAX(0,Inputs!$B$43-B3158)/(IF(Inputs!$B$38="pvp",15,MAX(0.1,Skills!E10-IF(Skills!F10=TRUE,4.5,0)))*(1-IF(AND(ArtifactsInput!$M$27,Inputs!$B$4="Chapter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IFERROR(1/(IF(Inputs!$B$38="pvp",15,MAX(0.1,Skills!E11-IF(Skills!F11=TRUE,4.5,0)))*(1-IF(AND(ArtifactsInput!$M$27,Inputs!$B$4="Chapter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IFERROR(1/(IF(Inputs!$B$38="pvp",15,MAX(0.1,Skills!E12-IF(Skills!F12=TRUE,4.5,0)))*(1-IF(AND(ArtifactsInput!$M$27,Inputs!$B$4="Chapter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IFERROR(1/(IF(Inputs!$B$38="pvp",15,MAX(0.1,Skills!E13-IF(Skills!F13=TRUE,4.5,0)))*(1-IF(AND(ArtifactsInput!$M$27,Inputs!$B$4="Chapter Hunt"),CHOOSE(ArtifactsInput!$N$27+1,20,24,28,32,36,40),0)/100)),0)</f>
        <v/>
      </c>
      <c r="R3133">
        <f>IF(AND(Inputs!$B$38&lt;&gt;"pvp",Inputs!$B$43&gt;0),IF(MAX(0,Inputs!$B$43-B3158)&lt;=0,0,(INT(MAX(0,Inputs!$B$43-B3158)/(IF(Inputs!$B$38="pvp",15,MAX(0.1,Skills!E13-IF(Skills!F13=TRUE,4.5,0)))*(1-IF(AND(ArtifactsInput!$M$27,Inputs!$B$4="Chapter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IFERROR(1/(IF(Inputs!$B$38="pvp",15,MAX(0.1,Skills!E14-IF(Skills!F14=TRUE,4.5,0)))*(1-IF(AND(ArtifactsInput!$M$27,Inputs!$B$4="Chapter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IFERROR(1/(IF(Inputs!$B$38="pvp",15,MAX(0.1,Skills!E15-IF(Skills!F15=TRUE,4.5,0)))*(1-IF(AND(ArtifactsInput!$M$27,Inputs!$B$4="Chapter Hunt"),CHOOSE(ArtifactsInput!$N$27+1,20,24,28,32,36,40),0)/100)),0)</f>
        <v/>
      </c>
      <c r="R3135">
        <f>IF(AND(Inputs!$B$38&lt;&gt;"pvp",Inputs!$B$43&gt;0),IF(MAX(0,Inputs!$B$43-B3158)&lt;=0,0,(INT(MAX(0,Inputs!$B$43-B3158)/(IF(Inputs!$B$38="pvp",15,MAX(0.1,Skills!E15-IF(Skills!F15=TRUE,4.5,0)))*(1-IF(AND(ArtifactsInput!$M$27,Inputs!$B$4="Chapter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IFERROR(1/(IF(Inputs!$B$38="pvp",15,MAX(0.1,Skills!E16-IF(Skills!F16=TRUE,4.5,0)))*(1-IF(AND(ArtifactsInput!$M$27,Inputs!$B$4="Chapter Hunt"),CHOOSE(ArtifactsInput!$N$27+1,20,24,28,32,36,40),0)/100)),0)</f>
        <v/>
      </c>
      <c r="R3136">
        <f>IF(AND(Inputs!$B$38&lt;&gt;"pvp",Inputs!$B$43&gt;0),IF(MAX(0,Inputs!$B$43-B3158)&lt;=0,0,(INT(MAX(0,Inputs!$B$43-B3158)/(IF(Inputs!$B$38="pvp",15,MAX(0.1,Skills!E16-IF(Skills!F16=TRUE,4.5,0)))*(1-IF(AND(ArtifactsInput!$M$27,Inputs!$B$4="Chapter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IFERROR(1/(IF(Inputs!$B$38="pvp",15,MAX(0.1,Skills!E17-IF(Skills!F17=TRUE,4.5,0)))*(1-IF(AND(ArtifactsInput!$M$27,Inputs!$B$4="Chapter Hunt"),CHOOSE(ArtifactsInput!$N$27+1,20,24,28,32,36,40),0)/100)),0)</f>
        <v/>
      </c>
      <c r="R3137">
        <f>IF(AND(Inputs!$B$38&lt;&gt;"pvp",Inputs!$B$43&gt;0),IF(Inputs!$B$43&lt;=0,0,(INT(Inputs!$B$43/(IF(Inputs!$B$38="pvp",15,MAX(0.1,Skills!E17-IF(Skills!F17=TRUE,4.5,0)))*(1-IF(AND(ArtifactsInput!$M$27,Inputs!$B$4="Chapter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IFERROR(1/(IF(Inputs!$B$38="pvp",15,MAX(0.1,Skills!E18-IF(Skills!F18=TRUE,4.5,0)))*(1-IF(AND(ArtifactsInput!$M$27,Inputs!$B$4="Chapter Hunt"),CHOOSE(ArtifactsInput!$N$27+1,20,24,28,32,36,40),0)/100)),0)</f>
        <v/>
      </c>
      <c r="R3138">
        <f>IF(AND(Inputs!$B$38&lt;&gt;"pvp",Inputs!$B$43&gt;0),IF(Inputs!$B$43&lt;=0,0,(INT(Inputs!$B$43/(IF(Inputs!$B$38="pvp",15,MAX(0.1,Skills!E18-IF(Skills!F18=TRUE,4.5,0)))*(1-IF(AND(ArtifactsInput!$M$27,Inputs!$B$4="Chapter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IFERROR(1/(IF(Inputs!$B$38="pvp",15,MAX(0.1,Skills!E19-IF(Skills!F19=TRUE,4.5,0)))*(1-IF(AND(ArtifactsInput!$M$27,Inputs!$B$4="Chapter Hunt"),CHOOSE(ArtifactsInput!$N$27+1,20,24,28,32,36,40),0)/100)),0)</f>
        <v/>
      </c>
      <c r="R3139">
        <f>IF(AND(Inputs!$B$38&lt;&gt;"pvp",Inputs!$B$43&gt;0),IF(Inputs!$B$43&lt;=0,0,(INT(Inputs!$B$43/(IF(Inputs!$B$38="pvp",15,MAX(0.1,Skills!E19-IF(Skills!F19=TRUE,4.5,0)))*(1-IF(AND(ArtifactsInput!$M$27,Inputs!$B$4="Chapter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IFERROR(1/(IF(Inputs!$B$38="pvp",15,MAX(0.1,Skills!E20-IF(Skills!F20=TRUE,4.5,0)))*(1-IF(AND(ArtifactsInput!$M$27,Inputs!$B$4="Chapter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IFERROR(1/(IF(Inputs!$B$38="pvp",15,MAX(0.1,Skills!E21-IF(Skills!F21=TRUE,4.5,0)))*(1-IF(AND(ArtifactsInput!$M$27,Inputs!$B$4="Chapter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IFERROR(1/(IF(Inputs!$B$38="pvp",15,MAX(0.1,Skills!E22-IF(Skills!F22=TRUE,4.5,0)))*(1-IF(AND(ArtifactsInput!$M$27,Inputs!$B$4="Chapter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IFERROR(1/(IF(Inputs!$B$38="pvp",15,MAX(0.1,Skills!E23-IF(Skills!F23=TRUE,4.5,0)))*(1-IF(AND(ArtifactsInput!$M$27,Inputs!$B$4="Chapter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IFERROR(1/(IF(Inputs!$B$38="pvp",15,MAX(0.1,Skills!E24-IF(Skills!F24=TRUE,4.5,0)))*(1-IF(AND(ArtifactsInput!$M$27,Inputs!$B$4="Chapter Hunt"),CHOOSE(ArtifactsInput!$N$27+1,20,24,28,32,36,40),0)/100)),0)</f>
        <v/>
      </c>
      <c r="R3144">
        <f>IF(AND(Inputs!$B$38&lt;&gt;"pvp",Inputs!$B$43&gt;0),IF(MAX(0,Inputs!$B$43-B3158)&lt;=0,0,(INT(MAX(0,Inputs!$B$43-B3158)/(IF(Inputs!$B$38="pvp",15,MAX(0.1,Skills!E24-IF(Skills!F24=TRUE,4.5,0)))*(1-IF(AND(ArtifactsInput!$M$27,Inputs!$B$4="Chapter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IFERROR(1/(IF(Inputs!$B$38="pvp",15,MAX(0.1,Skills!E25-IF(Skills!F25=TRUE,4.5,0)))*(1-IF(AND(ArtifactsInput!$M$27,Inputs!$B$4="Chapter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IFERROR(1/(IF(Inputs!$B$38="pvp",15,MAX(0.1,Skills!E26-IF(Skills!F26=TRUE,4.5,0)))*(1-IF(AND(ArtifactsInput!$M$27,Inputs!$B$4="Chapter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IFERROR(1/(IF(Inputs!$B$38="pvp",15,MAX(0.1,Skills!E27-IF(Skills!F27=TRUE,4.5,0)))*(1-IF(AND(ArtifactsInput!$M$27,Inputs!$B$4="Chapter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IFERROR(1/(IF(Inputs!$B$38="pvp",15,MAX(0.1,Skills!E28-IF(Skills!F28=TRUE,4.5,0)))*(1-IF(AND(ArtifactsInput!$M$27,Inputs!$B$4="Chapter Hunt"),CHOOSE(ArtifactsInput!$N$27+1,20,24,28,32,36,40),0)/100)),0)</f>
        <v/>
      </c>
      <c r="R3148">
        <f>IF(AND(Inputs!$B$38&lt;&gt;"pvp",Inputs!$B$43&gt;0),IF(MAX(0,Inputs!$B$43-B3158)&lt;=0,0,(INT(MAX(0,Inputs!$B$43-B3158)/(IF(Inputs!$B$38="pvp",15,MAX(0.1,Skills!E28-IF(Skills!F28=TRUE,4.5,0)))*(1-IF(AND(ArtifactsInput!$M$27,Inputs!$B$4="Chapter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Skills!T6*(1+((Inputs!$B$34+(ArtifactsInput!$M$7-ArtifactsInput!$M$7)*CHOOSE(ArtifactsInput!$N$7+1,6,7.2,8.4,9.6,10.8,12))+IF(Inputs!$B$3&gt;=117,F3145,0))/100))+MIN((Skills!T6*(1+((Inputs!$B$34+(ArtifactsInput!$M$7-ArtifactsInput!$M$7)*CHOOSE(ArtifactsInput!$N$7+1,6,7.2,8.4,9.6,10.8,12))+IF(Inputs!$B$3&gt;=117,F3145,0))/100)),MAX(0,Inputs!$B$43-((R3126-1)*Skills!E6))))/Inputs!$B$43),IF(Inputs!$B$38="pvp",MIN((Skills!T6*(1+((Inputs!$B$34+(ArtifactsInput!$M$7-ArtifactsInput!$M$7)*CHOOSE(ArtifactsInput!$N$7+1,6,7.2,8.4,9.6,10.8,12))+IF(Inputs!$B$3&gt;=117,F3145,0))/100)),15)/15,(Skills!T6*(1+((Inputs!$B$34+(ArtifactsInput!$M$7-ArtifactsInput!$M$7)*CHOOSE(ArtifactsInput!$N$7+1,6,7.2,8.4,9.6,10.8,12))+IF(Inputs!$B$3&gt;=117,F3145,0))/100))/Skills!E6))+F3137*IF(AND(Inputs!$B$38&lt;&gt;"pvp",Inputs!$B$43&gt;0),(((R3137-1)*(Skills!T17*(1+((Inputs!$B$34+(ArtifactsInput!$M$7-ArtifactsInput!$M$7)*CHOOSE(ArtifactsInput!$N$7+1,6,7.2,8.4,9.6,10.8,12))+IF(Inputs!$B$3&gt;=117,F3145,0))/100))+MIN((Skills!T17*(1+((Inputs!$B$34+(ArtifactsInput!$M$7-ArtifactsInput!$M$7)*CHOOSE(ArtifactsInput!$N$7+1,6,7.2,8.4,9.6,10.8,12))+IF(Inputs!$B$3&gt;=117,F3145,0))/100)),MAX(0,Inputs!$B$43-((R3137-1)*Skills!E17))))/Inputs!$B$43),IF(Inputs!$B$38="pvp",MIN((Skills!T17*(1+((Inputs!$B$34+(ArtifactsInput!$M$7-ArtifactsInput!$M$7)*CHOOSE(ArtifactsInput!$N$7+1,6,7.2,8.4,9.6,10.8,12))+IF(Inputs!$B$3&gt;=117,F3145,0))/100)),15)/15,(Skills!T17*(1+((Inputs!$B$34+(ArtifactsInput!$M$7-ArtifactsInput!$M$7)*CHOOSE(ArtifactsInput!$N$7+1,6,7.2,8.4,9.6,10.8,12))+IF(Inputs!$B$3&gt;=117,F3145,0)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Skills!T19*(1+((Inputs!$B$34+(ArtifactsInput!$M$7-ArtifactsInput!$M$7)*CHOOSE(ArtifactsInput!$N$7+1,6,7.2,8.4,9.6,10.8,12))+IF(Inputs!$B$3&gt;=117,F3145,0))/100))+MIN((Skills!T19*(1+((Inputs!$B$34+(ArtifactsInput!$M$7-ArtifactsInput!$M$7)*CHOOSE(ArtifactsInput!$N$7+1,6,7.2,8.4,9.6,10.8,12))+IF(Inputs!$B$3&gt;=117,F3145,0))/100)),MAX(0,Inputs!$B$43-((R3139-1)*Skills!E19))))/Inputs!$B$43),IF(Inputs!$B$38="pvp",MIN((Skills!T19*(1+((Inputs!$B$34+(ArtifactsInput!$M$7-ArtifactsInput!$M$7)*CHOOSE(ArtifactsInput!$N$7+1,6,7.2,8.4,9.6,10.8,12))+IF(Inputs!$B$3&gt;=117,F3145,0))/100)),15)/15,(Skills!T19*(1+((Inputs!$B$34+(ArtifactsInput!$M$7-ArtifactsInput!$M$7)*CHOOSE(ArtifactsInput!$N$7+1,6,7.2,8.4,9.6,10.8,12))+IF(Inputs!$B$3&gt;=117,F3145,0))/100))/Skills!E19))/100),1)</f>
        <v/>
      </c>
    </row>
    <row r="3153">
      <c r="A3153" t="inlineStr">
        <is>
          <t>Attack Speed Buff Bonus % (Nimble Feet, averaged)</t>
        </is>
      </c>
      <c r="B3153">
        <f>F3138*IF(AND(Inputs!$B$38&lt;&gt;"pvp",Inputs!$B$43&gt;0),(((R3138-1)*(Skills!T18*(1+((Inputs!$B$34+(ArtifactsInput!$M$7-ArtifactsInput!$M$7)*CHOOSE(ArtifactsInput!$N$7+1,6,7.2,8.4,9.6,10.8,12))+IF(Inputs!$B$3&gt;=117,F3145,0))/100))+MIN((Skills!T18*(1+((Inputs!$B$34+(ArtifactsInput!$M$7-ArtifactsInput!$M$7)*CHOOSE(ArtifactsInput!$N$7+1,6,7.2,8.4,9.6,10.8,12))+IF(Inputs!$B$3&gt;=117,F3145,0))/100)),MAX(0,Inputs!$B$43-((R3138-1)*Skills!E18))))/Inputs!$B$43),IF(Inputs!$B$38="pvp",MIN((Skills!T18*(1+((Inputs!$B$34+(ArtifactsInput!$M$7-ArtifactsInput!$M$7)*CHOOSE(ArtifactsInput!$N$7+1,6,7.2,8.4,9.6,10.8,12))+IF(Inputs!$B$3&gt;=117,F3145,0))/100)),15)/15,(Skills!T18*(1+((Inputs!$B$34+(ArtifactsInput!$M$7-ArtifactsInput!$M$7)*CHOOSE(ArtifactsInput!$N$7+1,6,7.2,8.4,9.6,10.8,12))+IF(Inputs!$B$3&gt;=117,F3145,0))/100))/Skills!E18)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IFERROR(1/(IF(Inputs!$B$38="pvp",15,MAX(0.1,Skills!E2-IF(Skills!F2=TRUE,5.0,0)))*(1-IF(AND(ArtifactsInput!$M$27,Inputs!$B$4="Chapter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IFERROR(1/(IF(Inputs!$B$38="pvp",15,MAX(0.1,Skills!E3-IF(Skills!F3=TRUE,5.0,0)))*(1-IF(AND(ArtifactsInput!$M$27,Inputs!$B$4="Chapter Hunt"),CHOOSE(ArtifactsInput!$N$27+1,20,24,28,32,36,40),0)/100)),0)</f>
        <v/>
      </c>
      <c r="R3167">
        <f>IF(AND(Inputs!$B$38&lt;&gt;"pvp",Inputs!$B$43&gt;0),IF(MAX(0,Inputs!$B$43-B3202)&lt;=0,0,(INT(MAX(0,Inputs!$B$43-B3202)/(IF(Inputs!$B$38="pvp",15,MAX(0.1,Skills!E3-IF(Skills!F3=TRUE,5.0,0)))*(1-IF(AND(ArtifactsInput!$M$27,Inputs!$B$4="Chapter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IFERROR(1/(IF(Inputs!$B$38="pvp",15,MAX(0.1,Skills!E4-IF(Skills!F4=TRUE,5.0,0)))*(1-IF(AND(ArtifactsInput!$M$27,Inputs!$B$4="Chapter Hunt"),CHOOSE(ArtifactsInput!$N$27+1,20,24,28,32,36,40),0)/100)),0)</f>
        <v/>
      </c>
      <c r="R3168">
        <f>IF(AND(Inputs!$B$38&lt;&gt;"pvp",Inputs!$B$43&gt;0),IF(MAX(0,Inputs!$B$43-B3202)&lt;=0,0,(INT(MAX(0,Inputs!$B$43-B3202)/(IF(Inputs!$B$38="pvp",15,MAX(0.1,Skills!E4-IF(Skills!F4=TRUE,5.0,0)))*(1-IF(AND(ArtifactsInput!$M$27,Inputs!$B$4="Chapter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IFERROR(1/(IF(Inputs!$B$38="pvp",15,MAX(0.1,Skills!E5-IF(Skills!F5=TRUE,5.0,0)))*(1-IF(AND(ArtifactsInput!$M$27,Inputs!$B$4="Chapter Hunt"),CHOOSE(ArtifactsInput!$N$27+1,20,24,28,32,36,40),0)/100)),0)</f>
        <v/>
      </c>
      <c r="R3169">
        <f>IF(AND(Inputs!$B$38&lt;&gt;"pvp",Inputs!$B$43&gt;0),IF(MAX(0,Inputs!$B$43-B3202)&lt;=0,0,(INT(MAX(0,Inputs!$B$43-B3202)/(IF(Inputs!$B$38="pvp",15,MAX(0.1,Skills!E5-IF(Skills!F5=TRUE,5.0,0)))*(1-IF(AND(ArtifactsInput!$M$27,Inputs!$B$4="Chapter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IFERROR(1/(IF(Inputs!$B$38="pvp",15,MAX(0.1,Skills!E6-IF(Skills!F6=TRUE,5.0,0)))*(1-IF(AND(ArtifactsInput!$M$27,Inputs!$B$4="Chapter Hunt"),CHOOSE(ArtifactsInput!$N$27+1,20,24,28,32,36,40),0)/100)),0)</f>
        <v/>
      </c>
      <c r="R3170">
        <f>IF(AND(Inputs!$B$38&lt;&gt;"pvp",Inputs!$B$43&gt;0),IF(Inputs!$B$43&lt;=0,0,(INT(Inputs!$B$43/(IF(Inputs!$B$38="pvp",15,MAX(0.1,Skills!E6-IF(Skills!F6=TRUE,5.0,0)))*(1-IF(AND(ArtifactsInput!$M$27,Inputs!$B$4="Chapter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IFERROR(1/(IF(Inputs!$B$38="pvp",15,MAX(0.1,Skills!E7-IF(Skills!F7=TRUE,5.0,0)))*(1-IF(AND(ArtifactsInput!$M$27,Inputs!$B$4="Chapter Hunt"),CHOOSE(ArtifactsInput!$N$27+1,20,24,28,32,36,40),0)/100)),0)</f>
        <v/>
      </c>
      <c r="R3171">
        <f>IF(AND(Inputs!$B$38&lt;&gt;"pvp",Inputs!$B$43&gt;0),IF(MAX(0,Inputs!$B$43-B3202)&lt;=0,0,(INT(MAX(0,Inputs!$B$43-B3202)/(IF(Inputs!$B$38="pvp",15,MAX(0.1,Skills!E7-IF(Skills!F7=TRUE,5.0,0)))*(1-IF(AND(ArtifactsInput!$M$27,Inputs!$B$4="Chapter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IFERROR(1/(IF(Inputs!$B$38="pvp",15,MAX(0.1,Skills!E8-IF(Skills!F8=TRUE,5.0,0)))*(1-IF(AND(ArtifactsInput!$M$27,Inputs!$B$4="Chapter Hunt"),CHOOSE(ArtifactsInput!$N$27+1,20,24,28,32,36,40),0)/100)),0)</f>
        <v/>
      </c>
      <c r="R3172">
        <f>IF(AND(Inputs!$B$38&lt;&gt;"pvp",Inputs!$B$43&gt;0),IF(MAX(0,Inputs!$B$43-B3202)&lt;=0,0,(INT(MAX(0,Inputs!$B$43-B3202)/(IF(Inputs!$B$38="pvp",15,MAX(0.1,Skills!E8-IF(Skills!F8=TRUE,5.0,0)))*(1-IF(AND(ArtifactsInput!$M$27,Inputs!$B$4="Chapter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IFERROR(1/(IF(Inputs!$B$38="pvp",15,MAX(0.1,Skills!E9-IF(Skills!F7=TRUE,5.0,0)))*(1-IF(AND(ArtifactsInput!$M$27,Inputs!$B$4="Chapter Hunt"),CHOOSE(ArtifactsInput!$N$27+1,20,24,28,32,36,40),0)/100)),0)</f>
        <v/>
      </c>
      <c r="R3173">
        <f>IF(AND(Inputs!$B$38&lt;&gt;"pvp",Inputs!$B$43&gt;0),IF(MAX(0,Inputs!$B$43-B3202)&lt;=0,0,(INT(MAX(0,Inputs!$B$43-B3202)/(IF(Inputs!$B$38="pvp",15,MAX(0.1,Skills!E9-IF(Skills!F7=TRUE,5.0,0)))*(1-IF(AND(ArtifactsInput!$M$27,Inputs!$B$4="Chapter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IFERROR(1/(IF(Inputs!$B$38="pvp",15,MAX(0.1,Skills!E10-IF(Skills!F10=TRUE,5.0,0)))*(1-IF(AND(ArtifactsInput!$M$27,Inputs!$B$4="Chapter Hunt"),CHOOSE(ArtifactsInput!$N$27+1,20,24,28,32,36,40),0)/100)),0)</f>
        <v/>
      </c>
      <c r="R3174">
        <f>IF(AND(Inputs!$B$38&lt;&gt;"pvp",Inputs!$B$43&gt;0),IF(MAX(0,Inputs!$B$43-B3202)&lt;=0,0,(INT(MAX(0,Inputs!$B$43-B3202)/(IF(Inputs!$B$38="pvp",15,MAX(0.1,Skills!E10-IF(Skills!F10=TRUE,5.0,0)))*(1-IF(AND(ArtifactsInput!$M$27,Inputs!$B$4="Chapter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IFERROR(1/(IF(Inputs!$B$38="pvp",15,MAX(0.1,Skills!E11-IF(Skills!F11=TRUE,5.0,0)))*(1-IF(AND(ArtifactsInput!$M$27,Inputs!$B$4="Chapter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IFERROR(1/(IF(Inputs!$B$38="pvp",15,MAX(0.1,Skills!E12-IF(Skills!F12=TRUE,5.0,0)))*(1-IF(AND(ArtifactsInput!$M$27,Inputs!$B$4="Chapter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IFERROR(1/(IF(Inputs!$B$38="pvp",15,MAX(0.1,Skills!E13-IF(Skills!F13=TRUE,5.0,0)))*(1-IF(AND(ArtifactsInput!$M$27,Inputs!$B$4="Chapter Hunt"),CHOOSE(ArtifactsInput!$N$27+1,20,24,28,32,36,40),0)/100)),0)</f>
        <v/>
      </c>
      <c r="R3177">
        <f>IF(AND(Inputs!$B$38&lt;&gt;"pvp",Inputs!$B$43&gt;0),IF(MAX(0,Inputs!$B$43-B3202)&lt;=0,0,(INT(MAX(0,Inputs!$B$43-B3202)/(IF(Inputs!$B$38="pvp",15,MAX(0.1,Skills!E13-IF(Skills!F13=TRUE,5.0,0)))*(1-IF(AND(ArtifactsInput!$M$27,Inputs!$B$4="Chapter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IFERROR(1/(IF(Inputs!$B$38="pvp",15,MAX(0.1,Skills!E14-IF(Skills!F14=TRUE,5.0,0)))*(1-IF(AND(ArtifactsInput!$M$27,Inputs!$B$4="Chapter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IFERROR(1/(IF(Inputs!$B$38="pvp",15,MAX(0.1,Skills!E15-IF(Skills!F15=TRUE,5.0,0)))*(1-IF(AND(ArtifactsInput!$M$27,Inputs!$B$4="Chapter Hunt"),CHOOSE(ArtifactsInput!$N$27+1,20,24,28,32,36,40),0)/100)),0)</f>
        <v/>
      </c>
      <c r="R3179">
        <f>IF(AND(Inputs!$B$38&lt;&gt;"pvp",Inputs!$B$43&gt;0),IF(MAX(0,Inputs!$B$43-B3202)&lt;=0,0,(INT(MAX(0,Inputs!$B$43-B3202)/(IF(Inputs!$B$38="pvp",15,MAX(0.1,Skills!E15-IF(Skills!F15=TRUE,5.0,0)))*(1-IF(AND(ArtifactsInput!$M$27,Inputs!$B$4="Chapter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IFERROR(1/(IF(Inputs!$B$38="pvp",15,MAX(0.1,Skills!E16-IF(Skills!F16=TRUE,5.0,0)))*(1-IF(AND(ArtifactsInput!$M$27,Inputs!$B$4="Chapter Hunt"),CHOOSE(ArtifactsInput!$N$27+1,20,24,28,32,36,40),0)/100)),0)</f>
        <v/>
      </c>
      <c r="R3180">
        <f>IF(AND(Inputs!$B$38&lt;&gt;"pvp",Inputs!$B$43&gt;0),IF(MAX(0,Inputs!$B$43-B3202)&lt;=0,0,(INT(MAX(0,Inputs!$B$43-B3202)/(IF(Inputs!$B$38="pvp",15,MAX(0.1,Skills!E16-IF(Skills!F16=TRUE,5.0,0)))*(1-IF(AND(ArtifactsInput!$M$27,Inputs!$B$4="Chapter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IFERROR(1/(IF(Inputs!$B$38="pvp",15,MAX(0.1,Skills!E17-IF(Skills!F17=TRUE,5.0,0)))*(1-IF(AND(ArtifactsInput!$M$27,Inputs!$B$4="Chapter Hunt"),CHOOSE(ArtifactsInput!$N$27+1,20,24,28,32,36,40),0)/100)),0)</f>
        <v/>
      </c>
      <c r="R3181">
        <f>IF(AND(Inputs!$B$38&lt;&gt;"pvp",Inputs!$B$43&gt;0),IF(Inputs!$B$43&lt;=0,0,(INT(Inputs!$B$43/(IF(Inputs!$B$38="pvp",15,MAX(0.1,Skills!E17-IF(Skills!F17=TRUE,5.0,0)))*(1-IF(AND(ArtifactsInput!$M$27,Inputs!$B$4="Chapter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IFERROR(1/(IF(Inputs!$B$38="pvp",15,MAX(0.1,Skills!E18-IF(Skills!F18=TRUE,5.0,0)))*(1-IF(AND(ArtifactsInput!$M$27,Inputs!$B$4="Chapter Hunt"),CHOOSE(ArtifactsInput!$N$27+1,20,24,28,32,36,40),0)/100)),0)</f>
        <v/>
      </c>
      <c r="R3182">
        <f>IF(AND(Inputs!$B$38&lt;&gt;"pvp",Inputs!$B$43&gt;0),IF(Inputs!$B$43&lt;=0,0,(INT(Inputs!$B$43/(IF(Inputs!$B$38="pvp",15,MAX(0.1,Skills!E18-IF(Skills!F18=TRUE,5.0,0)))*(1-IF(AND(ArtifactsInput!$M$27,Inputs!$B$4="Chapter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IFERROR(1/(IF(Inputs!$B$38="pvp",15,MAX(0.1,Skills!E19-IF(Skills!F19=TRUE,5.0,0)))*(1-IF(AND(ArtifactsInput!$M$27,Inputs!$B$4="Chapter Hunt"),CHOOSE(ArtifactsInput!$N$27+1,20,24,28,32,36,40),0)/100)),0)</f>
        <v/>
      </c>
      <c r="R3183">
        <f>IF(AND(Inputs!$B$38&lt;&gt;"pvp",Inputs!$B$43&gt;0),IF(Inputs!$B$43&lt;=0,0,(INT(Inputs!$B$43/(IF(Inputs!$B$38="pvp",15,MAX(0.1,Skills!E19-IF(Skills!F19=TRUE,5.0,0)))*(1-IF(AND(ArtifactsInput!$M$27,Inputs!$B$4="Chapter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IFERROR(1/(IF(Inputs!$B$38="pvp",15,MAX(0.1,Skills!E20-IF(Skills!F20=TRUE,5.0,0)))*(1-IF(AND(ArtifactsInput!$M$27,Inputs!$B$4="Chapter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IFERROR(1/(IF(Inputs!$B$38="pvp",15,MAX(0.1,Skills!E21-IF(Skills!F21=TRUE,5.0,0)))*(1-IF(AND(ArtifactsInput!$M$27,Inputs!$B$4="Chapter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IFERROR(1/(IF(Inputs!$B$38="pvp",15,MAX(0.1,Skills!E22-IF(Skills!F22=TRUE,5.0,0)))*(1-IF(AND(ArtifactsInput!$M$27,Inputs!$B$4="Chapter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IFERROR(1/(IF(Inputs!$B$38="pvp",15,MAX(0.1,Skills!E23-IF(Skills!F23=TRUE,5.0,0)))*(1-IF(AND(ArtifactsInput!$M$27,Inputs!$B$4="Chapter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IFERROR(1/(IF(Inputs!$B$38="pvp",15,MAX(0.1,Skills!E24-IF(Skills!F24=TRUE,5.0,0)))*(1-IF(AND(ArtifactsInput!$M$27,Inputs!$B$4="Chapter Hunt"),CHOOSE(ArtifactsInput!$N$27+1,20,24,28,32,36,40),0)/100)),0)</f>
        <v/>
      </c>
      <c r="R3188">
        <f>IF(AND(Inputs!$B$38&lt;&gt;"pvp",Inputs!$B$43&gt;0),IF(MAX(0,Inputs!$B$43-B3202)&lt;=0,0,(INT(MAX(0,Inputs!$B$43-B3202)/(IF(Inputs!$B$38="pvp",15,MAX(0.1,Skills!E24-IF(Skills!F24=TRUE,5.0,0)))*(1-IF(AND(ArtifactsInput!$M$27,Inputs!$B$4="Chapter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IFERROR(1/(IF(Inputs!$B$38="pvp",15,MAX(0.1,Skills!E25-IF(Skills!F25=TRUE,5.0,0)))*(1-IF(AND(ArtifactsInput!$M$27,Inputs!$B$4="Chapter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IFERROR(1/(IF(Inputs!$B$38="pvp",15,MAX(0.1,Skills!E26-IF(Skills!F26=TRUE,5.0,0)))*(1-IF(AND(ArtifactsInput!$M$27,Inputs!$B$4="Chapter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IFERROR(1/(IF(Inputs!$B$38="pvp",15,MAX(0.1,Skills!E27-IF(Skills!F27=TRUE,5.0,0)))*(1-IF(AND(ArtifactsInput!$M$27,Inputs!$B$4="Chapter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IFERROR(1/(IF(Inputs!$B$38="pvp",15,MAX(0.1,Skills!E28-IF(Skills!F28=TRUE,5.0,0)))*(1-IF(AND(ArtifactsInput!$M$27,Inputs!$B$4="Chapter Hunt"),CHOOSE(ArtifactsInput!$N$27+1,20,24,28,32,36,40),0)/100)),0)</f>
        <v/>
      </c>
      <c r="R3192">
        <f>IF(AND(Inputs!$B$38&lt;&gt;"pvp",Inputs!$B$43&gt;0),IF(MAX(0,Inputs!$B$43-B3202)&lt;=0,0,(INT(MAX(0,Inputs!$B$43-B3202)/(IF(Inputs!$B$38="pvp",15,MAX(0.1,Skills!E28-IF(Skills!F28=TRUE,5.0,0)))*(1-IF(AND(ArtifactsInput!$M$27,Inputs!$B$4="Chapter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Skills!T6*(1+((Inputs!$B$34+(ArtifactsInput!$M$7-ArtifactsInput!$M$7)*CHOOSE(ArtifactsInput!$N$7+1,6,7.2,8.4,9.6,10.8,12))+IF(Inputs!$B$3&gt;=117,F3189,0))/100))+MIN((Skills!T6*(1+((Inputs!$B$34+(ArtifactsInput!$M$7-ArtifactsInput!$M$7)*CHOOSE(ArtifactsInput!$N$7+1,6,7.2,8.4,9.6,10.8,12))+IF(Inputs!$B$3&gt;=117,F3189,0))/100)),MAX(0,Inputs!$B$43-((R3170-1)*Skills!E6))))/Inputs!$B$43),IF(Inputs!$B$38="pvp",MIN((Skills!T6*(1+((Inputs!$B$34+(ArtifactsInput!$M$7-ArtifactsInput!$M$7)*CHOOSE(ArtifactsInput!$N$7+1,6,7.2,8.4,9.6,10.8,12))+IF(Inputs!$B$3&gt;=117,F3189,0))/100)),15)/15,(Skills!T6*(1+((Inputs!$B$34+(ArtifactsInput!$M$7-ArtifactsInput!$M$7)*CHOOSE(ArtifactsInput!$N$7+1,6,7.2,8.4,9.6,10.8,12))+IF(Inputs!$B$3&gt;=117,F3189,0))/100))/Skills!E6))+F3181*IF(AND(Inputs!$B$38&lt;&gt;"pvp",Inputs!$B$43&gt;0),(((R3181-1)*(Skills!T17*(1+((Inputs!$B$34+(ArtifactsInput!$M$7-ArtifactsInput!$M$7)*CHOOSE(ArtifactsInput!$N$7+1,6,7.2,8.4,9.6,10.8,12))+IF(Inputs!$B$3&gt;=117,F3189,0))/100))+MIN((Skills!T17*(1+((Inputs!$B$34+(ArtifactsInput!$M$7-ArtifactsInput!$M$7)*CHOOSE(ArtifactsInput!$N$7+1,6,7.2,8.4,9.6,10.8,12))+IF(Inputs!$B$3&gt;=117,F3189,0))/100)),MAX(0,Inputs!$B$43-((R3181-1)*Skills!E17))))/Inputs!$B$43),IF(Inputs!$B$38="pvp",MIN((Skills!T17*(1+((Inputs!$B$34+(ArtifactsInput!$M$7-ArtifactsInput!$M$7)*CHOOSE(ArtifactsInput!$N$7+1,6,7.2,8.4,9.6,10.8,12))+IF(Inputs!$B$3&gt;=117,F3189,0))/100)),15)/15,(Skills!T17*(1+((Inputs!$B$34+(ArtifactsInput!$M$7-ArtifactsInput!$M$7)*CHOOSE(ArtifactsInput!$N$7+1,6,7.2,8.4,9.6,10.8,12))+IF(Inputs!$B$3&gt;=117,F3189,0))/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Skills!T19*(1+((Inputs!$B$34+(ArtifactsInput!$M$7-ArtifactsInput!$M$7)*CHOOSE(ArtifactsInput!$N$7+1,6,7.2,8.4,9.6,10.8,12))+IF(Inputs!$B$3&gt;=117,F3189,0))/100))+MIN((Skills!T19*(1+((Inputs!$B$34+(ArtifactsInput!$M$7-ArtifactsInput!$M$7)*CHOOSE(ArtifactsInput!$N$7+1,6,7.2,8.4,9.6,10.8,12))+IF(Inputs!$B$3&gt;=117,F3189,0))/100)),MAX(0,Inputs!$B$43-((R3183-1)*Skills!E19))))/Inputs!$B$43),IF(Inputs!$B$38="pvp",MIN((Skills!T19*(1+((Inputs!$B$34+(ArtifactsInput!$M$7-ArtifactsInput!$M$7)*CHOOSE(ArtifactsInput!$N$7+1,6,7.2,8.4,9.6,10.8,12))+IF(Inputs!$B$3&gt;=117,F3189,0))/100)),15)/15,(Skills!T19*(1+((Inputs!$B$34+(ArtifactsInput!$M$7-ArtifactsInput!$M$7)*CHOOSE(ArtifactsInput!$N$7+1,6,7.2,8.4,9.6,10.8,12))+IF(Inputs!$B$3&gt;=117,F3189,0))/100))/Skills!E19))/100),1)</f>
        <v/>
      </c>
    </row>
    <row r="3197">
      <c r="A3197" t="inlineStr">
        <is>
          <t>Attack Speed Buff Bonus % (Nimble Feet, averaged)</t>
        </is>
      </c>
      <c r="B3197">
        <f>F3182*IF(AND(Inputs!$B$38&lt;&gt;"pvp",Inputs!$B$43&gt;0),(((R3182-1)*(Skills!T18*(1+((Inputs!$B$34+(ArtifactsInput!$M$7-ArtifactsInput!$M$7)*CHOOSE(ArtifactsInput!$N$7+1,6,7.2,8.4,9.6,10.8,12))+IF(Inputs!$B$3&gt;=117,F3189,0))/100))+MIN((Skills!T18*(1+((Inputs!$B$34+(ArtifactsInput!$M$7-ArtifactsInput!$M$7)*CHOOSE(ArtifactsInput!$N$7+1,6,7.2,8.4,9.6,10.8,12))+IF(Inputs!$B$3&gt;=117,F3189,0))/100)),MAX(0,Inputs!$B$43-((R3182-1)*Skills!E18))))/Inputs!$B$43),IF(Inputs!$B$38="pvp",MIN((Skills!T18*(1+((Inputs!$B$34+(ArtifactsInput!$M$7-ArtifactsInput!$M$7)*CHOOSE(ArtifactsInput!$N$7+1,6,7.2,8.4,9.6,10.8,12))+IF(Inputs!$B$3&gt;=117,F3189,0))/100)),15)/15,(Skills!T18*(1+((Inputs!$B$34+(ArtifactsInput!$M$7-ArtifactsInput!$M$7)*CHOOSE(ArtifactsInput!$N$7+1,6,7.2,8.4,9.6,10.8,12))+IF(Inputs!$B$3&gt;=117,F3189,0))/100))/Skills!E18))</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IF(Inputs!$B$9+Artifacts!$B$32&gt;=100,Sensitivity!H15,Sensitivity!H14)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IF(Inputs!$B$9+Artifacts!$B$32&gt;=100,Sensitivity!H15,Sensitivity!H14)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IF(Inputs!$B$9+Artifacts!$B$32&gt;=100,Sensitivity!H15,Sensitivity!H14)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IF(Inputs!$B$9+Artifacts!$B$32&gt;=100,Sensitivity!H15,Sensitivity!H14)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IF(Inputs!$B$9+Artifacts!$B$32&gt;=100,Sensitivity!H15,Sensitivity!H14)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IF(Inputs!$B$9+Artifacts!$B$32&gt;=100,Sensitivity!H15,Sensitivity!H14)</f>
        <v/>
      </c>
    </row>
    <row r="67">
      <c r="A67" t="inlineStr">
        <is>
          <t>ALL</t>
        </is>
      </c>
      <c r="B67" t="inlineStr">
        <is>
          <t>rare</t>
        </is>
      </c>
      <c r="C67" t="n">
        <v>2</v>
      </c>
      <c r="D67" t="inlineStr">
        <is>
          <t>Critical Rate %</t>
        </is>
      </c>
      <c r="E67" t="n">
        <v>4.5</v>
      </c>
      <c r="F67" t="n">
        <v>0.6</v>
      </c>
      <c r="G67" t="b">
        <v>1</v>
      </c>
      <c r="H67">
        <f>IF(Inputs!$B$9+Artifacts!$B$32&gt;=100,Sensitivity!H15,Sensitivity!H14)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IF(Inputs!$B$9+Artifacts!$B$32&gt;=100,Sensitivity!H15,Sensitivity!H14)</f>
        <v/>
      </c>
    </row>
    <row r="99">
      <c r="A99" t="inlineStr">
        <is>
          <t>ALL</t>
        </is>
      </c>
      <c r="B99" t="inlineStr">
        <is>
          <t>rare</t>
        </is>
      </c>
      <c r="C99" t="n">
        <v>3</v>
      </c>
      <c r="D99" t="inlineStr">
        <is>
          <t>Critical Rate %</t>
        </is>
      </c>
      <c r="E99" t="n">
        <v>4.5</v>
      </c>
      <c r="F99" t="n">
        <v>0.2</v>
      </c>
      <c r="G99" t="b">
        <v>1</v>
      </c>
      <c r="H99">
        <f>IF(Inputs!$B$9+Artifacts!$B$32&gt;=100,Sensitivity!H15,Sensitivity!H14)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IF(Inputs!$B$9+Artifacts!$B$32&gt;=100,Sensitivity!H15,Sensitivity!H14)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IF(Inputs!$B$9+Artifacts!$B$32&gt;=100,Sensitivity!H15,Sensitivity!H14)</f>
        <v/>
      </c>
    </row>
    <row r="147">
      <c r="A147" t="inlineStr">
        <is>
          <t>ALL</t>
        </is>
      </c>
      <c r="B147" t="inlineStr">
        <is>
          <t>epic</t>
        </is>
      </c>
      <c r="C147" t="n">
        <v>2</v>
      </c>
      <c r="D147" t="inlineStr">
        <is>
          <t>Critical Rate %</t>
        </is>
      </c>
      <c r="E147" t="n">
        <v>6</v>
      </c>
      <c r="F147" t="n">
        <v>0.6</v>
      </c>
      <c r="G147" t="b">
        <v>1</v>
      </c>
      <c r="H147">
        <f>IF(Inputs!$B$9+Artifacts!$B$32&gt;=100,Sensitivity!H15,Sensitivity!H14)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IF(Inputs!$B$9+Artifacts!$B$32&gt;=100,Sensitivity!H15,Sensitivity!H14)</f>
        <v/>
      </c>
    </row>
    <row r="179">
      <c r="A179" t="inlineStr">
        <is>
          <t>ALL</t>
        </is>
      </c>
      <c r="B179" t="inlineStr">
        <is>
          <t>epic</t>
        </is>
      </c>
      <c r="C179" t="n">
        <v>3</v>
      </c>
      <c r="D179" t="inlineStr">
        <is>
          <t>Critical Rate %</t>
        </is>
      </c>
      <c r="E179" t="n">
        <v>6</v>
      </c>
      <c r="F179" t="n">
        <v>0.2</v>
      </c>
      <c r="G179" t="b">
        <v>1</v>
      </c>
      <c r="H179">
        <f>IF(Inputs!$B$9+Artifacts!$B$32&gt;=100,Sensitivity!H15,Sensitivity!H14)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IF(Inputs!$B$9+Artifacts!$B$32&gt;=100,Sensitivity!H15,Sensitivity!H14)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IF(Inputs!$B$9+Artifacts!$B$32&gt;=100,Sensitivity!H15,Sensitivity!H14)</f>
        <v/>
      </c>
    </row>
    <row r="227">
      <c r="A227" t="inlineStr">
        <is>
          <t>ALL</t>
        </is>
      </c>
      <c r="B227" t="inlineStr">
        <is>
          <t>unique</t>
        </is>
      </c>
      <c r="C227" t="n">
        <v>2</v>
      </c>
      <c r="D227" t="inlineStr">
        <is>
          <t>Critical Rate %</t>
        </is>
      </c>
      <c r="E227" t="n">
        <v>9</v>
      </c>
      <c r="F227" t="n">
        <v>0.6</v>
      </c>
      <c r="G227" t="b">
        <v>1</v>
      </c>
      <c r="H227">
        <f>IF(Inputs!$B$9+Artifacts!$B$32&gt;=100,Sensitivity!H15,Sensitivity!H14)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IF(Inputs!$B$9+Artifacts!$B$32&gt;=100,Sensitivity!H15,Sensitivity!H14)</f>
        <v/>
      </c>
    </row>
    <row r="259">
      <c r="A259" t="inlineStr">
        <is>
          <t>ALL</t>
        </is>
      </c>
      <c r="B259" t="inlineStr">
        <is>
          <t>unique</t>
        </is>
      </c>
      <c r="C259" t="n">
        <v>3</v>
      </c>
      <c r="D259" t="inlineStr">
        <is>
          <t>Critical Rate %</t>
        </is>
      </c>
      <c r="E259" t="n">
        <v>9</v>
      </c>
      <c r="F259" t="n">
        <v>0.2</v>
      </c>
      <c r="G259" t="b">
        <v>1</v>
      </c>
      <c r="H259">
        <f>IF(Inputs!$B$9+Artifacts!$B$32&gt;=100,Sensitivity!H15,Sensitivity!H14)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IF(Inputs!$B$9+Artifacts!$B$32&gt;=100,Sensitivity!H15,Sensitivity!H14)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IF(Inputs!$B$9+Artifacts!$B$32&gt;=100,Sensitivity!H15,Sensitivity!H14)</f>
        <v/>
      </c>
    </row>
    <row r="307">
      <c r="A307" t="inlineStr">
        <is>
          <t>ALL</t>
        </is>
      </c>
      <c r="B307" t="inlineStr">
        <is>
          <t>legendary</t>
        </is>
      </c>
      <c r="C307" t="n">
        <v>2</v>
      </c>
      <c r="D307" t="inlineStr">
        <is>
          <t>Critical Rate %</t>
        </is>
      </c>
      <c r="E307" t="n">
        <v>12</v>
      </c>
      <c r="F307" t="n">
        <v>0.6</v>
      </c>
      <c r="G307" t="b">
        <v>1</v>
      </c>
      <c r="H307">
        <f>IF(Inputs!$B$9+Artifacts!$B$32&gt;=100,Sensitivity!H15,Sensitivity!H14)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IF(Inputs!$B$9+Artifacts!$B$32&gt;=100,Sensitivity!H15,Sensitivity!H14)</f>
        <v/>
      </c>
    </row>
    <row r="339">
      <c r="A339" t="inlineStr">
        <is>
          <t>ALL</t>
        </is>
      </c>
      <c r="B339" t="inlineStr">
        <is>
          <t>legendary</t>
        </is>
      </c>
      <c r="C339" t="n">
        <v>3</v>
      </c>
      <c r="D339" t="inlineStr">
        <is>
          <t>Critical Rate %</t>
        </is>
      </c>
      <c r="E339" t="n">
        <v>12</v>
      </c>
      <c r="F339" t="n">
        <v>0.2</v>
      </c>
      <c r="G339" t="b">
        <v>1</v>
      </c>
      <c r="H339">
        <f>IF(Inputs!$B$9+Artifacts!$B$32&gt;=100,Sensitivity!H15,Sensitivity!H14)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IF(Inputs!$B$9+Artifacts!$B$32&gt;=100,Sensitivity!H15,Sensitivity!H14)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IF(Inputs!$B$9+Artifacts!$B$32&gt;=100,Sensitivity!H15,Sensitivity!H14)</f>
        <v/>
      </c>
    </row>
    <row r="387">
      <c r="A387" t="inlineStr">
        <is>
          <t>ALL</t>
        </is>
      </c>
      <c r="B387" t="inlineStr">
        <is>
          <t>mystic</t>
        </is>
      </c>
      <c r="C387" t="n">
        <v>2</v>
      </c>
      <c r="D387" t="inlineStr">
        <is>
          <t>Critical Rate %</t>
        </is>
      </c>
      <c r="E387" t="n">
        <v>15</v>
      </c>
      <c r="F387" t="n">
        <v>0.6</v>
      </c>
      <c r="G387" t="b">
        <v>1</v>
      </c>
      <c r="H387">
        <f>IF(Inputs!$B$9+Artifacts!$B$32&gt;=100,Sensitivity!H15,Sensitivity!H14)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IF(Inputs!$B$9+Artifacts!$B$32&gt;=100,Sensitivity!H15,Sensitivity!H14)</f>
        <v/>
      </c>
    </row>
    <row r="419">
      <c r="A419" t="inlineStr">
        <is>
          <t>ALL</t>
        </is>
      </c>
      <c r="B419" t="inlineStr">
        <is>
          <t>mystic</t>
        </is>
      </c>
      <c r="C419" t="n">
        <v>3</v>
      </c>
      <c r="D419" t="inlineStr">
        <is>
          <t>Critical Rate %</t>
        </is>
      </c>
      <c r="E419" t="n">
        <v>15</v>
      </c>
      <c r="F419" t="n">
        <v>0.2</v>
      </c>
      <c r="G419" t="b">
        <v>1</v>
      </c>
      <c r="H419">
        <f>IF(Inputs!$B$9+Artifacts!$B$32&gt;=100,Sensitivity!H15,Sensitivity!H14)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E5+H5+K5</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E6+H6+K6</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E7+H7+K7</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E8+H8+K8</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E10+H10+K10</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E11+H11+K11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E12+H12+K12</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E13+H13+K13</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E14+H14+K14</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E15+H15+K15</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E16+H16+K16</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E17+H17+K17</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E18+H18+K18</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E20+H20+K20</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E21+H21+K21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E22+H22+K22</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E23+H23+K23</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E24+H24+K24</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E25+H25+K25</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E26+H26+K26</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E27+H27+K27</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E28+H28+K28</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E29+H29+K29</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E30+H30+K30</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E31+H31+K31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E32+H32+K32</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E33+H33+K33</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E34+H34+K34</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E35+H35+K35</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E36+H36+K36</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E37+H37+K37</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E38+H38+K38</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E39+H39+K39</f>
        <v/>
      </c>
      <c r="M39">
        <f>OR(Inputs!$B$47="Cursed Doll",Inputs!$B$48="Cursed Doll",Inputs!$B$49="Cursed Doll",Inputs!$B$50="Cursed Doll")</f>
        <v/>
      </c>
      <c r="N39">
        <f>IF(B39="Not Unlocked",0,B39)</f>
        <v/>
      </c>
    </row>
    <row r="40">
      <c r="A40" s="6" t="inlineStr">
        <is>
          <t>Reindeer's Spear</t>
        </is>
      </c>
      <c r="B40" s="7" t="n">
        <v>0</v>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E40+H40+K40</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E41+H41+K41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E42+H42+K42</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2026-09-23T15:45:20Z</dcterms:created>
  <dcterms:modified xsi:type="dcterms:W3CDTF">2026-09-23T15:45:20Z</dcterms:modified>
</cp:coreProperties>
</file>